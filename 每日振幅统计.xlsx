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8e873fb0c34a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739f03ccb114219"/>
    <x:sheet xmlns:r="http://schemas.openxmlformats.org/officeDocument/2006/relationships" name="周振幅统计" sheetId="2" r:id="Rd0588941430c4a8a"/>
    <x:sheet xmlns:r="http://schemas.openxmlformats.org/officeDocument/2006/relationships" name="中证1000" sheetId="3" r:id="R9bf98215f78440c7"/>
    <x:sheet xmlns:r="http://schemas.openxmlformats.org/officeDocument/2006/relationships" name="中证500" sheetId="4" r:id="Rf3e28d41f2f940fd"/>
    <x:sheet xmlns:r="http://schemas.openxmlformats.org/officeDocument/2006/relationships" name="上证指数" sheetId="5" r:id="Rb28be301d97c4a2c"/>
    <x:sheet xmlns:r="http://schemas.openxmlformats.org/officeDocument/2006/relationships" name="IM主力" sheetId="6" r:id="R9731da4516c1480c"/>
    <x:sheet xmlns:r="http://schemas.openxmlformats.org/officeDocument/2006/relationships" name="IC主力" sheetId="7" r:id="R0ff03a5eb3b74a07"/>
    <x:sheet xmlns:r="http://schemas.openxmlformats.org/officeDocument/2006/relationships" name="IF主力" sheetId="8" r:id="R627e7d0b2261488e"/>
    <x:sheet xmlns:r="http://schemas.openxmlformats.org/officeDocument/2006/relationships" name="IH主力" sheetId="9" r:id="Re9182ae7b7734c0b"/>
    <x:sheet xmlns:r="http://schemas.openxmlformats.org/officeDocument/2006/relationships" name="碳酸锂2610" sheetId="10" r:id="R04a965ee4ba843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971439d555426c" /><Relationship Type="http://schemas.openxmlformats.org/officeDocument/2006/relationships/theme" Target="/xl/theme/theme1.xml" Id="R19b1c9caeec3404f" /><Relationship Type="http://schemas.openxmlformats.org/officeDocument/2006/relationships/sharedStrings" Target="/xl/sharedStrings.xml" Id="R99998cc4b33f43ce" /><Relationship Type="http://schemas.openxmlformats.org/officeDocument/2006/relationships/worksheet" Target="/xl/worksheets/sheet1.xml" Id="Rc739f03ccb114219" /><Relationship Type="http://schemas.openxmlformats.org/officeDocument/2006/relationships/worksheet" Target="/xl/worksheets/sheet2.xml" Id="Rd0588941430c4a8a" /><Relationship Type="http://schemas.openxmlformats.org/officeDocument/2006/relationships/worksheet" Target="/xl/worksheets/sheet3.xml" Id="R9bf98215f78440c7" /><Relationship Type="http://schemas.openxmlformats.org/officeDocument/2006/relationships/worksheet" Target="/xl/worksheets/sheet4.xml" Id="Rf3e28d41f2f940fd" /><Relationship Type="http://schemas.openxmlformats.org/officeDocument/2006/relationships/worksheet" Target="/xl/worksheets/sheet5.xml" Id="Rb28be301d97c4a2c" /><Relationship Type="http://schemas.openxmlformats.org/officeDocument/2006/relationships/worksheet" Target="/xl/worksheets/sheet6.xml" Id="R9731da4516c1480c" /><Relationship Type="http://schemas.openxmlformats.org/officeDocument/2006/relationships/worksheet" Target="/xl/worksheets/sheet7.xml" Id="R0ff03a5eb3b74a07" /><Relationship Type="http://schemas.openxmlformats.org/officeDocument/2006/relationships/worksheet" Target="/xl/worksheets/sheet8.xml" Id="R627e7d0b2261488e" /><Relationship Type="http://schemas.openxmlformats.org/officeDocument/2006/relationships/worksheet" Target="/xl/worksheets/sheet9.xml" Id="Re9182ae7b7734c0b" /><Relationship Type="http://schemas.openxmlformats.org/officeDocument/2006/relationships/worksheet" Target="/xl/worksheets/sheet10.xml" Id="R04a965ee4ba843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2026-10-23</x:v>
      </x:c>
      <x:c r="C4" s="10" t="n">
        <x:v>6753.34</x:v>
      </x:c>
      <x:c r="D4" s="10" t="n">
        <x:v>6301.81</x:v>
      </x:c>
      <x:c r="E4" s="12" t="n">
        <x:v>451.5</x:v>
      </x:c>
      <x:c r="F4" s="9" t="n">
        <x:v>12</x:v>
      </x:c>
      <x:c r="G4" s="10" t="n">
        <x:v>2570.8</x:v>
      </x:c>
      <x:c r="H4" s="10" t="n">
        <x:v>214.2</x:v>
      </x:c>
      <x:c r="I4" s="10" t="n">
        <x:v>180</x:v>
      </x:c>
    </x:row>
    <x:row r="5">
      <x:c r="A5" s="9" t="str">
        <x:v>中证500</x:v>
      </x:c>
      <x:c r="B5" s="9" t="str">
        <x:v>2026-10-23</x:v>
      </x:c>
      <x:c r="C5" s="10" t="n">
        <x:v>6835.39</x:v>
      </x:c>
      <x:c r="D5" s="10" t="n">
        <x:v>6440.29</x:v>
      </x:c>
      <x:c r="E5" s="12" t="n">
        <x:v>395.1</x:v>
      </x:c>
      <x:c r="F5" s="9" t="n">
        <x:v>12</x:v>
      </x:c>
      <x:c r="G5" s="10" t="n">
        <x:v>2384.6</x:v>
      </x:c>
      <x:c r="H5" s="10" t="n">
        <x:v>198.7</x:v>
      </x:c>
      <x:c r="I5" s="10" t="n">
        <x:v>160</x:v>
      </x:c>
    </x:row>
    <x:row r="6">
      <x:c r="A6" s="9" t="str">
        <x:v>上证指数</x:v>
      </x:c>
      <x:c r="B6" s="9" t="str">
        <x:v>2026-10-23</x:v>
      </x:c>
      <x:c r="C6" s="10" t="n">
        <x:v>3691.4</x:v>
      </x:c>
      <x:c r="D6" s="10" t="n">
        <x:v>3574.27</x:v>
      </x:c>
      <x:c r="E6" s="12" t="n">
        <x:v>117.1</x:v>
      </x:c>
      <x:c r="F6" s="9" t="n">
        <x:v>12</x:v>
      </x:c>
      <x:c r="G6" s="10" t="n">
        <x:v>737</x:v>
      </x:c>
      <x:c r="H6" s="10" t="n">
        <x:v>61.4</x:v>
      </x:c>
      <x:c r="I6" s="10" t="n">
        <x:v>50</x:v>
      </x:c>
    </x:row>
    <x:row r="7">
      <x:c r="A7" s="9" t="str">
        <x:v>IM主力</x:v>
      </x:c>
      <x:c r="B7" s="9" t="str">
        <x:v>2026-10-23</x:v>
      </x:c>
      <x:c r="C7" s="10" t="n">
        <x:v>6677</x:v>
      </x:c>
      <x:c r="D7" s="10" t="n">
        <x:v>6212.6</x:v>
      </x:c>
      <x:c r="E7" s="12" t="n">
        <x:v>464.4</x:v>
      </x:c>
      <x:c r="F7" s="9" t="n">
        <x:v>12</x:v>
      </x:c>
      <x:c r="G7" s="10" t="n">
        <x:v>2732</x:v>
      </x:c>
      <x:c r="H7" s="10" t="n">
        <x:v>227.7</x:v>
      </x:c>
      <x:c r="I7" s="10" t="n">
        <x:v>190</x:v>
      </x:c>
    </x:row>
    <x:row r="8">
      <x:c r="A8" s="9" t="str">
        <x:v>IC主力</x:v>
      </x:c>
      <x:c r="B8" s="9" t="str">
        <x:v>2026-10-23</x:v>
      </x:c>
      <x:c r="C8" s="10" t="n">
        <x:v>6766.6</x:v>
      </x:c>
      <x:c r="D8" s="10" t="n">
        <x:v>6340</x:v>
      </x:c>
      <x:c r="E8" s="12" t="n">
        <x:v>426.6</x:v>
      </x:c>
      <x:c r="F8" s="9" t="n">
        <x:v>12</x:v>
      </x:c>
      <x:c r="G8" s="10" t="n">
        <x:v>2630.6</x:v>
      </x:c>
      <x:c r="H8" s="10" t="n">
        <x:v>219.2</x:v>
      </x:c>
      <x:c r="I8" s="10" t="n">
        <x:v>150</x:v>
      </x:c>
    </x:row>
    <x:row r="9">
      <x:c r="A9" s="9" t="str">
        <x:v>IF主力</x:v>
      </x:c>
      <x:c r="B9" s="9" t="str">
        <x:v>2026-10-23</x:v>
      </x:c>
      <x:c r="C9" s="10" t="n">
        <x:v>4063</x:v>
      </x:c>
      <x:c r="D9" s="10" t="n">
        <x:v>3897.6</x:v>
      </x:c>
      <x:c r="E9" s="12" t="n">
        <x:v>165.4</x:v>
      </x:c>
      <x:c r="F9" s="9" t="n">
        <x:v>12</x:v>
      </x:c>
      <x:c r="G9" s="10" t="n">
        <x:v>1070.6</x:v>
      </x:c>
      <x:c r="H9" s="10" t="n">
        <x:v>89.2</x:v>
      </x:c>
      <x:c r="I9" s="10" t="n">
        <x:v>90</x:v>
      </x:c>
    </x:row>
    <x:row r="10">
      <x:c r="A10" s="9" t="str">
        <x:v>IH主力</x:v>
      </x:c>
      <x:c r="B10" s="9" t="str">
        <x:v>2026-10-23</x:v>
      </x:c>
      <x:c r="C10" s="10" t="n">
        <x:v>2721.2</x:v>
      </x:c>
      <x:c r="D10" s="10" t="n">
        <x:v>2638</x:v>
      </x:c>
      <x:c r="E10" s="12" t="n">
        <x:v>83.2</x:v>
      </x:c>
      <x:c r="F10" s="9" t="n">
        <x:v>12</x:v>
      </x:c>
      <x:c r="G10" s="10" t="n">
        <x:v>585.4</x:v>
      </x:c>
      <x:c r="H10" s="10" t="n">
        <x:v>48.8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1538.6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512.9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10月19日-10月23日</x:v>
      </x:c>
      <x:c r="C15" s="23" t="n">
        <x:v>6735.53</x:v>
      </x:c>
      <x:c r="D15" s="23" t="n">
        <x:v>6941.51</x:v>
      </x:c>
      <x:c r="E15" s="23" t="n">
        <x:v>6440.29</x:v>
      </x:c>
      <x:c r="F15" s="23" t="n">
        <x:v>6814.44</x:v>
      </x:c>
      <x:c r="G15" s="23" t="n">
        <x:f>ROUND(F15-F14,1)</x:f>
        <x:v>41.7</x:v>
      </x:c>
      <x:c r="H15" s="24" t="n">
        <x:f>IFERROR(F15/F14-1,"")</x:f>
        <x:v>0.006155549813591232</x:v>
      </x:c>
      <x:c r="I15" s="26" t="n">
        <x:f>ROUND(D15-E15,1)</x:f>
        <x:v>501.2</x:v>
      </x:c>
      <x:c r="J15" s="22" t="str">
        <x:v>中证500</x:v>
      </x:c>
      <x:c r="K15" s="22" t="n">
        <x:v>5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1431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477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10月19日-10月23日</x:v>
      </x:c>
      <x:c r="C23" s="23" t="n">
        <x:v>3694.12</x:v>
      </x:c>
      <x:c r="D23" s="23" t="n">
        <x:v>3743.8</x:v>
      </x:c>
      <x:c r="E23" s="23" t="n">
        <x:v>3574.27</x:v>
      </x:c>
      <x:c r="F23" s="23" t="n">
        <x:v>3690.48</x:v>
      </x:c>
      <x:c r="G23" s="23" t="n">
        <x:f>ROUND(F23-F22,1)</x:f>
        <x:v>-25.8</x:v>
      </x:c>
      <x:c r="H23" s="24" t="n">
        <x:f>IFERROR(F23/F22-1,"")</x:f>
        <x:v>-0.0069424262972650475</x:v>
      </x:c>
      <x:c r="I23" s="26" t="n">
        <x:f>ROUND(D23-E23,1)</x:f>
        <x:v>169.5</x:v>
      </x:c>
      <x:c r="J23" s="22" t="str">
        <x:v>上证指数</x:v>
      </x:c>
      <x:c r="K23" s="22" t="n">
        <x:v>5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432.9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144.3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10月19日-10月23日</x:v>
      </x:c>
      <x:c r="C31" s="23" t="n">
        <x:v>6577.2</x:v>
      </x:c>
      <x:c r="D31" s="23" t="n">
        <x:v>6799.6</x:v>
      </x:c>
      <x:c r="E31" s="23" t="n">
        <x:v>6212.6</x:v>
      </x:c>
      <x:c r="F31" s="23" t="n">
        <x:v>6660</x:v>
      </x:c>
      <x:c r="G31" s="23" t="n">
        <x:f>ROUND(F31-F30,1)</x:f>
        <x:v>76.4</x:v>
      </x:c>
      <x:c r="H31" s="24" t="n">
        <x:f>IFERROR(F31/F30-1,"")</x:f>
        <x:v>0.011604593231666405</x:v>
      </x:c>
      <x:c r="I31" s="26" t="n">
        <x:f>ROUND(D31-E31,1)</x:f>
        <x:v>587</x:v>
      </x:c>
      <x:c r="J31" s="22" t="str">
        <x:v>IM2612</x:v>
      </x:c>
      <x:c r="K31" s="22" t="n">
        <x:v>5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1531.2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510.4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22" t="n">
        <x:v>3</x:v>
      </x:c>
      <x:c r="B39" s="22" t="str">
        <x:v>10月19日-10月23日</x:v>
      </x:c>
      <x:c r="C39" s="23" t="n">
        <x:v>6670.2</x:v>
      </x:c>
      <x:c r="D39" s="23" t="n">
        <x:v>6864</x:v>
      </x:c>
      <x:c r="E39" s="23" t="n">
        <x:v>6340</x:v>
      </x:c>
      <x:c r="F39" s="23" t="n">
        <x:v>6742</x:v>
      </x:c>
      <x:c r="G39" s="23" t="n">
        <x:f>ROUND(F39-F38,1)</x:f>
        <x:v>74.2</x:v>
      </x:c>
      <x:c r="H39" s="24" t="n">
        <x:f>IFERROR(F39/F38-1,"")</x:f>
        <x:v>0.011128108221602373</x:v>
      </x:c>
      <x:c r="I39" s="26" t="n">
        <x:f>ROUND(D39-E39,1)</x:f>
        <x:v>524</x:v>
      </x:c>
      <x:c r="J39" s="22" t="str">
        <x:v>IC2612</x:v>
      </x:c>
      <x:c r="K39" s="22" t="n">
        <x:v>5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1479.4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493.1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10月8日-10月9日</x:v>
      </x:c>
      <x:c r="C45" s="23" t="n">
        <x:v>4300.8</x:v>
      </x:c>
      <x:c r="D45" s="23" t="n">
        <x:v>4331.6</x:v>
      </x:c>
      <x:c r="E45" s="23" t="n">
        <x:v>4180.4</x:v>
      </x:c>
      <x:c r="F45" s="23" t="n">
        <x:v>4244.8</x:v>
      </x:c>
      <x:c r="G45" s="23"/>
      <x:c r="H45" s="24"/>
      <x:c r="I45" s="26" t="n">
        <x:f>ROUND(D45-E45,1)</x:f>
        <x:v>151.2</x:v>
      </x:c>
      <x:c r="J45" s="22" t="str">
        <x:v>IF2612</x:v>
      </x:c>
      <x:c r="K45" s="22" t="n">
        <x:v>2</x:v>
      </x:c>
    </x:row>
    <x:row r="46">
      <x:c r="A46" s="22" t="n">
        <x:v>2</x:v>
      </x:c>
      <x:c r="B46" s="22" t="str">
        <x:v>10月12日-10月16日</x:v>
      </x:c>
      <x:c r="C46" s="23" t="n">
        <x:v>4240.4</x:v>
      </x:c>
      <x:c r="D46" s="23" t="n">
        <x:v>4273.6</x:v>
      </x:c>
      <x:c r="E46" s="23" t="n">
        <x:v>4045.2</x:v>
      </x:c>
      <x:c r="F46" s="23" t="n">
        <x:v>4088.8</x:v>
      </x:c>
      <x:c r="G46" s="28" t="n">
        <x:f>ROUND(F46-F45,1)</x:f>
        <x:v>-156</x:v>
      </x:c>
      <x:c r="H46" s="24" t="n">
        <x:f>IFERROR(F46/F45-1,"")</x:f>
        <x:v>-0.03675084809649454</x:v>
      </x:c>
      <x:c r="I46" s="26" t="n">
        <x:f>ROUND(D46-E46,1)</x:f>
        <x:v>228.4</x:v>
      </x:c>
      <x:c r="J46" s="22" t="str">
        <x:v>IF2612</x:v>
      </x:c>
      <x:c r="K46" s="22" t="n">
        <x:v>5</x:v>
      </x:c>
    </x:row>
    <x:row r="47">
      <x:c r="A47" s="22" t="n">
        <x:v>3</x:v>
      </x:c>
      <x:c r="B47" s="22" t="str">
        <x:v>10月19日-10月23日</x:v>
      </x:c>
      <x:c r="C47" s="23" t="n">
        <x:v>4086.4</x:v>
      </x:c>
      <x:c r="D47" s="23" t="n">
        <x:v>4140.2</x:v>
      </x:c>
      <x:c r="E47" s="23" t="n">
        <x:v>3897.6</x:v>
      </x:c>
      <x:c r="F47" s="23" t="n">
        <x:v>4055</x:v>
      </x:c>
      <x:c r="G47" s="23" t="n">
        <x:f>ROUND(F47-F46,1)</x:f>
        <x:v>-33.8</x:v>
      </x:c>
      <x:c r="H47" s="24" t="n">
        <x:f>IFERROR(F47/F46-1,"")</x:f>
        <x:v>-0.00826648405400121</x:v>
      </x:c>
      <x:c r="I47" s="26" t="n">
        <x:f>ROUND(D47-E47,1)</x:f>
        <x:v>242.6</x:v>
      </x:c>
      <x:c r="J47" s="22" t="str">
        <x:v>IF2612</x:v>
      </x:c>
      <x:c r="K47" s="22" t="n">
        <x:v>5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622.2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207.4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2764</x:v>
      </x:c>
      <x:c r="D53" s="23" t="n">
        <x:v>2798.4</x:v>
      </x:c>
      <x:c r="E53" s="23" t="n">
        <x:v>2735</x:v>
      </x:c>
      <x:c r="F53" s="23" t="n">
        <x:v>2764</x:v>
      </x:c>
      <x:c r="G53" s="23"/>
      <x:c r="H53" s="24"/>
      <x:c r="I53" s="26" t="n">
        <x:f>ROUND(D53-E53,1)</x:f>
        <x:v>63.4</x:v>
      </x:c>
      <x:c r="J53" s="22" t="str">
        <x:v>IH2612</x:v>
      </x:c>
      <x:c r="K53" s="22" t="n">
        <x:v>2</x:v>
      </x:c>
    </x:row>
    <x:row r="54">
      <x:c r="A54" s="22" t="n">
        <x:v>2</x:v>
      </x:c>
      <x:c r="B54" s="22" t="str">
        <x:v>10月12日-10月16日</x:v>
      </x:c>
      <x:c r="C54" s="23" t="n">
        <x:v>2762</x:v>
      </x:c>
      <x:c r="D54" s="23" t="n">
        <x:v>2794</x:v>
      </x:c>
      <x:c r="E54" s="23" t="n">
        <x:v>2677.6</x:v>
      </x:c>
      <x:c r="F54" s="23" t="n">
        <x:v>2704.6</x:v>
      </x:c>
      <x:c r="G54" s="23" t="n">
        <x:f>ROUND(F54-F53,1)</x:f>
        <x:v>-59.4</x:v>
      </x:c>
      <x:c r="H54" s="24" t="n">
        <x:f>IFERROR(F54/F53-1,"")</x:f>
        <x:v>-0.0214905933429812</x:v>
      </x:c>
      <x:c r="I54" s="26" t="n">
        <x:f>ROUND(D54-E54,1)</x:f>
        <x:v>116.4</x:v>
      </x:c>
      <x:c r="J54" s="22" t="str">
        <x:v>IH2612</x:v>
      </x:c>
      <x:c r="K54" s="22" t="n">
        <x:v>5</x:v>
      </x:c>
    </x:row>
    <x:row r="55">
      <x:c r="A55" s="22" t="n">
        <x:v>3</x:v>
      </x:c>
      <x:c r="B55" s="22" t="str">
        <x:v>10月19日-10月23日</x:v>
      </x:c>
      <x:c r="C55" s="23" t="n">
        <x:v>2690</x:v>
      </x:c>
      <x:c r="D55" s="23" t="n">
        <x:v>2754.6</x:v>
      </x:c>
      <x:c r="E55" s="23" t="n">
        <x:v>2638</x:v>
      </x:c>
      <x:c r="F55" s="23" t="n">
        <x:v>2719</x:v>
      </x:c>
      <x:c r="G55" s="23" t="n">
        <x:f>ROUND(F55-F54,1)</x:f>
        <x:v>14.4</x:v>
      </x:c>
      <x:c r="H55" s="24" t="n">
        <x:f>IFERROR(F55/F54-1,"")</x:f>
        <x:v>0.0053242623678178</x:v>
      </x:c>
      <x:c r="I55" s="26" t="n">
        <x:f>ROUND(D55-E55,1)</x:f>
        <x:v>116.6</x:v>
      </x:c>
      <x:c r="J55" s="22" t="str">
        <x:v>IH2612</x:v>
      </x:c>
      <x:c r="K55" s="22" t="n">
        <x:v>5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296.4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98.8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10月8日-10月9日</x:v>
      </x:c>
      <x:c r="C61" s="23" t="n">
        <x:v>120020</x:v>
      </x:c>
      <x:c r="D61" s="23" t="n">
        <x:v>126800</x:v>
      </x:c>
      <x:c r="E61" s="23" t="n">
        <x:v>119000</x:v>
      </x:c>
      <x:c r="F61" s="23" t="n">
        <x:v>121000</x:v>
      </x:c>
      <x:c r="G61" s="23"/>
      <x:c r="H61" s="24"/>
      <x:c r="I61" s="26" t="n">
        <x:f>ROUND(D61-E61,1)</x:f>
        <x:v>7800</x:v>
      </x:c>
      <x:c r="J61" s="22" t="str">
        <x:v>LC2610</x:v>
      </x:c>
      <x:c r="K61" s="22" t="n">
        <x:v>2</x:v>
      </x:c>
    </x:row>
    <x:row r="62">
      <x:c r="A62" s="22" t="n">
        <x:v>2</x:v>
      </x:c>
      <x:c r="B62" s="22" t="str">
        <x:v>10月12日-10月16日</x:v>
      </x:c>
      <x:c r="C62" s="23" t="n">
        <x:v>125960</x:v>
      </x:c>
      <x:c r="D62" s="23" t="n">
        <x:v>125960</x:v>
      </x:c>
      <x:c r="E62" s="23" t="n">
        <x:v>99500</x:v>
      </x:c>
      <x:c r="F62" s="23" t="n">
        <x:v>99500</x:v>
      </x:c>
      <x:c r="G62" s="28" t="n">
        <x:f>ROUND(F62-F61,1)</x:f>
        <x:v>-21500</x:v>
      </x:c>
      <x:c r="H62" s="24" t="n">
        <x:f>IFERROR(F62/F61-1,"")</x:f>
        <x:v>-0.1776859504132231</x:v>
      </x:c>
      <x:c r="I62" s="26" t="n">
        <x:f>ROUND(D62-E62,1)</x:f>
        <x:v>26460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10月19日-10月21日</x:v>
      </x:c>
      <x:c r="C63" s="23" t="n">
        <x:v>99600</x:v>
      </x:c>
      <x:c r="D63" s="23" t="n">
        <x:v>103420</x:v>
      </x:c>
      <x:c r="E63" s="23" t="n">
        <x:v>98000</x:v>
      </x:c>
      <x:c r="F63" s="23" t="n">
        <x:v>98540</x:v>
      </x:c>
      <x:c r="G63" s="28" t="n">
        <x:f>ROUND(F63-F62,1)</x:f>
        <x:v>-960</x:v>
      </x:c>
      <x:c r="H63" s="24" t="n">
        <x:f>IFERROR(F63/F62-1,"")</x:f>
        <x:v>-0.00964824120603014</x:v>
      </x:c>
      <x:c r="I63" s="23" t="n">
        <x:f>ROUND(D63-E63,1)</x:f>
        <x:v>5420</x:v>
      </x:c>
      <x:c r="J63" s="22" t="str">
        <x:v>LC2610</x:v>
      </x:c>
      <x:c r="K63" s="22" t="n">
        <x:v>3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39680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13226.7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2570.7999999999997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214.2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2384.6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198.7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737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61.4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2732.0000000000005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227.7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2630.6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219.2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1070.6000000000001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89.2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8">
      <x:c r="A18" s="31" t="str">
        <x:v>合计</x:v>
      </x:c>
      <x:c r="B18" s="30" t="n">
        <x:v>12</x:v>
      </x:c>
      <x:c r="C18" s="30"/>
      <x:c r="D18" s="30"/>
      <x:c r="E18" s="30"/>
      <x:c r="F18" s="30"/>
      <x:c r="G18" s="30"/>
      <x:c r="H18" s="30"/>
      <x:c r="I18" s="30"/>
      <x:c r="J18" s="32" t="n">
        <x:f>SUM(J4:J15)</x:f>
        <x:v>585.4000000000001</x:v>
      </x:c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0"/>
      <x:c r="J19" s="34" t="n">
        <x:f>ROUND(IFERROR(AVERAGE(J4:J15),0),1)</x:f>
        <x:v>48.8</x:v>
      </x:c>
      <x:c r="K19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