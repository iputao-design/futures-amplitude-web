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0c0904fabb48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1db95b85da34bdd"/>
    <x:sheet xmlns:r="http://schemas.openxmlformats.org/officeDocument/2006/relationships" name="周振幅统计" sheetId="2" r:id="R1004d6b96a614b43"/>
    <x:sheet xmlns:r="http://schemas.openxmlformats.org/officeDocument/2006/relationships" name="中证1000" sheetId="3" r:id="R83cc833a508b4acf"/>
    <x:sheet xmlns:r="http://schemas.openxmlformats.org/officeDocument/2006/relationships" name="中证500" sheetId="4" r:id="Rae6d53544b8d40b4"/>
    <x:sheet xmlns:r="http://schemas.openxmlformats.org/officeDocument/2006/relationships" name="上证指数" sheetId="5" r:id="Rd4cbc922460146cc"/>
    <x:sheet xmlns:r="http://schemas.openxmlformats.org/officeDocument/2006/relationships" name="IM主力" sheetId="6" r:id="Re2a160e2b23248a9"/>
    <x:sheet xmlns:r="http://schemas.openxmlformats.org/officeDocument/2006/relationships" name="IC主力" sheetId="7" r:id="R70fbd403646c48ae"/>
    <x:sheet xmlns:r="http://schemas.openxmlformats.org/officeDocument/2006/relationships" name="IF主力" sheetId="8" r:id="R7ebbf7f55cbe4f40"/>
    <x:sheet xmlns:r="http://schemas.openxmlformats.org/officeDocument/2006/relationships" name="IH主力" sheetId="9" r:id="R72e25a6e90364fcc"/>
    <x:sheet xmlns:r="http://schemas.openxmlformats.org/officeDocument/2006/relationships" name="碳酸锂2610" sheetId="10" r:id="R0085b5f451ff4e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f4156fbfde4f99" /><Relationship Type="http://schemas.openxmlformats.org/officeDocument/2006/relationships/theme" Target="/xl/theme/theme1.xml" Id="Re694948a956a4b33" /><Relationship Type="http://schemas.openxmlformats.org/officeDocument/2006/relationships/sharedStrings" Target="/xl/sharedStrings.xml" Id="R707c141916a2413b" /><Relationship Type="http://schemas.openxmlformats.org/officeDocument/2006/relationships/worksheet" Target="/xl/worksheets/sheet1.xml" Id="Rc1db95b85da34bdd" /><Relationship Type="http://schemas.openxmlformats.org/officeDocument/2006/relationships/worksheet" Target="/xl/worksheets/sheet2.xml" Id="R1004d6b96a614b43" /><Relationship Type="http://schemas.openxmlformats.org/officeDocument/2006/relationships/worksheet" Target="/xl/worksheets/sheet3.xml" Id="R83cc833a508b4acf" /><Relationship Type="http://schemas.openxmlformats.org/officeDocument/2006/relationships/worksheet" Target="/xl/worksheets/sheet4.xml" Id="Rae6d53544b8d40b4" /><Relationship Type="http://schemas.openxmlformats.org/officeDocument/2006/relationships/worksheet" Target="/xl/worksheets/sheet5.xml" Id="Rd4cbc922460146cc" /><Relationship Type="http://schemas.openxmlformats.org/officeDocument/2006/relationships/worksheet" Target="/xl/worksheets/sheet6.xml" Id="Re2a160e2b23248a9" /><Relationship Type="http://schemas.openxmlformats.org/officeDocument/2006/relationships/worksheet" Target="/xl/worksheets/sheet7.xml" Id="R70fbd403646c48ae" /><Relationship Type="http://schemas.openxmlformats.org/officeDocument/2006/relationships/worksheet" Target="/xl/worksheets/sheet8.xml" Id="R7ebbf7f55cbe4f40" /><Relationship Type="http://schemas.openxmlformats.org/officeDocument/2006/relationships/worksheet" Target="/xl/worksheets/sheet9.xml" Id="R72e25a6e90364fcc" /><Relationship Type="http://schemas.openxmlformats.org/officeDocument/2006/relationships/worksheet" Target="/xl/worksheets/sheet10.xml" Id="R0085b5f451ff4e4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2026-09-29</x:v>
      </x:c>
      <x:c r="C4" s="10" t="n">
        <x:v>7357.03</x:v>
      </x:c>
      <x:c r="D4" s="10" t="n">
        <x:v>7256.25</x:v>
      </x:c>
      <x:c r="E4" s="12" t="n">
        <x:v>100.8</x:v>
      </x:c>
      <x:c r="F4" s="9" t="n">
        <x:v>20</x:v>
      </x:c>
      <x:c r="G4" s="10" t="n">
        <x:v>2673.7</x:v>
      </x:c>
      <x:c r="H4" s="10" t="n">
        <x:v>133.7</x:v>
      </x:c>
      <x:c r="I4" s="10" t="n">
        <x:v>180</x:v>
      </x:c>
    </x:row>
    <x:row r="5">
      <x:c r="A5" s="9" t="str">
        <x:v>中证500</x:v>
      </x:c>
      <x:c r="B5" s="9" t="str">
        <x:v>2026-09-29</x:v>
      </x:c>
      <x:c r="C5" s="10" t="n">
        <x:v>7473.7</x:v>
      </x:c>
      <x:c r="D5" s="10" t="n">
        <x:v>7386.14</x:v>
      </x:c>
      <x:c r="E5" s="12" t="n">
        <x:v>87.6</x:v>
      </x:c>
      <x:c r="F5" s="9" t="n">
        <x:v>20</x:v>
      </x:c>
      <x:c r="G5" s="10" t="n">
        <x:v>2433.8</x:v>
      </x:c>
      <x:c r="H5" s="10" t="n">
        <x:v>121.7</x:v>
      </x:c>
      <x:c r="I5" s="10" t="n">
        <x:v>160</x:v>
      </x:c>
    </x:row>
    <x:row r="6">
      <x:c r="A6" s="9" t="str">
        <x:v>上证指数</x:v>
      </x:c>
      <x:c r="B6" s="9" t="str">
        <x:v>2026-09-29</x:v>
      </x:c>
      <x:c r="C6" s="10" t="n">
        <x:v>3843.84</x:v>
      </x:c>
      <x:c r="D6" s="10" t="n">
        <x:v>3810.81</x:v>
      </x:c>
      <x:c r="E6" s="12" t="n">
        <x:v>33</x:v>
      </x:c>
      <x:c r="F6" s="9" t="n">
        <x:v>20</x:v>
      </x:c>
      <x:c r="G6" s="10" t="n">
        <x:v>715.5</x:v>
      </x:c>
      <x:c r="H6" s="10" t="n">
        <x:v>35.8</x:v>
      </x:c>
      <x:c r="I6" s="10" t="n">
        <x:v>50</x:v>
      </x:c>
    </x:row>
    <x:row r="7">
      <x:c r="A7" s="9" t="str">
        <x:v>IM主力</x:v>
      </x:c>
      <x:c r="B7" s="9" t="str">
        <x:v>2026-09-28</x:v>
      </x:c>
      <x:c r="C7" s="10" t="n">
        <x:v>7393</x:v>
      </x:c>
      <x:c r="D7" s="10" t="n">
        <x:v>7076.2</x:v>
      </x:c>
      <x:c r="E7" s="12" t="n">
        <x:v>316.8</x:v>
      </x:c>
      <x:c r="F7" s="9" t="n">
        <x:v>19</x:v>
      </x:c>
      <x:c r="G7" s="10" t="n">
        <x:v>2867.2</x:v>
      </x:c>
      <x:c r="H7" s="10" t="n">
        <x:v>150.9</x:v>
      </x:c>
      <x:c r="I7" s="10" t="n">
        <x:v>190</x:v>
      </x:c>
    </x:row>
    <x:row r="8">
      <x:c r="A8" s="9" t="str">
        <x:v>IC主力</x:v>
      </x:c>
      <x:c r="B8" s="9" t="str">
        <x:v>2026-09-28</x:v>
      </x:c>
      <x:c r="C8" s="10" t="n">
        <x:v>7458.4</x:v>
      </x:c>
      <x:c r="D8" s="10" t="n">
        <x:v>7186</x:v>
      </x:c>
      <x:c r="E8" s="12" t="n">
        <x:v>272.4</x:v>
      </x:c>
      <x:c r="F8" s="9" t="n">
        <x:v>19</x:v>
      </x:c>
      <x:c r="G8" s="10" t="n">
        <x:v>2762.2</x:v>
      </x:c>
      <x:c r="H8" s="10" t="n">
        <x:v>145.4</x:v>
      </x:c>
      <x:c r="I8" s="10" t="n">
        <x:v>150</x:v>
      </x:c>
    </x:row>
    <x:row r="9">
      <x:c r="A9" s="9" t="str">
        <x:v>IF主力</x:v>
      </x:c>
      <x:c r="B9" s="9" t="str">
        <x:v>2026-09-28</x:v>
      </x:c>
      <x:c r="C9" s="10" t="n">
        <x:v>4366.8</x:v>
      </x:c>
      <x:c r="D9" s="10" t="n">
        <x:v>4246</x:v>
      </x:c>
      <x:c r="E9" s="12" t="n">
        <x:v>120.8</x:v>
      </x:c>
      <x:c r="F9" s="9" t="n">
        <x:v>19</x:v>
      </x:c>
      <x:c r="G9" s="10" t="n">
        <x:v>1049.8</x:v>
      </x:c>
      <x:c r="H9" s="10" t="n">
        <x:v>55.3</x:v>
      </x:c>
      <x:c r="I9" s="10" t="n">
        <x:v>90</x:v>
      </x:c>
    </x:row>
    <x:row r="10">
      <x:c r="A10" s="9" t="str">
        <x:v>IH主力</x:v>
      </x:c>
      <x:c r="B10" s="9" t="str">
        <x:v>2026-09-28</x:v>
      </x:c>
      <x:c r="C10" s="10" t="n">
        <x:v>2803.8</x:v>
      </x:c>
      <x:c r="D10" s="10" t="n">
        <x:v>2746</x:v>
      </x:c>
      <x:c r="E10" s="12" t="n">
        <x:v>57.8</x:v>
      </x:c>
      <x:c r="F10" s="9" t="n">
        <x:v>19</x:v>
      </x:c>
      <x:c r="G10" s="10" t="n">
        <x:v>611.8</x:v>
      </x:c>
      <x:c r="H10" s="10" t="n">
        <x:v>32.2</x:v>
      </x:c>
      <x:c r="I10" s="10" t="n">
        <x:v>60</x:v>
      </x:c>
    </x:row>
    <x:row r="11">
      <x:c r="A11" s="9" t="str">
        <x:v>碳酸锂2610</x:v>
      </x:c>
      <x:c r="B11" s="9" t="str">
        <x:v>2026-09-29</x:v>
      </x:c>
      <x:c r="C11" s="10" t="n">
        <x:v>122480</x:v>
      </x:c>
      <x:c r="D11" s="10" t="n">
        <x:v>118100</x:v>
      </x:c>
      <x:c r="E11" s="12" t="n">
        <x:v>4380</x:v>
      </x:c>
      <x:c r="F11" s="9" t="n">
        <x:v>20</x:v>
      </x:c>
      <x:c r="G11" s="10" t="n">
        <x:v>117840</x:v>
      </x:c>
      <x:c r="H11" s="10" t="n">
        <x:v>5892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2026-09-29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9月14日-9月18日</x:v>
      </x:c>
      <x:c r="C7" s="23" t="n">
        <x:v>7363.42</x:v>
      </x:c>
      <x:c r="D7" s="23" t="n">
        <x:v>7706.9</x:v>
      </x:c>
      <x:c r="E7" s="23" t="n">
        <x:v>7329.6</x:v>
      </x:c>
      <x:c r="F7" s="23" t="n">
        <x:v>7687.59</x:v>
      </x:c>
      <x:c r="G7" s="28" t="n">
        <x:f>ROUND(F7-F6,1)</x:f>
        <x:v>260.4</x:v>
      </x:c>
      <x:c r="H7" s="24" t="n">
        <x:f>IFERROR(F7/F6-1,"")</x:f>
        <x:v>0.03505339803210883</x:v>
      </x:c>
      <x:c r="I7" s="26" t="n">
        <x:f>ROUND(D7-E7,1)</x:f>
        <x:v>377.3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9月21日-9月24日</x:v>
      </x:c>
      <x:c r="C8" s="23" t="n">
        <x:v>7723.68</x:v>
      </x:c>
      <x:c r="D8" s="23" t="n">
        <x:v>7852.23</x:v>
      </x:c>
      <x:c r="E8" s="23" t="n">
        <x:v>7569.51</x:v>
      </x:c>
      <x:c r="F8" s="23" t="n">
        <x:v>7570.14</x:v>
      </x:c>
      <x:c r="G8" s="23" t="n">
        <x:f>ROUND(F8-F7,1)</x:f>
        <x:v>-117.4</x:v>
      </x:c>
      <x:c r="H8" s="24" t="n">
        <x:f>IFERROR(F8/F7-1,"")</x:f>
        <x:v>-0.015277869917620479</x:v>
      </x:c>
      <x:c r="I8" s="26" t="n">
        <x:f>ROUND(D8-E8,1)</x:f>
        <x:v>282.7</x:v>
      </x:c>
      <x:c r="J8" s="22" t="str">
        <x:v>中证1000</x:v>
      </x:c>
      <x:c r="K8" s="22" t="n">
        <x:v>4</x:v>
      </x:c>
    </x:row>
    <x:row r="9">
      <x:c r="A9" s="22" t="n">
        <x:v>5</x:v>
      </x:c>
      <x:c r="B9" s="22" t="str">
        <x:v>9月28日-9月29日</x:v>
      </x:c>
      <x:c r="C9" s="23" t="n">
        <x:v>7551.22</x:v>
      </x:c>
      <x:c r="D9" s="23" t="n">
        <x:v>7551.22</x:v>
      </x:c>
      <x:c r="E9" s="23" t="n">
        <x:v>7246.61</x:v>
      </x:c>
      <x:c r="F9" s="23" t="n">
        <x:v>7325.35</x:v>
      </x:c>
      <x:c r="G9" s="28" t="n">
        <x:f>ROUND(F9-F8,1)</x:f>
        <x:v>-244.8</x:v>
      </x:c>
      <x:c r="H9" s="24" t="n">
        <x:f>IFERROR(F9/F8-1,"")</x:f>
        <x:v>-0.03233625798201878</x:v>
      </x:c>
      <x:c r="I9" s="26" t="n">
        <x:f>ROUND(D9-E9,1)</x:f>
        <x:v>304.6</x:v>
      </x:c>
      <x:c r="J9" s="22" t="str">
        <x:v>中证1000</x:v>
      </x:c>
      <x:c r="K9" s="22" t="n">
        <x:v>2</x:v>
      </x:c>
    </x:row>
    <x:row r="10">
      <x:c r="A10" s="31" t="str">
        <x:v>合计</x:v>
      </x:c>
      <x:c r="B10" s="30" t="n">
        <x:v>5</x:v>
      </x:c>
      <x:c r="C10" s="30"/>
      <x:c r="D10" s="30"/>
      <x:c r="E10" s="30"/>
      <x:c r="F10" s="30"/>
      <x:c r="G10" s="30"/>
      <x:c r="H10" s="30"/>
      <x:c r="I10" s="32" t="n">
        <x:f>ROUND(SUM(I5:I9),1)</x:f>
        <x:v>1713.1</x:v>
      </x:c>
      <x:c r="J10" s="30"/>
      <x:c r="K10" s="30"/>
    </x:row>
    <x:row r="11">
      <x:c r="A11" s="31" t="str">
        <x:v>均值</x:v>
      </x:c>
      <x:c r="B11" s="30"/>
      <x:c r="C11" s="30"/>
      <x:c r="D11" s="30"/>
      <x:c r="E11" s="30"/>
      <x:c r="F11" s="30"/>
      <x:c r="G11" s="30"/>
      <x:c r="H11" s="30"/>
      <x:c r="I11" s="34" t="n">
        <x:f>ROUND(IFERROR(AVERAGE(I5:I9),0),1)</x:f>
        <x:v>342.6</x:v>
      </x:c>
      <x:c r="J11" s="30"/>
      <x:c r="K11" s="30"/>
    </x:row>
    <x:row r="13">
      <x:c r="A13" s="17" t="str">
        <x:v>中证500</x:v>
      </x:c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</x:row>
    <x:row r="14">
      <x:c r="A14" s="20" t="str">
        <x:v>序号</x:v>
      </x:c>
      <x:c r="B14" s="20" t="str">
        <x:v>周期</x:v>
      </x:c>
      <x:c r="C14" s="20" t="str">
        <x:v>开盘</x:v>
      </x:c>
      <x:c r="D14" s="20" t="str">
        <x:v>高点</x:v>
      </x:c>
      <x:c r="E14" s="20" t="str">
        <x:v>低点</x:v>
      </x:c>
      <x:c r="F14" s="20" t="str">
        <x:v>收盘</x:v>
      </x:c>
      <x:c r="G14" s="20" t="str">
        <x:v>涨跌点数</x:v>
      </x:c>
      <x:c r="H14" s="20" t="str">
        <x:v>涨幅</x:v>
      </x:c>
      <x:c r="I14" s="20" t="str">
        <x:v>振幅</x:v>
      </x:c>
      <x:c r="J14" s="20" t="str">
        <x:v>标的</x:v>
      </x:c>
      <x:c r="K14" s="20" t="str">
        <x:v>交易日</x:v>
      </x:c>
    </x:row>
    <x:row r="15">
      <x:c r="A15" s="22" t="n">
        <x:v>1</x:v>
      </x:c>
      <x:c r="B15" s="22" t="str">
        <x:v>9月1日-9月4日</x:v>
      </x:c>
      <x:c r="C15" s="23" t="n">
        <x:v>7944.29</x:v>
      </x:c>
      <x:c r="D15" s="23" t="n">
        <x:v>7955.57</x:v>
      </x:c>
      <x:c r="E15" s="23" t="n">
        <x:v>7610.58</x:v>
      </x:c>
      <x:c r="F15" s="23" t="n">
        <x:v>7652.69</x:v>
      </x:c>
      <x:c r="G15" s="23"/>
      <x:c r="H15" s="24"/>
      <x:c r="I15" s="26" t="n">
        <x:f>ROUND(D15-E15,1)</x:f>
        <x:v>345</x:v>
      </x:c>
      <x:c r="J15" s="22" t="str">
        <x:v>中证500</x:v>
      </x:c>
      <x:c r="K15" s="22" t="n">
        <x:v>4</x:v>
      </x:c>
    </x:row>
    <x:row r="16">
      <x:c r="A16" s="22" t="n">
        <x:v>2</x:v>
      </x:c>
      <x:c r="B16" s="22" t="str">
        <x:v>9月7日-9月11日</x:v>
      </x:c>
      <x:c r="C16" s="23" t="n">
        <x:v>7687.47</x:v>
      </x:c>
      <x:c r="D16" s="23" t="n">
        <x:v>7830.16</x:v>
      </x:c>
      <x:c r="E16" s="23" t="n">
        <x:v>7451.12</x:v>
      </x:c>
      <x:c r="F16" s="23" t="n">
        <x:v>7580.54</x:v>
      </x:c>
      <x:c r="G16" s="23" t="n">
        <x:f>ROUND(F16-F15,1)</x:f>
        <x:v>-72.1</x:v>
      </x:c>
      <x:c r="H16" s="24" t="n">
        <x:f>IFERROR(F16/F15-1,"")</x:f>
        <x:v>-0.009428057323633832</x:v>
      </x:c>
      <x:c r="I16" s="26" t="n">
        <x:f>ROUND(D16-E16,1)</x:f>
        <x:v>379</x:v>
      </x:c>
      <x:c r="J16" s="22" t="str">
        <x:v>中证500</x:v>
      </x:c>
      <x:c r="K16" s="22" t="n">
        <x:v>5</x:v>
      </x:c>
    </x:row>
    <x:row r="17">
      <x:c r="A17" s="22" t="n">
        <x:v>3</x:v>
      </x:c>
      <x:c r="B17" s="22" t="str">
        <x:v>9月14日-9月18日</x:v>
      </x:c>
      <x:c r="C17" s="23" t="n">
        <x:v>7511.04</x:v>
      </x:c>
      <x:c r="D17" s="23" t="n">
        <x:v>7819.98</x:v>
      </x:c>
      <x:c r="E17" s="23" t="n">
        <x:v>7487.46</x:v>
      </x:c>
      <x:c r="F17" s="23" t="n">
        <x:v>7799.61</x:v>
      </x:c>
      <x:c r="G17" s="28" t="n">
        <x:f>ROUND(F17-F16,1)</x:f>
        <x:v>219.1</x:v>
      </x:c>
      <x:c r="H17" s="24" t="n">
        <x:f>IFERROR(F17/F16-1,"")</x:f>
        <x:v>0.028898996641400165</x:v>
      </x:c>
      <x:c r="I17" s="26" t="n">
        <x:f>ROUND(D17-E17,1)</x:f>
        <x:v>332.5</x:v>
      </x:c>
      <x:c r="J17" s="22" t="str">
        <x:v>中证500</x:v>
      </x:c>
      <x:c r="K17" s="22" t="n">
        <x:v>5</x:v>
      </x:c>
    </x:row>
    <x:row r="18">
      <x:c r="A18" s="22" t="n">
        <x:v>4</x:v>
      </x:c>
      <x:c r="B18" s="22" t="str">
        <x:v>9月21日-9月24日</x:v>
      </x:c>
      <x:c r="C18" s="23" t="n">
        <x:v>7829.82</x:v>
      </x:c>
      <x:c r="D18" s="23" t="n">
        <x:v>7922.62</x:v>
      </x:c>
      <x:c r="E18" s="23" t="n">
        <x:v>7624.07</x:v>
      </x:c>
      <x:c r="F18" s="23" t="n">
        <x:v>7624.07</x:v>
      </x:c>
      <x:c r="G18" s="28" t="n">
        <x:f>ROUND(F18-F17,1)</x:f>
        <x:v>-175.5</x:v>
      </x:c>
      <x:c r="H18" s="24" t="n">
        <x:f>IFERROR(F18/F17-1,"")</x:f>
        <x:v>-0.02250625351780411</x:v>
      </x:c>
      <x:c r="I18" s="26" t="n">
        <x:f>ROUND(D18-E18,1)</x:f>
        <x:v>298.6</x:v>
      </x:c>
      <x:c r="J18" s="22" t="str">
        <x:v>中证500</x:v>
      </x:c>
      <x:c r="K18" s="22" t="n">
        <x:v>4</x:v>
      </x:c>
    </x:row>
    <x:row r="19">
      <x:c r="A19" s="22" t="n">
        <x:v>5</x:v>
      </x:c>
      <x:c r="B19" s="22" t="str">
        <x:v>9月28日-9月29日</x:v>
      </x:c>
      <x:c r="C19" s="23" t="n">
        <x:v>7599.2</x:v>
      </x:c>
      <x:c r="D19" s="23" t="n">
        <x:v>7601.09</x:v>
      </x:c>
      <x:c r="E19" s="23" t="n">
        <x:v>7364.43</x:v>
      </x:c>
      <x:c r="F19" s="23" t="n">
        <x:v>7439.63</x:v>
      </x:c>
      <x:c r="G19" s="28" t="n">
        <x:f>ROUND(F19-F18,1)</x:f>
        <x:v>-184.4</x:v>
      </x:c>
      <x:c r="H19" s="24" t="n">
        <x:f>IFERROR(F19/F18-1,"")</x:f>
        <x:v>-0.024191803065816475</x:v>
      </x:c>
      <x:c r="I19" s="26" t="n">
        <x:f>ROUND(D19-E19,1)</x:f>
        <x:v>236.7</x:v>
      </x:c>
      <x:c r="J19" s="22" t="str">
        <x:v>中证500</x:v>
      </x:c>
      <x:c r="K19" s="22" t="n">
        <x:v>2</x:v>
      </x:c>
    </x:row>
    <x:row r="20">
      <x:c r="A20" s="31" t="str">
        <x:v>合计</x:v>
      </x:c>
      <x:c r="B20" s="30" t="n">
        <x:v>5</x:v>
      </x:c>
      <x:c r="C20" s="30"/>
      <x:c r="D20" s="30"/>
      <x:c r="E20" s="30"/>
      <x:c r="F20" s="30"/>
      <x:c r="G20" s="30"/>
      <x:c r="H20" s="30"/>
      <x:c r="I20" s="32" t="n">
        <x:f>ROUND(SUM(I15:I19),1)</x:f>
        <x:v>1591.8</x:v>
      </x:c>
      <x:c r="J20" s="30"/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4" t="n">
        <x:f>ROUND(IFERROR(AVERAGE(I15:I19),0),1)</x:f>
        <x:v>318.4</x:v>
      </x:c>
      <x:c r="J21" s="30"/>
      <x:c r="K21" s="30"/>
    </x:row>
    <x:row r="23">
      <x:c r="A23" s="17" t="str">
        <x:v>上证指数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2" t="n">
        <x:v>1</x:v>
      </x:c>
      <x:c r="B25" s="22" t="str">
        <x:v>9月1日-9月4日</x:v>
      </x:c>
      <x:c r="C25" s="23" t="n">
        <x:v>3979.88</x:v>
      </x:c>
      <x:c r="D25" s="23" t="n">
        <x:v>3995.18</x:v>
      </x:c>
      <x:c r="E25" s="23" t="n">
        <x:v>3915.22</x:v>
      </x:c>
      <x:c r="F25" s="23" t="n">
        <x:v>3930.12</x:v>
      </x:c>
      <x:c r="G25" s="23"/>
      <x:c r="H25" s="24"/>
      <x:c r="I25" s="26" t="n">
        <x:f>ROUND(D25-E25,1)</x:f>
        <x:v>80</x:v>
      </x:c>
      <x:c r="J25" s="22" t="str">
        <x:v>上证指数</x:v>
      </x:c>
      <x:c r="K25" s="22" t="n">
        <x:v>4</x:v>
      </x:c>
    </x:row>
    <x:row r="26">
      <x:c r="A26" s="22" t="n">
        <x:v>2</x:v>
      </x:c>
      <x:c r="B26" s="22" t="str">
        <x:v>9月7日-9月11日</x:v>
      </x:c>
      <x:c r="C26" s="23" t="n">
        <x:v>3942.51</x:v>
      </x:c>
      <x:c r="D26" s="23" t="n">
        <x:v>3958.12</x:v>
      </x:c>
      <x:c r="E26" s="23" t="n">
        <x:v>3852.03</x:v>
      </x:c>
      <x:c r="F26" s="23" t="n">
        <x:v>3888.11</x:v>
      </x:c>
      <x:c r="G26" s="23" t="n">
        <x:f>ROUND(F26-F25,1)</x:f>
        <x:v>-42</x:v>
      </x:c>
      <x:c r="H26" s="24" t="n">
        <x:f>IFERROR(F26/F25-1,"")</x:f>
        <x:v>-0.010689241040986008</x:v>
      </x:c>
      <x:c r="I26" s="26" t="n">
        <x:f>ROUND(D26-E26,1)</x:f>
        <x:v>106.1</x:v>
      </x:c>
      <x:c r="J26" s="22" t="str">
        <x:v>上证指数</x:v>
      </x:c>
      <x:c r="K26" s="22" t="n">
        <x:v>5</x:v>
      </x:c>
    </x:row>
    <x:row r="27">
      <x:c r="A27" s="22" t="n">
        <x:v>3</x:v>
      </x:c>
      <x:c r="B27" s="22" t="str">
        <x:v>9月14日-9月18日</x:v>
      </x:c>
      <x:c r="C27" s="23" t="n">
        <x:v>3867.02</x:v>
      </x:c>
      <x:c r="D27" s="23" t="n">
        <x:v>3919.67</x:v>
      </x:c>
      <x:c r="E27" s="23" t="n">
        <x:v>3842.72</x:v>
      </x:c>
      <x:c r="F27" s="23" t="n">
        <x:v>3911.87</x:v>
      </x:c>
      <x:c r="G27" s="23" t="n">
        <x:f>ROUND(F27-F26,1)</x:f>
        <x:v>23.8</x:v>
      </x:c>
      <x:c r="H27" s="24" t="n">
        <x:f>IFERROR(F27/F26-1,"")</x:f>
        <x:v>0.0061109382193405</x:v>
      </x:c>
      <x:c r="I27" s="26" t="n">
        <x:f>ROUND(D27-E27,1)</x:f>
        <x:v>77</x:v>
      </x:c>
      <x:c r="J27" s="22" t="str">
        <x:v>上证指数</x:v>
      </x:c>
      <x:c r="K27" s="22" t="n">
        <x:v>5</x:v>
      </x:c>
    </x:row>
    <x:row r="28">
      <x:c r="A28" s="22" t="n">
        <x:v>4</x:v>
      </x:c>
      <x:c r="B28" s="22" t="str">
        <x:v>9月21日-9月24日</x:v>
      </x:c>
      <x:c r="C28" s="23" t="n">
        <x:v>3920.27</x:v>
      </x:c>
      <x:c r="D28" s="23" t="n">
        <x:v>3967.68</x:v>
      </x:c>
      <x:c r="E28" s="23" t="n">
        <x:v>3888.37</x:v>
      </x:c>
      <x:c r="F28" s="23" t="n">
        <x:v>3888.37</x:v>
      </x:c>
      <x:c r="G28" s="23" t="n">
        <x:f>ROUND(F28-F27,1)</x:f>
        <x:v>-23.5</x:v>
      </x:c>
      <x:c r="H28" s="24" t="n">
        <x:f>IFERROR(F28/F27-1,"")</x:f>
        <x:v>-0.00600735709519995</x:v>
      </x:c>
      <x:c r="I28" s="26" t="n">
        <x:f>ROUND(D28-E28,1)</x:f>
        <x:v>79.3</x:v>
      </x:c>
      <x:c r="J28" s="22" t="str">
        <x:v>上证指数</x:v>
      </x:c>
      <x:c r="K28" s="22" t="n">
        <x:v>4</x:v>
      </x:c>
    </x:row>
    <x:row r="29">
      <x:c r="A29" s="22" t="n">
        <x:v>5</x:v>
      </x:c>
      <x:c r="B29" s="22" t="str">
        <x:v>9月28日-9月29日</x:v>
      </x:c>
      <x:c r="C29" s="23" t="n">
        <x:v>3878.41</x:v>
      </x:c>
      <x:c r="D29" s="23" t="n">
        <x:v>3878.41</x:v>
      </x:c>
      <x:c r="E29" s="23" t="n">
        <x:v>3806.67</x:v>
      </x:c>
      <x:c r="F29" s="23" t="n">
        <x:v>3830.45</x:v>
      </x:c>
      <x:c r="G29" s="23" t="n">
        <x:f>ROUND(F29-F28,1)</x:f>
        <x:v>-57.9</x:v>
      </x:c>
      <x:c r="H29" s="24" t="n">
        <x:f>IFERROR(F29/F28-1,"")</x:f>
        <x:v>-0.014895701797925653</x:v>
      </x:c>
      <x:c r="I29" s="26" t="n">
        <x:f>ROUND(D29-E29,1)</x:f>
        <x:v>71.7</x:v>
      </x:c>
      <x:c r="J29" s="22" t="str">
        <x:v>上证指数</x:v>
      </x:c>
      <x:c r="K29" s="22" t="n">
        <x:v>2</x:v>
      </x:c>
    </x:row>
    <x:row r="30">
      <x:c r="A30" s="31" t="str">
        <x:v>合计</x:v>
      </x:c>
      <x:c r="B30" s="30" t="n">
        <x:v>5</x:v>
      </x:c>
      <x:c r="C30" s="30"/>
      <x:c r="D30" s="30"/>
      <x:c r="E30" s="30"/>
      <x:c r="F30" s="30"/>
      <x:c r="G30" s="30"/>
      <x:c r="H30" s="30"/>
      <x:c r="I30" s="32" t="n">
        <x:f>ROUND(SUM(I25:I29),1)</x:f>
        <x:v>414.1</x:v>
      </x:c>
      <x:c r="J30" s="30"/>
      <x:c r="K30" s="30"/>
    </x:row>
    <x:row r="31">
      <x:c r="A31" s="31" t="str">
        <x:v>均值</x:v>
      </x:c>
      <x:c r="B31" s="30"/>
      <x:c r="C31" s="30"/>
      <x:c r="D31" s="30"/>
      <x:c r="E31" s="30"/>
      <x:c r="F31" s="30"/>
      <x:c r="G31" s="30"/>
      <x:c r="H31" s="30"/>
      <x:c r="I31" s="34" t="n">
        <x:f>ROUND(IFERROR(AVERAGE(I25:I29),0),1)</x:f>
        <x:v>82.8</x:v>
      </x:c>
      <x:c r="J31" s="30"/>
      <x:c r="K31" s="30"/>
    </x:row>
    <x:row r="33">
      <x:c r="A33" s="17" t="str">
        <x:v>IM主力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9月1日-9月4日</x:v>
      </x:c>
      <x:c r="C35" s="23" t="n">
        <x:v>7713.4</x:v>
      </x:c>
      <x:c r="D35" s="23" t="n">
        <x:v>7721</x:v>
      </x:c>
      <x:c r="E35" s="23" t="n">
        <x:v>7432</x:v>
      </x:c>
      <x:c r="F35" s="23" t="n">
        <x:v>7468.2</x:v>
      </x:c>
      <x:c r="G35" s="23"/>
      <x:c r="H35" s="24"/>
      <x:c r="I35" s="26" t="n">
        <x:f>ROUND(D35-E35,1)</x:f>
        <x:v>289</x:v>
      </x:c>
      <x:c r="J35" s="22" t="str">
        <x:v>IM2609</x:v>
      </x:c>
      <x:c r="K35" s="22" t="n">
        <x:v>4</x:v>
      </x:c>
    </x:row>
    <x:row r="36">
      <x:c r="A36" s="22" t="n">
        <x:v>2</x:v>
      </x:c>
      <x:c r="B36" s="22" t="str">
        <x:v>9月7日-9月11日</x:v>
      </x:c>
      <x:c r="C36" s="23" t="n">
        <x:v>7527.2</x:v>
      </x:c>
      <x:c r="D36" s="23" t="n">
        <x:v>7714.6</x:v>
      </x:c>
      <x:c r="E36" s="23" t="n">
        <x:v>7259.4</x:v>
      </x:c>
      <x:c r="F36" s="23" t="n">
        <x:v>7415.2</x:v>
      </x:c>
      <x:c r="G36" s="23" t="n">
        <x:f>ROUND(F36-F35,1)</x:f>
        <x:v>-53</x:v>
      </x:c>
      <x:c r="H36" s="24" t="n">
        <x:f>IFERROR(F36/F35-1,"")</x:f>
        <x:v>-0.007096756915990432</x:v>
      </x:c>
      <x:c r="I36" s="26" t="n">
        <x:f>ROUND(D36-E36,1)</x:f>
        <x:v>455.2</x:v>
      </x:c>
      <x:c r="J36" s="22" t="str">
        <x:v>IM2609</x:v>
      </x:c>
      <x:c r="K36" s="22" t="n">
        <x:v>5</x:v>
      </x:c>
    </x:row>
    <x:row r="37">
      <x:c r="A37" s="22" t="n">
        <x:v>3</x:v>
      </x:c>
      <x:c r="B37" s="22" t="str">
        <x:v>9月14日-9月18日</x:v>
      </x:c>
      <x:c r="C37" s="23" t="n">
        <x:v>7312</x:v>
      </x:c>
      <x:c r="D37" s="23" t="n">
        <x:v>7712.4</x:v>
      </x:c>
      <x:c r="E37" s="23" t="n">
        <x:v>7283.4</x:v>
      </x:c>
      <x:c r="F37" s="23" t="n">
        <x:v>7679.2</x:v>
      </x:c>
      <x:c r="G37" s="28" t="n">
        <x:f>ROUND(F37-F36,1)</x:f>
        <x:v>264</x:v>
      </x:c>
      <x:c r="H37" s="24" t="n">
        <x:f>IFERROR(F37/F36-1,"")</x:f>
        <x:v>0.03560254612148017</x:v>
      </x:c>
      <x:c r="I37" s="26" t="n">
        <x:f>ROUND(D37-E37,1)</x:f>
        <x:v>429</x:v>
      </x:c>
      <x:c r="J37" s="22" t="str">
        <x:v>IM2609</x:v>
      </x:c>
      <x:c r="K37" s="22" t="n">
        <x:v>5</x:v>
      </x:c>
    </x:row>
    <x:row r="38">
      <x:c r="A38" s="22" t="n">
        <x:v>4</x:v>
      </x:c>
      <x:c r="B38" s="22" t="str">
        <x:v>9月21日-9月24日</x:v>
      </x:c>
      <x:c r="C38" s="23" t="n">
        <x:v>7549</x:v>
      </x:c>
      <x:c r="D38" s="23" t="n">
        <x:v>7687</x:v>
      </x:c>
      <x:c r="E38" s="23" t="n">
        <x:v>7386</x:v>
      </x:c>
      <x:c r="F38" s="23" t="n">
        <x:v>7391</x:v>
      </x:c>
      <x:c r="G38" s="28" t="n">
        <x:f>ROUND(F38-F37,1)</x:f>
        <x:v>-288.2</x:v>
      </x:c>
      <x:c r="H38" s="24" t="n">
        <x:f>IFERROR(F38/F37-1,"")</x:f>
        <x:v>-0.03752995103656631</x:v>
      </x:c>
      <x:c r="I38" s="26" t="n">
        <x:f>ROUND(D38-E38,1)</x:f>
        <x:v>301</x:v>
      </x:c>
      <x:c r="J38" s="22" t="str">
        <x:v>IM2612</x:v>
      </x:c>
      <x:c r="K38" s="22" t="n">
        <x:v>4</x:v>
      </x:c>
    </x:row>
    <x:row r="39">
      <x:c r="A39" s="22" t="n">
        <x:v>5</x:v>
      </x:c>
      <x:c r="B39" s="22" t="str">
        <x:v>9月28日</x:v>
      </x:c>
      <x:c r="C39" s="23" t="n">
        <x:v>7390</x:v>
      </x:c>
      <x:c r="D39" s="23" t="n">
        <x:v>7393</x:v>
      </x:c>
      <x:c r="E39" s="23" t="n">
        <x:v>7076.2</x:v>
      </x:c>
      <x:c r="F39" s="23" t="n">
        <x:v>7157.2</x:v>
      </x:c>
      <x:c r="G39" s="28" t="n">
        <x:f>ROUND(F39-F38,1)</x:f>
        <x:v>-233.8</x:v>
      </x:c>
      <x:c r="H39" s="24" t="n">
        <x:f>IFERROR(F39/F38-1,"")</x:f>
        <x:v>-0.03163306724394532</x:v>
      </x:c>
      <x:c r="I39" s="26" t="n">
        <x:f>ROUND(D39-E39,1)</x:f>
        <x:v>316.8</x:v>
      </x:c>
      <x:c r="J39" s="22" t="str">
        <x:v>IM2612</x:v>
      </x:c>
      <x:c r="K39" s="22" t="n">
        <x:v>1</x:v>
      </x:c>
    </x:row>
    <x:row r="40">
      <x:c r="A40" s="31" t="str">
        <x:v>合计</x:v>
      </x:c>
      <x:c r="B40" s="30" t="n">
        <x:v>5</x:v>
      </x:c>
      <x:c r="C40" s="30"/>
      <x:c r="D40" s="30"/>
      <x:c r="E40" s="30"/>
      <x:c r="F40" s="30"/>
      <x:c r="G40" s="30"/>
      <x:c r="H40" s="30"/>
      <x:c r="I40" s="32" t="n">
        <x:f>ROUND(SUM(I35:I39),1)</x:f>
        <x:v>1791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ROUND(IFERROR(AVERAGE(I35:I39),0),1)</x:f>
        <x:v>358.2</x:v>
      </x:c>
      <x:c r="J41" s="30"/>
      <x:c r="K41" s="30"/>
    </x:row>
    <x:row r="43">
      <x:c r="A43" s="17" t="str">
        <x:v>IC主力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9月1日-9月4日</x:v>
      </x:c>
      <x:c r="C45" s="23" t="n">
        <x:v>7880.8</x:v>
      </x:c>
      <x:c r="D45" s="23" t="n">
        <x:v>7903</x:v>
      </x:c>
      <x:c r="E45" s="23" t="n">
        <x:v>7568</x:v>
      </x:c>
      <x:c r="F45" s="23" t="n">
        <x:v>7608</x:v>
      </x:c>
      <x:c r="G45" s="23"/>
      <x:c r="H45" s="24"/>
      <x:c r="I45" s="26" t="n">
        <x:f>ROUND(D45-E45,1)</x:f>
        <x:v>335</x:v>
      </x:c>
      <x:c r="J45" s="22" t="str">
        <x:v>IC2609</x:v>
      </x:c>
      <x:c r="K45" s="22" t="n">
        <x:v>4</x:v>
      </x:c>
    </x:row>
    <x:row r="46">
      <x:c r="A46" s="22" t="n">
        <x:v>2</x:v>
      </x:c>
      <x:c r="B46" s="22" t="str">
        <x:v>9月7日-9月11日</x:v>
      </x:c>
      <x:c r="C46" s="23" t="n">
        <x:v>7665.6</x:v>
      </x:c>
      <x:c r="D46" s="23" t="n">
        <x:v>7817.2</x:v>
      </x:c>
      <x:c r="E46" s="23" t="n">
        <x:v>7418.8</x:v>
      </x:c>
      <x:c r="F46" s="23" t="n">
        <x:v>7569</x:v>
      </x:c>
      <x:c r="G46" s="23" t="n">
        <x:f>ROUND(F46-F45,1)</x:f>
        <x:v>-39</x:v>
      </x:c>
      <x:c r="H46" s="24" t="n">
        <x:f>IFERROR(F46/F45-1,"")</x:f>
        <x:v>-0.005126182965299653</x:v>
      </x:c>
      <x:c r="I46" s="26" t="n">
        <x:f>ROUND(D46-E46,1)</x:f>
        <x:v>398.4</x:v>
      </x:c>
      <x:c r="J46" s="22" t="str">
        <x:v>IC2609</x:v>
      </x:c>
      <x:c r="K46" s="22" t="n">
        <x:v>5</x:v>
      </x:c>
    </x:row>
    <x:row r="47">
      <x:c r="A47" s="22" t="n">
        <x:v>3</x:v>
      </x:c>
      <x:c r="B47" s="22" t="str">
        <x:v>9月14日-9月18日</x:v>
      </x:c>
      <x:c r="C47" s="23" t="n">
        <x:v>7482.2</x:v>
      </x:c>
      <x:c r="D47" s="23" t="n">
        <x:v>7820</x:v>
      </x:c>
      <x:c r="E47" s="23" t="n">
        <x:v>7452.2</x:v>
      </x:c>
      <x:c r="F47" s="23" t="n">
        <x:v>7789.8</x:v>
      </x:c>
      <x:c r="G47" s="28" t="n">
        <x:f>ROUND(F47-F46,1)</x:f>
        <x:v>220.8</x:v>
      </x:c>
      <x:c r="H47" s="24" t="n">
        <x:f>IFERROR(F47/F46-1,"")</x:f>
        <x:v>0.02917162108600868</x:v>
      </x:c>
      <x:c r="I47" s="26" t="n">
        <x:f>ROUND(D47-E47,1)</x:f>
        <x:v>367.8</x:v>
      </x:c>
      <x:c r="J47" s="22" t="str">
        <x:v>IC2609</x:v>
      </x:c>
      <x:c r="K47" s="22" t="n">
        <x:v>5</x:v>
      </x:c>
    </x:row>
    <x:row r="48">
      <x:c r="A48" s="22" t="n">
        <x:v>4</x:v>
      </x:c>
      <x:c r="B48" s="22" t="str">
        <x:v>9月21日-9月24日</x:v>
      </x:c>
      <x:c r="C48" s="23" t="n">
        <x:v>7688</x:v>
      </x:c>
      <x:c r="D48" s="23" t="n">
        <x:v>7780</x:v>
      </x:c>
      <x:c r="E48" s="23" t="n">
        <x:v>7450</x:v>
      </x:c>
      <x:c r="F48" s="23" t="n">
        <x:v>7451.6</x:v>
      </x:c>
      <x:c r="G48" s="28" t="n">
        <x:f>ROUND(F48-F47,1)</x:f>
        <x:v>-338.2</x:v>
      </x:c>
      <x:c r="H48" s="24" t="n">
        <x:f>IFERROR(F48/F47-1,"")</x:f>
        <x:v>-0.04341574879971244</x:v>
      </x:c>
      <x:c r="I48" s="26" t="n">
        <x:f>ROUND(D48-E48,1)</x:f>
        <x:v>330</x:v>
      </x:c>
      <x:c r="J48" s="22" t="str">
        <x:v>IC2612</x:v>
      </x:c>
      <x:c r="K48" s="22" t="n">
        <x:v>4</x:v>
      </x:c>
    </x:row>
    <x:row r="49">
      <x:c r="A49" s="22" t="n">
        <x:v>5</x:v>
      </x:c>
      <x:c r="B49" s="22" t="str">
        <x:v>9月28日</x:v>
      </x:c>
      <x:c r="C49" s="23" t="n">
        <x:v>7440.8</x:v>
      </x:c>
      <x:c r="D49" s="23" t="n">
        <x:v>7458.4</x:v>
      </x:c>
      <x:c r="E49" s="23" t="n">
        <x:v>7186</x:v>
      </x:c>
      <x:c r="F49" s="23" t="n">
        <x:v>7270</x:v>
      </x:c>
      <x:c r="G49" s="28" t="n">
        <x:f>ROUND(F49-F48,1)</x:f>
        <x:v>-181.6</x:v>
      </x:c>
      <x:c r="H49" s="24" t="n">
        <x:f>IFERROR(F49/F48-1,"")</x:f>
        <x:v>-0.024370604970744614</x:v>
      </x:c>
      <x:c r="I49" s="26" t="n">
        <x:f>ROUND(D49-E49,1)</x:f>
        <x:v>272.4</x:v>
      </x:c>
      <x:c r="J49" s="22" t="str">
        <x:v>IC2612</x:v>
      </x:c>
      <x:c r="K49" s="22" t="n">
        <x:v>1</x:v>
      </x:c>
    </x:row>
    <x:row r="50">
      <x:c r="A50" s="31" t="str">
        <x:v>合计</x:v>
      </x:c>
      <x:c r="B50" s="30" t="n">
        <x:v>5</x:v>
      </x:c>
      <x:c r="C50" s="30"/>
      <x:c r="D50" s="30"/>
      <x:c r="E50" s="30"/>
      <x:c r="F50" s="30"/>
      <x:c r="G50" s="30"/>
      <x:c r="H50" s="30"/>
      <x:c r="I50" s="32" t="n">
        <x:f>ROUND(SUM(I45:I49),1)</x:f>
        <x:v>1703.6</x:v>
      </x:c>
      <x:c r="J50" s="30"/>
      <x:c r="K50" s="30"/>
    </x:row>
    <x:row r="51">
      <x:c r="A51" s="31" t="str">
        <x:v>均值</x:v>
      </x:c>
      <x:c r="B51" s="30"/>
      <x:c r="C51" s="30"/>
      <x:c r="D51" s="30"/>
      <x:c r="E51" s="30"/>
      <x:c r="F51" s="30"/>
      <x:c r="G51" s="30"/>
      <x:c r="H51" s="30"/>
      <x:c r="I51" s="34" t="n">
        <x:f>ROUND(IFERROR(AVERAGE(I45:I49),0),1)</x:f>
        <x:v>340.7</x:v>
      </x:c>
      <x:c r="J51" s="30"/>
      <x:c r="K51" s="30"/>
    </x:row>
    <x:row r="53">
      <x:c r="A53" s="17" t="str">
        <x:v>IF主力</x:v>
      </x:c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</x:row>
    <x:row r="54">
      <x:c r="A54" s="20" t="str">
        <x:v>序号</x:v>
      </x:c>
      <x:c r="B54" s="20" t="str">
        <x:v>周期</x:v>
      </x:c>
      <x:c r="C54" s="20" t="str">
        <x:v>开盘</x:v>
      </x:c>
      <x:c r="D54" s="20" t="str">
        <x:v>高点</x:v>
      </x:c>
      <x:c r="E54" s="20" t="str">
        <x:v>低点</x:v>
      </x:c>
      <x:c r="F54" s="20" t="str">
        <x:v>收盘</x:v>
      </x:c>
      <x:c r="G54" s="20" t="str">
        <x:v>涨跌点数</x:v>
      </x:c>
      <x:c r="H54" s="20" t="str">
        <x:v>涨幅</x:v>
      </x:c>
      <x:c r="I54" s="20" t="str">
        <x:v>振幅</x:v>
      </x:c>
      <x:c r="J54" s="20" t="str">
        <x:v>标的</x:v>
      </x:c>
      <x:c r="K54" s="20" t="str">
        <x:v>交易日</x:v>
      </x:c>
    </x:row>
    <x:row r="55">
      <x:c r="A55" s="22" t="n">
        <x:v>1</x:v>
      </x:c>
      <x:c r="B55" s="22" t="str">
        <x:v>9月1日-9月4日</x:v>
      </x:c>
      <x:c r="C55" s="23" t="n">
        <x:v>4602</x:v>
      </x:c>
      <x:c r="D55" s="23" t="n">
        <x:v>4617.8</x:v>
      </x:c>
      <x:c r="E55" s="23" t="n">
        <x:v>4497.6</x:v>
      </x:c>
      <x:c r="F55" s="23" t="n">
        <x:v>4537.4</x:v>
      </x:c>
      <x:c r="G55" s="23"/>
      <x:c r="H55" s="24"/>
      <x:c r="I55" s="26" t="n">
        <x:f>ROUND(D55-E55,1)</x:f>
        <x:v>120.2</x:v>
      </x:c>
      <x:c r="J55" s="22" t="str">
        <x:v>IF2609</x:v>
      </x:c>
      <x:c r="K55" s="22" t="n">
        <x:v>4</x:v>
      </x:c>
    </x:row>
    <x:row r="56">
      <x:c r="A56" s="22" t="n">
        <x:v>2</x:v>
      </x:c>
      <x:c r="B56" s="22" t="str">
        <x:v>9月7日-9月11日</x:v>
      </x:c>
      <x:c r="C56" s="23" t="n">
        <x:v>4562</x:v>
      </x:c>
      <x:c r="D56" s="23" t="n">
        <x:v>4584</x:v>
      </x:c>
      <x:c r="E56" s="23" t="n">
        <x:v>4451.6</x:v>
      </x:c>
      <x:c r="F56" s="23" t="n">
        <x:v>4503.4</x:v>
      </x:c>
      <x:c r="G56" s="23" t="n">
        <x:f>ROUND(F56-F55,1)</x:f>
        <x:v>-34</x:v>
      </x:c>
      <x:c r="H56" s="24" t="n">
        <x:f>IFERROR(F56/F55-1,"")</x:f>
        <x:v>-0.007493278088773314</x:v>
      </x:c>
      <x:c r="I56" s="26" t="n">
        <x:f>ROUND(D56-E56,1)</x:f>
        <x:v>132.4</x:v>
      </x:c>
      <x:c r="J56" s="22" t="str">
        <x:v>IF2609</x:v>
      </x:c>
      <x:c r="K56" s="22" t="n">
        <x:v>5</x:v>
      </x:c>
    </x:row>
    <x:row r="57">
      <x:c r="A57" s="22" t="n">
        <x:v>3</x:v>
      </x:c>
      <x:c r="B57" s="22" t="str">
        <x:v>9月14日-9月18日</x:v>
      </x:c>
      <x:c r="C57" s="23" t="n">
        <x:v>4468</x:v>
      </x:c>
      <x:c r="D57" s="23" t="n">
        <x:v>4520.6</x:v>
      </x:c>
      <x:c r="E57" s="23" t="n">
        <x:v>4412.2</x:v>
      </x:c>
      <x:c r="F57" s="23" t="n">
        <x:v>4508</x:v>
      </x:c>
      <x:c r="G57" s="23" t="n">
        <x:f>ROUND(F57-F56,1)</x:f>
        <x:v>4.6</x:v>
      </x:c>
      <x:c r="H57" s="24" t="n">
        <x:f>IFERROR(F57/F56-1,"")</x:f>
        <x:v>0.0010214504596528506</x:v>
      </x:c>
      <x:c r="I57" s="26" t="n">
        <x:f>ROUND(D57-E57,1)</x:f>
        <x:v>108.4</x:v>
      </x:c>
      <x:c r="J57" s="22" t="str">
        <x:v>IF2609</x:v>
      </x:c>
      <x:c r="K57" s="22" t="n">
        <x:v>5</x:v>
      </x:c>
    </x:row>
    <x:row r="58">
      <x:c r="A58" s="22" t="n">
        <x:v>4</x:v>
      </x:c>
      <x:c r="B58" s="22" t="str">
        <x:v>9月21日-9月24日</x:v>
      </x:c>
      <x:c r="C58" s="23" t="n">
        <x:v>4451</x:v>
      </x:c>
      <x:c r="D58" s="23" t="n">
        <x:v>4520</x:v>
      </x:c>
      <x:c r="E58" s="23" t="n">
        <x:v>4367</x:v>
      </x:c>
      <x:c r="F58" s="23" t="n">
        <x:v>4375</x:v>
      </x:c>
      <x:c r="G58" s="23" t="n">
        <x:f>ROUND(F58-F57,1)</x:f>
        <x:v>-133</x:v>
      </x:c>
      <x:c r="H58" s="24" t="n">
        <x:f>IFERROR(F58/F57-1,"")</x:f>
        <x:v>-0.029503105590062084</x:v>
      </x:c>
      <x:c r="I58" s="26" t="n">
        <x:f>ROUND(D58-E58,1)</x:f>
        <x:v>153</x:v>
      </x:c>
      <x:c r="J58" s="22" t="str">
        <x:v>IF2612</x:v>
      </x:c>
      <x:c r="K58" s="22" t="n">
        <x:v>4</x:v>
      </x:c>
    </x:row>
    <x:row r="59">
      <x:c r="A59" s="22" t="n">
        <x:v>5</x:v>
      </x:c>
      <x:c r="B59" s="22" t="str">
        <x:v>9月28日</x:v>
      </x:c>
      <x:c r="C59" s="23" t="n">
        <x:v>4365</x:v>
      </x:c>
      <x:c r="D59" s="23" t="n">
        <x:v>4366.8</x:v>
      </x:c>
      <x:c r="E59" s="23" t="n">
        <x:v>4246</x:v>
      </x:c>
      <x:c r="F59" s="23" t="n">
        <x:v>4280.8</x:v>
      </x:c>
      <x:c r="G59" s="23" t="n">
        <x:f>ROUND(F59-F58,1)</x:f>
        <x:v>-94.2</x:v>
      </x:c>
      <x:c r="H59" s="24" t="n">
        <x:f>IFERROR(F59/F58-1,"")</x:f>
        <x:v>-0.021531428571428535</x:v>
      </x:c>
      <x:c r="I59" s="26" t="n">
        <x:f>ROUND(D59-E59,1)</x:f>
        <x:v>120.8</x:v>
      </x:c>
      <x:c r="J59" s="22" t="str">
        <x:v>IF2612</x:v>
      </x:c>
      <x:c r="K59" s="22" t="n">
        <x:v>1</x:v>
      </x:c>
    </x:row>
    <x:row r="60">
      <x:c r="A60" s="31" t="str">
        <x:v>合计</x:v>
      </x:c>
      <x:c r="B60" s="30" t="n">
        <x:v>5</x:v>
      </x:c>
      <x:c r="C60" s="30"/>
      <x:c r="D60" s="30"/>
      <x:c r="E60" s="30"/>
      <x:c r="F60" s="30"/>
      <x:c r="G60" s="30"/>
      <x:c r="H60" s="30"/>
      <x:c r="I60" s="32" t="n">
        <x:f>ROUND(SUM(I55:I59),1)</x:f>
        <x:v>634.8</x:v>
      </x:c>
      <x:c r="J60" s="30"/>
      <x:c r="K60" s="30"/>
    </x:row>
    <x:row r="61">
      <x:c r="A61" s="31" t="str">
        <x:v>均值</x:v>
      </x:c>
      <x:c r="B61" s="30"/>
      <x:c r="C61" s="30"/>
      <x:c r="D61" s="30"/>
      <x:c r="E61" s="30"/>
      <x:c r="F61" s="30"/>
      <x:c r="G61" s="30"/>
      <x:c r="H61" s="30"/>
      <x:c r="I61" s="34" t="n">
        <x:f>ROUND(IFERROR(AVERAGE(I55:I59),0),1)</x:f>
        <x:v>127</x:v>
      </x:c>
      <x:c r="J61" s="30"/>
      <x:c r="K61" s="30"/>
    </x:row>
    <x:row r="63">
      <x:c r="A63" s="17" t="str">
        <x:v>IH主力</x:v>
      </x:c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</x:row>
    <x:row r="64">
      <x:c r="A64" s="20" t="str">
        <x:v>序号</x:v>
      </x:c>
      <x:c r="B64" s="20" t="str">
        <x:v>周期</x:v>
      </x:c>
      <x:c r="C64" s="20" t="str">
        <x:v>开盘</x:v>
      </x:c>
      <x:c r="D64" s="20" t="str">
        <x:v>高点</x:v>
      </x:c>
      <x:c r="E64" s="20" t="str">
        <x:v>低点</x:v>
      </x:c>
      <x:c r="F64" s="20" t="str">
        <x:v>收盘</x:v>
      </x:c>
      <x:c r="G64" s="20" t="str">
        <x:v>涨跌点数</x:v>
      </x:c>
      <x:c r="H64" s="20" t="str">
        <x:v>涨幅</x:v>
      </x:c>
      <x:c r="I64" s="20" t="str">
        <x:v>振幅</x:v>
      </x:c>
      <x:c r="J64" s="20" t="str">
        <x:v>标的</x:v>
      </x:c>
      <x:c r="K64" s="20" t="str">
        <x:v>交易日</x:v>
      </x:c>
    </x:row>
    <x:row r="65">
      <x:c r="A65" s="22" t="n">
        <x:v>1</x:v>
      </x:c>
      <x:c r="B65" s="22" t="str">
        <x:v>9月1日-9月4日</x:v>
      </x:c>
      <x:c r="C65" s="23" t="n">
        <x:v>2913</x:v>
      </x:c>
      <x:c r="D65" s="23" t="n">
        <x:v>2949.4</x:v>
      </x:c>
      <x:c r="E65" s="23" t="n">
        <x:v>2881.4</x:v>
      </x:c>
      <x:c r="F65" s="23" t="n">
        <x:v>2915.8</x:v>
      </x:c>
      <x:c r="G65" s="23"/>
      <x:c r="H65" s="24"/>
      <x:c r="I65" s="26" t="n">
        <x:f>ROUND(D65-E65,1)</x:f>
        <x:v>68</x:v>
      </x:c>
      <x:c r="J65" s="22" t="str">
        <x:v>IH2609</x:v>
      </x:c>
      <x:c r="K65" s="22" t="n">
        <x:v>4</x:v>
      </x:c>
    </x:row>
    <x:row r="66">
      <x:c r="A66" s="22" t="n">
        <x:v>2</x:v>
      </x:c>
      <x:c r="B66" s="22" t="str">
        <x:v>9月7日-9月11日</x:v>
      </x:c>
      <x:c r="C66" s="23" t="n">
        <x:v>2923.2</x:v>
      </x:c>
      <x:c r="D66" s="23" t="n">
        <x:v>2931.4</x:v>
      </x:c>
      <x:c r="E66" s="23" t="n">
        <x:v>2836.8</x:v>
      </x:c>
      <x:c r="F66" s="23" t="n">
        <x:v>2867</x:v>
      </x:c>
      <x:c r="G66" s="23" t="n">
        <x:f>ROUND(F66-F65,1)</x:f>
        <x:v>-48.8</x:v>
      </x:c>
      <x:c r="H66" s="24" t="n">
        <x:f>IFERROR(F66/F65-1,"")</x:f>
        <x:v>-0.01673640167364021</x:v>
      </x:c>
      <x:c r="I66" s="26" t="n">
        <x:f>ROUND(D66-E66,1)</x:f>
        <x:v>94.6</x:v>
      </x:c>
      <x:c r="J66" s="22" t="str">
        <x:v>IH2609</x:v>
      </x:c>
      <x:c r="K66" s="22" t="n">
        <x:v>5</x:v>
      </x:c>
    </x:row>
    <x:row r="67">
      <x:c r="A67" s="22" t="n">
        <x:v>3</x:v>
      </x:c>
      <x:c r="B67" s="22" t="str">
        <x:v>9月14日-9月18日</x:v>
      </x:c>
      <x:c r="C67" s="23" t="n">
        <x:v>2849.2</x:v>
      </x:c>
      <x:c r="D67" s="23" t="n">
        <x:v>2873.2</x:v>
      </x:c>
      <x:c r="E67" s="23" t="n">
        <x:v>2829.4</x:v>
      </x:c>
      <x:c r="F67" s="23" t="n">
        <x:v>2862.2</x:v>
      </x:c>
      <x:c r="G67" s="23" t="n">
        <x:f>ROUND(F67-F66,1)</x:f>
        <x:v>-4.8</x:v>
      </x:c>
      <x:c r="H67" s="24" t="n">
        <x:f>IFERROR(F67/F66-1,"")</x:f>
        <x:v>-0.0016742239274503135</x:v>
      </x:c>
      <x:c r="I67" s="23" t="n">
        <x:f>ROUND(D67-E67,1)</x:f>
        <x:v>43.8</x:v>
      </x:c>
      <x:c r="J67" s="22" t="str">
        <x:v>IH2609</x:v>
      </x:c>
      <x:c r="K67" s="22" t="n">
        <x:v>5</x:v>
      </x:c>
    </x:row>
    <x:row r="68">
      <x:c r="A68" s="22" t="n">
        <x:v>4</x:v>
      </x:c>
      <x:c r="B68" s="22" t="str">
        <x:v>9月21日-9月24日</x:v>
      </x:c>
      <x:c r="C68" s="23" t="n">
        <x:v>2830</x:v>
      </x:c>
      <x:c r="D68" s="23" t="n">
        <x:v>2881.2</x:v>
      </x:c>
      <x:c r="E68" s="23" t="n">
        <x:v>2798</x:v>
      </x:c>
      <x:c r="F68" s="23" t="n">
        <x:v>2804.6</x:v>
      </x:c>
      <x:c r="G68" s="23" t="n">
        <x:f>ROUND(F68-F67,1)</x:f>
        <x:v>-57.6</x:v>
      </x:c>
      <x:c r="H68" s="24" t="n">
        <x:f>IFERROR(F68/F67-1,"")</x:f>
        <x:v>-0.02012437984766957</x:v>
      </x:c>
      <x:c r="I68" s="26" t="n">
        <x:f>ROUND(D68-E68,1)</x:f>
        <x:v>83.2</x:v>
      </x:c>
      <x:c r="J68" s="22" t="str">
        <x:v>IH2612</x:v>
      </x:c>
      <x:c r="K68" s="22" t="n">
        <x:v>4</x:v>
      </x:c>
    </x:row>
    <x:row r="69">
      <x:c r="A69" s="22" t="n">
        <x:v>5</x:v>
      </x:c>
      <x:c r="B69" s="22" t="str">
        <x:v>9月28日</x:v>
      </x:c>
      <x:c r="C69" s="23" t="n">
        <x:v>2802</x:v>
      </x:c>
      <x:c r="D69" s="23" t="n">
        <x:v>2803.8</x:v>
      </x:c>
      <x:c r="E69" s="23" t="n">
        <x:v>2746</x:v>
      </x:c>
      <x:c r="F69" s="23" t="n">
        <x:v>2770.2</x:v>
      </x:c>
      <x:c r="G69" s="23" t="n">
        <x:f>ROUND(F69-F68,1)</x:f>
        <x:v>-34.4</x:v>
      </x:c>
      <x:c r="H69" s="24" t="n">
        <x:f>IFERROR(F69/F68-1,"")</x:f>
        <x:v>-0.012265563716751138</x:v>
      </x:c>
      <x:c r="I69" s="23" t="n">
        <x:f>ROUND(D69-E69,1)</x:f>
        <x:v>57.8</x:v>
      </x:c>
      <x:c r="J69" s="22" t="str">
        <x:v>IH2612</x:v>
      </x:c>
      <x:c r="K69" s="22" t="n">
        <x:v>1</x:v>
      </x:c>
    </x:row>
    <x:row r="70">
      <x:c r="A70" s="31" t="str">
        <x:v>合计</x:v>
      </x:c>
      <x:c r="B70" s="30" t="n">
        <x:v>5</x:v>
      </x:c>
      <x:c r="C70" s="30"/>
      <x:c r="D70" s="30"/>
      <x:c r="E70" s="30"/>
      <x:c r="F70" s="30"/>
      <x:c r="G70" s="30"/>
      <x:c r="H70" s="30"/>
      <x:c r="I70" s="32" t="n">
        <x:f>ROUND(SUM(I65:I69),1)</x:f>
        <x:v>347.4</x:v>
      </x:c>
      <x:c r="J70" s="30"/>
      <x:c r="K70" s="30"/>
    </x:row>
    <x:row r="71">
      <x:c r="A71" s="31" t="str">
        <x:v>均值</x:v>
      </x:c>
      <x:c r="B71" s="30"/>
      <x:c r="C71" s="30"/>
      <x:c r="D71" s="30"/>
      <x:c r="E71" s="30"/>
      <x:c r="F71" s="30"/>
      <x:c r="G71" s="30"/>
      <x:c r="H71" s="30"/>
      <x:c r="I71" s="34" t="n">
        <x:f>ROUND(IFERROR(AVERAGE(I65:I69),0),1)</x:f>
        <x:v>69.5</x:v>
      </x:c>
      <x:c r="J71" s="30"/>
      <x:c r="K71" s="30"/>
    </x:row>
    <x:row r="73">
      <x:c r="A73" s="17" t="str">
        <x:v>碳酸锂2610</x:v>
      </x:c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</x:row>
    <x:row r="74">
      <x:c r="A74" s="20" t="str">
        <x:v>序号</x:v>
      </x:c>
      <x:c r="B74" s="20" t="str">
        <x:v>周期</x:v>
      </x:c>
      <x:c r="C74" s="20" t="str">
        <x:v>开盘</x:v>
      </x:c>
      <x:c r="D74" s="20" t="str">
        <x:v>高点</x:v>
      </x:c>
      <x:c r="E74" s="20" t="str">
        <x:v>低点</x:v>
      </x:c>
      <x:c r="F74" s="20" t="str">
        <x:v>收盘</x:v>
      </x:c>
      <x:c r="G74" s="20" t="str">
        <x:v>涨跌点数</x:v>
      </x:c>
      <x:c r="H74" s="20" t="str">
        <x:v>涨幅</x:v>
      </x:c>
      <x:c r="I74" s="20" t="str">
        <x:v>振幅</x:v>
      </x:c>
      <x:c r="J74" s="20" t="str">
        <x:v>标的</x:v>
      </x:c>
      <x:c r="K74" s="20" t="str">
        <x:v>交易日</x:v>
      </x:c>
    </x:row>
    <x:row r="75">
      <x:c r="A75" s="22" t="n">
        <x:v>1</x:v>
      </x:c>
      <x:c r="B75" s="22" t="str">
        <x:v>9月1日-9月4日</x:v>
      </x:c>
      <x:c r="C75" s="23" t="n">
        <x:v>159280</x:v>
      </x:c>
      <x:c r="D75" s="23" t="n">
        <x:v>161280</x:v>
      </x:c>
      <x:c r="E75" s="23" t="n">
        <x:v>140220</x:v>
      </x:c>
      <x:c r="F75" s="23" t="n">
        <x:v>142000</x:v>
      </x:c>
      <x:c r="G75" s="23"/>
      <x:c r="H75" s="24"/>
      <x:c r="I75" s="26" t="n">
        <x:f>ROUND(D75-E75,1)</x:f>
        <x:v>21060</x:v>
      </x:c>
      <x:c r="J75" s="22" t="str">
        <x:v>LC2610</x:v>
      </x:c>
      <x:c r="K75" s="22" t="n">
        <x:v>4</x:v>
      </x:c>
    </x:row>
    <x:row r="76">
      <x:c r="A76" s="22" t="n">
        <x:v>2</x:v>
      </x:c>
      <x:c r="B76" s="22" t="str">
        <x:v>9月7日-9月11日</x:v>
      </x:c>
      <x:c r="C76" s="23" t="n">
        <x:v>141000</x:v>
      </x:c>
      <x:c r="D76" s="23" t="n">
        <x:v>143540</x:v>
      </x:c>
      <x:c r="E76" s="23" t="n">
        <x:v>127120</x:v>
      </x:c>
      <x:c r="F76" s="23" t="n">
        <x:v>134340</x:v>
      </x:c>
      <x:c r="G76" s="28" t="n">
        <x:f>ROUND(F76-F75,1)</x:f>
        <x:v>-7660</x:v>
      </x:c>
      <x:c r="H76" s="24" t="n">
        <x:f>IFERROR(F76/F75-1,"")</x:f>
        <x:v>-0.05394366197183098</x:v>
      </x:c>
      <x:c r="I76" s="26" t="n">
        <x:f>ROUND(D76-E76,1)</x:f>
        <x:v>16420</x:v>
      </x:c>
      <x:c r="J76" s="22" t="str">
        <x:v>LC2610</x:v>
      </x:c>
      <x:c r="K76" s="22" t="n">
        <x:v>5</x:v>
      </x:c>
    </x:row>
    <x:row r="77">
      <x:c r="A77" s="22" t="n">
        <x:v>3</x:v>
      </x:c>
      <x:c r="B77" s="22" t="str">
        <x:v>9月14日-9月18日</x:v>
      </x:c>
      <x:c r="C77" s="23" t="n">
        <x:v>133600</x:v>
      </x:c>
      <x:c r="D77" s="23" t="n">
        <x:v>135900</x:v>
      </x:c>
      <x:c r="E77" s="23" t="n">
        <x:v>126200</x:v>
      </x:c>
      <x:c r="F77" s="23" t="n">
        <x:v>128580</x:v>
      </x:c>
      <x:c r="G77" s="28" t="n">
        <x:f>ROUND(F77-F76,1)</x:f>
        <x:v>-5760</x:v>
      </x:c>
      <x:c r="H77" s="24" t="n">
        <x:f>IFERROR(F77/F76-1,"")</x:f>
        <x:v>-0.04287628405538191</x:v>
      </x:c>
      <x:c r="I77" s="26" t="n">
        <x:f>ROUND(D77-E77,1)</x:f>
        <x:v>9700</x:v>
      </x:c>
      <x:c r="J77" s="22" t="str">
        <x:v>LC2610</x:v>
      </x:c>
      <x:c r="K77" s="22" t="n">
        <x:v>5</x:v>
      </x:c>
    </x:row>
    <x:row r="78">
      <x:c r="A78" s="22" t="n">
        <x:v>4</x:v>
      </x:c>
      <x:c r="B78" s="22" t="str">
        <x:v>9月21日-9月24日</x:v>
      </x:c>
      <x:c r="C78" s="23" t="n">
        <x:v>128500</x:v>
      </x:c>
      <x:c r="D78" s="23" t="n">
        <x:v>136560</x:v>
      </x:c>
      <x:c r="E78" s="23" t="n">
        <x:v>125000</x:v>
      </x:c>
      <x:c r="F78" s="23" t="n">
        <x:v>125980</x:v>
      </x:c>
      <x:c r="G78" s="28" t="n">
        <x:f>ROUND(F78-F77,1)</x:f>
        <x:v>-2600</x:v>
      </x:c>
      <x:c r="H78" s="24" t="n">
        <x:f>IFERROR(F78/F77-1,"")</x:f>
        <x:v>-0.02022087416394458</x:v>
      </x:c>
      <x:c r="I78" s="26" t="n">
        <x:f>ROUND(D78-E78,1)</x:f>
        <x:v>11560</x:v>
      </x:c>
      <x:c r="J78" s="22" t="str">
        <x:v>LC2610</x:v>
      </x:c>
      <x:c r="K78" s="22" t="n">
        <x:v>4</x:v>
      </x:c>
    </x:row>
    <x:row r="79">
      <x:c r="A79" s="22" t="n">
        <x:v>5</x:v>
      </x:c>
      <x:c r="B79" s="22" t="str">
        <x:v>9月28日-9月29日</x:v>
      </x:c>
      <x:c r="C79" s="23" t="n">
        <x:v>124280</x:v>
      </x:c>
      <x:c r="D79" s="23" t="n">
        <x:v>124660</x:v>
      </x:c>
      <x:c r="E79" s="23" t="n">
        <x:v>118100</x:v>
      </x:c>
      <x:c r="F79" s="23" t="n">
        <x:v>120000</x:v>
      </x:c>
      <x:c r="G79" s="28" t="n">
        <x:f>ROUND(F79-F78,1)</x:f>
        <x:v>-5980</x:v>
      </x:c>
      <x:c r="H79" s="24" t="n">
        <x:f>IFERROR(F79/F78-1,"")</x:f>
        <x:v>-0.047467852040006364</x:v>
      </x:c>
      <x:c r="I79" s="26" t="n">
        <x:f>ROUND(D79-E79,1)</x:f>
        <x:v>6560</x:v>
      </x:c>
      <x:c r="J79" s="22" t="str">
        <x:v>LC2610</x:v>
      </x:c>
      <x:c r="K79" s="22" t="n">
        <x:v>2</x:v>
      </x:c>
    </x:row>
    <x:row r="80">
      <x:c r="A80" s="31" t="str">
        <x:v>合计</x:v>
      </x:c>
      <x:c r="B80" s="30" t="n">
        <x:v>5</x:v>
      </x:c>
      <x:c r="C80" s="30"/>
      <x:c r="D80" s="30"/>
      <x:c r="E80" s="30"/>
      <x:c r="F80" s="30"/>
      <x:c r="G80" s="30"/>
      <x:c r="H80" s="30"/>
      <x:c r="I80" s="32" t="n">
        <x:f>ROUND(SUM(I75:I79),1)</x:f>
        <x:v>65300</x:v>
      </x:c>
      <x:c r="J80" s="30"/>
      <x:c r="K80" s="30"/>
    </x:row>
    <x:row r="81">
      <x:c r="A81" s="31" t="str">
        <x:v>均值</x:v>
      </x:c>
      <x:c r="B81" s="30"/>
      <x:c r="C81" s="30"/>
      <x:c r="D81" s="30"/>
      <x:c r="E81" s="30"/>
      <x:c r="F81" s="30"/>
      <x:c r="G81" s="30"/>
      <x:c r="H81" s="30"/>
      <x:c r="I81" s="34" t="n">
        <x:f>ROUND(IFERROR(AVERAGE(I75:I79),0),1)</x:f>
        <x:v>13060</x:v>
      </x:c>
      <x:c r="J81" s="30"/>
      <x:c r="K81" s="30"/>
    </x:row>
  </x:sheetData>
  <x:mergeCells>
    <x:mergeCell ref="A1:K1"/>
    <x:mergeCell ref="A3:K3"/>
    <x:mergeCell ref="A13:K13"/>
    <x:mergeCell ref="A23:K23"/>
    <x:mergeCell ref="A33:K33"/>
    <x:mergeCell ref="A43:K43"/>
    <x:mergeCell ref="A53:K53"/>
    <x:mergeCell ref="A63:K63"/>
    <x:mergeCell ref="A73:K7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7621.24</x:v>
      </x:c>
      <x:c r="E17" s="42" t="n">
        <x:v>7706.9</x:v>
      </x:c>
      <x:c r="F17" s="42" t="n">
        <x:v>7603.37</x:v>
      </x:c>
      <x:c r="G17" s="42" t="n">
        <x:v>7687.59</x:v>
      </x:c>
      <x:c r="H17" s="42" t="n">
        <x:v>138.8</x:v>
      </x:c>
      <x:c r="I17" s="43" t="n">
        <x:v>0.018383005555835386</x:v>
      </x:c>
      <x:c r="J17" s="42" t="n">
        <x:f>ROUND(E17-F17,1)</x:f>
        <x:v>103.5</x:v>
      </x:c>
      <x:c r="K17" s="41" t="str">
        <x:v>中证1000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7723.68</x:v>
      </x:c>
      <x:c r="E18" s="23" t="n">
        <x:v>7777.91</x:v>
      </x:c>
      <x:c r="F18" s="23" t="n">
        <x:v>7723.68</x:v>
      </x:c>
      <x:c r="G18" s="23" t="n">
        <x:v>7766.33</x:v>
      </x:c>
      <x:c r="H18" s="23" t="n">
        <x:v>78.7</x:v>
      </x:c>
      <x:c r="I18" s="24" t="n">
        <x:v>0.01024248171403519</x:v>
      </x:c>
      <x:c r="J18" s="23" t="n">
        <x:f>ROUND(E18-F18,1)</x:f>
        <x:v>54.2</x:v>
      </x:c>
      <x:c r="K18" s="22" t="str">
        <x:v>中证1000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7819.62</x:v>
      </x:c>
      <x:c r="E19" s="23" t="n">
        <x:v>7852.23</x:v>
      </x:c>
      <x:c r="F19" s="23" t="n">
        <x:v>7734.35</x:v>
      </x:c>
      <x:c r="G19" s="23" t="n">
        <x:v>7759.03</x:v>
      </x:c>
      <x:c r="H19" s="23" t="n">
        <x:v>-7.3</x:v>
      </x:c>
      <x:c r="I19" s="24" t="n">
        <x:v>-0.0009399549079166514</x:v>
      </x:c>
      <x:c r="J19" s="23" t="n">
        <x:f>ROUND(E19-F19,1)</x:f>
        <x:v>117.9</x:v>
      </x:c>
      <x:c r="K19" s="22" t="str">
        <x:v>中证1000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7762.68</x:v>
      </x:c>
      <x:c r="E20" s="23" t="n">
        <x:v>7769.96</x:v>
      </x:c>
      <x:c r="F20" s="23" t="n">
        <x:v>7730.37</x:v>
      </x:c>
      <x:c r="G20" s="23" t="n">
        <x:v>7745.56</x:v>
      </x:c>
      <x:c r="H20" s="23" t="n">
        <x:v>-13.5</x:v>
      </x:c>
      <x:c r="I20" s="24" t="n">
        <x:v>-0.0017360417474864276</x:v>
      </x:c>
      <x:c r="J20" s="23" t="n">
        <x:f>ROUND(E20-F20,1)</x:f>
        <x:v>39.6</x:v>
      </x:c>
      <x:c r="K20" s="22" t="str">
        <x:v>中证1000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7707.87</x:v>
      </x:c>
      <x:c r="E21" s="23" t="n">
        <x:v>7725.52</x:v>
      </x:c>
      <x:c r="F21" s="23" t="n">
        <x:v>7569.51</x:v>
      </x:c>
      <x:c r="G21" s="23" t="n">
        <x:v>7570.14</x:v>
      </x:c>
      <x:c r="H21" s="28" t="n">
        <x:v>-175.4</x:v>
      </x:c>
      <x:c r="I21" s="24" t="n">
        <x:v>-0.022647813715212295</x:v>
      </x:c>
      <x:c r="J21" s="23" t="n">
        <x:f>ROUND(E21-F21,1)</x:f>
        <x:v>156</x:v>
      </x:c>
      <x:c r="K21" s="22" t="str">
        <x:v>中证1000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7551.22</x:v>
      </x:c>
      <x:c r="E22" s="23" t="n">
        <x:v>7551.22</x:v>
      </x:c>
      <x:c r="F22" s="23" t="n">
        <x:v>7246.61</x:v>
      </x:c>
      <x:c r="G22" s="23" t="n">
        <x:v>7294.17</x:v>
      </x:c>
      <x:c r="H22" s="28" t="n">
        <x:v>-276</x:v>
      </x:c>
      <x:c r="I22" s="24" t="n">
        <x:v>-0.0364550721651119</x:v>
      </x:c>
      <x:c r="J22" s="26" t="n">
        <x:f>ROUND(E22-F22,1)</x:f>
        <x:v>304.6</x:v>
      </x:c>
      <x:c r="K22" s="22" t="str">
        <x:v>中证1000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7265.51</x:v>
      </x:c>
      <x:c r="E23" s="23" t="n">
        <x:v>7357.03</x:v>
      </x:c>
      <x:c r="F23" s="23" t="n">
        <x:v>7256.25</x:v>
      </x:c>
      <x:c r="G23" s="23" t="n">
        <x:v>7325.35</x:v>
      </x:c>
      <x:c r="H23" s="23" t="n">
        <x:v>31.2</x:v>
      </x:c>
      <x:c r="I23" s="24" t="n">
        <x:v>0.004274646738422705</x:v>
      </x:c>
      <x:c r="J23" s="23" t="n">
        <x:f>ROUND(E23-F23,1)</x:f>
        <x:v>100.8</x:v>
      </x:c>
      <x:c r="K23" s="22" t="str">
        <x:v>中证1000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2673.7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133.7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7731.07</x:v>
      </x:c>
      <x:c r="E17" s="42" t="n">
        <x:v>7819.98</x:v>
      </x:c>
      <x:c r="F17" s="42" t="n">
        <x:v>7710.24</x:v>
      </x:c>
      <x:c r="G17" s="42" t="n">
        <x:v>7799.61</x:v>
      </x:c>
      <x:c r="H17" s="42" t="n">
        <x:v>144.6</x:v>
      </x:c>
      <x:c r="I17" s="43" t="n">
        <x:v>0.018893583000870073</x:v>
      </x:c>
      <x:c r="J17" s="42" t="n">
        <x:f>ROUND(E17-F17,1)</x:f>
        <x:v>109.7</x:v>
      </x:c>
      <x:c r="K17" s="41" t="str">
        <x:v>中证500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7829.82</x:v>
      </x:c>
      <x:c r="E18" s="23" t="n">
        <x:v>7869.35</x:v>
      </x:c>
      <x:c r="F18" s="23" t="n">
        <x:v>7809.59</x:v>
      </x:c>
      <x:c r="G18" s="23" t="n">
        <x:v>7850.48</x:v>
      </x:c>
      <x:c r="H18" s="23" t="n">
        <x:v>50.9</x:v>
      </x:c>
      <x:c r="I18" s="24" t="n">
        <x:v>0.0065221209778436595</x:v>
      </x:c>
      <x:c r="J18" s="23" t="n">
        <x:f>ROUND(E18-F18,1)</x:f>
        <x:v>59.8</x:v>
      </x:c>
      <x:c r="K18" s="22" t="str">
        <x:v>中证500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7911.64</x:v>
      </x:c>
      <x:c r="E19" s="23" t="n">
        <x:v>7922.62</x:v>
      </x:c>
      <x:c r="F19" s="23" t="n">
        <x:v>7808.98</x:v>
      </x:c>
      <x:c r="G19" s="23" t="n">
        <x:v>7828.94</x:v>
      </x:c>
      <x:c r="H19" s="23" t="n">
        <x:v>-21.5</x:v>
      </x:c>
      <x:c r="I19" s="24" t="n">
        <x:v>-0.002743781271973167</x:v>
      </x:c>
      <x:c r="J19" s="23" t="n">
        <x:f>ROUND(E19-F19,1)</x:f>
        <x:v>113.6</x:v>
      </x:c>
      <x:c r="K19" s="22" t="str">
        <x:v>中证500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7839.94</x:v>
      </x:c>
      <x:c r="E20" s="23" t="n">
        <x:v>7839.94</x:v>
      </x:c>
      <x:c r="F20" s="23" t="n">
        <x:v>7781.31</x:v>
      </x:c>
      <x:c r="G20" s="23" t="n">
        <x:v>7791.82</x:v>
      </x:c>
      <x:c r="H20" s="23" t="n">
        <x:v>-37.1</x:v>
      </x:c>
      <x:c r="I20" s="24" t="n">
        <x:v>-0.004741382613738243</x:v>
      </x:c>
      <x:c r="J20" s="23" t="n">
        <x:f>ROUND(E20-F20,1)</x:f>
        <x:v>58.6</x:v>
      </x:c>
      <x:c r="K20" s="22" t="str">
        <x:v>中证500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7763.73</x:v>
      </x:c>
      <x:c r="E21" s="23" t="n">
        <x:v>7774.22</x:v>
      </x:c>
      <x:c r="F21" s="23" t="n">
        <x:v>7624.07</x:v>
      </x:c>
      <x:c r="G21" s="23" t="n">
        <x:v>7624.07</x:v>
      </x:c>
      <x:c r="H21" s="28" t="n">
        <x:v>-167.7</x:v>
      </x:c>
      <x:c r="I21" s="24" t="n">
        <x:v>-0.0215289880926407</x:v>
      </x:c>
      <x:c r="J21" s="23" t="n">
        <x:f>ROUND(E21-F21,1)</x:f>
        <x:v>150.2</x:v>
      </x:c>
      <x:c r="K21" s="22" t="str">
        <x:v>中证500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7599.2</x:v>
      </x:c>
      <x:c r="E22" s="23" t="n">
        <x:v>7601.09</x:v>
      </x:c>
      <x:c r="F22" s="23" t="n">
        <x:v>7364.43</x:v>
      </x:c>
      <x:c r="G22" s="23" t="n">
        <x:v>7402.3</x:v>
      </x:c>
      <x:c r="H22" s="28" t="n">
        <x:v>-221.8</x:v>
      </x:c>
      <x:c r="I22" s="24" t="n">
        <x:v>-0.029088137963056426</x:v>
      </x:c>
      <x:c r="J22" s="26" t="n">
        <x:f>ROUND(E22-F22,1)</x:f>
        <x:v>236.7</x:v>
      </x:c>
      <x:c r="K22" s="22" t="str">
        <x:v>中证500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7388.11</x:v>
      </x:c>
      <x:c r="E23" s="23" t="n">
        <x:v>7473.7</x:v>
      </x:c>
      <x:c r="F23" s="23" t="n">
        <x:v>7386.14</x:v>
      </x:c>
      <x:c r="G23" s="23" t="n">
        <x:v>7439.63</x:v>
      </x:c>
      <x:c r="H23" s="23" t="n">
        <x:v>37.3</x:v>
      </x:c>
      <x:c r="I23" s="24" t="n">
        <x:v>0.005043027167231706</x:v>
      </x:c>
      <x:c r="J23" s="23" t="n">
        <x:f>ROUND(E23-F23,1)</x:f>
        <x:v>87.6</x:v>
      </x:c>
      <x:c r="K23" s="22" t="str">
        <x:v>中证500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2433.7999999999993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121.7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3891.96</x:v>
      </x:c>
      <x:c r="E17" s="42" t="n">
        <x:v>3919.67</x:v>
      </x:c>
      <x:c r="F17" s="42" t="n">
        <x:v>3888.5</x:v>
      </x:c>
      <x:c r="G17" s="42" t="n">
        <x:v>3911.87</x:v>
      </x:c>
      <x:c r="H17" s="42" t="n">
        <x:v>36.3</x:v>
      </x:c>
      <x:c r="I17" s="43" t="n">
        <x:v>0.009358550934049026</x:v>
      </x:c>
      <x:c r="J17" s="42" t="n">
        <x:f>ROUND(E17-F17,1)</x:f>
        <x:v>31.2</x:v>
      </x:c>
      <x:c r="K17" s="41" t="str">
        <x:v>上证指数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3920.27</x:v>
      </x:c>
      <x:c r="E18" s="23" t="n">
        <x:v>3950.94</x:v>
      </x:c>
      <x:c r="F18" s="23" t="n">
        <x:v>3918.13</x:v>
      </x:c>
      <x:c r="G18" s="23" t="n">
        <x:v>3949.91</x:v>
      </x:c>
      <x:c r="H18" s="23" t="n">
        <x:v>38</x:v>
      </x:c>
      <x:c r="I18" s="24" t="n">
        <x:v>0.009724249527719442</x:v>
      </x:c>
      <x:c r="J18" s="23" t="n">
        <x:f>ROUND(E18-F18,1)</x:f>
        <x:v>32.8</x:v>
      </x:c>
      <x:c r="K18" s="22" t="str">
        <x:v>上证指数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3963.81</x:v>
      </x:c>
      <x:c r="E19" s="23" t="n">
        <x:v>3967.68</x:v>
      </x:c>
      <x:c r="F19" s="23" t="n">
        <x:v>3945.42</x:v>
      </x:c>
      <x:c r="G19" s="23" t="n">
        <x:v>3952.13</x:v>
      </x:c>
      <x:c r="H19" s="23" t="n">
        <x:v>2.2</x:v>
      </x:c>
      <x:c r="I19" s="24" t="n">
        <x:v>0.0005620381223876425</x:v>
      </x:c>
      <x:c r="J19" s="23" t="n">
        <x:f>ROUND(E19-F19,1)</x:f>
        <x:v>22.3</x:v>
      </x:c>
      <x:c r="K19" s="22" t="str">
        <x:v>上证指数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3951.37</x:v>
      </x:c>
      <x:c r="E20" s="23" t="n">
        <x:v>3951.52</x:v>
      </x:c>
      <x:c r="F20" s="23" t="n">
        <x:v>3934.46</x:v>
      </x:c>
      <x:c r="G20" s="23" t="n">
        <x:v>3936.52</x:v>
      </x:c>
      <x:c r="H20" s="23" t="n">
        <x:v>-15.6</x:v>
      </x:c>
      <x:c r="I20" s="24" t="n">
        <x:v>-0.003949768858817926</x:v>
      </x:c>
      <x:c r="J20" s="23" t="n">
        <x:f>ROUND(E20-F20,1)</x:f>
        <x:v>17.1</x:v>
      </x:c>
      <x:c r="K20" s="22" t="str">
        <x:v>上证指数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3925.32</x:v>
      </x:c>
      <x:c r="E21" s="23" t="n">
        <x:v>3930.5</x:v>
      </x:c>
      <x:c r="F21" s="23" t="n">
        <x:v>3888.37</x:v>
      </x:c>
      <x:c r="G21" s="23" t="n">
        <x:v>3888.37</x:v>
      </x:c>
      <x:c r="H21" s="23" t="n">
        <x:v>-48.2</x:v>
      </x:c>
      <x:c r="I21" s="24" t="n">
        <x:v>-0.012231615741822743</x:v>
      </x:c>
      <x:c r="J21" s="23" t="n">
        <x:f>ROUND(E21-F21,1)</x:f>
        <x:v>42.1</x:v>
      </x:c>
      <x:c r="K21" s="22" t="str">
        <x:v>上证指数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3878.41</x:v>
      </x:c>
      <x:c r="E22" s="23" t="n">
        <x:v>3878.41</x:v>
      </x:c>
      <x:c r="F22" s="23" t="n">
        <x:v>3806.67</x:v>
      </x:c>
      <x:c r="G22" s="23" t="n">
        <x:v>3823.62</x:v>
      </x:c>
      <x:c r="H22" s="23" t="n">
        <x:v>-64.7</x:v>
      </x:c>
      <x:c r="I22" s="24" t="n">
        <x:v>-0.016652221882176854</x:v>
      </x:c>
      <x:c r="J22" s="26" t="n">
        <x:f>ROUND(E22-F22,1)</x:f>
        <x:v>71.7</x:v>
      </x:c>
      <x:c r="K22" s="22" t="str">
        <x:v>上证指数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3816.15</x:v>
      </x:c>
      <x:c r="E23" s="23" t="n">
        <x:v>3843.84</x:v>
      </x:c>
      <x:c r="F23" s="23" t="n">
        <x:v>3810.81</x:v>
      </x:c>
      <x:c r="G23" s="23" t="n">
        <x:v>3830.45</x:v>
      </x:c>
      <x:c r="H23" s="23" t="n">
        <x:v>6.8</x:v>
      </x:c>
      <x:c r="I23" s="24" t="n">
        <x:v>0.0017862653715587928</x:v>
      </x:c>
      <x:c r="J23" s="23" t="n">
        <x:f>ROUND(E23-F23,1)</x:f>
        <x:v>33</x:v>
      </x:c>
      <x:c r="K23" s="22" t="str">
        <x:v>上证指数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715.5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35.8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7626.6</x:v>
      </x:c>
      <x:c r="E17" s="42" t="n">
        <x:v>7712.4</x:v>
      </x:c>
      <x:c r="F17" s="42" t="n">
        <x:v>7606.6</x:v>
      </x:c>
      <x:c r="G17" s="42" t="n">
        <x:v>7679.2</x:v>
      </x:c>
      <x:c r="H17" s="42" t="n">
        <x:v>119.4</x:v>
      </x:c>
      <x:c r="I17" s="43" t="n">
        <x:v>0.01579406862615418</x:v>
      </x:c>
      <x:c r="J17" s="42" t="n">
        <x:f>ROUND(E17-F17,1)</x:f>
        <x:v>105.8</x:v>
      </x:c>
      <x:c r="K17" s="41" t="str">
        <x:v>IM2609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7549</x:v>
      </x:c>
      <x:c r="E18" s="23" t="n">
        <x:v>7599</x:v>
      </x:c>
      <x:c r="F18" s="23" t="n">
        <x:v>7527</x:v>
      </x:c>
      <x:c r="G18" s="23" t="n">
        <x:v>7560.6</x:v>
      </x:c>
      <x:c r="H18" s="23" t="n">
        <x:v>-118.6</x:v>
      </x:c>
      <x:c r="I18" s="24" t="n">
        <x:v>-0.01544431711636618</x:v>
      </x:c>
      <x:c r="J18" s="23" t="n">
        <x:f>ROUND(E18-F18,1)</x:f>
        <x:v>72</x:v>
      </x:c>
      <x:c r="K18" s="22" t="str">
        <x:v>IM2612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7638.2</x:v>
      </x:c>
      <x:c r="E19" s="23" t="n">
        <x:v>7687</x:v>
      </x:c>
      <x:c r="F19" s="23" t="n">
        <x:v>7563</x:v>
      </x:c>
      <x:c r="G19" s="23" t="n">
        <x:v>7580.2</x:v>
      </x:c>
      <x:c r="H19" s="23" t="n">
        <x:v>19.6</x:v>
      </x:c>
      <x:c r="I19" s="24" t="n">
        <x:v>0.002592386847604544</x:v>
      </x:c>
      <x:c r="J19" s="23" t="n">
        <x:f>ROUND(E19-F19,1)</x:f>
        <x:v>124</x:v>
      </x:c>
      <x:c r="K19" s="22" t="str">
        <x:v>IM2612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7600</x:v>
      </x:c>
      <x:c r="E20" s="23" t="n">
        <x:v>7614.8</x:v>
      </x:c>
      <x:c r="F20" s="23" t="n">
        <x:v>7572.6</x:v>
      </x:c>
      <x:c r="G20" s="23" t="n">
        <x:v>7578</x:v>
      </x:c>
      <x:c r="H20" s="23" t="n">
        <x:v>-2.2</x:v>
      </x:c>
      <x:c r="I20" s="24" t="n">
        <x:v>-0.0002902298092398725</x:v>
      </x:c>
      <x:c r="J20" s="23" t="n">
        <x:f>ROUND(E20-F20,1)</x:f>
        <x:v>42.2</x:v>
      </x:c>
      <x:c r="K20" s="22" t="str">
        <x:v>IM2612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7551.2</x:v>
      </x:c>
      <x:c r="E21" s="23" t="n">
        <x:v>7578</x:v>
      </x:c>
      <x:c r="F21" s="23" t="n">
        <x:v>7386</x:v>
      </x:c>
      <x:c r="G21" s="23" t="n">
        <x:v>7391</x:v>
      </x:c>
      <x:c r="H21" s="28" t="n">
        <x:v>-187</x:v>
      </x:c>
      <x:c r="I21" s="24" t="n">
        <x:v>-0.024676695698073403</x:v>
      </x:c>
      <x:c r="J21" s="26" t="n">
        <x:f>ROUND(E21-F21,1)</x:f>
        <x:v>192</x:v>
      </x:c>
      <x:c r="K21" s="22" t="str">
        <x:v>IM2612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7390</x:v>
      </x:c>
      <x:c r="E22" s="23" t="n">
        <x:v>7393</x:v>
      </x:c>
      <x:c r="F22" s="23" t="n">
        <x:v>7076.2</x:v>
      </x:c>
      <x:c r="G22" s="23" t="n">
        <x:v>7157.2</x:v>
      </x:c>
      <x:c r="H22" s="28" t="n">
        <x:v>-233.8</x:v>
      </x:c>
      <x:c r="I22" s="24" t="n">
        <x:v>-0.03163306724394532</x:v>
      </x:c>
      <x:c r="J22" s="26" t="n">
        <x:f>ROUND(E22-F22,1)</x:f>
        <x:v>316.8</x:v>
      </x:c>
      <x:c r="K22" s="22" t="str">
        <x:v>IM2612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2867.2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150.9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7723</x:v>
      </x:c>
      <x:c r="E17" s="42" t="n">
        <x:v>7820</x:v>
      </x:c>
      <x:c r="F17" s="42" t="n">
        <x:v>7709.2</x:v>
      </x:c>
      <x:c r="G17" s="42" t="n">
        <x:v>7789.8</x:v>
      </x:c>
      <x:c r="H17" s="42" t="n">
        <x:v>125.2</x:v>
      </x:c>
      <x:c r="I17" s="43" t="n">
        <x:v>0.016334838086788483</x:v>
      </x:c>
      <x:c r="J17" s="42" t="n">
        <x:f>ROUND(E17-F17,1)</x:f>
        <x:v>110.8</x:v>
      </x:c>
      <x:c r="K17" s="41" t="str">
        <x:v>IC2609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7688</x:v>
      </x:c>
      <x:c r="E18" s="23" t="n">
        <x:v>7728</x:v>
      </x:c>
      <x:c r="F18" s="23" t="n">
        <x:v>7640</x:v>
      </x:c>
      <x:c r="G18" s="23" t="n">
        <x:v>7672.6</x:v>
      </x:c>
      <x:c r="H18" s="23" t="n">
        <x:v>-117.2</x:v>
      </x:c>
      <x:c r="I18" s="24" t="n">
        <x:v>-0.015045315669208414</x:v>
      </x:c>
      <x:c r="J18" s="23" t="n">
        <x:f>ROUND(E18-F18,1)</x:f>
        <x:v>88</x:v>
      </x:c>
      <x:c r="K18" s="22" t="str">
        <x:v>IC2612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7756</x:v>
      </x:c>
      <x:c r="E19" s="23" t="n">
        <x:v>7780</x:v>
      </x:c>
      <x:c r="F19" s="23" t="n">
        <x:v>7657.4</x:v>
      </x:c>
      <x:c r="G19" s="23" t="n">
        <x:v>7671</x:v>
      </x:c>
      <x:c r="H19" s="23" t="n">
        <x:v>-1.6</x:v>
      </x:c>
      <x:c r="I19" s="24" t="n">
        <x:v>-0.00020853426478639747</x:v>
      </x:c>
      <x:c r="J19" s="23" t="n">
        <x:f>ROUND(E19-F19,1)</x:f>
        <x:v>122.6</x:v>
      </x:c>
      <x:c r="K19" s="22" t="str">
        <x:v>IC2612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7699.4</x:v>
      </x:c>
      <x:c r="E20" s="23" t="n">
        <x:v>7705.6</x:v>
      </x:c>
      <x:c r="F20" s="23" t="n">
        <x:v>7638</x:v>
      </x:c>
      <x:c r="G20" s="23" t="n">
        <x:v>7650.4</x:v>
      </x:c>
      <x:c r="H20" s="23" t="n">
        <x:v>-20.6</x:v>
      </x:c>
      <x:c r="I20" s="24" t="n">
        <x:v>-0.002685438665102402</x:v>
      </x:c>
      <x:c r="J20" s="23" t="n">
        <x:f>ROUND(E20-F20,1)</x:f>
        <x:v>67.6</x:v>
      </x:c>
      <x:c r="K20" s="22" t="str">
        <x:v>IC2612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7615</x:v>
      </x:c>
      <x:c r="E21" s="23" t="n">
        <x:v>7639.6</x:v>
      </x:c>
      <x:c r="F21" s="23" t="n">
        <x:v>7450</x:v>
      </x:c>
      <x:c r="G21" s="23" t="n">
        <x:v>7451.6</x:v>
      </x:c>
      <x:c r="H21" s="28" t="n">
        <x:v>-198.8</x:v>
      </x:c>
      <x:c r="I21" s="24" t="n">
        <x:v>-0.025985569381993034</x:v>
      </x:c>
      <x:c r="J21" s="26" t="n">
        <x:f>ROUND(E21-F21,1)</x:f>
        <x:v>189.6</x:v>
      </x:c>
      <x:c r="K21" s="22" t="str">
        <x:v>IC2612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7440.8</x:v>
      </x:c>
      <x:c r="E22" s="23" t="n">
        <x:v>7458.4</x:v>
      </x:c>
      <x:c r="F22" s="23" t="n">
        <x:v>7186</x:v>
      </x:c>
      <x:c r="G22" s="23" t="n">
        <x:v>7270</x:v>
      </x:c>
      <x:c r="H22" s="28" t="n">
        <x:v>-181.6</x:v>
      </x:c>
      <x:c r="I22" s="24" t="n">
        <x:v>-0.024370604970744614</x:v>
      </x:c>
      <x:c r="J22" s="26" t="n">
        <x:f>ROUND(E22-F22,1)</x:f>
        <x:v>272.4</x:v>
      </x:c>
      <x:c r="K22" s="22" t="str">
        <x:v>IC2612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2762.2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145.4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4486</x:v>
      </x:c>
      <x:c r="E17" s="42" t="n">
        <x:v>4520.6</x:v>
      </x:c>
      <x:c r="F17" s="42" t="n">
        <x:v>4481</x:v>
      </x:c>
      <x:c r="G17" s="42" t="n">
        <x:v>4508</x:v>
      </x:c>
      <x:c r="H17" s="42" t="n">
        <x:v>47.8</x:v>
      </x:c>
      <x:c r="I17" s="43" t="n">
        <x:v>0.010717008205910039</x:v>
      </x:c>
      <x:c r="J17" s="42" t="n">
        <x:f>ROUND(E17-F17,1)</x:f>
        <x:v>39.6</x:v>
      </x:c>
      <x:c r="K17" s="41" t="str">
        <x:v>IF2609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4451</x:v>
      </x:c>
      <x:c r="E18" s="23" t="n">
        <x:v>4474.6</x:v>
      </x:c>
      <x:c r="F18" s="23" t="n">
        <x:v>4434.8</x:v>
      </x:c>
      <x:c r="G18" s="23" t="n">
        <x:v>4464.8</x:v>
      </x:c>
      <x:c r="H18" s="23" t="n">
        <x:v>-43.2</x:v>
      </x:c>
      <x:c r="I18" s="24" t="n">
        <x:v>-0.0095829636202307</x:v>
      </x:c>
      <x:c r="J18" s="23" t="n">
        <x:f>ROUND(E18-F18,1)</x:f>
        <x:v>39.8</x:v>
      </x:c>
      <x:c r="K18" s="22" t="str">
        <x:v>IF2612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4489.8</x:v>
      </x:c>
      <x:c r="E19" s="23" t="n">
        <x:v>4520</x:v>
      </x:c>
      <x:c r="F19" s="23" t="n">
        <x:v>4477.6</x:v>
      </x:c>
      <x:c r="G19" s="23" t="n">
        <x:v>4480.6</x:v>
      </x:c>
      <x:c r="H19" s="23" t="n">
        <x:v>15.8</x:v>
      </x:c>
      <x:c r="I19" s="24" t="n">
        <x:v>0.0035387923311234193</x:v>
      </x:c>
      <x:c r="J19" s="23" t="n">
        <x:f>ROUND(E19-F19,1)</x:f>
        <x:v>42.4</x:v>
      </x:c>
      <x:c r="K19" s="22" t="str">
        <x:v>IF2612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4485</x:v>
      </x:c>
      <x:c r="E20" s="23" t="n">
        <x:v>4490.4</x:v>
      </x:c>
      <x:c r="F20" s="23" t="n">
        <x:v>4457.2</x:v>
      </x:c>
      <x:c r="G20" s="23" t="n">
        <x:v>4461.8</x:v>
      </x:c>
      <x:c r="H20" s="23" t="n">
        <x:v>-18.8</x:v>
      </x:c>
      <x:c r="I20" s="24" t="n">
        <x:v>-0.004195866625005595</x:v>
      </x:c>
      <x:c r="J20" s="23" t="n">
        <x:f>ROUND(E20-F20,1)</x:f>
        <x:v>33.2</x:v>
      </x:c>
      <x:c r="K20" s="22" t="str">
        <x:v>IF2612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4439</x:v>
      </x:c>
      <x:c r="E21" s="23" t="n">
        <x:v>4443.6</x:v>
      </x:c>
      <x:c r="F21" s="23" t="n">
        <x:v>4367</x:v>
      </x:c>
      <x:c r="G21" s="23" t="n">
        <x:v>4375</x:v>
      </x:c>
      <x:c r="H21" s="23" t="n">
        <x:v>-86.8</x:v>
      </x:c>
      <x:c r="I21" s="24" t="n">
        <x:v>-0.019454032005020383</x:v>
      </x:c>
      <x:c r="J21" s="23" t="n">
        <x:f>ROUND(E21-F21,1)</x:f>
        <x:v>76.6</x:v>
      </x:c>
      <x:c r="K21" s="22" t="str">
        <x:v>IF2612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4365</x:v>
      </x:c>
      <x:c r="E22" s="23" t="n">
        <x:v>4366.8</x:v>
      </x:c>
      <x:c r="F22" s="23" t="n">
        <x:v>4246</x:v>
      </x:c>
      <x:c r="G22" s="23" t="n">
        <x:v>4280.8</x:v>
      </x:c>
      <x:c r="H22" s="23" t="n">
        <x:v>-94.2</x:v>
      </x:c>
      <x:c r="I22" s="24" t="n">
        <x:v>-0.021531428571428535</x:v>
      </x:c>
      <x:c r="J22" s="26" t="n">
        <x:f>ROUND(E22-F22,1)</x:f>
        <x:v>120.8</x:v>
      </x:c>
      <x:c r="K22" s="22" t="str">
        <x:v>IF2612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1049.8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55.3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2856.4</x:v>
      </x:c>
      <x:c r="E17" s="42" t="n">
        <x:v>2870.8</x:v>
      </x:c>
      <x:c r="F17" s="42" t="n">
        <x:v>2853.4</x:v>
      </x:c>
      <x:c r="G17" s="42" t="n">
        <x:v>2862.2</x:v>
      </x:c>
      <x:c r="H17" s="42" t="n">
        <x:v>16.4</x:v>
      </x:c>
      <x:c r="I17" s="43" t="n">
        <x:v>0.0057628786281536115</x:v>
      </x:c>
      <x:c r="J17" s="42" t="n">
        <x:f>ROUND(E17-F17,1)</x:f>
        <x:v>17.4</x:v>
      </x:c>
      <x:c r="K17" s="41" t="str">
        <x:v>IH2609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2830</x:v>
      </x:c>
      <x:c r="E18" s="23" t="n">
        <x:v>2849.8</x:v>
      </x:c>
      <x:c r="F18" s="23" t="n">
        <x:v>2822</x:v>
      </x:c>
      <x:c r="G18" s="23" t="n">
        <x:v>2847.4</x:v>
      </x:c>
      <x:c r="H18" s="23" t="n">
        <x:v>-14.8</x:v>
      </x:c>
      <x:c r="I18" s="24" t="n">
        <x:v>-0.005170847599748396</x:v>
      </x:c>
      <x:c r="J18" s="23" t="n">
        <x:f>ROUND(E18-F18,1)</x:f>
        <x:v>27.8</x:v>
      </x:c>
      <x:c r="K18" s="22" t="str">
        <x:v>IH2612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2860</x:v>
      </x:c>
      <x:c r="E19" s="23" t="n">
        <x:v>2881.2</x:v>
      </x:c>
      <x:c r="F19" s="23" t="n">
        <x:v>2859.8</x:v>
      </x:c>
      <x:c r="G19" s="23" t="n">
        <x:v>2867</x:v>
      </x:c>
      <x:c r="H19" s="23" t="n">
        <x:v>19.6</x:v>
      </x:c>
      <x:c r="I19" s="24" t="n">
        <x:v>0.006883472641708188</x:v>
      </x:c>
      <x:c r="J19" s="23" t="n">
        <x:f>ROUND(E19-F19,1)</x:f>
        <x:v>21.4</x:v>
      </x:c>
      <x:c r="K19" s="22" t="str">
        <x:v>IH2612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2870.4</x:v>
      </x:c>
      <x:c r="E20" s="23" t="n">
        <x:v>2875.6</x:v>
      </x:c>
      <x:c r="F20" s="23" t="n">
        <x:v>2855.2</x:v>
      </x:c>
      <x:c r="G20" s="23" t="n">
        <x:v>2859.4</x:v>
      </x:c>
      <x:c r="H20" s="23" t="n">
        <x:v>-7.6</x:v>
      </x:c>
      <x:c r="I20" s="24" t="n">
        <x:v>-0.0026508545517962556</x:v>
      </x:c>
      <x:c r="J20" s="23" t="n">
        <x:f>ROUND(E20-F20,1)</x:f>
        <x:v>20.4</x:v>
      </x:c>
      <x:c r="K20" s="22" t="str">
        <x:v>IH2612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2838</x:v>
      </x:c>
      <x:c r="E21" s="23" t="n">
        <x:v>2850</x:v>
      </x:c>
      <x:c r="F21" s="23" t="n">
        <x:v>2798</x:v>
      </x:c>
      <x:c r="G21" s="23" t="n">
        <x:v>2804.6</x:v>
      </x:c>
      <x:c r="H21" s="23" t="n">
        <x:v>-54.8</x:v>
      </x:c>
      <x:c r="I21" s="24" t="n">
        <x:v>-0.019164859760789077</x:v>
      </x:c>
      <x:c r="J21" s="23" t="n">
        <x:f>ROUND(E21-F21,1)</x:f>
        <x:v>52</x:v>
      </x:c>
      <x:c r="K21" s="22" t="str">
        <x:v>IH2612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2802</x:v>
      </x:c>
      <x:c r="E22" s="23" t="n">
        <x:v>2803.8</x:v>
      </x:c>
      <x:c r="F22" s="23" t="n">
        <x:v>2746</x:v>
      </x:c>
      <x:c r="G22" s="23" t="n">
        <x:v>2770.2</x:v>
      </x:c>
      <x:c r="H22" s="23" t="n">
        <x:v>-34.4</x:v>
      </x:c>
      <x:c r="I22" s="24" t="n">
        <x:v>-0.012265563716751138</x:v>
      </x:c>
      <x:c r="J22" s="23" t="n">
        <x:f>ROUND(E22-F22,1)</x:f>
        <x:v>57.8</x:v>
      </x:c>
      <x:c r="K22" s="22" t="str">
        <x:v>IH2612</x:v>
      </x:c>
    </x:row>
    <x:row r="25">
      <x:c r="A25" s="31" t="str">
        <x:v>合计</x:v>
      </x:c>
      <x:c r="B25" s="30" t="n">
        <x:v>19</x:v>
      </x:c>
      <x:c r="C25" s="30"/>
      <x:c r="D25" s="30"/>
      <x:c r="E25" s="30"/>
      <x:c r="F25" s="30"/>
      <x:c r="G25" s="30"/>
      <x:c r="H25" s="30"/>
      <x:c r="I25" s="30"/>
      <x:c r="J25" s="32" t="n">
        <x:f>SUM(J4:J22)</x:f>
        <x:v>611.8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ROUND(IFERROR(AVERAGE(J4:J22),0),1)</x:f>
        <x:v>32.2</x:v>
      </x:c>
      <x:c r="K26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28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28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28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28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28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28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28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28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28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28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28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28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28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135900</x:v>
      </x:c>
      <x:c r="E17" s="42" t="n">
        <x:v>135900</x:v>
      </x:c>
      <x:c r="F17" s="42" t="n">
        <x:v>126940</x:v>
      </x:c>
      <x:c r="G17" s="42" t="n">
        <x:v>128580</x:v>
      </x:c>
      <x:c r="H17" s="28" t="n">
        <x:v>-3700</x:v>
      </x:c>
      <x:c r="I17" s="43" t="n">
        <x:v>-0.02797097066827936</x:v>
      </x:c>
      <x:c r="J17" s="26" t="n">
        <x:f>ROUND(E17-F17,1)</x:f>
        <x:v>8960</x:v>
      </x:c>
      <x:c r="K17" s="41" t="str">
        <x:v>LC2610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128500</x:v>
      </x:c>
      <x:c r="E18" s="23" t="n">
        <x:v>134800</x:v>
      </x:c>
      <x:c r="F18" s="23" t="n">
        <x:v>127100</x:v>
      </x:c>
      <x:c r="G18" s="23" t="n">
        <x:v>133500</x:v>
      </x:c>
      <x:c r="H18" s="28" t="n">
        <x:v>4920</x:v>
      </x:c>
      <x:c r="I18" s="24" t="n">
        <x:v>0.038264115725618275</x:v>
      </x:c>
      <x:c r="J18" s="26" t="n">
        <x:f>ROUND(E18-F18,1)</x:f>
        <x:v>7700</x:v>
      </x:c>
      <x:c r="K18" s="22" t="str">
        <x:v>LC2610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133040</x:v>
      </x:c>
      <x:c r="E19" s="23" t="n">
        <x:v>136560</x:v>
      </x:c>
      <x:c r="F19" s="23" t="n">
        <x:v>131400</x:v>
      </x:c>
      <x:c r="G19" s="23" t="n">
        <x:v>135480</x:v>
      </x:c>
      <x:c r="H19" s="28" t="n">
        <x:v>1980</x:v>
      </x:c>
      <x:c r="I19" s="24" t="n">
        <x:v>0.014831460674157304</x:v>
      </x:c>
      <x:c r="J19" s="23" t="n">
        <x:f>ROUND(E19-F19,1)</x:f>
        <x:v>5160</x:v>
      </x:c>
      <x:c r="K19" s="22" t="str">
        <x:v>LC2610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136000</x:v>
      </x:c>
      <x:c r="E20" s="23" t="n">
        <x:v>136000</x:v>
      </x:c>
      <x:c r="F20" s="23" t="n">
        <x:v>129360</x:v>
      </x:c>
      <x:c r="G20" s="23" t="n">
        <x:v>129840</x:v>
      </x:c>
      <x:c r="H20" s="28" t="n">
        <x:v>-5640</x:v>
      </x:c>
      <x:c r="I20" s="24" t="n">
        <x:v>-0.041629760850310005</x:v>
      </x:c>
      <x:c r="J20" s="26" t="n">
        <x:f>ROUND(E20-F20,1)</x:f>
        <x:v>6640</x:v>
      </x:c>
      <x:c r="K20" s="22" t="str">
        <x:v>LC2610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131640</x:v>
      </x:c>
      <x:c r="E21" s="23" t="n">
        <x:v>131640</x:v>
      </x:c>
      <x:c r="F21" s="23" t="n">
        <x:v>125000</x:v>
      </x:c>
      <x:c r="G21" s="23" t="n">
        <x:v>125980</x:v>
      </x:c>
      <x:c r="H21" s="28" t="n">
        <x:v>-3860</x:v>
      </x:c>
      <x:c r="I21" s="24" t="n">
        <x:v>-0.029728897104128182</x:v>
      </x:c>
      <x:c r="J21" s="26" t="n">
        <x:f>ROUND(E21-F21,1)</x:f>
        <x:v>6640</x:v>
      </x:c>
      <x:c r="K21" s="22" t="str">
        <x:v>LC2610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124280</x:v>
      </x:c>
      <x:c r="E22" s="23" t="n">
        <x:v>124660</x:v>
      </x:c>
      <x:c r="F22" s="23" t="n">
        <x:v>119520</x:v>
      </x:c>
      <x:c r="G22" s="23" t="n">
        <x:v>119980</x:v>
      </x:c>
      <x:c r="H22" s="28" t="n">
        <x:v>-6000</x:v>
      </x:c>
      <x:c r="I22" s="24" t="n">
        <x:v>-0.04762660739799973</x:v>
      </x:c>
      <x:c r="J22" s="23" t="n">
        <x:f>ROUND(E22-F22,1)</x:f>
        <x:v>5140</x:v>
      </x:c>
      <x:c r="K22" s="22" t="str">
        <x:v>LC2610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119080</x:v>
      </x:c>
      <x:c r="E23" s="23" t="n">
        <x:v>122480</x:v>
      </x:c>
      <x:c r="F23" s="23" t="n">
        <x:v>118100</x:v>
      </x:c>
      <x:c r="G23" s="23" t="n">
        <x:v>120000</x:v>
      </x:c>
      <x:c r="H23" s="23" t="n">
        <x:v>20</x:v>
      </x:c>
      <x:c r="I23" s="24" t="n">
        <x:v>0.00016669444907480013</x:v>
      </x:c>
      <x:c r="J23" s="23" t="n">
        <x:f>ROUND(E23-F23,1)</x:f>
        <x:v>4380</x:v>
      </x:c>
      <x:c r="K23" s="22" t="str">
        <x:v>LC2610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117840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5892</x:v>
      </x:c>
      <x:c r="K27" s="30"/>
    </x:row>
  </x:sheetData>
  <x:mergeCells>
    <x:mergeCell ref="A1:K1"/>
  </x:mergeCells>
  <x:pageMargins left="0.7" right="0.7" top="0.75" bottom="0.75" header="0.3" footer="0.3"/>
</x:worksheet>
</file>