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af9e6ea1144e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f5d80af2dab49f6"/>
    <x:sheet xmlns:r="http://schemas.openxmlformats.org/officeDocument/2006/relationships" name="周振幅统计" sheetId="2" r:id="Ra945f639a3634dfb"/>
    <x:sheet xmlns:r="http://schemas.openxmlformats.org/officeDocument/2006/relationships" name="中证1000" sheetId="3" r:id="Rf25d3aaf1ac54a06"/>
    <x:sheet xmlns:r="http://schemas.openxmlformats.org/officeDocument/2006/relationships" name="中证500" sheetId="4" r:id="R0f1f1b86064e407e"/>
    <x:sheet xmlns:r="http://schemas.openxmlformats.org/officeDocument/2006/relationships" name="上证指数" sheetId="5" r:id="R5739fa15f46045d7"/>
    <x:sheet xmlns:r="http://schemas.openxmlformats.org/officeDocument/2006/relationships" name="IM主力" sheetId="6" r:id="Rdb20aafd02fc4d92"/>
    <x:sheet xmlns:r="http://schemas.openxmlformats.org/officeDocument/2006/relationships" name="IC主力" sheetId="7" r:id="Rfbaafecdc5074912"/>
    <x:sheet xmlns:r="http://schemas.openxmlformats.org/officeDocument/2006/relationships" name="IF主力" sheetId="8" r:id="R265f4d2596de4dd1"/>
    <x:sheet xmlns:r="http://schemas.openxmlformats.org/officeDocument/2006/relationships" name="IH主力" sheetId="9" r:id="Re382ca6ae45a40b5"/>
    <x:sheet xmlns:r="http://schemas.openxmlformats.org/officeDocument/2006/relationships" name="碳酸锂2609" sheetId="10" r:id="Rcdb1d6a989f041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eadccdc5c6489e" /><Relationship Type="http://schemas.openxmlformats.org/officeDocument/2006/relationships/theme" Target="/xl/theme/theme1.xml" Id="Rcba9cd7e960743be" /><Relationship Type="http://schemas.openxmlformats.org/officeDocument/2006/relationships/sharedStrings" Target="/xl/sharedStrings.xml" Id="R9c93ca6595aa4b22" /><Relationship Type="http://schemas.openxmlformats.org/officeDocument/2006/relationships/worksheet" Target="/xl/worksheets/sheet1.xml" Id="R8f5d80af2dab49f6" /><Relationship Type="http://schemas.openxmlformats.org/officeDocument/2006/relationships/worksheet" Target="/xl/worksheets/sheet2.xml" Id="Ra945f639a3634dfb" /><Relationship Type="http://schemas.openxmlformats.org/officeDocument/2006/relationships/worksheet" Target="/xl/worksheets/sheet3.xml" Id="Rf25d3aaf1ac54a06" /><Relationship Type="http://schemas.openxmlformats.org/officeDocument/2006/relationships/worksheet" Target="/xl/worksheets/sheet4.xml" Id="R0f1f1b86064e407e" /><Relationship Type="http://schemas.openxmlformats.org/officeDocument/2006/relationships/worksheet" Target="/xl/worksheets/sheet5.xml" Id="R5739fa15f46045d7" /><Relationship Type="http://schemas.openxmlformats.org/officeDocument/2006/relationships/worksheet" Target="/xl/worksheets/sheet6.xml" Id="Rdb20aafd02fc4d92" /><Relationship Type="http://schemas.openxmlformats.org/officeDocument/2006/relationships/worksheet" Target="/xl/worksheets/sheet7.xml" Id="Rfbaafecdc5074912" /><Relationship Type="http://schemas.openxmlformats.org/officeDocument/2006/relationships/worksheet" Target="/xl/worksheets/sheet8.xml" Id="R265f4d2596de4dd1" /><Relationship Type="http://schemas.openxmlformats.org/officeDocument/2006/relationships/worksheet" Target="/xl/worksheets/sheet9.xml" Id="Re382ca6ae45a40b5" /><Relationship Type="http://schemas.openxmlformats.org/officeDocument/2006/relationships/worksheet" Target="/xl/worksheets/sheet10.xml" Id="Rcdb1d6a989f041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2026-08-11</x:v>
      </x:c>
      <x:c r="C4" s="10" t="n">
        <x:v>7789.21</x:v>
      </x:c>
      <x:c r="D4" s="10" t="n">
        <x:v>7642.44</x:v>
      </x:c>
      <x:c r="E4" s="12" t="n">
        <x:v>146.8</x:v>
      </x:c>
      <x:c r="F4" s="9" t="n">
        <x:v>7</x:v>
      </x:c>
      <x:c r="G4" s="10" t="n">
        <x:v>1178.8</x:v>
      </x:c>
      <x:c r="H4" s="10" t="n">
        <x:v>168.4</x:v>
      </x:c>
      <x:c r="I4" s="10" t="n">
        <x:v>180</x:v>
      </x:c>
    </x:row>
    <x:row r="5">
      <x:c r="A5" s="9" t="str">
        <x:v>中证500</x:v>
      </x:c>
      <x:c r="B5" s="9" t="str">
        <x:v>2026-08-11</x:v>
      </x:c>
      <x:c r="C5" s="10" t="n">
        <x:v>8078.36</x:v>
      </x:c>
      <x:c r="D5" s="10" t="n">
        <x:v>7947.67</x:v>
      </x:c>
      <x:c r="E5" s="12" t="n">
        <x:v>130.7</x:v>
      </x:c>
      <x:c r="F5" s="9" t="n">
        <x:v>7</x:v>
      </x:c>
      <x:c r="G5" s="10" t="n">
        <x:v>1191.1</x:v>
      </x:c>
      <x:c r="H5" s="10" t="n">
        <x:v>170.2</x:v>
      </x:c>
      <x:c r="I5" s="10" t="n">
        <x:v>160</x:v>
      </x:c>
    </x:row>
    <x:row r="6">
      <x:c r="A6" s="9" t="str">
        <x:v>上证指数</x:v>
      </x:c>
      <x:c r="B6" s="9" t="str">
        <x:v>2026-08-11</x:v>
      </x:c>
      <x:c r="C6" s="10" t="n">
        <x:v>3966.39</x:v>
      </x:c>
      <x:c r="D6" s="10" t="n">
        <x:v>3930.64</x:v>
      </x:c>
      <x:c r="E6" s="12" t="n">
        <x:v>35.8</x:v>
      </x:c>
      <x:c r="F6" s="9" t="n">
        <x:v>7</x:v>
      </x:c>
      <x:c r="G6" s="10" t="n">
        <x:v>289.6</x:v>
      </x:c>
      <x:c r="H6" s="10" t="n">
        <x:v>41.4</x:v>
      </x:c>
      <x:c r="I6" s="10" t="n">
        <x:v>50</x:v>
      </x:c>
    </x:row>
    <x:row r="7">
      <x:c r="A7" s="9" t="str">
        <x:v>IM主力</x:v>
      </x:c>
      <x:c r="B7" s="9" t="str">
        <x:v>2026-08-10</x:v>
      </x:c>
      <x:c r="C7" s="10" t="n">
        <x:v>7631.2</x:v>
      </x:c>
      <x:c r="D7" s="10" t="n">
        <x:v>7525</x:v>
      </x:c>
      <x:c r="E7" s="12" t="n">
        <x:v>106.2</x:v>
      </x:c>
      <x:c r="F7" s="9" t="n">
        <x:v>6</x:v>
      </x:c>
      <x:c r="G7" s="10" t="n">
        <x:v>1021</x:v>
      </x:c>
      <x:c r="H7" s="10" t="n">
        <x:v>170.2</x:v>
      </x:c>
      <x:c r="I7" s="10" t="n">
        <x:v>190</x:v>
      </x:c>
    </x:row>
    <x:row r="8">
      <x:c r="A8" s="9" t="str">
        <x:v>IC主力</x:v>
      </x:c>
      <x:c r="B8" s="9" t="str">
        <x:v>2026-08-10</x:v>
      </x:c>
      <x:c r="C8" s="10" t="n">
        <x:v>7918</x:v>
      </x:c>
      <x:c r="D8" s="10" t="n">
        <x:v>7795.8</x:v>
      </x:c>
      <x:c r="E8" s="12" t="n">
        <x:v>122.2</x:v>
      </x:c>
      <x:c r="F8" s="9" t="n">
        <x:v>6</x:v>
      </x:c>
      <x:c r="G8" s="10" t="n">
        <x:v>1051.2</x:v>
      </x:c>
      <x:c r="H8" s="10" t="n">
        <x:v>175.2</x:v>
      </x:c>
      <x:c r="I8" s="10" t="n">
        <x:v>150</x:v>
      </x:c>
    </x:row>
    <x:row r="9">
      <x:c r="A9" s="9" t="str">
        <x:v>IF主力</x:v>
      </x:c>
      <x:c r="B9" s="9" t="str">
        <x:v>2026-08-10</x:v>
      </x:c>
      <x:c r="C9" s="10" t="n">
        <x:v>4663</x:v>
      </x:c>
      <x:c r="D9" s="10" t="n">
        <x:v>4611</x:v>
      </x:c>
      <x:c r="E9" s="12" t="n">
        <x:v>52</x:v>
      </x:c>
      <x:c r="F9" s="9" t="n">
        <x:v>6</x:v>
      </x:c>
      <x:c r="G9" s="10" t="n">
        <x:v>380.4</x:v>
      </x:c>
      <x:c r="H9" s="10" t="n">
        <x:v>63.4</x:v>
      </x:c>
      <x:c r="I9" s="10" t="n">
        <x:v>90</x:v>
      </x:c>
    </x:row>
    <x:row r="10">
      <x:c r="A10" s="9" t="str">
        <x:v>IH主力</x:v>
      </x:c>
      <x:c r="B10" s="9" t="str">
        <x:v>2026-08-10</x:v>
      </x:c>
      <x:c r="C10" s="10" t="n">
        <x:v>2949.6</x:v>
      </x:c>
      <x:c r="D10" s="10" t="n">
        <x:v>2927.8</x:v>
      </x:c>
      <x:c r="E10" s="12" t="n">
        <x:v>21.8</x:v>
      </x:c>
      <x:c r="F10" s="9" t="n">
        <x:v>6</x:v>
      </x:c>
      <x:c r="G10" s="10" t="n">
        <x:v>208.6</x:v>
      </x:c>
      <x:c r="H10" s="10" t="n">
        <x:v>34.8</x:v>
      </x:c>
      <x:c r="I10" s="10" t="n">
        <x:v>60</x:v>
      </x:c>
    </x:row>
    <x:row r="11">
      <x:c r="A11" s="9" t="str">
        <x:v>碳酸锂2609</x:v>
      </x:c>
      <x:c r="B11" s="9" t="str">
        <x:v>2026-08-11</x:v>
      </x:c>
      <x:c r="C11" s="10" t="n">
        <x:v>146680</x:v>
      </x:c>
      <x:c r="D11" s="10" t="n">
        <x:v>143500</x:v>
      </x:c>
      <x:c r="E11" s="12" t="n">
        <x:v>3180</x:v>
      </x:c>
      <x:c r="F11" s="9" t="n">
        <x:v>7</x:v>
      </x:c>
      <x:c r="G11" s="10" t="n">
        <x:v>35380</x:v>
      </x:c>
      <x:c r="H11" s="10" t="n">
        <x:v>5054.3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8月10日-8月11日</x:v>
      </x:c>
      <x:c r="C6" s="23" t="n">
        <x:v>7723.38</x:v>
      </x:c>
      <x:c r="D6" s="23" t="n">
        <x:v>7789.21</x:v>
      </x:c>
      <x:c r="E6" s="23" t="n">
        <x:v>7621.65</x:v>
      </x:c>
      <x:c r="F6" s="23" t="n">
        <x:v>7698.05</x:v>
      </x:c>
      <x:c r="G6" s="23" t="n">
        <x:f>ROUND(F6-F5,1)</x:f>
        <x:v>18.5</x:v>
      </x:c>
      <x:c r="H6" s="24" t="n">
        <x:f>IFERROR(F6/F5-1,"")</x:f>
        <x:v>0.002411605918591464</x:v>
      </x:c>
      <x:c r="I6" s="23" t="n">
        <x:f>ROUND(D6-E6,1)</x:f>
        <x:v>167.6</x:v>
      </x:c>
      <x:c r="J6" s="22" t="str">
        <x:v>中证1000</x:v>
      </x:c>
      <x:c r="K6" s="22" t="n">
        <x:v>2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810.3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405.2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8月10日-8月11日</x:v>
      </x:c>
      <x:c r="C13" s="23" t="n">
        <x:v>8003.92</x:v>
      </x:c>
      <x:c r="D13" s="23" t="n">
        <x:v>8078.36</x:v>
      </x:c>
      <x:c r="E13" s="23" t="n">
        <x:v>7910.84</x:v>
      </x:c>
      <x:c r="F13" s="23" t="n">
        <x:v>7967.54</x:v>
      </x:c>
      <x:c r="G13" s="23" t="n">
        <x:f>ROUND(F13-F12,1)</x:f>
        <x:v>-12.6</x:v>
      </x:c>
      <x:c r="H13" s="24" t="n">
        <x:f>IFERROR(F13/F12-1,"")</x:f>
        <x:v>-0.0015764173972321327</x:v>
      </x:c>
      <x:c r="I13" s="26" t="n">
        <x:f>ROUND(D13-E13,1)</x:f>
        <x:v>167.5</x:v>
      </x:c>
      <x:c r="J13" s="22" t="str">
        <x:v>中证500</x:v>
      </x:c>
      <x:c r="K13" s="22" t="n">
        <x:v>2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752.7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376.4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8月10日-8月11日</x:v>
      </x:c>
      <x:c r="C20" s="23" t="n">
        <x:v>3943.82</x:v>
      </x:c>
      <x:c r="D20" s="23" t="n">
        <x:v>3967.59</x:v>
      </x:c>
      <x:c r="E20" s="23" t="n">
        <x:v>3930.64</x:v>
      </x:c>
      <x:c r="F20" s="23" t="n">
        <x:v>3934.09</x:v>
      </x:c>
      <x:c r="G20" s="23" t="n">
        <x:f>ROUND(F20-F19,1)</x:f>
        <x:v>-5.9</x:v>
      </x:c>
      <x:c r="H20" s="24" t="n">
        <x:f>IFERROR(F20/F19-1,"")</x:f>
        <x:v>-0.0015101369529242348</x:v>
      </x:c>
      <x:c r="I20" s="23" t="n">
        <x:f>ROUND(D20-E20,1)</x:f>
        <x:v>37</x:v>
      </x:c>
      <x:c r="J20" s="22" t="str">
        <x:v>上证指数</x:v>
      </x:c>
      <x:c r="K20" s="22" t="n">
        <x:v>2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180.3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90.2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</x:v>
      </x:c>
      <x:c r="C27" s="23" t="n">
        <x:v>7628.8</x:v>
      </x:c>
      <x:c r="D27" s="23" t="n">
        <x:v>7631.2</x:v>
      </x:c>
      <x:c r="E27" s="23" t="n">
        <x:v>7525</x:v>
      </x:c>
      <x:c r="F27" s="23" t="n">
        <x:v>7607.2</x:v>
      </x:c>
      <x:c r="G27" s="23" t="n">
        <x:f>ROUND(F27-F26,1)</x:f>
        <x:v>16.6</x:v>
      </x:c>
      <x:c r="H27" s="24" t="n">
        <x:f>IFERROR(F27/F26-1,"")</x:f>
        <x:v>0.002186915395357314</x:v>
      </x:c>
      <x:c r="I27" s="23" t="n">
        <x:f>ROUND(D27-E27,1)</x:f>
        <x:v>106.2</x:v>
      </x:c>
      <x:c r="J27" s="22" t="str">
        <x:v>IM2609</x:v>
      </x:c>
      <x:c r="K27" s="22" t="n">
        <x:v>1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724.4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362.2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</x:v>
      </x:c>
      <x:c r="C34" s="23" t="n">
        <x:v>7888</x:v>
      </x:c>
      <x:c r="D34" s="23" t="n">
        <x:v>7918</x:v>
      </x:c>
      <x:c r="E34" s="23" t="n">
        <x:v>7795.8</x:v>
      </x:c>
      <x:c r="F34" s="23" t="n">
        <x:v>7881.4</x:v>
      </x:c>
      <x:c r="G34" s="23" t="n">
        <x:f>ROUND(F34-F33,1)</x:f>
        <x:v>3.6</x:v>
      </x:c>
      <x:c r="H34" s="24" t="n">
        <x:f>IFERROR(F34/F33-1,"")</x:f>
        <x:v>0.0004569803752316748</x:v>
      </x:c>
      <x:c r="I34" s="23" t="n">
        <x:f>ROUND(D34-E34,1)</x:f>
        <x:v>122.2</x:v>
      </x:c>
      <x:c r="J34" s="22" t="str">
        <x:v>IC2609</x:v>
      </x:c>
      <x:c r="K34" s="22" t="n">
        <x:v>1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669.8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334.9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</x:v>
      </x:c>
      <x:c r="C41" s="23" t="n">
        <x:v>4656.8</x:v>
      </x:c>
      <x:c r="D41" s="23" t="n">
        <x:v>4663</x:v>
      </x:c>
      <x:c r="E41" s="23" t="n">
        <x:v>4611</x:v>
      </x:c>
      <x:c r="F41" s="23" t="n">
        <x:v>4644.6</x:v>
      </x:c>
      <x:c r="G41" s="23" t="n">
        <x:f>ROUND(F41-F40,1)</x:f>
        <x:v>-1</x:v>
      </x:c>
      <x:c r="H41" s="24" t="n">
        <x:f>IFERROR(F41/F40-1,"")</x:f>
        <x:v>-0.00021525744790773516</x:v>
      </x:c>
      <x:c r="I41" s="23" t="n">
        <x:f>ROUND(D41-E41,1)</x:f>
        <x:v>52</x:v>
      </x:c>
      <x:c r="J41" s="22" t="str">
        <x:v>IF2609</x:v>
      </x:c>
      <x:c r="K41" s="22" t="n">
        <x:v>1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214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107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</x:v>
      </x:c>
      <x:c r="C48" s="23" t="n">
        <x:v>2930</x:v>
      </x:c>
      <x:c r="D48" s="23" t="n">
        <x:v>2949.6</x:v>
      </x:c>
      <x:c r="E48" s="23" t="n">
        <x:v>2927.8</x:v>
      </x:c>
      <x:c r="F48" s="23" t="n">
        <x:v>2936</x:v>
      </x:c>
      <x:c r="G48" s="23" t="n">
        <x:f>ROUND(F48-F47,1)</x:f>
        <x:v>6</x:v>
      </x:c>
      <x:c r="H48" s="24" t="n">
        <x:f>IFERROR(F48/F47-1,"")</x:f>
        <x:v>0.0020477815699657675</x:v>
      </x:c>
      <x:c r="I48" s="23" t="n">
        <x:f>ROUND(D48-E48,1)</x:f>
        <x:v>21.8</x:v>
      </x:c>
      <x:c r="J48" s="22" t="str">
        <x:v>IH2609</x:v>
      </x:c>
      <x:c r="K48" s="22" t="n">
        <x:v>1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106.6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53.3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8月10日-8月11日</x:v>
      </x:c>
      <x:c r="C55" s="23" t="n">
        <x:v>140500</x:v>
      </x:c>
      <x:c r="D55" s="23" t="n">
        <x:v>146680</x:v>
      </x:c>
      <x:c r="E55" s="23" t="n">
        <x:v>139280</x:v>
      </x:c>
      <x:c r="F55" s="23" t="n">
        <x:v>145860</x:v>
      </x:c>
      <x:c r="G55" s="34" t="n">
        <x:f>ROUND(F55-F54,1)</x:f>
        <x:v>5860</x:v>
      </x:c>
      <x:c r="H55" s="24" t="n">
        <x:f>IFERROR(F55/F54-1,"")</x:f>
        <x:v>0.041857142857142815</x:v>
      </x:c>
      <x:c r="I55" s="26" t="n">
        <x:f>ROUND(D55-E55,1)</x:f>
        <x:v>7400</x:v>
      </x:c>
      <x:c r="J55" s="22" t="str">
        <x:v>LC2609</x:v>
      </x:c>
      <x:c r="K55" s="22" t="n">
        <x:v>2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16640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8320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1178.8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168.4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1191.1000000000001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170.2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289.6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41.4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1021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170.2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1051.2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175.2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380.40000000000003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63.4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208.6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34.8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35380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5054.3</x:v>
      </x:c>
      <x:c r="K14" s="28"/>
    </x:row>
  </x:sheetData>
  <x:mergeCells>
    <x:mergeCell ref="A1:K1"/>
  </x:mergeCells>
  <x:pageMargins left="0.7" right="0.7" top="0.75" bottom="0.75" header="0.3" footer="0.3"/>
</x:worksheet>
</file>