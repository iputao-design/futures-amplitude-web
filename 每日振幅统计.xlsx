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1da695b6043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6f9db915ca84abf"/>
    <x:sheet xmlns:r="http://schemas.openxmlformats.org/officeDocument/2006/relationships" name="周振幅统计" sheetId="2" r:id="R949830abaa5e4bbf"/>
    <x:sheet xmlns:r="http://schemas.openxmlformats.org/officeDocument/2006/relationships" name="中证1000" sheetId="3" r:id="R4ca2be52f1f346a4"/>
    <x:sheet xmlns:r="http://schemas.openxmlformats.org/officeDocument/2006/relationships" name="中证500" sheetId="4" r:id="Rbbe73bca31d04fd1"/>
    <x:sheet xmlns:r="http://schemas.openxmlformats.org/officeDocument/2006/relationships" name="上证指数" sheetId="5" r:id="Rc1aa42fc62bd4fe3"/>
    <x:sheet xmlns:r="http://schemas.openxmlformats.org/officeDocument/2006/relationships" name="IM主力" sheetId="6" r:id="R90ac848b832b410c"/>
    <x:sheet xmlns:r="http://schemas.openxmlformats.org/officeDocument/2006/relationships" name="IC主力" sheetId="7" r:id="Rc25682c705d24c55"/>
    <x:sheet xmlns:r="http://schemas.openxmlformats.org/officeDocument/2006/relationships" name="IF主力" sheetId="8" r:id="Re3355a1891274c35"/>
    <x:sheet xmlns:r="http://schemas.openxmlformats.org/officeDocument/2006/relationships" name="IH主力" sheetId="9" r:id="Rb2be9439dff54b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243f23d71542d8" /><Relationship Type="http://schemas.openxmlformats.org/officeDocument/2006/relationships/theme" Target="/xl/theme/theme1.xml" Id="R94309dd4f7ff41b0" /><Relationship Type="http://schemas.openxmlformats.org/officeDocument/2006/relationships/sharedStrings" Target="/xl/sharedStrings.xml" Id="Rbfe8a6ec5ae3494b" /><Relationship Type="http://schemas.openxmlformats.org/officeDocument/2006/relationships/worksheet" Target="/xl/worksheets/sheet1.xml" Id="Re6f9db915ca84abf" /><Relationship Type="http://schemas.openxmlformats.org/officeDocument/2006/relationships/worksheet" Target="/xl/worksheets/sheet2.xml" Id="R949830abaa5e4bbf" /><Relationship Type="http://schemas.openxmlformats.org/officeDocument/2006/relationships/worksheet" Target="/xl/worksheets/sheet3.xml" Id="R4ca2be52f1f346a4" /><Relationship Type="http://schemas.openxmlformats.org/officeDocument/2006/relationships/worksheet" Target="/xl/worksheets/sheet4.xml" Id="Rbbe73bca31d04fd1" /><Relationship Type="http://schemas.openxmlformats.org/officeDocument/2006/relationships/worksheet" Target="/xl/worksheets/sheet5.xml" Id="Rc1aa42fc62bd4fe3" /><Relationship Type="http://schemas.openxmlformats.org/officeDocument/2006/relationships/worksheet" Target="/xl/worksheets/sheet6.xml" Id="R90ac848b832b410c" /><Relationship Type="http://schemas.openxmlformats.org/officeDocument/2006/relationships/worksheet" Target="/xl/worksheets/sheet7.xml" Id="Rc25682c705d24c55" /><Relationship Type="http://schemas.openxmlformats.org/officeDocument/2006/relationships/worksheet" Target="/xl/worksheets/sheet8.xml" Id="Re3355a1891274c35" /><Relationship Type="http://schemas.openxmlformats.org/officeDocument/2006/relationships/worksheet" Target="/xl/worksheets/sheet9.xml" Id="Rb2be9439dff54b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2026-08-04</x:v>
      </x:c>
      <x:c r="C4" s="10" t="n">
        <x:v>7307.17</x:v>
      </x:c>
      <x:c r="D4" s="10" t="n">
        <x:v>7102.46</x:v>
      </x:c>
      <x:c r="E4" s="12" t="n">
        <x:v>204.7</x:v>
      </x:c>
      <x:c r="F4" s="9" t="n">
        <x:v>2</x:v>
      </x:c>
      <x:c r="G4" s="10" t="n">
        <x:v>279.9</x:v>
      </x:c>
      <x:c r="H4" s="10" t="n">
        <x:v>140</x:v>
      </x:c>
      <x:c r="I4" s="10" t="n">
        <x:v>180</x:v>
      </x:c>
    </x:row>
    <x:row r="5">
      <x:c r="A5" s="9" t="str">
        <x:v>中证500</x:v>
      </x:c>
      <x:c r="B5" s="9" t="str">
        <x:v>2026-08-04</x:v>
      </x:c>
      <x:c r="C5" s="10" t="n">
        <x:v>7645.48</x:v>
      </x:c>
      <x:c r="D5" s="10" t="n">
        <x:v>7450.32</x:v>
      </x:c>
      <x:c r="E5" s="12" t="n">
        <x:v>195.2</x:v>
      </x:c>
      <x:c r="F5" s="9" t="n">
        <x:v>2</x:v>
      </x:c>
      <x:c r="G5" s="10" t="n">
        <x:v>296.8</x:v>
      </x:c>
      <x:c r="H5" s="10" t="n">
        <x:v>148.4</x:v>
      </x:c>
      <x:c r="I5" s="10" t="n">
        <x:v>160</x:v>
      </x:c>
    </x:row>
    <x:row r="6">
      <x:c r="A6" s="9" t="str">
        <x:v>上证指数</x:v>
      </x:c>
      <x:c r="B6" s="9" t="str">
        <x:v>2026-08-04</x:v>
      </x:c>
      <x:c r="C6" s="10" t="n">
        <x:v>3831.94</x:v>
      </x:c>
      <x:c r="D6" s="10" t="n">
        <x:v>3799.52</x:v>
      </x:c>
      <x:c r="E6" s="12" t="n">
        <x:v>32.4</x:v>
      </x:c>
      <x:c r="F6" s="9" t="n">
        <x:v>2</x:v>
      </x:c>
      <x:c r="G6" s="10" t="n">
        <x:v>62.4</x:v>
      </x:c>
      <x:c r="H6" s="10" t="n">
        <x:v>31.2</x:v>
      </x:c>
      <x:c r="I6" s="10" t="n">
        <x:v>50</x:v>
      </x:c>
    </x:row>
    <x:row r="7">
      <x:c r="A7" s="9" t="str">
        <x:v>IM主力</x:v>
      </x:c>
      <x:c r="B7" s="9" t="str">
        <x:v>2026-08-04</x:v>
      </x:c>
      <x:c r="C7" s="10" t="n">
        <x:v>7269.8</x:v>
      </x:c>
      <x:c r="D7" s="10" t="n">
        <x:v>7057.8</x:v>
      </x:c>
      <x:c r="E7" s="12" t="n">
        <x:v>212</x:v>
      </x:c>
      <x:c r="F7" s="9" t="n">
        <x:v>2</x:v>
      </x:c>
      <x:c r="G7" s="10" t="n">
        <x:v>300.2</x:v>
      </x:c>
      <x:c r="H7" s="10" t="n">
        <x:v>150.1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2</x:v>
      </x:c>
      <x:c r="G8" s="10" t="n">
        <x:v>311.2</x:v>
      </x:c>
      <x:c r="H8" s="10" t="n">
        <x:v>155.6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2</x:v>
      </x:c>
      <x:c r="G9" s="10" t="n">
        <x:v>100.4</x:v>
      </x:c>
      <x:c r="H9" s="10" t="n">
        <x:v>50.2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2</x:v>
      </x:c>
      <x:c r="G10" s="10" t="n">
        <x:v>69.6</x:v>
      </x:c>
      <x:c r="H10" s="10" t="n">
        <x:v>34.8</x:v>
      </x:c>
      <x:c r="I10" s="10" t="n">
        <x:v>60</x:v>
      </x:c>
    </x:row>
    <x:row r="13">
      <x:c r="A13" s="14" t="str">
        <x:v>统计区间</x:v>
      </x:c>
      <x:c r="B13" s="14" t="str">
        <x:v>2026-08-01</x:v>
      </x:c>
      <x:c r="C13" s="14" t="str">
        <x:v>2026-08-04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8月3日-8月4日</x:v>
      </x:c>
      <x:c r="C5" s="23" t="n">
        <x:v>7055.27</x:v>
      </x:c>
      <x:c r="D5" s="23" t="n">
        <x:v>7307.17</x:v>
      </x:c>
      <x:c r="E5" s="23" t="n">
        <x:v>7042.89</x:v>
      </x:c>
      <x:c r="F5" s="23" t="n">
        <x:v>7279.19</x:v>
      </x:c>
      <x:c r="G5" s="23"/>
      <x:c r="H5" s="24"/>
      <x:c r="I5" s="26" t="n">
        <x:f>ROUND(D5-E5,1)</x:f>
        <x:v>264.3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264.3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264.3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8月3日-8月4日</x:v>
      </x:c>
      <x:c r="C11" s="23" t="n">
        <x:v>7457.12</x:v>
      </x:c>
      <x:c r="D11" s="23" t="n">
        <x:v>7645.48</x:v>
      </x:c>
      <x:c r="E11" s="23" t="n">
        <x:v>7397.94</x:v>
      </x:c>
      <x:c r="F11" s="23" t="n">
        <x:v>7607.49</x:v>
      </x:c>
      <x:c r="G11" s="23"/>
      <x:c r="H11" s="24"/>
      <x:c r="I11" s="26" t="n">
        <x:f>ROUND(D11-E11,1)</x:f>
        <x:v>247.5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247.5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247.5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8月3日-8月4日</x:v>
      </x:c>
      <x:c r="C17" s="23" t="n">
        <x:v>3812.61</x:v>
      </x:c>
      <x:c r="D17" s="23" t="n">
        <x:v>3831.94</x:v>
      </x:c>
      <x:c r="E17" s="23" t="n">
        <x:v>3797.64</x:v>
      </x:c>
      <x:c r="F17" s="23" t="n">
        <x:v>3822.28</x:v>
      </x:c>
      <x:c r="G17" s="23"/>
      <x:c r="H17" s="24"/>
      <x:c r="I17" s="23" t="n">
        <x:f>ROUND(D17-E17,1)</x:f>
        <x:v>34.3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34.3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34.3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8月3日-8月4日</x:v>
      </x:c>
      <x:c r="C23" s="23" t="n">
        <x:v>7000</x:v>
      </x:c>
      <x:c r="D23" s="23" t="n">
        <x:v>7269.8</x:v>
      </x:c>
      <x:c r="E23" s="23" t="n">
        <x:v>6976</x:v>
      </x:c>
      <x:c r="F23" s="23" t="n">
        <x:v>7211.4</x:v>
      </x:c>
      <x:c r="G23" s="23"/>
      <x:c r="H23" s="24"/>
      <x:c r="I23" s="26" t="n">
        <x:f>ROUND(D23-E23,1)</x:f>
        <x:v>293.8</x:v>
      </x:c>
      <x:c r="J23" s="22" t="str">
        <x:v>IM2609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293.8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293.8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8月3日-8月4日</x:v>
      </x:c>
      <x:c r="C29" s="23" t="n">
        <x:v>7391</x:v>
      </x:c>
      <x:c r="D29" s="23" t="n">
        <x:v>7599</x:v>
      </x:c>
      <x:c r="E29" s="23" t="n">
        <x:v>7335</x:v>
      </x:c>
      <x:c r="F29" s="23" t="n">
        <x:v>7529</x:v>
      </x:c>
      <x:c r="G29" s="23"/>
      <x:c r="H29" s="24"/>
      <x:c r="I29" s="26" t="n">
        <x:f>ROUND(D29-E29,1)</x:f>
        <x:v>264</x:v>
      </x:c>
      <x:c r="J29" s="22" t="str">
        <x:v>IC2609</x:v>
      </x:c>
      <x:c r="K29" s="22" t="n">
        <x:v>2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264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264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8月3日-8月4日</x:v>
      </x:c>
      <x:c r="C35" s="23" t="n">
        <x:v>4526.4</x:v>
      </x:c>
      <x:c r="D35" s="23" t="n">
        <x:v>4580.8</x:v>
      </x:c>
      <x:c r="E35" s="23" t="n">
        <x:v>4494.2</x:v>
      </x:c>
      <x:c r="F35" s="23" t="n">
        <x:v>4552.8</x:v>
      </x:c>
      <x:c r="G35" s="23"/>
      <x:c r="H35" s="24"/>
      <x:c r="I35" s="23" t="n">
        <x:f>ROUND(D35-E35,1)</x:f>
        <x:v>86.6</x:v>
      </x:c>
      <x:c r="J35" s="22" t="str">
        <x:v>IF2609</x:v>
      </x:c>
      <x:c r="K35" s="22" t="n">
        <x:v>2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86.6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86.6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8月3日-8月4日</x:v>
      </x:c>
      <x:c r="C41" s="23" t="n">
        <x:v>2882.4</x:v>
      </x:c>
      <x:c r="D41" s="23" t="n">
        <x:v>2890</x:v>
      </x:c>
      <x:c r="E41" s="23" t="n">
        <x:v>2845.8</x:v>
      </x:c>
      <x:c r="F41" s="23" t="n">
        <x:v>2852.4</x:v>
      </x:c>
      <x:c r="G41" s="23"/>
      <x:c r="H41" s="24"/>
      <x:c r="I41" s="23" t="n">
        <x:f>ROUND(D41-E41,1)</x:f>
        <x:v>44.2</x:v>
      </x:c>
      <x:c r="J41" s="22" t="str">
        <x:v>IH2609</x:v>
      </x:c>
      <x:c r="K41" s="22" t="n">
        <x:v>2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44.2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44.2</x:v>
      </x:c>
      <x:c r="J43" s="28"/>
      <x:c r="K43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279.9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140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296.79999999999995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148.4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62.4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31.2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300.2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150.1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311.2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155.6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100.4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50.2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69.6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34.8</x:v>
      </x:c>
      <x:c r="K9" s="28"/>
    </x:row>
  </x:sheetData>
  <x:mergeCells>
    <x:mergeCell ref="A1:K1"/>
  </x:mergeCells>
  <x:pageMargins left="0.7" right="0.7" top="0.75" bottom="0.75" header="0.3" footer="0.3"/>
</x:worksheet>
</file>