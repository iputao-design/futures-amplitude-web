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e77577a0b44f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a071e1a86b84c16"/>
    <x:sheet xmlns:r="http://schemas.openxmlformats.org/officeDocument/2006/relationships" name="中证1000" sheetId="2" r:id="R495647af42844e36"/>
    <x:sheet xmlns:r="http://schemas.openxmlformats.org/officeDocument/2006/relationships" name="中证500" sheetId="3" r:id="R80d9b179477d4f6e"/>
    <x:sheet xmlns:r="http://schemas.openxmlformats.org/officeDocument/2006/relationships" name="上证指数" sheetId="4" r:id="R0af3dd2ca92a4c4b"/>
    <x:sheet xmlns:r="http://schemas.openxmlformats.org/officeDocument/2006/relationships" name="IM主力" sheetId="5" r:id="R4ad30927804245e1"/>
    <x:sheet xmlns:r="http://schemas.openxmlformats.org/officeDocument/2006/relationships" name="IC主力" sheetId="6" r:id="R8888543b2f554386"/>
    <x:sheet xmlns:r="http://schemas.openxmlformats.org/officeDocument/2006/relationships" name="IF主力" sheetId="7" r:id="R6a32c53f3d394117"/>
    <x:sheet xmlns:r="http://schemas.openxmlformats.org/officeDocument/2006/relationships" name="IH主力" sheetId="8" r:id="R6b86a9283bad4b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1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5" fillId="6" borderId="2" xfId="0" applyNumberFormat="1" applyFont="1" applyFill="1" applyBorder="1" applyAlignment="1">
      <x:alignment horizontal="center" vertical="center"/>
    </x:xf>
    <x:xf numFmtId="200" fontId="7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7" fillId="6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359f5da5164c46" /><Relationship Type="http://schemas.openxmlformats.org/officeDocument/2006/relationships/theme" Target="/xl/theme/theme1.xml" Id="Rc23f6014bb19473f" /><Relationship Type="http://schemas.openxmlformats.org/officeDocument/2006/relationships/sharedStrings" Target="/xl/sharedStrings.xml" Id="R4dbe1c4ff6b64caa" /><Relationship Type="http://schemas.openxmlformats.org/officeDocument/2006/relationships/worksheet" Target="/xl/worksheets/sheet1.xml" Id="R1a071e1a86b84c16" /><Relationship Type="http://schemas.openxmlformats.org/officeDocument/2006/relationships/worksheet" Target="/xl/worksheets/sheet2.xml" Id="R495647af42844e36" /><Relationship Type="http://schemas.openxmlformats.org/officeDocument/2006/relationships/worksheet" Target="/xl/worksheets/sheet3.xml" Id="R80d9b179477d4f6e" /><Relationship Type="http://schemas.openxmlformats.org/officeDocument/2006/relationships/worksheet" Target="/xl/worksheets/sheet4.xml" Id="R0af3dd2ca92a4c4b" /><Relationship Type="http://schemas.openxmlformats.org/officeDocument/2006/relationships/worksheet" Target="/xl/worksheets/sheet5.xml" Id="R4ad30927804245e1" /><Relationship Type="http://schemas.openxmlformats.org/officeDocument/2006/relationships/worksheet" Target="/xl/worksheets/sheet6.xml" Id="R8888543b2f554386" /><Relationship Type="http://schemas.openxmlformats.org/officeDocument/2006/relationships/worksheet" Target="/xl/worksheets/sheet7.xml" Id="R6a32c53f3d394117" /><Relationship Type="http://schemas.openxmlformats.org/officeDocument/2006/relationships/worksheet" Target="/xl/worksheets/sheet8.xml" Id="R6b86a9283bad4b0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2026-07-09</x:v>
      </x:c>
      <x:c r="C4" s="10" t="n">
        <x:v>8312.621</x:v>
      </x:c>
      <x:c r="D4" s="10" t="n">
        <x:v>7978.806</x:v>
      </x:c>
      <x:c r="E4" s="12" t="n">
        <x:v>333.8</x:v>
      </x:c>
      <x:c r="F4" s="9" t="n">
        <x:v>7</x:v>
      </x:c>
      <x:c r="G4" s="10" t="n">
        <x:v>1620.9</x:v>
      </x:c>
      <x:c r="H4" s="10" t="n">
        <x:v>231.6</x:v>
      </x:c>
      <x:c r="I4" s="10" t="n">
        <x:v>180</x:v>
      </x:c>
    </x:row>
    <x:row r="5">
      <x:c r="A5" s="9" t="str">
        <x:v>中证500</x:v>
      </x:c>
      <x:c r="B5" s="9" t="str">
        <x:v>2026-07-09</x:v>
      </x:c>
      <x:c r="C5" s="10" t="n">
        <x:v>8659.65</x:v>
      </x:c>
      <x:c r="D5" s="10" t="n">
        <x:v>8281.953</x:v>
      </x:c>
      <x:c r="E5" s="12" t="n">
        <x:v>377.7</x:v>
      </x:c>
      <x:c r="F5" s="9" t="n">
        <x:v>7</x:v>
      </x:c>
      <x:c r="G5" s="10" t="n">
        <x:v>1744.5</x:v>
      </x:c>
      <x:c r="H5" s="10" t="n">
        <x:v>249.2</x:v>
      </x:c>
      <x:c r="I5" s="10" t="n">
        <x:v>160</x:v>
      </x:c>
    </x:row>
    <x:row r="6">
      <x:c r="A6" s="9" t="str">
        <x:v>上证指数</x:v>
      </x:c>
      <x:c r="B6" s="9" t="str">
        <x:v>2026-07-09</x:v>
      </x:c>
      <x:c r="C6" s="10" t="n">
        <x:v>4040.539</x:v>
      </x:c>
      <x:c r="D6" s="10" t="n">
        <x:v>3938.878</x:v>
      </x:c>
      <x:c r="E6" s="12" t="n">
        <x:v>101.7</x:v>
      </x:c>
      <x:c r="F6" s="9" t="n">
        <x:v>7</x:v>
      </x:c>
      <x:c r="G6" s="10" t="n">
        <x:v>438.2</x:v>
      </x:c>
      <x:c r="H6" s="10" t="n">
        <x:v>62.6</x:v>
      </x:c>
      <x:c r="I6" s="10" t="n">
        <x:v>50</x:v>
      </x:c>
    </x:row>
    <x:row r="7">
      <x:c r="A7" s="9" t="str">
        <x:v>IM主力</x:v>
      </x:c>
      <x:c r="B7" s="9" t="str">
        <x:v>2026-07-08</x:v>
      </x:c>
      <x:c r="C7" s="10" t="n">
        <x:v>8149.8</x:v>
      </x:c>
      <x:c r="D7" s="10" t="n">
        <x:v>7965</x:v>
      </x:c>
      <x:c r="E7" s="12" t="n">
        <x:v>184.8</x:v>
      </x:c>
      <x:c r="F7" s="9" t="n">
        <x:v>6</x:v>
      </x:c>
      <x:c r="G7" s="10" t="n">
        <x:v>1095.2</x:v>
      </x:c>
      <x:c r="H7" s="10" t="n">
        <x:v>182.5</x:v>
      </x:c>
      <x:c r="I7" s="10" t="n">
        <x:v>190</x:v>
      </x:c>
    </x:row>
    <x:row r="8">
      <x:c r="A8" s="9" t="str">
        <x:v>IC主力</x:v>
      </x:c>
      <x:c r="B8" s="9" t="str">
        <x:v>2026-07-09</x:v>
      </x:c>
      <x:c r="C8" s="10" t="n">
        <x:v>8509.2</x:v>
      </x:c>
      <x:c r="D8" s="10" t="n">
        <x:v>8173</x:v>
      </x:c>
      <x:c r="E8" s="12" t="n">
        <x:v>336.2</x:v>
      </x:c>
      <x:c r="F8" s="9" t="n">
        <x:v>7</x:v>
      </x:c>
      <x:c r="G8" s="10" t="n">
        <x:v>1561.4</x:v>
      </x:c>
      <x:c r="H8" s="10" t="n">
        <x:v>223.1</x:v>
      </x:c>
      <x:c r="I8" s="10" t="n">
        <x:v>150</x:v>
      </x:c>
    </x:row>
    <x:row r="9">
      <x:c r="A9" s="9" t="str">
        <x:v>IF主力</x:v>
      </x:c>
      <x:c r="B9" s="9" t="str">
        <x:v>2026-07-08</x:v>
      </x:c>
      <x:c r="C9" s="10" t="n">
        <x:v>4747.6</x:v>
      </x:c>
      <x:c r="D9" s="10" t="n">
        <x:v>4666</x:v>
      </x:c>
      <x:c r="E9" s="12" t="n">
        <x:v>81.6</x:v>
      </x:c>
      <x:c r="F9" s="9" t="n">
        <x:v>6</x:v>
      </x:c>
      <x:c r="G9" s="10" t="n">
        <x:v>518</x:v>
      </x:c>
      <x:c r="H9" s="10" t="n">
        <x:v>86.3</x:v>
      </x:c>
      <x:c r="I9" s="10" t="n">
        <x:v>90</x:v>
      </x:c>
    </x:row>
    <x:row r="10">
      <x:c r="A10" s="9" t="str">
        <x:v>IH主力</x:v>
      </x:c>
      <x:c r="B10" s="9" t="str">
        <x:v>2026-07-09</x:v>
      </x:c>
      <x:c r="C10" s="10" t="n">
        <x:v>2956.2</x:v>
      </x:c>
      <x:c r="D10" s="10" t="n">
        <x:v>2875</x:v>
      </x:c>
      <x:c r="E10" s="12" t="n">
        <x:v>81.2</x:v>
      </x:c>
      <x:c r="F10" s="9" t="n">
        <x:v>7</x:v>
      </x:c>
      <x:c r="G10" s="10" t="n">
        <x:v>368.8</x:v>
      </x:c>
      <x:c r="H10" s="10" t="n">
        <x:v>52.7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2026-07-09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8827.47</x:v>
      </x:c>
      <x:c r="E4" s="22" t="n">
        <x:v>8944.195</x:v>
      </x:c>
      <x:c r="F4" s="22" t="n">
        <x:v>8806.646</x:v>
      </x:c>
      <x:c r="G4" s="22" t="n">
        <x:v>8876.63</x:v>
      </x:c>
      <x:c r="H4" s="22" t="n">
        <x:v>66.8</x:v>
      </x:c>
      <x:c r="I4" s="23" t="n">
        <x:v>0.007587471477740637</x:v>
      </x:c>
      <x:c r="J4" s="22" t="n">
        <x:f>ROUND(E4-F4,1)</x:f>
        <x:v>137.5</x:v>
      </x:c>
      <x:c r="K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8688.291</x:v>
      </x:c>
      <x:c r="E5" s="22" t="n">
        <x:v>8865.966</x:v>
      </x:c>
      <x:c r="F5" s="22" t="n">
        <x:v>8598.869</x:v>
      </x:c>
      <x:c r="G5" s="22" t="n">
        <x:v>8625.334</x:v>
      </x:c>
      <x:c r="H5" s="25" t="n">
        <x:v>-251.3</x:v>
      </x:c>
      <x:c r="I5" s="23" t="n">
        <x:v>-0.02830984281196791</x:v>
      </x:c>
      <x:c r="J5" s="27" t="n">
        <x:f>ROUND(E5-F5,1)</x:f>
        <x:v>267.1</x:v>
      </x:c>
      <x:c r="K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8627.382</x:v>
      </x:c>
      <x:c r="E6" s="22" t="n">
        <x:v>8740.668</x:v>
      </x:c>
      <x:c r="F6" s="22" t="n">
        <x:v>8559.285</x:v>
      </x:c>
      <x:c r="G6" s="22" t="n">
        <x:v>8620.789</x:v>
      </x:c>
      <x:c r="H6" s="22" t="n">
        <x:v>-4.5</x:v>
      </x:c>
      <x:c r="I6" s="23" t="n">
        <x:v>-0.0005269361163289243</x:v>
      </x:c>
      <x:c r="J6" s="27" t="n">
        <x:f>ROUND(E6-F6,1)</x:f>
        <x:v>181.4</x:v>
      </x:c>
      <x:c r="K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8669.123</x:v>
      </x:c>
      <x:c r="E7" s="22" t="n">
        <x:v>8694.805</x:v>
      </x:c>
      <x:c r="F7" s="22" t="n">
        <x:v>8432.897</x:v>
      </x:c>
      <x:c r="G7" s="22" t="n">
        <x:v>8472.603</x:v>
      </x:c>
      <x:c r="H7" s="22" t="n">
        <x:v>-148.2</x:v>
      </x:c>
      <x:c r="I7" s="23" t="n">
        <x:v>-0.01718937790960917</x:v>
      </x:c>
      <x:c r="J7" s="27" t="n">
        <x:f>ROUND(E7-F7,1)</x:f>
        <x:v>261.9</x:v>
      </x:c>
      <x:c r="K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8436.389</x:v>
      </x:c>
      <x:c r="E8" s="22" t="n">
        <x:v>8489.476</x:v>
      </x:c>
      <x:c r="F8" s="22" t="n">
        <x:v>8261.398</x:v>
      </x:c>
      <x:c r="G8" s="22" t="n">
        <x:v>8301.804</x:v>
      </x:c>
      <x:c r="H8" s="25" t="n">
        <x:v>-170.8</x:v>
      </x:c>
      <x:c r="I8" s="23" t="n">
        <x:v>-0.02015897593691085</x:v>
      </x:c>
      <x:c r="J8" s="27" t="n">
        <x:f>ROUND(E8-F8,1)</x:f>
        <x:v>228.1</x:v>
      </x:c>
      <x:c r="K8" s="21" t="str">
        <x:v>中证1000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8315.962</x:v>
      </x:c>
      <x:c r="E9" s="22" t="n">
        <x:v>8328.965</x:v>
      </x:c>
      <x:c r="F9" s="22" t="n">
        <x:v>8117.861</x:v>
      </x:c>
      <x:c r="G9" s="22" t="n">
        <x:v>8117.861</x:v>
      </x:c>
      <x:c r="H9" s="25" t="n">
        <x:v>-183.9</x:v>
      </x:c>
      <x:c r="I9" s="23" t="n">
        <x:v>-0.02215699142017813</x:v>
      </x:c>
      <x:c r="J9" s="27" t="n">
        <x:f>ROUND(E9-F9,1)</x:f>
        <x:v>211.1</x:v>
      </x:c>
      <x:c r="K9" s="21" t="str">
        <x:v>中证1000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8161.859</x:v>
      </x:c>
      <x:c r="E10" s="22" t="n">
        <x:v>8312.621</x:v>
      </x:c>
      <x:c r="F10" s="22" t="n">
        <x:v>7978.806</x:v>
      </x:c>
      <x:c r="G10" s="22" t="n">
        <x:v>8300.077</x:v>
      </x:c>
      <x:c r="H10" s="25" t="n">
        <x:v>182.2</x:v>
      </x:c>
      <x:c r="I10" s="23" t="n">
        <x:v>0.0224463069766776</x:v>
      </x:c>
      <x:c r="J10" s="27" t="n">
        <x:f>ROUND(E10-F10,1)</x:f>
        <x:v>333.8</x:v>
      </x:c>
      <x:c r="K10" s="21" t="str">
        <x:v>中证1000</x:v>
      </x:c>
    </x:row>
    <x:row r="13">
      <x:c r="A13" s="30" t="str">
        <x:v>合计</x:v>
      </x:c>
      <x:c r="B13" s="31" t="n">
        <x:v>7</x:v>
      </x:c>
      <x:c r="C13" s="31"/>
      <x:c r="D13" s="31"/>
      <x:c r="E13" s="31"/>
      <x:c r="F13" s="31"/>
      <x:c r="G13" s="31"/>
      <x:c r="H13" s="31"/>
      <x:c r="I13" s="31"/>
      <x:c r="J13" s="32" t="n">
        <x:f>SUM(J4:J10)</x:f>
        <x:v>1620.8999999999999</x:v>
      </x:c>
      <x:c r="K13" s="31"/>
    </x:row>
    <x:row r="14">
      <x:c r="A14" s="30" t="str">
        <x:v>均值</x:v>
      </x:c>
      <x:c r="B14" s="31"/>
      <x:c r="C14" s="31"/>
      <x:c r="D14" s="31"/>
      <x:c r="E14" s="31"/>
      <x:c r="F14" s="31"/>
      <x:c r="G14" s="31"/>
      <x:c r="H14" s="31"/>
      <x:c r="I14" s="31"/>
      <x:c r="J14" s="34" t="n">
        <x:f>ROUND(IFERROR(AVERAGE(J4:J10),0),1)</x:f>
        <x:v>231.6</x:v>
      </x:c>
      <x:c r="K14" s="31"/>
    </x:row>
  </x:sheetData>
  <x:mergeCells>
    <x:mergeCell ref="A1:K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9052.043</x:v>
      </x:c>
      <x:c r="E4" s="22" t="n">
        <x:v>9147.559</x:v>
      </x:c>
      <x:c r="F4" s="22" t="n">
        <x:v>8956.185</x:v>
      </x:c>
      <x:c r="G4" s="22" t="n">
        <x:v>9028.933</x:v>
      </x:c>
      <x:c r="H4" s="22" t="n">
        <x:v>-2.4</x:v>
      </x:c>
      <x:c r="I4" s="23" t="n">
        <x:v>-0.0002708335017277408</x:v>
      </x:c>
      <x:c r="J4" s="27" t="n">
        <x:f>ROUND(E4-F4,1)</x:f>
        <x:v>191.4</x:v>
      </x:c>
      <x:c r="K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8829.621</x:v>
      </x:c>
      <x:c r="E5" s="22" t="n">
        <x:v>8932.647</x:v>
      </x:c>
      <x:c r="F5" s="22" t="n">
        <x:v>8667.419</x:v>
      </x:c>
      <x:c r="G5" s="22" t="n">
        <x:v>8694.176</x:v>
      </x:c>
      <x:c r="H5" s="25" t="n">
        <x:v>-334.8</x:v>
      </x:c>
      <x:c r="I5" s="23" t="n">
        <x:v>-0.03707603102160595</x:v>
      </x:c>
      <x:c r="J5" s="27" t="n">
        <x:f>ROUND(E5-F5,1)</x:f>
        <x:v>265.2</x:v>
      </x:c>
      <x:c r="K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8702.327</x:v>
      </x:c>
      <x:c r="E6" s="22" t="n">
        <x:v>8860.416</x:v>
      </x:c>
      <x:c r="F6" s="22" t="n">
        <x:v>8636.15</x:v>
      </x:c>
      <x:c r="G6" s="22" t="n">
        <x:v>8745.261</x:v>
      </x:c>
      <x:c r="H6" s="22" t="n">
        <x:v>51.1</x:v>
      </x:c>
      <x:c r="I6" s="23" t="n">
        <x:v>0.00587577247113491</x:v>
      </x:c>
      <x:c r="J6" s="27" t="n">
        <x:f>ROUND(E6-F6,1)</x:f>
        <x:v>224.3</x:v>
      </x:c>
      <x:c r="K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8790.967</x:v>
      </x:c>
      <x:c r="E7" s="22" t="n">
        <x:v>8823.05</x:v>
      </x:c>
      <x:c r="F7" s="22" t="n">
        <x:v>8570.892</x:v>
      </x:c>
      <x:c r="G7" s="22" t="n">
        <x:v>8651.134</x:v>
      </x:c>
      <x:c r="H7" s="22" t="n">
        <x:v>-94.1</x:v>
      </x:c>
      <x:c r="I7" s="23" t="n">
        <x:v>-0.01076320077811288</x:v>
      </x:c>
      <x:c r="J7" s="27" t="n">
        <x:f>ROUND(E7-F7,1)</x:f>
        <x:v>252.2</x:v>
      </x:c>
      <x:c r="K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8604.076</x:v>
      </x:c>
      <x:c r="E8" s="22" t="n">
        <x:v>8663.665</x:v>
      </x:c>
      <x:c r="F8" s="22" t="n">
        <x:v>8457.576</x:v>
      </x:c>
      <x:c r="G8" s="22" t="n">
        <x:v>8508.789</x:v>
      </x:c>
      <x:c r="H8" s="22" t="n">
        <x:v>-142.3</x:v>
      </x:c>
      <x:c r="I8" s="23" t="n">
        <x:v>-0.01645391228479398</x:v>
      </x:c>
      <x:c r="J8" s="27" t="n">
        <x:f>ROUND(E8-F8,1)</x:f>
        <x:v>206.1</x:v>
      </x:c>
      <x:c r="K8" s="21" t="str">
        <x:v>中证500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8539.016</x:v>
      </x:c>
      <x:c r="E9" s="22" t="n">
        <x:v>8571.525</x:v>
      </x:c>
      <x:c r="F9" s="22" t="n">
        <x:v>8343.923</x:v>
      </x:c>
      <x:c r="G9" s="22" t="n">
        <x:v>8390.019</x:v>
      </x:c>
      <x:c r="H9" s="22" t="n">
        <x:v>-118.8</x:v>
      </x:c>
      <x:c r="I9" s="23" t="n">
        <x:v>-0.013958508079116805</x:v>
      </x:c>
      <x:c r="J9" s="27" t="n">
        <x:f>ROUND(E9-F9,1)</x:f>
        <x:v>227.6</x:v>
      </x:c>
      <x:c r="K9" s="21" t="str">
        <x:v>中证500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8437.147</x:v>
      </x:c>
      <x:c r="E10" s="22" t="n">
        <x:v>8659.65</x:v>
      </x:c>
      <x:c r="F10" s="22" t="n">
        <x:v>8281.953</x:v>
      </x:c>
      <x:c r="G10" s="22" t="n">
        <x:v>8652.787</x:v>
      </x:c>
      <x:c r="H10" s="25" t="n">
        <x:v>262.8</x:v>
      </x:c>
      <x:c r="I10" s="23" t="n">
        <x:v>0.03131911858602465</x:v>
      </x:c>
      <x:c r="J10" s="27" t="n">
        <x:f>ROUND(E10-F10,1)</x:f>
        <x:v>377.7</x:v>
      </x:c>
      <x:c r="K10" s="21" t="str">
        <x:v>中证500</x:v>
      </x:c>
    </x:row>
    <x:row r="13">
      <x:c r="A13" s="30" t="str">
        <x:v>合计</x:v>
      </x:c>
      <x:c r="B13" s="31" t="n">
        <x:v>7</x:v>
      </x:c>
      <x:c r="C13" s="31"/>
      <x:c r="D13" s="31"/>
      <x:c r="E13" s="31"/>
      <x:c r="F13" s="31"/>
      <x:c r="G13" s="31"/>
      <x:c r="H13" s="31"/>
      <x:c r="I13" s="31"/>
      <x:c r="J13" s="32" t="n">
        <x:f>SUM(J4:J10)</x:f>
        <x:v>1744.5</x:v>
      </x:c>
      <x:c r="K13" s="31"/>
    </x:row>
    <x:row r="14">
      <x:c r="A14" s="30" t="str">
        <x:v>均值</x:v>
      </x:c>
      <x:c r="B14" s="31"/>
      <x:c r="C14" s="31"/>
      <x:c r="D14" s="31"/>
      <x:c r="E14" s="31"/>
      <x:c r="F14" s="31"/>
      <x:c r="G14" s="31"/>
      <x:c r="H14" s="31"/>
      <x:c r="I14" s="31"/>
      <x:c r="J14" s="34" t="n">
        <x:f>ROUND(IFERROR(AVERAGE(J4:J10),0),1)</x:f>
        <x:v>249.2</x:v>
      </x:c>
      <x:c r="K14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4090.76</x:v>
      </x:c>
      <x:c r="E4" s="22" t="n">
        <x:v>4143.314</x:v>
      </x:c>
      <x:c r="F4" s="22" t="n">
        <x:v>4087.535</x:v>
      </x:c>
      <x:c r="G4" s="22" t="n">
        <x:v>4112.445</x:v>
      </x:c>
      <x:c r="H4" s="22" t="n">
        <x:v>18</x:v>
      </x:c>
      <x:c r="I4" s="23" t="n">
        <x:v>0.004407975093768224</x:v>
      </x:c>
      <x:c r="J4" s="27" t="n">
        <x:f>ROUND(E4-F4,1)</x:f>
        <x:v>55.8</x:v>
      </x:c>
      <x:c r="K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4054.086</x:v>
      </x:c>
      <x:c r="E5" s="22" t="n">
        <x:v>4093.678</x:v>
      </x:c>
      <x:c r="F5" s="22" t="n">
        <x:v>4019.215</x:v>
      </x:c>
      <x:c r="G5" s="22" t="n">
        <x:v>4028.904</x:v>
      </x:c>
      <x:c r="H5" s="22" t="n">
        <x:v>-83.5</x:v>
      </x:c>
      <x:c r="I5" s="23" t="n">
        <x:v>-0.020314192651816554</x:v>
      </x:c>
      <x:c r="J5" s="27" t="n">
        <x:f>ROUND(E5-F5,1)</x:f>
        <x:v>74.5</x:v>
      </x:c>
      <x:c r="K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4031.335</x:v>
      </x:c>
      <x:c r="E6" s="22" t="n">
        <x:v>4073.88</x:v>
      </x:c>
      <x:c r="F6" s="22" t="n">
        <x:v>4027.255</x:v>
      </x:c>
      <x:c r="G6" s="22" t="n">
        <x:v>4043.643</x:v>
      </x:c>
      <x:c r="H6" s="22" t="n">
        <x:v>14.7</x:v>
      </x:c>
      <x:c r="I6" s="23" t="n">
        <x:v>0.0036583150156965782</x:v>
      </x:c>
      <x:c r="J6" s="22" t="n">
        <x:f>ROUND(E6-F6,1)</x:f>
        <x:v>46.6</x:v>
      </x:c>
      <x:c r="K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4059.194</x:v>
      </x:c>
      <x:c r="E7" s="22" t="n">
        <x:v>4060.069</x:v>
      </x:c>
      <x:c r="F7" s="22" t="n">
        <x:v>4005.414</x:v>
      </x:c>
      <x:c r="G7" s="22" t="n">
        <x:v>4041.238</x:v>
      </x:c>
      <x:c r="H7" s="22" t="n">
        <x:v>-2.4</x:v>
      </x:c>
      <x:c r="I7" s="23" t="n">
        <x:v>-0.000594760714533904</x:v>
      </x:c>
      <x:c r="J7" s="27" t="n">
        <x:f>ROUND(E7-F7,1)</x:f>
        <x:v>54.7</x:v>
      </x:c>
      <x:c r="K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4019.494</x:v>
      </x:c>
      <x:c r="E8" s="22" t="n">
        <x:v>4028.514</x:v>
      </x:c>
      <x:c r="F8" s="22" t="n">
        <x:v>3971.713</x:v>
      </x:c>
      <x:c r="G8" s="22" t="n">
        <x:v>3990.235</x:v>
      </x:c>
      <x:c r="H8" s="22" t="n">
        <x:v>-51</x:v>
      </x:c>
      <x:c r="I8" s="23" t="n">
        <x:v>-0.01262063753730902</x:v>
      </x:c>
      <x:c r="J8" s="27" t="n">
        <x:f>ROUND(E8-F8,1)</x:f>
        <x:v>56.8</x:v>
      </x:c>
      <x:c r="K8" s="21" t="str">
        <x:v>上证指数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3996.807</x:v>
      </x:c>
      <x:c r="E9" s="22" t="n">
        <x:v>4016.026</x:v>
      </x:c>
      <x:c r="F9" s="22" t="n">
        <x:v>3967.913</x:v>
      </x:c>
      <x:c r="G9" s="22" t="n">
        <x:v>3970.88</x:v>
      </x:c>
      <x:c r="H9" s="22" t="n">
        <x:v>-19.4</x:v>
      </x:c>
      <x:c r="I9" s="23" t="n">
        <x:v>-0.004850591506515234</x:v>
      </x:c>
      <x:c r="J9" s="22" t="n">
        <x:f>ROUND(E9-F9,1)</x:f>
        <x:v>48.1</x:v>
      </x:c>
      <x:c r="K9" s="21" t="str">
        <x:v>上证指数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3977.547</x:v>
      </x:c>
      <x:c r="E10" s="22" t="n">
        <x:v>4040.539</x:v>
      </x:c>
      <x:c r="F10" s="22" t="n">
        <x:v>3938.878</x:v>
      </x:c>
      <x:c r="G10" s="22" t="n">
        <x:v>4036.588</x:v>
      </x:c>
      <x:c r="H10" s="22" t="n">
        <x:v>65.7</x:v>
      </x:c>
      <x:c r="I10" s="23" t="n">
        <x:v>0.01654746554919817</x:v>
      </x:c>
      <x:c r="J10" s="27" t="n">
        <x:f>ROUND(E10-F10,1)</x:f>
        <x:v>101.7</x:v>
      </x:c>
      <x:c r="K10" s="21" t="str">
        <x:v>上证指数</x:v>
      </x:c>
    </x:row>
    <x:row r="13">
      <x:c r="A13" s="30" t="str">
        <x:v>合计</x:v>
      </x:c>
      <x:c r="B13" s="31" t="n">
        <x:v>7</x:v>
      </x:c>
      <x:c r="C13" s="31"/>
      <x:c r="D13" s="31"/>
      <x:c r="E13" s="31"/>
      <x:c r="F13" s="31"/>
      <x:c r="G13" s="31"/>
      <x:c r="H13" s="31"/>
      <x:c r="I13" s="31"/>
      <x:c r="J13" s="32" t="n">
        <x:f>SUM(J4:J10)</x:f>
        <x:v>438.20000000000005</x:v>
      </x:c>
      <x:c r="K13" s="31"/>
    </x:row>
    <x:row r="14">
      <x:c r="A14" s="30" t="str">
        <x:v>均值</x:v>
      </x:c>
      <x:c r="B14" s="31"/>
      <x:c r="C14" s="31"/>
      <x:c r="D14" s="31"/>
      <x:c r="E14" s="31"/>
      <x:c r="F14" s="31"/>
      <x:c r="G14" s="31"/>
      <x:c r="H14" s="31"/>
      <x:c r="I14" s="31"/>
      <x:c r="J14" s="34" t="n">
        <x:f>ROUND(IFERROR(AVERAGE(J4:J10),0),1)</x:f>
        <x:v>62.6</x:v>
      </x:c>
      <x:c r="K14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8500</x:v>
      </x:c>
      <x:c r="E4" s="22" t="n">
        <x:v>8629</x:v>
      </x:c>
      <x:c r="F4" s="22" t="n">
        <x:v>8480</x:v>
      </x:c>
      <x:c r="G4" s="22" t="n">
        <x:v>8517.6</x:v>
      </x:c>
      <x:c r="H4" s="22"/>
      <x:c r="I4" s="23" t="n">
        <x:v>0.00157569201100638</x:v>
      </x:c>
      <x:c r="J4" s="22" t="n">
        <x:f>ROUND(E4-F4,1)</x:f>
        <x:v>149</x:v>
      </x:c>
      <x:c r="K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8475.4</x:v>
      </x:c>
      <x:c r="E5" s="22" t="n">
        <x:v>8556</x:v>
      </x:c>
      <x:c r="F5" s="22" t="n">
        <x:v>8344</x:v>
      </x:c>
      <x:c r="G5" s="22" t="n">
        <x:v>8370.2</x:v>
      </x:c>
      <x:c r="H5" s="22"/>
      <x:c r="I5" s="23" t="n">
        <x:v>-0.017305344228421116</x:v>
      </x:c>
      <x:c r="J5" s="27" t="n">
        <x:f>ROUND(E5-F5,1)</x:f>
        <x:v>212</x:v>
      </x:c>
      <x:c r="K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8401</x:v>
      </x:c>
      <x:c r="E6" s="22" t="n">
        <x:v>8475</x:v>
      </x:c>
      <x:c r="F6" s="22" t="n">
        <x:v>8337.8</x:v>
      </x:c>
      <x:c r="G6" s="22" t="n">
        <x:v>8373</x:v>
      </x:c>
      <x:c r="H6" s="22"/>
      <x:c r="I6" s="23" t="n">
        <x:v>0.00033452008315215664</x:v>
      </x:c>
      <x:c r="J6" s="22" t="n">
        <x:f>ROUND(E6-F6,1)</x:f>
        <x:v>137.2</x:v>
      </x:c>
      <x:c r="K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8403</x:v>
      </x:c>
      <x:c r="E7" s="22" t="n">
        <x:v>8419.8</x:v>
      </x:c>
      <x:c r="F7" s="22" t="n">
        <x:v>8213</x:v>
      </x:c>
      <x:c r="G7" s="22" t="n">
        <x:v>8265</x:v>
      </x:c>
      <x:c r="H7" s="22"/>
      <x:c r="I7" s="23" t="n">
        <x:v>-0.012898602651379432</x:v>
      </x:c>
      <x:c r="J7" s="27" t="n">
        <x:f>ROUND(E7-F7,1)</x:f>
        <x:v>206.8</x:v>
      </x:c>
      <x:c r="K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8235</x:v>
      </x:c>
      <x:c r="E8" s="22" t="n">
        <x:v>8274.2</x:v>
      </x:c>
      <x:c r="F8" s="22" t="n">
        <x:v>8068.8</x:v>
      </x:c>
      <x:c r="G8" s="22" t="n">
        <x:v>8115.2</x:v>
      </x:c>
      <x:c r="H8" s="22"/>
      <x:c r="I8" s="23" t="n">
        <x:v>-0.018124621899576532</x:v>
      </x:c>
      <x:c r="J8" s="27" t="n">
        <x:f>ROUND(E8-F8,1)</x:f>
        <x:v>205.4</x:v>
      </x:c>
      <x:c r="K8" s="21" t="str">
        <x:v>IM2609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8140.2</x:v>
      </x:c>
      <x:c r="E9" s="22" t="n">
        <x:v>8149.8</x:v>
      </x:c>
      <x:c r="F9" s="22" t="n">
        <x:v>7965</x:v>
      </x:c>
      <x:c r="G9" s="22" t="n">
        <x:v>7974</x:v>
      </x:c>
      <x:c r="H9" s="22"/>
      <x:c r="I9" s="23" t="n">
        <x:v>-0.017399447949526747</x:v>
      </x:c>
      <x:c r="J9" s="22" t="n">
        <x:f>ROUND(E9-F9,1)</x:f>
        <x:v>184.8</x:v>
      </x:c>
      <x:c r="K9" s="21" t="str">
        <x:v>IM2609</x:v>
      </x:c>
    </x:row>
    <x:row r="12">
      <x:c r="A12" s="30" t="str">
        <x:v>合计</x:v>
      </x:c>
      <x:c r="B12" s="31" t="n">
        <x:v>6</x:v>
      </x:c>
      <x:c r="C12" s="31"/>
      <x:c r="D12" s="31"/>
      <x:c r="E12" s="31"/>
      <x:c r="F12" s="31"/>
      <x:c r="G12" s="31"/>
      <x:c r="H12" s="31"/>
      <x:c r="I12" s="31"/>
      <x:c r="J12" s="32" t="n">
        <x:f>SUM(J4:J9)</x:f>
        <x:v>1095.2</x:v>
      </x:c>
      <x:c r="K12" s="31"/>
    </x:row>
    <x:row r="13">
      <x:c r="A13" s="30" t="str">
        <x:v>均值</x:v>
      </x:c>
      <x:c r="B13" s="31"/>
      <x:c r="C13" s="31"/>
      <x:c r="D13" s="31"/>
      <x:c r="E13" s="31"/>
      <x:c r="F13" s="31"/>
      <x:c r="G13" s="31"/>
      <x:c r="H13" s="31"/>
      <x:c r="I13" s="31"/>
      <x:c r="J13" s="34" t="n">
        <x:f>ROUND(IFERROR(AVERAGE(J4:J9),0),1)</x:f>
        <x:v>182.5</x:v>
      </x:c>
      <x:c r="K13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8763</x:v>
      </x:c>
      <x:c r="E4" s="22" t="n">
        <x:v>8873.8</x:v>
      </x:c>
      <x:c r="F4" s="22" t="n">
        <x:v>8656.8</x:v>
      </x:c>
      <x:c r="G4" s="22" t="n">
        <x:v>8713</x:v>
      </x:c>
      <x:c r="H4" s="22"/>
      <x:c r="I4" s="23" t="n">
        <x:v>-0.007969941933280156</x:v>
      </x:c>
      <x:c r="J4" s="27" t="n">
        <x:f>ROUND(E4-F4,1)</x:f>
        <x:v>217</x:v>
      </x:c>
      <x:c r="K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8616</x:v>
      </x:c>
      <x:c r="E5" s="22" t="n">
        <x:v>8678.6</x:v>
      </x:c>
      <x:c r="F5" s="22" t="n">
        <x:v>8456.8</x:v>
      </x:c>
      <x:c r="G5" s="22" t="n">
        <x:v>8488</x:v>
      </x:c>
      <x:c r="H5" s="22"/>
      <x:c r="I5" s="23" t="n">
        <x:v>-0.025823482153104593</x:v>
      </x:c>
      <x:c r="J5" s="27" t="n">
        <x:f>ROUND(E5-F5,1)</x:f>
        <x:v>221.8</x:v>
      </x:c>
      <x:c r="K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8519</x:v>
      </x:c>
      <x:c r="E6" s="22" t="n">
        <x:v>8650</x:v>
      </x:c>
      <x:c r="F6" s="22" t="n">
        <x:v>8442</x:v>
      </x:c>
      <x:c r="G6" s="22" t="n">
        <x:v>8538</x:v>
      </x:c>
      <x:c r="H6" s="22"/>
      <x:c r="I6" s="23" t="n">
        <x:v>0.005890669180018904</x:v>
      </x:c>
      <x:c r="J6" s="27" t="n">
        <x:f>ROUND(E6-F6,1)</x:f>
        <x:v>208</x:v>
      </x:c>
      <x:c r="K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8574.4</x:v>
      </x:c>
      <x:c r="E7" s="22" t="n">
        <x:v>8584.2</x:v>
      </x:c>
      <x:c r="F7" s="22" t="n">
        <x:v>8376</x:v>
      </x:c>
      <x:c r="G7" s="22" t="n">
        <x:v>8467</x:v>
      </x:c>
      <x:c r="H7" s="22"/>
      <x:c r="I7" s="23" t="n">
        <x:v>-0.008315764816116178</x:v>
      </x:c>
      <x:c r="J7" s="27" t="n">
        <x:f>ROUND(E7-F7,1)</x:f>
        <x:v>208.2</x:v>
      </x:c>
      <x:c r="K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8420</x:v>
      </x:c>
      <x:c r="E8" s="22" t="n">
        <x:v>8478.8</x:v>
      </x:c>
      <x:c r="F8" s="22" t="n">
        <x:v>8281</x:v>
      </x:c>
      <x:c r="G8" s="22" t="n">
        <x:v>8322.6</x:v>
      </x:c>
      <x:c r="H8" s="22"/>
      <x:c r="I8" s="23" t="n">
        <x:v>-0.01705444667532774</x:v>
      </x:c>
      <x:c r="J8" s="27" t="n">
        <x:f>ROUND(E8-F8,1)</x:f>
        <x:v>197.8</x:v>
      </x:c>
      <x:c r="K8" s="21" t="str">
        <x:v>IC2609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8376</x:v>
      </x:c>
      <x:c r="E9" s="22" t="n">
        <x:v>8376</x:v>
      </x:c>
      <x:c r="F9" s="22" t="n">
        <x:v>8203.6</x:v>
      </x:c>
      <x:c r="G9" s="22" t="n">
        <x:v>8255.2</x:v>
      </x:c>
      <x:c r="H9" s="22"/>
      <x:c r="I9" s="23" t="n">
        <x:v>-0.008098430778843091</x:v>
      </x:c>
      <x:c r="J9" s="27" t="n">
        <x:f>ROUND(E9-F9,1)</x:f>
        <x:v>172.4</x:v>
      </x:c>
      <x:c r="K9" s="21" t="str">
        <x:v>IC2609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8300</x:v>
      </x:c>
      <x:c r="E10" s="22" t="n">
        <x:v>8509.2</x:v>
      </x:c>
      <x:c r="F10" s="22" t="n">
        <x:v>8173</x:v>
      </x:c>
      <x:c r="G10" s="22" t="n">
        <x:v>8502.4</x:v>
      </x:c>
      <x:c r="H10" s="25" t="n">
        <x:v>247.2</x:v>
      </x:c>
      <x:c r="I10" s="23" t="n">
        <x:v>0.029944762089349597</x:v>
      </x:c>
      <x:c r="J10" s="27" t="n">
        <x:f>ROUND(E10-F10,1)</x:f>
        <x:v>336.2</x:v>
      </x:c>
      <x:c r="K10" s="21" t="str">
        <x:v>IC2609</x:v>
      </x:c>
    </x:row>
    <x:row r="13">
      <x:c r="A13" s="30" t="str">
        <x:v>合计</x:v>
      </x:c>
      <x:c r="B13" s="31" t="n">
        <x:v>7</x:v>
      </x:c>
      <x:c r="C13" s="31"/>
      <x:c r="D13" s="31"/>
      <x:c r="E13" s="31"/>
      <x:c r="F13" s="31"/>
      <x:c r="G13" s="31"/>
      <x:c r="H13" s="31"/>
      <x:c r="I13" s="31"/>
      <x:c r="J13" s="32" t="n">
        <x:f>SUM(J4:J10)</x:f>
        <x:v>1561.4</x:v>
      </x:c>
      <x:c r="K13" s="31"/>
    </x:row>
    <x:row r="14">
      <x:c r="A14" s="30" t="str">
        <x:v>均值</x:v>
      </x:c>
      <x:c r="B14" s="31"/>
      <x:c r="C14" s="31"/>
      <x:c r="D14" s="31"/>
      <x:c r="E14" s="31"/>
      <x:c r="F14" s="31"/>
      <x:c r="G14" s="31"/>
      <x:c r="H14" s="31"/>
      <x:c r="I14" s="31"/>
      <x:c r="J14" s="34" t="n">
        <x:f>ROUND(IFERROR(AVERAGE(J4:J10),0),1)</x:f>
        <x:v>223.1</x:v>
      </x:c>
      <x:c r="K14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4855.8</x:v>
      </x:c>
      <x:c r="E4" s="22" t="n">
        <x:v>4899.6</x:v>
      </x:c>
      <x:c r="F4" s="22" t="n">
        <x:v>4802.2</x:v>
      </x:c>
      <x:c r="G4" s="22" t="n">
        <x:v>4831.2</x:v>
      </x:c>
      <x:c r="H4" s="22"/>
      <x:c r="I4" s="23" t="n">
        <x:v>-0.0050661065118003945</x:v>
      </x:c>
      <x:c r="J4" s="27" t="n">
        <x:f>ROUND(E4-F4,1)</x:f>
        <x:v>97.4</x:v>
      </x:c>
      <x:c r="K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4769</x:v>
      </x:c>
      <x:c r="E5" s="22" t="n">
        <x:v>4800.2</x:v>
      </x:c>
      <x:c r="F5" s="22" t="n">
        <x:v>4705</x:v>
      </x:c>
      <x:c r="G5" s="22" t="n">
        <x:v>4719.4</x:v>
      </x:c>
      <x:c r="H5" s="22"/>
      <x:c r="I5" s="23" t="n">
        <x:v>-0.02314124855108468</x:v>
      </x:c>
      <x:c r="J5" s="27" t="n">
        <x:f>ROUND(E5-F5,1)</x:f>
        <x:v>95.2</x:v>
      </x:c>
      <x:c r="K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4733.8</x:v>
      </x:c>
      <x:c r="E6" s="22" t="n">
        <x:v>4810.4</x:v>
      </x:c>
      <x:c r="F6" s="22" t="n">
        <x:v>4728</x:v>
      </x:c>
      <x:c r="G6" s="22" t="n">
        <x:v>4752.2</x:v>
      </x:c>
      <x:c r="H6" s="22"/>
      <x:c r="I6" s="23" t="n">
        <x:v>0.006950036021528216</x:v>
      </x:c>
      <x:c r="J6" s="22" t="n">
        <x:f>ROUND(E6-F6,1)</x:f>
        <x:v>82.4</x:v>
      </x:c>
      <x:c r="K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</x:v>
      </x:c>
      <x:c r="E7" s="22" t="n">
        <x:v>4781.2</x:v>
      </x:c>
      <x:c r="F7" s="22" t="n">
        <x:v>4701</x:v>
      </x:c>
      <x:c r="G7" s="22" t="n">
        <x:v>4753.2</x:v>
      </x:c>
      <x:c r="H7" s="22"/>
      <x:c r="I7" s="23" t="n">
        <x:v>0.00021042885400435196</x:v>
      </x:c>
      <x:c r="J7" s="22" t="n">
        <x:f>ROUND(E7-F7,1)</x:f>
        <x:v>80.2</x:v>
      </x:c>
      <x:c r="K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4725.6</x:v>
      </x:c>
      <x:c r="E8" s="22" t="n">
        <x:v>4752.6</x:v>
      </x:c>
      <x:c r="F8" s="22" t="n">
        <x:v>4671.4</x:v>
      </x:c>
      <x:c r="G8" s="22" t="n">
        <x:v>4703.4</x:v>
      </x:c>
      <x:c r="H8" s="22"/>
      <x:c r="I8" s="23" t="n">
        <x:v>-0.01047715223428436</x:v>
      </x:c>
      <x:c r="J8" s="22" t="n">
        <x:f>ROUND(E8-F8,1)</x:f>
        <x:v>81.2</x:v>
      </x:c>
      <x:c r="K8" s="21" t="str">
        <x:v>IF2609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4728</x:v>
      </x:c>
      <x:c r="E9" s="22" t="n">
        <x:v>4747.6</x:v>
      </x:c>
      <x:c r="F9" s="22" t="n">
        <x:v>4666</x:v>
      </x:c>
      <x:c r="G9" s="22" t="n">
        <x:v>4668</x:v>
      </x:c>
      <x:c r="H9" s="22"/>
      <x:c r="I9" s="23" t="n">
        <x:v>-0.007526470213037317</x:v>
      </x:c>
      <x:c r="J9" s="22" t="n">
        <x:f>ROUND(E9-F9,1)</x:f>
        <x:v>81.6</x:v>
      </x:c>
      <x:c r="K9" s="21" t="str">
        <x:v>IF2609</x:v>
      </x:c>
    </x:row>
    <x:row r="12">
      <x:c r="A12" s="30" t="str">
        <x:v>合计</x:v>
      </x:c>
      <x:c r="B12" s="31" t="n">
        <x:v>6</x:v>
      </x:c>
      <x:c r="C12" s="31"/>
      <x:c r="D12" s="31"/>
      <x:c r="E12" s="31"/>
      <x:c r="F12" s="31"/>
      <x:c r="G12" s="31"/>
      <x:c r="H12" s="31"/>
      <x:c r="I12" s="31"/>
      <x:c r="J12" s="32" t="n">
        <x:f>SUM(J4:J9)</x:f>
        <x:v>518</x:v>
      </x:c>
      <x:c r="K12" s="31"/>
    </x:row>
    <x:row r="13">
      <x:c r="A13" s="30" t="str">
        <x:v>均值</x:v>
      </x:c>
      <x:c r="B13" s="31"/>
      <x:c r="C13" s="31"/>
      <x:c r="D13" s="31"/>
      <x:c r="E13" s="31"/>
      <x:c r="F13" s="31"/>
      <x:c r="G13" s="31"/>
      <x:c r="H13" s="31"/>
      <x:c r="I13" s="31"/>
      <x:c r="J13" s="34" t="n">
        <x:f>ROUND(IFERROR(AVERAGE(J4:J9),0),1)</x:f>
        <x:v>86.3</x:v>
      </x:c>
      <x:c r="K13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开盘</x:v>
      </x:c>
      <x:c r="E3" s="18" t="str">
        <x:v>高点</x:v>
      </x:c>
      <x:c r="F3" s="18" t="str">
        <x:v>低点</x:v>
      </x:c>
      <x:c r="G3" s="18" t="str">
        <x:v>收盘</x:v>
      </x:c>
      <x:c r="H3" s="18" t="str">
        <x:v>涨跌点数</x:v>
      </x:c>
      <x:c r="I3" s="18" t="str">
        <x:v>涨幅</x:v>
      </x:c>
      <x:c r="J3" s="18" t="str">
        <x:v>振幅</x:v>
      </x:c>
      <x:c r="K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2932</x:v>
      </x:c>
      <x:c r="E4" s="22" t="n">
        <x:v>2976</x:v>
      </x:c>
      <x:c r="F4" s="22" t="n">
        <x:v>2918.2</x:v>
      </x:c>
      <x:c r="G4" s="22" t="n">
        <x:v>2934.6</x:v>
      </x:c>
      <x:c r="H4" s="22"/>
      <x:c r="I4" s="23" t="n">
        <x:v>-0.0011572498298162426</x:v>
      </x:c>
      <x:c r="J4" s="22" t="n">
        <x:f>ROUND(E4-F4,1)</x:f>
        <x:v>57.8</x:v>
      </x:c>
      <x:c r="K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2923</x:v>
      </x:c>
      <x:c r="E5" s="22" t="n">
        <x:v>2924.8</x:v>
      </x:c>
      <x:c r="F5" s="22" t="n">
        <x:v>2861.8</x:v>
      </x:c>
      <x:c r="G5" s="22" t="n">
        <x:v>2871</x:v>
      </x:c>
      <x:c r="H5" s="22"/>
      <x:c r="I5" s="23" t="n">
        <x:v>-0.02167245961970965</x:v>
      </x:c>
      <x:c r="J5" s="27" t="n">
        <x:f>ROUND(E5-F5,1)</x:f>
        <x:v>63</x:v>
      </x:c>
      <x:c r="K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2876.6</x:v>
      </x:c>
      <x:c r="E6" s="22" t="n">
        <x:v>2912</x:v>
      </x:c>
      <x:c r="F6" s="22" t="n">
        <x:v>2873.6</x:v>
      </x:c>
      <x:c r="G6" s="22" t="n">
        <x:v>2886.6</x:v>
      </x:c>
      <x:c r="H6" s="22"/>
      <x:c r="I6" s="23" t="n">
        <x:v>0.005433646812957216</x:v>
      </x:c>
      <x:c r="J6" s="22" t="n">
        <x:f>ROUND(E6-F6,1)</x:f>
        <x:v>38.4</x:v>
      </x:c>
      <x:c r="K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2899</x:v>
      </x:c>
      <x:c r="E7" s="22" t="n">
        <x:v>2915</x:v>
      </x:c>
      <x:c r="F7" s="22" t="n">
        <x:v>2877.4</x:v>
      </x:c>
      <x:c r="G7" s="22" t="n">
        <x:v>2905.2</x:v>
      </x:c>
      <x:c r="H7" s="22"/>
      <x:c r="I7" s="23" t="n">
        <x:v>0.00644356682602365</x:v>
      </x:c>
      <x:c r="J7" s="22" t="n">
        <x:f>ROUND(E7-F7,1)</x:f>
        <x:v>37.6</x:v>
      </x:c>
      <x:c r="K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2888</x:v>
      </x:c>
      <x:c r="E8" s="22" t="n">
        <x:v>2908.4</x:v>
      </x:c>
      <x:c r="F8" s="22" t="n">
        <x:v>2862.4</x:v>
      </x:c>
      <x:c r="G8" s="22" t="n">
        <x:v>2870.6</x:v>
      </x:c>
      <x:c r="H8" s="22"/>
      <x:c r="I8" s="23" t="n">
        <x:v>-0.01190967919592456</x:v>
      </x:c>
      <x:c r="J8" s="22" t="n">
        <x:f>ROUND(E8-F8,1)</x:f>
        <x:v>46</x:v>
      </x:c>
      <x:c r="K8" s="21" t="str">
        <x:v>IH2609</x:v>
      </x:c>
    </x:row>
    <x:row r="9">
      <x:c r="A9" s="21" t="n">
        <x:v>6</x:v>
      </x:c>
      <x:c r="B9" s="21" t="str">
        <x:v>周三</x:v>
      </x:c>
      <x:c r="C9" s="21" t="str">
        <x:v>7月8日</x:v>
      </x:c>
      <x:c r="D9" s="22" t="n">
        <x:v>2877.4</x:v>
      </x:c>
      <x:c r="E9" s="22" t="n">
        <x:v>2911</x:v>
      </x:c>
      <x:c r="F9" s="22" t="n">
        <x:v>2866.2</x:v>
      </x:c>
      <x:c r="G9" s="22" t="n">
        <x:v>2868</x:v>
      </x:c>
      <x:c r="H9" s="22"/>
      <x:c r="I9" s="23" t="n">
        <x:v>-0.0009057339928933983</x:v>
      </x:c>
      <x:c r="J9" s="22" t="n">
        <x:f>ROUND(E9-F9,1)</x:f>
        <x:v>44.8</x:v>
      </x:c>
      <x:c r="K9" s="21" t="str">
        <x:v>IH2609</x:v>
      </x:c>
    </x:row>
    <x:row r="10">
      <x:c r="A10" s="21" t="n">
        <x:v>7</x:v>
      </x:c>
      <x:c r="B10" s="21" t="str">
        <x:v>周四</x:v>
      </x:c>
      <x:c r="C10" s="21" t="str">
        <x:v>7月9日</x:v>
      </x:c>
      <x:c r="D10" s="22" t="n">
        <x:v>2875</x:v>
      </x:c>
      <x:c r="E10" s="22" t="n">
        <x:v>2956.2</x:v>
      </x:c>
      <x:c r="F10" s="22" t="n">
        <x:v>2875</x:v>
      </x:c>
      <x:c r="G10" s="22" t="n">
        <x:v>2939.8</x:v>
      </x:c>
      <x:c r="H10" s="22" t="n">
        <x:v>71.8</x:v>
      </x:c>
      <x:c r="I10" s="23" t="n">
        <x:v>0.025034867503486824</x:v>
      </x:c>
      <x:c r="J10" s="27" t="n">
        <x:f>ROUND(E10-F10,1)</x:f>
        <x:v>81.2</x:v>
      </x:c>
      <x:c r="K10" s="21" t="str">
        <x:v>IH2609</x:v>
      </x:c>
    </x:row>
    <x:row r="13">
      <x:c r="A13" s="30" t="str">
        <x:v>合计</x:v>
      </x:c>
      <x:c r="B13" s="31" t="n">
        <x:v>7</x:v>
      </x:c>
      <x:c r="C13" s="31"/>
      <x:c r="D13" s="31"/>
      <x:c r="E13" s="31"/>
      <x:c r="F13" s="31"/>
      <x:c r="G13" s="31"/>
      <x:c r="H13" s="31"/>
      <x:c r="I13" s="31"/>
      <x:c r="J13" s="32" t="n">
        <x:f>SUM(J4:J10)</x:f>
        <x:v>368.79999999999995</x:v>
      </x:c>
      <x:c r="K13" s="31"/>
    </x:row>
    <x:row r="14">
      <x:c r="A14" s="30" t="str">
        <x:v>均值</x:v>
      </x:c>
      <x:c r="B14" s="31"/>
      <x:c r="C14" s="31"/>
      <x:c r="D14" s="31"/>
      <x:c r="E14" s="31"/>
      <x:c r="F14" s="31"/>
      <x:c r="G14" s="31"/>
      <x:c r="H14" s="31"/>
      <x:c r="I14" s="31"/>
      <x:c r="J14" s="34" t="n">
        <x:f>ROUND(IFERROR(AVERAGE(J4:J10),0),1)</x:f>
        <x:v>52.7</x:v>
      </x:c>
      <x:c r="K14" s="31"/>
    </x:row>
  </x:sheetData>
  <x:mergeCells>
    <x:mergeCell ref="A1:K1"/>
  </x:mergeCells>
  <x:pageMargins left="0.7" right="0.7" top="0.75" bottom="0.75" header="0.3" footer="0.3"/>
</x:worksheet>
</file>