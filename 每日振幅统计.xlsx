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8ff40c62074a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b04c5fb06904047"/>
    <x:sheet xmlns:r="http://schemas.openxmlformats.org/officeDocument/2006/relationships" name="周振幅统计" sheetId="2" r:id="R9a0ba1737feb4470"/>
    <x:sheet xmlns:r="http://schemas.openxmlformats.org/officeDocument/2006/relationships" name="中证1000" sheetId="3" r:id="Rc85114ebe7ba4d25"/>
    <x:sheet xmlns:r="http://schemas.openxmlformats.org/officeDocument/2006/relationships" name="中证500" sheetId="4" r:id="R0ea1f6dba9954d02"/>
    <x:sheet xmlns:r="http://schemas.openxmlformats.org/officeDocument/2006/relationships" name="上证指数" sheetId="5" r:id="R886857af884b4786"/>
    <x:sheet xmlns:r="http://schemas.openxmlformats.org/officeDocument/2006/relationships" name="IM主力" sheetId="6" r:id="Rdf88731db3194ed2"/>
    <x:sheet xmlns:r="http://schemas.openxmlformats.org/officeDocument/2006/relationships" name="IC主力" sheetId="7" r:id="R3347dd8dd5314da1"/>
    <x:sheet xmlns:r="http://schemas.openxmlformats.org/officeDocument/2006/relationships" name="IF主力" sheetId="8" r:id="R208061b38bfa4e00"/>
    <x:sheet xmlns:r="http://schemas.openxmlformats.org/officeDocument/2006/relationships" name="IH主力" sheetId="9" r:id="Rd8c75eced15f45eb"/>
    <x:sheet xmlns:r="http://schemas.openxmlformats.org/officeDocument/2006/relationships" name="碳酸锂2609" sheetId="10" r:id="Ra8df48477a804e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9d4b0500484411" /><Relationship Type="http://schemas.openxmlformats.org/officeDocument/2006/relationships/theme" Target="/xl/theme/theme1.xml" Id="Rc37aae9a73954083" /><Relationship Type="http://schemas.openxmlformats.org/officeDocument/2006/relationships/sharedStrings" Target="/xl/sharedStrings.xml" Id="R7e989555fa214dd3" /><Relationship Type="http://schemas.openxmlformats.org/officeDocument/2006/relationships/worksheet" Target="/xl/worksheets/sheet1.xml" Id="Reb04c5fb06904047" /><Relationship Type="http://schemas.openxmlformats.org/officeDocument/2006/relationships/worksheet" Target="/xl/worksheets/sheet2.xml" Id="R9a0ba1737feb4470" /><Relationship Type="http://schemas.openxmlformats.org/officeDocument/2006/relationships/worksheet" Target="/xl/worksheets/sheet3.xml" Id="Rc85114ebe7ba4d25" /><Relationship Type="http://schemas.openxmlformats.org/officeDocument/2006/relationships/worksheet" Target="/xl/worksheets/sheet4.xml" Id="R0ea1f6dba9954d02" /><Relationship Type="http://schemas.openxmlformats.org/officeDocument/2006/relationships/worksheet" Target="/xl/worksheets/sheet5.xml" Id="R886857af884b4786" /><Relationship Type="http://schemas.openxmlformats.org/officeDocument/2006/relationships/worksheet" Target="/xl/worksheets/sheet6.xml" Id="Rdf88731db3194ed2" /><Relationship Type="http://schemas.openxmlformats.org/officeDocument/2006/relationships/worksheet" Target="/xl/worksheets/sheet7.xml" Id="R3347dd8dd5314da1" /><Relationship Type="http://schemas.openxmlformats.org/officeDocument/2006/relationships/worksheet" Target="/xl/worksheets/sheet8.xml" Id="R208061b38bfa4e00" /><Relationship Type="http://schemas.openxmlformats.org/officeDocument/2006/relationships/worksheet" Target="/xl/worksheets/sheet9.xml" Id="Rd8c75eced15f45eb" /><Relationship Type="http://schemas.openxmlformats.org/officeDocument/2006/relationships/worksheet" Target="/xl/worksheets/sheet10.xml" Id="Ra8df48477a804e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2026-08-31</x:v>
      </x:c>
      <x:c r="C4" s="10" t="n">
        <x:v>7771.55</x:v>
      </x:c>
      <x:c r="D4" s="10" t="n">
        <x:v>7604.95</x:v>
      </x:c>
      <x:c r="E4" s="12" t="n">
        <x:v>166.6</x:v>
      </x:c>
      <x:c r="F4" s="9" t="n">
        <x:v>21</x:v>
      </x:c>
      <x:c r="G4" s="10" t="n">
        <x:v>3614.9</x:v>
      </x:c>
      <x:c r="H4" s="10" t="n">
        <x:v>172.1</x:v>
      </x:c>
      <x:c r="I4" s="10" t="n">
        <x:v>180</x:v>
      </x:c>
    </x:row>
    <x:row r="5">
      <x:c r="A5" s="9" t="str">
        <x:v>中证500</x:v>
      </x:c>
      <x:c r="B5" s="9" t="str">
        <x:v>2026-08-31</x:v>
      </x:c>
      <x:c r="C5" s="10" t="n">
        <x:v>7953.93</x:v>
      </x:c>
      <x:c r="D5" s="10" t="n">
        <x:v>7764.98</x:v>
      </x:c>
      <x:c r="E5" s="12" t="n">
        <x:v>189</x:v>
      </x:c>
      <x:c r="F5" s="9" t="n">
        <x:v>21</x:v>
      </x:c>
      <x:c r="G5" s="10" t="n">
        <x:v>3487.7</x:v>
      </x:c>
      <x:c r="H5" s="10" t="n">
        <x:v>166.1</x:v>
      </x:c>
      <x:c r="I5" s="10" t="n">
        <x:v>160</x:v>
      </x:c>
    </x:row>
    <x:row r="6">
      <x:c r="A6" s="9" t="str">
        <x:v>上证指数</x:v>
      </x:c>
      <x:c r="B6" s="9" t="str">
        <x:v>2026-08-31</x:v>
      </x:c>
      <x:c r="C6" s="10" t="n">
        <x:v>3986.3</x:v>
      </x:c>
      <x:c r="D6" s="10" t="n">
        <x:v>3926.5</x:v>
      </x:c>
      <x:c r="E6" s="12" t="n">
        <x:v>59.8</x:v>
      </x:c>
      <x:c r="F6" s="9" t="n">
        <x:v>21</x:v>
      </x:c>
      <x:c r="G6" s="10" t="n">
        <x:v>905.8</x:v>
      </x:c>
      <x:c r="H6" s="10" t="n">
        <x:v>43.1</x:v>
      </x:c>
      <x:c r="I6" s="10" t="n">
        <x:v>50</x:v>
      </x:c>
    </x:row>
    <x:row r="7">
      <x:c r="A7" s="9" t="str">
        <x:v>IM主力</x:v>
      </x:c>
      <x:c r="B7" s="9" t="str">
        <x:v>2026-08-31</x:v>
      </x:c>
      <x:c r="C7" s="10" t="n">
        <x:v>7735</x:v>
      </x:c>
      <x:c r="D7" s="10" t="n">
        <x:v>7552.8</x:v>
      </x:c>
      <x:c r="E7" s="12" t="n">
        <x:v>182.2</x:v>
      </x:c>
      <x:c r="F7" s="9" t="n">
        <x:v>21</x:v>
      </x:c>
      <x:c r="G7" s="10" t="n">
        <x:v>3616</x:v>
      </x:c>
      <x:c r="H7" s="10" t="n">
        <x:v>172.2</x:v>
      </x:c>
      <x:c r="I7" s="10" t="n">
        <x:v>190</x:v>
      </x:c>
    </x:row>
    <x:row r="8">
      <x:c r="A8" s="9" t="str">
        <x:v>IC主力</x:v>
      </x:c>
      <x:c r="B8" s="9" t="str">
        <x:v>2026-08-31</x:v>
      </x:c>
      <x:c r="C8" s="10" t="n">
        <x:v>7913</x:v>
      </x:c>
      <x:c r="D8" s="10" t="n">
        <x:v>7694</x:v>
      </x:c>
      <x:c r="E8" s="12" t="n">
        <x:v>219</x:v>
      </x:c>
      <x:c r="F8" s="9" t="n">
        <x:v>21</x:v>
      </x:c>
      <x:c r="G8" s="10" t="n">
        <x:v>3571.6</x:v>
      </x:c>
      <x:c r="H8" s="10" t="n">
        <x:v>170.1</x:v>
      </x:c>
      <x:c r="I8" s="10" t="n">
        <x:v>150</x:v>
      </x:c>
    </x:row>
    <x:row r="9">
      <x:c r="A9" s="9" t="str">
        <x:v>IF主力</x:v>
      </x:c>
      <x:c r="B9" s="9" t="str">
        <x:v>2026-08-31</x:v>
      </x:c>
      <x:c r="C9" s="10" t="n">
        <x:v>4608.6</x:v>
      </x:c>
      <x:c r="D9" s="10" t="n">
        <x:v>4530</x:v>
      </x:c>
      <x:c r="E9" s="12" t="n">
        <x:v>78.6</x:v>
      </x:c>
      <x:c r="F9" s="9" t="n">
        <x:v>21</x:v>
      </x:c>
      <x:c r="G9" s="10" t="n">
        <x:v>1327</x:v>
      </x:c>
      <x:c r="H9" s="10" t="n">
        <x:v>63.2</x:v>
      </x:c>
      <x:c r="I9" s="10" t="n">
        <x:v>90</x:v>
      </x:c>
    </x:row>
    <x:row r="10">
      <x:c r="A10" s="9" t="str">
        <x:v>IH主力</x:v>
      </x:c>
      <x:c r="B10" s="9" t="str">
        <x:v>2026-08-31</x:v>
      </x:c>
      <x:c r="C10" s="10" t="n">
        <x:v>2921.4</x:v>
      </x:c>
      <x:c r="D10" s="10" t="n">
        <x:v>2877.6</x:v>
      </x:c>
      <x:c r="E10" s="12" t="n">
        <x:v>43.8</x:v>
      </x:c>
      <x:c r="F10" s="9" t="n">
        <x:v>21</x:v>
      </x:c>
      <x:c r="G10" s="10" t="n">
        <x:v>698.8</x:v>
      </x:c>
      <x:c r="H10" s="10" t="n">
        <x:v>33.3</x:v>
      </x:c>
      <x:c r="I10" s="10" t="n">
        <x:v>60</x:v>
      </x:c>
    </x:row>
    <x:row r="11">
      <x:c r="A11" s="9" t="str">
        <x:v>碳酸锂2609</x:v>
      </x:c>
      <x:c r="B11" s="9" t="str">
        <x:v>2026-08-31</x:v>
      </x:c>
      <x:c r="C11" s="10" t="n">
        <x:v>159900</x:v>
      </x:c>
      <x:c r="D11" s="10" t="n">
        <x:v>156180</x:v>
      </x:c>
      <x:c r="E11" s="12" t="n">
        <x:v>3720</x:v>
      </x:c>
      <x:c r="F11" s="9" t="n">
        <x:v>21</x:v>
      </x:c>
      <x:c r="G11" s="10" t="n">
        <x:v>110440</x:v>
      </x:c>
      <x:c r="H11" s="10" t="n">
        <x:v>5259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2026-08-31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8月24日-8月28日</x:v>
      </x:c>
      <x:c r="C8" s="23" t="n">
        <x:v>7614.89</x:v>
      </x:c>
      <x:c r="D8" s="23" t="n">
        <x:v>7802.55</x:v>
      </x:c>
      <x:c r="E8" s="23" t="n">
        <x:v>7347.95</x:v>
      </x:c>
      <x:c r="F8" s="23" t="n">
        <x:v>7705.03</x:v>
      </x:c>
      <x:c r="G8" s="23" t="n">
        <x:f>ROUND(F8-F7,1)</x:f>
        <x:v>103.2</x:v>
      </x:c>
      <x:c r="H8" s="24" t="n">
        <x:f>IFERROR(F8/F7-1,"")</x:f>
        <x:v>0.013579678497197989</x:v>
      </x:c>
      <x:c r="I8" s="26" t="n">
        <x:f>ROUND(D8-E8,1)</x:f>
        <x:v>454.6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8月31日</x:v>
      </x:c>
      <x:c r="C9" s="23" t="n">
        <x:v>7607.23</x:v>
      </x:c>
      <x:c r="D9" s="23" t="n">
        <x:v>7771.55</x:v>
      </x:c>
      <x:c r="E9" s="23" t="n">
        <x:v>7604.95</x:v>
      </x:c>
      <x:c r="F9" s="23" t="n">
        <x:v>7770.42</x:v>
      </x:c>
      <x:c r="G9" s="23" t="n">
        <x:f>ROUND(F9-F8,1)</x:f>
        <x:v>65.4</x:v>
      </x:c>
      <x:c r="H9" s="24" t="n">
        <x:f>IFERROR(F9/F8-1,"")</x:f>
        <x:v>0.00848666390656505</x:v>
      </x:c>
      <x:c r="I9" s="23" t="n">
        <x:f>ROUND(D9-E9,1)</x:f>
        <x:v>166.6</x:v>
      </x:c>
      <x:c r="J9" s="22" t="str">
        <x:v>中证1000</x:v>
      </x:c>
      <x:c r="K9" s="22" t="n">
        <x:v>1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2045.5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409.1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8月3日-8月7日</x:v>
      </x:c>
      <x:c r="C15" s="23" t="n">
        <x:v>7457.12</x:v>
      </x:c>
      <x:c r="D15" s="23" t="n">
        <x:v>7983.17</x:v>
      </x:c>
      <x:c r="E15" s="23" t="n">
        <x:v>7397.94</x:v>
      </x:c>
      <x:c r="F15" s="23" t="n">
        <x:v>7980.12</x:v>
      </x:c>
      <x:c r="G15" s="23"/>
      <x:c r="H15" s="24"/>
      <x:c r="I15" s="26" t="n">
        <x:f>ROUND(D15-E15,1)</x:f>
        <x:v>585.2</x:v>
      </x:c>
      <x:c r="J15" s="22" t="str">
        <x:v>中证500</x:v>
      </x:c>
      <x:c r="K15" s="22" t="n">
        <x:v>5</x:v>
      </x:c>
    </x:row>
    <x:row r="16">
      <x:c r="A16" s="22" t="n">
        <x:v>2</x:v>
      </x:c>
      <x:c r="B16" s="22" t="str">
        <x:v>8月10日-8月14日</x:v>
      </x:c>
      <x:c r="C16" s="23" t="n">
        <x:v>8003.92</x:v>
      </x:c>
      <x:c r="D16" s="23" t="n">
        <x:v>8142.33</x:v>
      </x:c>
      <x:c r="E16" s="23" t="n">
        <x:v>7897.24</x:v>
      </x:c>
      <x:c r="F16" s="23" t="n">
        <x:v>7990.33</x:v>
      </x:c>
      <x:c r="G16" s="23" t="n">
        <x:f>ROUND(F16-F15,1)</x:f>
        <x:v>10.2</x:v>
      </x:c>
      <x:c r="H16" s="24" t="n">
        <x:f>IFERROR(F16/F15-1,"")</x:f>
        <x:v>0.0012794293820144187</x:v>
      </x:c>
      <x:c r="I16" s="26" t="n">
        <x:f>ROUND(D16-E16,1)</x:f>
        <x:v>245.1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8月17日-8月21日</x:v>
      </x:c>
      <x:c r="C17" s="23" t="n">
        <x:v>8007.87</x:v>
      </x:c>
      <x:c r="D17" s="23" t="n">
        <x:v>8211.31</x:v>
      </x:c>
      <x:c r="E17" s="23" t="n">
        <x:v>7756.28</x:v>
      </x:c>
      <x:c r="F17" s="23" t="n">
        <x:v>7854.33</x:v>
      </x:c>
      <x:c r="G17" s="23" t="n">
        <x:f>ROUND(F17-F16,1)</x:f>
        <x:v>-136</x:v>
      </x:c>
      <x:c r="H17" s="24" t="n">
        <x:f>IFERROR(F17/F16-1,"")</x:f>
        <x:v>-0.01702057361836118</x:v>
      </x:c>
      <x:c r="I17" s="26" t="n">
        <x:f>ROUND(D17-E17,1)</x:f>
        <x:v>455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8月24日-8月28日</x:v>
      </x:c>
      <x:c r="C18" s="23" t="n">
        <x:v>7861.05</x:v>
      </x:c>
      <x:c r="D18" s="23" t="n">
        <x:v>7986.43</x:v>
      </x:c>
      <x:c r="E18" s="23" t="n">
        <x:v>7572.86</x:v>
      </x:c>
      <x:c r="F18" s="23" t="n">
        <x:v>7895.45</x:v>
      </x:c>
      <x:c r="G18" s="23" t="n">
        <x:f>ROUND(F18-F17,1)</x:f>
        <x:v>41.1</x:v>
      </x:c>
      <x:c r="H18" s="24" t="n">
        <x:f>IFERROR(F18/F17-1,"")</x:f>
        <x:v>0.005235328793162575</x:v>
      </x:c>
      <x:c r="I18" s="26" t="n">
        <x:f>ROUND(D18-E18,1)</x:f>
        <x:v>413.6</x:v>
      </x:c>
      <x:c r="J18" s="22" t="str">
        <x:v>中证500</x:v>
      </x:c>
      <x:c r="K18" s="22" t="n">
        <x:v>5</x:v>
      </x:c>
    </x:row>
    <x:row r="19">
      <x:c r="A19" s="22" t="n">
        <x:v>5</x:v>
      </x:c>
      <x:c r="B19" s="22" t="str">
        <x:v>8月31日</x:v>
      </x:c>
      <x:c r="C19" s="23" t="n">
        <x:v>7797.23</x:v>
      </x:c>
      <x:c r="D19" s="23" t="n">
        <x:v>7953.93</x:v>
      </x:c>
      <x:c r="E19" s="23" t="n">
        <x:v>7764.98</x:v>
      </x:c>
      <x:c r="F19" s="23" t="n">
        <x:v>7952.1</x:v>
      </x:c>
      <x:c r="G19" s="23" t="n">
        <x:f>ROUND(F19-F18,1)</x:f>
        <x:v>56.7</x:v>
      </x:c>
      <x:c r="H19" s="24" t="n">
        <x:f>IFERROR(F19/F18-1,"")</x:f>
        <x:v>0.007175018523326804</x:v>
      </x:c>
      <x:c r="I19" s="26" t="n">
        <x:f>ROUND(D19-E19,1)</x:f>
        <x:v>189</x:v>
      </x:c>
      <x:c r="J19" s="22" t="str">
        <x:v>中证500</x:v>
      </x:c>
      <x:c r="K19" s="22" t="n">
        <x:v>1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1887.9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377.6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8月3日-8月7日</x:v>
      </x:c>
      <x:c r="C25" s="23" t="n">
        <x:v>3812.61</x:v>
      </x:c>
      <x:c r="D25" s="23" t="n">
        <x:v>3940.93</x:v>
      </x:c>
      <x:c r="E25" s="23" t="n">
        <x:v>3797.64</x:v>
      </x:c>
      <x:c r="F25" s="23" t="n">
        <x:v>3940.04</x:v>
      </x:c>
      <x:c r="G25" s="23"/>
      <x:c r="H25" s="24"/>
      <x:c r="I25" s="26" t="n">
        <x:f>ROUND(D25-E25,1)</x:f>
        <x:v>143.3</x:v>
      </x:c>
      <x:c r="J25" s="22" t="str">
        <x:v>上证指数</x:v>
      </x:c>
      <x:c r="K25" s="22" t="n">
        <x:v>5</x:v>
      </x:c>
    </x:row>
    <x:row r="26">
      <x:c r="A26" s="22" t="n">
        <x:v>2</x:v>
      </x:c>
      <x:c r="B26" s="22" t="str">
        <x:v>8月10日-8月14日</x:v>
      </x:c>
      <x:c r="C26" s="23" t="n">
        <x:v>3943.82</x:v>
      </x:c>
      <x:c r="D26" s="23" t="n">
        <x:v>3968.48</x:v>
      </x:c>
      <x:c r="E26" s="23" t="n">
        <x:v>3903.7</x:v>
      </x:c>
      <x:c r="F26" s="23" t="n">
        <x:v>3927.18</x:v>
      </x:c>
      <x:c r="G26" s="23" t="n">
        <x:f>ROUND(F26-F25,1)</x:f>
        <x:v>-12.9</x:v>
      </x:c>
      <x:c r="H26" s="24" t="n">
        <x:f>IFERROR(F26/F25-1,"")</x:f>
        <x:v>-0.003263926254555849</x:v>
      </x:c>
      <x:c r="I26" s="26" t="n">
        <x:f>ROUND(D26-E26,1)</x:f>
        <x:v>64.8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8月17日-8月21日</x:v>
      </x:c>
      <x:c r="C27" s="23" t="n">
        <x:v>3930.1</x:v>
      </x:c>
      <x:c r="D27" s="23" t="n">
        <x:v>3994.18</x:v>
      </x:c>
      <x:c r="E27" s="23" t="n">
        <x:v>3879.58</x:v>
      </x:c>
      <x:c r="F27" s="23" t="n">
        <x:v>3905.2</x:v>
      </x:c>
      <x:c r="G27" s="23" t="n">
        <x:f>ROUND(F27-F26,1)</x:f>
        <x:v>-22</x:v>
      </x:c>
      <x:c r="H27" s="24" t="n">
        <x:f>IFERROR(F27/F26-1,"")</x:f>
        <x:v>-0.00559689140808417</x:v>
      </x:c>
      <x:c r="I27" s="26" t="n">
        <x:f>ROUND(D27-E27,1)</x:f>
        <x:v>114.6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8月24日-8月28日</x:v>
      </x:c>
      <x:c r="C28" s="23" t="n">
        <x:v>3902.7</x:v>
      </x:c>
      <x:c r="D28" s="23" t="n">
        <x:v>3970.31</x:v>
      </x:c>
      <x:c r="E28" s="23" t="n">
        <x:v>3850.86</x:v>
      </x:c>
      <x:c r="F28" s="23" t="n">
        <x:v>3952.18</x:v>
      </x:c>
      <x:c r="G28" s="23" t="n">
        <x:f>ROUND(F28-F27,1)</x:f>
        <x:v>47</x:v>
      </x:c>
      <x:c r="H28" s="24" t="n">
        <x:f>IFERROR(F28/F27-1,"")</x:f>
        <x:v>0.012030113694561084</x:v>
      </x:c>
      <x:c r="I28" s="26" t="n">
        <x:f>ROUND(D28-E28,1)</x:f>
        <x:v>119.4</x:v>
      </x:c>
      <x:c r="J28" s="22" t="str">
        <x:v>上证指数</x:v>
      </x:c>
      <x:c r="K28" s="22" t="n">
        <x:v>5</x:v>
      </x:c>
    </x:row>
    <x:row r="29">
      <x:c r="A29" s="22" t="n">
        <x:v>5</x:v>
      </x:c>
      <x:c r="B29" s="22" t="str">
        <x:v>8月31日</x:v>
      </x:c>
      <x:c r="C29" s="23" t="n">
        <x:v>3926.53</x:v>
      </x:c>
      <x:c r="D29" s="23" t="n">
        <x:v>3986.3</x:v>
      </x:c>
      <x:c r="E29" s="23" t="n">
        <x:v>3926.5</x:v>
      </x:c>
      <x:c r="F29" s="23" t="n">
        <x:v>3986.3</x:v>
      </x:c>
      <x:c r="G29" s="23" t="n">
        <x:f>ROUND(F29-F28,1)</x:f>
        <x:v>34.1</x:v>
      </x:c>
      <x:c r="H29" s="24" t="n">
        <x:f>IFERROR(F29/F28-1,"")</x:f>
        <x:v>0.008633210025859261</x:v>
      </x:c>
      <x:c r="I29" s="26" t="n">
        <x:f>ROUND(D29-E29,1)</x:f>
        <x:v>59.8</x:v>
      </x:c>
      <x:c r="J29" s="22" t="str">
        <x:v>上证指数</x:v>
      </x:c>
      <x:c r="K29" s="22" t="n">
        <x:v>1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501.9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100.4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8月3日-8月7日</x:v>
      </x:c>
      <x:c r="C35" s="23" t="n">
        <x:v>7000</x:v>
      </x:c>
      <x:c r="D35" s="23" t="n">
        <x:v>7594.2</x:v>
      </x:c>
      <x:c r="E35" s="23" t="n">
        <x:v>6976</x:v>
      </x:c>
      <x:c r="F35" s="23" t="n">
        <x:v>7590.6</x:v>
      </x:c>
      <x:c r="G35" s="23"/>
      <x:c r="H35" s="24"/>
      <x:c r="I35" s="26" t="n">
        <x:f>ROUND(D35-E35,1)</x:f>
        <x:v>618.2</x:v>
      </x:c>
      <x:c r="J35" s="22" t="str">
        <x:v>IM2609</x:v>
      </x:c>
      <x:c r="K35" s="22" t="n">
        <x:v>5</x:v>
      </x:c>
    </x:row>
    <x:row r="36">
      <x:c r="A36" s="22" t="n">
        <x:v>2</x:v>
      </x:c>
      <x:c r="B36" s="22" t="str">
        <x:v>8月10日-8月14日</x:v>
      </x:c>
      <x:c r="C36" s="23" t="n">
        <x:v>7628.8</x:v>
      </x:c>
      <x:c r="D36" s="23" t="n">
        <x:v>7776</x:v>
      </x:c>
      <x:c r="E36" s="23" t="n">
        <x:v>7525</x:v>
      </x:c>
      <x:c r="F36" s="23" t="n">
        <x:v>7650.2</x:v>
      </x:c>
      <x:c r="G36" s="23" t="n">
        <x:f>ROUND(F36-F35,1)</x:f>
        <x:v>59.6</x:v>
      </x:c>
      <x:c r="H36" s="24" t="n">
        <x:f>IFERROR(F36/F35-1,"")</x:f>
        <x:v>0.007851816720680693</x:v>
      </x:c>
      <x:c r="I36" s="26" t="n">
        <x:f>ROUND(D36-E36,1)</x:f>
        <x:v>251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8月17日-8月21日</x:v>
      </x:c>
      <x:c r="C37" s="23" t="n">
        <x:v>7675</x:v>
      </x:c>
      <x:c r="D37" s="23" t="n">
        <x:v>7882.8</x:v>
      </x:c>
      <x:c r="E37" s="23" t="n">
        <x:v>7410</x:v>
      </x:c>
      <x:c r="F37" s="23" t="n">
        <x:v>7527</x:v>
      </x:c>
      <x:c r="G37" s="23" t="n">
        <x:f>ROUND(F37-F36,1)</x:f>
        <x:v>-123.2</x:v>
      </x:c>
      <x:c r="H37" s="24" t="n">
        <x:f>IFERROR(F37/F36-1,"")</x:f>
        <x:v>-0.016104154139761073</x:v>
      </x:c>
      <x:c r="I37" s="26" t="n">
        <x:f>ROUND(D37-E37,1)</x:f>
        <x:v>472.8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8月24日-8月28日</x:v>
      </x:c>
      <x:c r="C38" s="23" t="n">
        <x:v>7534.8</x:v>
      </x:c>
      <x:c r="D38" s="23" t="n">
        <x:v>7753.8</x:v>
      </x:c>
      <x:c r="E38" s="23" t="n">
        <x:v>7300.2</x:v>
      </x:c>
      <x:c r="F38" s="23" t="n">
        <x:v>7666.6</x:v>
      </x:c>
      <x:c r="G38" s="23" t="n">
        <x:f>ROUND(F38-F37,1)</x:f>
        <x:v>139.6</x:v>
      </x:c>
      <x:c r="H38" s="24" t="n">
        <x:f>IFERROR(F38/F37-1,"")</x:f>
        <x:v>0.01854656569682489</x:v>
      </x:c>
      <x:c r="I38" s="26" t="n">
        <x:f>ROUND(D38-E38,1)</x:f>
        <x:v>453.6</x:v>
      </x:c>
      <x:c r="J38" s="22" t="str">
        <x:v>IM2609</x:v>
      </x:c>
      <x:c r="K38" s="22" t="n">
        <x:v>5</x:v>
      </x:c>
    </x:row>
    <x:row r="39">
      <x:c r="A39" s="22" t="n">
        <x:v>5</x:v>
      </x:c>
      <x:c r="B39" s="22" t="str">
        <x:v>8月31日</x:v>
      </x:c>
      <x:c r="C39" s="23" t="n">
        <x:v>7582</x:v>
      </x:c>
      <x:c r="D39" s="23" t="n">
        <x:v>7735</x:v>
      </x:c>
      <x:c r="E39" s="23" t="n">
        <x:v>7552.8</x:v>
      </x:c>
      <x:c r="F39" s="23" t="n">
        <x:v>7713.6</x:v>
      </x:c>
      <x:c r="G39" s="23" t="n">
        <x:f>ROUND(F39-F38,1)</x:f>
        <x:v>47</x:v>
      </x:c>
      <x:c r="H39" s="24" t="n">
        <x:f>IFERROR(F39/F38-1,"")</x:f>
        <x:v>0.006130488091200759</x:v>
      </x:c>
      <x:c r="I39" s="23" t="n">
        <x:f>ROUND(D39-E39,1)</x:f>
        <x:v>182.2</x:v>
      </x:c>
      <x:c r="J39" s="22" t="str">
        <x:v>IM2609</x:v>
      </x:c>
      <x:c r="K39" s="22" t="n">
        <x:v>1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1977.8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395.6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7391</x:v>
      </x:c>
      <x:c r="D45" s="23" t="n">
        <x:v>7882.6</x:v>
      </x:c>
      <x:c r="E45" s="23" t="n">
        <x:v>7335</x:v>
      </x:c>
      <x:c r="F45" s="23" t="n">
        <x:v>7877.8</x:v>
      </x:c>
      <x:c r="G45" s="23"/>
      <x:c r="H45" s="24"/>
      <x:c r="I45" s="26" t="n">
        <x:f>ROUND(D45-E45,1)</x:f>
        <x:v>547.6</x:v>
      </x:c>
      <x:c r="J45" s="22" t="str">
        <x:v>IC2609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7888</x:v>
      </x:c>
      <x:c r="D46" s="23" t="n">
        <x:v>8024</x:v>
      </x:c>
      <x:c r="E46" s="23" t="n">
        <x:v>7795.8</x:v>
      </x:c>
      <x:c r="F46" s="23" t="n">
        <x:v>7861.2</x:v>
      </x:c>
      <x:c r="G46" s="23" t="n">
        <x:f>ROUND(F46-F45,1)</x:f>
        <x:v>-16.6</x:v>
      </x:c>
      <x:c r="H46" s="24" t="n">
        <x:f>IFERROR(F46/F45-1,"")</x:f>
        <x:v>-0.0021071872857905127</x:v>
      </x:c>
      <x:c r="I46" s="26" t="n">
        <x:f>ROUND(D46-E46,1)</x:f>
        <x:v>228.2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8月17日-8月21日</x:v>
      </x:c>
      <x:c r="C47" s="23" t="n">
        <x:v>7885</x:v>
      </x:c>
      <x:c r="D47" s="23" t="n">
        <x:v>8091.8</x:v>
      </x:c>
      <x:c r="E47" s="23" t="n">
        <x:v>7669.6</x:v>
      </x:c>
      <x:c r="F47" s="23" t="n">
        <x:v>7762</x:v>
      </x:c>
      <x:c r="G47" s="23" t="n">
        <x:f>ROUND(F47-F46,1)</x:f>
        <x:v>-99.2</x:v>
      </x:c>
      <x:c r="H47" s="24" t="n">
        <x:f>IFERROR(F47/F46-1,"")</x:f>
        <x:v>-0.012618938584439965</x:v>
      </x:c>
      <x:c r="I47" s="26" t="n">
        <x:f>ROUND(D47-E47,1)</x:f>
        <x:v>422.2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8月24日-8月28日</x:v>
      </x:c>
      <x:c r="C48" s="23" t="n">
        <x:v>7757</x:v>
      </x:c>
      <x:c r="D48" s="23" t="n">
        <x:v>7931</x:v>
      </x:c>
      <x:c r="E48" s="23" t="n">
        <x:v>7496</x:v>
      </x:c>
      <x:c r="F48" s="23" t="n">
        <x:v>7853.8</x:v>
      </x:c>
      <x:c r="G48" s="23" t="n">
        <x:f>ROUND(F48-F47,1)</x:f>
        <x:v>91.8</x:v>
      </x:c>
      <x:c r="H48" s="24" t="n">
        <x:f>IFERROR(F48/F47-1,"")</x:f>
        <x:v>0.011826848750322139</x:v>
      </x:c>
      <x:c r="I48" s="26" t="n">
        <x:f>ROUND(D48-E48,1)</x:f>
        <x:v>435</x:v>
      </x:c>
      <x:c r="J48" s="22" t="str">
        <x:v>IC2609</x:v>
      </x:c>
      <x:c r="K48" s="22" t="n">
        <x:v>5</x:v>
      </x:c>
    </x:row>
    <x:row r="49">
      <x:c r="A49" s="22" t="n">
        <x:v>5</x:v>
      </x:c>
      <x:c r="B49" s="22" t="str">
        <x:v>8月31日</x:v>
      </x:c>
      <x:c r="C49" s="23" t="n">
        <x:v>7761</x:v>
      </x:c>
      <x:c r="D49" s="23" t="n">
        <x:v>7913</x:v>
      </x:c>
      <x:c r="E49" s="23" t="n">
        <x:v>7694</x:v>
      </x:c>
      <x:c r="F49" s="23" t="n">
        <x:v>7895.8</x:v>
      </x:c>
      <x:c r="G49" s="23" t="n">
        <x:f>ROUND(F49-F48,1)</x:f>
        <x:v>42</x:v>
      </x:c>
      <x:c r="H49" s="24" t="n">
        <x:f>IFERROR(F49/F48-1,"")</x:f>
        <x:v>0.005347729761389308</x:v>
      </x:c>
      <x:c r="I49" s="26" t="n">
        <x:f>ROUND(D49-E49,1)</x:f>
        <x:v>219</x:v>
      </x:c>
      <x:c r="J49" s="22" t="str">
        <x:v>IC2609</x:v>
      </x:c>
      <x:c r="K49" s="22" t="n">
        <x:v>1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1852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370.4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8月3日-8月7日</x:v>
      </x:c>
      <x:c r="C55" s="23" t="n">
        <x:v>4526.4</x:v>
      </x:c>
      <x:c r="D55" s="23" t="n">
        <x:v>4656.2</x:v>
      </x:c>
      <x:c r="E55" s="23" t="n">
        <x:v>4494.2</x:v>
      </x:c>
      <x:c r="F55" s="23" t="n">
        <x:v>4645.6</x:v>
      </x:c>
      <x:c r="G55" s="23"/>
      <x:c r="H55" s="24"/>
      <x:c r="I55" s="26" t="n">
        <x:f>ROUND(D55-E55,1)</x:f>
        <x:v>162</x:v>
      </x:c>
      <x:c r="J55" s="22" t="str">
        <x:v>IF2609</x:v>
      </x:c>
      <x:c r="K55" s="22" t="n">
        <x:v>5</x:v>
      </x:c>
    </x:row>
    <x:row r="56">
      <x:c r="A56" s="22" t="n">
        <x:v>2</x:v>
      </x:c>
      <x:c r="B56" s="22" t="str">
        <x:v>8月10日-8月14日</x:v>
      </x:c>
      <x:c r="C56" s="23" t="n">
        <x:v>4656.8</x:v>
      </x:c>
      <x:c r="D56" s="23" t="n">
        <x:v>4681</x:v>
      </x:c>
      <x:c r="E56" s="23" t="n">
        <x:v>4598</x:v>
      </x:c>
      <x:c r="F56" s="23" t="n">
        <x:v>4620.4</x:v>
      </x:c>
      <x:c r="G56" s="23" t="n">
        <x:f>ROUND(F56-F55,1)</x:f>
        <x:v>-25.2</x:v>
      </x:c>
      <x:c r="H56" s="24" t="n">
        <x:f>IFERROR(F56/F55-1,"")</x:f>
        <x:v>-0.005424487687274104</x:v>
      </x:c>
      <x:c r="I56" s="23" t="n">
        <x:f>ROUND(D56-E56,1)</x:f>
        <x:v>83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8月17日-8月21日</x:v>
      </x:c>
      <x:c r="C57" s="23" t="n">
        <x:v>4624</x:v>
      </x:c>
      <x:c r="D57" s="23" t="n">
        <x:v>4700.6</x:v>
      </x:c>
      <x:c r="E57" s="23" t="n">
        <x:v>4531.8</x:v>
      </x:c>
      <x:c r="F57" s="23" t="n">
        <x:v>4576</x:v>
      </x:c>
      <x:c r="G57" s="23" t="n">
        <x:f>ROUND(F57-F56,1)</x:f>
        <x:v>-44.4</x:v>
      </x:c>
      <x:c r="H57" s="24" t="n">
        <x:f>IFERROR(F57/F56-1,"")</x:f>
        <x:v>-0.00960955761405935</x:v>
      </x:c>
      <x:c r="I57" s="26" t="n">
        <x:f>ROUND(D57-E57,1)</x:f>
        <x:v>168.8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8月24日-8月28日</x:v>
      </x:c>
      <x:c r="C58" s="23" t="n">
        <x:v>4607.4</x:v>
      </x:c>
      <x:c r="D58" s="23" t="n">
        <x:v>4620</x:v>
      </x:c>
      <x:c r="E58" s="23" t="n">
        <x:v>4486.4</x:v>
      </x:c>
      <x:c r="F58" s="23" t="n">
        <x:v>4593.6</x:v>
      </x:c>
      <x:c r="G58" s="23" t="n">
        <x:f>ROUND(F58-F57,1)</x:f>
        <x:v>17.6</x:v>
      </x:c>
      <x:c r="H58" s="24" t="n">
        <x:f>IFERROR(F58/F57-1,"")</x:f>
        <x:v>0.0038461538461538325</x:v>
      </x:c>
      <x:c r="I58" s="26" t="n">
        <x:f>ROUND(D58-E58,1)</x:f>
        <x:v>133.6</x:v>
      </x:c>
      <x:c r="J58" s="22" t="str">
        <x:v>IF2609</x:v>
      </x:c>
      <x:c r="K58" s="22" t="n">
        <x:v>5</x:v>
      </x:c>
    </x:row>
    <x:row r="59">
      <x:c r="A59" s="22" t="n">
        <x:v>5</x:v>
      </x:c>
      <x:c r="B59" s="22" t="str">
        <x:v>8月31日</x:v>
      </x:c>
      <x:c r="C59" s="23" t="n">
        <x:v>4553</x:v>
      </x:c>
      <x:c r="D59" s="23" t="n">
        <x:v>4608.6</x:v>
      </x:c>
      <x:c r="E59" s="23" t="n">
        <x:v>4530</x:v>
      </x:c>
      <x:c r="F59" s="23" t="n">
        <x:v>4601.6</x:v>
      </x:c>
      <x:c r="G59" s="23" t="n">
        <x:f>ROUND(F59-F58,1)</x:f>
        <x:v>8</x:v>
      </x:c>
      <x:c r="H59" s="24" t="n">
        <x:f>IFERROR(F59/F58-1,"")</x:f>
        <x:v>0.0017415534656914922</x:v>
      </x:c>
      <x:c r="I59" s="23" t="n">
        <x:f>ROUND(D59-E59,1)</x:f>
        <x:v>78.6</x:v>
      </x:c>
      <x:c r="J59" s="22" t="str">
        <x:v>IF2609</x:v>
      </x:c>
      <x:c r="K59" s="22" t="n">
        <x:v>1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626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125.2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8月3日-8月7日</x:v>
      </x:c>
      <x:c r="C65" s="23" t="n">
        <x:v>2882.4</x:v>
      </x:c>
      <x:c r="D65" s="23" t="n">
        <x:v>2930.6</x:v>
      </x:c>
      <x:c r="E65" s="23" t="n">
        <x:v>2845.8</x:v>
      </x:c>
      <x:c r="F65" s="23" t="n">
        <x:v>2930</x:v>
      </x:c>
      <x:c r="G65" s="23"/>
      <x:c r="H65" s="24"/>
      <x:c r="I65" s="26" t="n">
        <x:f>ROUND(D65-E65,1)</x:f>
        <x:v>84.8</x:v>
      </x:c>
      <x:c r="J65" s="22" t="str">
        <x:v>IH2609</x:v>
      </x:c>
      <x:c r="K65" s="22" t="n">
        <x:v>5</x:v>
      </x:c>
    </x:row>
    <x:row r="66">
      <x:c r="A66" s="22" t="n">
        <x:v>2</x:v>
      </x:c>
      <x:c r="B66" s="22" t="str">
        <x:v>8月10日-8月14日</x:v>
      </x:c>
      <x:c r="C66" s="23" t="n">
        <x:v>2930</x:v>
      </x:c>
      <x:c r="D66" s="23" t="n">
        <x:v>2949.6</x:v>
      </x:c>
      <x:c r="E66" s="23" t="n">
        <x:v>2877</x:v>
      </x:c>
      <x:c r="F66" s="23" t="n">
        <x:v>2890</x:v>
      </x:c>
      <x:c r="G66" s="23" t="n">
        <x:f>ROUND(F66-F65,1)</x:f>
        <x:v>-40</x:v>
      </x:c>
      <x:c r="H66" s="24" t="n">
        <x:f>IFERROR(F66/F65-1,"")</x:f>
        <x:v>-0.013651877133105783</x:v>
      </x:c>
      <x:c r="I66" s="26" t="n">
        <x:f>ROUND(D66-E66,1)</x:f>
        <x:v>72.6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8月17日-8月21日</x:v>
      </x:c>
      <x:c r="C67" s="23" t="n">
        <x:v>2886</x:v>
      </x:c>
      <x:c r="D67" s="23" t="n">
        <x:v>2921.2</x:v>
      </x:c>
      <x:c r="E67" s="23" t="n">
        <x:v>2843</x:v>
      </x:c>
      <x:c r="F67" s="23" t="n">
        <x:v>2861</x:v>
      </x:c>
      <x:c r="G67" s="23" t="n">
        <x:f>ROUND(F67-F66,1)</x:f>
        <x:v>-29</x:v>
      </x:c>
      <x:c r="H67" s="24" t="n">
        <x:f>IFERROR(F67/F66-1,"")</x:f>
        <x:v>-0.01003460207612461</x:v>
      </x:c>
      <x:c r="I67" s="26" t="n">
        <x:f>ROUND(D67-E67,1)</x:f>
        <x:v>78.2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8月24日-8月28日</x:v>
      </x:c>
      <x:c r="C68" s="23" t="n">
        <x:v>2856.4</x:v>
      </x:c>
      <x:c r="D68" s="23" t="n">
        <x:v>2918.2</x:v>
      </x:c>
      <x:c r="E68" s="23" t="n">
        <x:v>2837.4</x:v>
      </x:c>
      <x:c r="F68" s="23" t="n">
        <x:v>2911.4</x:v>
      </x:c>
      <x:c r="G68" s="23" t="n">
        <x:f>ROUND(F68-F67,1)</x:f>
        <x:v>50.4</x:v>
      </x:c>
      <x:c r="H68" s="24" t="n">
        <x:f>IFERROR(F68/F67-1,"")</x:f>
        <x:v>0.01761621810555747</x:v>
      </x:c>
      <x:c r="I68" s="26" t="n">
        <x:f>ROUND(D68-E68,1)</x:f>
        <x:v>80.8</x:v>
      </x:c>
      <x:c r="J68" s="22" t="str">
        <x:v>IH2609</x:v>
      </x:c>
      <x:c r="K68" s="22" t="n">
        <x:v>5</x:v>
      </x:c>
    </x:row>
    <x:row r="69">
      <x:c r="A69" s="22" t="n">
        <x:v>5</x:v>
      </x:c>
      <x:c r="B69" s="22" t="str">
        <x:v>8月31日</x:v>
      </x:c>
      <x:c r="C69" s="23" t="n">
        <x:v>2886</x:v>
      </x:c>
      <x:c r="D69" s="23" t="n">
        <x:v>2921.4</x:v>
      </x:c>
      <x:c r="E69" s="23" t="n">
        <x:v>2877.6</x:v>
      </x:c>
      <x:c r="F69" s="23" t="n">
        <x:v>2918</x:v>
      </x:c>
      <x:c r="G69" s="23" t="n">
        <x:f>ROUND(F69-F68,1)</x:f>
        <x:v>6.6</x:v>
      </x:c>
      <x:c r="H69" s="24" t="n">
        <x:f>IFERROR(F69/F68-1,"")</x:f>
        <x:v>0.0022669506079548984</x:v>
      </x:c>
      <x:c r="I69" s="23" t="n">
        <x:f>ROUND(D69-E69,1)</x:f>
        <x:v>43.8</x:v>
      </x:c>
      <x:c r="J69" s="22" t="str">
        <x:v>IH2609</x:v>
      </x:c>
      <x:c r="K69" s="22" t="n">
        <x:v>1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360.2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72</x:v>
      </x:c>
      <x:c r="J71" s="30"/>
      <x:c r="K71" s="30"/>
    </x:row>
    <x:row r="73">
      <x:c r="A73" s="17" t="str">
        <x:v>碳酸锂2609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8月3日-8月7日</x:v>
      </x:c>
      <x:c r="C75" s="23" t="n">
        <x:v>137500</x:v>
      </x:c>
      <x:c r="D75" s="23" t="n">
        <x:v>144800</x:v>
      </x:c>
      <x:c r="E75" s="23" t="n">
        <x:v>135560</x:v>
      </x:c>
      <x:c r="F75" s="23" t="n">
        <x:v>140000</x:v>
      </x:c>
      <x:c r="G75" s="23"/>
      <x:c r="H75" s="24"/>
      <x:c r="I75" s="26" t="n">
        <x:f>ROUND(D75-E75,1)</x:f>
        <x:v>9240</x:v>
      </x:c>
      <x:c r="J75" s="22" t="str">
        <x:v>LC2609</x:v>
      </x:c>
      <x:c r="K75" s="22" t="n">
        <x:v>5</x:v>
      </x:c>
    </x:row>
    <x:row r="76">
      <x:c r="A76" s="22" t="n">
        <x:v>2</x:v>
      </x:c>
      <x:c r="B76" s="22" t="str">
        <x:v>8月10日-8月14日</x:v>
      </x:c>
      <x:c r="C76" s="23" t="n">
        <x:v>140500</x:v>
      </x:c>
      <x:c r="D76" s="23" t="n">
        <x:v>154500</x:v>
      </x:c>
      <x:c r="E76" s="23" t="n">
        <x:v>139280</x:v>
      </x:c>
      <x:c r="F76" s="23" t="n">
        <x:v>153940</x:v>
      </x:c>
      <x:c r="G76" s="28" t="n">
        <x:f>ROUND(F76-F75,1)</x:f>
        <x:v>13940</x:v>
      </x:c>
      <x:c r="H76" s="24" t="n">
        <x:f>IFERROR(F76/F75-1,"")</x:f>
        <x:v>0.09957142857142864</x:v>
      </x:c>
      <x:c r="I76" s="26" t="n">
        <x:f>ROUND(D76-E76,1)</x:f>
        <x:v>15220</x:v>
      </x:c>
      <x:c r="J76" s="22" t="str">
        <x:v>LC2609</x:v>
      </x:c>
      <x:c r="K76" s="22" t="n">
        <x:v>5</x:v>
      </x:c>
    </x:row>
    <x:row r="77">
      <x:c r="A77" s="22" t="n">
        <x:v>3</x:v>
      </x:c>
      <x:c r="B77" s="22" t="str">
        <x:v>8月17日-8月21日</x:v>
      </x:c>
      <x:c r="C77" s="23" t="n">
        <x:v>154300</x:v>
      </x:c>
      <x:c r="D77" s="23" t="n">
        <x:v>157000</x:v>
      </x:c>
      <x:c r="E77" s="23" t="n">
        <x:v>148400</x:v>
      </x:c>
      <x:c r="F77" s="23" t="n">
        <x:v>156140</x:v>
      </x:c>
      <x:c r="G77" s="28" t="n">
        <x:f>ROUND(F77-F76,1)</x:f>
        <x:v>2200</x:v>
      </x:c>
      <x:c r="H77" s="24" t="n">
        <x:f>IFERROR(F77/F76-1,"")</x:f>
        <x:v>0.014291282317786091</x:v>
      </x:c>
      <x:c r="I77" s="26" t="n">
        <x:f>ROUND(D77-E77,1)</x:f>
        <x:v>8600</x:v>
      </x:c>
      <x:c r="J77" s="22" t="str">
        <x:v>LC2609</x:v>
      </x:c>
      <x:c r="K77" s="22" t="n">
        <x:v>5</x:v>
      </x:c>
    </x:row>
    <x:row r="78">
      <x:c r="A78" s="22" t="n">
        <x:v>4</x:v>
      </x:c>
      <x:c r="B78" s="22" t="str">
        <x:v>8月24日-8月28日</x:v>
      </x:c>
      <x:c r="C78" s="23" t="n">
        <x:v>158500</x:v>
      </x:c>
      <x:c r="D78" s="23" t="n">
        <x:v>160000</x:v>
      </x:c>
      <x:c r="E78" s="23" t="n">
        <x:v>147000</x:v>
      </x:c>
      <x:c r="F78" s="23" t="n">
        <x:v>157080</x:v>
      </x:c>
      <x:c r="G78" s="28" t="n">
        <x:f>ROUND(F78-F77,1)</x:f>
        <x:v>940</x:v>
      </x:c>
      <x:c r="H78" s="24" t="n">
        <x:f>IFERROR(F78/F77-1,"")</x:f>
        <x:v>0.0060202382477263505</x:v>
      </x:c>
      <x:c r="I78" s="26" t="n">
        <x:f>ROUND(D78-E78,1)</x:f>
        <x:v>13000</x:v>
      </x:c>
      <x:c r="J78" s="22" t="str">
        <x:v>LC2609</x:v>
      </x:c>
      <x:c r="K78" s="22" t="n">
        <x:v>5</x:v>
      </x:c>
    </x:row>
    <x:row r="79">
      <x:c r="A79" s="22" t="n">
        <x:v>5</x:v>
      </x:c>
      <x:c r="B79" s="22" t="str">
        <x:v>8月31日</x:v>
      </x:c>
      <x:c r="C79" s="23" t="n">
        <x:v>158000</x:v>
      </x:c>
      <x:c r="D79" s="23" t="n">
        <x:v>159900</x:v>
      </x:c>
      <x:c r="E79" s="23" t="n">
        <x:v>156180</x:v>
      </x:c>
      <x:c r="F79" s="23" t="n">
        <x:v>159000</x:v>
      </x:c>
      <x:c r="G79" s="28" t="n">
        <x:f>ROUND(F79-F78,1)</x:f>
        <x:v>1920</x:v>
      </x:c>
      <x:c r="H79" s="24" t="n">
        <x:f>IFERROR(F79/F78-1,"")</x:f>
        <x:v>0.012223071046600475</x:v>
      </x:c>
      <x:c r="I79" s="23" t="n">
        <x:f>ROUND(D79-E79,1)</x:f>
        <x:v>3720</x:v>
      </x:c>
      <x:c r="J79" s="22" t="str">
        <x:v>LC2609</x:v>
      </x:c>
      <x:c r="K79" s="22" t="n">
        <x:v>1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49780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9956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7551.44</x:v>
      </x:c>
      <x:c r="E22" s="23" t="n">
        <x:v>7734.31</x:v>
      </x:c>
      <x:c r="F22" s="23" t="n">
        <x:v>7531.78</x:v>
      </x:c>
      <x:c r="G22" s="23" t="n">
        <x:v>7732.95</x:v>
      </x:c>
      <x:c r="H22" s="28" t="n">
        <x:v>188.3</x:v>
      </x:c>
      <x:c r="I22" s="24" t="n">
        <x:v>0.024955365841050625</x:v>
      </x:c>
      <x:c r="J22" s="26" t="n">
        <x:f>ROUND(E22-F22,1)</x:f>
        <x:v>202.5</x:v>
      </x:c>
      <x:c r="K22" s="22" t="str">
        <x:v>中证1000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7734.19</x:v>
      </x:c>
      <x:c r="E23" s="23" t="n">
        <x:v>7802.55</x:v>
      </x:c>
      <x:c r="F23" s="23" t="n">
        <x:v>7702.18</x:v>
      </x:c>
      <x:c r="G23" s="23" t="n">
        <x:v>7705.03</x:v>
      </x:c>
      <x:c r="H23" s="23" t="n">
        <x:v>-27.9</x:v>
      </x:c>
      <x:c r="I23" s="24" t="n">
        <x:v>-0.0036105237975158078</x:v>
      </x:c>
      <x:c r="J23" s="23" t="n">
        <x:f>ROUND(E23-F23,1)</x:f>
        <x:v>100.4</x:v>
      </x:c>
      <x:c r="K23" s="22" t="str">
        <x:v>中证1000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7607.23</x:v>
      </x:c>
      <x:c r="E24" s="23" t="n">
        <x:v>7771.55</x:v>
      </x:c>
      <x:c r="F24" s="23" t="n">
        <x:v>7604.95</x:v>
      </x:c>
      <x:c r="G24" s="23" t="n">
        <x:v>7770.42</x:v>
      </x:c>
      <x:c r="H24" s="23" t="n">
        <x:v>65.4</x:v>
      </x:c>
      <x:c r="I24" s="24" t="n">
        <x:v>0.00848666390656505</x:v>
      </x:c>
      <x:c r="J24" s="23" t="n">
        <x:f>ROUND(E24-F24,1)</x:f>
        <x:v>166.6</x:v>
      </x:c>
      <x:c r="K24" s="22" t="str">
        <x:v>中证1000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3614.9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172.1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7786.69</x:v>
      </x:c>
      <x:c r="E22" s="23" t="n">
        <x:v>7951.05</x:v>
      </x:c>
      <x:c r="F22" s="23" t="n">
        <x:v>7763.98</x:v>
      </x:c>
      <x:c r="G22" s="23" t="n">
        <x:v>7946.33</x:v>
      </x:c>
      <x:c r="H22" s="28" t="n">
        <x:v>175.8</x:v>
      </x:c>
      <x:c r="I22" s="24" t="n">
        <x:v>0.02262393942240748</x:v>
      </x:c>
      <x:c r="J22" s="26" t="n">
        <x:f>ROUND(E22-F22,1)</x:f>
        <x:v>187.1</x:v>
      </x:c>
      <x:c r="K22" s="22" t="str">
        <x:v>中证500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7939.45</x:v>
      </x:c>
      <x:c r="E23" s="23" t="n">
        <x:v>7986.43</x:v>
      </x:c>
      <x:c r="F23" s="23" t="n">
        <x:v>7892.51</x:v>
      </x:c>
      <x:c r="G23" s="23" t="n">
        <x:v>7895.45</x:v>
      </x:c>
      <x:c r="H23" s="23" t="n">
        <x:v>-50.9</x:v>
      </x:c>
      <x:c r="I23" s="24" t="n">
        <x:v>-0.006402955829924006</x:v>
      </x:c>
      <x:c r="J23" s="23" t="n">
        <x:f>ROUND(E23-F23,1)</x:f>
        <x:v>93.9</x:v>
      </x:c>
      <x:c r="K23" s="22" t="str">
        <x:v>中证500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7797.23</x:v>
      </x:c>
      <x:c r="E24" s="23" t="n">
        <x:v>7953.93</x:v>
      </x:c>
      <x:c r="F24" s="23" t="n">
        <x:v>7764.98</x:v>
      </x:c>
      <x:c r="G24" s="23" t="n">
        <x:v>7952.1</x:v>
      </x:c>
      <x:c r="H24" s="23" t="n">
        <x:v>56.7</x:v>
      </x:c>
      <x:c r="I24" s="24" t="n">
        <x:v>0.007175018523326804</x:v>
      </x:c>
      <x:c r="J24" s="26" t="n">
        <x:f>ROUND(E24-F24,1)</x:f>
        <x:v>189</x:v>
      </x:c>
      <x:c r="K24" s="22" t="str">
        <x:v>中证500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3487.7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166.1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3911.89</x:v>
      </x:c>
      <x:c r="E22" s="23" t="n">
        <x:v>3958.03</x:v>
      </x:c>
      <x:c r="F22" s="23" t="n">
        <x:v>3909.31</x:v>
      </x:c>
      <x:c r="G22" s="23" t="n">
        <x:v>3956.57</x:v>
      </x:c>
      <x:c r="H22" s="23" t="n">
        <x:v>44.1</x:v>
      </x:c>
      <x:c r="I22" s="24" t="n">
        <x:v>0.01125872838988684</x:v>
      </x:c>
      <x:c r="J22" s="23" t="n">
        <x:f>ROUND(E22-F22,1)</x:f>
        <x:v>48.7</x:v>
      </x:c>
      <x:c r="K22" s="22" t="str">
        <x:v>上证指数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3950.24</x:v>
      </x:c>
      <x:c r="E23" s="23" t="n">
        <x:v>3970.31</x:v>
      </x:c>
      <x:c r="F23" s="23" t="n">
        <x:v>3947.8</x:v>
      </x:c>
      <x:c r="G23" s="23" t="n">
        <x:v>3952.18</x:v>
      </x:c>
      <x:c r="H23" s="23" t="n">
        <x:v>-4.4</x:v>
      </x:c>
      <x:c r="I23" s="24" t="n">
        <x:v>-0.0011095469055268925</x:v>
      </x:c>
      <x:c r="J23" s="23" t="n">
        <x:f>ROUND(E23-F23,1)</x:f>
        <x:v>22.5</x:v>
      </x:c>
      <x:c r="K23" s="22" t="str">
        <x:v>上证指数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3926.53</x:v>
      </x:c>
      <x:c r="E24" s="23" t="n">
        <x:v>3986.3</x:v>
      </x:c>
      <x:c r="F24" s="23" t="n">
        <x:v>3926.5</x:v>
      </x:c>
      <x:c r="G24" s="23" t="n">
        <x:v>3986.3</x:v>
      </x:c>
      <x:c r="H24" s="23" t="n">
        <x:v>34.1</x:v>
      </x:c>
      <x:c r="I24" s="24" t="n">
        <x:v>0.008633210025859261</x:v>
      </x:c>
      <x:c r="J24" s="26" t="n">
        <x:f>ROUND(E24-F24,1)</x:f>
        <x:v>59.8</x:v>
      </x:c>
      <x:c r="K24" s="22" t="str">
        <x:v>上证指数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905.8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43.1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7466</x:v>
      </x:c>
      <x:c r="E21" s="23" t="n">
        <x:v>7558</x:v>
      </x:c>
      <x:c r="F21" s="23" t="n">
        <x:v>7395</x:v>
      </x:c>
      <x:c r="G21" s="23" t="n">
        <x:v>7491.8</x:v>
      </x:c>
      <x:c r="H21" s="23" t="n">
        <x:v>25.4</x:v>
      </x:c>
      <x:c r="I21" s="24" t="n">
        <x:v>0.0034019072109718884</x:v>
      </x:c>
      <x:c r="J21" s="23" t="n">
        <x:f>ROUND(E21-F21,1)</x:f>
        <x:v>163</x:v>
      </x:c>
      <x:c r="K21" s="22" t="str">
        <x:v>IM2609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7511</x:v>
      </x:c>
      <x:c r="E22" s="23" t="n">
        <x:v>7696</x:v>
      </x:c>
      <x:c r="F22" s="23" t="n">
        <x:v>7472</x:v>
      </x:c>
      <x:c r="G22" s="23" t="n">
        <x:v>7686.6</x:v>
      </x:c>
      <x:c r="H22" s="28" t="n">
        <x:v>194.8</x:v>
      </x:c>
      <x:c r="I22" s="24" t="n">
        <x:v>0.026001761926372824</x:v>
      </x:c>
      <x:c r="J22" s="26" t="n">
        <x:f>ROUND(E22-F22,1)</x:f>
        <x:v>224</x:v>
      </x:c>
      <x:c r="K22" s="22" t="str">
        <x:v>IM2609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7680</x:v>
      </x:c>
      <x:c r="E23" s="23" t="n">
        <x:v>7753.8</x:v>
      </x:c>
      <x:c r="F23" s="23" t="n">
        <x:v>7652</x:v>
      </x:c>
      <x:c r="G23" s="23" t="n">
        <x:v>7666.6</x:v>
      </x:c>
      <x:c r="H23" s="23" t="n">
        <x:v>-20</x:v>
      </x:c>
      <x:c r="I23" s="24" t="n">
        <x:v>-0.0026019306325293368</x:v>
      </x:c>
      <x:c r="J23" s="23" t="n">
        <x:f>ROUND(E23-F23,1)</x:f>
        <x:v>101.8</x:v>
      </x:c>
      <x:c r="K23" s="22" t="str">
        <x:v>IM2609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7582</x:v>
      </x:c>
      <x:c r="E24" s="23" t="n">
        <x:v>7735</x:v>
      </x:c>
      <x:c r="F24" s="23" t="n">
        <x:v>7552.8</x:v>
      </x:c>
      <x:c r="G24" s="23" t="n">
        <x:v>7713.6</x:v>
      </x:c>
      <x:c r="H24" s="23" t="n">
        <x:v>47</x:v>
      </x:c>
      <x:c r="I24" s="24" t="n">
        <x:v>0.006130488091200759</x:v>
      </x:c>
      <x:c r="J24" s="23" t="n">
        <x:f>ROUND(E24-F24,1)</x:f>
        <x:v>182.2</x:v>
      </x:c>
      <x:c r="K24" s="22" t="str">
        <x:v>IM2609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3616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172.2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7730.6</x:v>
      </x:c>
      <x:c r="E22" s="23" t="n">
        <x:v>7907</x:v>
      </x:c>
      <x:c r="F22" s="23" t="n">
        <x:v>7700</x:v>
      </x:c>
      <x:c r="G22" s="23" t="n">
        <x:v>7903</x:v>
      </x:c>
      <x:c r="H22" s="28" t="n">
        <x:v>194.2</x:v>
      </x:c>
      <x:c r="I22" s="24" t="n">
        <x:v>0.025191988376919827</x:v>
      </x:c>
      <x:c r="J22" s="26" t="n">
        <x:f>ROUND(E22-F22,1)</x:f>
        <x:v>207</x:v>
      </x:c>
      <x:c r="K22" s="22" t="str">
        <x:v>IC2609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7895</x:v>
      </x:c>
      <x:c r="E23" s="23" t="n">
        <x:v>7931</x:v>
      </x:c>
      <x:c r="F23" s="23" t="n">
        <x:v>7841</x:v>
      </x:c>
      <x:c r="G23" s="23" t="n">
        <x:v>7853.8</x:v>
      </x:c>
      <x:c r="H23" s="23" t="n">
        <x:v>-49.2</x:v>
      </x:c>
      <x:c r="I23" s="24" t="n">
        <x:v>-0.006225483993420156</x:v>
      </x:c>
      <x:c r="J23" s="23" t="n">
        <x:f>ROUND(E23-F23,1)</x:f>
        <x:v>90</x:v>
      </x:c>
      <x:c r="K23" s="22" t="str">
        <x:v>IC2609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7761</x:v>
      </x:c>
      <x:c r="E24" s="23" t="n">
        <x:v>7913</x:v>
      </x:c>
      <x:c r="F24" s="23" t="n">
        <x:v>7694</x:v>
      </x:c>
      <x:c r="G24" s="23" t="n">
        <x:v>7895.8</x:v>
      </x:c>
      <x:c r="H24" s="23" t="n">
        <x:v>42</x:v>
      </x:c>
      <x:c r="I24" s="24" t="n">
        <x:v>0.005347729761389308</x:v>
      </x:c>
      <x:c r="J24" s="26" t="n">
        <x:f>ROUND(E24-F24,1)</x:f>
        <x:v>219</x:v>
      </x:c>
      <x:c r="K24" s="22" t="str">
        <x:v>IC2609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3571.6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170.1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4515.6</x:v>
      </x:c>
      <x:c r="E21" s="23" t="n">
        <x:v>4593.6</x:v>
      </x:c>
      <x:c r="F21" s="23" t="n">
        <x:v>4515.6</x:v>
      </x:c>
      <x:c r="G21" s="23" t="n">
        <x:v>4566.8</x:v>
      </x:c>
      <x:c r="H21" s="23" t="n">
        <x:v>45</x:v>
      </x:c>
      <x:c r="I21" s="24" t="n">
        <x:v>0.009951789110531184</x:v>
      </x:c>
      <x:c r="J21" s="23" t="n">
        <x:f>ROUND(E21-F21,1)</x:f>
        <x:v>78</x:v>
      </x:c>
      <x:c r="K21" s="22" t="str">
        <x:v>IF2609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4577.2</x:v>
      </x:c>
      <x:c r="E22" s="23" t="n">
        <x:v>4608.2</x:v>
      </x:c>
      <x:c r="F22" s="23" t="n">
        <x:v>4561.8</x:v>
      </x:c>
      <x:c r="G22" s="23" t="n">
        <x:v>4604.8</x:v>
      </x:c>
      <x:c r="H22" s="23" t="n">
        <x:v>38</x:v>
      </x:c>
      <x:c r="I22" s="24" t="n">
        <x:v>0.008320924936498164</x:v>
      </x:c>
      <x:c r="J22" s="23" t="n">
        <x:f>ROUND(E22-F22,1)</x:f>
        <x:v>46.4</x:v>
      </x:c>
      <x:c r="K22" s="22" t="str">
        <x:v>IF2609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4591.8</x:v>
      </x:c>
      <x:c r="E23" s="23" t="n">
        <x:v>4620</x:v>
      </x:c>
      <x:c r="F23" s="23" t="n">
        <x:v>4587.2</x:v>
      </x:c>
      <x:c r="G23" s="23" t="n">
        <x:v>4593.6</x:v>
      </x:c>
      <x:c r="H23" s="23" t="n">
        <x:v>-11.2</x:v>
      </x:c>
      <x:c r="I23" s="24" t="n">
        <x:v>-0.0024322446143154597</x:v>
      </x:c>
      <x:c r="J23" s="23" t="n">
        <x:f>ROUND(E23-F23,1)</x:f>
        <x:v>32.8</x:v>
      </x:c>
      <x:c r="K23" s="22" t="str">
        <x:v>IF2609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4553</x:v>
      </x:c>
      <x:c r="E24" s="23" t="n">
        <x:v>4608.6</x:v>
      </x:c>
      <x:c r="F24" s="23" t="n">
        <x:v>4530</x:v>
      </x:c>
      <x:c r="G24" s="23" t="n">
        <x:v>4601.6</x:v>
      </x:c>
      <x:c r="H24" s="23" t="n">
        <x:v>8</x:v>
      </x:c>
      <x:c r="I24" s="24" t="n">
        <x:v>0.0017415534656914922</x:v>
      </x:c>
      <x:c r="J24" s="23" t="n">
        <x:f>ROUND(E24-F24,1)</x:f>
        <x:v>78.6</x:v>
      </x:c>
      <x:c r="K24" s="22" t="str">
        <x:v>IF2609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1327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63.2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2895</x:v>
      </x:c>
      <x:c r="E22" s="23" t="n">
        <x:v>2916.2</x:v>
      </x:c>
      <x:c r="F22" s="23" t="n">
        <x:v>2890.4</x:v>
      </x:c>
      <x:c r="G22" s="23" t="n">
        <x:v>2914</x:v>
      </x:c>
      <x:c r="H22" s="23" t="n">
        <x:v>25.2</x:v>
      </x:c>
      <x:c r="I22" s="24" t="n">
        <x:v>0.008723345333702559</x:v>
      </x:c>
      <x:c r="J22" s="23" t="n">
        <x:f>ROUND(E22-F22,1)</x:f>
        <x:v>25.8</x:v>
      </x:c>
      <x:c r="K22" s="22" t="str">
        <x:v>IH2609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2909</x:v>
      </x:c>
      <x:c r="E23" s="23" t="n">
        <x:v>2918.2</x:v>
      </x:c>
      <x:c r="F23" s="23" t="n">
        <x:v>2905.2</x:v>
      </x:c>
      <x:c r="G23" s="23" t="n">
        <x:v>2911.4</x:v>
      </x:c>
      <x:c r="H23" s="23" t="n">
        <x:v>-2.6</x:v>
      </x:c>
      <x:c r="I23" s="24" t="n">
        <x:v>-0.0008922443376800926</x:v>
      </x:c>
      <x:c r="J23" s="23" t="n">
        <x:f>ROUND(E23-F23,1)</x:f>
        <x:v>13</x:v>
      </x:c>
      <x:c r="K23" s="22" t="str">
        <x:v>IH2609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2886</x:v>
      </x:c>
      <x:c r="E24" s="23" t="n">
        <x:v>2921.4</x:v>
      </x:c>
      <x:c r="F24" s="23" t="n">
        <x:v>2877.6</x:v>
      </x:c>
      <x:c r="G24" s="23" t="n">
        <x:v>2918</x:v>
      </x:c>
      <x:c r="H24" s="23" t="n">
        <x:v>6.6</x:v>
      </x:c>
      <x:c r="I24" s="24" t="n">
        <x:v>0.0022669506079548984</x:v>
      </x:c>
      <x:c r="J24" s="23" t="n">
        <x:f>ROUND(E24-F24,1)</x:f>
        <x:v>43.8</x:v>
      </x:c>
      <x:c r="K24" s="22" t="str">
        <x:v>IH2609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698.8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33.3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149860</x:v>
      </x:c>
      <x:c r="E22" s="23" t="n">
        <x:v>153140</x:v>
      </x:c>
      <x:c r="F22" s="23" t="n">
        <x:v>149120</x:v>
      </x:c>
      <x:c r="G22" s="23" t="n">
        <x:v>150300</x:v>
      </x:c>
      <x:c r="H22" s="28" t="n">
        <x:v>-280</x:v>
      </x:c>
      <x:c r="I22" s="24" t="n">
        <x:v>-0.001859476690131534</x:v>
      </x:c>
      <x:c r="J22" s="23" t="n">
        <x:f>ROUND(E22-F22,1)</x:f>
        <x:v>4020</x:v>
      </x:c>
      <x:c r="K22" s="22" t="str">
        <x:v>LC2609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149380</x:v>
      </x:c>
      <x:c r="E23" s="23" t="n">
        <x:v>157200</x:v>
      </x:c>
      <x:c r="F23" s="23" t="n">
        <x:v>149380</x:v>
      </x:c>
      <x:c r="G23" s="23" t="n">
        <x:v>157080</x:v>
      </x:c>
      <x:c r="H23" s="28" t="n">
        <x:v>6780</x:v>
      </x:c>
      <x:c r="I23" s="24" t="n">
        <x:v>0.04510978043912184</x:v>
      </x:c>
      <x:c r="J23" s="26" t="n">
        <x:f>ROUND(E23-F23,1)</x:f>
        <x:v>7820</x:v>
      </x:c>
      <x:c r="K23" s="22" t="str">
        <x:v>LC2609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158000</x:v>
      </x:c>
      <x:c r="E24" s="23" t="n">
        <x:v>159900</x:v>
      </x:c>
      <x:c r="F24" s="23" t="n">
        <x:v>156180</x:v>
      </x:c>
      <x:c r="G24" s="23" t="n">
        <x:v>159000</x:v>
      </x:c>
      <x:c r="H24" s="28" t="n">
        <x:v>1920</x:v>
      </x:c>
      <x:c r="I24" s="24" t="n">
        <x:v>0.012223071046600475</x:v>
      </x:c>
      <x:c r="J24" s="23" t="n">
        <x:f>ROUND(E24-F24,1)</x:f>
        <x:v>3720</x:v>
      </x:c>
      <x:c r="K24" s="22" t="str">
        <x:v>LC2609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110440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5259</x:v>
      </x:c>
      <x:c r="K28" s="30"/>
    </x:row>
  </x:sheetData>
  <x:mergeCells>
    <x:mergeCell ref="A1:K1"/>
  </x:mergeCells>
  <x:pageMargins left="0.7" right="0.7" top="0.75" bottom="0.75" header="0.3" footer="0.3"/>
</x:worksheet>
</file>