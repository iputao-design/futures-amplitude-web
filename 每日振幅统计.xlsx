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1e11eb1bc84c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a763a7270c34097"/>
    <x:sheet xmlns:r="http://schemas.openxmlformats.org/officeDocument/2006/relationships" name="周振幅统计" sheetId="2" r:id="Rcc18b4eb980c4833"/>
    <x:sheet xmlns:r="http://schemas.openxmlformats.org/officeDocument/2006/relationships" name="中证1000" sheetId="3" r:id="Rc8e5077aa9e74535"/>
    <x:sheet xmlns:r="http://schemas.openxmlformats.org/officeDocument/2006/relationships" name="中证500" sheetId="4" r:id="R2fa15d7683454ca4"/>
    <x:sheet xmlns:r="http://schemas.openxmlformats.org/officeDocument/2006/relationships" name="上证指数" sheetId="5" r:id="R56e8428ef2cd4b64"/>
    <x:sheet xmlns:r="http://schemas.openxmlformats.org/officeDocument/2006/relationships" name="IM主力" sheetId="6" r:id="Read726e503344ef5"/>
    <x:sheet xmlns:r="http://schemas.openxmlformats.org/officeDocument/2006/relationships" name="IC主力" sheetId="7" r:id="R237e4b8d1b4e4983"/>
    <x:sheet xmlns:r="http://schemas.openxmlformats.org/officeDocument/2006/relationships" name="IF主力" sheetId="8" r:id="R5156a54f8b574de6"/>
    <x:sheet xmlns:r="http://schemas.openxmlformats.org/officeDocument/2006/relationships" name="IH主力" sheetId="9" r:id="R4a5a8ae9662b4479"/>
    <x:sheet xmlns:r="http://schemas.openxmlformats.org/officeDocument/2006/relationships" name="碳酸锂2609" sheetId="10" r:id="Re65efeeccb1341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4c380120d444b6" /><Relationship Type="http://schemas.openxmlformats.org/officeDocument/2006/relationships/theme" Target="/xl/theme/theme1.xml" Id="Rd9b561004c99441d" /><Relationship Type="http://schemas.openxmlformats.org/officeDocument/2006/relationships/sharedStrings" Target="/xl/sharedStrings.xml" Id="R12a9fe9910a24527" /><Relationship Type="http://schemas.openxmlformats.org/officeDocument/2006/relationships/worksheet" Target="/xl/worksheets/sheet1.xml" Id="R2a763a7270c34097" /><Relationship Type="http://schemas.openxmlformats.org/officeDocument/2006/relationships/worksheet" Target="/xl/worksheets/sheet2.xml" Id="Rcc18b4eb980c4833" /><Relationship Type="http://schemas.openxmlformats.org/officeDocument/2006/relationships/worksheet" Target="/xl/worksheets/sheet3.xml" Id="Rc8e5077aa9e74535" /><Relationship Type="http://schemas.openxmlformats.org/officeDocument/2006/relationships/worksheet" Target="/xl/worksheets/sheet4.xml" Id="R2fa15d7683454ca4" /><Relationship Type="http://schemas.openxmlformats.org/officeDocument/2006/relationships/worksheet" Target="/xl/worksheets/sheet5.xml" Id="R56e8428ef2cd4b64" /><Relationship Type="http://schemas.openxmlformats.org/officeDocument/2006/relationships/worksheet" Target="/xl/worksheets/sheet6.xml" Id="Read726e503344ef5" /><Relationship Type="http://schemas.openxmlformats.org/officeDocument/2006/relationships/worksheet" Target="/xl/worksheets/sheet7.xml" Id="R237e4b8d1b4e4983" /><Relationship Type="http://schemas.openxmlformats.org/officeDocument/2006/relationships/worksheet" Target="/xl/worksheets/sheet8.xml" Id="R5156a54f8b574de6" /><Relationship Type="http://schemas.openxmlformats.org/officeDocument/2006/relationships/worksheet" Target="/xl/worksheets/sheet9.xml" Id="R4a5a8ae9662b4479" /><Relationship Type="http://schemas.openxmlformats.org/officeDocument/2006/relationships/worksheet" Target="/xl/worksheets/sheet10.xml" Id="Re65efeeccb1341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2026-09-08</x:v>
      </x:c>
      <x:c r="C4" s="10" t="n">
        <x:v>7724.94</x:v>
      </x:c>
      <x:c r="D4" s="10" t="n">
        <x:v>7622.9</x:v>
      </x:c>
      <x:c r="E4" s="12" t="n">
        <x:v>102</x:v>
      </x:c>
      <x:c r="F4" s="9" t="n">
        <x:v>6</x:v>
      </x:c>
      <x:c r="G4" s="10" t="n">
        <x:v>801.1</x:v>
      </x:c>
      <x:c r="H4" s="10" t="n">
        <x:v>133.5</x:v>
      </x:c>
      <x:c r="I4" s="10" t="n">
        <x:v>180</x:v>
      </x:c>
    </x:row>
    <x:row r="5">
      <x:c r="A5" s="9" t="str">
        <x:v>中证500</x:v>
      </x:c>
      <x:c r="B5" s="9" t="str">
        <x:v>2026-09-08</x:v>
      </x:c>
      <x:c r="C5" s="10" t="n">
        <x:v>7830.16</x:v>
      </x:c>
      <x:c r="D5" s="10" t="n">
        <x:v>7736.44</x:v>
      </x:c>
      <x:c r="E5" s="12" t="n">
        <x:v>93.7</x:v>
      </x:c>
      <x:c r="F5" s="9" t="n">
        <x:v>6</x:v>
      </x:c>
      <x:c r="G5" s="10" t="n">
        <x:v>759.1</x:v>
      </x:c>
      <x:c r="H5" s="10" t="n">
        <x:v>126.5</x:v>
      </x:c>
      <x:c r="I5" s="10" t="n">
        <x:v>160</x:v>
      </x:c>
    </x:row>
    <x:row r="6">
      <x:c r="A6" s="9" t="str">
        <x:v>上证指数</x:v>
      </x:c>
      <x:c r="B6" s="9" t="str">
        <x:v>2026-09-08</x:v>
      </x:c>
      <x:c r="C6" s="10" t="n">
        <x:v>3951.32</x:v>
      </x:c>
      <x:c r="D6" s="10" t="n">
        <x:v>3925.72</x:v>
      </x:c>
      <x:c r="E6" s="12" t="n">
        <x:v>25.6</x:v>
      </x:c>
      <x:c r="F6" s="9" t="n">
        <x:v>6</x:v>
      </x:c>
      <x:c r="G6" s="10" t="n">
        <x:v>212.5</x:v>
      </x:c>
      <x:c r="H6" s="10" t="n">
        <x:v>35.4</x:v>
      </x:c>
      <x:c r="I6" s="10" t="n">
        <x:v>50</x:v>
      </x:c>
    </x:row>
    <x:row r="7">
      <x:c r="A7" s="9" t="str">
        <x:v>IM主力</x:v>
      </x:c>
      <x:c r="B7" s="9" t="str">
        <x:v>2026-09-08</x:v>
      </x:c>
      <x:c r="C7" s="10" t="n">
        <x:v>7714.6</x:v>
      </x:c>
      <x:c r="D7" s="10" t="n">
        <x:v>7592.4</x:v>
      </x:c>
      <x:c r="E7" s="12" t="n">
        <x:v>122.2</x:v>
      </x:c>
      <x:c r="F7" s="9" t="n">
        <x:v>6</x:v>
      </x:c>
      <x:c r="G7" s="10" t="n">
        <x:v>903.2</x:v>
      </x:c>
      <x:c r="H7" s="10" t="n">
        <x:v>150.5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6</x:v>
      </x:c>
      <x:c r="G8" s="10" t="n">
        <x:v>919.4</x:v>
      </x:c>
      <x:c r="H8" s="10" t="n">
        <x:v>153.2</x:v>
      </x:c>
      <x:c r="I8" s="10" t="n">
        <x:v>150</x:v>
      </x:c>
    </x:row>
    <x:row r="9">
      <x:c r="A9" s="9" t="str">
        <x:v>IF主力</x:v>
      </x:c>
      <x:c r="B9" s="9" t="str">
        <x:v>2026-09-08</x:v>
      </x:c>
      <x:c r="C9" s="10" t="n">
        <x:v>4584</x:v>
      </x:c>
      <x:c r="D9" s="10" t="n">
        <x:v>4532.8</x:v>
      </x:c>
      <x:c r="E9" s="12" t="n">
        <x:v>51.2</x:v>
      </x:c>
      <x:c r="F9" s="9" t="n">
        <x:v>6</x:v>
      </x:c>
      <x:c r="G9" s="10" t="n">
        <x:v>327.6</x:v>
      </x:c>
      <x:c r="H9" s="10" t="n">
        <x:v>54.6</x:v>
      </x:c>
      <x:c r="I9" s="10" t="n">
        <x:v>90</x:v>
      </x:c>
    </x:row>
    <x:row r="10">
      <x:c r="A10" s="9" t="str">
        <x:v>IH主力</x:v>
      </x:c>
      <x:c r="B10" s="9" t="str">
        <x:v>2026-09-08</x:v>
      </x:c>
      <x:c r="C10" s="10" t="n">
        <x:v>2917.4</x:v>
      </x:c>
      <x:c r="D10" s="10" t="n">
        <x:v>2891</x:v>
      </x:c>
      <x:c r="E10" s="12" t="n">
        <x:v>26.4</x:v>
      </x:c>
      <x:c r="F10" s="9" t="n">
        <x:v>6</x:v>
      </x:c>
      <x:c r="G10" s="10" t="n">
        <x:v>198.2</x:v>
      </x:c>
      <x:c r="H10" s="10" t="n">
        <x:v>33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6</x:v>
      </x:c>
      <x:c r="G11" s="10" t="n">
        <x:v>31020</x:v>
      </x:c>
      <x:c r="H11" s="10" t="n">
        <x:v>5170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9月7日-9月8日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7659.61</x:v>
      </x:c>
      <x:c r="G6" s="28" t="n">
        <x:f>ROUND(F6-F5,1)</x:f>
        <x:v>151.5</x:v>
      </x:c>
      <x:c r="H6" s="24" t="n">
        <x:f>IFERROR(F6/F5-1,"")</x:f>
        <x:v>0.02018089820447</x:v>
      </x:c>
      <x:c r="I6" s="26" t="n">
        <x:f>ROUND(D6-E6,1)</x:f>
        <x:v>183.8</x:v>
      </x:c>
      <x:c r="J6" s="22" t="str">
        <x:v>中证1000</x:v>
      </x:c>
      <x:c r="K6" s="22" t="n">
        <x:v>2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491.9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246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9月7日-9月8日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7770.73</x:v>
      </x:c>
      <x:c r="G13" s="23" t="n">
        <x:f>ROUND(F13-F12,1)</x:f>
        <x:v>118</x:v>
      </x:c>
      <x:c r="H13" s="24" t="n">
        <x:f>IFERROR(F13/F12-1,"")</x:f>
        <x:v>0.015424641531278649</x:v>
      </x:c>
      <x:c r="I13" s="23" t="n">
        <x:f>ROUND(D13-E13,1)</x:f>
        <x:v>157.2</x:v>
      </x:c>
      <x:c r="J13" s="22" t="str">
        <x:v>中证500</x:v>
      </x:c>
      <x:c r="K13" s="22" t="n">
        <x:v>2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502.2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251.1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9月7日-9月8日</x:v>
      </x:c>
      <x:c r="C20" s="23" t="n">
        <x:v>3942.51</x:v>
      </x:c>
      <x:c r="D20" s="23" t="n">
        <x:v>3951.32</x:v>
      </x:c>
      <x:c r="E20" s="23" t="n">
        <x:v>3916.49</x:v>
      </x:c>
      <x:c r="F20" s="23" t="n">
        <x:v>3940.55</x:v>
      </x:c>
      <x:c r="G20" s="23" t="n">
        <x:f>ROUND(F20-F19,1)</x:f>
        <x:v>10.4</x:v>
      </x:c>
      <x:c r="H20" s="24" t="n">
        <x:f>IFERROR(F20/F19-1,"")</x:f>
        <x:v>0.0026538629863719354</x:v>
      </x:c>
      <x:c r="I20" s="23" t="n">
        <x:f>ROUND(D20-E20,1)</x:f>
        <x:v>34.8</x:v>
      </x:c>
      <x:c r="J20" s="22" t="str">
        <x:v>上证指数</x:v>
      </x:c>
      <x:c r="K20" s="22" t="n">
        <x:v>2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114.8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57.4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9月7日-9月8日</x:v>
      </x:c>
      <x:c r="C27" s="23" t="n">
        <x:v>7527.2</x:v>
      </x:c>
      <x:c r="D27" s="23" t="n">
        <x:v>7714.6</x:v>
      </x:c>
      <x:c r="E27" s="23" t="n">
        <x:v>7512.6</x:v>
      </x:c>
      <x:c r="F27" s="23" t="n">
        <x:v>7633.4</x:v>
      </x:c>
      <x:c r="G27" s="28" t="n">
        <x:f>ROUND(F27-F26,1)</x:f>
        <x:v>165.2</x:v>
      </x:c>
      <x:c r="H27" s="24" t="n">
        <x:f>IFERROR(F27/F26-1,"")</x:f>
        <x:v>0.022120457406068272</x:v>
      </x:c>
      <x:c r="I27" s="26" t="n">
        <x:f>ROUND(D27-E27,1)</x:f>
        <x:v>202</x:v>
      </x:c>
      <x:c r="J27" s="22" t="str">
        <x:v>IM2609</x:v>
      </x:c>
      <x:c r="K27" s="22" t="n">
        <x:v>2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491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245.5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9月7日-9月8日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7743.4</x:v>
      </x:c>
      <x:c r="G34" s="23" t="n">
        <x:f>ROUND(F34-F33,1)</x:f>
        <x:v>135.4</x:v>
      </x:c>
      <x:c r="H34" s="24" t="n">
        <x:f>IFERROR(F34/F33-1,"")</x:f>
        <x:v>0.017797055730809586</x:v>
      </x:c>
      <x:c r="I34" s="26" t="n">
        <x:f>ROUND(D34-E34,1)</x:f>
        <x:v>166</x:v>
      </x:c>
      <x:c r="J34" s="22" t="str">
        <x:v>IC2609</x:v>
      </x:c>
      <x:c r="K34" s="22" t="n">
        <x:v>2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501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250.5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9月7日-9月8日</x:v>
      </x:c>
      <x:c r="C41" s="23" t="n">
        <x:v>4562</x:v>
      </x:c>
      <x:c r="D41" s="23" t="n">
        <x:v>4584</x:v>
      </x:c>
      <x:c r="E41" s="23" t="n">
        <x:v>4532.8</x:v>
      </x:c>
      <x:c r="F41" s="23" t="n">
        <x:v>4547</x:v>
      </x:c>
      <x:c r="G41" s="23" t="n">
        <x:f>ROUND(F41-F40,1)</x:f>
        <x:v>9.6</x:v>
      </x:c>
      <x:c r="H41" s="24" t="n">
        <x:f>IFERROR(F41/F40-1,"")</x:f>
        <x:v>0.0021157491074184076</x:v>
      </x:c>
      <x:c r="I41" s="23" t="n">
        <x:f>ROUND(D41-E41,1)</x:f>
        <x:v>51.2</x:v>
      </x:c>
      <x:c r="J41" s="22" t="str">
        <x:v>IF2609</x:v>
      </x:c>
      <x:c r="K41" s="22" t="n">
        <x:v>2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171.4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85.7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9月7日-9月8日</x:v>
      </x:c>
      <x:c r="C48" s="23" t="n">
        <x:v>2923.2</x:v>
      </x:c>
      <x:c r="D48" s="23" t="n">
        <x:v>2931.4</x:v>
      </x:c>
      <x:c r="E48" s="23" t="n">
        <x:v>2891</x:v>
      </x:c>
      <x:c r="F48" s="23" t="n">
        <x:v>2897</x:v>
      </x:c>
      <x:c r="G48" s="23" t="n">
        <x:f>ROUND(F48-F47,1)</x:f>
        <x:v>-18.8</x:v>
      </x:c>
      <x:c r="H48" s="24" t="n">
        <x:f>IFERROR(F48/F47-1,"")</x:f>
        <x:v>-0.0064476301529597935</x:v>
      </x:c>
      <x:c r="I48" s="23" t="n">
        <x:f>ROUND(D48-E48,1)</x:f>
        <x:v>40.4</x:v>
      </x:c>
      <x:c r="J48" s="22" t="str">
        <x:v>IH2609</x:v>
      </x:c>
      <x:c r="K48" s="22" t="n">
        <x:v>2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108.4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54.2</x:v>
      </x:c>
      <x:c r="J50" s="30"/>
      <x:c r="K50" s="30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9月7日-9月8日</x:v>
      </x:c>
      <x:c r="C55" s="23" t="n">
        <x:v>142120</x:v>
      </x:c>
      <x:c r="D55" s="23" t="n">
        <x:v>143200</x:v>
      </x:c>
      <x:c r="E55" s="23" t="n">
        <x:v>139880</x:v>
      </x:c>
      <x:c r="F55" s="23" t="n">
        <x:v>141320</x:v>
      </x:c>
      <x:c r="G55" s="28" t="n">
        <x:f>ROUND(F55-F54,1)</x:f>
        <x:v>340</x:v>
      </x:c>
      <x:c r="H55" s="24" t="n">
        <x:f>IFERROR(F55/F54-1,"")</x:f>
        <x:v>0.002411689601361955</x:v>
      </x:c>
      <x:c r="I55" s="23" t="n">
        <x:f>ROUND(D55-E55,1)</x:f>
        <x:v>3320</x:v>
      </x:c>
      <x:c r="J55" s="22" t="str">
        <x:v>LC2609</x:v>
      </x:c>
      <x:c r="K55" s="22" t="n">
        <x:v>2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22860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11430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801.0999999999999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133.5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759.1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126.5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212.5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35.4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903.2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150.5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919.4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153.2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327.59999999999997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54.6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198.20000000000002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33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2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2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2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2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28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28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31020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5170</x:v>
      </x:c>
      <x:c r="K13" s="30"/>
    </x:row>
  </x:sheetData>
  <x:mergeCells>
    <x:mergeCell ref="A1:K1"/>
  </x:mergeCells>
  <x:pageMargins left="0.7" right="0.7" top="0.75" bottom="0.75" header="0.3" footer="0.3"/>
</x:worksheet>
</file>