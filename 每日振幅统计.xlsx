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c675654c048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7ca47cf28d24e89"/>
    <x:sheet xmlns:r="http://schemas.openxmlformats.org/officeDocument/2006/relationships" name="周振幅统计" sheetId="2" r:id="Rbf42fea0385f418d"/>
    <x:sheet xmlns:r="http://schemas.openxmlformats.org/officeDocument/2006/relationships" name="中证1000" sheetId="3" r:id="Redfc00dbcaf74d48"/>
    <x:sheet xmlns:r="http://schemas.openxmlformats.org/officeDocument/2006/relationships" name="中证500" sheetId="4" r:id="Re3026e2984134efa"/>
    <x:sheet xmlns:r="http://schemas.openxmlformats.org/officeDocument/2006/relationships" name="上证指数" sheetId="5" r:id="Rf4eb5e71301f478b"/>
    <x:sheet xmlns:r="http://schemas.openxmlformats.org/officeDocument/2006/relationships" name="IM主力" sheetId="6" r:id="Ra5472b5c5a794595"/>
    <x:sheet xmlns:r="http://schemas.openxmlformats.org/officeDocument/2006/relationships" name="IC主力" sheetId="7" r:id="R171e029cf16a455d"/>
    <x:sheet xmlns:r="http://schemas.openxmlformats.org/officeDocument/2006/relationships" name="IF主力" sheetId="8" r:id="R67e57d09bc734e47"/>
    <x:sheet xmlns:r="http://schemas.openxmlformats.org/officeDocument/2006/relationships" name="IH主力" sheetId="9" r:id="R11d64c6663694b13"/>
    <x:sheet xmlns:r="http://schemas.openxmlformats.org/officeDocument/2006/relationships" name="碳酸锂2610" sheetId="10" r:id="Rfedbe1af1c5e46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55ea0d9d7a4f5c" /><Relationship Type="http://schemas.openxmlformats.org/officeDocument/2006/relationships/theme" Target="/xl/theme/theme1.xml" Id="Rb5a41962f6c44e02" /><Relationship Type="http://schemas.openxmlformats.org/officeDocument/2006/relationships/sharedStrings" Target="/xl/sharedStrings.xml" Id="R3db6eb29ae02444f" /><Relationship Type="http://schemas.openxmlformats.org/officeDocument/2006/relationships/worksheet" Target="/xl/worksheets/sheet1.xml" Id="Rc7ca47cf28d24e89" /><Relationship Type="http://schemas.openxmlformats.org/officeDocument/2006/relationships/worksheet" Target="/xl/worksheets/sheet2.xml" Id="Rbf42fea0385f418d" /><Relationship Type="http://schemas.openxmlformats.org/officeDocument/2006/relationships/worksheet" Target="/xl/worksheets/sheet3.xml" Id="Redfc00dbcaf74d48" /><Relationship Type="http://schemas.openxmlformats.org/officeDocument/2006/relationships/worksheet" Target="/xl/worksheets/sheet4.xml" Id="Re3026e2984134efa" /><Relationship Type="http://schemas.openxmlformats.org/officeDocument/2006/relationships/worksheet" Target="/xl/worksheets/sheet5.xml" Id="Rf4eb5e71301f478b" /><Relationship Type="http://schemas.openxmlformats.org/officeDocument/2006/relationships/worksheet" Target="/xl/worksheets/sheet6.xml" Id="Ra5472b5c5a794595" /><Relationship Type="http://schemas.openxmlformats.org/officeDocument/2006/relationships/worksheet" Target="/xl/worksheets/sheet7.xml" Id="R171e029cf16a455d" /><Relationship Type="http://schemas.openxmlformats.org/officeDocument/2006/relationships/worksheet" Target="/xl/worksheets/sheet8.xml" Id="R67e57d09bc734e47" /><Relationship Type="http://schemas.openxmlformats.org/officeDocument/2006/relationships/worksheet" Target="/xl/worksheets/sheet9.xml" Id="R11d64c6663694b13" /><Relationship Type="http://schemas.openxmlformats.org/officeDocument/2006/relationships/worksheet" Target="/xl/worksheets/sheet10.xml" Id="Rfedbe1af1c5e46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2026-09-23</x:v>
      </x:c>
      <x:c r="C4" s="10" t="n">
        <x:v>7769.96</x:v>
      </x:c>
      <x:c r="D4" s="10" t="n">
        <x:v>7730.37</x:v>
      </x:c>
      <x:c r="E4" s="12" t="n">
        <x:v>39.6</x:v>
      </x:c>
      <x:c r="F4" s="9" t="n">
        <x:v>17</x:v>
      </x:c>
      <x:c r="G4" s="10" t="n">
        <x:v>2112.3</x:v>
      </x:c>
      <x:c r="H4" s="10" t="n">
        <x:v>124.3</x:v>
      </x:c>
      <x:c r="I4" s="10" t="n">
        <x:v>180</x:v>
      </x:c>
    </x:row>
    <x:row r="5">
      <x:c r="A5" s="9" t="str">
        <x:v>中证500</x:v>
      </x:c>
      <x:c r="B5" s="9" t="str">
        <x:v>2026-09-23</x:v>
      </x:c>
      <x:c r="C5" s="10" t="n">
        <x:v>7839.94</x:v>
      </x:c>
      <x:c r="D5" s="10" t="n">
        <x:v>7781.31</x:v>
      </x:c>
      <x:c r="E5" s="12" t="n">
        <x:v>58.6</x:v>
      </x:c>
      <x:c r="F5" s="9" t="n">
        <x:v>17</x:v>
      </x:c>
      <x:c r="G5" s="10" t="n">
        <x:v>1959.3</x:v>
      </x:c>
      <x:c r="H5" s="10" t="n">
        <x:v>115.3</x:v>
      </x:c>
      <x:c r="I5" s="10" t="n">
        <x:v>160</x:v>
      </x:c>
    </x:row>
    <x:row r="6">
      <x:c r="A6" s="9" t="str">
        <x:v>上证指数</x:v>
      </x:c>
      <x:c r="B6" s="9" t="str">
        <x:v>2026-09-23</x:v>
      </x:c>
      <x:c r="C6" s="10" t="n">
        <x:v>3951.52</x:v>
      </x:c>
      <x:c r="D6" s="10" t="n">
        <x:v>3934.46</x:v>
      </x:c>
      <x:c r="E6" s="12" t="n">
        <x:v>17.1</x:v>
      </x:c>
      <x:c r="F6" s="9" t="n">
        <x:v>17</x:v>
      </x:c>
      <x:c r="G6" s="10" t="n">
        <x:v>568.7</x:v>
      </x:c>
      <x:c r="H6" s="10" t="n">
        <x:v>33.5</x:v>
      </x:c>
      <x:c r="I6" s="10" t="n">
        <x:v>50</x:v>
      </x:c>
    </x:row>
    <x:row r="7">
      <x:c r="A7" s="9" t="str">
        <x:v>IM主力</x:v>
      </x:c>
      <x:c r="B7" s="9" t="str">
        <x:v>2026-09-23</x:v>
      </x:c>
      <x:c r="C7" s="10" t="n">
        <x:v>7614.8</x:v>
      </x:c>
      <x:c r="D7" s="10" t="n">
        <x:v>7572.6</x:v>
      </x:c>
      <x:c r="E7" s="12" t="n">
        <x:v>42.2</x:v>
      </x:c>
      <x:c r="F7" s="9" t="n">
        <x:v>17</x:v>
      </x:c>
      <x:c r="G7" s="10" t="n">
        <x:v>2358.4</x:v>
      </x:c>
      <x:c r="H7" s="10" t="n">
        <x:v>138.7</x:v>
      </x:c>
      <x:c r="I7" s="10" t="n">
        <x:v>190</x:v>
      </x:c>
    </x:row>
    <x:row r="8">
      <x:c r="A8" s="9" t="str">
        <x:v>IC主力</x:v>
      </x:c>
      <x:c r="B8" s="9" t="str">
        <x:v>2026-09-22</x:v>
      </x:c>
      <x:c r="C8" s="10" t="n">
        <x:v>7780</x:v>
      </x:c>
      <x:c r="D8" s="10" t="n">
        <x:v>7657.4</x:v>
      </x:c>
      <x:c r="E8" s="12" t="n">
        <x:v>122.6</x:v>
      </x:c>
      <x:c r="F8" s="9" t="n">
        <x:v>16</x:v>
      </x:c>
      <x:c r="G8" s="10" t="n">
        <x:v>2232.6</x:v>
      </x:c>
      <x:c r="H8" s="10" t="n">
        <x:v>139.5</x:v>
      </x:c>
      <x:c r="I8" s="10" t="n">
        <x:v>150</x:v>
      </x:c>
    </x:row>
    <x:row r="9">
      <x:c r="A9" s="9" t="str">
        <x:v>IF主力</x:v>
      </x:c>
      <x:c r="B9" s="9" t="str">
        <x:v>2026-09-23</x:v>
      </x:c>
      <x:c r="C9" s="10" t="n">
        <x:v>4490.4</x:v>
      </x:c>
      <x:c r="D9" s="10" t="n">
        <x:v>4457.2</x:v>
      </x:c>
      <x:c r="E9" s="12" t="n">
        <x:v>33.2</x:v>
      </x:c>
      <x:c r="F9" s="9" t="n">
        <x:v>17</x:v>
      </x:c>
      <x:c r="G9" s="10" t="n">
        <x:v>852.4</x:v>
      </x:c>
      <x:c r="H9" s="10" t="n">
        <x:v>50.1</x:v>
      </x:c>
      <x:c r="I9" s="10" t="n">
        <x:v>90</x:v>
      </x:c>
    </x:row>
    <x:row r="10">
      <x:c r="A10" s="9" t="str">
        <x:v>IH主力</x:v>
      </x:c>
      <x:c r="B10" s="9" t="str">
        <x:v>2026-09-22</x:v>
      </x:c>
      <x:c r="C10" s="10" t="n">
        <x:v>2881.2</x:v>
      </x:c>
      <x:c r="D10" s="10" t="n">
        <x:v>2859.8</x:v>
      </x:c>
      <x:c r="E10" s="12" t="n">
        <x:v>21.4</x:v>
      </x:c>
      <x:c r="F10" s="9" t="n">
        <x:v>16</x:v>
      </x:c>
      <x:c r="G10" s="10" t="n">
        <x:v>481.6</x:v>
      </x:c>
      <x:c r="H10" s="10" t="n">
        <x:v>30.1</x:v>
      </x:c>
      <x:c r="I10" s="10" t="n">
        <x:v>60</x:v>
      </x:c>
    </x:row>
    <x:row r="11">
      <x:c r="A11" s="9" t="str">
        <x:v>碳酸锂2610</x:v>
      </x:c>
      <x:c r="B11" s="9" t="str">
        <x:v>2026-09-23</x:v>
      </x:c>
      <x:c r="C11" s="10" t="n">
        <x:v>136000</x:v>
      </x:c>
      <x:c r="D11" s="10" t="n">
        <x:v>129360</x:v>
      </x:c>
      <x:c r="E11" s="12" t="n">
        <x:v>6640</x:v>
      </x:c>
      <x:c r="F11" s="9" t="n">
        <x:v>17</x:v>
      </x:c>
      <x:c r="G11" s="10" t="n">
        <x:v>101680</x:v>
      </x:c>
      <x:c r="H11" s="10" t="n">
        <x:v>5981.2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9月21日-9月23日</x:v>
      </x:c>
      <x:c r="C8" s="23" t="n">
        <x:v>7723.68</x:v>
      </x:c>
      <x:c r="D8" s="23" t="n">
        <x:v>7852.23</x:v>
      </x:c>
      <x:c r="E8" s="23" t="n">
        <x:v>7723.68</x:v>
      </x:c>
      <x:c r="F8" s="23" t="n">
        <x:v>7745.56</x:v>
      </x:c>
      <x:c r="G8" s="23" t="n">
        <x:f>ROUND(F8-F7,1)</x:f>
        <x:v>58</x:v>
      </x:c>
      <x:c r="H8" s="24" t="n">
        <x:f>IFERROR(F8/F7-1,"")</x:f>
        <x:v>0.007540724726474712</x:v>
      </x:c>
      <x:c r="I8" s="23" t="n">
        <x:f>ROUND(D8-E8,1)</x:f>
        <x:v>128.5</x:v>
      </x:c>
      <x:c r="J8" s="22" t="str">
        <x:v>中证1000</x:v>
      </x:c>
      <x:c r="K8" s="22" t="n">
        <x:v>3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1254.3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313.6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9月21日-9月23日</x:v>
      </x:c>
      <x:c r="C17" s="23" t="n">
        <x:v>7829.82</x:v>
      </x:c>
      <x:c r="D17" s="23" t="n">
        <x:v>7922.62</x:v>
      </x:c>
      <x:c r="E17" s="23" t="n">
        <x:v>7781.31</x:v>
      </x:c>
      <x:c r="F17" s="23" t="n">
        <x:v>7791.82</x:v>
      </x:c>
      <x:c r="G17" s="23" t="n">
        <x:f>ROUND(F17-F16,1)</x:f>
        <x:v>-7.8</x:v>
      </x:c>
      <x:c r="H17" s="24" t="n">
        <x:f>IFERROR(F17/F16-1,"")</x:f>
        <x:v>-0.000998767887112284</x:v>
      </x:c>
      <x:c r="I17" s="23" t="n">
        <x:f>ROUND(D17-E17,1)</x:f>
        <x:v>141.3</x:v>
      </x:c>
      <x:c r="J17" s="22" t="str">
        <x:v>中证500</x:v>
      </x:c>
      <x:c r="K17" s="22" t="n">
        <x:v>3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1197.8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299.5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9月21日-9月23日</x:v>
      </x:c>
      <x:c r="C26" s="23" t="n">
        <x:v>3920.27</x:v>
      </x:c>
      <x:c r="D26" s="23" t="n">
        <x:v>3967.68</x:v>
      </x:c>
      <x:c r="E26" s="23" t="n">
        <x:v>3918.13</x:v>
      </x:c>
      <x:c r="F26" s="23" t="n">
        <x:v>3936.52</x:v>
      </x:c>
      <x:c r="G26" s="23" t="n">
        <x:f>ROUND(F26-F25,1)</x:f>
        <x:v>24.7</x:v>
      </x:c>
      <x:c r="H26" s="24" t="n">
        <x:f>IFERROR(F26/F25-1,"")</x:f>
        <x:v>0.006301334144539483</x:v>
      </x:c>
      <x:c r="I26" s="23" t="n">
        <x:f>ROUND(D26-E26,1)</x:f>
        <x:v>49.5</x:v>
      </x:c>
      <x:c r="J26" s="22" t="str">
        <x:v>上证指数</x:v>
      </x:c>
      <x:c r="K26" s="22" t="n">
        <x:v>3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312.6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78.2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9月21日-9月23日</x:v>
      </x:c>
      <x:c r="C35" s="23" t="n">
        <x:v>7549</x:v>
      </x:c>
      <x:c r="D35" s="23" t="n">
        <x:v>7687</x:v>
      </x:c>
      <x:c r="E35" s="23" t="n">
        <x:v>7527</x:v>
      </x:c>
      <x:c r="F35" s="23" t="n">
        <x:v>7578</x:v>
      </x:c>
      <x:c r="G35" s="23" t="n">
        <x:f>ROUND(F35-F34,1)</x:f>
        <x:v>-101.2</x:v>
      </x:c>
      <x:c r="H35" s="24" t="n">
        <x:f>IFERROR(F35/F34-1,"")</x:f>
        <x:v>-0.013178456089175894</x:v>
      </x:c>
      <x:c r="I35" s="23" t="n">
        <x:f>ROUND(D35-E35,1)</x:f>
        <x:v>160</x:v>
      </x:c>
      <x:c r="J35" s="22" t="str">
        <x:v>IM2612</x:v>
      </x:c>
      <x:c r="K35" s="22" t="n">
        <x:v>3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1333.2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333.3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9月21日-9月22日</x:v>
      </x:c>
      <x:c r="C44" s="23" t="n">
        <x:v>7688</x:v>
      </x:c>
      <x:c r="D44" s="23" t="n">
        <x:v>7780</x:v>
      </x:c>
      <x:c r="E44" s="23" t="n">
        <x:v>7640</x:v>
      </x:c>
      <x:c r="F44" s="23" t="n">
        <x:v>7671</x:v>
      </x:c>
      <x:c r="G44" s="23" t="n">
        <x:f>ROUND(F44-F43,1)</x:f>
        <x:v>-118.8</x:v>
      </x:c>
      <x:c r="H44" s="24" t="n">
        <x:f>IFERROR(F44/F43-1,"")</x:f>
        <x:v>-0.015250712470153305</x:v>
      </x:c>
      <x:c r="I44" s="23" t="n">
        <x:f>ROUND(D44-E44,1)</x:f>
        <x:v>140</x:v>
      </x:c>
      <x:c r="J44" s="22" t="str">
        <x:v>IC2612</x:v>
      </x:c>
      <x:c r="K44" s="22" t="n">
        <x:v>2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1241.2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310.3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9月21日-9月23日</x:v>
      </x:c>
      <x:c r="C53" s="23" t="n">
        <x:v>4451</x:v>
      </x:c>
      <x:c r="D53" s="23" t="n">
        <x:v>4520</x:v>
      </x:c>
      <x:c r="E53" s="23" t="n">
        <x:v>4434.8</x:v>
      </x:c>
      <x:c r="F53" s="23" t="n">
        <x:v>4461.8</x:v>
      </x:c>
      <x:c r="G53" s="23" t="n">
        <x:f>ROUND(F53-F52,1)</x:f>
        <x:v>-46.2</x:v>
      </x:c>
      <x:c r="H53" s="24" t="n">
        <x:f>IFERROR(F53/F52-1,"")</x:f>
        <x:v>-0.010248447204968869</x:v>
      </x:c>
      <x:c r="I53" s="23" t="n">
        <x:f>ROUND(D53-E53,1)</x:f>
        <x:v>85.2</x:v>
      </x:c>
      <x:c r="J53" s="22" t="str">
        <x:v>IF2612</x:v>
      </x:c>
      <x:c r="K53" s="22" t="n">
        <x:v>3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446.2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111.6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9月21日-9月22日</x:v>
      </x:c>
      <x:c r="C62" s="23" t="n">
        <x:v>2830</x:v>
      </x:c>
      <x:c r="D62" s="23" t="n">
        <x:v>2881.2</x:v>
      </x:c>
      <x:c r="E62" s="23" t="n">
        <x:v>2822</x:v>
      </x:c>
      <x:c r="F62" s="23" t="n">
        <x:v>2867</x:v>
      </x:c>
      <x:c r="G62" s="23" t="n">
        <x:f>ROUND(F62-F61,1)</x:f>
        <x:v>4.8</x:v>
      </x:c>
      <x:c r="H62" s="24" t="n">
        <x:f>IFERROR(F62/F61-1,"")</x:f>
        <x:v>0.0016770316539724828</x:v>
      </x:c>
      <x:c r="I62" s="23" t="n">
        <x:f>ROUND(D62-E62,1)</x:f>
        <x:v>59.2</x:v>
      </x:c>
      <x:c r="J62" s="22" t="str">
        <x:v>IH2612</x:v>
      </x:c>
      <x:c r="K62" s="22" t="n">
        <x:v>2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265.6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66.4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9月21日-9月23日</x:v>
      </x:c>
      <x:c r="C71" s="23" t="n">
        <x:v>128500</x:v>
      </x:c>
      <x:c r="D71" s="23" t="n">
        <x:v>136560</x:v>
      </x:c>
      <x:c r="E71" s="23" t="n">
        <x:v>127100</x:v>
      </x:c>
      <x:c r="F71" s="23" t="n">
        <x:v>129840</x:v>
      </x:c>
      <x:c r="G71" s="28" t="n">
        <x:f>ROUND(F71-F70,1)</x:f>
        <x:v>1260</x:v>
      </x:c>
      <x:c r="H71" s="24" t="n">
        <x:f>IFERROR(F71/F70-1,"")</x:f>
        <x:v>0.009799346710219314</x:v>
      </x:c>
      <x:c r="I71" s="26" t="n">
        <x:f>ROUND(D71-E71,1)</x:f>
        <x:v>9460</x:v>
      </x:c>
      <x:c r="J71" s="22" t="str">
        <x:v>LC2610</x:v>
      </x:c>
      <x:c r="K71" s="22" t="n">
        <x:v>3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56640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14160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2112.2999999999997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124.3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1959.2999999999995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115.3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568.6999999999999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33.5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2358.3999999999996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138.7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2232.6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139.5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852.3999999999999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50.1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481.59999999999997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30.1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101680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5981.2</x:v>
      </x:c>
      <x:c r="K24" s="30"/>
    </x:row>
  </x:sheetData>
  <x:mergeCells>
    <x:mergeCell ref="A1:K1"/>
  </x:mergeCells>
  <x:pageMargins left="0.7" right="0.7" top="0.75" bottom="0.75" header="0.3" footer="0.3"/>
</x:worksheet>
</file>