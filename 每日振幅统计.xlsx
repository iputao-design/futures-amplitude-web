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5976ec881e64bf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f338f7d700884015"/>
    <x:sheet xmlns:r="http://schemas.openxmlformats.org/officeDocument/2006/relationships" name="中证1000" sheetId="2" r:id="R88a8ff336d564331"/>
    <x:sheet xmlns:r="http://schemas.openxmlformats.org/officeDocument/2006/relationships" name="中证500" sheetId="3" r:id="Ra48c71ae96864fb2"/>
    <x:sheet xmlns:r="http://schemas.openxmlformats.org/officeDocument/2006/relationships" name="上证指数" sheetId="4" r:id="Rddd81dd5e51f40d0"/>
    <x:sheet xmlns:r="http://schemas.openxmlformats.org/officeDocument/2006/relationships" name="IM主力" sheetId="5" r:id="Ra18ff62a19b04dca"/>
    <x:sheet xmlns:r="http://schemas.openxmlformats.org/officeDocument/2006/relationships" name="IC主力" sheetId="6" r:id="Rb4033f7664484331"/>
    <x:sheet xmlns:r="http://schemas.openxmlformats.org/officeDocument/2006/relationships" name="IF主力" sheetId="7" r:id="R3f02d051ef2245dd"/>
    <x:sheet xmlns:r="http://schemas.openxmlformats.org/officeDocument/2006/relationships" name="IH主力" sheetId="8" r:id="R162c4cee1ed645b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General"/>
  </x:numFmts>
  <x:fonts count="7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horizontal="center"/>
    </x:xf>
    <x:xf numFmtId="0" fontId="4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horizontal="center" vertical="center"/>
    </x:xf>
    <x:xf numFmtId="200" fontId="5" fillId="0" borderId="2" xfId="0" applyNumberFormat="1" applyFont="1" applyFill="1" applyBorder="1" applyAlignment="1">
      <x:alignment horizontal="center" vertical="center"/>
    </x:xf>
    <x:xf numFmtId="200" fontId="5" fillId="5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6" fillId="5" borderId="1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de54f50cef44fbc" /><Relationship Type="http://schemas.openxmlformats.org/officeDocument/2006/relationships/theme" Target="/xl/theme/theme1.xml" Id="R9e1f4144fce84f47" /><Relationship Type="http://schemas.openxmlformats.org/officeDocument/2006/relationships/sharedStrings" Target="/xl/sharedStrings.xml" Id="Rd8ec7d1be9954f29" /><Relationship Type="http://schemas.openxmlformats.org/officeDocument/2006/relationships/worksheet" Target="/xl/worksheets/sheet1.xml" Id="Rf338f7d700884015" /><Relationship Type="http://schemas.openxmlformats.org/officeDocument/2006/relationships/worksheet" Target="/xl/worksheets/sheet2.xml" Id="R88a8ff336d564331" /><Relationship Type="http://schemas.openxmlformats.org/officeDocument/2006/relationships/worksheet" Target="/xl/worksheets/sheet3.xml" Id="Ra48c71ae96864fb2" /><Relationship Type="http://schemas.openxmlformats.org/officeDocument/2006/relationships/worksheet" Target="/xl/worksheets/sheet4.xml" Id="Rddd81dd5e51f40d0" /><Relationship Type="http://schemas.openxmlformats.org/officeDocument/2006/relationships/worksheet" Target="/xl/worksheets/sheet5.xml" Id="Ra18ff62a19b04dca" /><Relationship Type="http://schemas.openxmlformats.org/officeDocument/2006/relationships/worksheet" Target="/xl/worksheets/sheet6.xml" Id="Rb4033f7664484331" /><Relationship Type="http://schemas.openxmlformats.org/officeDocument/2006/relationships/worksheet" Target="/xl/worksheets/sheet7.xml" Id="R3f02d051ef2245dd" /><Relationship Type="http://schemas.openxmlformats.org/officeDocument/2006/relationships/worksheet" Target="/xl/worksheets/sheet8.xml" Id="R162c4cee1ed645b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2026年7月统计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2026-07-03</x:v>
      </x:c>
      <x:c r="C4" s="10" t="n">
        <x:v>8740.668</x:v>
      </x:c>
      <x:c r="D4" s="10" t="n">
        <x:v>8559.285</x:v>
      </x:c>
      <x:c r="E4" s="12" t="n">
        <x:v>181.4</x:v>
      </x:c>
      <x:c r="F4" s="9" t="n">
        <x:v>3</x:v>
      </x:c>
      <x:c r="G4" s="10" t="n">
        <x:v>586</x:v>
      </x:c>
      <x:c r="H4" s="10" t="n">
        <x:v>195.3</x:v>
      </x:c>
      <x:c r="I4" s="10" t="n">
        <x:v>180</x:v>
      </x:c>
    </x:row>
    <x:row r="5">
      <x:c r="A5" s="9" t="str">
        <x:v>中证500</x:v>
      </x:c>
      <x:c r="B5" s="9" t="str">
        <x:v>2026-07-03</x:v>
      </x:c>
      <x:c r="C5" s="10" t="n">
        <x:v>8860.416</x:v>
      </x:c>
      <x:c r="D5" s="10" t="n">
        <x:v>8636.15</x:v>
      </x:c>
      <x:c r="E5" s="12" t="n">
        <x:v>224.3</x:v>
      </x:c>
      <x:c r="F5" s="9" t="n">
        <x:v>3</x:v>
      </x:c>
      <x:c r="G5" s="10" t="n">
        <x:v>680.9</x:v>
      </x:c>
      <x:c r="H5" s="10" t="n">
        <x:v>227</x:v>
      </x:c>
      <x:c r="I5" s="10" t="n">
        <x:v>160</x:v>
      </x:c>
    </x:row>
    <x:row r="6">
      <x:c r="A6" s="9" t="str">
        <x:v>上证指数</x:v>
      </x:c>
      <x:c r="B6" s="9" t="str">
        <x:v>2026-07-03</x:v>
      </x:c>
      <x:c r="C6" s="10" t="n">
        <x:v>4073.88</x:v>
      </x:c>
      <x:c r="D6" s="10" t="n">
        <x:v>4027.255</x:v>
      </x:c>
      <x:c r="E6" s="12" t="n">
        <x:v>46.6</x:v>
      </x:c>
      <x:c r="F6" s="9" t="n">
        <x:v>3</x:v>
      </x:c>
      <x:c r="G6" s="10" t="n">
        <x:v>176.9</x:v>
      </x:c>
      <x:c r="H6" s="10" t="n">
        <x:v>59</x:v>
      </x:c>
      <x:c r="I6" s="10" t="n">
        <x:v>50</x:v>
      </x:c>
    </x:row>
    <x:row r="7">
      <x:c r="A7" s="9" t="str">
        <x:v>IM主力</x:v>
      </x:c>
      <x:c r="B7" s="9" t="str">
        <x:v>2026-07-03</x:v>
      </x:c>
      <x:c r="C7" s="10" t="n">
        <x:v>8475</x:v>
      </x:c>
      <x:c r="D7" s="10" t="n">
        <x:v>8337.8</x:v>
      </x:c>
      <x:c r="E7" s="12" t="n">
        <x:v>137.2</x:v>
      </x:c>
      <x:c r="F7" s="9" t="n">
        <x:v>3</x:v>
      </x:c>
      <x:c r="G7" s="10" t="n">
        <x:v>498.2</x:v>
      </x:c>
      <x:c r="H7" s="10" t="n">
        <x:v>166.1</x:v>
      </x:c>
      <x:c r="I7" s="10" t="n">
        <x:v>190</x:v>
      </x:c>
    </x:row>
    <x:row r="8">
      <x:c r="A8" s="9" t="str">
        <x:v>IC主力</x:v>
      </x:c>
      <x:c r="B8" s="9" t="str">
        <x:v>2026-07-03</x:v>
      </x:c>
      <x:c r="C8" s="10" t="n">
        <x:v>8650</x:v>
      </x:c>
      <x:c r="D8" s="10" t="n">
        <x:v>8442</x:v>
      </x:c>
      <x:c r="E8" s="12" t="n">
        <x:v>208</x:v>
      </x:c>
      <x:c r="F8" s="9" t="n">
        <x:v>3</x:v>
      </x:c>
      <x:c r="G8" s="10" t="n">
        <x:v>646.8</x:v>
      </x:c>
      <x:c r="H8" s="10" t="n">
        <x:v>215.6</x:v>
      </x:c>
      <x:c r="I8" s="10" t="n">
        <x:v>150</x:v>
      </x:c>
    </x:row>
    <x:row r="9">
      <x:c r="A9" s="9" t="str">
        <x:v>IF主力</x:v>
      </x:c>
      <x:c r="B9" s="9" t="str">
        <x:v>2026-07-03</x:v>
      </x:c>
      <x:c r="C9" s="10" t="n">
        <x:v>4810.4</x:v>
      </x:c>
      <x:c r="D9" s="10" t="n">
        <x:v>4728</x:v>
      </x:c>
      <x:c r="E9" s="12" t="n">
        <x:v>82.4</x:v>
      </x:c>
      <x:c r="F9" s="9" t="n">
        <x:v>3</x:v>
      </x:c>
      <x:c r="G9" s="10" t="n">
        <x:v>275</x:v>
      </x:c>
      <x:c r="H9" s="10" t="n">
        <x:v>91.7</x:v>
      </x:c>
      <x:c r="I9" s="10" t="n">
        <x:v>90</x:v>
      </x:c>
    </x:row>
    <x:row r="10">
      <x:c r="A10" s="9" t="str">
        <x:v>IH主力</x:v>
      </x:c>
      <x:c r="B10" s="9" t="str">
        <x:v>2026-07-03</x:v>
      </x:c>
      <x:c r="C10" s="10" t="n">
        <x:v>2912</x:v>
      </x:c>
      <x:c r="D10" s="10" t="n">
        <x:v>2873.6</x:v>
      </x:c>
      <x:c r="E10" s="12" t="n">
        <x:v>38.4</x:v>
      </x:c>
      <x:c r="F10" s="9" t="n">
        <x:v>3</x:v>
      </x:c>
      <x:c r="G10" s="10" t="n">
        <x:v>159.2</x:v>
      </x:c>
      <x:c r="H10" s="10" t="n">
        <x:v>53.1</x:v>
      </x:c>
      <x:c r="I10" s="10" t="n">
        <x:v>60</x:v>
      </x:c>
    </x:row>
    <x:row r="13">
      <x:c r="A13" s="14" t="str">
        <x:v>统计区间</x:v>
      </x:c>
      <x:c r="B13" s="14" t="str">
        <x:v>2026-07-01</x:v>
      </x:c>
      <x:c r="C13" s="14" t="str">
        <x:v>2026-07-04</x:v>
      </x:c>
      <x:c r="D13" s="14" t="str">
        <x:v>数据源</x:v>
      </x:c>
    </x:row>
    <x:row r="14">
      <x:c r="A14" s="7" t="str">
        <x:v>中证1000</x:v>
      </x:c>
      <x:c r="B14" s="7" t="str">
        <x:v>sh000852</x:v>
      </x:c>
      <x:c r="C14" s="7" t="str">
        <x:v>指数日线</x:v>
      </x:c>
      <x:c r="D14" s="7" t="str">
        <x:v>https://money.finance.sina.com.cn/quotes_service/api/json_v2.php/CN_MarketData.getKLineData?symbol=sh000852&amp;scale=240&amp;ma=no&amp;datalen=80</x:v>
      </x:c>
    </x:row>
    <x:row r="15">
      <x:c r="A15" s="7" t="str">
        <x:v>中证500</x:v>
      </x:c>
      <x:c r="B15" s="7" t="str">
        <x:v>sh000905</x:v>
      </x:c>
      <x:c r="C15" s="7" t="str">
        <x:v>指数日线</x:v>
      </x:c>
      <x:c r="D15" s="7" t="str">
        <x:v>https://money.finance.sina.com.cn/quotes_service/api/json_v2.php/CN_MarketData.getKLineData?symbol=sh000905&amp;scale=240&amp;ma=no&amp;datalen=80</x:v>
      </x:c>
    </x:row>
    <x:row r="16">
      <x:c r="A16" s="7" t="str">
        <x:v>上证指数</x:v>
      </x:c>
      <x:c r="B16" s="7" t="str">
        <x:v>sh000001</x:v>
      </x:c>
      <x:c r="C16" s="7" t="str">
        <x:v>指数日线</x:v>
      </x:c>
      <x:c r="D16" s="7" t="str">
        <x:v>https://money.finance.sina.com.cn/quotes_service/api/json_v2.php/CN_MarketData.getKLineData?symbol=sh000001&amp;scale=240&amp;ma=no&amp;datalen=80</x:v>
      </x:c>
    </x:row>
    <x:row r="17">
      <x:c r="A17" s="7" t="str">
        <x:v>IM主力</x:v>
      </x:c>
      <x:c r="B17" s="7" t="str">
        <x:v>IM0</x:v>
      </x:c>
      <x:c r="C17" s="7" t="str">
        <x:v>用主连确定交易日，再按标的列的具体合约取日线</x:v>
      </x:c>
      <x:c r="D17" s="7" t="str">
        <x:v>https://stock2.finance.sina.com.cn/futures/api/json.php/InnerFuturesNewService.getDailyKLine?symbol=IM0</x:v>
      </x:c>
    </x:row>
    <x:row r="18">
      <x:c r="A18" s="7" t="str">
        <x:v>IC主力</x:v>
      </x:c>
      <x:c r="B18" s="7" t="str">
        <x:v>IC0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https://stock2.finance.sina.com.cn/futures/api/json.php/InnerFuturesNewService.getDailyKLine?symbol=IC0</x:v>
      </x:c>
    </x:row>
    <x:row r="19">
      <x:c r="A19" s="7" t="str">
        <x:v>IF主力</x:v>
      </x:c>
      <x:c r="B19" s="7" t="str">
        <x:v>IF0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https://stock2.finance.sina.com.cn/futures/api/json.php/InnerFuturesNewService.getDailyKLine?symbol=IF0</x:v>
      </x:c>
    </x:row>
    <x:row r="20">
      <x:c r="A20" s="7" t="str">
        <x:v>IH主力</x:v>
      </x:c>
      <x:c r="B20" s="7" t="str">
        <x:v>IH0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https://stock2.finance.sina.com.cn/futures/api/json.php/InnerFuturesNewService.getDailyKLine?symbol=IH0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4" hidden="0" customWidth="1"/>
  </x:cols>
  <x:sheetData>
    <x:row r="1" ht="38" customHeight="1">
      <x:c r="A1" s="15" t="str">
        <x:v>2026年7月统计 - 中证1000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高点</x:v>
      </x:c>
      <x:c r="E3" s="18" t="str">
        <x:v>低点</x:v>
      </x:c>
      <x:c r="F3" s="18" t="str">
        <x:v>振幅</x:v>
      </x:c>
      <x:c r="G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8944.195</x:v>
      </x:c>
      <x:c r="E4" s="22" t="n">
        <x:v>8806.646</x:v>
      </x:c>
      <x:c r="F4" s="22" t="n">
        <x:f>ROUND(D4-E4,1)</x:f>
        <x:v>137.5</x:v>
      </x:c>
      <x:c r="G4" s="21" t="str">
        <x:v>中证1000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8865.966</x:v>
      </x:c>
      <x:c r="E5" s="22" t="n">
        <x:v>8598.869</x:v>
      </x:c>
      <x:c r="F5" s="24" t="n">
        <x:f>ROUND(D5-E5,1)</x:f>
        <x:v>267.1</x:v>
      </x:c>
      <x:c r="G5" s="21" t="str">
        <x:v>中证1000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8740.668</x:v>
      </x:c>
      <x:c r="E6" s="22" t="n">
        <x:v>8559.285</x:v>
      </x:c>
      <x:c r="F6" s="24" t="n">
        <x:f>ROUND(D6-E6,1)</x:f>
        <x:v>181.4</x:v>
      </x:c>
      <x:c r="G6" s="21" t="str">
        <x:v>中证1000</x:v>
      </x:c>
    </x:row>
    <x:row r="9">
      <x:c r="A9" s="27" t="str">
        <x:v>合计</x:v>
      </x:c>
      <x:c r="B9" s="28" t="n">
        <x:v>3</x:v>
      </x:c>
      <x:c r="C9" s="28"/>
      <x:c r="D9" s="28"/>
      <x:c r="E9" s="28"/>
      <x:c r="F9" s="29" t="n">
        <x:f>SUM(F4:F6)</x:f>
        <x:v>586</x:v>
      </x:c>
      <x:c r="G9" s="28"/>
    </x:row>
    <x:row r="10">
      <x:c r="A10" s="27" t="str">
        <x:v>均值</x:v>
      </x:c>
      <x:c r="B10" s="28"/>
      <x:c r="C10" s="28"/>
      <x:c r="D10" s="28"/>
      <x:c r="E10" s="28"/>
      <x:c r="F10" s="31" t="n">
        <x:f>ROUND(IFERROR(AVERAGE(F4:F6),0),1)</x:f>
        <x:v>195.3</x:v>
      </x:c>
      <x:c r="G10" s="28"/>
    </x:row>
  </x:sheetData>
  <x:mergeCells>
    <x:mergeCell ref="A1:G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4" hidden="0" customWidth="1"/>
  </x:cols>
  <x:sheetData>
    <x:row r="1" ht="38" customHeight="1">
      <x:c r="A1" s="15" t="str">
        <x:v>2026年7月统计 - 中证500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高点</x:v>
      </x:c>
      <x:c r="E3" s="18" t="str">
        <x:v>低点</x:v>
      </x:c>
      <x:c r="F3" s="18" t="str">
        <x:v>振幅</x:v>
      </x:c>
      <x:c r="G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9147.559</x:v>
      </x:c>
      <x:c r="E4" s="22" t="n">
        <x:v>8956.185</x:v>
      </x:c>
      <x:c r="F4" s="24" t="n">
        <x:f>ROUND(D4-E4,1)</x:f>
        <x:v>191.4</x:v>
      </x:c>
      <x:c r="G4" s="21" t="str">
        <x:v>中证500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8932.647</x:v>
      </x:c>
      <x:c r="E5" s="22" t="n">
        <x:v>8667.419</x:v>
      </x:c>
      <x:c r="F5" s="24" t="n">
        <x:f>ROUND(D5-E5,1)</x:f>
        <x:v>265.2</x:v>
      </x:c>
      <x:c r="G5" s="21" t="str">
        <x:v>中证500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8860.416</x:v>
      </x:c>
      <x:c r="E6" s="22" t="n">
        <x:v>8636.15</x:v>
      </x:c>
      <x:c r="F6" s="24" t="n">
        <x:f>ROUND(D6-E6,1)</x:f>
        <x:v>224.3</x:v>
      </x:c>
      <x:c r="G6" s="21" t="str">
        <x:v>中证500</x:v>
      </x:c>
    </x:row>
    <x:row r="9">
      <x:c r="A9" s="27" t="str">
        <x:v>合计</x:v>
      </x:c>
      <x:c r="B9" s="28" t="n">
        <x:v>3</x:v>
      </x:c>
      <x:c r="C9" s="28"/>
      <x:c r="D9" s="28"/>
      <x:c r="E9" s="28"/>
      <x:c r="F9" s="29" t="n">
        <x:f>SUM(F4:F6)</x:f>
        <x:v>680.9000000000001</x:v>
      </x:c>
      <x:c r="G9" s="28"/>
    </x:row>
    <x:row r="10">
      <x:c r="A10" s="27" t="str">
        <x:v>均值</x:v>
      </x:c>
      <x:c r="B10" s="28"/>
      <x:c r="C10" s="28"/>
      <x:c r="D10" s="28"/>
      <x:c r="E10" s="28"/>
      <x:c r="F10" s="31" t="n">
        <x:f>ROUND(IFERROR(AVERAGE(F4:F6),0),1)</x:f>
        <x:v>227</x:v>
      </x:c>
      <x:c r="G10" s="28"/>
    </x:row>
  </x:sheetData>
  <x:mergeCells>
    <x:mergeCell ref="A1:G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4" hidden="0" customWidth="1"/>
  </x:cols>
  <x:sheetData>
    <x:row r="1" ht="38" customHeight="1">
      <x:c r="A1" s="15" t="str">
        <x:v>2026年7月统计 - 上证指数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高点</x:v>
      </x:c>
      <x:c r="E3" s="18" t="str">
        <x:v>低点</x:v>
      </x:c>
      <x:c r="F3" s="18" t="str">
        <x:v>振幅</x:v>
      </x:c>
      <x:c r="G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4143.314</x:v>
      </x:c>
      <x:c r="E4" s="22" t="n">
        <x:v>4087.535</x:v>
      </x:c>
      <x:c r="F4" s="24" t="n">
        <x:f>ROUND(D4-E4,1)</x:f>
        <x:v>55.8</x:v>
      </x:c>
      <x:c r="G4" s="21" t="str">
        <x:v>上证指数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4093.678</x:v>
      </x:c>
      <x:c r="E5" s="22" t="n">
        <x:v>4019.215</x:v>
      </x:c>
      <x:c r="F5" s="24" t="n">
        <x:f>ROUND(D5-E5,1)</x:f>
        <x:v>74.5</x:v>
      </x:c>
      <x:c r="G5" s="21" t="str">
        <x:v>上证指数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4073.88</x:v>
      </x:c>
      <x:c r="E6" s="22" t="n">
        <x:v>4027.255</x:v>
      </x:c>
      <x:c r="F6" s="22" t="n">
        <x:f>ROUND(D6-E6,1)</x:f>
        <x:v>46.6</x:v>
      </x:c>
      <x:c r="G6" s="21" t="str">
        <x:v>上证指数</x:v>
      </x:c>
    </x:row>
    <x:row r="9">
      <x:c r="A9" s="27" t="str">
        <x:v>合计</x:v>
      </x:c>
      <x:c r="B9" s="28" t="n">
        <x:v>3</x:v>
      </x:c>
      <x:c r="C9" s="28"/>
      <x:c r="D9" s="28"/>
      <x:c r="E9" s="28"/>
      <x:c r="F9" s="29" t="n">
        <x:f>SUM(F4:F6)</x:f>
        <x:v>176.9</x:v>
      </x:c>
      <x:c r="G9" s="28"/>
    </x:row>
    <x:row r="10">
      <x:c r="A10" s="27" t="str">
        <x:v>均值</x:v>
      </x:c>
      <x:c r="B10" s="28"/>
      <x:c r="C10" s="28"/>
      <x:c r="D10" s="28"/>
      <x:c r="E10" s="28"/>
      <x:c r="F10" s="31" t="n">
        <x:f>ROUND(IFERROR(AVERAGE(F4:F6),0),1)</x:f>
        <x:v>59</x:v>
      </x:c>
      <x:c r="G10" s="28"/>
    </x:row>
  </x:sheetData>
  <x:mergeCells>
    <x:mergeCell ref="A1:G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4" hidden="0" customWidth="1"/>
  </x:cols>
  <x:sheetData>
    <x:row r="1" ht="38" customHeight="1">
      <x:c r="A1" s="15" t="str">
        <x:v>2026年7月统计 - IM主力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高点</x:v>
      </x:c>
      <x:c r="E3" s="18" t="str">
        <x:v>低点</x:v>
      </x:c>
      <x:c r="F3" s="18" t="str">
        <x:v>振幅</x:v>
      </x:c>
      <x:c r="G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8629</x:v>
      </x:c>
      <x:c r="E4" s="22" t="n">
        <x:v>8480</x:v>
      </x:c>
      <x:c r="F4" s="22" t="n">
        <x:f>ROUND(D4-E4,1)</x:f>
        <x:v>149</x:v>
      </x:c>
      <x:c r="G4" s="21" t="str">
        <x:v>IM2609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8556</x:v>
      </x:c>
      <x:c r="E5" s="22" t="n">
        <x:v>8344</x:v>
      </x:c>
      <x:c r="F5" s="24" t="n">
        <x:f>ROUND(D5-E5,1)</x:f>
        <x:v>212</x:v>
      </x:c>
      <x:c r="G5" s="21" t="str">
        <x:v>IM2609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8475</x:v>
      </x:c>
      <x:c r="E6" s="22" t="n">
        <x:v>8337.8</x:v>
      </x:c>
      <x:c r="F6" s="22" t="n">
        <x:f>ROUND(D6-E6,1)</x:f>
        <x:v>137.2</x:v>
      </x:c>
      <x:c r="G6" s="21" t="str">
        <x:v>IM2609</x:v>
      </x:c>
    </x:row>
    <x:row r="9">
      <x:c r="A9" s="27" t="str">
        <x:v>合计</x:v>
      </x:c>
      <x:c r="B9" s="28" t="n">
        <x:v>3</x:v>
      </x:c>
      <x:c r="C9" s="28"/>
      <x:c r="D9" s="28"/>
      <x:c r="E9" s="28"/>
      <x:c r="F9" s="29" t="n">
        <x:f>SUM(F4:F6)</x:f>
        <x:v>498.2</x:v>
      </x:c>
      <x:c r="G9" s="28"/>
    </x:row>
    <x:row r="10">
      <x:c r="A10" s="27" t="str">
        <x:v>均值</x:v>
      </x:c>
      <x:c r="B10" s="28"/>
      <x:c r="C10" s="28"/>
      <x:c r="D10" s="28"/>
      <x:c r="E10" s="28"/>
      <x:c r="F10" s="31" t="n">
        <x:f>ROUND(IFERROR(AVERAGE(F4:F6),0),1)</x:f>
        <x:v>166.1</x:v>
      </x:c>
      <x:c r="G10" s="28"/>
    </x:row>
  </x:sheetData>
  <x:mergeCells>
    <x:mergeCell ref="A1:G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4" hidden="0" customWidth="1"/>
  </x:cols>
  <x:sheetData>
    <x:row r="1" ht="38" customHeight="1">
      <x:c r="A1" s="15" t="str">
        <x:v>2026年7月统计 - IC主力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高点</x:v>
      </x:c>
      <x:c r="E3" s="18" t="str">
        <x:v>低点</x:v>
      </x:c>
      <x:c r="F3" s="18" t="str">
        <x:v>振幅</x:v>
      </x:c>
      <x:c r="G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8873.8</x:v>
      </x:c>
      <x:c r="E4" s="22" t="n">
        <x:v>8656.8</x:v>
      </x:c>
      <x:c r="F4" s="24" t="n">
        <x:f>ROUND(D4-E4,1)</x:f>
        <x:v>217</x:v>
      </x:c>
      <x:c r="G4" s="21" t="str">
        <x:v>IC2609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8678.6</x:v>
      </x:c>
      <x:c r="E5" s="22" t="n">
        <x:v>8456.8</x:v>
      </x:c>
      <x:c r="F5" s="24" t="n">
        <x:f>ROUND(D5-E5,1)</x:f>
        <x:v>221.8</x:v>
      </x:c>
      <x:c r="G5" s="21" t="str">
        <x:v>IC2609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8650</x:v>
      </x:c>
      <x:c r="E6" s="22" t="n">
        <x:v>8442</x:v>
      </x:c>
      <x:c r="F6" s="24" t="n">
        <x:f>ROUND(D6-E6,1)</x:f>
        <x:v>208</x:v>
      </x:c>
      <x:c r="G6" s="21" t="str">
        <x:v>IC2609</x:v>
      </x:c>
    </x:row>
    <x:row r="9">
      <x:c r="A9" s="27" t="str">
        <x:v>合计</x:v>
      </x:c>
      <x:c r="B9" s="28" t="n">
        <x:v>3</x:v>
      </x:c>
      <x:c r="C9" s="28"/>
      <x:c r="D9" s="28"/>
      <x:c r="E9" s="28"/>
      <x:c r="F9" s="29" t="n">
        <x:f>SUM(F4:F6)</x:f>
        <x:v>646.8</x:v>
      </x:c>
      <x:c r="G9" s="28"/>
    </x:row>
    <x:row r="10">
      <x:c r="A10" s="27" t="str">
        <x:v>均值</x:v>
      </x:c>
      <x:c r="B10" s="28"/>
      <x:c r="C10" s="28"/>
      <x:c r="D10" s="28"/>
      <x:c r="E10" s="28"/>
      <x:c r="F10" s="31" t="n">
        <x:f>ROUND(IFERROR(AVERAGE(F4:F6),0),1)</x:f>
        <x:v>215.6</x:v>
      </x:c>
      <x:c r="G10" s="28"/>
    </x:row>
  </x:sheetData>
  <x:mergeCells>
    <x:mergeCell ref="A1:G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4" hidden="0" customWidth="1"/>
  </x:cols>
  <x:sheetData>
    <x:row r="1" ht="38" customHeight="1">
      <x:c r="A1" s="15" t="str">
        <x:v>2026年7月统计 - IF主力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高点</x:v>
      </x:c>
      <x:c r="E3" s="18" t="str">
        <x:v>低点</x:v>
      </x:c>
      <x:c r="F3" s="18" t="str">
        <x:v>振幅</x:v>
      </x:c>
      <x:c r="G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4899.6</x:v>
      </x:c>
      <x:c r="E4" s="22" t="n">
        <x:v>4802.2</x:v>
      </x:c>
      <x:c r="F4" s="24" t="n">
        <x:f>ROUND(D4-E4,1)</x:f>
        <x:v>97.4</x:v>
      </x:c>
      <x:c r="G4" s="21" t="str">
        <x:v>IF2609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4800.2</x:v>
      </x:c>
      <x:c r="E5" s="22" t="n">
        <x:v>4705</x:v>
      </x:c>
      <x:c r="F5" s="24" t="n">
        <x:f>ROUND(D5-E5,1)</x:f>
        <x:v>95.2</x:v>
      </x:c>
      <x:c r="G5" s="21" t="str">
        <x:v>IF2609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4810.4</x:v>
      </x:c>
      <x:c r="E6" s="22" t="n">
        <x:v>4728</x:v>
      </x:c>
      <x:c r="F6" s="22" t="n">
        <x:f>ROUND(D6-E6,1)</x:f>
        <x:v>82.4</x:v>
      </x:c>
      <x:c r="G6" s="21" t="str">
        <x:v>IF2609</x:v>
      </x:c>
    </x:row>
    <x:row r="9">
      <x:c r="A9" s="27" t="str">
        <x:v>合计</x:v>
      </x:c>
      <x:c r="B9" s="28" t="n">
        <x:v>3</x:v>
      </x:c>
      <x:c r="C9" s="28"/>
      <x:c r="D9" s="28"/>
      <x:c r="E9" s="28"/>
      <x:c r="F9" s="29" t="n">
        <x:f>SUM(F4:F6)</x:f>
        <x:v>275</x:v>
      </x:c>
      <x:c r="G9" s="28"/>
    </x:row>
    <x:row r="10">
      <x:c r="A10" s="27" t="str">
        <x:v>均值</x:v>
      </x:c>
      <x:c r="B10" s="28"/>
      <x:c r="C10" s="28"/>
      <x:c r="D10" s="28"/>
      <x:c r="E10" s="28"/>
      <x:c r="F10" s="31" t="n">
        <x:f>ROUND(IFERROR(AVERAGE(F4:F6),0),1)</x:f>
        <x:v>91.7</x:v>
      </x:c>
      <x:c r="G10" s="28"/>
    </x:row>
  </x:sheetData>
  <x:mergeCells>
    <x:mergeCell ref="A1:G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4" hidden="0" customWidth="1"/>
  </x:cols>
  <x:sheetData>
    <x:row r="1" ht="38" customHeight="1">
      <x:c r="A1" s="15" t="str">
        <x:v>2026年7月统计 - IH主力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高点</x:v>
      </x:c>
      <x:c r="E3" s="18" t="str">
        <x:v>低点</x:v>
      </x:c>
      <x:c r="F3" s="18" t="str">
        <x:v>振幅</x:v>
      </x:c>
      <x:c r="G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2976</x:v>
      </x:c>
      <x:c r="E4" s="22" t="n">
        <x:v>2918.2</x:v>
      </x:c>
      <x:c r="F4" s="22" t="n">
        <x:f>ROUND(D4-E4,1)</x:f>
        <x:v>57.8</x:v>
      </x:c>
      <x:c r="G4" s="21" t="str">
        <x:v>IH2609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2924.8</x:v>
      </x:c>
      <x:c r="E5" s="22" t="n">
        <x:v>2861.8</x:v>
      </x:c>
      <x:c r="F5" s="24" t="n">
        <x:f>ROUND(D5-E5,1)</x:f>
        <x:v>63</x:v>
      </x:c>
      <x:c r="G5" s="21" t="str">
        <x:v>IH2609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2912</x:v>
      </x:c>
      <x:c r="E6" s="22" t="n">
        <x:v>2873.6</x:v>
      </x:c>
      <x:c r="F6" s="22" t="n">
        <x:f>ROUND(D6-E6,1)</x:f>
        <x:v>38.4</x:v>
      </x:c>
      <x:c r="G6" s="21" t="str">
        <x:v>IH2609</x:v>
      </x:c>
    </x:row>
    <x:row r="9">
      <x:c r="A9" s="27" t="str">
        <x:v>合计</x:v>
      </x:c>
      <x:c r="B9" s="28" t="n">
        <x:v>3</x:v>
      </x:c>
      <x:c r="C9" s="28"/>
      <x:c r="D9" s="28"/>
      <x:c r="E9" s="28"/>
      <x:c r="F9" s="29" t="n">
        <x:f>SUM(F4:F6)</x:f>
        <x:v>159.2</x:v>
      </x:c>
      <x:c r="G9" s="28"/>
    </x:row>
    <x:row r="10">
      <x:c r="A10" s="27" t="str">
        <x:v>均值</x:v>
      </x:c>
      <x:c r="B10" s="28"/>
      <x:c r="C10" s="28"/>
      <x:c r="D10" s="28"/>
      <x:c r="E10" s="28"/>
      <x:c r="F10" s="31" t="n">
        <x:f>ROUND(IFERROR(AVERAGE(F4:F6),0),1)</x:f>
        <x:v>53.1</x:v>
      </x:c>
      <x:c r="G10" s="28"/>
    </x:row>
  </x:sheetData>
  <x:mergeCells>
    <x:mergeCell ref="A1:G1"/>
  </x:mergeCells>
  <x:pageMargins left="0.7" right="0.7" top="0.75" bottom="0.75" header="0.3" footer="0.3"/>
</x:worksheet>
</file>