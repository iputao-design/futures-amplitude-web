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800cf83344c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e9f6a9b28664b4b"/>
    <x:sheet xmlns:r="http://schemas.openxmlformats.org/officeDocument/2006/relationships" name="中证1000" sheetId="2" r:id="R26a7372c1ad84e9a"/>
    <x:sheet xmlns:r="http://schemas.openxmlformats.org/officeDocument/2006/relationships" name="中证500" sheetId="3" r:id="R8f858f11acd840bb"/>
    <x:sheet xmlns:r="http://schemas.openxmlformats.org/officeDocument/2006/relationships" name="上证指数" sheetId="4" r:id="Rb7c6fc3be46d4163"/>
    <x:sheet xmlns:r="http://schemas.openxmlformats.org/officeDocument/2006/relationships" name="IM主力" sheetId="5" r:id="Ra1a20f2a81204b27"/>
    <x:sheet xmlns:r="http://schemas.openxmlformats.org/officeDocument/2006/relationships" name="IC主力" sheetId="6" r:id="R835842e16a674103"/>
    <x:sheet xmlns:r="http://schemas.openxmlformats.org/officeDocument/2006/relationships" name="IF主力" sheetId="7" r:id="R1a15533f58974ac8"/>
    <x:sheet xmlns:r="http://schemas.openxmlformats.org/officeDocument/2006/relationships" name="IH主力" sheetId="8" r:id="R17817fe79a0e48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abf4d59337429c" /><Relationship Type="http://schemas.openxmlformats.org/officeDocument/2006/relationships/theme" Target="/xl/theme/theme1.xml" Id="R7cbb6bd6fd054cae" /><Relationship Type="http://schemas.openxmlformats.org/officeDocument/2006/relationships/sharedStrings" Target="/xl/sharedStrings.xml" Id="Rc6437aa69ae74c40" /><Relationship Type="http://schemas.openxmlformats.org/officeDocument/2006/relationships/worksheet" Target="/xl/worksheets/sheet1.xml" Id="Ree9f6a9b28664b4b" /><Relationship Type="http://schemas.openxmlformats.org/officeDocument/2006/relationships/worksheet" Target="/xl/worksheets/sheet2.xml" Id="R26a7372c1ad84e9a" /><Relationship Type="http://schemas.openxmlformats.org/officeDocument/2006/relationships/worksheet" Target="/xl/worksheets/sheet3.xml" Id="R8f858f11acd840bb" /><Relationship Type="http://schemas.openxmlformats.org/officeDocument/2006/relationships/worksheet" Target="/xl/worksheets/sheet4.xml" Id="Rb7c6fc3be46d4163" /><Relationship Type="http://schemas.openxmlformats.org/officeDocument/2006/relationships/worksheet" Target="/xl/worksheets/sheet5.xml" Id="Ra1a20f2a81204b27" /><Relationship Type="http://schemas.openxmlformats.org/officeDocument/2006/relationships/worksheet" Target="/xl/worksheets/sheet6.xml" Id="R835842e16a674103" /><Relationship Type="http://schemas.openxmlformats.org/officeDocument/2006/relationships/worksheet" Target="/xl/worksheets/sheet7.xml" Id="R1a15533f58974ac8" /><Relationship Type="http://schemas.openxmlformats.org/officeDocument/2006/relationships/worksheet" Target="/xl/worksheets/sheet8.xml" Id="R17817fe79a0e48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2026-07-31</x:v>
      </x:c>
      <x:c r="C4" s="10" t="n">
        <x:v>7218.06</x:v>
      </x:c>
      <x:c r="D4" s="10" t="n">
        <x:v>7071.05</x:v>
      </x:c>
      <x:c r="E4" s="12" t="n">
        <x:v>147</x:v>
      </x:c>
      <x:c r="F4" s="9" t="n">
        <x:v>23</x:v>
      </x:c>
      <x:c r="G4" s="10" t="n">
        <x:v>6057.6</x:v>
      </x:c>
      <x:c r="H4" s="10" t="n">
        <x:v>263.4</x:v>
      </x:c>
      <x:c r="I4" s="10" t="n">
        <x:v>180</x:v>
      </x:c>
    </x:row>
    <x:row r="5">
      <x:c r="A5" s="9" t="str">
        <x:v>中证500</x:v>
      </x:c>
      <x:c r="B5" s="9" t="str">
        <x:v>2026-07-31</x:v>
      </x:c>
      <x:c r="C5" s="10" t="n">
        <x:v>7638.78</x:v>
      </x:c>
      <x:c r="D5" s="10" t="n">
        <x:v>7487.43</x:v>
      </x:c>
      <x:c r="E5" s="12" t="n">
        <x:v>151.3</x:v>
      </x:c>
      <x:c r="F5" s="9" t="n">
        <x:v>23</x:v>
      </x:c>
      <x:c r="G5" s="10" t="n">
        <x:v>6161.7</x:v>
      </x:c>
      <x:c r="H5" s="10" t="n">
        <x:v>267.9</x:v>
      </x:c>
      <x:c r="I5" s="10" t="n">
        <x:v>160</x:v>
      </x:c>
    </x:row>
    <x:row r="6">
      <x:c r="A6" s="9" t="str">
        <x:v>上证指数</x:v>
      </x:c>
      <x:c r="B6" s="9" t="str">
        <x:v>2026-07-31</x:v>
      </x:c>
      <x:c r="C6" s="10" t="n">
        <x:v>3847.09</x:v>
      </x:c>
      <x:c r="D6" s="10" t="n">
        <x:v>3822.37</x:v>
      </x:c>
      <x:c r="E6" s="12" t="n">
        <x:v>24.7</x:v>
      </x:c>
      <x:c r="F6" s="9" t="n">
        <x:v>23</x:v>
      </x:c>
      <x:c r="G6" s="10" t="n">
        <x:v>1539.5</x:v>
      </x:c>
      <x:c r="H6" s="10" t="n">
        <x:v>66.9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23</x:v>
      </x:c>
      <x:c r="G7" s="10" t="n">
        <x:v>6087.2</x:v>
      </x:c>
      <x:c r="H7" s="10" t="n">
        <x:v>264.7</x:v>
      </x:c>
      <x:c r="I7" s="10" t="n">
        <x:v>190</x:v>
      </x:c>
    </x:row>
    <x:row r="8">
      <x:c r="A8" s="9" t="str">
        <x:v>IC主力</x:v>
      </x:c>
      <x:c r="B8" s="9" t="str">
        <x:v>2026-07-31</x:v>
      </x:c>
      <x:c r="C8" s="10" t="n">
        <x:v>7611.8</x:v>
      </x:c>
      <x:c r="D8" s="10" t="n">
        <x:v>7389.6</x:v>
      </x:c>
      <x:c r="E8" s="12" t="n">
        <x:v>222.2</x:v>
      </x:c>
      <x:c r="F8" s="9" t="n">
        <x:v>23</x:v>
      </x:c>
      <x:c r="G8" s="10" t="n">
        <x:v>6264.2</x:v>
      </x:c>
      <x:c r="H8" s="10" t="n">
        <x:v>272.4</x:v>
      </x:c>
      <x:c r="I8" s="10" t="n">
        <x:v>150</x:v>
      </x:c>
    </x:row>
    <x:row r="9">
      <x:c r="A9" s="9" t="str">
        <x:v>IF主力</x:v>
      </x:c>
      <x:c r="B9" s="9" t="str">
        <x:v>2026-07-31</x:v>
      </x:c>
      <x:c r="C9" s="10" t="n">
        <x:v>4619.4</x:v>
      </x:c>
      <x:c r="D9" s="10" t="n">
        <x:v>4532.2</x:v>
      </x:c>
      <x:c r="E9" s="12" t="n">
        <x:v>87.2</x:v>
      </x:c>
      <x:c r="F9" s="9" t="n">
        <x:v>23</x:v>
      </x:c>
      <x:c r="G9" s="10" t="n">
        <x:v>2304.4</x:v>
      </x:c>
      <x:c r="H9" s="10" t="n">
        <x:v>100.2</x:v>
      </x:c>
      <x:c r="I9" s="10" t="n">
        <x:v>90</x:v>
      </x:c>
    </x:row>
    <x:row r="10">
      <x:c r="A10" s="9" t="str">
        <x:v>IH主力</x:v>
      </x:c>
      <x:c r="B10" s="9" t="str">
        <x:v>2026-07-31</x:v>
      </x:c>
      <x:c r="C10" s="10" t="n">
        <x:v>2927</x:v>
      </x:c>
      <x:c r="D10" s="10" t="n">
        <x:v>2886.4</x:v>
      </x:c>
      <x:c r="E10" s="12" t="n">
        <x:v>40.6</x:v>
      </x:c>
      <x:c r="F10" s="9" t="n">
        <x:v>23</x:v>
      </x:c>
      <x:c r="G10" s="10" t="n">
        <x:v>1221.6</x:v>
      </x:c>
      <x:c r="H10" s="10" t="n">
        <x:v>53.1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</x:v>
      </x:c>
      <x:c r="F4" s="22" t="n">
        <x:v>8806.65</x:v>
      </x:c>
      <x:c r="G4" s="22" t="n">
        <x:v>8876.63</x:v>
      </x:c>
      <x:c r="H4" s="22" t="n">
        <x:v>66.8</x:v>
      </x:c>
      <x:c r="I4" s="23" t="n">
        <x:v>0.007587013992387925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</x:v>
      </x:c>
      <x:c r="E5" s="22" t="n">
        <x:v>8865.97</x:v>
      </x:c>
      <x:c r="F5" s="22" t="n">
        <x:v>8598.87</x:v>
      </x:c>
      <x:c r="G5" s="22" t="n">
        <x:v>8625.33</x:v>
      </x:c>
      <x:c r="H5" s="25" t="n">
        <x:v>-251.3</x:v>
      </x:c>
      <x:c r="I5" s="23" t="n">
        <x:v>-0.028310293433431277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</x:v>
      </x:c>
      <x:c r="E6" s="22" t="n">
        <x:v>8740.67</x:v>
      </x:c>
      <x:c r="F6" s="22" t="n">
        <x:v>8559.28</x:v>
      </x:c>
      <x:c r="G6" s="22" t="n">
        <x:v>8620.79</x:v>
      </x:c>
      <x:c r="H6" s="22" t="n">
        <x:v>-4.5</x:v>
      </x:c>
      <x:c r="I6" s="23" t="n">
        <x:v>-0.0005263566727300439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</x:v>
      </x:c>
      <x:c r="E7" s="22" t="n">
        <x:v>8694.8</x:v>
      </x:c>
      <x:c r="F7" s="22" t="n">
        <x:v>8432.9</x:v>
      </x:c>
      <x:c r="G7" s="22" t="n">
        <x:v>8472.6</x:v>
      </x:c>
      <x:c r="H7" s="22" t="n">
        <x:v>-148.2</x:v>
      </x:c>
      <x:c r="I7" s="23" t="n">
        <x:v>-0.01718983991026346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8436.39</x:v>
      </x:c>
      <x:c r="E8" s="22" t="n">
        <x:v>8489.48</x:v>
      </x:c>
      <x:c r="F8" s="22" t="n">
        <x:v>8261.4</x:v>
      </x:c>
      <x:c r="G8" s="22" t="n">
        <x:v>8301.8</x:v>
      </x:c>
      <x:c r="H8" s="25" t="n">
        <x:v>-170.8</x:v>
      </x:c>
      <x:c r="I8" s="23" t="n">
        <x:v>-0.020159101102377175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</x:v>
      </x:c>
      <x:c r="E9" s="22" t="n">
        <x:v>8328.96</x:v>
      </x:c>
      <x:c r="F9" s="22" t="n">
        <x:v>8117.86</x:v>
      </x:c>
      <x:c r="G9" s="22" t="n">
        <x:v>8117.86</x:v>
      </x:c>
      <x:c r="H9" s="25" t="n">
        <x:v>-183.9</x:v>
      </x:c>
      <x:c r="I9" s="23" t="n">
        <x:v>-0.02215664072851664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8161.86</x:v>
      </x:c>
      <x:c r="E10" s="22" t="n">
        <x:v>8312.62</x:v>
      </x:c>
      <x:c r="F10" s="22" t="n">
        <x:v>7978.81</x:v>
      </x:c>
      <x:c r="G10" s="22" t="n">
        <x:v>8300.08</x:v>
      </x:c>
      <x:c r="H10" s="25" t="n">
        <x:v>182.2</x:v>
      </x:c>
      <x:c r="I10" s="23" t="n">
        <x:v>0.022446802482427586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</x:v>
      </x:c>
      <x:c r="E11" s="22" t="n">
        <x:v>8438.19</x:v>
      </x:c>
      <x:c r="F11" s="22" t="n">
        <x:v>8198.31</x:v>
      </x:c>
      <x:c r="G11" s="22" t="n">
        <x:v>8198.31</x:v>
      </x:c>
      <x:c r="H11" s="22" t="n">
        <x:v>-101.8</x:v>
      </x:c>
      <x:c r="I11" s="23" t="n">
        <x:v>-0.012261327601661764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</x:v>
      </x:c>
      <x:c r="E12" s="22" t="n">
        <x:v>8171.5</x:v>
      </x:c>
      <x:c r="F12" s="22" t="n">
        <x:v>7769.29</x:v>
      </x:c>
      <x:c r="G12" s="22" t="n">
        <x:v>7787.85</x:v>
      </x:c>
      <x:c r="H12" s="25" t="n">
        <x:v>-410.5</x:v>
      </x:c>
      <x:c r="I12" s="23" t="n">
        <x:v>-0.050066416127226065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</x:v>
      </x:c>
      <x:c r="E13" s="22" t="n">
        <x:v>7934.1</x:v>
      </x:c>
      <x:c r="F13" s="22" t="n">
        <x:v>7657.67</x:v>
      </x:c>
      <x:c r="G13" s="22" t="n">
        <x:v>7925.12</x:v>
      </x:c>
      <x:c r="H13" s="22" t="n">
        <x:v>137.3</x:v>
      </x:c>
      <x:c r="I13" s="23" t="n">
        <x:v>0.017626174104534487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</x:v>
      </x:c>
      <x:c r="E14" s="22" t="n">
        <x:v>7979.08</x:v>
      </x:c>
      <x:c r="F14" s="22" t="n">
        <x:v>7783.22</x:v>
      </x:c>
      <x:c r="G14" s="22" t="n">
        <x:v>7817.83</x:v>
      </x:c>
      <x:c r="H14" s="22" t="n">
        <x:v>-107.3</x:v>
      </x:c>
      <x:c r="I14" s="23" t="n">
        <x:v>-0.013537965355729598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7713.14</x:v>
      </x:c>
      <x:c r="E15" s="22" t="n">
        <x:v>7836.39</x:v>
      </x:c>
      <x:c r="F15" s="22" t="n">
        <x:v>7591.42</x:v>
      </x:c>
      <x:c r="G15" s="22" t="n">
        <x:v>7631.76</x:v>
      </x:c>
      <x:c r="H15" s="25" t="n">
        <x:v>-186.1</x:v>
      </x:c>
      <x:c r="I15" s="23" t="n">
        <x:v>-0.023800722195289503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7599.39</x:v>
      </x:c>
      <x:c r="E16" s="32" t="n">
        <x:v>7605.61</x:v>
      </x:c>
      <x:c r="F16" s="32" t="n">
        <x:v>7163.31</x:v>
      </x:c>
      <x:c r="G16" s="32" t="n">
        <x:v>7168</x:v>
      </x:c>
      <x:c r="H16" s="25" t="n">
        <x:v>-463.8</x:v>
      </x:c>
      <x:c r="I16" s="33" t="n">
        <x:v>-0.06076711007683677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7256.27</x:v>
      </x:c>
      <x:c r="E17" s="22" t="n">
        <x:v>7298.12</x:v>
      </x:c>
      <x:c r="F17" s="22" t="n">
        <x:v>6824.14</x:v>
      </x:c>
      <x:c r="G17" s="22" t="n">
        <x:v>6965.38</x:v>
      </x:c>
      <x:c r="H17" s="25" t="n">
        <x:v>-202.6</x:v>
      </x:c>
      <x:c r="I17" s="23" t="n">
        <x:v>-0.028267299107142874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</x:v>
      </x:c>
      <x:c r="E18" s="22" t="n">
        <x:v>7264.34</x:v>
      </x:c>
      <x:c r="F18" s="22" t="n">
        <x:v>6714.19</x:v>
      </x:c>
      <x:c r="G18" s="22" t="n">
        <x:v>7259.86</x:v>
      </x:c>
      <x:c r="H18" s="25" t="n">
        <x:v>294.5</x:v>
      </x:c>
      <x:c r="I18" s="23" t="n">
        <x:v>0.042277664678739724</x:v>
      </x:c>
      <x:c r="J18" s="27" t="n">
        <x:f>ROUND(E18-F18,1)</x:f>
        <x:v>550.2</x:v>
      </x:c>
      <x:c r="K18" s="21" t="str">
        <x:v>中证1000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7196.86</x:v>
      </x:c>
      <x:c r="E19" s="22" t="n">
        <x:v>7302.45</x:v>
      </x:c>
      <x:c r="F19" s="22" t="n">
        <x:v>7118.66</x:v>
      </x:c>
      <x:c r="G19" s="22" t="n">
        <x:v>7158.76</x:v>
      </x:c>
      <x:c r="H19" s="22" t="n">
        <x:v>-101.1</x:v>
      </x:c>
      <x:c r="I19" s="23" t="n">
        <x:v>-0.013925888378012674</x:v>
      </x:c>
      <x:c r="J19" s="27" t="n">
        <x:f>ROUND(E19-F19,1)</x:f>
        <x:v>183.8</x:v>
      </x:c>
      <x:c r="K19" s="21" t="str">
        <x:v>中证1000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7169.54</x:v>
      </x:c>
      <x:c r="E20" s="22" t="n">
        <x:v>7247.14</x:v>
      </x:c>
      <x:c r="F20" s="22" t="n">
        <x:v>7113.5</x:v>
      </x:c>
      <x:c r="G20" s="22" t="n">
        <x:v>7195.5</x:v>
      </x:c>
      <x:c r="H20" s="22" t="n">
        <x:v>36.7</x:v>
      </x:c>
      <x:c r="I20" s="23" t="n">
        <x:v>0.005132173728411127</x:v>
      </x:c>
      <x:c r="J20" s="22" t="n">
        <x:f>ROUND(E20-F20,1)</x:f>
        <x:v>133.6</x:v>
      </x:c>
      <x:c r="K20" s="21" t="str">
        <x:v>中证1000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7109.25</x:v>
      </x:c>
      <x:c r="E21" s="22" t="n">
        <x:v>7174.55</x:v>
      </x:c>
      <x:c r="F21" s="22" t="n">
        <x:v>6995.69</x:v>
      </x:c>
      <x:c r="G21" s="22" t="n">
        <x:v>6995.69</x:v>
      </x:c>
      <x:c r="H21" s="25" t="n">
        <x:v>-199.8</x:v>
      </x:c>
      <x:c r="I21" s="23" t="n">
        <x:v>-0.027768744354110253</x:v>
      </x:c>
      <x:c r="J21" s="22" t="n">
        <x:f>ROUND(E21-F21,1)</x:f>
        <x:v>178.9</x:v>
      </x:c>
      <x:c r="K21" s="21" t="str">
        <x:v>中证1000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6981.16</x:v>
      </x:c>
      <x:c r="E22" s="22" t="n">
        <x:v>7228.78</x:v>
      </x:c>
      <x:c r="F22" s="22" t="n">
        <x:v>6972.28</x:v>
      </x:c>
      <x:c r="G22" s="22" t="n">
        <x:v>7228.78</x:v>
      </x:c>
      <x:c r="H22" s="25" t="n">
        <x:v>233.1</x:v>
      </x:c>
      <x:c r="I22" s="23" t="n">
        <x:v>0.03331908646609549</x:v>
      </x:c>
      <x:c r="J22" s="27" t="n">
        <x:f>ROUND(E22-F22,1)</x:f>
        <x:v>256.5</x:v>
      </x:c>
      <x:c r="K22" s="21" t="str">
        <x:v>中证1000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7135.73</x:v>
      </x:c>
      <x:c r="E23" s="22" t="n">
        <x:v>7189.18</x:v>
      </x:c>
      <x:c r="F23" s="22" t="n">
        <x:v>6992.94</x:v>
      </x:c>
      <x:c r="G23" s="22" t="n">
        <x:v>7026.28</x:v>
      </x:c>
      <x:c r="H23" s="25" t="n">
        <x:v>-202.5</x:v>
      </x:c>
      <x:c r="I23" s="23" t="n">
        <x:v>-0.028013025711115858</x:v>
      </x:c>
      <x:c r="J23" s="27" t="n">
        <x:f>ROUND(E23-F23,1)</x:f>
        <x:v>196.2</x:v>
      </x:c>
      <x:c r="K23" s="21" t="str">
        <x:v>中证1000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7020.22</x:v>
      </x:c>
      <x:c r="E24" s="22" t="n">
        <x:v>7132.35</x:v>
      </x:c>
      <x:c r="F24" s="22" t="n">
        <x:v>6897.39</x:v>
      </x:c>
      <x:c r="G24" s="22" t="n">
        <x:v>7095.19</x:v>
      </x:c>
      <x:c r="H24" s="22" t="n">
        <x:v>68.9</x:v>
      </x:c>
      <x:c r="I24" s="23" t="n">
        <x:v>0.009807465685967465</x:v>
      </x:c>
      <x:c r="J24" s="27" t="n">
        <x:f>ROUND(E24-F24,1)</x:f>
        <x:v>235</x:v>
      </x:c>
      <x:c r="K24" s="21" t="str">
        <x:v>中证1000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7053.09</x:v>
      </x:c>
      <x:c r="E25" s="22" t="n">
        <x:v>7121.52</x:v>
      </x:c>
      <x:c r="F25" s="22" t="n">
        <x:v>6841.75</x:v>
      </x:c>
      <x:c r="G25" s="22" t="n">
        <x:v>6900.66</x:v>
      </x:c>
      <x:c r="H25" s="25" t="n">
        <x:v>-194.5</x:v>
      </x:c>
      <x:c r="I25" s="23" t="n">
        <x:v>-0.027417165713673586</x:v>
      </x:c>
      <x:c r="J25" s="27" t="n">
        <x:f>ROUND(E25-F25,1)</x:f>
        <x:v>279.8</x:v>
      </x:c>
      <x:c r="K25" s="21" t="str">
        <x:v>中证1000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7082.75</x:v>
      </x:c>
      <x:c r="E26" s="22" t="n">
        <x:v>7218.06</x:v>
      </x:c>
      <x:c r="F26" s="22" t="n">
        <x:v>7071.05</x:v>
      </x:c>
      <x:c r="G26" s="22" t="n">
        <x:v>7075.51</x:v>
      </x:c>
      <x:c r="H26" s="25" t="n">
        <x:v>174.9</x:v>
      </x:c>
      <x:c r="I26" s="23" t="n">
        <x:v>0.02533815606043488</x:v>
      </x:c>
      <x:c r="J26" s="22" t="n">
        <x:f>ROUND(E26-F26,1)</x:f>
        <x:v>147</x:v>
      </x:c>
      <x:c r="K26" s="21" t="str">
        <x:v>中证1000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6057.6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263.4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</x:v>
      </x:c>
      <x:c r="E4" s="22" t="n">
        <x:v>9147.56</x:v>
      </x:c>
      <x:c r="F4" s="22" t="n">
        <x:v>8956.18</x:v>
      </x:c>
      <x:c r="G4" s="22" t="n">
        <x:v>9028.93</x:v>
      </x:c>
      <x:c r="H4" s="22" t="n">
        <x:v>-2.4</x:v>
      </x:c>
      <x:c r="I4" s="23" t="n">
        <x:v>-0.000271276371938578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</x:v>
      </x:c>
      <x:c r="E5" s="22" t="n">
        <x:v>8932.65</x:v>
      </x:c>
      <x:c r="F5" s="22" t="n">
        <x:v>8667.42</x:v>
      </x:c>
      <x:c r="G5" s="22" t="n">
        <x:v>8694.18</x:v>
      </x:c>
      <x:c r="H5" s="25" t="n">
        <x:v>-334.7</x:v>
      </x:c>
      <x:c r="I5" s="23" t="n">
        <x:v>-0.037075268055018706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8702.33</x:v>
      </x:c>
      <x:c r="E6" s="22" t="n">
        <x:v>8860.42</x:v>
      </x:c>
      <x:c r="F6" s="22" t="n">
        <x:v>8636.15</x:v>
      </x:c>
      <x:c r="G6" s="22" t="n">
        <x:v>8745.26</x:v>
      </x:c>
      <x:c r="H6" s="22" t="n">
        <x:v>51.1</x:v>
      </x:c>
      <x:c r="I6" s="23" t="n">
        <x:v>0.005875194670457606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8790.97</x:v>
      </x:c>
      <x:c r="E7" s="22" t="n">
        <x:v>8823.05</x:v>
      </x:c>
      <x:c r="F7" s="22" t="n">
        <x:v>8570.89</x:v>
      </x:c>
      <x:c r="G7" s="22" t="n">
        <x:v>8651.13</x:v>
      </x:c>
      <x:c r="H7" s="22" t="n">
        <x:v>-94.1</x:v>
      </x:c>
      <x:c r="I7" s="23" t="n">
        <x:v>-0.010763545051833856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8604.08</x:v>
      </x:c>
      <x:c r="E8" s="22" t="n">
        <x:v>8663.67</x:v>
      </x:c>
      <x:c r="F8" s="22" t="n">
        <x:v>8457.58</x:v>
      </x:c>
      <x:c r="G8" s="22" t="n">
        <x:v>8508.79</x:v>
      </x:c>
      <x:c r="H8" s="22" t="n">
        <x:v>-142.3</x:v>
      </x:c>
      <x:c r="I8" s="23" t="n">
        <x:v>-0.016453341933365784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8539.02</x:v>
      </x:c>
      <x:c r="E9" s="22" t="n">
        <x:v>8571.52</x:v>
      </x:c>
      <x:c r="F9" s="22" t="n">
        <x:v>8343.92</x:v>
      </x:c>
      <x:c r="G9" s="22" t="n">
        <x:v>8390.02</x:v>
      </x:c>
      <x:c r="H9" s="22" t="n">
        <x:v>-118.8</x:v>
      </x:c>
      <x:c r="I9" s="23" t="n">
        <x:v>-0.013958506438635832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8437.15</x:v>
      </x:c>
      <x:c r="E10" s="22" t="n">
        <x:v>8659.65</x:v>
      </x:c>
      <x:c r="F10" s="22" t="n">
        <x:v>8281.95</x:v>
      </x:c>
      <x:c r="G10" s="22" t="n">
        <x:v>8652.79</x:v>
      </x:c>
      <x:c r="H10" s="25" t="n">
        <x:v>262.8</x:v>
      </x:c>
      <x:c r="I10" s="23" t="n">
        <x:v>0.03131935323157764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</x:v>
      </x:c>
      <x:c r="E11" s="22" t="n">
        <x:v>8783.25</x:v>
      </x:c>
      <x:c r="F11" s="22" t="n">
        <x:v>8503.24</x:v>
      </x:c>
      <x:c r="G11" s="22" t="n">
        <x:v>8503.97</x:v>
      </x:c>
      <x:c r="H11" s="22" t="n">
        <x:v>-148.8</x:v>
      </x:c>
      <x:c r="I11" s="23" t="n">
        <x:v>-0.01719907682955457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</x:v>
      </x:c>
      <x:c r="E12" s="22" t="n">
        <x:v>8457.69</x:v>
      </x:c>
      <x:c r="F12" s="22" t="n">
        <x:v>8106.27</x:v>
      </x:c>
      <x:c r="G12" s="22" t="n">
        <x:v>8138.14</x:v>
      </x:c>
      <x:c r="H12" s="25" t="n">
        <x:v>-365.8</x:v>
      </x:c>
      <x:c r="I12" s="23" t="n">
        <x:v>-0.04301873125140365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8135.05</x:v>
      </x:c>
      <x:c r="E13" s="22" t="n">
        <x:v>8275.96</x:v>
      </x:c>
      <x:c r="F13" s="22" t="n">
        <x:v>7955.31</x:v>
      </x:c>
      <x:c r="G13" s="22" t="n">
        <x:v>8275.94</x:v>
      </x:c>
      <x:c r="H13" s="22" t="n">
        <x:v>137.8</x:v>
      </x:c>
      <x:c r="I13" s="23" t="n">
        <x:v>0.016932616052316662</x:v>
      </x:c>
      <x:c r="J13" s="27" t="n">
        <x:f>ROUND(E13-F13,1)</x:f>
        <x:v>320.6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</x:v>
      </x:c>
      <x:c r="E14" s="22" t="n">
        <x:v>8305.27</x:v>
      </x:c>
      <x:c r="F14" s="22" t="n">
        <x:v>8117.46</x:v>
      </x:c>
      <x:c r="G14" s="22" t="n">
        <x:v>8147.58</x:v>
      </x:c>
      <x:c r="H14" s="22" t="n">
        <x:v>-128.4</x:v>
      </x:c>
      <x:c r="I14" s="23" t="n">
        <x:v>-0.015510020613972664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8006.45</x:v>
      </x:c>
      <x:c r="E15" s="22" t="n">
        <x:v>8148.04</x:v>
      </x:c>
      <x:c r="F15" s="22" t="n">
        <x:v>7907.1</x:v>
      </x:c>
      <x:c r="G15" s="22" t="n">
        <x:v>7955.66</x:v>
      </x:c>
      <x:c r="H15" s="25" t="n">
        <x:v>-191.9</x:v>
      </x:c>
      <x:c r="I15" s="23" t="n">
        <x:v>-0.02355546063984648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7900.1</x:v>
      </x:c>
      <x:c r="E16" s="32" t="n">
        <x:v>7908.74</x:v>
      </x:c>
      <x:c r="F16" s="32" t="n">
        <x:v>7474.15</x:v>
      </x:c>
      <x:c r="G16" s="32" t="n">
        <x:v>7513.76</x:v>
      </x:c>
      <x:c r="H16" s="25" t="n">
        <x:v>-441.9</x:v>
      </x:c>
      <x:c r="I16" s="33" t="n">
        <x:v>-0.05554536015867939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7597.77</x:v>
      </x:c>
      <x:c r="E17" s="22" t="n">
        <x:v>7626.49</x:v>
      </x:c>
      <x:c r="F17" s="22" t="n">
        <x:v>7253.52</x:v>
      </x:c>
      <x:c r="G17" s="22" t="n">
        <x:v>7411.31</x:v>
      </x:c>
      <x:c r="H17" s="22" t="n">
        <x:v>-102.4</x:v>
      </x:c>
      <x:c r="I17" s="23" t="n">
        <x:v>-0.013634984348714907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</x:v>
      </x:c>
      <x:c r="E18" s="22" t="n">
        <x:v>7802.75</x:v>
      </x:c>
      <x:c r="F18" s="22" t="n">
        <x:v>7270.95</x:v>
      </x:c>
      <x:c r="G18" s="22" t="n">
        <x:v>7800.61</x:v>
      </x:c>
      <x:c r="H18" s="25" t="n">
        <x:v>389.3</x:v>
      </x:c>
      <x:c r="I18" s="23" t="n">
        <x:v>0.0525278257150219</x:v>
      </x:c>
      <x:c r="J18" s="27" t="n">
        <x:f>ROUND(E18-F18,1)</x:f>
        <x:v>531.8</x:v>
      </x:c>
      <x:c r="K18" s="21" t="str">
        <x:v>中证500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7741.91</x:v>
      </x:c>
      <x:c r="E19" s="22" t="n">
        <x:v>7889.45</x:v>
      </x:c>
      <x:c r="F19" s="22" t="n">
        <x:v>7701.22</x:v>
      </x:c>
      <x:c r="G19" s="22" t="n">
        <x:v>7751.66</x:v>
      </x:c>
      <x:c r="H19" s="22" t="n">
        <x:v>-48.9</x:v>
      </x:c>
      <x:c r="I19" s="23" t="n">
        <x:v>-0.006275150276709107</x:v>
      </x:c>
      <x:c r="J19" s="27" t="n">
        <x:f>ROUND(E19-F19,1)</x:f>
        <x:v>188.2</x:v>
      </x:c>
      <x:c r="K19" s="21" t="str">
        <x:v>中证500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7750.85</x:v>
      </x:c>
      <x:c r="E20" s="22" t="n">
        <x:v>7795.35</x:v>
      </x:c>
      <x:c r="F20" s="22" t="n">
        <x:v>7659</x:v>
      </x:c>
      <x:c r="G20" s="22" t="n">
        <x:v>7734.31</x:v>
      </x:c>
      <x:c r="H20" s="22" t="n">
        <x:v>-17.3</x:v>
      </x:c>
      <x:c r="I20" s="23" t="n">
        <x:v>-0.0022382302629371242</x:v>
      </x:c>
      <x:c r="J20" s="22" t="n">
        <x:f>ROUND(E20-F20,1)</x:f>
        <x:v>136.4</x:v>
      </x:c>
      <x:c r="K20" s="21" t="str">
        <x:v>中证500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7625.2</x:v>
      </x:c>
      <x:c r="E21" s="22" t="n">
        <x:v>7703.6</x:v>
      </x:c>
      <x:c r="F21" s="22" t="n">
        <x:v>7532.67</x:v>
      </x:c>
      <x:c r="G21" s="22" t="n">
        <x:v>7532.7</x:v>
      </x:c>
      <x:c r="H21" s="25" t="n">
        <x:v>-201.6</x:v>
      </x:c>
      <x:c r="I21" s="23" t="n">
        <x:v>-0.026066966542587555</x:v>
      </x:c>
      <x:c r="J21" s="27" t="n">
        <x:f>ROUND(E21-F21,1)</x:f>
        <x:v>170.9</x:v>
      </x:c>
      <x:c r="K21" s="21" t="str">
        <x:v>中证500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7512.4</x:v>
      </x:c>
      <x:c r="E22" s="22" t="n">
        <x:v>7721.4</x:v>
      </x:c>
      <x:c r="F22" s="22" t="n">
        <x:v>7466.54</x:v>
      </x:c>
      <x:c r="G22" s="22" t="n">
        <x:v>7720.6</x:v>
      </x:c>
      <x:c r="H22" s="25" t="n">
        <x:v>187.9</x:v>
      </x:c>
      <x:c r="I22" s="23" t="n">
        <x:v>0.024944574986392798</x:v>
      </x:c>
      <x:c r="J22" s="27" t="n">
        <x:f>ROUND(E22-F22,1)</x:f>
        <x:v>254.9</x:v>
      </x:c>
      <x:c r="K22" s="21" t="str">
        <x:v>中证500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7589.76</x:v>
      </x:c>
      <x:c r="E23" s="22" t="n">
        <x:v>7646.02</x:v>
      </x:c>
      <x:c r="F23" s="22" t="n">
        <x:v>7412.63</x:v>
      </x:c>
      <x:c r="G23" s="22" t="n">
        <x:v>7443.43</x:v>
      </x:c>
      <x:c r="H23" s="25" t="n">
        <x:v>-277.2</x:v>
      </x:c>
      <x:c r="I23" s="23" t="n">
        <x:v>-0.03590005958086162</x:v>
      </x:c>
      <x:c r="J23" s="27" t="n">
        <x:f>ROUND(E23-F23,1)</x:f>
        <x:v>233.4</x:v>
      </x:c>
      <x:c r="K23" s="21" t="str">
        <x:v>中证500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7444.8</x:v>
      </x:c>
      <x:c r="E24" s="22" t="n">
        <x:v>7572.81</x:v>
      </x:c>
      <x:c r="F24" s="22" t="n">
        <x:v>7325.36</x:v>
      </x:c>
      <x:c r="G24" s="22" t="n">
        <x:v>7524.51</x:v>
      </x:c>
      <x:c r="H24" s="22" t="n">
        <x:v>81.1</x:v>
      </x:c>
      <x:c r="I24" s="23" t="n">
        <x:v>0.010892827634571667</x:v>
      </x:c>
      <x:c r="J24" s="27" t="n">
        <x:f>ROUND(E24-F24,1)</x:f>
        <x:v>247.5</x:v>
      </x:c>
      <x:c r="K24" s="21" t="str">
        <x:v>中证500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7477.31</x:v>
      </x:c>
      <x:c r="E25" s="22" t="n">
        <x:v>7536.49</x:v>
      </x:c>
      <x:c r="F25" s="22" t="n">
        <x:v>7221.95</x:v>
      </x:c>
      <x:c r="G25" s="22" t="n">
        <x:v>7309.58</x:v>
      </x:c>
      <x:c r="H25" s="25" t="n">
        <x:v>-214.9</x:v>
      </x:c>
      <x:c r="I25" s="23" t="n">
        <x:v>-0.028563986226345706</x:v>
      </x:c>
      <x:c r="J25" s="27" t="n">
        <x:f>ROUND(E25-F25,1)</x:f>
        <x:v>314.5</x:v>
      </x:c>
      <x:c r="K25" s="21" t="str">
        <x:v>中证500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7537.85</x:v>
      </x:c>
      <x:c r="E26" s="22" t="n">
        <x:v>7638.78</x:v>
      </x:c>
      <x:c r="F26" s="22" t="n">
        <x:v>7487.43</x:v>
      </x:c>
      <x:c r="G26" s="22" t="n">
        <x:v>7493.99</x:v>
      </x:c>
      <x:c r="H26" s="25" t="n">
        <x:v>184.4</x:v>
      </x:c>
      <x:c r="I26" s="23" t="n">
        <x:v>0.025228535702461752</x:v>
      </x:c>
      <x:c r="J26" s="22" t="n">
        <x:f>ROUND(E26-F26,1)</x:f>
        <x:v>151.3</x:v>
      </x:c>
      <x:c r="K26" s="21" t="str">
        <x:v>中证500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6161.699999999999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267.9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</x:v>
      </x:c>
      <x:c r="F4" s="22" t="n">
        <x:v>4087.54</x:v>
      </x:c>
      <x:c r="G4" s="22" t="n">
        <x:v>4112.45</x:v>
      </x:c>
      <x:c r="H4" s="22" t="n">
        <x:v>18</x:v>
      </x:c>
      <x:c r="I4" s="23" t="n">
        <x:v>0.004408460336068787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4054.09</x:v>
      </x:c>
      <x:c r="E5" s="22" t="n">
        <x:v>4093.68</x:v>
      </x:c>
      <x:c r="F5" s="22" t="n">
        <x:v>4019.21</x:v>
      </x:c>
      <x:c r="G5" s="22" t="n">
        <x:v>4028.9</x:v>
      </x:c>
      <x:c r="H5" s="22" t="n">
        <x:v>-83.5</x:v>
      </x:c>
      <x:c r="I5" s="23" t="n">
        <x:v>-0.02031635642986529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4031.34</x:v>
      </x:c>
      <x:c r="E6" s="22" t="n">
        <x:v>4073.88</x:v>
      </x:c>
      <x:c r="F6" s="22" t="n">
        <x:v>4027.26</x:v>
      </x:c>
      <x:c r="G6" s="22" t="n">
        <x:v>4043.64</x:v>
      </x:c>
      <x:c r="H6" s="22" t="n">
        <x:v>14.7</x:v>
      </x:c>
      <x:c r="I6" s="23" t="n">
        <x:v>0.0036585668544764083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</x:v>
      </x:c>
      <x:c r="E7" s="22" t="n">
        <x:v>4060.07</x:v>
      </x:c>
      <x:c r="F7" s="22" t="n">
        <x:v>4005.41</x:v>
      </x:c>
      <x:c r="G7" s="22" t="n">
        <x:v>4041.24</x:v>
      </x:c>
      <x:c r="H7" s="22" t="n">
        <x:v>-2.4</x:v>
      </x:c>
      <x:c r="I7" s="23" t="n">
        <x:v>-0.0005935246461109545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</x:v>
      </x:c>
      <x:c r="E8" s="22" t="n">
        <x:v>4028.51</x:v>
      </x:c>
      <x:c r="F8" s="22" t="n">
        <x:v>3971.71</x:v>
      </x:c>
      <x:c r="G8" s="22" t="n">
        <x:v>3990.24</x:v>
      </x:c>
      <x:c r="H8" s="22" t="n">
        <x:v>-51</x:v>
      </x:c>
      <x:c r="I8" s="23" t="n">
        <x:v>-0.012619888944977231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3996.81</x:v>
      </x:c>
      <x:c r="E9" s="22" t="n">
        <x:v>4016.03</x:v>
      </x:c>
      <x:c r="F9" s="22" t="n">
        <x:v>3967.91</x:v>
      </x:c>
      <x:c r="G9" s="22" t="n">
        <x:v>3970.88</x:v>
      </x:c>
      <x:c r="H9" s="22" t="n">
        <x:v>-19.4</x:v>
      </x:c>
      <x:c r="I9" s="23" t="n">
        <x:v>-0.004851838485905535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3977.55</x:v>
      </x:c>
      <x:c r="E10" s="22" t="n">
        <x:v>4040.54</x:v>
      </x:c>
      <x:c r="F10" s="22" t="n">
        <x:v>3938.88</x:v>
      </x:c>
      <x:c r="G10" s="22" t="n">
        <x:v>4036.59</x:v>
      </x:c>
      <x:c r="H10" s="22" t="n">
        <x:v>65.7</x:v>
      </x:c>
      <x:c r="I10" s="23" t="n">
        <x:v>0.016547969215891634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4031.54</x:v>
      </x:c>
      <x:c r="E11" s="22" t="n">
        <x:v>4074.83</x:v>
      </x:c>
      <x:c r="F11" s="22" t="n">
        <x:v>3995.81</x:v>
      </x:c>
      <x:c r="G11" s="22" t="n">
        <x:v>3996.16</x:v>
      </x:c>
      <x:c r="H11" s="22" t="n">
        <x:v>-40.4</x:v>
      </x:c>
      <x:c r="I11" s="23" t="n">
        <x:v>-0.010015879740077671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</x:v>
      </x:c>
      <x:c r="E12" s="22" t="n">
        <x:v>3983.05</x:v>
      </x:c>
      <x:c r="F12" s="22" t="n">
        <x:v>3900.67</x:v>
      </x:c>
      <x:c r="G12" s="22" t="n">
        <x:v>3913.79</x:v>
      </x:c>
      <x:c r="H12" s="22" t="n">
        <x:v>-82.4</x:v>
      </x:c>
      <x:c r="I12" s="23" t="n">
        <x:v>-0.020612287796284434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</x:v>
      </x:c>
      <x:c r="E13" s="22" t="n">
        <x:v>3967.13</x:v>
      </x:c>
      <x:c r="F13" s="22" t="n">
        <x:v>3869.3</x:v>
      </x:c>
      <x:c r="G13" s="22" t="n">
        <x:v>3967.13</x:v>
      </x:c>
      <x:c r="H13" s="22" t="n">
        <x:v>53.3</x:v>
      </x:c>
      <x:c r="I13" s="23" t="n">
        <x:v>0.013628733273885363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3963.73</x:v>
      </x:c>
      <x:c r="E14" s="22" t="n">
        <x:v>3981.67</x:v>
      </x:c>
      <x:c r="F14" s="22" t="n">
        <x:v>3943.7</x:v>
      </x:c>
      <x:c r="G14" s="22" t="n">
        <x:v>3955.58</x:v>
      </x:c>
      <x:c r="H14" s="22" t="n">
        <x:v>-11.6</x:v>
      </x:c>
      <x:c r="I14" s="23" t="n">
        <x:v>-0.00291142463191274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</x:v>
      </x:c>
      <x:c r="E15" s="22" t="n">
        <x:v>3940.45</x:v>
      </x:c>
      <x:c r="F15" s="22" t="n">
        <x:v>3867.6</x:v>
      </x:c>
      <x:c r="G15" s="22" t="n">
        <x:v>3882.41</x:v>
      </x:c>
      <x:c r="H15" s="22" t="n">
        <x:v>-73.2</x:v>
      </x:c>
      <x:c r="I15" s="23" t="n">
        <x:v>-0.018497919394880213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3865.32</x:v>
      </x:c>
      <x:c r="E16" s="32" t="n">
        <x:v>3869.21</x:v>
      </x:c>
      <x:c r="F16" s="32" t="n">
        <x:v>3745.17</x:v>
      </x:c>
      <x:c r="G16" s="32" t="n">
        <x:v>3764.15</x:v>
      </x:c>
      <x:c r="H16" s="32" t="n">
        <x:v>-118.3</x:v>
      </x:c>
      <x:c r="I16" s="33" t="n">
        <x:v>-0.030460461414430706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</x:v>
      </x:c>
      <x:c r="E17" s="22" t="n">
        <x:v>3831.66</x:v>
      </x:c>
      <x:c r="F17" s="22" t="n">
        <x:v>3741.11</x:v>
      </x:c>
      <x:c r="G17" s="22" t="n">
        <x:v>3796.28</x:v>
      </x:c>
      <x:c r="H17" s="22" t="n">
        <x:v>32.1</x:v>
      </x:c>
      <x:c r="I17" s="23" t="n">
        <x:v>0.008535791612980459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</x:v>
      </x:c>
      <x:c r="E18" s="22" t="n">
        <x:v>3864.6</x:v>
      </x:c>
      <x:c r="F18" s="22" t="n">
        <x:v>3743.36</x:v>
      </x:c>
      <x:c r="G18" s="22" t="n">
        <x:v>3864.37</x:v>
      </x:c>
      <x:c r="H18" s="22" t="n">
        <x:v>68.1</x:v>
      </x:c>
      <x:c r="I18" s="23" t="n">
        <x:v>0.017935979432496918</x:v>
      </x:c>
      <x:c r="J18" s="27" t="n">
        <x:f>ROUND(E18-F18,1)</x:f>
        <x:v>121.2</x:v>
      </x:c>
      <x:c r="K18" s="21" t="str">
        <x:v>上证指数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3839.67</x:v>
      </x:c>
      <x:c r="E19" s="22" t="n">
        <x:v>3884.44</x:v>
      </x:c>
      <x:c r="F19" s="22" t="n">
        <x:v>3839.67</x:v>
      </x:c>
      <x:c r="G19" s="22" t="n">
        <x:v>3867.03</x:v>
      </x:c>
      <x:c r="H19" s="22" t="n">
        <x:v>2.7</x:v>
      </x:c>
      <x:c r="I19" s="23" t="n">
        <x:v>0.0006883398846384559</x:v>
      </x:c>
      <x:c r="J19" s="22" t="n">
        <x:f>ROUND(E19-F19,1)</x:f>
        <x:v>44.8</x:v>
      </x:c>
      <x:c r="K19" s="21" t="str">
        <x:v>上证指数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3868.09</x:v>
      </x:c>
      <x:c r="E20" s="22" t="n">
        <x:v>3878.83</x:v>
      </x:c>
      <x:c r="F20" s="22" t="n">
        <x:v>3851.71</x:v>
      </x:c>
      <x:c r="G20" s="22" t="n">
        <x:v>3876.78</x:v>
      </x:c>
      <x:c r="H20" s="22" t="n">
        <x:v>9.8</x:v>
      </x:c>
      <x:c r="I20" s="23" t="n">
        <x:v>0.002521314807487851</x:v>
      </x:c>
      <x:c r="J20" s="22" t="n">
        <x:f>ROUND(E20-F20,1)</x:f>
        <x:v>27.1</x:v>
      </x:c>
      <x:c r="K20" s="21" t="str">
        <x:v>上证指数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3853.63</x:v>
      </x:c>
      <x:c r="E21" s="22" t="n">
        <x:v>3861.04</x:v>
      </x:c>
      <x:c r="F21" s="22" t="n">
        <x:v>3808.64</x:v>
      </x:c>
      <x:c r="G21" s="22" t="n">
        <x:v>3814.2</x:v>
      </x:c>
      <x:c r="H21" s="22" t="n">
        <x:v>-62.6</x:v>
      </x:c>
      <x:c r="I21" s="23" t="n">
        <x:v>-0.01614226239301697</x:v>
      </x:c>
      <x:c r="J21" s="27" t="n">
        <x:f>ROUND(E21-F21,1)</x:f>
        <x:v>52.4</x:v>
      </x:c>
      <x:c r="K21" s="21" t="str">
        <x:v>上证指数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3808.9</x:v>
      </x:c>
      <x:c r="E22" s="22" t="n">
        <x:v>3858.31</x:v>
      </x:c>
      <x:c r="F22" s="22" t="n">
        <x:v>3793.45</x:v>
      </x:c>
      <x:c r="G22" s="22" t="n">
        <x:v>3858.25</x:v>
      </x:c>
      <x:c r="H22" s="22" t="n">
        <x:v>44.1</x:v>
      </x:c>
      <x:c r="I22" s="23" t="n">
        <x:v>0.011548948665513148</x:v>
      </x:c>
      <x:c r="J22" s="27" t="n">
        <x:f>ROUND(E22-F22,1)</x:f>
        <x:v>64.9</x:v>
      </x:c>
      <x:c r="K22" s="21" t="str">
        <x:v>上证指数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3823.13</x:v>
      </x:c>
      <x:c r="E23" s="22" t="n">
        <x:v>3844.01</x:v>
      </x:c>
      <x:c r="F23" s="22" t="n">
        <x:v>3797.37</x:v>
      </x:c>
      <x:c r="G23" s="22" t="n">
        <x:v>3813.31</x:v>
      </x:c>
      <x:c r="H23" s="22" t="n">
        <x:v>-44.9</x:v>
      </x:c>
      <x:c r="I23" s="23" t="n">
        <x:v>-0.01164776777036225</x:v>
      </x:c>
      <x:c r="J23" s="22" t="n">
        <x:f>ROUND(E23-F23,1)</x:f>
        <x:v>46.6</x:v>
      </x:c>
      <x:c r="K23" s="21" t="str">
        <x:v>上证指数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3823.29</x:v>
      </x:c>
      <x:c r="E24" s="22" t="n">
        <x:v>3845.77</x:v>
      </x:c>
      <x:c r="F24" s="22" t="n">
        <x:v>3782.48</x:v>
      </x:c>
      <x:c r="G24" s="22" t="n">
        <x:v>3828.47</x:v>
      </x:c>
      <x:c r="H24" s="22" t="n">
        <x:v>15.2</x:v>
      </x:c>
      <x:c r="I24" s="23" t="n">
        <x:v>0.003975548801435025</x:v>
      </x:c>
      <x:c r="J24" s="27" t="n">
        <x:f>ROUND(E24-F24,1)</x:f>
        <x:v>63.3</x:v>
      </x:c>
      <x:c r="K24" s="21" t="str">
        <x:v>上证指数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3812.11</x:v>
      </x:c>
      <x:c r="E25" s="22" t="n">
        <x:v>3839.34</x:v>
      </x:c>
      <x:c r="F25" s="22" t="n">
        <x:v>3767.5</x:v>
      </x:c>
      <x:c r="G25" s="22" t="n">
        <x:v>3804.69</x:v>
      </x:c>
      <x:c r="H25" s="22" t="n">
        <x:v>-23.8</x:v>
      </x:c>
      <x:c r="I25" s="23" t="n">
        <x:v>-0.0062113585844997266</x:v>
      </x:c>
      <x:c r="J25" s="27" t="n">
        <x:f>ROUND(E25-F25,1)</x:f>
        <x:v>71.8</x:v>
      </x:c>
      <x:c r="K25" s="21" t="str">
        <x:v>上证指数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3833.54</x:v>
      </x:c>
      <x:c r="E26" s="22" t="n">
        <x:v>3847.09</x:v>
      </x:c>
      <x:c r="F26" s="22" t="n">
        <x:v>3822.37</x:v>
      </x:c>
      <x:c r="G26" s="22" t="n">
        <x:v>3832.26</x:v>
      </x:c>
      <x:c r="H26" s="22" t="n">
        <x:v>27.6</x:v>
      </x:c>
      <x:c r="I26" s="23" t="n">
        <x:v>0.007246319673876123</x:v>
      </x:c>
      <x:c r="J26" s="22" t="n">
        <x:f>ROUND(E26-F26,1)</x:f>
        <x:v>24.7</x:v>
      </x:c>
      <x:c r="K26" s="21" t="str">
        <x:v>上证指数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1539.4999999999998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66.9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7148</x:v>
      </x:c>
      <x:c r="E19" s="22" t="n">
        <x:v>7194.6</x:v>
      </x:c>
      <x:c r="F19" s="22" t="n">
        <x:v>6985.8</x:v>
      </x:c>
      <x:c r="G19" s="22" t="n">
        <x:v>7028.8</x:v>
      </x:c>
      <x:c r="H19" s="22" t="n">
        <x:v>-135.6</x:v>
      </x:c>
      <x:c r="I19" s="23" t="n">
        <x:v>-0.018926916420076934</x:v>
      </x:c>
      <x:c r="J19" s="27" t="n">
        <x:f>ROUND(E19-F19,1)</x:f>
        <x:v>208.8</x:v>
      </x:c>
      <x:c r="K19" s="21" t="str">
        <x:v>IM2609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7061</x:v>
      </x:c>
      <x:c r="E20" s="22" t="n">
        <x:v>7159.6</x:v>
      </x:c>
      <x:c r="F20" s="22" t="n">
        <x:v>7000.6</x:v>
      </x:c>
      <x:c r="G20" s="22" t="n">
        <x:v>7071.6</x:v>
      </x:c>
      <x:c r="H20" s="22" t="n">
        <x:v>42.8</x:v>
      </x:c>
      <x:c r="I20" s="23" t="n">
        <x:v>0.0060892328704758025</x:v>
      </x:c>
      <x:c r="J20" s="22" t="n">
        <x:f>ROUND(E20-F20,1)</x:f>
        <x:v>159</x:v>
      </x:c>
      <x:c r="K20" s="21" t="str">
        <x:v>IM2609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7000</x:v>
      </x:c>
      <x:c r="E21" s="22" t="n">
        <x:v>7054.8</x:v>
      </x:c>
      <x:c r="F21" s="22" t="n">
        <x:v>6866</x:v>
      </x:c>
      <x:c r="G21" s="22" t="n">
        <x:v>6880.2</x:v>
      </x:c>
      <x:c r="H21" s="25" t="n">
        <x:v>-191.4</x:v>
      </x:c>
      <x:c r="I21" s="23" t="n">
        <x:v>-0.02706601052095714</x:v>
      </x:c>
      <x:c r="J21" s="22" t="n">
        <x:f>ROUND(E21-F21,1)</x:f>
        <x:v>188.8</x:v>
      </x:c>
      <x:c r="K21" s="21" t="str">
        <x:v>IM2609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6880.4</x:v>
      </x:c>
      <x:c r="E22" s="22" t="n">
        <x:v>7155</x:v>
      </x:c>
      <x:c r="F22" s="22" t="n">
        <x:v>6880.4</x:v>
      </x:c>
      <x:c r="G22" s="22" t="n">
        <x:v>7148.8</x:v>
      </x:c>
      <x:c r="H22" s="25" t="n">
        <x:v>268.6</x:v>
      </x:c>
      <x:c r="I22" s="23" t="n">
        <x:v>0.039039562803407035</x:v>
      </x:c>
      <x:c r="J22" s="27" t="n">
        <x:f>ROUND(E22-F22,1)</x:f>
        <x:v>274.6</x:v>
      </x:c>
      <x:c r="K22" s="21" t="str">
        <x:v>IM2609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7020</x:v>
      </x:c>
      <x:c r="E23" s="22" t="n">
        <x:v>7075.6</x:v>
      </x:c>
      <x:c r="F23" s="22" t="n">
        <x:v>6888.8</x:v>
      </x:c>
      <x:c r="G23" s="22" t="n">
        <x:v>6943.2</x:v>
      </x:c>
      <x:c r="H23" s="25" t="n">
        <x:v>-205.6</x:v>
      </x:c>
      <x:c r="I23" s="23" t="n">
        <x:v>-0.02876007162041183</x:v>
      </x:c>
      <x:c r="J23" s="22" t="n">
        <x:f>ROUND(E23-F23,1)</x:f>
        <x:v>186.8</x:v>
      </x:c>
      <x:c r="K23" s="21" t="str">
        <x:v>IM2609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6966</x:v>
      </x:c>
      <x:c r="E24" s="22" t="n">
        <x:v>7081</x:v>
      </x:c>
      <x:c r="F24" s="22" t="n">
        <x:v>6825</x:v>
      </x:c>
      <x:c r="G24" s="22" t="n">
        <x:v>7047.2</x:v>
      </x:c>
      <x:c r="H24" s="22" t="n">
        <x:v>104</x:v>
      </x:c>
      <x:c r="I24" s="23" t="n">
        <x:v>0.014978684180205093</x:v>
      </x:c>
      <x:c r="J24" s="27" t="n">
        <x:f>ROUND(E24-F24,1)</x:f>
        <x:v>256</x:v>
      </x:c>
      <x:c r="K24" s="21" t="str">
        <x:v>IM2609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7033.4</x:v>
      </x:c>
      <x:c r="E25" s="22" t="n">
        <x:v>7088</x:v>
      </x:c>
      <x:c r="F25" s="22" t="n">
        <x:v>6757.6</x:v>
      </x:c>
      <x:c r="G25" s="22" t="n">
        <x:v>6845.2</x:v>
      </x:c>
      <x:c r="H25" s="25" t="n">
        <x:v>-202</x:v>
      </x:c>
      <x:c r="I25" s="23" t="n">
        <x:v>-0.028663866500170276</x:v>
      </x:c>
      <x:c r="J25" s="27" t="n">
        <x:f>ROUND(E25-F25,1)</x:f>
        <x:v>330.4</x:v>
      </x:c>
      <x:c r="K25" s="21" t="str">
        <x:v>IM2609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7110</x:v>
      </x:c>
      <x:c r="E26" s="22" t="n">
        <x:v>7205</x:v>
      </x:c>
      <x:c r="F26" s="22" t="n">
        <x:v>6986</x:v>
      </x:c>
      <x:c r="G26" s="22" t="n">
        <x:v>6987.8</x:v>
      </x:c>
      <x:c r="H26" s="22" t="n">
        <x:v>142.6</x:v>
      </x:c>
      <x:c r="I26" s="23" t="n">
        <x:v>0.020832115935254025</x:v>
      </x:c>
      <x:c r="J26" s="27" t="n">
        <x:f>ROUND(E26-F26,1)</x:f>
        <x:v>219</x:v>
      </x:c>
      <x:c r="K26" s="21" t="str">
        <x:v>IM2609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6087.200000000001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264.7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7674.8</x:v>
      </x:c>
      <x:c r="E19" s="22" t="n">
        <x:v>7765.6</x:v>
      </x:c>
      <x:c r="F19" s="22" t="n">
        <x:v>7583.8</x:v>
      </x:c>
      <x:c r="G19" s="22" t="n">
        <x:v>7611</x:v>
      </x:c>
      <x:c r="H19" s="22" t="n">
        <x:v>-74.8</x:v>
      </x:c>
      <x:c r="I19" s="23" t="n">
        <x:v>-0.009732233469515239</x:v>
      </x:c>
      <x:c r="J19" s="27" t="n">
        <x:f>ROUND(E19-F19,1)</x:f>
        <x:v>181.8</x:v>
      </x:c>
      <x:c r="K19" s="21" t="str">
        <x:v>IC2609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7675</x:v>
      </x:c>
      <x:c r="E20" s="22" t="n">
        <x:v>7693</x:v>
      </x:c>
      <x:c r="F20" s="22" t="n">
        <x:v>7538</x:v>
      </x:c>
      <x:c r="G20" s="22" t="n">
        <x:v>7602.6</x:v>
      </x:c>
      <x:c r="H20" s="22" t="n">
        <x:v>-8.4</x:v>
      </x:c>
      <x:c r="I20" s="23" t="n">
        <x:v>-0.0011036657469452038</x:v>
      </x:c>
      <x:c r="J20" s="27" t="n">
        <x:f>ROUND(E20-F20,1)</x:f>
        <x:v>155</x:v>
      </x:c>
      <x:c r="K20" s="21" t="str">
        <x:v>IC2609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7520</x:v>
      </x:c>
      <x:c r="E21" s="22" t="n">
        <x:v>7596</x:v>
      </x:c>
      <x:c r="F21" s="22" t="n">
        <x:v>7410.6</x:v>
      </x:c>
      <x:c r="G21" s="22" t="n">
        <x:v>7416</x:v>
      </x:c>
      <x:c r="H21" s="25" t="n">
        <x:v>-186.6</x:v>
      </x:c>
      <x:c r="I21" s="23" t="n">
        <x:v>-0.024544234867019177</x:v>
      </x:c>
      <x:c r="J21" s="27" t="n">
        <x:f>ROUND(E21-F21,1)</x:f>
        <x:v>185.4</x:v>
      </x:c>
      <x:c r="K21" s="21" t="str">
        <x:v>IC2609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7447</x:v>
      </x:c>
      <x:c r="E22" s="22" t="n">
        <x:v>7666.6</x:v>
      </x:c>
      <x:c r="F22" s="22" t="n">
        <x:v>7394.2</x:v>
      </x:c>
      <x:c r="G22" s="22" t="n">
        <x:v>7647</x:v>
      </x:c>
      <x:c r="H22" s="25" t="n">
        <x:v>231</x:v>
      </x:c>
      <x:c r="I22" s="23" t="n">
        <x:v>0.03114886731391575</x:v>
      </x:c>
      <x:c r="J22" s="27" t="n">
        <x:f>ROUND(E22-F22,1)</x:f>
        <x:v>272.4</x:v>
      </x:c>
      <x:c r="K22" s="21" t="str">
        <x:v>IC2609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7489</x:v>
      </x:c>
      <x:c r="E23" s="22" t="n">
        <x:v>7535.8</x:v>
      </x:c>
      <x:c r="F23" s="22" t="n">
        <x:v>7285.2</x:v>
      </x:c>
      <x:c r="G23" s="22" t="n">
        <x:v>7352.4</x:v>
      </x:c>
      <x:c r="H23" s="25" t="n">
        <x:v>-294.6</x:v>
      </x:c>
      <x:c r="I23" s="23" t="n">
        <x:v>-0.03852491173009032</x:v>
      </x:c>
      <x:c r="J23" s="27" t="n">
        <x:f>ROUND(E23-F23,1)</x:f>
        <x:v>250.6</x:v>
      </x:c>
      <x:c r="K23" s="21" t="str">
        <x:v>IC2609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7380</x:v>
      </x:c>
      <x:c r="E24" s="22" t="n">
        <x:v>7514.8</x:v>
      </x:c>
      <x:c r="F24" s="22" t="n">
        <x:v>7260.6</x:v>
      </x:c>
      <x:c r="G24" s="22" t="n">
        <x:v>7454.2</x:v>
      </x:c>
      <x:c r="H24" s="22" t="n">
        <x:v>101.8</x:v>
      </x:c>
      <x:c r="I24" s="23" t="n">
        <x:v>0.013845819052282327</x:v>
      </x:c>
      <x:c r="J24" s="27" t="n">
        <x:f>ROUND(E24-F24,1)</x:f>
        <x:v>254.2</x:v>
      </x:c>
      <x:c r="K24" s="21" t="str">
        <x:v>IC2609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7405</x:v>
      </x:c>
      <x:c r="E25" s="22" t="n">
        <x:v>7487.6</x:v>
      </x:c>
      <x:c r="F25" s="22" t="n">
        <x:v>7106</x:v>
      </x:c>
      <x:c r="G25" s="22" t="n">
        <x:v>7245.6</x:v>
      </x:c>
      <x:c r="H25" s="25" t="n">
        <x:v>-208.6</x:v>
      </x:c>
      <x:c r="I25" s="23" t="n">
        <x:v>-0.027984223659145102</x:v>
      </x:c>
      <x:c r="J25" s="27" t="n">
        <x:f>ROUND(E25-F25,1)</x:f>
        <x:v>381.6</x:v>
      </x:c>
      <x:c r="K25" s="21" t="str">
        <x:v>IC2609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7514.8</x:v>
      </x:c>
      <x:c r="E26" s="22" t="n">
        <x:v>7611.8</x:v>
      </x:c>
      <x:c r="F26" s="22" t="n">
        <x:v>7389.6</x:v>
      </x:c>
      <x:c r="G26" s="22" t="n">
        <x:v>7395</x:v>
      </x:c>
      <x:c r="H26" s="22" t="n">
        <x:v>149.4</x:v>
      </x:c>
      <x:c r="I26" s="23" t="n">
        <x:v>0.020619410400794846</x:v>
      </x:c>
      <x:c r="J26" s="27" t="n">
        <x:f>ROUND(E26-F26,1)</x:f>
        <x:v>222.2</x:v>
      </x:c>
      <x:c r="K26" s="21" t="str">
        <x:v>IC2609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6264.2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272.4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4652</x:v>
      </x:c>
      <x:c r="E19" s="22" t="n">
        <x:v>4707.8</x:v>
      </x:c>
      <x:c r="F19" s="22" t="n">
        <x:v>4634</x:v>
      </x:c>
      <x:c r="G19" s="22" t="n">
        <x:v>4648</x:v>
      </x:c>
      <x:c r="H19" s="22" t="n">
        <x:v>-14.4</x:v>
      </x:c>
      <x:c r="I19" s="23" t="n">
        <x:v>-0.003088538091969739</x:v>
      </x:c>
      <x:c r="J19" s="22" t="n">
        <x:f>ROUND(E19-F19,1)</x:f>
        <x:v>73.8</x:v>
      </x:c>
      <x:c r="K19" s="21" t="str">
        <x:v>IF2609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4670</x:v>
      </x:c>
      <x:c r="E20" s="22" t="n">
        <x:v>4682.6</x:v>
      </x:c>
      <x:c r="F20" s="22" t="n">
        <x:v>4644</x:v>
      </x:c>
      <x:c r="G20" s="22" t="n">
        <x:v>4661.4</x:v>
      </x:c>
      <x:c r="H20" s="22" t="n">
        <x:v>13.4</x:v>
      </x:c>
      <x:c r="I20" s="23" t="n">
        <x:v>0.002882960413080893</x:v>
      </x:c>
      <x:c r="J20" s="22" t="n">
        <x:f>ROUND(E20-F20,1)</x:f>
        <x:v>38.6</x:v>
      </x:c>
      <x:c r="K20" s="21" t="str">
        <x:v>IF2609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4623</x:v>
      </x:c>
      <x:c r="E21" s="22" t="n">
        <x:v>4645</x:v>
      </x:c>
      <x:c r="F21" s="22" t="n">
        <x:v>4576</x:v>
      </x:c>
      <x:c r="G21" s="22" t="n">
        <x:v>4578.2</x:v>
      </x:c>
      <x:c r="H21" s="22" t="n">
        <x:v>-83.2</x:v>
      </x:c>
      <x:c r="I21" s="23" t="n">
        <x:v>-0.017848714978332625</x:v>
      </x:c>
      <x:c r="J21" s="22" t="n">
        <x:f>ROUND(E21-F21,1)</x:f>
        <x:v>69</x:v>
      </x:c>
      <x:c r="K21" s="21" t="str">
        <x:v>IF2609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4589.4</x:v>
      </x:c>
      <x:c r="E22" s="22" t="n">
        <x:v>4652.2</x:v>
      </x:c>
      <x:c r="F22" s="22" t="n">
        <x:v>4572.2</x:v>
      </x:c>
      <x:c r="G22" s="22" t="n">
        <x:v>4651.8</x:v>
      </x:c>
      <x:c r="H22" s="22" t="n">
        <x:v>73.6</x:v>
      </x:c>
      <x:c r="I22" s="23" t="n">
        <x:v>0.01607618714778747</x:v>
      </x:c>
      <x:c r="J22" s="22" t="n">
        <x:f>ROUND(E22-F22,1)</x:f>
        <x:v>80</x:v>
      </x:c>
      <x:c r="K22" s="21" t="str">
        <x:v>IF2609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4589</x:v>
      </x:c>
      <x:c r="E23" s="22" t="n">
        <x:v>4594</x:v>
      </x:c>
      <x:c r="F23" s="22" t="n">
        <x:v>4488.2</x:v>
      </x:c>
      <x:c r="G23" s="22" t="n">
        <x:v>4521</x:v>
      </x:c>
      <x:c r="H23" s="22" t="n">
        <x:v>-130.8</x:v>
      </x:c>
      <x:c r="I23" s="23" t="n">
        <x:v>-0.02811814781374955</x:v>
      </x:c>
      <x:c r="J23" s="27" t="n">
        <x:f>ROUND(E23-F23,1)</x:f>
        <x:v>105.8</x:v>
      </x:c>
      <x:c r="K23" s="21" t="str">
        <x:v>IF2609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4529</x:v>
      </x:c>
      <x:c r="E24" s="22" t="n">
        <x:v>4587.6</x:v>
      </x:c>
      <x:c r="F24" s="22" t="n">
        <x:v>4473.6</x:v>
      </x:c>
      <x:c r="G24" s="22" t="n">
        <x:v>4544.8</x:v>
      </x:c>
      <x:c r="H24" s="22" t="n">
        <x:v>23.8</x:v>
      </x:c>
      <x:c r="I24" s="23" t="n">
        <x:v>0.0052643220526431556</x:v>
      </x:c>
      <x:c r="J24" s="27" t="n">
        <x:f>ROUND(E24-F24,1)</x:f>
        <x:v>114</x:v>
      </x:c>
      <x:c r="K24" s="21" t="str">
        <x:v>IF2609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4520</x:v>
      </x:c>
      <x:c r="E25" s="22" t="n">
        <x:v>4555.4</x:v>
      </x:c>
      <x:c r="F25" s="22" t="n">
        <x:v>4420</x:v>
      </x:c>
      <x:c r="G25" s="22" t="n">
        <x:v>4508.2</x:v>
      </x:c>
      <x:c r="H25" s="22" t="n">
        <x:v>-36.6</x:v>
      </x:c>
      <x:c r="I25" s="23" t="n">
        <x:v>-0.008053159654990427</x:v>
      </x:c>
      <x:c r="J25" s="27" t="n">
        <x:f>ROUND(E25-F25,1)</x:f>
        <x:v>135.4</x:v>
      </x:c>
      <x:c r="K25" s="21" t="str">
        <x:v>IF2609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4589.4</x:v>
      </x:c>
      <x:c r="E26" s="22" t="n">
        <x:v>4619.4</x:v>
      </x:c>
      <x:c r="F26" s="22" t="n">
        <x:v>4532.2</x:v>
      </x:c>
      <x:c r="G26" s="22" t="n">
        <x:v>4538</x:v>
      </x:c>
      <x:c r="H26" s="22" t="n">
        <x:v>29.8</x:v>
      </x:c>
      <x:c r="I26" s="23" t="n">
        <x:v>0.0066101770107804825</x:v>
      </x:c>
      <x:c r="J26" s="22" t="n">
        <x:f>ROUND(E26-F26,1)</x:f>
        <x:v>87.2</x:v>
      </x:c>
      <x:c r="K26" s="21" t="str">
        <x:v>IF2609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2304.4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100.2</x:v>
      </x:c>
      <x:c r="K30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19">
      <x:c r="A19" s="21" t="n">
        <x:v>16</x:v>
      </x:c>
      <x:c r="B19" s="21" t="str">
        <x:v>周三</x:v>
      </x:c>
      <x:c r="C19" s="21" t="str">
        <x:v>7月22日</x:v>
      </x:c>
      <x:c r="D19" s="22" t="n">
        <x:v>2906</x:v>
      </x:c>
      <x:c r="E19" s="22" t="n">
        <x:v>2978</x:v>
      </x:c>
      <x:c r="F19" s="22" t="n">
        <x:v>2906</x:v>
      </x:c>
      <x:c r="G19" s="22" t="n">
        <x:v>2946.2</x:v>
      </x:c>
      <x:c r="H19" s="22" t="n">
        <x:v>22.6</x:v>
      </x:c>
      <x:c r="I19" s="23" t="n">
        <x:v>0.007730195649199523</x:v>
      </x:c>
      <x:c r="J19" s="27" t="n">
        <x:f>ROUND(E19-F19,1)</x:f>
        <x:v>72</x:v>
      </x:c>
      <x:c r="K19" s="21" t="str">
        <x:v>IH2609</x:v>
      </x:c>
    </x:row>
    <x:row r="20">
      <x:c r="A20" s="21" t="n">
        <x:v>17</x:v>
      </x:c>
      <x:c r="B20" s="21" t="str">
        <x:v>周四</x:v>
      </x:c>
      <x:c r="C20" s="21" t="str">
        <x:v>7月23日</x:v>
      </x:c>
      <x:c r="D20" s="22" t="n">
        <x:v>2960</x:v>
      </x:c>
      <x:c r="E20" s="22" t="n">
        <x:v>2969.6</x:v>
      </x:c>
      <x:c r="F20" s="22" t="n">
        <x:v>2938.8</x:v>
      </x:c>
      <x:c r="G20" s="22" t="n">
        <x:v>2948.8</x:v>
      </x:c>
      <x:c r="H20" s="22" t="n">
        <x:v>2.6</x:v>
      </x:c>
      <x:c r="I20" s="23" t="n">
        <x:v>0.0008824927024642104</x:v>
      </x:c>
      <x:c r="J20" s="22" t="n">
        <x:f>ROUND(E20-F20,1)</x:f>
        <x:v>30.8</x:v>
      </x:c>
      <x:c r="K20" s="21" t="str">
        <x:v>IH2609</x:v>
      </x:c>
    </x:row>
    <x:row r="21">
      <x:c r="A21" s="21" t="n">
        <x:v>18</x:v>
      </x:c>
      <x:c r="B21" s="21" t="str">
        <x:v>周五</x:v>
      </x:c>
      <x:c r="C21" s="21" t="str">
        <x:v>7月24日</x:v>
      </x:c>
      <x:c r="D21" s="22" t="n">
        <x:v>2945.8</x:v>
      </x:c>
      <x:c r="E21" s="22" t="n">
        <x:v>2945.8</x:v>
      </x:c>
      <x:c r="F21" s="22" t="n">
        <x:v>2908.4</x:v>
      </x:c>
      <x:c r="G21" s="22" t="n">
        <x:v>2910</x:v>
      </x:c>
      <x:c r="H21" s="22" t="n">
        <x:v>-38.8</x:v>
      </x:c>
      <x:c r="I21" s="23" t="n">
        <x:v>-0.013157894736842146</x:v>
      </x:c>
      <x:c r="J21" s="22" t="n">
        <x:f>ROUND(E21-F21,1)</x:f>
        <x:v>37.4</x:v>
      </x:c>
      <x:c r="K21" s="21" t="str">
        <x:v>IH2609</x:v>
      </x:c>
    </x:row>
    <x:row r="22">
      <x:c r="A22" s="21" t="n">
        <x:v>19</x:v>
      </x:c>
      <x:c r="B22" s="21" t="str">
        <x:v>周一</x:v>
      </x:c>
      <x:c r="C22" s="21" t="str">
        <x:v>7月27日</x:v>
      </x:c>
      <x:c r="D22" s="22" t="n">
        <x:v>2929.6</x:v>
      </x:c>
      <x:c r="E22" s="22" t="n">
        <x:v>2930</x:v>
      </x:c>
      <x:c r="F22" s="22" t="n">
        <x:v>2889.8</x:v>
      </x:c>
      <x:c r="G22" s="22" t="n">
        <x:v>2923</x:v>
      </x:c>
      <x:c r="H22" s="22" t="n">
        <x:v>13</x:v>
      </x:c>
      <x:c r="I22" s="23" t="n">
        <x:v>0.0044673539518900185</x:v>
      </x:c>
      <x:c r="J22" s="22" t="n">
        <x:f>ROUND(E22-F22,1)</x:f>
        <x:v>40.2</x:v>
      </x:c>
      <x:c r="K22" s="21" t="str">
        <x:v>IH2609</x:v>
      </x:c>
    </x:row>
    <x:row r="23">
      <x:c r="A23" s="21" t="n">
        <x:v>20</x:v>
      </x:c>
      <x:c r="B23" s="21" t="str">
        <x:v>周二</x:v>
      </x:c>
      <x:c r="C23" s="21" t="str">
        <x:v>7月28日</x:v>
      </x:c>
      <x:c r="D23" s="22" t="n">
        <x:v>2894.6</x:v>
      </x:c>
      <x:c r="E23" s="22" t="n">
        <x:v>2899.4</x:v>
      </x:c>
      <x:c r="F23" s="22" t="n">
        <x:v>2855</x:v>
      </x:c>
      <x:c r="G23" s="22" t="n">
        <x:v>2889.8</x:v>
      </x:c>
      <x:c r="H23" s="22" t="n">
        <x:v>-33.2</x:v>
      </x:c>
      <x:c r="I23" s="23" t="n">
        <x:v>-0.011358193636674563</x:v>
      </x:c>
      <x:c r="J23" s="22" t="n">
        <x:f>ROUND(E23-F23,1)</x:f>
        <x:v>44.4</x:v>
      </x:c>
      <x:c r="K23" s="21" t="str">
        <x:v>IH2609</x:v>
      </x:c>
    </x:row>
    <x:row r="24">
      <x:c r="A24" s="21" t="n">
        <x:v>21</x:v>
      </x:c>
      <x:c r="B24" s="21" t="str">
        <x:v>周三</x:v>
      </x:c>
      <x:c r="C24" s="21" t="str">
        <x:v>7月29日</x:v>
      </x:c>
      <x:c r="D24" s="22" t="n">
        <x:v>2896</x:v>
      </x:c>
      <x:c r="E24" s="22" t="n">
        <x:v>2905.4</x:v>
      </x:c>
      <x:c r="F24" s="22" t="n">
        <x:v>2856.6</x:v>
      </x:c>
      <x:c r="G24" s="22" t="n">
        <x:v>2878.6</x:v>
      </x:c>
      <x:c r="H24" s="22" t="n">
        <x:v>-11.2</x:v>
      </x:c>
      <x:c r="I24" s="23" t="n">
        <x:v>-0.0038757007405357813</x:v>
      </x:c>
      <x:c r="J24" s="22" t="n">
        <x:f>ROUND(E24-F24,1)</x:f>
        <x:v>48.8</x:v>
      </x:c>
      <x:c r="K24" s="21" t="str">
        <x:v>IH2609</x:v>
      </x:c>
    </x:row>
    <x:row r="25">
      <x:c r="A25" s="21" t="n">
        <x:v>22</x:v>
      </x:c>
      <x:c r="B25" s="21" t="str">
        <x:v>周四</x:v>
      </x:c>
      <x:c r="C25" s="21" t="str">
        <x:v>7月30日</x:v>
      </x:c>
      <x:c r="D25" s="22" t="n">
        <x:v>2871</x:v>
      </x:c>
      <x:c r="E25" s="22" t="n">
        <x:v>2901</x:v>
      </x:c>
      <x:c r="F25" s="22" t="n">
        <x:v>2847.2</x:v>
      </x:c>
      <x:c r="G25" s="22" t="n">
        <x:v>2885.8</x:v>
      </x:c>
      <x:c r="H25" s="22" t="n">
        <x:v>7.2</x:v>
      </x:c>
      <x:c r="I25" s="23" t="n">
        <x:v>0.002501215868825124</x:v>
      </x:c>
      <x:c r="J25" s="22" t="n">
        <x:f>ROUND(E25-F25,1)</x:f>
        <x:v>53.8</x:v>
      </x:c>
      <x:c r="K25" s="21" t="str">
        <x:v>IH2609</x:v>
      </x:c>
    </x:row>
    <x:row r="26">
      <x:c r="A26" s="21" t="n">
        <x:v>23</x:v>
      </x:c>
      <x:c r="B26" s="21" t="str">
        <x:v>周五</x:v>
      </x:c>
      <x:c r="C26" s="21" t="str">
        <x:v>7月31日</x:v>
      </x:c>
      <x:c r="D26" s="22" t="n">
        <x:v>2910</x:v>
      </x:c>
      <x:c r="E26" s="22" t="n">
        <x:v>2927</x:v>
      </x:c>
      <x:c r="F26" s="22" t="n">
        <x:v>2886.4</x:v>
      </x:c>
      <x:c r="G26" s="22" t="n">
        <x:v>2891.8</x:v>
      </x:c>
      <x:c r="H26" s="22" t="n">
        <x:v>6</x:v>
      </x:c>
      <x:c r="I26" s="23" t="n">
        <x:v>0.0020791461639753095</x:v>
      </x:c>
      <x:c r="J26" s="22" t="n">
        <x:f>ROUND(E26-F26,1)</x:f>
        <x:v>40.6</x:v>
      </x:c>
      <x:c r="K26" s="21" t="str">
        <x:v>IH2609</x:v>
      </x:c>
    </x:row>
    <x:row r="29">
      <x:c r="A29" s="38" t="str">
        <x:v>合计</x:v>
      </x:c>
      <x:c r="B29" s="39" t="n">
        <x:v>23</x:v>
      </x:c>
      <x:c r="C29" s="39"/>
      <x:c r="D29" s="39"/>
      <x:c r="E29" s="39"/>
      <x:c r="F29" s="39"/>
      <x:c r="G29" s="39"/>
      <x:c r="H29" s="39"/>
      <x:c r="I29" s="39"/>
      <x:c r="J29" s="40" t="n">
        <x:f>SUM(J4:J26)</x:f>
        <x:v>1221.6</x:v>
      </x:c>
      <x:c r="K29" s="39"/>
    </x:row>
    <x:row r="30">
      <x:c r="A30" s="38" t="str">
        <x:v>均值</x:v>
      </x:c>
      <x:c r="B30" s="39"/>
      <x:c r="C30" s="39"/>
      <x:c r="D30" s="39"/>
      <x:c r="E30" s="39"/>
      <x:c r="F30" s="39"/>
      <x:c r="G30" s="39"/>
      <x:c r="H30" s="39"/>
      <x:c r="I30" s="39"/>
      <x:c r="J30" s="42" t="n">
        <x:f>ROUND(IFERROR(AVERAGE(J4:J26),0),1)</x:f>
        <x:v>53.1</x:v>
      </x:c>
      <x:c r="K30" s="39"/>
    </x:row>
  </x:sheetData>
  <x:mergeCells>
    <x:mergeCell ref="A1:K1"/>
  </x:mergeCells>
  <x:pageMargins left="0.7" right="0.7" top="0.75" bottom="0.75" header="0.3" footer="0.3"/>
</x:worksheet>
</file>