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91a65b573d41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9d73ba89cf5490f"/>
    <x:sheet xmlns:r="http://schemas.openxmlformats.org/officeDocument/2006/relationships" name="周振幅统计" sheetId="2" r:id="R5ed9a77cf9324818"/>
    <x:sheet xmlns:r="http://schemas.openxmlformats.org/officeDocument/2006/relationships" name="中证1000" sheetId="3" r:id="R1115fb31c33a476b"/>
    <x:sheet xmlns:r="http://schemas.openxmlformats.org/officeDocument/2006/relationships" name="中证500" sheetId="4" r:id="Rd295f060d8f64c0f"/>
    <x:sheet xmlns:r="http://schemas.openxmlformats.org/officeDocument/2006/relationships" name="上证指数" sheetId="5" r:id="R04dedf96e42647f1"/>
    <x:sheet xmlns:r="http://schemas.openxmlformats.org/officeDocument/2006/relationships" name="IM主力" sheetId="6" r:id="Re289388063584d8a"/>
    <x:sheet xmlns:r="http://schemas.openxmlformats.org/officeDocument/2006/relationships" name="IC主力" sheetId="7" r:id="Ra21b4886ce1242ea"/>
    <x:sheet xmlns:r="http://schemas.openxmlformats.org/officeDocument/2006/relationships" name="IF主力" sheetId="8" r:id="Rbcb40fe721764b20"/>
    <x:sheet xmlns:r="http://schemas.openxmlformats.org/officeDocument/2006/relationships" name="IH主力" sheetId="9" r:id="R7fb8860e45584b41"/>
    <x:sheet xmlns:r="http://schemas.openxmlformats.org/officeDocument/2006/relationships" name="碳酸锂2610" sheetId="10" r:id="R46a46e88c8e24a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71eb94d3b94251" /><Relationship Type="http://schemas.openxmlformats.org/officeDocument/2006/relationships/theme" Target="/xl/theme/theme1.xml" Id="R4beab457538f403c" /><Relationship Type="http://schemas.openxmlformats.org/officeDocument/2006/relationships/sharedStrings" Target="/xl/sharedStrings.xml" Id="Rffa876a1fdbb4f27" /><Relationship Type="http://schemas.openxmlformats.org/officeDocument/2006/relationships/worksheet" Target="/xl/worksheets/sheet1.xml" Id="R19d73ba89cf5490f" /><Relationship Type="http://schemas.openxmlformats.org/officeDocument/2006/relationships/worksheet" Target="/xl/worksheets/sheet2.xml" Id="R5ed9a77cf9324818" /><Relationship Type="http://schemas.openxmlformats.org/officeDocument/2006/relationships/worksheet" Target="/xl/worksheets/sheet3.xml" Id="R1115fb31c33a476b" /><Relationship Type="http://schemas.openxmlformats.org/officeDocument/2006/relationships/worksheet" Target="/xl/worksheets/sheet4.xml" Id="Rd295f060d8f64c0f" /><Relationship Type="http://schemas.openxmlformats.org/officeDocument/2006/relationships/worksheet" Target="/xl/worksheets/sheet5.xml" Id="R04dedf96e42647f1" /><Relationship Type="http://schemas.openxmlformats.org/officeDocument/2006/relationships/worksheet" Target="/xl/worksheets/sheet6.xml" Id="Re289388063584d8a" /><Relationship Type="http://schemas.openxmlformats.org/officeDocument/2006/relationships/worksheet" Target="/xl/worksheets/sheet7.xml" Id="Ra21b4886ce1242ea" /><Relationship Type="http://schemas.openxmlformats.org/officeDocument/2006/relationships/worksheet" Target="/xl/worksheets/sheet8.xml" Id="Rbcb40fe721764b20" /><Relationship Type="http://schemas.openxmlformats.org/officeDocument/2006/relationships/worksheet" Target="/xl/worksheets/sheet9.xml" Id="R7fb8860e45584b41" /><Relationship Type="http://schemas.openxmlformats.org/officeDocument/2006/relationships/worksheet" Target="/xl/worksheets/sheet10.xml" Id="R46a46e88c8e24a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2026-10-22</x:v>
      </x:c>
      <x:c r="C4" s="10" t="n">
        <x:v>6782.9</x:v>
      </x:c>
      <x:c r="D4" s="10" t="n">
        <x:v>6578.27</x:v>
      </x:c>
      <x:c r="E4" s="12" t="n">
        <x:v>204.6</x:v>
      </x:c>
      <x:c r="F4" s="9" t="n">
        <x:v>11</x:v>
      </x:c>
      <x:c r="G4" s="10" t="n">
        <x:v>2119.3</x:v>
      </x:c>
      <x:c r="H4" s="10" t="n">
        <x:v>192.7</x:v>
      </x:c>
      <x:c r="I4" s="10" t="n">
        <x:v>180</x:v>
      </x:c>
    </x:row>
    <x:row r="5">
      <x:c r="A5" s="9" t="str">
        <x:v>中证500</x:v>
      </x:c>
      <x:c r="B5" s="9" t="str">
        <x:v>2026-10-22</x:v>
      </x:c>
      <x:c r="C5" s="10" t="n">
        <x:v>6842.87</x:v>
      </x:c>
      <x:c r="D5" s="10" t="n">
        <x:v>6652.78</x:v>
      </x:c>
      <x:c r="E5" s="12" t="n">
        <x:v>190.1</x:v>
      </x:c>
      <x:c r="F5" s="9" t="n">
        <x:v>11</x:v>
      </x:c>
      <x:c r="G5" s="10" t="n">
        <x:v>1989.5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2026-10-22</x:v>
      </x:c>
      <x:c r="C6" s="10" t="n">
        <x:v>3714.48</x:v>
      </x:c>
      <x:c r="D6" s="10" t="n">
        <x:v>3649.86</x:v>
      </x:c>
      <x:c r="E6" s="12" t="n">
        <x:v>64.6</x:v>
      </x:c>
      <x:c r="F6" s="9" t="n">
        <x:v>11</x:v>
      </x:c>
      <x:c r="G6" s="10" t="n">
        <x:v>619.9</x:v>
      </x:c>
      <x:c r="H6" s="10" t="n">
        <x:v>56.4</x:v>
      </x:c>
      <x:c r="I6" s="10" t="n">
        <x:v>50</x:v>
      </x:c>
    </x:row>
    <x:row r="7">
      <x:c r="A7" s="9" t="str">
        <x:v>IM主力</x:v>
      </x:c>
      <x:c r="B7" s="9" t="str">
        <x:v>2026-10-22</x:v>
      </x:c>
      <x:c r="C7" s="10" t="n">
        <x:v>6689</x:v>
      </x:c>
      <x:c r="D7" s="10" t="n">
        <x:v>6466.8</x:v>
      </x:c>
      <x:c r="E7" s="12" t="n">
        <x:v>222.2</x:v>
      </x:c>
      <x:c r="F7" s="9" t="n">
        <x:v>11</x:v>
      </x:c>
      <x:c r="G7" s="10" t="n">
        <x:v>2267.6</x:v>
      </x:c>
      <x:c r="H7" s="10" t="n">
        <x:v>206.1</x:v>
      </x:c>
      <x:c r="I7" s="10" t="n">
        <x:v>190</x:v>
      </x:c>
    </x:row>
    <x:row r="8">
      <x:c r="A8" s="9" t="str">
        <x:v>IC主力</x:v>
      </x:c>
      <x:c r="B8" s="9" t="str">
        <x:v>2026-10-22</x:v>
      </x:c>
      <x:c r="C8" s="10" t="n">
        <x:v>6753.6</x:v>
      </x:c>
      <x:c r="D8" s="10" t="n">
        <x:v>6543</x:v>
      </x:c>
      <x:c r="E8" s="12" t="n">
        <x:v>210.6</x:v>
      </x:c>
      <x:c r="F8" s="9" t="n">
        <x:v>11</x:v>
      </x:c>
      <x:c r="G8" s="10" t="n">
        <x:v>2204</x:v>
      </x:c>
      <x:c r="H8" s="10" t="n">
        <x:v>200.4</x:v>
      </x:c>
      <x:c r="I8" s="10" t="n">
        <x:v>150</x:v>
      </x:c>
    </x:row>
    <x:row r="9">
      <x:c r="A9" s="9" t="str">
        <x:v>IF主力</x:v>
      </x:c>
      <x:c r="B9" s="9" t="str">
        <x:v>2026-10-22</x:v>
      </x:c>
      <x:c r="C9" s="10" t="n">
        <x:v>4060</x:v>
      </x:c>
      <x:c r="D9" s="10" t="n">
        <x:v>3959</x:v>
      </x:c>
      <x:c r="E9" s="12" t="n">
        <x:v>101</x:v>
      </x:c>
      <x:c r="F9" s="9" t="n">
        <x:v>11</x:v>
      </x:c>
      <x:c r="G9" s="10" t="n">
        <x:v>905.2</x:v>
      </x:c>
      <x:c r="H9" s="10" t="n">
        <x:v>82.3</x:v>
      </x:c>
      <x:c r="I9" s="10" t="n">
        <x:v>90</x:v>
      </x:c>
    </x:row>
    <x:row r="10">
      <x:c r="A10" s="9" t="str">
        <x:v>IH主力</x:v>
      </x:c>
      <x:c r="B10" s="9" t="str">
        <x:v>2026-10-22</x:v>
      </x:c>
      <x:c r="C10" s="10" t="n">
        <x:v>2713</x:v>
      </x:c>
      <x:c r="D10" s="10" t="n">
        <x:v>2669.2</x:v>
      </x:c>
      <x:c r="E10" s="12" t="n">
        <x:v>43.8</x:v>
      </x:c>
      <x:c r="F10" s="9" t="n">
        <x:v>11</x:v>
      </x:c>
      <x:c r="G10" s="10" t="n">
        <x:v>502.2</x:v>
      </x:c>
      <x:c r="H10" s="10" t="n">
        <x:v>45.7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10月19日-10月22日</x:v>
      </x:c>
      <x:c r="C7" s="23" t="n">
        <x:v>6639.94</x:v>
      </x:c>
      <x:c r="D7" s="23" t="n">
        <x:v>6880.55</x:v>
      </x:c>
      <x:c r="E7" s="23" t="n">
        <x:v>6578.27</x:v>
      </x:c>
      <x:c r="F7" s="23" t="n">
        <x:v>6578.27</x:v>
      </x:c>
      <x:c r="G7" s="23" t="n">
        <x:f>ROUND(F7-F6,1)</x:f>
        <x:v>-103.7</x:v>
      </x:c>
      <x:c r="H7" s="24" t="n">
        <x:f>IFERROR(F7/F6-1,"")</x:f>
        <x:v>-0.015514955237550643</x:v>
      </x:c>
      <x:c r="I7" s="26" t="n">
        <x:f>ROUND(D7-E7,1)</x:f>
        <x:v>302.3</x:v>
      </x:c>
      <x:c r="J7" s="22" t="str">
        <x:v>中证1000</x:v>
      </x:c>
      <x:c r="K7" s="22" t="n">
        <x:v>4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1262.2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420.7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10月19日-10月22日</x:v>
      </x:c>
      <x:c r="C15" s="23" t="n">
        <x:v>6735.53</x:v>
      </x:c>
      <x:c r="D15" s="23" t="n">
        <x:v>6941.51</x:v>
      </x:c>
      <x:c r="E15" s="23" t="n">
        <x:v>6652.78</x:v>
      </x:c>
      <x:c r="F15" s="23" t="n">
        <x:v>6655.25</x:v>
      </x:c>
      <x:c r="G15" s="23" t="n">
        <x:f>ROUND(F15-F14,1)</x:f>
        <x:v>-117.5</x:v>
      </x:c>
      <x:c r="H15" s="24" t="n">
        <x:f>IFERROR(F15/F14-1,"")</x:f>
        <x:v>-0.017348935070687688</x:v>
      </x:c>
      <x:c r="I15" s="26" t="n">
        <x:f>ROUND(D15-E15,1)</x:f>
        <x:v>288.7</x:v>
      </x:c>
      <x:c r="J15" s="22" t="str">
        <x:v>中证500</x:v>
      </x:c>
      <x:c r="K15" s="22" t="n">
        <x:v>4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1218.5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406.2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10月19日-10月22日</x:v>
      </x:c>
      <x:c r="C23" s="23" t="n">
        <x:v>3694.12</x:v>
      </x:c>
      <x:c r="D23" s="23" t="n">
        <x:v>3743.8</x:v>
      </x:c>
      <x:c r="E23" s="23" t="n">
        <x:v>3649.86</x:v>
      </x:c>
      <x:c r="F23" s="23" t="n">
        <x:v>3658.03</x:v>
      </x:c>
      <x:c r="G23" s="23" t="n">
        <x:f>ROUND(F23-F22,1)</x:f>
        <x:v>-58.2</x:v>
      </x:c>
      <x:c r="H23" s="24" t="n">
        <x:f>IFERROR(F23/F22-1,"")</x:f>
        <x:v>-0.015674276426964617</x:v>
      </x:c>
      <x:c r="I23" s="26" t="n">
        <x:f>ROUND(D23-E23,1)</x:f>
        <x:v>93.9</x:v>
      </x:c>
      <x:c r="J23" s="22" t="str">
        <x:v>上证指数</x:v>
      </x:c>
      <x:c r="K23" s="22" t="n">
        <x:v>4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357.3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119.1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10月19日-10月22日</x:v>
      </x:c>
      <x:c r="C31" s="23" t="n">
        <x:v>6577.2</x:v>
      </x:c>
      <x:c r="D31" s="23" t="n">
        <x:v>6799.6</x:v>
      </x:c>
      <x:c r="E31" s="23" t="n">
        <x:v>6466.8</x:v>
      </x:c>
      <x:c r="F31" s="23" t="n">
        <x:v>6471.6</x:v>
      </x:c>
      <x:c r="G31" s="23" t="n">
        <x:f>ROUND(F31-F30,1)</x:f>
        <x:v>-112</x:v>
      </x:c>
      <x:c r="H31" s="24" t="n">
        <x:f>IFERROR(F31/F30-1,"")</x:f>
        <x:v>-0.017011969135427463</x:v>
      </x:c>
      <x:c r="I31" s="26" t="n">
        <x:f>ROUND(D31-E31,1)</x:f>
        <x:v>332.8</x:v>
      </x:c>
      <x:c r="J31" s="22" t="str">
        <x:v>IM2612</x:v>
      </x:c>
      <x:c r="K31" s="22" t="n">
        <x:v>4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1277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425.7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10月19日-10月22日</x:v>
      </x:c>
      <x:c r="C39" s="23" t="n">
        <x:v>6670.2</x:v>
      </x:c>
      <x:c r="D39" s="23" t="n">
        <x:v>6864</x:v>
      </x:c>
      <x:c r="E39" s="23" t="n">
        <x:v>6543</x:v>
      </x:c>
      <x:c r="F39" s="23" t="n">
        <x:v>6543</x:v>
      </x:c>
      <x:c r="G39" s="23" t="n">
        <x:f>ROUND(F39-F38,1)</x:f>
        <x:v>-124.8</x:v>
      </x:c>
      <x:c r="H39" s="24" t="n">
        <x:f>IFERROR(F39/F38-1,"")</x:f>
        <x:v>-0.01871681814091608</x:v>
      </x:c>
      <x:c r="I39" s="26" t="n">
        <x:f>ROUND(D39-E39,1)</x:f>
        <x:v>321</x:v>
      </x:c>
      <x:c r="J39" s="22" t="str">
        <x:v>IC2612</x:v>
      </x:c>
      <x:c r="K39" s="22" t="n">
        <x:v>4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1276.4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425.5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10月19日-10月22日</x:v>
      </x:c>
      <x:c r="C47" s="23" t="n">
        <x:v>4086.4</x:v>
      </x:c>
      <x:c r="D47" s="23" t="n">
        <x:v>4140.2</x:v>
      </x:c>
      <x:c r="E47" s="23" t="n">
        <x:v>3959</x:v>
      </x:c>
      <x:c r="F47" s="23" t="n">
        <x:v>3970</x:v>
      </x:c>
      <x:c r="G47" s="23" t="n">
        <x:f>ROUND(F47-F46,1)</x:f>
        <x:v>-118.8</x:v>
      </x:c>
      <x:c r="H47" s="24" t="n">
        <x:f>IFERROR(F47/F46-1,"")</x:f>
        <x:v>-0.02905497945607516</x:v>
      </x:c>
      <x:c r="I47" s="26" t="n">
        <x:f>ROUND(D47-E47,1)</x:f>
        <x:v>181.2</x:v>
      </x:c>
      <x:c r="J47" s="22" t="str">
        <x:v>IF2612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560.8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186.9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10月19日-10月22日</x:v>
      </x:c>
      <x:c r="C55" s="23" t="n">
        <x:v>2690</x:v>
      </x:c>
      <x:c r="D55" s="23" t="n">
        <x:v>2754.6</x:v>
      </x:c>
      <x:c r="E55" s="23" t="n">
        <x:v>2669.2</x:v>
      </x:c>
      <x:c r="F55" s="23" t="n">
        <x:v>2679.2</x:v>
      </x:c>
      <x:c r="G55" s="23" t="n">
        <x:f>ROUND(F55-F54,1)</x:f>
        <x:v>-25.4</x:v>
      </x:c>
      <x:c r="H55" s="24" t="n">
        <x:f>IFERROR(F55/F54-1,"")</x:f>
        <x:v>-0.009391407232123061</x:v>
      </x:c>
      <x:c r="I55" s="26" t="n">
        <x:f>ROUND(D55-E55,1)</x:f>
        <x:v>85.4</x:v>
      </x:c>
      <x:c r="J55" s="22" t="str">
        <x:v>IH2612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265.2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88.4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10月19日-10月21日</x:v>
      </x:c>
      <x:c r="C63" s="23" t="n">
        <x:v>99600</x:v>
      </x:c>
      <x:c r="D63" s="23" t="n">
        <x:v>103420</x:v>
      </x:c>
      <x:c r="E63" s="23" t="n">
        <x:v>98000</x:v>
      </x:c>
      <x:c r="F63" s="23" t="n">
        <x:v>98540</x:v>
      </x:c>
      <x:c r="G63" s="28" t="n">
        <x:f>ROUND(F63-F62,1)</x:f>
        <x:v>-960</x:v>
      </x:c>
      <x:c r="H63" s="24" t="n">
        <x:f>IFERROR(F63/F62-1,"")</x:f>
        <x:v>-0.00964824120603014</x:v>
      </x:c>
      <x:c r="I63" s="23" t="n">
        <x:f>ROUND(D63-E63,1)</x:f>
        <x:v>5420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39680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13226.7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2119.2999999999997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192.7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1989.4999999999998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180.9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619.9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56.4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2267.6000000000004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206.1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2204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200.4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905.2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82.3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502.2000000000001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45.7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