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46eb9e905244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50e088af8b94d03"/>
    <x:sheet xmlns:r="http://schemas.openxmlformats.org/officeDocument/2006/relationships" name="周振幅统计" sheetId="2" r:id="R465de9f115cd4521"/>
    <x:sheet xmlns:r="http://schemas.openxmlformats.org/officeDocument/2006/relationships" name="中证1000" sheetId="3" r:id="R81f1af970a524257"/>
    <x:sheet xmlns:r="http://schemas.openxmlformats.org/officeDocument/2006/relationships" name="中证500" sheetId="4" r:id="R25134676a0094044"/>
    <x:sheet xmlns:r="http://schemas.openxmlformats.org/officeDocument/2006/relationships" name="上证指数" sheetId="5" r:id="R3976291390ee438c"/>
    <x:sheet xmlns:r="http://schemas.openxmlformats.org/officeDocument/2006/relationships" name="IM主力" sheetId="6" r:id="R62b9de4409a14eca"/>
    <x:sheet xmlns:r="http://schemas.openxmlformats.org/officeDocument/2006/relationships" name="IC主力" sheetId="7" r:id="Re6a15c14b38d4385"/>
    <x:sheet xmlns:r="http://schemas.openxmlformats.org/officeDocument/2006/relationships" name="IF主力" sheetId="8" r:id="Ra8e5b07f1bae44eb"/>
    <x:sheet xmlns:r="http://schemas.openxmlformats.org/officeDocument/2006/relationships" name="IH主力" sheetId="9" r:id="R117c9bea0f0c456a"/>
    <x:sheet xmlns:r="http://schemas.openxmlformats.org/officeDocument/2006/relationships" name="碳酸锂2609" sheetId="10" r:id="R7d9b43b22a204c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30bbdaca746e4" /><Relationship Type="http://schemas.openxmlformats.org/officeDocument/2006/relationships/theme" Target="/xl/theme/theme1.xml" Id="R3aece595148643ac" /><Relationship Type="http://schemas.openxmlformats.org/officeDocument/2006/relationships/sharedStrings" Target="/xl/sharedStrings.xml" Id="Rdf8c7872ee564c5b" /><Relationship Type="http://schemas.openxmlformats.org/officeDocument/2006/relationships/worksheet" Target="/xl/worksheets/sheet1.xml" Id="R050e088af8b94d03" /><Relationship Type="http://schemas.openxmlformats.org/officeDocument/2006/relationships/worksheet" Target="/xl/worksheets/sheet2.xml" Id="R465de9f115cd4521" /><Relationship Type="http://schemas.openxmlformats.org/officeDocument/2006/relationships/worksheet" Target="/xl/worksheets/sheet3.xml" Id="R81f1af970a524257" /><Relationship Type="http://schemas.openxmlformats.org/officeDocument/2006/relationships/worksheet" Target="/xl/worksheets/sheet4.xml" Id="R25134676a0094044" /><Relationship Type="http://schemas.openxmlformats.org/officeDocument/2006/relationships/worksheet" Target="/xl/worksheets/sheet5.xml" Id="R3976291390ee438c" /><Relationship Type="http://schemas.openxmlformats.org/officeDocument/2006/relationships/worksheet" Target="/xl/worksheets/sheet6.xml" Id="R62b9de4409a14eca" /><Relationship Type="http://schemas.openxmlformats.org/officeDocument/2006/relationships/worksheet" Target="/xl/worksheets/sheet7.xml" Id="Re6a15c14b38d4385" /><Relationship Type="http://schemas.openxmlformats.org/officeDocument/2006/relationships/worksheet" Target="/xl/worksheets/sheet8.xml" Id="Ra8e5b07f1bae44eb" /><Relationship Type="http://schemas.openxmlformats.org/officeDocument/2006/relationships/worksheet" Target="/xl/worksheets/sheet9.xml" Id="R117c9bea0f0c456a" /><Relationship Type="http://schemas.openxmlformats.org/officeDocument/2006/relationships/worksheet" Target="/xl/worksheets/sheet10.xml" Id="R7d9b43b22a204c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3</x:v>
      </x:c>
      <x:c r="G4" s="10" t="n">
        <x:v>550.2</x:v>
      </x:c>
      <x:c r="H4" s="10" t="n">
        <x:v>183.4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3</x:v>
      </x:c>
      <x:c r="G5" s="10" t="n">
        <x:v>574.2</x:v>
      </x:c>
      <x:c r="H5" s="10" t="n">
        <x:v>191.4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3</x:v>
      </x:c>
      <x:c r="G6" s="10" t="n">
        <x:v>131.7</x:v>
      </x:c>
      <x:c r="H6" s="10" t="n">
        <x:v>43.9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3</x:v>
      </x:c>
      <x:c r="G7" s="10" t="n">
        <x:v>564.6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2026-08-05</x:v>
      </x:c>
      <x:c r="C8" s="10" t="n">
        <x:v>7775.6</x:v>
      </x:c>
      <x:c r="D8" s="10" t="n">
        <x:v>7501</x:v>
      </x:c>
      <x:c r="E8" s="12" t="n">
        <x:v>274.6</x:v>
      </x:c>
      <x:c r="F8" s="9" t="n">
        <x:v>3</x:v>
      </x:c>
      <x:c r="G8" s="10" t="n">
        <x:v>585.8</x:v>
      </x:c>
      <x:c r="H8" s="10" t="n">
        <x:v>195.3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3</x:v>
      </x:c>
      <x:c r="G9" s="10" t="n">
        <x:v>221.6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3</x:v>
      </x:c>
      <x:c r="G10" s="10" t="n">
        <x:v>122.2</x:v>
      </x:c>
      <x:c r="H10" s="10" t="n">
        <x:v>40.7</x:v>
      </x:c>
      <x:c r="I10" s="10" t="n">
        <x:v>60</x:v>
      </x:c>
    </x:row>
    <x:row r="11">
      <x:c r="A11" s="9" t="str">
        <x:v>碳酸锂2609</x:v>
      </x:c>
      <x:c r="B11" s="9" t="str">
        <x:v>2026-08-05</x:v>
      </x:c>
      <x:c r="C11" s="10" t="n">
        <x:v>144300</x:v>
      </x:c>
      <x:c r="D11" s="10" t="n">
        <x:v>138320</x:v>
      </x:c>
      <x:c r="E11" s="12" t="n">
        <x:v>5980</x:v>
      </x:c>
      <x:c r="F11" s="9" t="n">
        <x:v>3</x:v>
      </x:c>
      <x:c r="G11" s="10" t="n">
        <x:v>15280</x:v>
      </x:c>
      <x:c r="H11" s="10" t="n">
        <x:v>5093.3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8月3日-8月5日</x:v>
      </x:c>
      <x:c r="C5" s="23" t="n">
        <x:v>7055.27</x:v>
      </x:c>
      <x:c r="D5" s="23" t="n">
        <x:v>7523.5</x:v>
      </x:c>
      <x:c r="E5" s="23" t="n">
        <x:v>7042.89</x:v>
      </x:c>
      <x:c r="F5" s="23" t="n">
        <x:v>7493.05</x:v>
      </x:c>
      <x:c r="G5" s="23"/>
      <x:c r="H5" s="24"/>
      <x:c r="I5" s="26" t="n">
        <x:f>ROUND(D5-E5,1)</x:f>
        <x:v>480.6</x:v>
      </x:c>
      <x:c r="J5" s="22" t="str">
        <x:v>中证1000</x:v>
      </x:c>
      <x:c r="K5" s="22" t="n">
        <x:v>3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480.6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480.6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8月3日-8月5日</x:v>
      </x:c>
      <x:c r="C11" s="23" t="n">
        <x:v>7457.12</x:v>
      </x:c>
      <x:c r="D11" s="23" t="n">
        <x:v>7845.39</x:v>
      </x:c>
      <x:c r="E11" s="23" t="n">
        <x:v>7397.94</x:v>
      </x:c>
      <x:c r="F11" s="23" t="n">
        <x:v>7809.21</x:v>
      </x:c>
      <x:c r="G11" s="23"/>
      <x:c r="H11" s="24"/>
      <x:c r="I11" s="26" t="n">
        <x:f>ROUND(D11-E11,1)</x:f>
        <x:v>447.5</x:v>
      </x:c>
      <x:c r="J11" s="22" t="str">
        <x:v>中证500</x:v>
      </x:c>
      <x:c r="K11" s="22" t="n">
        <x:v>3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447.5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447.5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8月3日-8月5日</x:v>
      </x:c>
      <x:c r="C17" s="23" t="n">
        <x:v>3812.61</x:v>
      </x:c>
      <x:c r="D17" s="23" t="n">
        <x:v>3884.4</x:v>
      </x:c>
      <x:c r="E17" s="23" t="n">
        <x:v>3797.64</x:v>
      </x:c>
      <x:c r="F17" s="23" t="n">
        <x:v>3878.43</x:v>
      </x:c>
      <x:c r="G17" s="23"/>
      <x:c r="H17" s="24"/>
      <x:c r="I17" s="26" t="n">
        <x:f>ROUND(D17-E17,1)</x:f>
        <x:v>86.8</x:v>
      </x:c>
      <x:c r="J17" s="22" t="str">
        <x:v>上证指数</x:v>
      </x:c>
      <x:c r="K17" s="22" t="n">
        <x:v>3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86.8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86.8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8月3日-8月5日</x:v>
      </x:c>
      <x:c r="C23" s="23" t="n">
        <x:v>7000</x:v>
      </x:c>
      <x:c r="D23" s="23" t="n">
        <x:v>7466</x:v>
      </x:c>
      <x:c r="E23" s="23" t="n">
        <x:v>6976</x:v>
      </x:c>
      <x:c r="F23" s="23" t="n">
        <x:v>7433.8</x:v>
      </x:c>
      <x:c r="G23" s="23"/>
      <x:c r="H23" s="24"/>
      <x:c r="I23" s="26" t="n">
        <x:f>ROUND(D23-E23,1)</x:f>
        <x:v>490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490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490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8月3日-8月5日</x:v>
      </x:c>
      <x:c r="C29" s="23" t="n">
        <x:v>7391</x:v>
      </x:c>
      <x:c r="D29" s="23" t="n">
        <x:v>7775.6</x:v>
      </x:c>
      <x:c r="E29" s="23" t="n">
        <x:v>7335</x:v>
      </x:c>
      <x:c r="F29" s="23" t="n">
        <x:v>7744.4</x:v>
      </x:c>
      <x:c r="G29" s="23"/>
      <x:c r="H29" s="24"/>
      <x:c r="I29" s="26" t="n">
        <x:f>ROUND(D29-E29,1)</x:f>
        <x:v>440.6</x:v>
      </x:c>
      <x:c r="J29" s="22" t="str">
        <x:v>IC2609</x:v>
      </x:c>
      <x:c r="K29" s="22" t="n">
        <x:v>3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440.6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440.6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8月3日-8月5日</x:v>
      </x:c>
      <x:c r="C35" s="23" t="n">
        <x:v>4526.4</x:v>
      </x:c>
      <x:c r="D35" s="23" t="n">
        <x:v>4641.2</x:v>
      </x:c>
      <x:c r="E35" s="23" t="n">
        <x:v>4494.2</x:v>
      </x:c>
      <x:c r="F35" s="23" t="n">
        <x:v>4621</x:v>
      </x:c>
      <x:c r="G35" s="23"/>
      <x:c r="H35" s="24"/>
      <x:c r="I35" s="26" t="n">
        <x:f>ROUND(D35-E35,1)</x:f>
        <x:v>147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147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147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8月3日-8月5日</x:v>
      </x:c>
      <x:c r="C41" s="23" t="n">
        <x:v>2882.4</x:v>
      </x:c>
      <x:c r="D41" s="23" t="n">
        <x:v>2907.6</x:v>
      </x:c>
      <x:c r="E41" s="23" t="n">
        <x:v>2845.8</x:v>
      </x:c>
      <x:c r="F41" s="23" t="n">
        <x:v>2893.4</x:v>
      </x:c>
      <x:c r="G41" s="23"/>
      <x:c r="H41" s="24"/>
      <x:c r="I41" s="26" t="n">
        <x:f>ROUND(D41-E41,1)</x:f>
        <x:v>61.8</x:v>
      </x:c>
      <x:c r="J41" s="22" t="str">
        <x:v>IH2609</x:v>
      </x:c>
      <x:c r="K41" s="22" t="n">
        <x:v>3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61.8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61.8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8月3日-8月5日</x:v>
      </x:c>
      <x:c r="C47" s="23" t="n">
        <x:v>137500</x:v>
      </x:c>
      <x:c r="D47" s="23" t="n">
        <x:v>144300</x:v>
      </x:c>
      <x:c r="E47" s="23" t="n">
        <x:v>135560</x:v>
      </x:c>
      <x:c r="F47" s="23" t="n">
        <x:v>143220</x:v>
      </x:c>
      <x:c r="G47" s="23"/>
      <x:c r="H47" s="24"/>
      <x:c r="I47" s="26" t="n">
        <x:f>ROUND(D47-E47,1)</x:f>
        <x:v>8740</x:v>
      </x:c>
      <x:c r="J47" s="22" t="str">
        <x:v>LC2609</x:v>
      </x:c>
      <x:c r="K47" s="22" t="n">
        <x:v>3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8740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8740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550.2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183.4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574.1999999999999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191.4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131.7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564.5999999999999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188.2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585.8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195.3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221.60000000000002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73.9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122.19999999999999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40.7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15280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5093.3</x:v>
      </x:c>
      <x:c r="K10" s="28"/>
    </x:row>
  </x:sheetData>
  <x:mergeCells>
    <x:mergeCell ref="A1:K1"/>
  </x:mergeCells>
  <x:pageMargins left="0.7" right="0.7" top="0.75" bottom="0.75" header="0.3" footer="0.3"/>
</x:worksheet>
</file>