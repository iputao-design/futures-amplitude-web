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8ffba185a040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a0655f6961c4fd9"/>
    <x:sheet xmlns:r="http://schemas.openxmlformats.org/officeDocument/2006/relationships" name="周振幅统计" sheetId="2" r:id="R68be562840604713"/>
    <x:sheet xmlns:r="http://schemas.openxmlformats.org/officeDocument/2006/relationships" name="中证1000" sheetId="3" r:id="R6fe868b208d14e2f"/>
    <x:sheet xmlns:r="http://schemas.openxmlformats.org/officeDocument/2006/relationships" name="中证500" sheetId="4" r:id="Rbb5463243b1842c1"/>
    <x:sheet xmlns:r="http://schemas.openxmlformats.org/officeDocument/2006/relationships" name="上证指数" sheetId="5" r:id="R5c57aad3bd934a2f"/>
    <x:sheet xmlns:r="http://schemas.openxmlformats.org/officeDocument/2006/relationships" name="IM主力" sheetId="6" r:id="R74282c0a1a5b468c"/>
    <x:sheet xmlns:r="http://schemas.openxmlformats.org/officeDocument/2006/relationships" name="IC主力" sheetId="7" r:id="R982cb0163607439e"/>
    <x:sheet xmlns:r="http://schemas.openxmlformats.org/officeDocument/2006/relationships" name="IF主力" sheetId="8" r:id="Rd105b92454e3455d"/>
    <x:sheet xmlns:r="http://schemas.openxmlformats.org/officeDocument/2006/relationships" name="IH主力" sheetId="9" r:id="Rdd481a9f4b414a6e"/>
    <x:sheet xmlns:r="http://schemas.openxmlformats.org/officeDocument/2006/relationships" name="碳酸锂2610" sheetId="10" r:id="Rd2570a5e72304b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2a3799c7764be4" /><Relationship Type="http://schemas.openxmlformats.org/officeDocument/2006/relationships/theme" Target="/xl/theme/theme1.xml" Id="Rbd2d71a52b074368" /><Relationship Type="http://schemas.openxmlformats.org/officeDocument/2006/relationships/sharedStrings" Target="/xl/sharedStrings.xml" Id="R7b874be0a9114593" /><Relationship Type="http://schemas.openxmlformats.org/officeDocument/2006/relationships/worksheet" Target="/xl/worksheets/sheet1.xml" Id="R1a0655f6961c4fd9" /><Relationship Type="http://schemas.openxmlformats.org/officeDocument/2006/relationships/worksheet" Target="/xl/worksheets/sheet2.xml" Id="R68be562840604713" /><Relationship Type="http://schemas.openxmlformats.org/officeDocument/2006/relationships/worksheet" Target="/xl/worksheets/sheet3.xml" Id="R6fe868b208d14e2f" /><Relationship Type="http://schemas.openxmlformats.org/officeDocument/2006/relationships/worksheet" Target="/xl/worksheets/sheet4.xml" Id="Rbb5463243b1842c1" /><Relationship Type="http://schemas.openxmlformats.org/officeDocument/2006/relationships/worksheet" Target="/xl/worksheets/sheet5.xml" Id="R5c57aad3bd934a2f" /><Relationship Type="http://schemas.openxmlformats.org/officeDocument/2006/relationships/worksheet" Target="/xl/worksheets/sheet6.xml" Id="R74282c0a1a5b468c" /><Relationship Type="http://schemas.openxmlformats.org/officeDocument/2006/relationships/worksheet" Target="/xl/worksheets/sheet7.xml" Id="R982cb0163607439e" /><Relationship Type="http://schemas.openxmlformats.org/officeDocument/2006/relationships/worksheet" Target="/xl/worksheets/sheet8.xml" Id="Rd105b92454e3455d" /><Relationship Type="http://schemas.openxmlformats.org/officeDocument/2006/relationships/worksheet" Target="/xl/worksheets/sheet9.xml" Id="Rdd481a9f4b414a6e" /><Relationship Type="http://schemas.openxmlformats.org/officeDocument/2006/relationships/worksheet" Target="/xl/worksheets/sheet10.xml" Id="Rd2570a5e72304b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2026-10-27</x:v>
      </x:c>
      <x:c r="C4" s="10" t="n">
        <x:v>6717.99</x:v>
      </x:c>
      <x:c r="D4" s="10" t="n">
        <x:v>6427.17</x:v>
      </x:c>
      <x:c r="E4" s="12" t="n">
        <x:v>290.8</x:v>
      </x:c>
      <x:c r="F4" s="9" t="n">
        <x:v>14</x:v>
      </x:c>
      <x:c r="G4" s="10" t="n">
        <x:v>2977.2</x:v>
      </x:c>
      <x:c r="H4" s="10" t="n">
        <x:v>212.7</x:v>
      </x:c>
      <x:c r="I4" s="10" t="n">
        <x:v>180</x:v>
      </x:c>
    </x:row>
    <x:row r="5">
      <x:c r="A5" s="9" t="str">
        <x:v>中证500</x:v>
      </x:c>
      <x:c r="B5" s="9" t="str">
        <x:v>2026-10-27</x:v>
      </x:c>
      <x:c r="C5" s="10" t="n">
        <x:v>6784.25</x:v>
      </x:c>
      <x:c r="D5" s="10" t="n">
        <x:v>6511.37</x:v>
      </x:c>
      <x:c r="E5" s="12" t="n">
        <x:v>272.9</x:v>
      </x:c>
      <x:c r="F5" s="9" t="n">
        <x:v>14</x:v>
      </x:c>
      <x:c r="G5" s="10" t="n">
        <x:v>2770.4</x:v>
      </x:c>
      <x:c r="H5" s="10" t="n">
        <x:v>197.9</x:v>
      </x:c>
      <x:c r="I5" s="10" t="n">
        <x:v>160</x:v>
      </x:c>
    </x:row>
    <x:row r="6">
      <x:c r="A6" s="9" t="str">
        <x:v>上证指数</x:v>
      </x:c>
      <x:c r="B6" s="9" t="str">
        <x:v>2026-10-27</x:v>
      </x:c>
      <x:c r="C6" s="10" t="n">
        <x:v>3708.2</x:v>
      </x:c>
      <x:c r="D6" s="10" t="n">
        <x:v>3648.3</x:v>
      </x:c>
      <x:c r="E6" s="12" t="n">
        <x:v>59.9</x:v>
      </x:c>
      <x:c r="F6" s="9" t="n">
        <x:v>14</x:v>
      </x:c>
      <x:c r="G6" s="10" t="n">
        <x:v>831.1</x:v>
      </x:c>
      <x:c r="H6" s="10" t="n">
        <x:v>59.4</x:v>
      </x:c>
      <x:c r="I6" s="10" t="n">
        <x:v>50</x:v>
      </x:c>
    </x:row>
    <x:row r="7">
      <x:c r="A7" s="9" t="str">
        <x:v>IM主力</x:v>
      </x:c>
      <x:c r="B7" s="9" t="str">
        <x:v>2026-10-27</x:v>
      </x:c>
      <x:c r="C7" s="10" t="n">
        <x:v>6670.8</x:v>
      </x:c>
      <x:c r="D7" s="10" t="n">
        <x:v>6333.2</x:v>
      </x:c>
      <x:c r="E7" s="12" t="n">
        <x:v>337.6</x:v>
      </x:c>
      <x:c r="F7" s="9" t="n">
        <x:v>14</x:v>
      </x:c>
      <x:c r="G7" s="10" t="n">
        <x:v>3205.6</x:v>
      </x:c>
      <x:c r="H7" s="10" t="n">
        <x:v>229</x:v>
      </x:c>
      <x:c r="I7" s="10" t="n">
        <x:v>190</x:v>
      </x:c>
    </x:row>
    <x:row r="8">
      <x:c r="A8" s="9" t="str">
        <x:v>IC主力</x:v>
      </x:c>
      <x:c r="B8" s="9" t="str">
        <x:v>2026-10-27</x:v>
      </x:c>
      <x:c r="C8" s="10" t="n">
        <x:v>6732.2</x:v>
      </x:c>
      <x:c r="D8" s="10" t="n">
        <x:v>6405.6</x:v>
      </x:c>
      <x:c r="E8" s="12" t="n">
        <x:v>326.6</x:v>
      </x:c>
      <x:c r="F8" s="9" t="n">
        <x:v>14</x:v>
      </x:c>
      <x:c r="G8" s="10" t="n">
        <x:v>3095</x:v>
      </x:c>
      <x:c r="H8" s="10" t="n">
        <x:v>221.1</x:v>
      </x:c>
      <x:c r="I8" s="10" t="n">
        <x:v>150</x:v>
      </x:c>
    </x:row>
    <x:row r="9">
      <x:c r="A9" s="9" t="str">
        <x:v>IF主力</x:v>
      </x:c>
      <x:c r="B9" s="9" t="str">
        <x:v>2026-10-27</x:v>
      </x:c>
      <x:c r="C9" s="10" t="n">
        <x:v>4066.6</x:v>
      </x:c>
      <x:c r="D9" s="10" t="n">
        <x:v>3989.8</x:v>
      </x:c>
      <x:c r="E9" s="12" t="n">
        <x:v>76.8</x:v>
      </x:c>
      <x:c r="F9" s="9" t="n">
        <x:v>14</x:v>
      </x:c>
      <x:c r="G9" s="10" t="n">
        <x:v>1200.8</x:v>
      </x:c>
      <x:c r="H9" s="10" t="n">
        <x:v>85.8</x:v>
      </x:c>
      <x:c r="I9" s="10" t="n">
        <x:v>90</x:v>
      </x:c>
    </x:row>
    <x:row r="10">
      <x:c r="A10" s="9" t="str">
        <x:v>IH主力</x:v>
      </x:c>
      <x:c r="B10" s="9" t="str">
        <x:v>2026-10-26</x:v>
      </x:c>
      <x:c r="C10" s="10" t="n">
        <x:v>2724</x:v>
      </x:c>
      <x:c r="D10" s="10" t="n">
        <x:v>2691.2</x:v>
      </x:c>
      <x:c r="E10" s="12" t="n">
        <x:v>32.8</x:v>
      </x:c>
      <x:c r="F10" s="9" t="n">
        <x:v>13</x:v>
      </x:c>
      <x:c r="G10" s="10" t="n">
        <x:v>618.2</x:v>
      </x:c>
      <x:c r="H10" s="10" t="n">
        <x:v>47.6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10月26日-10月27日</x:v>
      </x:c>
      <x:c r="C8" s="23" t="n">
        <x:v>6684.93</x:v>
      </x:c>
      <x:c r="D8" s="23" t="n">
        <x:v>6717.99</x:v>
      </x:c>
      <x:c r="E8" s="23" t="n">
        <x:v>6427.17</x:v>
      </x:c>
      <x:c r="F8" s="23" t="n">
        <x:v>6427.17</x:v>
      </x:c>
      <x:c r="G8" s="28" t="n">
        <x:f>ROUND(F8-F7,1)</x:f>
        <x:v>-307.4</x:v>
      </x:c>
      <x:c r="H8" s="24" t="n">
        <x:f>IFERROR(F8/F7-1,"")</x:f>
        <x:v>-0.04564224781165782</x:v>
      </x:c>
      <x:c r="I8" s="26" t="n">
        <x:f>ROUND(D8-E8,1)</x:f>
        <x:v>290.8</x:v>
      </x:c>
      <x:c r="J8" s="22" t="str">
        <x:v>中证1000</x:v>
      </x:c>
      <x:c r="K8" s="22" t="n">
        <x:v>2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1829.4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457.4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10月8日-10月9日</x:v>
      </x:c>
      <x:c r="C14" s="23" t="n">
        <x:v>7420.44</x:v>
      </x:c>
      <x:c r="D14" s="23" t="n">
        <x:v>7461.24</x:v>
      </x:c>
      <x:c r="E14" s="23" t="n">
        <x:v>7048.45</x:v>
      </x:c>
      <x:c r="F14" s="23" t="n">
        <x:v>7251.01</x:v>
      </x:c>
      <x:c r="G14" s="23"/>
      <x:c r="H14" s="24"/>
      <x:c r="I14" s="26" t="n">
        <x:f>ROUND(D14-E14,1)</x:f>
        <x:v>412.8</x:v>
      </x:c>
      <x:c r="J14" s="22" t="str">
        <x:v>中证500</x:v>
      </x:c>
      <x:c r="K14" s="22" t="n">
        <x:v>2</x:v>
      </x:c>
    </x:row>
    <x:row r="15">
      <x:c r="A15" s="22" t="n">
        <x:v>2</x:v>
      </x:c>
      <x:c r="B15" s="22" t="str">
        <x:v>10月12日-10月16日</x:v>
      </x:c>
      <x:c r="C15" s="23" t="n">
        <x:v>7226.07</x:v>
      </x:c>
      <x:c r="D15" s="23" t="n">
        <x:v>7236.78</x:v>
      </x:c>
      <x:c r="E15" s="23" t="n">
        <x:v>6719.82</x:v>
      </x:c>
      <x:c r="F15" s="23" t="n">
        <x:v>6772.75</x:v>
      </x:c>
      <x:c r="G15" s="28" t="n">
        <x:f>ROUND(F15-F14,1)</x:f>
        <x:v>-478.3</x:v>
      </x:c>
      <x:c r="H15" s="24" t="n">
        <x:f>IFERROR(F15/F14-1,"")</x:f>
        <x:v>-0.06595770796068412</x:v>
      </x:c>
      <x:c r="I15" s="26" t="n">
        <x:f>ROUND(D15-E15,1)</x:f>
        <x:v>517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10月19日-10月23日</x:v>
      </x:c>
      <x:c r="C16" s="23" t="n">
        <x:v>6735.53</x:v>
      </x:c>
      <x:c r="D16" s="23" t="n">
        <x:v>6941.51</x:v>
      </x:c>
      <x:c r="E16" s="23" t="n">
        <x:v>6440.29</x:v>
      </x:c>
      <x:c r="F16" s="23" t="n">
        <x:v>6814.44</x:v>
      </x:c>
      <x:c r="G16" s="23" t="n">
        <x:f>ROUND(F16-F15,1)</x:f>
        <x:v>41.7</x:v>
      </x:c>
      <x:c r="H16" s="24" t="n">
        <x:f>IFERROR(F16/F15-1,"")</x:f>
        <x:v>0.006155549813591232</x:v>
      </x:c>
      <x:c r="I16" s="26" t="n">
        <x:f>ROUND(D16-E16,1)</x:f>
        <x:v>501.2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10月26日-10月27日</x:v>
      </x:c>
      <x:c r="C17" s="23" t="n">
        <x:v>6756.46</x:v>
      </x:c>
      <x:c r="D17" s="23" t="n">
        <x:v>6787.32</x:v>
      </x:c>
      <x:c r="E17" s="23" t="n">
        <x:v>6511.37</x:v>
      </x:c>
      <x:c r="F17" s="23" t="n">
        <x:v>6511.42</x:v>
      </x:c>
      <x:c r="G17" s="28" t="n">
        <x:f>ROUND(F17-F16,1)</x:f>
        <x:v>-303</x:v>
      </x:c>
      <x:c r="H17" s="24" t="n">
        <x:f>IFERROR(F17/F16-1,"")</x:f>
        <x:v>-0.04446733700788319</x:v>
      </x:c>
      <x:c r="I17" s="26" t="n">
        <x:f>ROUND(D17-E17,1)</x:f>
        <x:v>275.9</x:v>
      </x:c>
      <x:c r="J17" s="22" t="str">
        <x:v>中证500</x:v>
      </x:c>
      <x:c r="K17" s="22" t="n">
        <x:v>2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1706.9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426.7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3838.98</x:v>
      </x:c>
      <x:c r="D23" s="23" t="n">
        <x:v>3864.12</x:v>
      </x:c>
      <x:c r="E23" s="23" t="n">
        <x:v>3754.14</x:v>
      </x:c>
      <x:c r="F23" s="23" t="n">
        <x:v>3813.79</x:v>
      </x:c>
      <x:c r="G23" s="23"/>
      <x:c r="H23" s="24"/>
      <x:c r="I23" s="26" t="n">
        <x:f>ROUND(D23-E23,1)</x:f>
        <x:v>110</x:v>
      </x:c>
      <x:c r="J23" s="22" t="str">
        <x:v>上证指数</x:v>
      </x:c>
      <x:c r="K23" s="22" t="n">
        <x:v>2</x:v>
      </x:c>
    </x:row>
    <x:row r="24">
      <x:c r="A24" s="22" t="n">
        <x:v>2</x:v>
      </x:c>
      <x:c r="B24" s="22" t="str">
        <x:v>10月12日-10月16日</x:v>
      </x:c>
      <x:c r="C24" s="23" t="n">
        <x:v>3806.98</x:v>
      </x:c>
      <x:c r="D24" s="23" t="n">
        <x:v>3828.22</x:v>
      </x:c>
      <x:c r="E24" s="23" t="n">
        <x:v>3674.82</x:v>
      </x:c>
      <x:c r="F24" s="23" t="n">
        <x:v>3716.28</x:v>
      </x:c>
      <x:c r="G24" s="23" t="n">
        <x:f>ROUND(F24-F23,1)</x:f>
        <x:v>-97.5</x:v>
      </x:c>
      <x:c r="H24" s="24" t="n">
        <x:f>IFERROR(F24/F23-1,"")</x:f>
        <x:v>-0.02556774232456427</x:v>
      </x:c>
      <x:c r="I24" s="26" t="n">
        <x:f>ROUND(D24-E24,1)</x:f>
        <x:v>153.4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10月19日-10月23日</x:v>
      </x:c>
      <x:c r="C25" s="23" t="n">
        <x:v>3694.12</x:v>
      </x:c>
      <x:c r="D25" s="23" t="n">
        <x:v>3743.8</x:v>
      </x:c>
      <x:c r="E25" s="23" t="n">
        <x:v>3574.27</x:v>
      </x:c>
      <x:c r="F25" s="23" t="n">
        <x:v>3690.48</x:v>
      </x:c>
      <x:c r="G25" s="23" t="n">
        <x:f>ROUND(F25-F24,1)</x:f>
        <x:v>-25.8</x:v>
      </x:c>
      <x:c r="H25" s="24" t="n">
        <x:f>IFERROR(F25/F24-1,"")</x:f>
        <x:v>-0.0069424262972650475</x:v>
      </x:c>
      <x:c r="I25" s="26" t="n">
        <x:f>ROUND(D25-E25,1)</x:f>
        <x:v>169.5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10月26日-10月27日</x:v>
      </x:c>
      <x:c r="C26" s="23" t="n">
        <x:v>3671</x:v>
      </x:c>
      <x:c r="D26" s="23" t="n">
        <x:v>3708.2</x:v>
      </x:c>
      <x:c r="E26" s="23" t="n">
        <x:v>3648.3</x:v>
      </x:c>
      <x:c r="F26" s="23" t="n">
        <x:v>3648.3</x:v>
      </x:c>
      <x:c r="G26" s="23" t="n">
        <x:f>ROUND(F26-F25,1)</x:f>
        <x:v>-42.2</x:v>
      </x:c>
      <x:c r="H26" s="24" t="n">
        <x:f>IFERROR(F26/F25-1,"")</x:f>
        <x:v>-0.01142940755674049</x:v>
      </x:c>
      <x:c r="I26" s="26" t="n">
        <x:f>ROUND(D26-E26,1)</x:f>
        <x:v>59.9</x:v>
      </x:c>
      <x:c r="J26" s="22" t="str">
        <x:v>上证指数</x:v>
      </x:c>
      <x:c r="K26" s="22" t="n">
        <x:v>2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492.8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123.2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10月8日-10月9日</x:v>
      </x:c>
      <x:c r="C32" s="23" t="n">
        <x:v>7182.8</x:v>
      </x:c>
      <x:c r="D32" s="23" t="n">
        <x:v>7251.8</x:v>
      </x:c>
      <x:c r="E32" s="23" t="n">
        <x:v>6819.2</x:v>
      </x:c>
      <x:c r="F32" s="23" t="n">
        <x:v>7015.8</x:v>
      </x:c>
      <x:c r="G32" s="23"/>
      <x:c r="H32" s="24"/>
      <x:c r="I32" s="26" t="n">
        <x:f>ROUND(D32-E32,1)</x:f>
        <x:v>432.6</x:v>
      </x:c>
      <x:c r="J32" s="22" t="str">
        <x:v>IM2612</x:v>
      </x:c>
      <x:c r="K32" s="22" t="n">
        <x:v>2</x:v>
      </x:c>
    </x:row>
    <x:row r="33">
      <x:c r="A33" s="22" t="n">
        <x:v>2</x:v>
      </x:c>
      <x:c r="B33" s="22" t="str">
        <x:v>10月12日-10月16日</x:v>
      </x:c>
      <x:c r="C33" s="23" t="n">
        <x:v>7000</x:v>
      </x:c>
      <x:c r="D33" s="23" t="n">
        <x:v>7031.2</x:v>
      </x:c>
      <x:c r="E33" s="23" t="n">
        <x:v>6519.6</x:v>
      </x:c>
      <x:c r="F33" s="23" t="n">
        <x:v>6583.6</x:v>
      </x:c>
      <x:c r="G33" s="28" t="n">
        <x:f>ROUND(F33-F32,1)</x:f>
        <x:v>-432.2</x:v>
      </x:c>
      <x:c r="H33" s="24" t="n">
        <x:f>IFERROR(F33/F32-1,"")</x:f>
        <x:v>-0.06160380854642378</x:v>
      </x:c>
      <x:c r="I33" s="26" t="n">
        <x:f>ROUND(D33-E33,1)</x:f>
        <x:v>511.6</x:v>
      </x:c>
      <x:c r="J33" s="22" t="str">
        <x:v>IM2612</x:v>
      </x:c>
      <x:c r="K33" s="22" t="n">
        <x:v>5</x:v>
      </x:c>
    </x:row>
    <x:row r="34">
      <x:c r="A34" s="22" t="n">
        <x:v>3</x:v>
      </x:c>
      <x:c r="B34" s="22" t="str">
        <x:v>10月19日-10月23日</x:v>
      </x:c>
      <x:c r="C34" s="23" t="n">
        <x:v>6577.2</x:v>
      </x:c>
      <x:c r="D34" s="23" t="n">
        <x:v>6799.6</x:v>
      </x:c>
      <x:c r="E34" s="23" t="n">
        <x:v>6212.6</x:v>
      </x:c>
      <x:c r="F34" s="23" t="n">
        <x:v>6660</x:v>
      </x:c>
      <x:c r="G34" s="23" t="n">
        <x:f>ROUND(F34-F33,1)</x:f>
        <x:v>76.4</x:v>
      </x:c>
      <x:c r="H34" s="24" t="n">
        <x:f>IFERROR(F34/F33-1,"")</x:f>
        <x:v>0.011604593231666405</x:v>
      </x:c>
      <x:c r="I34" s="26" t="n">
        <x:f>ROUND(D34-E34,1)</x:f>
        <x:v>587</x:v>
      </x:c>
      <x:c r="J34" s="22" t="str">
        <x:v>IM2612</x:v>
      </x:c>
      <x:c r="K34" s="22" t="n">
        <x:v>5</x:v>
      </x:c>
    </x:row>
    <x:row r="35">
      <x:c r="A35" s="22" t="n">
        <x:v>4</x:v>
      </x:c>
      <x:c r="B35" s="22" t="str">
        <x:v>10月26日-10月27日</x:v>
      </x:c>
      <x:c r="C35" s="23" t="n">
        <x:v>6618</x:v>
      </x:c>
      <x:c r="D35" s="23" t="n">
        <x:v>6670.8</x:v>
      </x:c>
      <x:c r="E35" s="23" t="n">
        <x:v>6333.2</x:v>
      </x:c>
      <x:c r="F35" s="23" t="n">
        <x:v>6339.2</x:v>
      </x:c>
      <x:c r="G35" s="28" t="n">
        <x:f>ROUND(F35-F34,1)</x:f>
        <x:v>-320.8</x:v>
      </x:c>
      <x:c r="H35" s="24" t="n">
        <x:f>IFERROR(F35/F34-1,"")</x:f>
        <x:v>-0.04816816816816816</x:v>
      </x:c>
      <x:c r="I35" s="26" t="n">
        <x:f>ROUND(D35-E35,1)</x:f>
        <x:v>337.6</x:v>
      </x:c>
      <x:c r="J35" s="22" t="str">
        <x:v>IM2612</x:v>
      </x:c>
      <x:c r="K35" s="22" t="n">
        <x:v>2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1868.8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467.2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10月8日-10月9日</x:v>
      </x:c>
      <x:c r="C41" s="23" t="n">
        <x:v>7295</x:v>
      </x:c>
      <x:c r="D41" s="23" t="n">
        <x:v>7355</x:v>
      </x:c>
      <x:c r="E41" s="23" t="n">
        <x:v>6932</x:v>
      </x:c>
      <x:c r="F41" s="23" t="n">
        <x:v>7111</x:v>
      </x:c>
      <x:c r="G41" s="23"/>
      <x:c r="H41" s="24"/>
      <x:c r="I41" s="26" t="n">
        <x:f>ROUND(D41-E41,1)</x:f>
        <x:v>423</x:v>
      </x:c>
      <x:c r="J41" s="22" t="str">
        <x:v>IC2612</x:v>
      </x:c>
      <x:c r="K41" s="22" t="n">
        <x:v>2</x:v>
      </x:c>
    </x:row>
    <x:row r="42">
      <x:c r="A42" s="22" t="n">
        <x:v>2</x:v>
      </x:c>
      <x:c r="B42" s="22" t="str">
        <x:v>10月12日-10月16日</x:v>
      </x:c>
      <x:c r="C42" s="23" t="n">
        <x:v>7076.6</x:v>
      </x:c>
      <x:c r="D42" s="23" t="n">
        <x:v>7115.6</x:v>
      </x:c>
      <x:c r="E42" s="23" t="n">
        <x:v>6583.2</x:v>
      </x:c>
      <x:c r="F42" s="23" t="n">
        <x:v>6667.8</x:v>
      </x:c>
      <x:c r="G42" s="28" t="n">
        <x:f>ROUND(F42-F41,1)</x:f>
        <x:v>-443.2</x:v>
      </x:c>
      <x:c r="H42" s="24" t="n">
        <x:f>IFERROR(F42/F41-1,"")</x:f>
        <x:v>-0.062325973843341265</x:v>
      </x:c>
      <x:c r="I42" s="26" t="n">
        <x:f>ROUND(D42-E42,1)</x:f>
        <x:v>532.4</x:v>
      </x:c>
      <x:c r="J42" s="22" t="str">
        <x:v>IC2612</x:v>
      </x:c>
      <x:c r="K42" s="22" t="n">
        <x:v>5</x:v>
      </x:c>
    </x:row>
    <x:row r="43">
      <x:c r="A43" s="22" t="n">
        <x:v>3</x:v>
      </x:c>
      <x:c r="B43" s="22" t="str">
        <x:v>10月19日-10月23日</x:v>
      </x:c>
      <x:c r="C43" s="23" t="n">
        <x:v>6670.2</x:v>
      </x:c>
      <x:c r="D43" s="23" t="n">
        <x:v>6864</x:v>
      </x:c>
      <x:c r="E43" s="23" t="n">
        <x:v>6340</x:v>
      </x:c>
      <x:c r="F43" s="23" t="n">
        <x:v>6742</x:v>
      </x:c>
      <x:c r="G43" s="23" t="n">
        <x:f>ROUND(F43-F42,1)</x:f>
        <x:v>74.2</x:v>
      </x:c>
      <x:c r="H43" s="24" t="n">
        <x:f>IFERROR(F43/F42-1,"")</x:f>
        <x:v>0.011128108221602373</x:v>
      </x:c>
      <x:c r="I43" s="26" t="n">
        <x:f>ROUND(D43-E43,1)</x:f>
        <x:v>524</x:v>
      </x:c>
      <x:c r="J43" s="22" t="str">
        <x:v>IC2612</x:v>
      </x:c>
      <x:c r="K43" s="22" t="n">
        <x:v>5</x:v>
      </x:c>
    </x:row>
    <x:row r="44">
      <x:c r="A44" s="22" t="n">
        <x:v>4</x:v>
      </x:c>
      <x:c r="B44" s="22" t="str">
        <x:v>10月26日-10月27日</x:v>
      </x:c>
      <x:c r="C44" s="23" t="n">
        <x:v>6700</x:v>
      </x:c>
      <x:c r="D44" s="23" t="n">
        <x:v>6732.2</x:v>
      </x:c>
      <x:c r="E44" s="23" t="n">
        <x:v>6405.6</x:v>
      </x:c>
      <x:c r="F44" s="23" t="n">
        <x:v>6407.6</x:v>
      </x:c>
      <x:c r="G44" s="28" t="n">
        <x:f>ROUND(F44-F43,1)</x:f>
        <x:v>-334.4</x:v>
      </x:c>
      <x:c r="H44" s="24" t="n">
        <x:f>IFERROR(F44/F43-1,"")</x:f>
        <x:v>-0.049599525363393626</x:v>
      </x:c>
      <x:c r="I44" s="26" t="n">
        <x:f>ROUND(D44-E44,1)</x:f>
        <x:v>326.6</x:v>
      </x:c>
      <x:c r="J44" s="22" t="str">
        <x:v>IC2612</x:v>
      </x:c>
      <x:c r="K44" s="22" t="n">
        <x:v>2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1806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451.5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10月8日-10月9日</x:v>
      </x:c>
      <x:c r="C50" s="23" t="n">
        <x:v>4300.8</x:v>
      </x:c>
      <x:c r="D50" s="23" t="n">
        <x:v>4331.6</x:v>
      </x:c>
      <x:c r="E50" s="23" t="n">
        <x:v>4180.4</x:v>
      </x:c>
      <x:c r="F50" s="23" t="n">
        <x:v>4244.8</x:v>
      </x:c>
      <x:c r="G50" s="23"/>
      <x:c r="H50" s="24"/>
      <x:c r="I50" s="26" t="n">
        <x:f>ROUND(D50-E50,1)</x:f>
        <x:v>151.2</x:v>
      </x:c>
      <x:c r="J50" s="22" t="str">
        <x:v>IF2612</x:v>
      </x:c>
      <x:c r="K50" s="22" t="n">
        <x:v>2</x:v>
      </x:c>
    </x:row>
    <x:row r="51">
      <x:c r="A51" s="22" t="n">
        <x:v>2</x:v>
      </x:c>
      <x:c r="B51" s="22" t="str">
        <x:v>10月12日-10月16日</x:v>
      </x:c>
      <x:c r="C51" s="23" t="n">
        <x:v>4240.4</x:v>
      </x:c>
      <x:c r="D51" s="23" t="n">
        <x:v>4273.6</x:v>
      </x:c>
      <x:c r="E51" s="23" t="n">
        <x:v>4045.2</x:v>
      </x:c>
      <x:c r="F51" s="23" t="n">
        <x:v>4088.8</x:v>
      </x:c>
      <x:c r="G51" s="28" t="n">
        <x:f>ROUND(F51-F50,1)</x:f>
        <x:v>-156</x:v>
      </x:c>
      <x:c r="H51" s="24" t="n">
        <x:f>IFERROR(F51/F50-1,"")</x:f>
        <x:v>-0.03675084809649454</x:v>
      </x:c>
      <x:c r="I51" s="26" t="n">
        <x:f>ROUND(D51-E51,1)</x:f>
        <x:v>228.4</x:v>
      </x:c>
      <x:c r="J51" s="22" t="str">
        <x:v>IF2612</x:v>
      </x:c>
      <x:c r="K51" s="22" t="n">
        <x:v>5</x:v>
      </x:c>
    </x:row>
    <x:row r="52">
      <x:c r="A52" s="22" t="n">
        <x:v>3</x:v>
      </x:c>
      <x:c r="B52" s="22" t="str">
        <x:v>10月19日-10月23日</x:v>
      </x:c>
      <x:c r="C52" s="23" t="n">
        <x:v>4086.4</x:v>
      </x:c>
      <x:c r="D52" s="23" t="n">
        <x:v>4140.2</x:v>
      </x:c>
      <x:c r="E52" s="23" t="n">
        <x:v>3897.6</x:v>
      </x:c>
      <x:c r="F52" s="23" t="n">
        <x:v>4055</x:v>
      </x:c>
      <x:c r="G52" s="23" t="n">
        <x:f>ROUND(F52-F51,1)</x:f>
        <x:v>-33.8</x:v>
      </x:c>
      <x:c r="H52" s="24" t="n">
        <x:f>IFERROR(F52/F51-1,"")</x:f>
        <x:v>-0.00826648405400121</x:v>
      </x:c>
      <x:c r="I52" s="26" t="n">
        <x:f>ROUND(D52-E52,1)</x:f>
        <x:v>242.6</x:v>
      </x:c>
      <x:c r="J52" s="22" t="str">
        <x:v>IF2612</x:v>
      </x:c>
      <x:c r="K52" s="22" t="n">
        <x:v>5</x:v>
      </x:c>
    </x:row>
    <x:row r="53">
      <x:c r="A53" s="22" t="n">
        <x:v>4</x:v>
      </x:c>
      <x:c r="B53" s="22" t="str">
        <x:v>10月26日-10月27日</x:v>
      </x:c>
      <x:c r="C53" s="23" t="n">
        <x:v>4034</x:v>
      </x:c>
      <x:c r="D53" s="23" t="n">
        <x:v>4066.6</x:v>
      </x:c>
      <x:c r="E53" s="23" t="n">
        <x:v>3989.8</x:v>
      </x:c>
      <x:c r="F53" s="23" t="n">
        <x:v>3991.2</x:v>
      </x:c>
      <x:c r="G53" s="23" t="n">
        <x:f>ROUND(F53-F52,1)</x:f>
        <x:v>-63.8</x:v>
      </x:c>
      <x:c r="H53" s="24" t="n">
        <x:f>IFERROR(F53/F52-1,"")</x:f>
        <x:v>-0.015733662145499427</x:v>
      </x:c>
      <x:c r="I53" s="23" t="n">
        <x:f>ROUND(D53-E53,1)</x:f>
        <x:v>76.8</x:v>
      </x:c>
      <x:c r="J53" s="22" t="str">
        <x:v>IF2612</x:v>
      </x:c>
      <x:c r="K53" s="22" t="n">
        <x:v>2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699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174.8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10月8日-10月9日</x:v>
      </x:c>
      <x:c r="C59" s="23" t="n">
        <x:v>2764</x:v>
      </x:c>
      <x:c r="D59" s="23" t="n">
        <x:v>2798.4</x:v>
      </x:c>
      <x:c r="E59" s="23" t="n">
        <x:v>2735</x:v>
      </x:c>
      <x:c r="F59" s="23" t="n">
        <x:v>2764</x:v>
      </x:c>
      <x:c r="G59" s="23"/>
      <x:c r="H59" s="24"/>
      <x:c r="I59" s="26" t="n">
        <x:f>ROUND(D59-E59,1)</x:f>
        <x:v>63.4</x:v>
      </x:c>
      <x:c r="J59" s="22" t="str">
        <x:v>IH2612</x:v>
      </x:c>
      <x:c r="K59" s="22" t="n">
        <x:v>2</x:v>
      </x:c>
    </x:row>
    <x:row r="60">
      <x:c r="A60" s="22" t="n">
        <x:v>2</x:v>
      </x:c>
      <x:c r="B60" s="22" t="str">
        <x:v>10月12日-10月16日</x:v>
      </x:c>
      <x:c r="C60" s="23" t="n">
        <x:v>2762</x:v>
      </x:c>
      <x:c r="D60" s="23" t="n">
        <x:v>2794</x:v>
      </x:c>
      <x:c r="E60" s="23" t="n">
        <x:v>2677.6</x:v>
      </x:c>
      <x:c r="F60" s="23" t="n">
        <x:v>2704.6</x:v>
      </x:c>
      <x:c r="G60" s="23" t="n">
        <x:f>ROUND(F60-F59,1)</x:f>
        <x:v>-59.4</x:v>
      </x:c>
      <x:c r="H60" s="24" t="n">
        <x:f>IFERROR(F60/F59-1,"")</x:f>
        <x:v>-0.0214905933429812</x:v>
      </x:c>
      <x:c r="I60" s="26" t="n">
        <x:f>ROUND(D60-E60,1)</x:f>
        <x:v>116.4</x:v>
      </x:c>
      <x:c r="J60" s="22" t="str">
        <x:v>IH2612</x:v>
      </x:c>
      <x:c r="K60" s="22" t="n">
        <x:v>5</x:v>
      </x:c>
    </x:row>
    <x:row r="61">
      <x:c r="A61" s="22" t="n">
        <x:v>3</x:v>
      </x:c>
      <x:c r="B61" s="22" t="str">
        <x:v>10月19日-10月23日</x:v>
      </x:c>
      <x:c r="C61" s="23" t="n">
        <x:v>2690</x:v>
      </x:c>
      <x:c r="D61" s="23" t="n">
        <x:v>2754.6</x:v>
      </x:c>
      <x:c r="E61" s="23" t="n">
        <x:v>2638</x:v>
      </x:c>
      <x:c r="F61" s="23" t="n">
        <x:v>2719</x:v>
      </x:c>
      <x:c r="G61" s="23" t="n">
        <x:f>ROUND(F61-F60,1)</x:f>
        <x:v>14.4</x:v>
      </x:c>
      <x:c r="H61" s="24" t="n">
        <x:f>IFERROR(F61/F60-1,"")</x:f>
        <x:v>0.0053242623678178</x:v>
      </x:c>
      <x:c r="I61" s="26" t="n">
        <x:f>ROUND(D61-E61,1)</x:f>
        <x:v>116.6</x:v>
      </x:c>
      <x:c r="J61" s="22" t="str">
        <x:v>IH2612</x:v>
      </x:c>
      <x:c r="K61" s="22" t="n">
        <x:v>5</x:v>
      </x:c>
    </x:row>
    <x:row r="62">
      <x:c r="A62" s="22" t="n">
        <x:v>4</x:v>
      </x:c>
      <x:c r="B62" s="22" t="str">
        <x:v>10月26日</x:v>
      </x:c>
      <x:c r="C62" s="23" t="n">
        <x:v>2711</x:v>
      </x:c>
      <x:c r="D62" s="23" t="n">
        <x:v>2724</x:v>
      </x:c>
      <x:c r="E62" s="23" t="n">
        <x:v>2691.2</x:v>
      </x:c>
      <x:c r="F62" s="23" t="n">
        <x:v>2721.8</x:v>
      </x:c>
      <x:c r="G62" s="23" t="n">
        <x:f>ROUND(F62-F61,1)</x:f>
        <x:v>2.8</x:v>
      </x:c>
      <x:c r="H62" s="24" t="n">
        <x:f>IFERROR(F62/F61-1,"")</x:f>
        <x:v>0.0010297903641045547</x:v>
      </x:c>
      <x:c r="I62" s="23" t="n">
        <x:f>ROUND(D62-E62,1)</x:f>
        <x:v>32.8</x:v>
      </x:c>
      <x:c r="J62" s="22" t="str">
        <x:v>IH2612</x:v>
      </x:c>
      <x:c r="K62" s="22" t="n">
        <x:v>1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329.2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82.3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10月8日-10月9日</x:v>
      </x:c>
      <x:c r="C68" s="23" t="n">
        <x:v>120020</x:v>
      </x:c>
      <x:c r="D68" s="23" t="n">
        <x:v>126800</x:v>
      </x:c>
      <x:c r="E68" s="23" t="n">
        <x:v>119000</x:v>
      </x:c>
      <x:c r="F68" s="23" t="n">
        <x:v>121000</x:v>
      </x:c>
      <x:c r="G68" s="23"/>
      <x:c r="H68" s="24"/>
      <x:c r="I68" s="26" t="n">
        <x:f>ROUND(D68-E68,1)</x:f>
        <x:v>7800</x:v>
      </x:c>
      <x:c r="J68" s="22" t="str">
        <x:v>LC2610</x:v>
      </x:c>
      <x:c r="K68" s="22" t="n">
        <x:v>2</x:v>
      </x:c>
    </x:row>
    <x:row r="69">
      <x:c r="A69" s="22" t="n">
        <x:v>2</x:v>
      </x:c>
      <x:c r="B69" s="22" t="str">
        <x:v>10月12日-10月16日</x:v>
      </x:c>
      <x:c r="C69" s="23" t="n">
        <x:v>125960</x:v>
      </x:c>
      <x:c r="D69" s="23" t="n">
        <x:v>125960</x:v>
      </x:c>
      <x:c r="E69" s="23" t="n">
        <x:v>99500</x:v>
      </x:c>
      <x:c r="F69" s="23" t="n">
        <x:v>99500</x:v>
      </x:c>
      <x:c r="G69" s="28" t="n">
        <x:f>ROUND(F69-F68,1)</x:f>
        <x:v>-21500</x:v>
      </x:c>
      <x:c r="H69" s="24" t="n">
        <x:f>IFERROR(F69/F68-1,"")</x:f>
        <x:v>-0.1776859504132231</x:v>
      </x:c>
      <x:c r="I69" s="26" t="n">
        <x:f>ROUND(D69-E69,1)</x:f>
        <x:v>26460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10月19日-10月21日</x:v>
      </x:c>
      <x:c r="C70" s="23" t="n">
        <x:v>99600</x:v>
      </x:c>
      <x:c r="D70" s="23" t="n">
        <x:v>103420</x:v>
      </x:c>
      <x:c r="E70" s="23" t="n">
        <x:v>98000</x:v>
      </x:c>
      <x:c r="F70" s="23" t="n">
        <x:v>98540</x:v>
      </x:c>
      <x:c r="G70" s="28" t="n">
        <x:f>ROUND(F70-F69,1)</x:f>
        <x:v>-960</x:v>
      </x:c>
      <x:c r="H70" s="24" t="n">
        <x:f>IFERROR(F70/F69-1,"")</x:f>
        <x:v>-0.00964824120603014</x:v>
      </x:c>
      <x:c r="I70" s="23" t="n">
        <x:f>ROUND(D70-E70,1)</x:f>
        <x:v>5420</x:v>
      </x:c>
      <x:c r="J70" s="22" t="str">
        <x:v>LC2610</x:v>
      </x:c>
      <x:c r="K70" s="22" t="n">
        <x:v>3</x:v>
      </x:c>
    </x:row>
    <x:row r="71">
      <x:c r="A71" s="31" t="str">
        <x:v>合计</x:v>
      </x:c>
      <x:c r="B71" s="30" t="n">
        <x:v>3</x:v>
      </x:c>
      <x:c r="C71" s="30"/>
      <x:c r="D71" s="30"/>
      <x:c r="E71" s="30"/>
      <x:c r="F71" s="30"/>
      <x:c r="G71" s="30"/>
      <x:c r="H71" s="30"/>
      <x:c r="I71" s="32" t="n">
        <x:f>ROUND(SUM(I68:I70),1)</x:f>
        <x:v>39680</x:v>
      </x:c>
      <x:c r="J71" s="30"/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4" t="n">
        <x:f>ROUND(IFERROR(AVERAGE(I68:I70),0),1)</x:f>
        <x:v>13226.7</x:v>
      </x:c>
      <x:c r="J72" s="30"/>
      <x:c r="K72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6684.93</x:v>
      </x:c>
      <x:c r="E16" s="23" t="n">
        <x:v>6704.68</x:v>
      </x:c>
      <x:c r="F16" s="23" t="n">
        <x:v>6589.13</x:v>
      </x:c>
      <x:c r="G16" s="23" t="n">
        <x:v>6630.78</x:v>
      </x:c>
      <x:c r="H16" s="23" t="n">
        <x:v>-103.8</x:v>
      </x:c>
      <x:c r="I16" s="24" t="n">
        <x:v>-0.015408601911040876</x:v>
      </x:c>
      <x:c r="J16" s="23" t="n">
        <x:f>ROUND(E16-F16,1)</x:f>
        <x:v>115.6</x:v>
      </x:c>
      <x:c r="K16" s="22" t="str">
        <x:v>中证1000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6664.61</x:v>
      </x:c>
      <x:c r="E17" s="23" t="n">
        <x:v>6717.99</x:v>
      </x:c>
      <x:c r="F17" s="23" t="n">
        <x:v>6427.17</x:v>
      </x:c>
      <x:c r="G17" s="23" t="n">
        <x:v>6427.17</x:v>
      </x:c>
      <x:c r="H17" s="28" t="n">
        <x:v>-203.6</x:v>
      </x:c>
      <x:c r="I17" s="24" t="n">
        <x:v>-0.030706794675739446</x:v>
      </x:c>
      <x:c r="J17" s="26" t="n">
        <x:f>ROUND(E17-F17,1)</x:f>
        <x:v>290.8</x:v>
      </x:c>
      <x:c r="K17" s="22" t="str">
        <x:v>中证1000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2977.2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212.7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6756.46</x:v>
      </x:c>
      <x:c r="E16" s="23" t="n">
        <x:v>6787.32</x:v>
      </x:c>
      <x:c r="F16" s="23" t="n">
        <x:v>6674.4</x:v>
      </x:c>
      <x:c r="G16" s="23" t="n">
        <x:v>6712.73</x:v>
      </x:c>
      <x:c r="H16" s="23" t="n">
        <x:v>-101.7</x:v>
      </x:c>
      <x:c r="I16" s="24" t="n">
        <x:v>-0.0149256578677045</x:v>
      </x:c>
      <x:c r="J16" s="23" t="n">
        <x:f>ROUND(E16-F16,1)</x:f>
        <x:v>112.9</x:v>
      </x:c>
      <x:c r="K16" s="22" t="str">
        <x:v>中证500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6745.72</x:v>
      </x:c>
      <x:c r="E17" s="23" t="n">
        <x:v>6784.25</x:v>
      </x:c>
      <x:c r="F17" s="23" t="n">
        <x:v>6511.37</x:v>
      </x:c>
      <x:c r="G17" s="23" t="n">
        <x:v>6511.42</x:v>
      </x:c>
      <x:c r="H17" s="28" t="n">
        <x:v>-201.3</x:v>
      </x:c>
      <x:c r="I17" s="24" t="n">
        <x:v>-0.029989289007601894</x:v>
      </x:c>
      <x:c r="J17" s="26" t="n">
        <x:f>ROUND(E17-F17,1)</x:f>
        <x:v>272.9</x:v>
      </x:c>
      <x:c r="K17" s="22" t="str">
        <x:v>中证500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2770.4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197.9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3671</x:v>
      </x:c>
      <x:c r="E16" s="23" t="n">
        <x:v>3699.01</x:v>
      </x:c>
      <x:c r="F16" s="23" t="n">
        <x:v>3664.82</x:v>
      </x:c>
      <x:c r="G16" s="23" t="n">
        <x:v>3697.52</x:v>
      </x:c>
      <x:c r="H16" s="23" t="n">
        <x:v>7</x:v>
      </x:c>
      <x:c r="I16" s="24" t="n">
        <x:v>0.0019076109340789849</x:v>
      </x:c>
      <x:c r="J16" s="23" t="n">
        <x:f>ROUND(E16-F16,1)</x:f>
        <x:v>34.2</x:v>
      </x:c>
      <x:c r="K16" s="22" t="str">
        <x:v>上证指数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3698.44</x:v>
      </x:c>
      <x:c r="E17" s="23" t="n">
        <x:v>3708.2</x:v>
      </x:c>
      <x:c r="F17" s="23" t="n">
        <x:v>3648.3</x:v>
      </x:c>
      <x:c r="G17" s="23" t="n">
        <x:v>3648.3</x:v>
      </x:c>
      <x:c r="H17" s="23" t="n">
        <x:v>-49.2</x:v>
      </x:c>
      <x:c r="I17" s="24" t="n">
        <x:v>-0.01331162508924899</x:v>
      </x:c>
      <x:c r="J17" s="26" t="n">
        <x:f>ROUND(E17-F17,1)</x:f>
        <x:v>59.9</x:v>
      </x:c>
      <x:c r="K17" s="22" t="str">
        <x:v>上证指数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831.1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59.4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6618</x:v>
      </x:c>
      <x:c r="E16" s="23" t="n">
        <x:v>6630</x:v>
      </x:c>
      <x:c r="F16" s="23" t="n">
        <x:v>6494</x:v>
      </x:c>
      <x:c r="G16" s="23" t="n">
        <x:v>6555.8</x:v>
      </x:c>
      <x:c r="H16" s="23" t="n">
        <x:v>-104.2</x:v>
      </x:c>
      <x:c r="I16" s="24" t="n">
        <x:v>-0.015645645645645634</x:v>
      </x:c>
      <x:c r="J16" s="23" t="n">
        <x:f>ROUND(E16-F16,1)</x:f>
        <x:v>136</x:v>
      </x:c>
      <x:c r="K16" s="22" t="str">
        <x:v>IM2612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6622.4</x:v>
      </x:c>
      <x:c r="E17" s="23" t="n">
        <x:v>6670.8</x:v>
      </x:c>
      <x:c r="F17" s="23" t="n">
        <x:v>6333.2</x:v>
      </x:c>
      <x:c r="G17" s="23" t="n">
        <x:v>6339.2</x:v>
      </x:c>
      <x:c r="H17" s="28" t="n">
        <x:v>-216.6</x:v>
      </x:c>
      <x:c r="I17" s="24" t="n">
        <x:v>-0.0330394459867599</x:v>
      </x:c>
      <x:c r="J17" s="26" t="n">
        <x:f>ROUND(E17-F17,1)</x:f>
        <x:v>337.6</x:v>
      </x:c>
      <x:c r="K17" s="22" t="str">
        <x:v>IM2612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3205.6000000000004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229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6700</x:v>
      </x:c>
      <x:c r="E16" s="23" t="n">
        <x:v>6711.4</x:v>
      </x:c>
      <x:c r="F16" s="23" t="n">
        <x:v>6573.6</x:v>
      </x:c>
      <x:c r="G16" s="23" t="n">
        <x:v>6637</x:v>
      </x:c>
      <x:c r="H16" s="23" t="n">
        <x:v>-105</x:v>
      </x:c>
      <x:c r="I16" s="24" t="n">
        <x:v>-0.015574013645802465</x:v>
      </x:c>
      <x:c r="J16" s="23" t="n">
        <x:f>ROUND(E16-F16,1)</x:f>
        <x:v>137.8</x:v>
      </x:c>
      <x:c r="K16" s="22" t="str">
        <x:v>IC2612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6700</x:v>
      </x:c>
      <x:c r="E17" s="23" t="n">
        <x:v>6732.2</x:v>
      </x:c>
      <x:c r="F17" s="23" t="n">
        <x:v>6405.6</x:v>
      </x:c>
      <x:c r="G17" s="23" t="n">
        <x:v>6407.6</x:v>
      </x:c>
      <x:c r="H17" s="28" t="n">
        <x:v>-229.4</x:v>
      </x:c>
      <x:c r="I17" s="24" t="n">
        <x:v>-0.03456380894982669</x:v>
      </x:c>
      <x:c r="J17" s="26" t="n">
        <x:f>ROUND(E17-F17,1)</x:f>
        <x:v>326.6</x:v>
      </x:c>
      <x:c r="K17" s="22" t="str">
        <x:v>IC2612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3095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221.1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4034</x:v>
      </x:c>
      <x:c r="E16" s="23" t="n">
        <x:v>4049.8</x:v>
      </x:c>
      <x:c r="F16" s="23" t="n">
        <x:v>3996.4</x:v>
      </x:c>
      <x:c r="G16" s="23" t="n">
        <x:v>4049</x:v>
      </x:c>
      <x:c r="H16" s="23" t="n">
        <x:v>-6</x:v>
      </x:c>
      <x:c r="I16" s="24" t="n">
        <x:v>-0.0014796547472256671</x:v>
      </x:c>
      <x:c r="J16" s="23" t="n">
        <x:f>ROUND(E16-F16,1)</x:f>
        <x:v>53.4</x:v>
      </x:c>
      <x:c r="K16" s="22" t="str">
        <x:v>IF2612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4059.6</x:v>
      </x:c>
      <x:c r="E17" s="23" t="n">
        <x:v>4066.6</x:v>
      </x:c>
      <x:c r="F17" s="23" t="n">
        <x:v>3989.8</x:v>
      </x:c>
      <x:c r="G17" s="23" t="n">
        <x:v>3991.2</x:v>
      </x:c>
      <x:c r="H17" s="23" t="n">
        <x:v>-57.8</x:v>
      </x:c>
      <x:c r="I17" s="24" t="n">
        <x:v>-0.014275129661644903</x:v>
      </x:c>
      <x:c r="J17" s="23" t="n">
        <x:f>ROUND(E17-F17,1)</x:f>
        <x:v>76.8</x:v>
      </x:c>
      <x:c r="K17" s="22" t="str">
        <x:v>IF2612</x:v>
      </x:c>
    </x:row>
    <x:row r="20">
      <x:c r="A20" s="31" t="str">
        <x:v>合计</x:v>
      </x:c>
      <x:c r="B20" s="30" t="n">
        <x:v>14</x:v>
      </x:c>
      <x:c r="C20" s="30"/>
      <x:c r="D20" s="30"/>
      <x:c r="E20" s="30"/>
      <x:c r="F20" s="30"/>
      <x:c r="G20" s="30"/>
      <x:c r="H20" s="30"/>
      <x:c r="I20" s="30"/>
      <x:c r="J20" s="32" t="n">
        <x:f>SUM(J4:J17)</x:f>
        <x:v>1200.8000000000002</x:v>
      </x:c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0"/>
      <x:c r="J21" s="34" t="n">
        <x:f>ROUND(IFERROR(AVERAGE(J4:J17),0),1)</x:f>
        <x:v>85.8</x:v>
      </x:c>
      <x:c r="K21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2711</x:v>
      </x:c>
      <x:c r="E16" s="23" t="n">
        <x:v>2724</x:v>
      </x:c>
      <x:c r="F16" s="23" t="n">
        <x:v>2691.2</x:v>
      </x:c>
      <x:c r="G16" s="23" t="n">
        <x:v>2721.8</x:v>
      </x:c>
      <x:c r="H16" s="23" t="n">
        <x:v>2.8</x:v>
      </x:c>
      <x:c r="I16" s="24" t="n">
        <x:v>0.0010297903641045547</x:v>
      </x:c>
      <x:c r="J16" s="23" t="n">
        <x:f>ROUND(E16-F16,1)</x:f>
        <x:v>32.8</x:v>
      </x:c>
      <x:c r="K16" s="22" t="str">
        <x:v>IH2612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618.2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47.6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