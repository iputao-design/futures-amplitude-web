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0376344a1f43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f1c0072f0634882"/>
    <x:sheet xmlns:r="http://schemas.openxmlformats.org/officeDocument/2006/relationships" name="周振幅统计" sheetId="2" r:id="Re507ab25437e49c8"/>
    <x:sheet xmlns:r="http://schemas.openxmlformats.org/officeDocument/2006/relationships" name="中证1000" sheetId="3" r:id="Ree375e15868f4865"/>
    <x:sheet xmlns:r="http://schemas.openxmlformats.org/officeDocument/2006/relationships" name="中证500" sheetId="4" r:id="R4adb059d8e144c43"/>
    <x:sheet xmlns:r="http://schemas.openxmlformats.org/officeDocument/2006/relationships" name="上证指数" sheetId="5" r:id="R2353385c41494e2a"/>
    <x:sheet xmlns:r="http://schemas.openxmlformats.org/officeDocument/2006/relationships" name="IM主力" sheetId="6" r:id="R84b1f49ec91e4023"/>
    <x:sheet xmlns:r="http://schemas.openxmlformats.org/officeDocument/2006/relationships" name="IC主力" sheetId="7" r:id="R5b5093134f704f7e"/>
    <x:sheet xmlns:r="http://schemas.openxmlformats.org/officeDocument/2006/relationships" name="IF主力" sheetId="8" r:id="R8fe77a816e6e46fa"/>
    <x:sheet xmlns:r="http://schemas.openxmlformats.org/officeDocument/2006/relationships" name="IH主力" sheetId="9" r:id="R47c3c595e6b24fbc"/>
    <x:sheet xmlns:r="http://schemas.openxmlformats.org/officeDocument/2006/relationships" name="碳酸锂2609" sheetId="10" r:id="R8ee50f001cb143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70283a62e24002" /><Relationship Type="http://schemas.openxmlformats.org/officeDocument/2006/relationships/theme" Target="/xl/theme/theme1.xml" Id="R8fea0c2ad0aa4c35" /><Relationship Type="http://schemas.openxmlformats.org/officeDocument/2006/relationships/sharedStrings" Target="/xl/sharedStrings.xml" Id="R7382f4737b0f465b" /><Relationship Type="http://schemas.openxmlformats.org/officeDocument/2006/relationships/worksheet" Target="/xl/worksheets/sheet1.xml" Id="R6f1c0072f0634882" /><Relationship Type="http://schemas.openxmlformats.org/officeDocument/2006/relationships/worksheet" Target="/xl/worksheets/sheet2.xml" Id="Re507ab25437e49c8" /><Relationship Type="http://schemas.openxmlformats.org/officeDocument/2006/relationships/worksheet" Target="/xl/worksheets/sheet3.xml" Id="Ree375e15868f4865" /><Relationship Type="http://schemas.openxmlformats.org/officeDocument/2006/relationships/worksheet" Target="/xl/worksheets/sheet4.xml" Id="R4adb059d8e144c43" /><Relationship Type="http://schemas.openxmlformats.org/officeDocument/2006/relationships/worksheet" Target="/xl/worksheets/sheet5.xml" Id="R2353385c41494e2a" /><Relationship Type="http://schemas.openxmlformats.org/officeDocument/2006/relationships/worksheet" Target="/xl/worksheets/sheet6.xml" Id="R84b1f49ec91e4023" /><Relationship Type="http://schemas.openxmlformats.org/officeDocument/2006/relationships/worksheet" Target="/xl/worksheets/sheet7.xml" Id="R5b5093134f704f7e" /><Relationship Type="http://schemas.openxmlformats.org/officeDocument/2006/relationships/worksheet" Target="/xl/worksheets/sheet8.xml" Id="R8fe77a816e6e46fa" /><Relationship Type="http://schemas.openxmlformats.org/officeDocument/2006/relationships/worksheet" Target="/xl/worksheets/sheet9.xml" Id="R47c3c595e6b24fbc" /><Relationship Type="http://schemas.openxmlformats.org/officeDocument/2006/relationships/worksheet" Target="/xl/worksheets/sheet10.xml" Id="R8ee50f001cb143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2026-09-07</x:v>
      </x:c>
      <x:c r="C4" s="10" t="n">
        <x:v>7669.84</x:v>
      </x:c>
      <x:c r="D4" s="10" t="n">
        <x:v>7541.14</x:v>
      </x:c>
      <x:c r="E4" s="12" t="n">
        <x:v>128.7</x:v>
      </x:c>
      <x:c r="F4" s="9" t="n">
        <x:v>5</x:v>
      </x:c>
      <x:c r="G4" s="10" t="n">
        <x:v>699.1</x:v>
      </x:c>
      <x:c r="H4" s="10" t="n">
        <x:v>139.8</x:v>
      </x:c>
      <x:c r="I4" s="10" t="n">
        <x:v>180</x:v>
      </x:c>
    </x:row>
    <x:row r="5">
      <x:c r="A5" s="9" t="str">
        <x:v>中证500</x:v>
      </x:c>
      <x:c r="B5" s="9" t="str">
        <x:v>2026-09-07</x:v>
      </x:c>
      <x:c r="C5" s="10" t="n">
        <x:v>7791.79</x:v>
      </x:c>
      <x:c r="D5" s="10" t="n">
        <x:v>7672.99</x:v>
      </x:c>
      <x:c r="E5" s="12" t="n">
        <x:v>118.8</x:v>
      </x:c>
      <x:c r="F5" s="9" t="n">
        <x:v>5</x:v>
      </x:c>
      <x:c r="G5" s="10" t="n">
        <x:v>665.4</x:v>
      </x:c>
      <x:c r="H5" s="10" t="n">
        <x:v>133.1</x:v>
      </x:c>
      <x:c r="I5" s="10" t="n">
        <x:v>160</x:v>
      </x:c>
    </x:row>
    <x:row r="6">
      <x:c r="A6" s="9" t="str">
        <x:v>上证指数</x:v>
      </x:c>
      <x:c r="B6" s="9" t="str">
        <x:v>2026-09-07</x:v>
      </x:c>
      <x:c r="C6" s="10" t="n">
        <x:v>3948.42</x:v>
      </x:c>
      <x:c r="D6" s="10" t="n">
        <x:v>3916.49</x:v>
      </x:c>
      <x:c r="E6" s="12" t="n">
        <x:v>31.9</x:v>
      </x:c>
      <x:c r="F6" s="9" t="n">
        <x:v>5</x:v>
      </x:c>
      <x:c r="G6" s="10" t="n">
        <x:v>186.9</x:v>
      </x:c>
      <x:c r="H6" s="10" t="n">
        <x:v>37.4</x:v>
      </x:c>
      <x:c r="I6" s="10" t="n">
        <x:v>50</x:v>
      </x:c>
    </x:row>
    <x:row r="7">
      <x:c r="A7" s="9" t="str">
        <x:v>IM主力</x:v>
      </x:c>
      <x:c r="B7" s="9" t="str">
        <x:v>2026-09-04</x:v>
      </x:c>
      <x:c r="C7" s="10" t="n">
        <x:v>7689.4</x:v>
      </x:c>
      <x:c r="D7" s="10" t="n">
        <x:v>7432</x:v>
      </x:c>
      <x:c r="E7" s="12" t="n">
        <x:v>257.4</x:v>
      </x:c>
      <x:c r="F7" s="9" t="n">
        <x:v>4</x:v>
      </x:c>
      <x:c r="G7" s="10" t="n">
        <x:v>631.4</x:v>
      </x:c>
      <x:c r="H7" s="10" t="n">
        <x:v>157.9</x:v>
      </x:c>
      <x:c r="I7" s="10" t="n">
        <x:v>190</x:v>
      </x:c>
    </x:row>
    <x:row r="8">
      <x:c r="A8" s="9" t="str">
        <x:v>IC主力</x:v>
      </x:c>
      <x:c r="B8" s="9" t="str">
        <x:v>2026-09-07</x:v>
      </x:c>
      <x:c r="C8" s="10" t="n">
        <x:v>7784.2</x:v>
      </x:c>
      <x:c r="D8" s="10" t="n">
        <x:v>7651.2</x:v>
      </x:c>
      <x:c r="E8" s="12" t="n">
        <x:v>133</x:v>
      </x:c>
      <x:c r="F8" s="9" t="n">
        <x:v>5</x:v>
      </x:c>
      <x:c r="G8" s="10" t="n">
        <x:v>805.4</x:v>
      </x:c>
      <x:c r="H8" s="10" t="n">
        <x:v>161.1</x:v>
      </x:c>
      <x:c r="I8" s="10" t="n">
        <x:v>150</x:v>
      </x:c>
    </x:row>
    <x:row r="9">
      <x:c r="A9" s="9" t="str">
        <x:v>IF主力</x:v>
      </x:c>
      <x:c r="B9" s="9" t="str">
        <x:v>2026-09-07</x:v>
      </x:c>
      <x:c r="C9" s="10" t="n">
        <x:v>4576.8</x:v>
      </x:c>
      <x:c r="D9" s="10" t="n">
        <x:v>4537.4</x:v>
      </x:c>
      <x:c r="E9" s="12" t="n">
        <x:v>39.4</x:v>
      </x:c>
      <x:c r="F9" s="9" t="n">
        <x:v>5</x:v>
      </x:c>
      <x:c r="G9" s="10" t="n">
        <x:v>276.4</x:v>
      </x:c>
      <x:c r="H9" s="10" t="n">
        <x:v>55.3</x:v>
      </x:c>
      <x:c r="I9" s="10" t="n">
        <x:v>90</x:v>
      </x:c>
    </x:row>
    <x:row r="10">
      <x:c r="A10" s="9" t="str">
        <x:v>IH主力</x:v>
      </x:c>
      <x:c r="B10" s="9" t="str">
        <x:v>2026-09-07</x:v>
      </x:c>
      <x:c r="C10" s="10" t="n">
        <x:v>2931.4</x:v>
      </x:c>
      <x:c r="D10" s="10" t="n">
        <x:v>2892.2</x:v>
      </x:c>
      <x:c r="E10" s="12" t="n">
        <x:v>39.2</x:v>
      </x:c>
      <x:c r="F10" s="9" t="n">
        <x:v>5</x:v>
      </x:c>
      <x:c r="G10" s="10" t="n">
        <x:v>171.8</x:v>
      </x:c>
      <x:c r="H10" s="10" t="n">
        <x:v>34.4</x:v>
      </x:c>
      <x:c r="I10" s="10" t="n">
        <x:v>60</x:v>
      </x:c>
    </x:row>
    <x:row r="11">
      <x:c r="A11" s="9" t="str">
        <x:v>碳酸锂2609</x:v>
      </x:c>
      <x:c r="B11" s="9" t="str">
        <x:v>2026-09-04</x:v>
      </x:c>
      <x:c r="C11" s="10" t="n">
        <x:v>152400</x:v>
      </x:c>
      <x:c r="D11" s="10" t="n">
        <x:v>140940</x:v>
      </x:c>
      <x:c r="E11" s="12" t="n">
        <x:v>11460</x:v>
      </x:c>
      <x:c r="F11" s="9" t="n">
        <x:v>4</x:v>
      </x:c>
      <x:c r="G11" s="10" t="n">
        <x:v>26220</x:v>
      </x:c>
      <x:c r="H11" s="10" t="n">
        <x:v>6555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</x:v>
      </x:c>
      <x:c r="C6" s="23" t="n">
        <x:v>7551.02</x:v>
      </x:c>
      <x:c r="D6" s="23" t="n">
        <x:v>7669.84</x:v>
      </x:c>
      <x:c r="E6" s="23" t="n">
        <x:v>7541.14</x:v>
      </x:c>
      <x:c r="F6" s="23" t="n">
        <x:v>7639.36</x:v>
      </x:c>
      <x:c r="G6" s="23" t="n">
        <x:f>ROUND(F6-F5,1)</x:f>
        <x:v>131.3</x:v>
      </x:c>
      <x:c r="H6" s="24" t="n">
        <x:f>IFERROR(F6/F5-1,"")</x:f>
        <x:v>0.017483807466346146</x:v>
      </x:c>
      <x:c r="I6" s="23" t="n">
        <x:f>ROUND(D6-E6,1)</x:f>
        <x:v>128.7</x:v>
      </x:c>
      <x:c r="J6" s="22" t="str">
        <x:v>中证1000</x:v>
      </x:c>
      <x:c r="K6" s="22" t="n">
        <x:v>1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436.8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218.4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</x:v>
      </x:c>
      <x:c r="C13" s="23" t="n">
        <x:v>7687.47</x:v>
      </x:c>
      <x:c r="D13" s="23" t="n">
        <x:v>7791.79</x:v>
      </x:c>
      <x:c r="E13" s="23" t="n">
        <x:v>7672.99</x:v>
      </x:c>
      <x:c r="F13" s="23" t="n">
        <x:v>7759.37</x:v>
      </x:c>
      <x:c r="G13" s="23" t="n">
        <x:f>ROUND(F13-F12,1)</x:f>
        <x:v>106.7</x:v>
      </x:c>
      <x:c r="H13" s="24" t="n">
        <x:f>IFERROR(F13/F12-1,"")</x:f>
        <x:v>0.013940196192449905</x:v>
      </x:c>
      <x:c r="I13" s="23" t="n">
        <x:f>ROUND(D13-E13,1)</x:f>
        <x:v>118.8</x:v>
      </x:c>
      <x:c r="J13" s="22" t="str">
        <x:v>中证500</x:v>
      </x:c>
      <x:c r="K13" s="22" t="n">
        <x:v>1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463.8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231.9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</x:v>
      </x:c>
      <x:c r="C20" s="23" t="n">
        <x:v>3942.51</x:v>
      </x:c>
      <x:c r="D20" s="23" t="n">
        <x:v>3948.42</x:v>
      </x:c>
      <x:c r="E20" s="23" t="n">
        <x:v>3916.49</x:v>
      </x:c>
      <x:c r="F20" s="23" t="n">
        <x:v>3932.7</x:v>
      </x:c>
      <x:c r="G20" s="23" t="n">
        <x:f>ROUND(F20-F19,1)</x:f>
        <x:v>2.6</x:v>
      </x:c>
      <x:c r="H20" s="24" t="n">
        <x:f>IFERROR(F20/F19-1,"")</x:f>
        <x:v>0.0006564685047785179</x:v>
      </x:c>
      <x:c r="I20" s="23" t="n">
        <x:f>ROUND(D20-E20,1)</x:f>
        <x:v>31.9</x:v>
      </x:c>
      <x:c r="J20" s="22" t="str">
        <x:v>上证指数</x:v>
      </x:c>
      <x:c r="K20" s="22" t="n">
        <x:v>1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111.9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56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9" t="str">
        <x:v>合计</x:v>
      </x:c>
      <x:c r="B27" s="28" t="n">
        <x:v>1</x:v>
      </x:c>
      <x:c r="C27" s="28"/>
      <x:c r="D27" s="28"/>
      <x:c r="E27" s="28"/>
      <x:c r="F27" s="28"/>
      <x:c r="G27" s="28"/>
      <x:c r="H27" s="28"/>
      <x:c r="I27" s="30" t="n">
        <x:f>ROUND(SUM(I26:I26),1)</x:f>
        <x:v>289</x:v>
      </x:c>
      <x:c r="J27" s="28"/>
      <x:c r="K27" s="28"/>
    </x:row>
    <x:row r="28">
      <x:c r="A28" s="29" t="str">
        <x:v>均值</x:v>
      </x:c>
      <x:c r="B28" s="28"/>
      <x:c r="C28" s="28"/>
      <x:c r="D28" s="28"/>
      <x:c r="E28" s="28"/>
      <x:c r="F28" s="28"/>
      <x:c r="G28" s="28"/>
      <x:c r="H28" s="28"/>
      <x:c r="I28" s="32" t="n">
        <x:f>ROUND(IFERROR(AVERAGE(I26:I26),0),1)</x:f>
        <x:v>289</x:v>
      </x:c>
      <x:c r="J28" s="28"/>
      <x:c r="K28" s="28"/>
    </x:row>
    <x:row r="30">
      <x:c r="A30" s="17" t="str">
        <x:v>IC主力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7880.8</x:v>
      </x:c>
      <x:c r="D32" s="23" t="n">
        <x:v>7903</x:v>
      </x:c>
      <x:c r="E32" s="23" t="n">
        <x:v>7568</x:v>
      </x:c>
      <x:c r="F32" s="23" t="n">
        <x:v>7608</x:v>
      </x:c>
      <x:c r="G32" s="23"/>
      <x:c r="H32" s="24"/>
      <x:c r="I32" s="26" t="n">
        <x:f>ROUND(D32-E32,1)</x:f>
        <x:v>335</x:v>
      </x:c>
      <x:c r="J32" s="22" t="str">
        <x:v>IC2609</x:v>
      </x:c>
      <x:c r="K32" s="22" t="n">
        <x:v>4</x:v>
      </x:c>
    </x:row>
    <x:row r="33">
      <x:c r="A33" s="22" t="n">
        <x:v>2</x:v>
      </x:c>
      <x:c r="B33" s="22" t="str">
        <x:v>9月7日</x:v>
      </x:c>
      <x:c r="C33" s="23" t="n">
        <x:v>7665.6</x:v>
      </x:c>
      <x:c r="D33" s="23" t="n">
        <x:v>7784.2</x:v>
      </x:c>
      <x:c r="E33" s="23" t="n">
        <x:v>7651.2</x:v>
      </x:c>
      <x:c r="F33" s="23" t="n">
        <x:v>7716.2</x:v>
      </x:c>
      <x:c r="G33" s="23" t="n">
        <x:f>ROUND(F33-F32,1)</x:f>
        <x:v>108.2</x:v>
      </x:c>
      <x:c r="H33" s="24" t="n">
        <x:f>IFERROR(F33/F32-1,"")</x:f>
        <x:v>0.014221871713985257</x:v>
      </x:c>
      <x:c r="I33" s="23" t="n">
        <x:f>ROUND(D33-E33,1)</x:f>
        <x:v>133</x:v>
      </x:c>
      <x:c r="J33" s="22" t="str">
        <x:v>IC2609</x:v>
      </x:c>
      <x:c r="K33" s="22" t="n">
        <x:v>1</x:v>
      </x:c>
    </x:row>
    <x:row r="34">
      <x:c r="A34" s="29" t="str">
        <x:v>合计</x:v>
      </x:c>
      <x:c r="B34" s="28" t="n">
        <x:v>2</x:v>
      </x:c>
      <x:c r="C34" s="28"/>
      <x:c r="D34" s="28"/>
      <x:c r="E34" s="28"/>
      <x:c r="F34" s="28"/>
      <x:c r="G34" s="28"/>
      <x:c r="H34" s="28"/>
      <x:c r="I34" s="30" t="n">
        <x:f>ROUND(SUM(I32:I33),1)</x:f>
        <x:v>468</x:v>
      </x:c>
      <x:c r="J34" s="28"/>
      <x:c r="K34" s="28"/>
    </x:row>
    <x:row r="35">
      <x:c r="A35" s="29" t="str">
        <x:v>均值</x:v>
      </x:c>
      <x:c r="B35" s="28"/>
      <x:c r="C35" s="28"/>
      <x:c r="D35" s="28"/>
      <x:c r="E35" s="28"/>
      <x:c r="F35" s="28"/>
      <x:c r="G35" s="28"/>
      <x:c r="H35" s="28"/>
      <x:c r="I35" s="32" t="n">
        <x:f>ROUND(IFERROR(AVERAGE(I32:I33),0),1)</x:f>
        <x:v>234</x:v>
      </x:c>
      <x:c r="J35" s="28"/>
      <x:c r="K35" s="28"/>
    </x:row>
    <x:row r="37">
      <x:c r="A37" s="17" t="str">
        <x:v>IF主力</x:v>
      </x:c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</x:row>
    <x:row r="38">
      <x:c r="A38" s="20" t="str">
        <x:v>序号</x:v>
      </x:c>
      <x:c r="B38" s="20" t="str">
        <x:v>周期</x:v>
      </x:c>
      <x:c r="C38" s="20" t="str">
        <x:v>开盘</x:v>
      </x:c>
      <x:c r="D38" s="20" t="str">
        <x:v>高点</x:v>
      </x:c>
      <x:c r="E38" s="20" t="str">
        <x:v>低点</x:v>
      </x:c>
      <x:c r="F38" s="20" t="str">
        <x:v>收盘</x:v>
      </x:c>
      <x:c r="G38" s="20" t="str">
        <x:v>涨跌点数</x:v>
      </x:c>
      <x:c r="H38" s="20" t="str">
        <x:v>涨幅</x:v>
      </x:c>
      <x:c r="I38" s="20" t="str">
        <x:v>振幅</x:v>
      </x:c>
      <x:c r="J38" s="20" t="str">
        <x:v>标的</x:v>
      </x:c>
      <x:c r="K38" s="20" t="str">
        <x:v>交易日</x:v>
      </x:c>
    </x:row>
    <x:row r="39">
      <x:c r="A39" s="22" t="n">
        <x:v>1</x:v>
      </x:c>
      <x:c r="B39" s="22" t="str">
        <x:v>9月1日-9月4日</x:v>
      </x:c>
      <x:c r="C39" s="23" t="n">
        <x:v>4602</x:v>
      </x:c>
      <x:c r="D39" s="23" t="n">
        <x:v>4617.8</x:v>
      </x:c>
      <x:c r="E39" s="23" t="n">
        <x:v>4497.6</x:v>
      </x:c>
      <x:c r="F39" s="23" t="n">
        <x:v>4537.4</x:v>
      </x:c>
      <x:c r="G39" s="23"/>
      <x:c r="H39" s="24"/>
      <x:c r="I39" s="26" t="n">
        <x:f>ROUND(D39-E39,1)</x:f>
        <x:v>120.2</x:v>
      </x:c>
      <x:c r="J39" s="22" t="str">
        <x:v>IF2609</x:v>
      </x:c>
      <x:c r="K39" s="22" t="n">
        <x:v>4</x:v>
      </x:c>
    </x:row>
    <x:row r="40">
      <x:c r="A40" s="22" t="n">
        <x:v>2</x:v>
      </x:c>
      <x:c r="B40" s="22" t="str">
        <x:v>9月7日</x:v>
      </x:c>
      <x:c r="C40" s="23" t="n">
        <x:v>4562</x:v>
      </x:c>
      <x:c r="D40" s="23" t="n">
        <x:v>4576.8</x:v>
      </x:c>
      <x:c r="E40" s="23" t="n">
        <x:v>4537.4</x:v>
      </x:c>
      <x:c r="F40" s="23" t="n">
        <x:v>4555.6</x:v>
      </x:c>
      <x:c r="G40" s="23" t="n">
        <x:f>ROUND(F40-F39,1)</x:f>
        <x:v>18.2</x:v>
      </x:c>
      <x:c r="H40" s="24" t="n">
        <x:f>IFERROR(F40/F39-1,"")</x:f>
        <x:v>0.004011107682814208</x:v>
      </x:c>
      <x:c r="I40" s="23" t="n">
        <x:f>ROUND(D40-E40,1)</x:f>
        <x:v>39.4</x:v>
      </x:c>
      <x:c r="J40" s="22" t="str">
        <x:v>IF2609</x:v>
      </x:c>
      <x:c r="K40" s="22" t="n">
        <x:v>1</x:v>
      </x:c>
    </x:row>
    <x:row r="41">
      <x:c r="A41" s="29" t="str">
        <x:v>合计</x:v>
      </x:c>
      <x:c r="B41" s="28" t="n">
        <x:v>2</x:v>
      </x:c>
      <x:c r="C41" s="28"/>
      <x:c r="D41" s="28"/>
      <x:c r="E41" s="28"/>
      <x:c r="F41" s="28"/>
      <x:c r="G41" s="28"/>
      <x:c r="H41" s="28"/>
      <x:c r="I41" s="30" t="n">
        <x:f>ROUND(SUM(I39:I40),1)</x:f>
        <x:v>159.6</x:v>
      </x:c>
      <x:c r="J41" s="28"/>
      <x:c r="K41" s="28"/>
    </x:row>
    <x:row r="42">
      <x:c r="A42" s="29" t="str">
        <x:v>均值</x:v>
      </x:c>
      <x:c r="B42" s="28"/>
      <x:c r="C42" s="28"/>
      <x:c r="D42" s="28"/>
      <x:c r="E42" s="28"/>
      <x:c r="F42" s="28"/>
      <x:c r="G42" s="28"/>
      <x:c r="H42" s="28"/>
      <x:c r="I42" s="32" t="n">
        <x:f>ROUND(IFERROR(AVERAGE(I39:I40),0),1)</x:f>
        <x:v>79.8</x:v>
      </x:c>
      <x:c r="J42" s="28"/>
      <x:c r="K42" s="28"/>
    </x:row>
    <x:row r="44">
      <x:c r="A44" s="17" t="str">
        <x:v>IH主力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9月1日-9月4日</x:v>
      </x:c>
      <x:c r="C46" s="23" t="n">
        <x:v>2913</x:v>
      </x:c>
      <x:c r="D46" s="23" t="n">
        <x:v>2949.4</x:v>
      </x:c>
      <x:c r="E46" s="23" t="n">
        <x:v>2881.4</x:v>
      </x:c>
      <x:c r="F46" s="23" t="n">
        <x:v>2915.8</x:v>
      </x:c>
      <x:c r="G46" s="23"/>
      <x:c r="H46" s="24"/>
      <x:c r="I46" s="26" t="n">
        <x:f>ROUND(D46-E46,1)</x:f>
        <x:v>68</x:v>
      </x:c>
      <x:c r="J46" s="22" t="str">
        <x:v>IH2609</x:v>
      </x:c>
      <x:c r="K46" s="22" t="n">
        <x:v>4</x:v>
      </x:c>
    </x:row>
    <x:row r="47">
      <x:c r="A47" s="22" t="n">
        <x:v>2</x:v>
      </x:c>
      <x:c r="B47" s="22" t="str">
        <x:v>9月7日</x:v>
      </x:c>
      <x:c r="C47" s="23" t="n">
        <x:v>2923.2</x:v>
      </x:c>
      <x:c r="D47" s="23" t="n">
        <x:v>2931.4</x:v>
      </x:c>
      <x:c r="E47" s="23" t="n">
        <x:v>2892.2</x:v>
      </x:c>
      <x:c r="F47" s="23" t="n">
        <x:v>2898.8</x:v>
      </x:c>
      <x:c r="G47" s="23" t="n">
        <x:f>ROUND(F47-F46,1)</x:f>
        <x:v>-17</x:v>
      </x:c>
      <x:c r="H47" s="24" t="n">
        <x:f>IFERROR(F47/F46-1,"")</x:f>
        <x:v>-0.0058303038617189</x:v>
      </x:c>
      <x:c r="I47" s="23" t="n">
        <x:f>ROUND(D47-E47,1)</x:f>
        <x:v>39.2</x:v>
      </x:c>
      <x:c r="J47" s="22" t="str">
        <x:v>IH2609</x:v>
      </x:c>
      <x:c r="K47" s="22" t="n">
        <x:v>1</x:v>
      </x:c>
    </x:row>
    <x:row r="48">
      <x:c r="A48" s="29" t="str">
        <x:v>合计</x:v>
      </x:c>
      <x:c r="B48" s="28" t="n">
        <x:v>2</x:v>
      </x:c>
      <x:c r="C48" s="28"/>
      <x:c r="D48" s="28"/>
      <x:c r="E48" s="28"/>
      <x:c r="F48" s="28"/>
      <x:c r="G48" s="28"/>
      <x:c r="H48" s="28"/>
      <x:c r="I48" s="30" t="n">
        <x:f>ROUND(SUM(I46:I47),1)</x:f>
        <x:v>107.2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ROUND(IFERROR(AVERAGE(I46:I47),0),1)</x:f>
        <x:v>53.6</x:v>
      </x:c>
      <x:c r="J49" s="28"/>
      <x:c r="K49" s="28"/>
    </x:row>
    <x:row r="51">
      <x:c r="A51" s="17" t="str">
        <x:v>碳酸锂2609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159000</x:v>
      </x:c>
      <x:c r="D53" s="23" t="n">
        <x:v>160480</x:v>
      </x:c>
      <x:c r="E53" s="23" t="n">
        <x:v>140940</x:v>
      </x:c>
      <x:c r="F53" s="23" t="n">
        <x:v>140980</x:v>
      </x:c>
      <x:c r="G53" s="23"/>
      <x:c r="H53" s="24"/>
      <x:c r="I53" s="26" t="n">
        <x:f>ROUND(D53-E53,1)</x:f>
        <x:v>19540</x:v>
      </x:c>
      <x:c r="J53" s="22" t="str">
        <x:v>LC2609</x:v>
      </x:c>
      <x:c r="K53" s="22" t="n">
        <x:v>4</x:v>
      </x:c>
    </x:row>
    <x:row r="54">
      <x:c r="A54" s="29" t="str">
        <x:v>合计</x:v>
      </x:c>
      <x:c r="B54" s="28" t="n">
        <x:v>1</x:v>
      </x:c>
      <x:c r="C54" s="28"/>
      <x:c r="D54" s="28"/>
      <x:c r="E54" s="28"/>
      <x:c r="F54" s="28"/>
      <x:c r="G54" s="28"/>
      <x:c r="H54" s="28"/>
      <x:c r="I54" s="30" t="n">
        <x:f>ROUND(SUM(I53:I53),1)</x:f>
        <x:v>19540</x:v>
      </x:c>
      <x:c r="J54" s="28"/>
      <x:c r="K54" s="28"/>
    </x:row>
    <x:row r="55">
      <x:c r="A55" s="29" t="str">
        <x:v>均值</x:v>
      </x:c>
      <x:c r="B55" s="28"/>
      <x:c r="C55" s="28"/>
      <x:c r="D55" s="28"/>
      <x:c r="E55" s="28"/>
      <x:c r="F55" s="28"/>
      <x:c r="G55" s="28"/>
      <x:c r="H55" s="28"/>
      <x:c r="I55" s="32" t="n">
        <x:f>ROUND(IFERROR(AVERAGE(I53:I53),0),1)</x:f>
        <x:v>19540</x:v>
      </x:c>
      <x:c r="J55" s="28"/>
      <x:c r="K55" s="28"/>
    </x:row>
  </x:sheetData>
  <x:mergeCells>
    <x:mergeCell ref="A1:K1"/>
    <x:mergeCell ref="A3:K3"/>
    <x:mergeCell ref="A10:K10"/>
    <x:mergeCell ref="A17:K17"/>
    <x:mergeCell ref="A24:K24"/>
    <x:mergeCell ref="A30:K30"/>
    <x:mergeCell ref="A37:K37"/>
    <x:mergeCell ref="A44:K44"/>
    <x:mergeCell ref="A51:K5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699.0999999999999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139.8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665.4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133.1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186.9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37.4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631.4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157.9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805.4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161.1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276.4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55.3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171.8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34.4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8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8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8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8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26220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6555</x:v>
      </x:c>
      <x:c r="K11" s="28"/>
    </x:row>
  </x:sheetData>
  <x:mergeCells>
    <x:mergeCell ref="A1:K1"/>
  </x:mergeCells>
  <x:pageMargins left="0.7" right="0.7" top="0.75" bottom="0.75" header="0.3" footer="0.3"/>
</x:worksheet>
</file>