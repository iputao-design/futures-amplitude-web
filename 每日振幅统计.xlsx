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fb2687cce147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e117c37c08d94898"/>
    <x:sheet xmlns:r="http://schemas.openxmlformats.org/officeDocument/2006/relationships" name="周振幅统计" sheetId="2" r:id="R8521a711c6cb4803"/>
    <x:sheet xmlns:r="http://schemas.openxmlformats.org/officeDocument/2006/relationships" name="中证1000" sheetId="3" r:id="Rf911a28356a04619"/>
    <x:sheet xmlns:r="http://schemas.openxmlformats.org/officeDocument/2006/relationships" name="中证500" sheetId="4" r:id="Re99c05918f7f4b0b"/>
    <x:sheet xmlns:r="http://schemas.openxmlformats.org/officeDocument/2006/relationships" name="上证指数" sheetId="5" r:id="Rf388897026fe46c5"/>
    <x:sheet xmlns:r="http://schemas.openxmlformats.org/officeDocument/2006/relationships" name="IM主力" sheetId="6" r:id="R42b44684c68844d7"/>
    <x:sheet xmlns:r="http://schemas.openxmlformats.org/officeDocument/2006/relationships" name="IC主力" sheetId="7" r:id="R3578579d14524bd2"/>
    <x:sheet xmlns:r="http://schemas.openxmlformats.org/officeDocument/2006/relationships" name="IF主力" sheetId="8" r:id="Rc973f1b08f0447c1"/>
    <x:sheet xmlns:r="http://schemas.openxmlformats.org/officeDocument/2006/relationships" name="IH主力" sheetId="9" r:id="Rd3fa9ec1aa0f42f3"/>
    <x:sheet xmlns:r="http://schemas.openxmlformats.org/officeDocument/2006/relationships" name="碳酸锂2610" sheetId="10" r:id="Rf3042c11e16646c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  <x:xf numFmtId="200" fontId="9" fillId="6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5dd7181c0764fbd" /><Relationship Type="http://schemas.openxmlformats.org/officeDocument/2006/relationships/theme" Target="/xl/theme/theme1.xml" Id="R73286a40e7504476" /><Relationship Type="http://schemas.openxmlformats.org/officeDocument/2006/relationships/sharedStrings" Target="/xl/sharedStrings.xml" Id="Refe5fc7940b445c1" /><Relationship Type="http://schemas.openxmlformats.org/officeDocument/2006/relationships/worksheet" Target="/xl/worksheets/sheet1.xml" Id="Re117c37c08d94898" /><Relationship Type="http://schemas.openxmlformats.org/officeDocument/2006/relationships/worksheet" Target="/xl/worksheets/sheet2.xml" Id="R8521a711c6cb4803" /><Relationship Type="http://schemas.openxmlformats.org/officeDocument/2006/relationships/worksheet" Target="/xl/worksheets/sheet3.xml" Id="Rf911a28356a04619" /><Relationship Type="http://schemas.openxmlformats.org/officeDocument/2006/relationships/worksheet" Target="/xl/worksheets/sheet4.xml" Id="Re99c05918f7f4b0b" /><Relationship Type="http://schemas.openxmlformats.org/officeDocument/2006/relationships/worksheet" Target="/xl/worksheets/sheet5.xml" Id="Rf388897026fe46c5" /><Relationship Type="http://schemas.openxmlformats.org/officeDocument/2006/relationships/worksheet" Target="/xl/worksheets/sheet6.xml" Id="R42b44684c68844d7" /><Relationship Type="http://schemas.openxmlformats.org/officeDocument/2006/relationships/worksheet" Target="/xl/worksheets/sheet7.xml" Id="R3578579d14524bd2" /><Relationship Type="http://schemas.openxmlformats.org/officeDocument/2006/relationships/worksheet" Target="/xl/worksheets/sheet8.xml" Id="Rc973f1b08f0447c1" /><Relationship Type="http://schemas.openxmlformats.org/officeDocument/2006/relationships/worksheet" Target="/xl/worksheets/sheet9.xml" Id="Rd3fa9ec1aa0f42f3" /><Relationship Type="http://schemas.openxmlformats.org/officeDocument/2006/relationships/worksheet" Target="/xl/worksheets/sheet10.xml" Id="Rf3042c11e16646c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2026-09-22</x:v>
      </x:c>
      <x:c r="C4" s="10" t="n">
        <x:v>7852.23</x:v>
      </x:c>
      <x:c r="D4" s="10" t="n">
        <x:v>7734.35</x:v>
      </x:c>
      <x:c r="E4" s="12" t="n">
        <x:v>117.9</x:v>
      </x:c>
      <x:c r="F4" s="9" t="n">
        <x:v>16</x:v>
      </x:c>
      <x:c r="G4" s="10" t="n">
        <x:v>2072.7</x:v>
      </x:c>
      <x:c r="H4" s="10" t="n">
        <x:v>129.5</x:v>
      </x:c>
      <x:c r="I4" s="10" t="n">
        <x:v>180</x:v>
      </x:c>
    </x:row>
    <x:row r="5">
      <x:c r="A5" s="9" t="str">
        <x:v>中证500</x:v>
      </x:c>
      <x:c r="B5" s="9" t="str">
        <x:v>2026-09-22</x:v>
      </x:c>
      <x:c r="C5" s="10" t="n">
        <x:v>7922.62</x:v>
      </x:c>
      <x:c r="D5" s="10" t="n">
        <x:v>7808.98</x:v>
      </x:c>
      <x:c r="E5" s="12" t="n">
        <x:v>113.6</x:v>
      </x:c>
      <x:c r="F5" s="9" t="n">
        <x:v>16</x:v>
      </x:c>
      <x:c r="G5" s="10" t="n">
        <x:v>1900.7</x:v>
      </x:c>
      <x:c r="H5" s="10" t="n">
        <x:v>118.8</x:v>
      </x:c>
      <x:c r="I5" s="10" t="n">
        <x:v>160</x:v>
      </x:c>
    </x:row>
    <x:row r="6">
      <x:c r="A6" s="9" t="str">
        <x:v>上证指数</x:v>
      </x:c>
      <x:c r="B6" s="9" t="str">
        <x:v>2026-09-22</x:v>
      </x:c>
      <x:c r="C6" s="10" t="n">
        <x:v>3967.68</x:v>
      </x:c>
      <x:c r="D6" s="10" t="n">
        <x:v>3945.42</x:v>
      </x:c>
      <x:c r="E6" s="12" t="n">
        <x:v>22.3</x:v>
      </x:c>
      <x:c r="F6" s="9" t="n">
        <x:v>16</x:v>
      </x:c>
      <x:c r="G6" s="10" t="n">
        <x:v>551.6</x:v>
      </x:c>
      <x:c r="H6" s="10" t="n">
        <x:v>34.5</x:v>
      </x:c>
      <x:c r="I6" s="10" t="n">
        <x:v>50</x:v>
      </x:c>
    </x:row>
    <x:row r="7">
      <x:c r="A7" s="9" t="str">
        <x:v>IM主力</x:v>
      </x:c>
      <x:c r="B7" s="9" t="str">
        <x:v>2026-09-22</x:v>
      </x:c>
      <x:c r="C7" s="10" t="n">
        <x:v>7687</x:v>
      </x:c>
      <x:c r="D7" s="10" t="n">
        <x:v>7563</x:v>
      </x:c>
      <x:c r="E7" s="12" t="n">
        <x:v>124</x:v>
      </x:c>
      <x:c r="F7" s="9" t="n">
        <x:v>16</x:v>
      </x:c>
      <x:c r="G7" s="10" t="n">
        <x:v>2316.2</x:v>
      </x:c>
      <x:c r="H7" s="10" t="n">
        <x:v>144.8</x:v>
      </x:c>
      <x:c r="I7" s="10" t="n">
        <x:v>190</x:v>
      </x:c>
    </x:row>
    <x:row r="8">
      <x:c r="A8" s="9" t="str">
        <x:v>IC主力</x:v>
      </x:c>
      <x:c r="B8" s="9" t="str">
        <x:v>2026-09-21</x:v>
      </x:c>
      <x:c r="C8" s="10" t="n">
        <x:v>7728</x:v>
      </x:c>
      <x:c r="D8" s="10" t="n">
        <x:v>7640</x:v>
      </x:c>
      <x:c r="E8" s="12" t="n">
        <x:v>88</x:v>
      </x:c>
      <x:c r="F8" s="9" t="n">
        <x:v>15</x:v>
      </x:c>
      <x:c r="G8" s="10" t="n">
        <x:v>2110</x:v>
      </x:c>
      <x:c r="H8" s="10" t="n">
        <x:v>140.7</x:v>
      </x:c>
      <x:c r="I8" s="10" t="n">
        <x:v>150</x:v>
      </x:c>
    </x:row>
    <x:row r="9">
      <x:c r="A9" s="9" t="str">
        <x:v>IF主力</x:v>
      </x:c>
      <x:c r="B9" s="9" t="str">
        <x:v>2026-09-21</x:v>
      </x:c>
      <x:c r="C9" s="10" t="n">
        <x:v>4474.6</x:v>
      </x:c>
      <x:c r="D9" s="10" t="n">
        <x:v>4434.8</x:v>
      </x:c>
      <x:c r="E9" s="12" t="n">
        <x:v>39.8</x:v>
      </x:c>
      <x:c r="F9" s="9" t="n">
        <x:v>15</x:v>
      </x:c>
      <x:c r="G9" s="10" t="n">
        <x:v>776.8</x:v>
      </x:c>
      <x:c r="H9" s="10" t="n">
        <x:v>51.8</x:v>
      </x:c>
      <x:c r="I9" s="10" t="n">
        <x:v>90</x:v>
      </x:c>
    </x:row>
    <x:row r="10">
      <x:c r="A10" s="9" t="str">
        <x:v>IH主力</x:v>
      </x:c>
      <x:c r="B10" s="9" t="str">
        <x:v>2026-09-21</x:v>
      </x:c>
      <x:c r="C10" s="10" t="n">
        <x:v>2849.8</x:v>
      </x:c>
      <x:c r="D10" s="10" t="n">
        <x:v>2822</x:v>
      </x:c>
      <x:c r="E10" s="12" t="n">
        <x:v>27.8</x:v>
      </x:c>
      <x:c r="F10" s="9" t="n">
        <x:v>15</x:v>
      </x:c>
      <x:c r="G10" s="10" t="n">
        <x:v>460.2</x:v>
      </x:c>
      <x:c r="H10" s="10" t="n">
        <x:v>30.7</x:v>
      </x:c>
      <x:c r="I10" s="10" t="n">
        <x:v>60</x:v>
      </x:c>
    </x:row>
    <x:row r="11">
      <x:c r="A11" s="9" t="str">
        <x:v>碳酸锂2610</x:v>
      </x:c>
      <x:c r="B11" s="9" t="str">
        <x:v>2026-09-22</x:v>
      </x:c>
      <x:c r="C11" s="10" t="n">
        <x:v>136560</x:v>
      </x:c>
      <x:c r="D11" s="10" t="n">
        <x:v>131400</x:v>
      </x:c>
      <x:c r="E11" s="12" t="n">
        <x:v>5160</x:v>
      </x:c>
      <x:c r="F11" s="9" t="n">
        <x:v>16</x:v>
      </x:c>
      <x:c r="G11" s="10" t="n">
        <x:v>95040</x:v>
      </x:c>
      <x:c r="H11" s="10" t="n">
        <x:v>5940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2026-09-22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9月14日-9月18日</x:v>
      </x:c>
      <x:c r="C7" s="23" t="n">
        <x:v>7363.42</x:v>
      </x:c>
      <x:c r="D7" s="23" t="n">
        <x:v>7706.9</x:v>
      </x:c>
      <x:c r="E7" s="23" t="n">
        <x:v>7329.6</x:v>
      </x:c>
      <x:c r="F7" s="23" t="n">
        <x:v>7687.59</x:v>
      </x:c>
      <x:c r="G7" s="28" t="n">
        <x:f>ROUND(F7-F6,1)</x:f>
        <x:v>260.4</x:v>
      </x:c>
      <x:c r="H7" s="24" t="n">
        <x:f>IFERROR(F7/F6-1,"")</x:f>
        <x:v>0.03505339803210883</x:v>
      </x:c>
      <x:c r="I7" s="26" t="n">
        <x:f>ROUND(D7-E7,1)</x:f>
        <x:v>377.3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9月21日-9月22日</x:v>
      </x:c>
      <x:c r="C8" s="23" t="n">
        <x:v>7723.68</x:v>
      </x:c>
      <x:c r="D8" s="23" t="n">
        <x:v>7852.23</x:v>
      </x:c>
      <x:c r="E8" s="23" t="n">
        <x:v>7723.68</x:v>
      </x:c>
      <x:c r="F8" s="23" t="n">
        <x:v>7759.03</x:v>
      </x:c>
      <x:c r="G8" s="23" t="n">
        <x:f>ROUND(F8-F7,1)</x:f>
        <x:v>71.4</x:v>
      </x:c>
      <x:c r="H8" s="24" t="n">
        <x:f>IFERROR(F8/F7-1,"")</x:f>
        <x:v>0.009292899335162197</x:v>
      </x:c>
      <x:c r="I8" s="23" t="n">
        <x:f>ROUND(D8-E8,1)</x:f>
        <x:v>128.5</x:v>
      </x:c>
      <x:c r="J8" s="22" t="str">
        <x:v>中证1000</x:v>
      </x:c>
      <x:c r="K8" s="22" t="n">
        <x:v>2</x:v>
      </x:c>
    </x:row>
    <x:row r="9">
      <x:c r="A9" s="31" t="str">
        <x:v>合计</x:v>
      </x:c>
      <x:c r="B9" s="30" t="n">
        <x:v>4</x:v>
      </x:c>
      <x:c r="C9" s="30"/>
      <x:c r="D9" s="30"/>
      <x:c r="E9" s="30"/>
      <x:c r="F9" s="30"/>
      <x:c r="G9" s="30"/>
      <x:c r="H9" s="30"/>
      <x:c r="I9" s="32" t="n">
        <x:f>ROUND(SUM(I5:I8),1)</x:f>
        <x:v>1254.3</x:v>
      </x:c>
      <x:c r="J9" s="30"/>
      <x:c r="K9" s="30"/>
    </x:row>
    <x:row r="10">
      <x:c r="A10" s="31" t="str">
        <x:v>均值</x:v>
      </x:c>
      <x:c r="B10" s="30"/>
      <x:c r="C10" s="30"/>
      <x:c r="D10" s="30"/>
      <x:c r="E10" s="30"/>
      <x:c r="F10" s="30"/>
      <x:c r="G10" s="30"/>
      <x:c r="H10" s="30"/>
      <x:c r="I10" s="34" t="n">
        <x:f>ROUND(IFERROR(AVERAGE(I5:I8),0),1)</x:f>
        <x:v>313.6</x:v>
      </x:c>
      <x:c r="J10" s="30"/>
      <x:c r="K10" s="30"/>
    </x:row>
    <x:row r="12">
      <x:c r="A12" s="17" t="str">
        <x:v>中证500</x:v>
      </x:c>
      <x:c r="B12" s="17"/>
      <x:c r="C12" s="17"/>
      <x:c r="D12" s="17"/>
      <x:c r="E12" s="17"/>
      <x:c r="F12" s="17"/>
      <x:c r="G12" s="17"/>
      <x:c r="H12" s="17"/>
      <x:c r="I12" s="17"/>
      <x:c r="J12" s="17"/>
      <x:c r="K12" s="17"/>
    </x:row>
    <x:row r="13">
      <x:c r="A13" s="20" t="str">
        <x:v>序号</x:v>
      </x:c>
      <x:c r="B13" s="20" t="str">
        <x:v>周期</x:v>
      </x:c>
      <x:c r="C13" s="20" t="str">
        <x:v>开盘</x:v>
      </x:c>
      <x:c r="D13" s="20" t="str">
        <x:v>高点</x:v>
      </x:c>
      <x:c r="E13" s="20" t="str">
        <x:v>低点</x:v>
      </x:c>
      <x:c r="F13" s="20" t="str">
        <x:v>收盘</x:v>
      </x:c>
      <x:c r="G13" s="20" t="str">
        <x:v>涨跌点数</x:v>
      </x:c>
      <x:c r="H13" s="20" t="str">
        <x:v>涨幅</x:v>
      </x:c>
      <x:c r="I13" s="20" t="str">
        <x:v>振幅</x:v>
      </x:c>
      <x:c r="J13" s="20" t="str">
        <x:v>标的</x:v>
      </x:c>
      <x:c r="K13" s="20" t="str">
        <x:v>交易日</x:v>
      </x:c>
    </x:row>
    <x:row r="14">
      <x:c r="A14" s="22" t="n">
        <x:v>1</x:v>
      </x:c>
      <x:c r="B14" s="22" t="str">
        <x:v>9月1日-9月4日</x:v>
      </x:c>
      <x:c r="C14" s="23" t="n">
        <x:v>7944.29</x:v>
      </x:c>
      <x:c r="D14" s="23" t="n">
        <x:v>7955.57</x:v>
      </x:c>
      <x:c r="E14" s="23" t="n">
        <x:v>7610.58</x:v>
      </x:c>
      <x:c r="F14" s="23" t="n">
        <x:v>7652.69</x:v>
      </x:c>
      <x:c r="G14" s="23"/>
      <x:c r="H14" s="24"/>
      <x:c r="I14" s="26" t="n">
        <x:f>ROUND(D14-E14,1)</x:f>
        <x:v>345</x:v>
      </x:c>
      <x:c r="J14" s="22" t="str">
        <x:v>中证500</x:v>
      </x:c>
      <x:c r="K14" s="22" t="n">
        <x:v>4</x:v>
      </x:c>
    </x:row>
    <x:row r="15">
      <x:c r="A15" s="22" t="n">
        <x:v>2</x:v>
      </x:c>
      <x:c r="B15" s="22" t="str">
        <x:v>9月7日-9月11日</x:v>
      </x:c>
      <x:c r="C15" s="23" t="n">
        <x:v>7687.47</x:v>
      </x:c>
      <x:c r="D15" s="23" t="n">
        <x:v>7830.16</x:v>
      </x:c>
      <x:c r="E15" s="23" t="n">
        <x:v>7451.12</x:v>
      </x:c>
      <x:c r="F15" s="23" t="n">
        <x:v>7580.54</x:v>
      </x:c>
      <x:c r="G15" s="23" t="n">
        <x:f>ROUND(F15-F14,1)</x:f>
        <x:v>-72.1</x:v>
      </x:c>
      <x:c r="H15" s="24" t="n">
        <x:f>IFERROR(F15/F14-1,"")</x:f>
        <x:v>-0.009428057323633832</x:v>
      </x:c>
      <x:c r="I15" s="26" t="n">
        <x:f>ROUND(D15-E15,1)</x:f>
        <x:v>379</x:v>
      </x:c>
      <x:c r="J15" s="22" t="str">
        <x:v>中证500</x:v>
      </x:c>
      <x:c r="K15" s="22" t="n">
        <x:v>5</x:v>
      </x:c>
    </x:row>
    <x:row r="16">
      <x:c r="A16" s="22" t="n">
        <x:v>3</x:v>
      </x:c>
      <x:c r="B16" s="22" t="str">
        <x:v>9月14日-9月18日</x:v>
      </x:c>
      <x:c r="C16" s="23" t="n">
        <x:v>7511.04</x:v>
      </x:c>
      <x:c r="D16" s="23" t="n">
        <x:v>7819.98</x:v>
      </x:c>
      <x:c r="E16" s="23" t="n">
        <x:v>7487.46</x:v>
      </x:c>
      <x:c r="F16" s="23" t="n">
        <x:v>7799.61</x:v>
      </x:c>
      <x:c r="G16" s="28" t="n">
        <x:f>ROUND(F16-F15,1)</x:f>
        <x:v>219.1</x:v>
      </x:c>
      <x:c r="H16" s="24" t="n">
        <x:f>IFERROR(F16/F15-1,"")</x:f>
        <x:v>0.028898996641400165</x:v>
      </x:c>
      <x:c r="I16" s="26" t="n">
        <x:f>ROUND(D16-E16,1)</x:f>
        <x:v>332.5</x:v>
      </x:c>
      <x:c r="J16" s="22" t="str">
        <x:v>中证500</x:v>
      </x:c>
      <x:c r="K16" s="22" t="n">
        <x:v>5</x:v>
      </x:c>
    </x:row>
    <x:row r="17">
      <x:c r="A17" s="22" t="n">
        <x:v>4</x:v>
      </x:c>
      <x:c r="B17" s="22" t="str">
        <x:v>9月21日-9月22日</x:v>
      </x:c>
      <x:c r="C17" s="23" t="n">
        <x:v>7829.82</x:v>
      </x:c>
      <x:c r="D17" s="23" t="n">
        <x:v>7922.62</x:v>
      </x:c>
      <x:c r="E17" s="23" t="n">
        <x:v>7808.98</x:v>
      </x:c>
      <x:c r="F17" s="23" t="n">
        <x:v>7828.94</x:v>
      </x:c>
      <x:c r="G17" s="23" t="n">
        <x:f>ROUND(F17-F16,1)</x:f>
        <x:v>29.3</x:v>
      </x:c>
      <x:c r="H17" s="24" t="n">
        <x:f>IFERROR(F17/F16-1,"")</x:f>
        <x:v>0.0037604444324779163</x:v>
      </x:c>
      <x:c r="I17" s="23" t="n">
        <x:f>ROUND(D17-E17,1)</x:f>
        <x:v>113.6</x:v>
      </x:c>
      <x:c r="J17" s="22" t="str">
        <x:v>中证500</x:v>
      </x:c>
      <x:c r="K17" s="22" t="n">
        <x:v>2</x:v>
      </x:c>
    </x:row>
    <x:row r="18">
      <x:c r="A18" s="31" t="str">
        <x:v>合计</x:v>
      </x:c>
      <x:c r="B18" s="30" t="n">
        <x:v>4</x:v>
      </x:c>
      <x:c r="C18" s="30"/>
      <x:c r="D18" s="30"/>
      <x:c r="E18" s="30"/>
      <x:c r="F18" s="30"/>
      <x:c r="G18" s="30"/>
      <x:c r="H18" s="30"/>
      <x:c r="I18" s="32" t="n">
        <x:f>ROUND(SUM(I14:I17),1)</x:f>
        <x:v>1170.1</x:v>
      </x:c>
      <x:c r="J18" s="30"/>
      <x:c r="K18" s="30"/>
    </x:row>
    <x:row r="19">
      <x:c r="A19" s="31" t="str">
        <x:v>均值</x:v>
      </x:c>
      <x:c r="B19" s="30"/>
      <x:c r="C19" s="30"/>
      <x:c r="D19" s="30"/>
      <x:c r="E19" s="30"/>
      <x:c r="F19" s="30"/>
      <x:c r="G19" s="30"/>
      <x:c r="H19" s="30"/>
      <x:c r="I19" s="34" t="n">
        <x:f>ROUND(IFERROR(AVERAGE(I14:I17),0),1)</x:f>
        <x:v>292.5</x:v>
      </x:c>
      <x:c r="J19" s="30"/>
      <x:c r="K19" s="30"/>
    </x:row>
    <x:row r="21">
      <x:c r="A21" s="17" t="str">
        <x:v>上证指数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9月1日-9月4日</x:v>
      </x:c>
      <x:c r="C23" s="23" t="n">
        <x:v>3979.88</x:v>
      </x:c>
      <x:c r="D23" s="23" t="n">
        <x:v>3995.18</x:v>
      </x:c>
      <x:c r="E23" s="23" t="n">
        <x:v>3915.22</x:v>
      </x:c>
      <x:c r="F23" s="23" t="n">
        <x:v>3930.12</x:v>
      </x:c>
      <x:c r="G23" s="23"/>
      <x:c r="H23" s="24"/>
      <x:c r="I23" s="26" t="n">
        <x:f>ROUND(D23-E23,1)</x:f>
        <x:v>80</x:v>
      </x:c>
      <x:c r="J23" s="22" t="str">
        <x:v>上证指数</x:v>
      </x:c>
      <x:c r="K23" s="22" t="n">
        <x:v>4</x:v>
      </x:c>
    </x:row>
    <x:row r="24">
      <x:c r="A24" s="22" t="n">
        <x:v>2</x:v>
      </x:c>
      <x:c r="B24" s="22" t="str">
        <x:v>9月7日-9月11日</x:v>
      </x:c>
      <x:c r="C24" s="23" t="n">
        <x:v>3942.51</x:v>
      </x:c>
      <x:c r="D24" s="23" t="n">
        <x:v>3958.12</x:v>
      </x:c>
      <x:c r="E24" s="23" t="n">
        <x:v>3852.03</x:v>
      </x:c>
      <x:c r="F24" s="23" t="n">
        <x:v>3888.11</x:v>
      </x:c>
      <x:c r="G24" s="23" t="n">
        <x:f>ROUND(F24-F23,1)</x:f>
        <x:v>-42</x:v>
      </x:c>
      <x:c r="H24" s="24" t="n">
        <x:f>IFERROR(F24/F23-1,"")</x:f>
        <x:v>-0.010689241040986008</x:v>
      </x:c>
      <x:c r="I24" s="26" t="n">
        <x:f>ROUND(D24-E24,1)</x:f>
        <x:v>106.1</x:v>
      </x:c>
      <x:c r="J24" s="22" t="str">
        <x:v>上证指数</x:v>
      </x:c>
      <x:c r="K24" s="22" t="n">
        <x:v>5</x:v>
      </x:c>
    </x:row>
    <x:row r="25">
      <x:c r="A25" s="22" t="n">
        <x:v>3</x:v>
      </x:c>
      <x:c r="B25" s="22" t="str">
        <x:v>9月14日-9月18日</x:v>
      </x:c>
      <x:c r="C25" s="23" t="n">
        <x:v>3867.02</x:v>
      </x:c>
      <x:c r="D25" s="23" t="n">
        <x:v>3919.67</x:v>
      </x:c>
      <x:c r="E25" s="23" t="n">
        <x:v>3842.72</x:v>
      </x:c>
      <x:c r="F25" s="23" t="n">
        <x:v>3911.87</x:v>
      </x:c>
      <x:c r="G25" s="23" t="n">
        <x:f>ROUND(F25-F24,1)</x:f>
        <x:v>23.8</x:v>
      </x:c>
      <x:c r="H25" s="24" t="n">
        <x:f>IFERROR(F25/F24-1,"")</x:f>
        <x:v>0.0061109382193405</x:v>
      </x:c>
      <x:c r="I25" s="26" t="n">
        <x:f>ROUND(D25-E25,1)</x:f>
        <x:v>77</x:v>
      </x:c>
      <x:c r="J25" s="22" t="str">
        <x:v>上证指数</x:v>
      </x:c>
      <x:c r="K25" s="22" t="n">
        <x:v>5</x:v>
      </x:c>
    </x:row>
    <x:row r="26">
      <x:c r="A26" s="22" t="n">
        <x:v>4</x:v>
      </x:c>
      <x:c r="B26" s="22" t="str">
        <x:v>9月21日-9月22日</x:v>
      </x:c>
      <x:c r="C26" s="23" t="n">
        <x:v>3920.27</x:v>
      </x:c>
      <x:c r="D26" s="23" t="n">
        <x:v>3967.68</x:v>
      </x:c>
      <x:c r="E26" s="23" t="n">
        <x:v>3918.13</x:v>
      </x:c>
      <x:c r="F26" s="23" t="n">
        <x:v>3952.13</x:v>
      </x:c>
      <x:c r="G26" s="23" t="n">
        <x:f>ROUND(F26-F25,1)</x:f>
        <x:v>40.3</x:v>
      </x:c>
      <x:c r="H26" s="24" t="n">
        <x:f>IFERROR(F26/F25-1,"")</x:f>
        <x:v>0.010291753049053387</x:v>
      </x:c>
      <x:c r="I26" s="23" t="n">
        <x:f>ROUND(D26-E26,1)</x:f>
        <x:v>49.5</x:v>
      </x:c>
      <x:c r="J26" s="22" t="str">
        <x:v>上证指数</x:v>
      </x:c>
      <x:c r="K26" s="22" t="n">
        <x:v>2</x:v>
      </x:c>
    </x:row>
    <x:row r="27">
      <x:c r="A27" s="31" t="str">
        <x:v>合计</x:v>
      </x:c>
      <x:c r="B27" s="30" t="n">
        <x:v>4</x:v>
      </x:c>
      <x:c r="C27" s="30"/>
      <x:c r="D27" s="30"/>
      <x:c r="E27" s="30"/>
      <x:c r="F27" s="30"/>
      <x:c r="G27" s="30"/>
      <x:c r="H27" s="30"/>
      <x:c r="I27" s="32" t="n">
        <x:f>ROUND(SUM(I23:I26),1)</x:f>
        <x:v>312.6</x:v>
      </x:c>
      <x:c r="J27" s="30"/>
      <x:c r="K27" s="30"/>
    </x:row>
    <x:row r="28">
      <x:c r="A28" s="31" t="str">
        <x:v>均值</x:v>
      </x:c>
      <x:c r="B28" s="30"/>
      <x:c r="C28" s="30"/>
      <x:c r="D28" s="30"/>
      <x:c r="E28" s="30"/>
      <x:c r="F28" s="30"/>
      <x:c r="G28" s="30"/>
      <x:c r="H28" s="30"/>
      <x:c r="I28" s="34" t="n">
        <x:f>ROUND(IFERROR(AVERAGE(I23:I26),0),1)</x:f>
        <x:v>78.2</x:v>
      </x:c>
      <x:c r="J28" s="30"/>
      <x:c r="K28" s="30"/>
    </x:row>
    <x:row r="30">
      <x:c r="A30" s="17" t="str">
        <x:v>IM主力</x:v>
      </x:c>
      <x:c r="B30" s="17"/>
      <x:c r="C30" s="17"/>
      <x:c r="D30" s="17"/>
      <x:c r="E30" s="17"/>
      <x:c r="F30" s="17"/>
      <x:c r="G30" s="17"/>
      <x:c r="H30" s="17"/>
      <x:c r="I30" s="17"/>
      <x:c r="J30" s="17"/>
      <x:c r="K30" s="17"/>
    </x:row>
    <x:row r="31">
      <x:c r="A31" s="20" t="str">
        <x:v>序号</x:v>
      </x:c>
      <x:c r="B31" s="20" t="str">
        <x:v>周期</x:v>
      </x:c>
      <x:c r="C31" s="20" t="str">
        <x:v>开盘</x:v>
      </x:c>
      <x:c r="D31" s="20" t="str">
        <x:v>高点</x:v>
      </x:c>
      <x:c r="E31" s="20" t="str">
        <x:v>低点</x:v>
      </x:c>
      <x:c r="F31" s="20" t="str">
        <x:v>收盘</x:v>
      </x:c>
      <x:c r="G31" s="20" t="str">
        <x:v>涨跌点数</x:v>
      </x:c>
      <x:c r="H31" s="20" t="str">
        <x:v>涨幅</x:v>
      </x:c>
      <x:c r="I31" s="20" t="str">
        <x:v>振幅</x:v>
      </x:c>
      <x:c r="J31" s="20" t="str">
        <x:v>标的</x:v>
      </x:c>
      <x:c r="K31" s="20" t="str">
        <x:v>交易日</x:v>
      </x:c>
    </x:row>
    <x:row r="32">
      <x:c r="A32" s="22" t="n">
        <x:v>1</x:v>
      </x:c>
      <x:c r="B32" s="22" t="str">
        <x:v>9月1日-9月4日</x:v>
      </x:c>
      <x:c r="C32" s="23" t="n">
        <x:v>7713.4</x:v>
      </x:c>
      <x:c r="D32" s="23" t="n">
        <x:v>7721</x:v>
      </x:c>
      <x:c r="E32" s="23" t="n">
        <x:v>7432</x:v>
      </x:c>
      <x:c r="F32" s="23" t="n">
        <x:v>7468.2</x:v>
      </x:c>
      <x:c r="G32" s="23"/>
      <x:c r="H32" s="24"/>
      <x:c r="I32" s="26" t="n">
        <x:f>ROUND(D32-E32,1)</x:f>
        <x:v>289</x:v>
      </x:c>
      <x:c r="J32" s="22" t="str">
        <x:v>IM2609</x:v>
      </x:c>
      <x:c r="K32" s="22" t="n">
        <x:v>4</x:v>
      </x:c>
    </x:row>
    <x:row r="33">
      <x:c r="A33" s="22" t="n">
        <x:v>2</x:v>
      </x:c>
      <x:c r="B33" s="22" t="str">
        <x:v>9月7日-9月11日</x:v>
      </x:c>
      <x:c r="C33" s="23" t="n">
        <x:v>7527.2</x:v>
      </x:c>
      <x:c r="D33" s="23" t="n">
        <x:v>7714.6</x:v>
      </x:c>
      <x:c r="E33" s="23" t="n">
        <x:v>7259.4</x:v>
      </x:c>
      <x:c r="F33" s="23" t="n">
        <x:v>7415.2</x:v>
      </x:c>
      <x:c r="G33" s="23" t="n">
        <x:f>ROUND(F33-F32,1)</x:f>
        <x:v>-53</x:v>
      </x:c>
      <x:c r="H33" s="24" t="n">
        <x:f>IFERROR(F33/F32-1,"")</x:f>
        <x:v>-0.007096756915990432</x:v>
      </x:c>
      <x:c r="I33" s="26" t="n">
        <x:f>ROUND(D33-E33,1)</x:f>
        <x:v>455.2</x:v>
      </x:c>
      <x:c r="J33" s="22" t="str">
        <x:v>IM2609</x:v>
      </x:c>
      <x:c r="K33" s="22" t="n">
        <x:v>5</x:v>
      </x:c>
    </x:row>
    <x:row r="34">
      <x:c r="A34" s="22" t="n">
        <x:v>3</x:v>
      </x:c>
      <x:c r="B34" s="22" t="str">
        <x:v>9月14日-9月18日</x:v>
      </x:c>
      <x:c r="C34" s="23" t="n">
        <x:v>7312</x:v>
      </x:c>
      <x:c r="D34" s="23" t="n">
        <x:v>7712.4</x:v>
      </x:c>
      <x:c r="E34" s="23" t="n">
        <x:v>7283.4</x:v>
      </x:c>
      <x:c r="F34" s="23" t="n">
        <x:v>7679.2</x:v>
      </x:c>
      <x:c r="G34" s="28" t="n">
        <x:f>ROUND(F34-F33,1)</x:f>
        <x:v>264</x:v>
      </x:c>
      <x:c r="H34" s="24" t="n">
        <x:f>IFERROR(F34/F33-1,"")</x:f>
        <x:v>0.03560254612148017</x:v>
      </x:c>
      <x:c r="I34" s="26" t="n">
        <x:f>ROUND(D34-E34,1)</x:f>
        <x:v>429</x:v>
      </x:c>
      <x:c r="J34" s="22" t="str">
        <x:v>IM2609</x:v>
      </x:c>
      <x:c r="K34" s="22" t="n">
        <x:v>5</x:v>
      </x:c>
    </x:row>
    <x:row r="35">
      <x:c r="A35" s="22" t="n">
        <x:v>4</x:v>
      </x:c>
      <x:c r="B35" s="22" t="str">
        <x:v>9月21日-9月22日</x:v>
      </x:c>
      <x:c r="C35" s="23" t="n">
        <x:v>7549</x:v>
      </x:c>
      <x:c r="D35" s="23" t="n">
        <x:v>7687</x:v>
      </x:c>
      <x:c r="E35" s="23" t="n">
        <x:v>7527</x:v>
      </x:c>
      <x:c r="F35" s="23" t="n">
        <x:v>7580.2</x:v>
      </x:c>
      <x:c r="G35" s="23" t="n">
        <x:f>ROUND(F35-F34,1)</x:f>
        <x:v>-99</x:v>
      </x:c>
      <x:c r="H35" s="24" t="n">
        <x:f>IFERROR(F35/F34-1,"")</x:f>
        <x:v>-0.012891967913324254</x:v>
      </x:c>
      <x:c r="I35" s="23" t="n">
        <x:f>ROUND(D35-E35,1)</x:f>
        <x:v>160</x:v>
      </x:c>
      <x:c r="J35" s="22" t="str">
        <x:v>IM2612</x:v>
      </x:c>
      <x:c r="K35" s="22" t="n">
        <x:v>2</x:v>
      </x:c>
    </x:row>
    <x:row r="36">
      <x:c r="A36" s="31" t="str">
        <x:v>合计</x:v>
      </x:c>
      <x:c r="B36" s="30" t="n">
        <x:v>4</x:v>
      </x:c>
      <x:c r="C36" s="30"/>
      <x:c r="D36" s="30"/>
      <x:c r="E36" s="30"/>
      <x:c r="F36" s="30"/>
      <x:c r="G36" s="30"/>
      <x:c r="H36" s="30"/>
      <x:c r="I36" s="32" t="n">
        <x:f>ROUND(SUM(I32:I35),1)</x:f>
        <x:v>1333.2</x:v>
      </x:c>
      <x:c r="J36" s="30"/>
      <x:c r="K36" s="30"/>
    </x:row>
    <x:row r="37">
      <x:c r="A37" s="31" t="str">
        <x:v>均值</x:v>
      </x:c>
      <x:c r="B37" s="30"/>
      <x:c r="C37" s="30"/>
      <x:c r="D37" s="30"/>
      <x:c r="E37" s="30"/>
      <x:c r="F37" s="30"/>
      <x:c r="G37" s="30"/>
      <x:c r="H37" s="30"/>
      <x:c r="I37" s="34" t="n">
        <x:f>ROUND(IFERROR(AVERAGE(I32:I35),0),1)</x:f>
        <x:v>333.3</x:v>
      </x:c>
      <x:c r="J37" s="30"/>
      <x:c r="K37" s="30"/>
    </x:row>
    <x:row r="39">
      <x:c r="A39" s="17" t="str">
        <x:v>IC主力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9月1日-9月4日</x:v>
      </x:c>
      <x:c r="C41" s="23" t="n">
        <x:v>7880.8</x:v>
      </x:c>
      <x:c r="D41" s="23" t="n">
        <x:v>7903</x:v>
      </x:c>
      <x:c r="E41" s="23" t="n">
        <x:v>7568</x:v>
      </x:c>
      <x:c r="F41" s="23" t="n">
        <x:v>7608</x:v>
      </x:c>
      <x:c r="G41" s="23"/>
      <x:c r="H41" s="24"/>
      <x:c r="I41" s="26" t="n">
        <x:f>ROUND(D41-E41,1)</x:f>
        <x:v>335</x:v>
      </x:c>
      <x:c r="J41" s="22" t="str">
        <x:v>IC2609</x:v>
      </x:c>
      <x:c r="K41" s="22" t="n">
        <x:v>4</x:v>
      </x:c>
    </x:row>
    <x:row r="42">
      <x:c r="A42" s="22" t="n">
        <x:v>2</x:v>
      </x:c>
      <x:c r="B42" s="22" t="str">
        <x:v>9月7日-9月11日</x:v>
      </x:c>
      <x:c r="C42" s="23" t="n">
        <x:v>7665.6</x:v>
      </x:c>
      <x:c r="D42" s="23" t="n">
        <x:v>7817.2</x:v>
      </x:c>
      <x:c r="E42" s="23" t="n">
        <x:v>7418.8</x:v>
      </x:c>
      <x:c r="F42" s="23" t="n">
        <x:v>7569</x:v>
      </x:c>
      <x:c r="G42" s="23" t="n">
        <x:f>ROUND(F42-F41,1)</x:f>
        <x:v>-39</x:v>
      </x:c>
      <x:c r="H42" s="24" t="n">
        <x:f>IFERROR(F42/F41-1,"")</x:f>
        <x:v>-0.005126182965299653</x:v>
      </x:c>
      <x:c r="I42" s="26" t="n">
        <x:f>ROUND(D42-E42,1)</x:f>
        <x:v>398.4</x:v>
      </x:c>
      <x:c r="J42" s="22" t="str">
        <x:v>IC2609</x:v>
      </x:c>
      <x:c r="K42" s="22" t="n">
        <x:v>5</x:v>
      </x:c>
    </x:row>
    <x:row r="43">
      <x:c r="A43" s="22" t="n">
        <x:v>3</x:v>
      </x:c>
      <x:c r="B43" s="22" t="str">
        <x:v>9月14日-9月18日</x:v>
      </x:c>
      <x:c r="C43" s="23" t="n">
        <x:v>7482.2</x:v>
      </x:c>
      <x:c r="D43" s="23" t="n">
        <x:v>7820</x:v>
      </x:c>
      <x:c r="E43" s="23" t="n">
        <x:v>7452.2</x:v>
      </x:c>
      <x:c r="F43" s="23" t="n">
        <x:v>7789.8</x:v>
      </x:c>
      <x:c r="G43" s="28" t="n">
        <x:f>ROUND(F43-F42,1)</x:f>
        <x:v>220.8</x:v>
      </x:c>
      <x:c r="H43" s="24" t="n">
        <x:f>IFERROR(F43/F42-1,"")</x:f>
        <x:v>0.02917162108600868</x:v>
      </x:c>
      <x:c r="I43" s="26" t="n">
        <x:f>ROUND(D43-E43,1)</x:f>
        <x:v>367.8</x:v>
      </x:c>
      <x:c r="J43" s="22" t="str">
        <x:v>IC2609</x:v>
      </x:c>
      <x:c r="K43" s="22" t="n">
        <x:v>5</x:v>
      </x:c>
    </x:row>
    <x:row r="44">
      <x:c r="A44" s="22" t="n">
        <x:v>4</x:v>
      </x:c>
      <x:c r="B44" s="22" t="str">
        <x:v>9月21日</x:v>
      </x:c>
      <x:c r="C44" s="23" t="n">
        <x:v>7688</x:v>
      </x:c>
      <x:c r="D44" s="23" t="n">
        <x:v>7728</x:v>
      </x:c>
      <x:c r="E44" s="23" t="n">
        <x:v>7640</x:v>
      </x:c>
      <x:c r="F44" s="23" t="n">
        <x:v>7672.6</x:v>
      </x:c>
      <x:c r="G44" s="23" t="n">
        <x:f>ROUND(F44-F43,1)</x:f>
        <x:v>-117.2</x:v>
      </x:c>
      <x:c r="H44" s="24" t="n">
        <x:f>IFERROR(F44/F43-1,"")</x:f>
        <x:v>-0.015045315669208414</x:v>
      </x:c>
      <x:c r="I44" s="23" t="n">
        <x:f>ROUND(D44-E44,1)</x:f>
        <x:v>88</x:v>
      </x:c>
      <x:c r="J44" s="22" t="str">
        <x:v>IC2612</x:v>
      </x:c>
      <x:c r="K44" s="22" t="n">
        <x:v>1</x:v>
      </x:c>
    </x:row>
    <x:row r="45">
      <x:c r="A45" s="31" t="str">
        <x:v>合计</x:v>
      </x:c>
      <x:c r="B45" s="30" t="n">
        <x:v>4</x:v>
      </x:c>
      <x:c r="C45" s="30"/>
      <x:c r="D45" s="30"/>
      <x:c r="E45" s="30"/>
      <x:c r="F45" s="30"/>
      <x:c r="G45" s="30"/>
      <x:c r="H45" s="30"/>
      <x:c r="I45" s="32" t="n">
        <x:f>ROUND(SUM(I41:I44),1)</x:f>
        <x:v>1189.2</x:v>
      </x:c>
      <x:c r="J45" s="30"/>
      <x:c r="K45" s="30"/>
    </x:row>
    <x:row r="46">
      <x:c r="A46" s="31" t="str">
        <x:v>均值</x:v>
      </x:c>
      <x:c r="B46" s="30"/>
      <x:c r="C46" s="30"/>
      <x:c r="D46" s="30"/>
      <x:c r="E46" s="30"/>
      <x:c r="F46" s="30"/>
      <x:c r="G46" s="30"/>
      <x:c r="H46" s="30"/>
      <x:c r="I46" s="34" t="n">
        <x:f>ROUND(IFERROR(AVERAGE(I41:I44),0),1)</x:f>
        <x:v>297.3</x:v>
      </x:c>
      <x:c r="J46" s="30"/>
      <x:c r="K46" s="30"/>
    </x:row>
    <x:row r="48">
      <x:c r="A48" s="17" t="str">
        <x:v>IF主力</x:v>
      </x:c>
      <x:c r="B48" s="17"/>
      <x:c r="C48" s="17"/>
      <x:c r="D48" s="17"/>
      <x:c r="E48" s="17"/>
      <x:c r="F48" s="17"/>
      <x:c r="G48" s="17"/>
      <x:c r="H48" s="17"/>
      <x:c r="I48" s="17"/>
      <x:c r="J48" s="17"/>
      <x:c r="K48" s="17"/>
    </x:row>
    <x:row r="49">
      <x:c r="A49" s="20" t="str">
        <x:v>序号</x:v>
      </x:c>
      <x:c r="B49" s="20" t="str">
        <x:v>周期</x:v>
      </x:c>
      <x:c r="C49" s="20" t="str">
        <x:v>开盘</x:v>
      </x:c>
      <x:c r="D49" s="20" t="str">
        <x:v>高点</x:v>
      </x:c>
      <x:c r="E49" s="20" t="str">
        <x:v>低点</x:v>
      </x:c>
      <x:c r="F49" s="20" t="str">
        <x:v>收盘</x:v>
      </x:c>
      <x:c r="G49" s="20" t="str">
        <x:v>涨跌点数</x:v>
      </x:c>
      <x:c r="H49" s="20" t="str">
        <x:v>涨幅</x:v>
      </x:c>
      <x:c r="I49" s="20" t="str">
        <x:v>振幅</x:v>
      </x:c>
      <x:c r="J49" s="20" t="str">
        <x:v>标的</x:v>
      </x:c>
      <x:c r="K49" s="20" t="str">
        <x:v>交易日</x:v>
      </x:c>
    </x:row>
    <x:row r="50">
      <x:c r="A50" s="22" t="n">
        <x:v>1</x:v>
      </x:c>
      <x:c r="B50" s="22" t="str">
        <x:v>9月1日-9月4日</x:v>
      </x:c>
      <x:c r="C50" s="23" t="n">
        <x:v>4602</x:v>
      </x:c>
      <x:c r="D50" s="23" t="n">
        <x:v>4617.8</x:v>
      </x:c>
      <x:c r="E50" s="23" t="n">
        <x:v>4497.6</x:v>
      </x:c>
      <x:c r="F50" s="23" t="n">
        <x:v>4537.4</x:v>
      </x:c>
      <x:c r="G50" s="23"/>
      <x:c r="H50" s="24"/>
      <x:c r="I50" s="26" t="n">
        <x:f>ROUND(D50-E50,1)</x:f>
        <x:v>120.2</x:v>
      </x:c>
      <x:c r="J50" s="22" t="str">
        <x:v>IF2609</x:v>
      </x:c>
      <x:c r="K50" s="22" t="n">
        <x:v>4</x:v>
      </x:c>
    </x:row>
    <x:row r="51">
      <x:c r="A51" s="22" t="n">
        <x:v>2</x:v>
      </x:c>
      <x:c r="B51" s="22" t="str">
        <x:v>9月7日-9月11日</x:v>
      </x:c>
      <x:c r="C51" s="23" t="n">
        <x:v>4562</x:v>
      </x:c>
      <x:c r="D51" s="23" t="n">
        <x:v>4584</x:v>
      </x:c>
      <x:c r="E51" s="23" t="n">
        <x:v>4451.6</x:v>
      </x:c>
      <x:c r="F51" s="23" t="n">
        <x:v>4503.4</x:v>
      </x:c>
      <x:c r="G51" s="23" t="n">
        <x:f>ROUND(F51-F50,1)</x:f>
        <x:v>-34</x:v>
      </x:c>
      <x:c r="H51" s="24" t="n">
        <x:f>IFERROR(F51/F50-1,"")</x:f>
        <x:v>-0.007493278088773314</x:v>
      </x:c>
      <x:c r="I51" s="26" t="n">
        <x:f>ROUND(D51-E51,1)</x:f>
        <x:v>132.4</x:v>
      </x:c>
      <x:c r="J51" s="22" t="str">
        <x:v>IF2609</x:v>
      </x:c>
      <x:c r="K51" s="22" t="n">
        <x:v>5</x:v>
      </x:c>
    </x:row>
    <x:row r="52">
      <x:c r="A52" s="22" t="n">
        <x:v>3</x:v>
      </x:c>
      <x:c r="B52" s="22" t="str">
        <x:v>9月14日-9月18日</x:v>
      </x:c>
      <x:c r="C52" s="23" t="n">
        <x:v>4468</x:v>
      </x:c>
      <x:c r="D52" s="23" t="n">
        <x:v>4520.6</x:v>
      </x:c>
      <x:c r="E52" s="23" t="n">
        <x:v>4412.2</x:v>
      </x:c>
      <x:c r="F52" s="23" t="n">
        <x:v>4508</x:v>
      </x:c>
      <x:c r="G52" s="23" t="n">
        <x:f>ROUND(F52-F51,1)</x:f>
        <x:v>4.6</x:v>
      </x:c>
      <x:c r="H52" s="24" t="n">
        <x:f>IFERROR(F52/F51-1,"")</x:f>
        <x:v>0.0010214504596528506</x:v>
      </x:c>
      <x:c r="I52" s="26" t="n">
        <x:f>ROUND(D52-E52,1)</x:f>
        <x:v>108.4</x:v>
      </x:c>
      <x:c r="J52" s="22" t="str">
        <x:v>IF2609</x:v>
      </x:c>
      <x:c r="K52" s="22" t="n">
        <x:v>5</x:v>
      </x:c>
    </x:row>
    <x:row r="53">
      <x:c r="A53" s="22" t="n">
        <x:v>4</x:v>
      </x:c>
      <x:c r="B53" s="22" t="str">
        <x:v>9月21日</x:v>
      </x:c>
      <x:c r="C53" s="23" t="n">
        <x:v>4451</x:v>
      </x:c>
      <x:c r="D53" s="23" t="n">
        <x:v>4474.6</x:v>
      </x:c>
      <x:c r="E53" s="23" t="n">
        <x:v>4434.8</x:v>
      </x:c>
      <x:c r="F53" s="23" t="n">
        <x:v>4464.8</x:v>
      </x:c>
      <x:c r="G53" s="23" t="n">
        <x:f>ROUND(F53-F52,1)</x:f>
        <x:v>-43.2</x:v>
      </x:c>
      <x:c r="H53" s="24" t="n">
        <x:f>IFERROR(F53/F52-1,"")</x:f>
        <x:v>-0.0095829636202307</x:v>
      </x:c>
      <x:c r="I53" s="23" t="n">
        <x:f>ROUND(D53-E53,1)</x:f>
        <x:v>39.8</x:v>
      </x:c>
      <x:c r="J53" s="22" t="str">
        <x:v>IF2612</x:v>
      </x:c>
      <x:c r="K53" s="22" t="n">
        <x:v>1</x:v>
      </x:c>
    </x:row>
    <x:row r="54">
      <x:c r="A54" s="31" t="str">
        <x:v>合计</x:v>
      </x:c>
      <x:c r="B54" s="30" t="n">
        <x:v>4</x:v>
      </x:c>
      <x:c r="C54" s="30"/>
      <x:c r="D54" s="30"/>
      <x:c r="E54" s="30"/>
      <x:c r="F54" s="30"/>
      <x:c r="G54" s="30"/>
      <x:c r="H54" s="30"/>
      <x:c r="I54" s="32" t="n">
        <x:f>ROUND(SUM(I50:I53),1)</x:f>
        <x:v>400.8</x:v>
      </x:c>
      <x:c r="J54" s="30"/>
      <x:c r="K54" s="30"/>
    </x:row>
    <x:row r="55">
      <x:c r="A55" s="31" t="str">
        <x:v>均值</x:v>
      </x:c>
      <x:c r="B55" s="30"/>
      <x:c r="C55" s="30"/>
      <x:c r="D55" s="30"/>
      <x:c r="E55" s="30"/>
      <x:c r="F55" s="30"/>
      <x:c r="G55" s="30"/>
      <x:c r="H55" s="30"/>
      <x:c r="I55" s="34" t="n">
        <x:f>ROUND(IFERROR(AVERAGE(I50:I53),0),1)</x:f>
        <x:v>100.2</x:v>
      </x:c>
      <x:c r="J55" s="30"/>
      <x:c r="K55" s="30"/>
    </x:row>
    <x:row r="57">
      <x:c r="A57" s="17" t="str">
        <x:v>IH主力</x:v>
      </x:c>
      <x:c r="B57" s="17"/>
      <x:c r="C57" s="17"/>
      <x:c r="D57" s="17"/>
      <x:c r="E57" s="17"/>
      <x:c r="F57" s="17"/>
      <x:c r="G57" s="17"/>
      <x:c r="H57" s="17"/>
      <x:c r="I57" s="17"/>
      <x:c r="J57" s="17"/>
      <x:c r="K57" s="17"/>
    </x:row>
    <x:row r="58">
      <x:c r="A58" s="20" t="str">
        <x:v>序号</x:v>
      </x:c>
      <x:c r="B58" s="20" t="str">
        <x:v>周期</x:v>
      </x:c>
      <x:c r="C58" s="20" t="str">
        <x:v>开盘</x:v>
      </x:c>
      <x:c r="D58" s="20" t="str">
        <x:v>高点</x:v>
      </x:c>
      <x:c r="E58" s="20" t="str">
        <x:v>低点</x:v>
      </x:c>
      <x:c r="F58" s="20" t="str">
        <x:v>收盘</x:v>
      </x:c>
      <x:c r="G58" s="20" t="str">
        <x:v>涨跌点数</x:v>
      </x:c>
      <x:c r="H58" s="20" t="str">
        <x:v>涨幅</x:v>
      </x:c>
      <x:c r="I58" s="20" t="str">
        <x:v>振幅</x:v>
      </x:c>
      <x:c r="J58" s="20" t="str">
        <x:v>标的</x:v>
      </x:c>
      <x:c r="K58" s="20" t="str">
        <x:v>交易日</x:v>
      </x:c>
    </x:row>
    <x:row r="59">
      <x:c r="A59" s="22" t="n">
        <x:v>1</x:v>
      </x:c>
      <x:c r="B59" s="22" t="str">
        <x:v>9月1日-9月4日</x:v>
      </x:c>
      <x:c r="C59" s="23" t="n">
        <x:v>2913</x:v>
      </x:c>
      <x:c r="D59" s="23" t="n">
        <x:v>2949.4</x:v>
      </x:c>
      <x:c r="E59" s="23" t="n">
        <x:v>2881.4</x:v>
      </x:c>
      <x:c r="F59" s="23" t="n">
        <x:v>2915.8</x:v>
      </x:c>
      <x:c r="G59" s="23"/>
      <x:c r="H59" s="24"/>
      <x:c r="I59" s="26" t="n">
        <x:f>ROUND(D59-E59,1)</x:f>
        <x:v>68</x:v>
      </x:c>
      <x:c r="J59" s="22" t="str">
        <x:v>IH2609</x:v>
      </x:c>
      <x:c r="K59" s="22" t="n">
        <x:v>4</x:v>
      </x:c>
    </x:row>
    <x:row r="60">
      <x:c r="A60" s="22" t="n">
        <x:v>2</x:v>
      </x:c>
      <x:c r="B60" s="22" t="str">
        <x:v>9月7日-9月11日</x:v>
      </x:c>
      <x:c r="C60" s="23" t="n">
        <x:v>2923.2</x:v>
      </x:c>
      <x:c r="D60" s="23" t="n">
        <x:v>2931.4</x:v>
      </x:c>
      <x:c r="E60" s="23" t="n">
        <x:v>2836.8</x:v>
      </x:c>
      <x:c r="F60" s="23" t="n">
        <x:v>2867</x:v>
      </x:c>
      <x:c r="G60" s="23" t="n">
        <x:f>ROUND(F60-F59,1)</x:f>
        <x:v>-48.8</x:v>
      </x:c>
      <x:c r="H60" s="24" t="n">
        <x:f>IFERROR(F60/F59-1,"")</x:f>
        <x:v>-0.01673640167364021</x:v>
      </x:c>
      <x:c r="I60" s="26" t="n">
        <x:f>ROUND(D60-E60,1)</x:f>
        <x:v>94.6</x:v>
      </x:c>
      <x:c r="J60" s="22" t="str">
        <x:v>IH2609</x:v>
      </x:c>
      <x:c r="K60" s="22" t="n">
        <x:v>5</x:v>
      </x:c>
    </x:row>
    <x:row r="61">
      <x:c r="A61" s="22" t="n">
        <x:v>3</x:v>
      </x:c>
      <x:c r="B61" s="22" t="str">
        <x:v>9月14日-9月18日</x:v>
      </x:c>
      <x:c r="C61" s="23" t="n">
        <x:v>2849.2</x:v>
      </x:c>
      <x:c r="D61" s="23" t="n">
        <x:v>2873.2</x:v>
      </x:c>
      <x:c r="E61" s="23" t="n">
        <x:v>2829.4</x:v>
      </x:c>
      <x:c r="F61" s="23" t="n">
        <x:v>2862.2</x:v>
      </x:c>
      <x:c r="G61" s="23" t="n">
        <x:f>ROUND(F61-F60,1)</x:f>
        <x:v>-4.8</x:v>
      </x:c>
      <x:c r="H61" s="24" t="n">
        <x:f>IFERROR(F61/F60-1,"")</x:f>
        <x:v>-0.0016742239274503135</x:v>
      </x:c>
      <x:c r="I61" s="23" t="n">
        <x:f>ROUND(D61-E61,1)</x:f>
        <x:v>43.8</x:v>
      </x:c>
      <x:c r="J61" s="22" t="str">
        <x:v>IH2609</x:v>
      </x:c>
      <x:c r="K61" s="22" t="n">
        <x:v>5</x:v>
      </x:c>
    </x:row>
    <x:row r="62">
      <x:c r="A62" s="22" t="n">
        <x:v>4</x:v>
      </x:c>
      <x:c r="B62" s="22" t="str">
        <x:v>9月21日</x:v>
      </x:c>
      <x:c r="C62" s="23" t="n">
        <x:v>2830</x:v>
      </x:c>
      <x:c r="D62" s="23" t="n">
        <x:v>2849.8</x:v>
      </x:c>
      <x:c r="E62" s="23" t="n">
        <x:v>2822</x:v>
      </x:c>
      <x:c r="F62" s="23" t="n">
        <x:v>2847.4</x:v>
      </x:c>
      <x:c r="G62" s="23" t="n">
        <x:f>ROUND(F62-F61,1)</x:f>
        <x:v>-14.8</x:v>
      </x:c>
      <x:c r="H62" s="24" t="n">
        <x:f>IFERROR(F62/F61-1,"")</x:f>
        <x:v>-0.005170847599748396</x:v>
      </x:c>
      <x:c r="I62" s="23" t="n">
        <x:f>ROUND(D62-E62,1)</x:f>
        <x:v>27.8</x:v>
      </x:c>
      <x:c r="J62" s="22" t="str">
        <x:v>IH2612</x:v>
      </x:c>
      <x:c r="K62" s="22" t="n">
        <x:v>1</x:v>
      </x:c>
    </x:row>
    <x:row r="63">
      <x:c r="A63" s="31" t="str">
        <x:v>合计</x:v>
      </x:c>
      <x:c r="B63" s="30" t="n">
        <x:v>4</x:v>
      </x:c>
      <x:c r="C63" s="30"/>
      <x:c r="D63" s="30"/>
      <x:c r="E63" s="30"/>
      <x:c r="F63" s="30"/>
      <x:c r="G63" s="30"/>
      <x:c r="H63" s="30"/>
      <x:c r="I63" s="32" t="n">
        <x:f>ROUND(SUM(I59:I62),1)</x:f>
        <x:v>234.2</x:v>
      </x:c>
      <x:c r="J63" s="30"/>
      <x:c r="K63" s="30"/>
    </x:row>
    <x:row r="64">
      <x:c r="A64" s="31" t="str">
        <x:v>均值</x:v>
      </x:c>
      <x:c r="B64" s="30"/>
      <x:c r="C64" s="30"/>
      <x:c r="D64" s="30"/>
      <x:c r="E64" s="30"/>
      <x:c r="F64" s="30"/>
      <x:c r="G64" s="30"/>
      <x:c r="H64" s="30"/>
      <x:c r="I64" s="34" t="n">
        <x:f>ROUND(IFERROR(AVERAGE(I59:I62),0),1)</x:f>
        <x:v>58.6</x:v>
      </x:c>
      <x:c r="J64" s="30"/>
      <x:c r="K64" s="30"/>
    </x:row>
    <x:row r="66">
      <x:c r="A66" s="17" t="str">
        <x:v>碳酸锂2610</x:v>
      </x:c>
      <x:c r="B66" s="17"/>
      <x:c r="C66" s="17"/>
      <x:c r="D66" s="17"/>
      <x:c r="E66" s="17"/>
      <x:c r="F66" s="17"/>
      <x:c r="G66" s="17"/>
      <x:c r="H66" s="17"/>
      <x:c r="I66" s="17"/>
      <x:c r="J66" s="17"/>
      <x:c r="K66" s="17"/>
    </x:row>
    <x:row r="67">
      <x:c r="A67" s="20" t="str">
        <x:v>序号</x:v>
      </x:c>
      <x:c r="B67" s="20" t="str">
        <x:v>周期</x:v>
      </x:c>
      <x:c r="C67" s="20" t="str">
        <x:v>开盘</x:v>
      </x:c>
      <x:c r="D67" s="20" t="str">
        <x:v>高点</x:v>
      </x:c>
      <x:c r="E67" s="20" t="str">
        <x:v>低点</x:v>
      </x:c>
      <x:c r="F67" s="20" t="str">
        <x:v>收盘</x:v>
      </x:c>
      <x:c r="G67" s="20" t="str">
        <x:v>涨跌点数</x:v>
      </x:c>
      <x:c r="H67" s="20" t="str">
        <x:v>涨幅</x:v>
      </x:c>
      <x:c r="I67" s="20" t="str">
        <x:v>振幅</x:v>
      </x:c>
      <x:c r="J67" s="20" t="str">
        <x:v>标的</x:v>
      </x:c>
      <x:c r="K67" s="20" t="str">
        <x:v>交易日</x:v>
      </x:c>
    </x:row>
    <x:row r="68">
      <x:c r="A68" s="22" t="n">
        <x:v>1</x:v>
      </x:c>
      <x:c r="B68" s="22" t="str">
        <x:v>9月1日-9月4日</x:v>
      </x:c>
      <x:c r="C68" s="23" t="n">
        <x:v>159280</x:v>
      </x:c>
      <x:c r="D68" s="23" t="n">
        <x:v>161280</x:v>
      </x:c>
      <x:c r="E68" s="23" t="n">
        <x:v>140220</x:v>
      </x:c>
      <x:c r="F68" s="23" t="n">
        <x:v>142000</x:v>
      </x:c>
      <x:c r="G68" s="23"/>
      <x:c r="H68" s="24"/>
      <x:c r="I68" s="26" t="n">
        <x:f>ROUND(D68-E68,1)</x:f>
        <x:v>21060</x:v>
      </x:c>
      <x:c r="J68" s="22" t="str">
        <x:v>LC2610</x:v>
      </x:c>
      <x:c r="K68" s="22" t="n">
        <x:v>4</x:v>
      </x:c>
    </x:row>
    <x:row r="69">
      <x:c r="A69" s="22" t="n">
        <x:v>2</x:v>
      </x:c>
      <x:c r="B69" s="22" t="str">
        <x:v>9月7日-9月11日</x:v>
      </x:c>
      <x:c r="C69" s="23" t="n">
        <x:v>141000</x:v>
      </x:c>
      <x:c r="D69" s="23" t="n">
        <x:v>143540</x:v>
      </x:c>
      <x:c r="E69" s="23" t="n">
        <x:v>127120</x:v>
      </x:c>
      <x:c r="F69" s="23" t="n">
        <x:v>134340</x:v>
      </x:c>
      <x:c r="G69" s="28" t="n">
        <x:f>ROUND(F69-F68,1)</x:f>
        <x:v>-7660</x:v>
      </x:c>
      <x:c r="H69" s="24" t="n">
        <x:f>IFERROR(F69/F68-1,"")</x:f>
        <x:v>-0.05394366197183098</x:v>
      </x:c>
      <x:c r="I69" s="26" t="n">
        <x:f>ROUND(D69-E69,1)</x:f>
        <x:v>16420</x:v>
      </x:c>
      <x:c r="J69" s="22" t="str">
        <x:v>LC2610</x:v>
      </x:c>
      <x:c r="K69" s="22" t="n">
        <x:v>5</x:v>
      </x:c>
    </x:row>
    <x:row r="70">
      <x:c r="A70" s="22" t="n">
        <x:v>3</x:v>
      </x:c>
      <x:c r="B70" s="22" t="str">
        <x:v>9月14日-9月18日</x:v>
      </x:c>
      <x:c r="C70" s="23" t="n">
        <x:v>133600</x:v>
      </x:c>
      <x:c r="D70" s="23" t="n">
        <x:v>135900</x:v>
      </x:c>
      <x:c r="E70" s="23" t="n">
        <x:v>126200</x:v>
      </x:c>
      <x:c r="F70" s="23" t="n">
        <x:v>128580</x:v>
      </x:c>
      <x:c r="G70" s="28" t="n">
        <x:f>ROUND(F70-F69,1)</x:f>
        <x:v>-5760</x:v>
      </x:c>
      <x:c r="H70" s="24" t="n">
        <x:f>IFERROR(F70/F69-1,"")</x:f>
        <x:v>-0.04287628405538191</x:v>
      </x:c>
      <x:c r="I70" s="26" t="n">
        <x:f>ROUND(D70-E70,1)</x:f>
        <x:v>9700</x:v>
      </x:c>
      <x:c r="J70" s="22" t="str">
        <x:v>LC2610</x:v>
      </x:c>
      <x:c r="K70" s="22" t="n">
        <x:v>5</x:v>
      </x:c>
    </x:row>
    <x:row r="71">
      <x:c r="A71" s="22" t="n">
        <x:v>4</x:v>
      </x:c>
      <x:c r="B71" s="22" t="str">
        <x:v>9月21日-9月22日</x:v>
      </x:c>
      <x:c r="C71" s="23" t="n">
        <x:v>128500</x:v>
      </x:c>
      <x:c r="D71" s="23" t="n">
        <x:v>136560</x:v>
      </x:c>
      <x:c r="E71" s="23" t="n">
        <x:v>127100</x:v>
      </x:c>
      <x:c r="F71" s="23" t="n">
        <x:v>135480</x:v>
      </x:c>
      <x:c r="G71" s="28" t="n">
        <x:f>ROUND(F71-F70,1)</x:f>
        <x:v>6900</x:v>
      </x:c>
      <x:c r="H71" s="24" t="n">
        <x:f>IFERROR(F71/F70-1,"")</x:f>
        <x:v>0.05366308912739148</x:v>
      </x:c>
      <x:c r="I71" s="26" t="n">
        <x:f>ROUND(D71-E71,1)</x:f>
        <x:v>9460</x:v>
      </x:c>
      <x:c r="J71" s="22" t="str">
        <x:v>LC2610</x:v>
      </x:c>
      <x:c r="K71" s="22" t="n">
        <x:v>2</x:v>
      </x:c>
    </x:row>
    <x:row r="72">
      <x:c r="A72" s="31" t="str">
        <x:v>合计</x:v>
      </x:c>
      <x:c r="B72" s="30" t="n">
        <x:v>4</x:v>
      </x:c>
      <x:c r="C72" s="30"/>
      <x:c r="D72" s="30"/>
      <x:c r="E72" s="30"/>
      <x:c r="F72" s="30"/>
      <x:c r="G72" s="30"/>
      <x:c r="H72" s="30"/>
      <x:c r="I72" s="32" t="n">
        <x:f>ROUND(SUM(I68:I71),1)</x:f>
        <x:v>56640</x:v>
      </x:c>
      <x:c r="J72" s="30"/>
      <x:c r="K72" s="30"/>
    </x:row>
    <x:row r="73">
      <x:c r="A73" s="31" t="str">
        <x:v>均值</x:v>
      </x:c>
      <x:c r="B73" s="30"/>
      <x:c r="C73" s="30"/>
      <x:c r="D73" s="30"/>
      <x:c r="E73" s="30"/>
      <x:c r="F73" s="30"/>
      <x:c r="G73" s="30"/>
      <x:c r="H73" s="30"/>
      <x:c r="I73" s="34" t="n">
        <x:f>ROUND(IFERROR(AVERAGE(I68:I71),0),1)</x:f>
        <x:v>14160</x:v>
      </x:c>
      <x:c r="J73" s="30"/>
      <x:c r="K73" s="30"/>
    </x:row>
  </x:sheetData>
  <x:mergeCells>
    <x:mergeCell ref="A1:K1"/>
    <x:mergeCell ref="A3:K3"/>
    <x:mergeCell ref="A12:K12"/>
    <x:mergeCell ref="A21:K21"/>
    <x:mergeCell ref="A30:K30"/>
    <x:mergeCell ref="A39:K39"/>
    <x:mergeCell ref="A48:K48"/>
    <x:mergeCell ref="A57:K57"/>
    <x:mergeCell ref="A66:K6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28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7621.24</x:v>
      </x:c>
      <x:c r="E17" s="42" t="n">
        <x:v>7706.9</x:v>
      </x:c>
      <x:c r="F17" s="42" t="n">
        <x:v>7603.37</x:v>
      </x:c>
      <x:c r="G17" s="42" t="n">
        <x:v>7687.59</x:v>
      </x:c>
      <x:c r="H17" s="42" t="n">
        <x:v>138.8</x:v>
      </x:c>
      <x:c r="I17" s="43" t="n">
        <x:v>0.018383005555835386</x:v>
      </x:c>
      <x:c r="J17" s="42" t="n">
        <x:f>ROUND(E17-F17,1)</x:f>
        <x:v>103.5</x:v>
      </x:c>
      <x:c r="K17" s="41" t="str">
        <x:v>中证1000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7723.68</x:v>
      </x:c>
      <x:c r="E18" s="23" t="n">
        <x:v>7777.91</x:v>
      </x:c>
      <x:c r="F18" s="23" t="n">
        <x:v>7723.68</x:v>
      </x:c>
      <x:c r="G18" s="23" t="n">
        <x:v>7766.33</x:v>
      </x:c>
      <x:c r="H18" s="23" t="n">
        <x:v>78.7</x:v>
      </x:c>
      <x:c r="I18" s="24" t="n">
        <x:v>0.01024248171403519</x:v>
      </x:c>
      <x:c r="J18" s="23" t="n">
        <x:f>ROUND(E18-F18,1)</x:f>
        <x:v>54.2</x:v>
      </x:c>
      <x:c r="K18" s="22" t="str">
        <x:v>中证1000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7819.62</x:v>
      </x:c>
      <x:c r="E19" s="23" t="n">
        <x:v>7852.23</x:v>
      </x:c>
      <x:c r="F19" s="23" t="n">
        <x:v>7734.35</x:v>
      </x:c>
      <x:c r="G19" s="23" t="n">
        <x:v>7759.03</x:v>
      </x:c>
      <x:c r="H19" s="23" t="n">
        <x:v>-7.3</x:v>
      </x:c>
      <x:c r="I19" s="24" t="n">
        <x:v>-0.0009399549079166514</x:v>
      </x:c>
      <x:c r="J19" s="23" t="n">
        <x:f>ROUND(E19-F19,1)</x:f>
        <x:v>117.9</x:v>
      </x:c>
      <x:c r="K19" s="22" t="str">
        <x:v>中证1000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2072.7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129.5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7731.07</x:v>
      </x:c>
      <x:c r="E17" s="42" t="n">
        <x:v>7819.98</x:v>
      </x:c>
      <x:c r="F17" s="42" t="n">
        <x:v>7710.24</x:v>
      </x:c>
      <x:c r="G17" s="42" t="n">
        <x:v>7799.61</x:v>
      </x:c>
      <x:c r="H17" s="42" t="n">
        <x:v>144.6</x:v>
      </x:c>
      <x:c r="I17" s="43" t="n">
        <x:v>0.018893583000870073</x:v>
      </x:c>
      <x:c r="J17" s="42" t="n">
        <x:f>ROUND(E17-F17,1)</x:f>
        <x:v>109.7</x:v>
      </x:c>
      <x:c r="K17" s="41" t="str">
        <x:v>中证500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7829.82</x:v>
      </x:c>
      <x:c r="E18" s="23" t="n">
        <x:v>7869.35</x:v>
      </x:c>
      <x:c r="F18" s="23" t="n">
        <x:v>7809.59</x:v>
      </x:c>
      <x:c r="G18" s="23" t="n">
        <x:v>7850.48</x:v>
      </x:c>
      <x:c r="H18" s="23" t="n">
        <x:v>50.9</x:v>
      </x:c>
      <x:c r="I18" s="24" t="n">
        <x:v>0.0065221209778436595</x:v>
      </x:c>
      <x:c r="J18" s="23" t="n">
        <x:f>ROUND(E18-F18,1)</x:f>
        <x:v>59.8</x:v>
      </x:c>
      <x:c r="K18" s="22" t="str">
        <x:v>中证500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7911.64</x:v>
      </x:c>
      <x:c r="E19" s="23" t="n">
        <x:v>7922.62</x:v>
      </x:c>
      <x:c r="F19" s="23" t="n">
        <x:v>7808.98</x:v>
      </x:c>
      <x:c r="G19" s="23" t="n">
        <x:v>7828.94</x:v>
      </x:c>
      <x:c r="H19" s="23" t="n">
        <x:v>-21.5</x:v>
      </x:c>
      <x:c r="I19" s="24" t="n">
        <x:v>-0.002743781271973167</x:v>
      </x:c>
      <x:c r="J19" s="23" t="n">
        <x:f>ROUND(E19-F19,1)</x:f>
        <x:v>113.6</x:v>
      </x:c>
      <x:c r="K19" s="22" t="str">
        <x:v>中证500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1900.6999999999996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118.8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3891.96</x:v>
      </x:c>
      <x:c r="E17" s="42" t="n">
        <x:v>3919.67</x:v>
      </x:c>
      <x:c r="F17" s="42" t="n">
        <x:v>3888.5</x:v>
      </x:c>
      <x:c r="G17" s="42" t="n">
        <x:v>3911.87</x:v>
      </x:c>
      <x:c r="H17" s="42" t="n">
        <x:v>36.3</x:v>
      </x:c>
      <x:c r="I17" s="43" t="n">
        <x:v>0.009358550934049026</x:v>
      </x:c>
      <x:c r="J17" s="42" t="n">
        <x:f>ROUND(E17-F17,1)</x:f>
        <x:v>31.2</x:v>
      </x:c>
      <x:c r="K17" s="41" t="str">
        <x:v>上证指数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3920.27</x:v>
      </x:c>
      <x:c r="E18" s="23" t="n">
        <x:v>3950.94</x:v>
      </x:c>
      <x:c r="F18" s="23" t="n">
        <x:v>3918.13</x:v>
      </x:c>
      <x:c r="G18" s="23" t="n">
        <x:v>3949.91</x:v>
      </x:c>
      <x:c r="H18" s="23" t="n">
        <x:v>38</x:v>
      </x:c>
      <x:c r="I18" s="24" t="n">
        <x:v>0.009724249527719442</x:v>
      </x:c>
      <x:c r="J18" s="23" t="n">
        <x:f>ROUND(E18-F18,1)</x:f>
        <x:v>32.8</x:v>
      </x:c>
      <x:c r="K18" s="22" t="str">
        <x:v>上证指数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3963.81</x:v>
      </x:c>
      <x:c r="E19" s="23" t="n">
        <x:v>3967.68</x:v>
      </x:c>
      <x:c r="F19" s="23" t="n">
        <x:v>3945.42</x:v>
      </x:c>
      <x:c r="G19" s="23" t="n">
        <x:v>3952.13</x:v>
      </x:c>
      <x:c r="H19" s="23" t="n">
        <x:v>2.2</x:v>
      </x:c>
      <x:c r="I19" s="24" t="n">
        <x:v>0.0005620381223876425</x:v>
      </x:c>
      <x:c r="J19" s="23" t="n">
        <x:f>ROUND(E19-F19,1)</x:f>
        <x:v>22.3</x:v>
      </x:c>
      <x:c r="K19" s="22" t="str">
        <x:v>上证指数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551.5999999999999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34.5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28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7570</x:v>
      </x:c>
      <x:c r="E16" s="23" t="n">
        <x:v>7648</x:v>
      </x:c>
      <x:c r="F16" s="23" t="n">
        <x:v>7522.2</x:v>
      </x:c>
      <x:c r="G16" s="23" t="n">
        <x:v>7559.8</x:v>
      </x:c>
      <x:c r="H16" s="23" t="n">
        <x:v>-33.2</x:v>
      </x:c>
      <x:c r="I16" s="24" t="n">
        <x:v>-0.004372448307651711</x:v>
      </x:c>
      <x:c r="J16" s="23" t="n">
        <x:f>ROUND(E16-F16,1)</x:f>
        <x:v>125.8</x:v>
      </x:c>
      <x:c r="K16" s="22" t="str">
        <x:v>IM2609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7626.6</x:v>
      </x:c>
      <x:c r="E17" s="42" t="n">
        <x:v>7712.4</x:v>
      </x:c>
      <x:c r="F17" s="42" t="n">
        <x:v>7606.6</x:v>
      </x:c>
      <x:c r="G17" s="42" t="n">
        <x:v>7679.2</x:v>
      </x:c>
      <x:c r="H17" s="42" t="n">
        <x:v>119.4</x:v>
      </x:c>
      <x:c r="I17" s="43" t="n">
        <x:v>0.01579406862615418</x:v>
      </x:c>
      <x:c r="J17" s="42" t="n">
        <x:f>ROUND(E17-F17,1)</x:f>
        <x:v>105.8</x:v>
      </x:c>
      <x:c r="K17" s="41" t="str">
        <x:v>IM2609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7549</x:v>
      </x:c>
      <x:c r="E18" s="23" t="n">
        <x:v>7599</x:v>
      </x:c>
      <x:c r="F18" s="23" t="n">
        <x:v>7527</x:v>
      </x:c>
      <x:c r="G18" s="23" t="n">
        <x:v>7560.6</x:v>
      </x:c>
      <x:c r="H18" s="23" t="n">
        <x:v>-118.6</x:v>
      </x:c>
      <x:c r="I18" s="24" t="n">
        <x:v>-0.01544431711636618</x:v>
      </x:c>
      <x:c r="J18" s="23" t="n">
        <x:f>ROUND(E18-F18,1)</x:f>
        <x:v>72</x:v>
      </x:c>
      <x:c r="K18" s="22" t="str">
        <x:v>IM2612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7638.2</x:v>
      </x:c>
      <x:c r="E19" s="23" t="n">
        <x:v>7687</x:v>
      </x:c>
      <x:c r="F19" s="23" t="n">
        <x:v>7563</x:v>
      </x:c>
      <x:c r="G19" s="23" t="n">
        <x:v>7580.2</x:v>
      </x:c>
      <x:c r="H19" s="23" t="n">
        <x:v>19.6</x:v>
      </x:c>
      <x:c r="I19" s="24" t="n">
        <x:v>0.002592386847604544</x:v>
      </x:c>
      <x:c r="J19" s="23" t="n">
        <x:f>ROUND(E19-F19,1)</x:f>
        <x:v>124</x:v>
      </x:c>
      <x:c r="K19" s="22" t="str">
        <x:v>IM2612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2316.2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144.8</x:v>
      </x:c>
      <x:c r="K23" s="30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7678.4</x:v>
      </x:c>
      <x:c r="E16" s="23" t="n">
        <x:v>7754</x:v>
      </x:c>
      <x:c r="F16" s="23" t="n">
        <x:v>7617.2</x:v>
      </x:c>
      <x:c r="G16" s="23" t="n">
        <x:v>7664.6</x:v>
      </x:c>
      <x:c r="H16" s="23" t="n">
        <x:v>-25</x:v>
      </x:c>
      <x:c r="I16" s="24" t="n">
        <x:v>-0.0032511444028298087</x:v>
      </x:c>
      <x:c r="J16" s="23" t="n">
        <x:f>ROUND(E16-F16,1)</x:f>
        <x:v>136.8</x:v>
      </x:c>
      <x:c r="K16" s="22" t="str">
        <x:v>IC2609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7723</x:v>
      </x:c>
      <x:c r="E17" s="42" t="n">
        <x:v>7820</x:v>
      </x:c>
      <x:c r="F17" s="42" t="n">
        <x:v>7709.2</x:v>
      </x:c>
      <x:c r="G17" s="42" t="n">
        <x:v>7789.8</x:v>
      </x:c>
      <x:c r="H17" s="42" t="n">
        <x:v>125.2</x:v>
      </x:c>
      <x:c r="I17" s="43" t="n">
        <x:v>0.016334838086788483</x:v>
      </x:c>
      <x:c r="J17" s="42" t="n">
        <x:f>ROUND(E17-F17,1)</x:f>
        <x:v>110.8</x:v>
      </x:c>
      <x:c r="K17" s="41" t="str">
        <x:v>IC2609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7688</x:v>
      </x:c>
      <x:c r="E18" s="23" t="n">
        <x:v>7728</x:v>
      </x:c>
      <x:c r="F18" s="23" t="n">
        <x:v>7640</x:v>
      </x:c>
      <x:c r="G18" s="23" t="n">
        <x:v>7672.6</x:v>
      </x:c>
      <x:c r="H18" s="23" t="n">
        <x:v>-117.2</x:v>
      </x:c>
      <x:c r="I18" s="24" t="n">
        <x:v>-0.015045315669208414</x:v>
      </x:c>
      <x:c r="J18" s="23" t="n">
        <x:f>ROUND(E18-F18,1)</x:f>
        <x:v>88</x:v>
      </x:c>
      <x:c r="K18" s="22" t="str">
        <x:v>IC2612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2110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140.7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4475.6</x:v>
      </x:c>
      <x:c r="E16" s="23" t="n">
        <x:v>4500.6</x:v>
      </x:c>
      <x:c r="F16" s="23" t="n">
        <x:v>4452.2</x:v>
      </x:c>
      <x:c r="G16" s="23" t="n">
        <x:v>4460.2</x:v>
      </x:c>
      <x:c r="H16" s="23" t="n">
        <x:v>-17.8</x:v>
      </x:c>
      <x:c r="I16" s="24" t="n">
        <x:v>-0.00397498883430103</x:v>
      </x:c>
      <x:c r="J16" s="23" t="n">
        <x:f>ROUND(E16-F16,1)</x:f>
        <x:v>48.4</x:v>
      </x:c>
      <x:c r="K16" s="22" t="str">
        <x:v>IF2609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4486</x:v>
      </x:c>
      <x:c r="E17" s="42" t="n">
        <x:v>4520.6</x:v>
      </x:c>
      <x:c r="F17" s="42" t="n">
        <x:v>4481</x:v>
      </x:c>
      <x:c r="G17" s="42" t="n">
        <x:v>4508</x:v>
      </x:c>
      <x:c r="H17" s="42" t="n">
        <x:v>47.8</x:v>
      </x:c>
      <x:c r="I17" s="43" t="n">
        <x:v>0.010717008205910039</x:v>
      </x:c>
      <x:c r="J17" s="42" t="n">
        <x:f>ROUND(E17-F17,1)</x:f>
        <x:v>39.6</x:v>
      </x:c>
      <x:c r="K17" s="41" t="str">
        <x:v>IF2609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4451</x:v>
      </x:c>
      <x:c r="E18" s="23" t="n">
        <x:v>4474.6</x:v>
      </x:c>
      <x:c r="F18" s="23" t="n">
        <x:v>4434.8</x:v>
      </x:c>
      <x:c r="G18" s="23" t="n">
        <x:v>4464.8</x:v>
      </x:c>
      <x:c r="H18" s="23" t="n">
        <x:v>-43.2</x:v>
      </x:c>
      <x:c r="I18" s="24" t="n">
        <x:v>-0.0095829636202307</x:v>
      </x:c>
      <x:c r="J18" s="23" t="n">
        <x:f>ROUND(E18-F18,1)</x:f>
        <x:v>39.8</x:v>
      </x:c>
      <x:c r="K18" s="22" t="str">
        <x:v>IF2612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776.7999999999998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51.8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2860</x:v>
      </x:c>
      <x:c r="E16" s="23" t="n">
        <x:v>2872.4</x:v>
      </x:c>
      <x:c r="F16" s="23" t="n">
        <x:v>2838.4</x:v>
      </x:c>
      <x:c r="G16" s="23" t="n">
        <x:v>2845.8</x:v>
      </x:c>
      <x:c r="H16" s="23" t="n">
        <x:v>-19.2</x:v>
      </x:c>
      <x:c r="I16" s="24" t="n">
        <x:v>-0.006701570680628155</x:v>
      </x:c>
      <x:c r="J16" s="23" t="n">
        <x:f>ROUND(E16-F16,1)</x:f>
        <x:v>34</x:v>
      </x:c>
      <x:c r="K16" s="22" t="str">
        <x:v>IH2609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2856.4</x:v>
      </x:c>
      <x:c r="E17" s="42" t="n">
        <x:v>2870.8</x:v>
      </x:c>
      <x:c r="F17" s="42" t="n">
        <x:v>2853.4</x:v>
      </x:c>
      <x:c r="G17" s="42" t="n">
        <x:v>2862.2</x:v>
      </x:c>
      <x:c r="H17" s="42" t="n">
        <x:v>16.4</x:v>
      </x:c>
      <x:c r="I17" s="43" t="n">
        <x:v>0.0057628786281536115</x:v>
      </x:c>
      <x:c r="J17" s="42" t="n">
        <x:f>ROUND(E17-F17,1)</x:f>
        <x:v>17.4</x:v>
      </x:c>
      <x:c r="K17" s="41" t="str">
        <x:v>IH2609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2830</x:v>
      </x:c>
      <x:c r="E18" s="23" t="n">
        <x:v>2849.8</x:v>
      </x:c>
      <x:c r="F18" s="23" t="n">
        <x:v>2822</x:v>
      </x:c>
      <x:c r="G18" s="23" t="n">
        <x:v>2847.4</x:v>
      </x:c>
      <x:c r="H18" s="23" t="n">
        <x:v>-14.8</x:v>
      </x:c>
      <x:c r="I18" s="24" t="n">
        <x:v>-0.005170847599748396</x:v>
      </x:c>
      <x:c r="J18" s="23" t="n">
        <x:f>ROUND(E18-F18,1)</x:f>
        <x:v>27.8</x:v>
      </x:c>
      <x:c r="K18" s="22" t="str">
        <x:v>IH2612</x:v>
      </x:c>
    </x:row>
    <x:row r="21">
      <x:c r="A21" s="31" t="str">
        <x:v>合计</x:v>
      </x:c>
      <x:c r="B21" s="30" t="n">
        <x:v>15</x:v>
      </x:c>
      <x:c r="C21" s="30"/>
      <x:c r="D21" s="30"/>
      <x:c r="E21" s="30"/>
      <x:c r="F21" s="30"/>
      <x:c r="G21" s="30"/>
      <x:c r="H21" s="30"/>
      <x:c r="I21" s="30"/>
      <x:c r="J21" s="32" t="n">
        <x:f>SUM(J4:J18)</x:f>
        <x:v>460.2</x:v>
      </x:c>
      <x:c r="K21" s="30"/>
    </x:row>
    <x:row r="22">
      <x:c r="A22" s="31" t="str">
        <x:v>均值</x:v>
      </x:c>
      <x:c r="B22" s="30"/>
      <x:c r="C22" s="30"/>
      <x:c r="D22" s="30"/>
      <x:c r="E22" s="30"/>
      <x:c r="F22" s="30"/>
      <x:c r="G22" s="30"/>
      <x:c r="H22" s="30"/>
      <x:c r="I22" s="30"/>
      <x:c r="J22" s="34" t="n">
        <x:f>ROUND(IFERROR(AVERAGE(J4:J18),0),1)</x:f>
        <x:v>30.7</x:v>
      </x:c>
      <x:c r="K22" s="30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28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28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28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28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28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28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28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28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28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28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28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28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28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7">
      <x:c r="A17" s="41" t="n">
        <x:v>14</x:v>
      </x:c>
      <x:c r="B17" s="41" t="str">
        <x:v>周五</x:v>
      </x:c>
      <x:c r="C17" s="41" t="str">
        <x:v>9月18日</x:v>
      </x:c>
      <x:c r="D17" s="42" t="n">
        <x:v>135900</x:v>
      </x:c>
      <x:c r="E17" s="42" t="n">
        <x:v>135900</x:v>
      </x:c>
      <x:c r="F17" s="42" t="n">
        <x:v>126940</x:v>
      </x:c>
      <x:c r="G17" s="42" t="n">
        <x:v>128580</x:v>
      </x:c>
      <x:c r="H17" s="28" t="n">
        <x:v>-3700</x:v>
      </x:c>
      <x:c r="I17" s="43" t="n">
        <x:v>-0.02797097066827936</x:v>
      </x:c>
      <x:c r="J17" s="26" t="n">
        <x:f>ROUND(E17-F17,1)</x:f>
        <x:v>8960</x:v>
      </x:c>
      <x:c r="K17" s="41" t="str">
        <x:v>LC2610</x:v>
      </x:c>
    </x:row>
    <x:row r="18">
      <x:c r="A18" s="22" t="n">
        <x:v>15</x:v>
      </x:c>
      <x:c r="B18" s="22" t="str">
        <x:v>周一</x:v>
      </x:c>
      <x:c r="C18" s="22" t="str">
        <x:v>9月21日</x:v>
      </x:c>
      <x:c r="D18" s="23" t="n">
        <x:v>128500</x:v>
      </x:c>
      <x:c r="E18" s="23" t="n">
        <x:v>134800</x:v>
      </x:c>
      <x:c r="F18" s="23" t="n">
        <x:v>127100</x:v>
      </x:c>
      <x:c r="G18" s="23" t="n">
        <x:v>133500</x:v>
      </x:c>
      <x:c r="H18" s="28" t="n">
        <x:v>4920</x:v>
      </x:c>
      <x:c r="I18" s="24" t="n">
        <x:v>0.038264115725618275</x:v>
      </x:c>
      <x:c r="J18" s="26" t="n">
        <x:f>ROUND(E18-F18,1)</x:f>
        <x:v>7700</x:v>
      </x:c>
      <x:c r="K18" s="22" t="str">
        <x:v>LC2610</x:v>
      </x:c>
    </x:row>
    <x:row r="19">
      <x:c r="A19" s="22" t="n">
        <x:v>16</x:v>
      </x:c>
      <x:c r="B19" s="22" t="str">
        <x:v>周二</x:v>
      </x:c>
      <x:c r="C19" s="22" t="str">
        <x:v>9月22日</x:v>
      </x:c>
      <x:c r="D19" s="23" t="n">
        <x:v>133040</x:v>
      </x:c>
      <x:c r="E19" s="23" t="n">
        <x:v>136560</x:v>
      </x:c>
      <x:c r="F19" s="23" t="n">
        <x:v>131400</x:v>
      </x:c>
      <x:c r="G19" s="23" t="n">
        <x:v>135480</x:v>
      </x:c>
      <x:c r="H19" s="28" t="n">
        <x:v>1980</x:v>
      </x:c>
      <x:c r="I19" s="24" t="n">
        <x:v>0.014831460674157304</x:v>
      </x:c>
      <x:c r="J19" s="23" t="n">
        <x:f>ROUND(E19-F19,1)</x:f>
        <x:v>5160</x:v>
      </x:c>
      <x:c r="K19" s="22" t="str">
        <x:v>LC2610</x:v>
      </x:c>
    </x:row>
    <x:row r="22">
      <x:c r="A22" s="31" t="str">
        <x:v>合计</x:v>
      </x:c>
      <x:c r="B22" s="30" t="n">
        <x:v>16</x:v>
      </x:c>
      <x:c r="C22" s="30"/>
      <x:c r="D22" s="30"/>
      <x:c r="E22" s="30"/>
      <x:c r="F22" s="30"/>
      <x:c r="G22" s="30"/>
      <x:c r="H22" s="30"/>
      <x:c r="I22" s="30"/>
      <x:c r="J22" s="32" t="n">
        <x:f>SUM(J4:J19)</x:f>
        <x:v>95040</x:v>
      </x:c>
      <x:c r="K22" s="30"/>
    </x:row>
    <x:row r="23">
      <x:c r="A23" s="31" t="str">
        <x:v>均值</x:v>
      </x:c>
      <x:c r="B23" s="30"/>
      <x:c r="C23" s="30"/>
      <x:c r="D23" s="30"/>
      <x:c r="E23" s="30"/>
      <x:c r="F23" s="30"/>
      <x:c r="G23" s="30"/>
      <x:c r="H23" s="30"/>
      <x:c r="I23" s="30"/>
      <x:c r="J23" s="34" t="n">
        <x:f>ROUND(IFERROR(AVERAGE(J4:J19),0),1)</x:f>
        <x:v>5940</x:v>
      </x:c>
      <x:c r="K23" s="30"/>
    </x:row>
  </x:sheetData>
  <x:mergeCells>
    <x:mergeCell ref="A1:K1"/>
  </x:mergeCells>
  <x:pageMargins left="0.7" right="0.7" top="0.75" bottom="0.75" header="0.3" footer="0.3"/>
</x:worksheet>
</file>