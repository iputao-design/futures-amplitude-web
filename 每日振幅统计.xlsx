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0e7b0b38dd4d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5a8ccd4c8b24085"/>
    <x:sheet xmlns:r="http://schemas.openxmlformats.org/officeDocument/2006/relationships" name="中证1000" sheetId="2" r:id="R247cd7bd2997429a"/>
    <x:sheet xmlns:r="http://schemas.openxmlformats.org/officeDocument/2006/relationships" name="中证500" sheetId="3" r:id="Rcff06f0c30f4472e"/>
    <x:sheet xmlns:r="http://schemas.openxmlformats.org/officeDocument/2006/relationships" name="上证指数" sheetId="4" r:id="R54b6e10631014f57"/>
    <x:sheet xmlns:r="http://schemas.openxmlformats.org/officeDocument/2006/relationships" name="IM主力" sheetId="5" r:id="R2f14a8389e734c6b"/>
    <x:sheet xmlns:r="http://schemas.openxmlformats.org/officeDocument/2006/relationships" name="IC主力" sheetId="6" r:id="R502456081abd4190"/>
    <x:sheet xmlns:r="http://schemas.openxmlformats.org/officeDocument/2006/relationships" name="IF主力" sheetId="7" r:id="R50521e01858e45f4"/>
    <x:sheet xmlns:r="http://schemas.openxmlformats.org/officeDocument/2006/relationships" name="IH主力" sheetId="8" r:id="Rd635f3ae6f4b4d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a821344f914b80" /><Relationship Type="http://schemas.openxmlformats.org/officeDocument/2006/relationships/theme" Target="/xl/theme/theme1.xml" Id="R38a8d7ac54d34ade" /><Relationship Type="http://schemas.openxmlformats.org/officeDocument/2006/relationships/sharedStrings" Target="/xl/sharedStrings.xml" Id="R6b37ba2ec6d24a04" /><Relationship Type="http://schemas.openxmlformats.org/officeDocument/2006/relationships/worksheet" Target="/xl/worksheets/sheet1.xml" Id="Ra5a8ccd4c8b24085" /><Relationship Type="http://schemas.openxmlformats.org/officeDocument/2006/relationships/worksheet" Target="/xl/worksheets/sheet2.xml" Id="R247cd7bd2997429a" /><Relationship Type="http://schemas.openxmlformats.org/officeDocument/2006/relationships/worksheet" Target="/xl/worksheets/sheet3.xml" Id="Rcff06f0c30f4472e" /><Relationship Type="http://schemas.openxmlformats.org/officeDocument/2006/relationships/worksheet" Target="/xl/worksheets/sheet4.xml" Id="R54b6e10631014f57" /><Relationship Type="http://schemas.openxmlformats.org/officeDocument/2006/relationships/worksheet" Target="/xl/worksheets/sheet5.xml" Id="R2f14a8389e734c6b" /><Relationship Type="http://schemas.openxmlformats.org/officeDocument/2006/relationships/worksheet" Target="/xl/worksheets/sheet6.xml" Id="R502456081abd4190" /><Relationship Type="http://schemas.openxmlformats.org/officeDocument/2006/relationships/worksheet" Target="/xl/worksheets/sheet7.xml" Id="R50521e01858e45f4" /><Relationship Type="http://schemas.openxmlformats.org/officeDocument/2006/relationships/worksheet" Target="/xl/worksheets/sheet8.xml" Id="Rd635f3ae6f4b4d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2026-07-22</x:v>
      </x:c>
      <x:c r="C4" s="10" t="n">
        <x:v>7302.454</x:v>
      </x:c>
      <x:c r="D4" s="10" t="n">
        <x:v>7118.66</x:v>
      </x:c>
      <x:c r="E4" s="12" t="n">
        <x:v>183.8</x:v>
      </x:c>
      <x:c r="F4" s="9" t="n">
        <x:v>16</x:v>
      </x:c>
      <x:c r="G4" s="10" t="n">
        <x:v>4630.6</x:v>
      </x:c>
      <x:c r="H4" s="10" t="n">
        <x:v>289.4</x:v>
      </x:c>
      <x:c r="I4" s="10" t="n">
        <x:v>180</x:v>
      </x:c>
    </x:row>
    <x:row r="5">
      <x:c r="A5" s="9" t="str">
        <x:v>中证500</x:v>
      </x:c>
      <x:c r="B5" s="9" t="str">
        <x:v>2026-07-22</x:v>
      </x:c>
      <x:c r="C5" s="10" t="n">
        <x:v>7889.446</x:v>
      </x:c>
      <x:c r="D5" s="10" t="n">
        <x:v>7701.221</x:v>
      </x:c>
      <x:c r="E5" s="12" t="n">
        <x:v>188.2</x:v>
      </x:c>
      <x:c r="F5" s="9" t="n">
        <x:v>16</x:v>
      </x:c>
      <x:c r="G5" s="10" t="n">
        <x:v>4652.9</x:v>
      </x:c>
      <x:c r="H5" s="10" t="n">
        <x:v>290.8</x:v>
      </x:c>
      <x:c r="I5" s="10" t="n">
        <x:v>160</x:v>
      </x:c>
    </x:row>
    <x:row r="6">
      <x:c r="A6" s="9" t="str">
        <x:v>上证指数</x:v>
      </x:c>
      <x:c r="B6" s="9" t="str">
        <x:v>2026-07-22</x:v>
      </x:c>
      <x:c r="C6" s="10" t="n">
        <x:v>3884.435</x:v>
      </x:c>
      <x:c r="D6" s="10" t="n">
        <x:v>3839.665</x:v>
      </x:c>
      <x:c r="E6" s="12" t="n">
        <x:v>44.8</x:v>
      </x:c>
      <x:c r="F6" s="9" t="n">
        <x:v>16</x:v>
      </x:c>
      <x:c r="G6" s="10" t="n">
        <x:v>1188.7</x:v>
      </x:c>
      <x:c r="H6" s="10" t="n">
        <x:v>74.3</x:v>
      </x:c>
      <x:c r="I6" s="10" t="n">
        <x:v>50</x:v>
      </x:c>
    </x:row>
    <x:row r="7">
      <x:c r="A7" s="9" t="str">
        <x:v>IM主力</x:v>
      </x:c>
      <x:c r="B7" s="9" t="str">
        <x:v>2026-07-22</x:v>
      </x:c>
      <x:c r="C7" s="10" t="n">
        <x:v>7194.6</x:v>
      </x:c>
      <x:c r="D7" s="10" t="n">
        <x:v>6985.8</x:v>
      </x:c>
      <x:c r="E7" s="12" t="n">
        <x:v>208.8</x:v>
      </x:c>
      <x:c r="F7" s="9" t="n">
        <x:v>16</x:v>
      </x:c>
      <x:c r="G7" s="10" t="n">
        <x:v>4472.6</x:v>
      </x:c>
      <x:c r="H7" s="10" t="n">
        <x:v>279.5</x:v>
      </x:c>
      <x:c r="I7" s="10" t="n">
        <x:v>190</x:v>
      </x:c>
    </x:row>
    <x:row r="8">
      <x:c r="A8" s="9" t="str">
        <x:v>IC主力</x:v>
      </x:c>
      <x:c r="B8" s="9" t="str">
        <x:v>2026-07-22</x:v>
      </x:c>
      <x:c r="C8" s="10" t="n">
        <x:v>7765.6</x:v>
      </x:c>
      <x:c r="D8" s="10" t="n">
        <x:v>7583.8</x:v>
      </x:c>
      <x:c r="E8" s="12" t="n">
        <x:v>181.8</x:v>
      </x:c>
      <x:c r="F8" s="9" t="n">
        <x:v>16</x:v>
      </x:c>
      <x:c r="G8" s="10" t="n">
        <x:v>4542.8</x:v>
      </x:c>
      <x:c r="H8" s="10" t="n">
        <x:v>283.9</x:v>
      </x:c>
      <x:c r="I8" s="10" t="n">
        <x:v>150</x:v>
      </x:c>
    </x:row>
    <x:row r="9">
      <x:c r="A9" s="9" t="str">
        <x:v>IF主力</x:v>
      </x:c>
      <x:c r="B9" s="9" t="str">
        <x:v>2026-07-22</x:v>
      </x:c>
      <x:c r="C9" s="10" t="n">
        <x:v>4707.8</x:v>
      </x:c>
      <x:c r="D9" s="10" t="n">
        <x:v>4634</x:v>
      </x:c>
      <x:c r="E9" s="12" t="n">
        <x:v>73.8</x:v>
      </x:c>
      <x:c r="F9" s="9" t="n">
        <x:v>16</x:v>
      </x:c>
      <x:c r="G9" s="10" t="n">
        <x:v>1674.4</x:v>
      </x:c>
      <x:c r="H9" s="10" t="n">
        <x:v>104.7</x:v>
      </x:c>
      <x:c r="I9" s="10" t="n">
        <x:v>90</x:v>
      </x:c>
    </x:row>
    <x:row r="10">
      <x:c r="A10" s="9" t="str">
        <x:v>IH主力</x:v>
      </x:c>
      <x:c r="B10" s="9" t="str">
        <x:v>2026-07-22</x:v>
      </x:c>
      <x:c r="C10" s="10" t="n">
        <x:v>2978</x:v>
      </x:c>
      <x:c r="D10" s="10" t="n">
        <x:v>2906</x:v>
      </x:c>
      <x:c r="E10" s="12" t="n">
        <x:v>72</x:v>
      </x:c>
      <x:c r="F10" s="9" t="n">
        <x:v>16</x:v>
      </x:c>
      <x:c r="G10" s="10" t="n">
        <x:v>925.6</x:v>
      </x:c>
      <x:c r="H10" s="10" t="n">
        <x:v>57.9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2026-07-22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6975.893</x:v>
      </x:c>
      <x:c r="E18" s="22" t="n">
        <x:v>7264.338</x:v>
      </x:c>
      <x:c r="F18" s="22" t="n">
        <x:v>6714.187</x:v>
      </x:c>
      <x:c r="G18" s="22" t="n">
        <x:v>7259.863</x:v>
      </x:c>
      <x:c r="H18" s="25" t="n">
        <x:v>294.5</x:v>
      </x:c>
      <x:c r="I18" s="23" t="n">
        <x:v>0.042278693928367916</x:v>
      </x:c>
      <x:c r="J18" s="27" t="n">
        <x:f>ROUND(E18-F18,1)</x:f>
        <x:v>550.2</x:v>
      </x:c>
      <x:c r="K18" s="21" t="str">
        <x:v>中证1000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7196.863</x:v>
      </x:c>
      <x:c r="E19" s="22" t="n">
        <x:v>7302.454</x:v>
      </x:c>
      <x:c r="F19" s="22" t="n">
        <x:v>7118.66</x:v>
      </x:c>
      <x:c r="G19" s="22" t="n">
        <x:v>7158.762</x:v>
      </x:c>
      <x:c r="H19" s="22" t="n">
        <x:v>-101.1</x:v>
      </x:c>
      <x:c r="I19" s="23" t="n">
        <x:v>-0.01392602036705104</x:v>
      </x:c>
      <x:c r="J19" s="27" t="n">
        <x:f>ROUND(E19-F19,1)</x:f>
        <x:v>183.8</x:v>
      </x:c>
      <x:c r="K19" s="21" t="str">
        <x:v>中证1000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4630.6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289.4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7437.452</x:v>
      </x:c>
      <x:c r="E18" s="22" t="n">
        <x:v>7802.755</x:v>
      </x:c>
      <x:c r="F18" s="22" t="n">
        <x:v>7270.954</x:v>
      </x:c>
      <x:c r="G18" s="22" t="n">
        <x:v>7800.609</x:v>
      </x:c>
      <x:c r="H18" s="25" t="n">
        <x:v>389.3</x:v>
      </x:c>
      <x:c r="I18" s="23" t="n">
        <x:v>0.052527264737031176</x:v>
      </x:c>
      <x:c r="J18" s="27" t="n">
        <x:f>ROUND(E18-F18,1)</x:f>
        <x:v>531.8</x:v>
      </x:c>
      <x:c r="K18" s="21" t="str">
        <x:v>中证500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7741.906</x:v>
      </x:c>
      <x:c r="E19" s="22" t="n">
        <x:v>7889.446</x:v>
      </x:c>
      <x:c r="F19" s="22" t="n">
        <x:v>7701.221</x:v>
      </x:c>
      <x:c r="G19" s="22" t="n">
        <x:v>7751.662</x:v>
      </x:c>
      <x:c r="H19" s="22" t="n">
        <x:v>-48.9</x:v>
      </x:c>
      <x:c r="I19" s="23" t="n">
        <x:v>-0.006274766495795392</x:v>
      </x:c>
      <x:c r="J19" s="27" t="n">
        <x:f>ROUND(E19-F19,1)</x:f>
        <x:v>188.2</x:v>
      </x:c>
      <x:c r="K19" s="21" t="str">
        <x:v>中证500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4652.9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290.8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3812.162</x:v>
      </x:c>
      <x:c r="E18" s="22" t="n">
        <x:v>3864.6</x:v>
      </x:c>
      <x:c r="F18" s="22" t="n">
        <x:v>3743.36</x:v>
      </x:c>
      <x:c r="G18" s="22" t="n">
        <x:v>3864.367</x:v>
      </x:c>
      <x:c r="H18" s="22" t="n">
        <x:v>68.1</x:v>
      </x:c>
      <x:c r="I18" s="23" t="n">
        <x:v>0.01793492104509653</x:v>
      </x:c>
      <x:c r="J18" s="27" t="n">
        <x:f>ROUND(E18-F18,1)</x:f>
        <x:v>121.2</x:v>
      </x:c>
      <x:c r="K18" s="21" t="str">
        <x:v>上证指数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3839.665</x:v>
      </x:c>
      <x:c r="E19" s="22" t="n">
        <x:v>3884.435</x:v>
      </x:c>
      <x:c r="F19" s="22" t="n">
        <x:v>3839.665</x:v>
      </x:c>
      <x:c r="G19" s="22" t="n">
        <x:v>3867.034</x:v>
      </x:c>
      <x:c r="H19" s="22" t="n">
        <x:v>2.7</x:v>
      </x:c>
      <x:c r="I19" s="23" t="n">
        <x:v>0.0006901518411681629</x:v>
      </x:c>
      <x:c r="J19" s="22" t="n">
        <x:f>ROUND(E19-F19,1)</x:f>
        <x:v>44.8</x:v>
      </x:c>
      <x:c r="K19" s="21" t="str">
        <x:v>上证指数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1188.6999999999998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74.3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7148</x:v>
      </x:c>
      <x:c r="E19" s="22" t="n">
        <x:v>7194.6</x:v>
      </x:c>
      <x:c r="F19" s="22" t="n">
        <x:v>6985.8</x:v>
      </x:c>
      <x:c r="G19" s="22" t="n">
        <x:v>7028.8</x:v>
      </x:c>
      <x:c r="H19" s="22" t="n">
        <x:v>-135.6</x:v>
      </x:c>
      <x:c r="I19" s="23" t="n">
        <x:v>-0.018926916420076934</x:v>
      </x:c>
      <x:c r="J19" s="27" t="n">
        <x:f>ROUND(E19-F19,1)</x:f>
        <x:v>208.8</x:v>
      </x:c>
      <x:c r="K19" s="21" t="str">
        <x:v>IM2609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4472.6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279.5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7674.8</x:v>
      </x:c>
      <x:c r="E19" s="22" t="n">
        <x:v>7765.6</x:v>
      </x:c>
      <x:c r="F19" s="22" t="n">
        <x:v>7583.8</x:v>
      </x:c>
      <x:c r="G19" s="22" t="n">
        <x:v>7611</x:v>
      </x:c>
      <x:c r="H19" s="22" t="n">
        <x:v>-74.8</x:v>
      </x:c>
      <x:c r="I19" s="23" t="n">
        <x:v>-0.009732233469515239</x:v>
      </x:c>
      <x:c r="J19" s="27" t="n">
        <x:f>ROUND(E19-F19,1)</x:f>
        <x:v>181.8</x:v>
      </x:c>
      <x:c r="K19" s="21" t="str">
        <x:v>IC2609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4542.8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283.9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4652</x:v>
      </x:c>
      <x:c r="E19" s="22" t="n">
        <x:v>4707.8</x:v>
      </x:c>
      <x:c r="F19" s="22" t="n">
        <x:v>4634</x:v>
      </x:c>
      <x:c r="G19" s="22" t="n">
        <x:v>4648</x:v>
      </x:c>
      <x:c r="H19" s="22" t="n">
        <x:v>-14.4</x:v>
      </x:c>
      <x:c r="I19" s="23" t="n">
        <x:v>-0.003088538091969739</x:v>
      </x:c>
      <x:c r="J19" s="22" t="n">
        <x:f>ROUND(E19-F19,1)</x:f>
        <x:v>73.8</x:v>
      </x:c>
      <x:c r="K19" s="21" t="str">
        <x:v>IF2609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1674.4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104.7</x:v>
      </x:c>
      <x:c r="K23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2906</x:v>
      </x:c>
      <x:c r="E19" s="22" t="n">
        <x:v>2978</x:v>
      </x:c>
      <x:c r="F19" s="22" t="n">
        <x:v>2906</x:v>
      </x:c>
      <x:c r="G19" s="22" t="n">
        <x:v>2946.2</x:v>
      </x:c>
      <x:c r="H19" s="22" t="n">
        <x:v>22.6</x:v>
      </x:c>
      <x:c r="I19" s="23" t="n">
        <x:v>0.007730195649199523</x:v>
      </x:c>
      <x:c r="J19" s="27" t="n">
        <x:f>ROUND(E19-F19,1)</x:f>
        <x:v>72</x:v>
      </x:c>
      <x:c r="K19" s="21" t="str">
        <x:v>IH2609</x:v>
      </x:c>
    </x:row>
    <x:row r="22">
      <x:c r="A22" s="38" t="str">
        <x:v>合计</x:v>
      </x:c>
      <x:c r="B22" s="39" t="n">
        <x:v>16</x:v>
      </x:c>
      <x:c r="C22" s="39"/>
      <x:c r="D22" s="39"/>
      <x:c r="E22" s="39"/>
      <x:c r="F22" s="39"/>
      <x:c r="G22" s="39"/>
      <x:c r="H22" s="39"/>
      <x:c r="I22" s="39"/>
      <x:c r="J22" s="40" t="n">
        <x:f>SUM(J4:J19)</x:f>
        <x:v>925.6</x:v>
      </x:c>
      <x:c r="K22" s="39"/>
    </x:row>
    <x:row r="23">
      <x:c r="A23" s="38" t="str">
        <x:v>均值</x:v>
      </x:c>
      <x:c r="B23" s="39"/>
      <x:c r="C23" s="39"/>
      <x:c r="D23" s="39"/>
      <x:c r="E23" s="39"/>
      <x:c r="F23" s="39"/>
      <x:c r="G23" s="39"/>
      <x:c r="H23" s="39"/>
      <x:c r="I23" s="39"/>
      <x:c r="J23" s="42" t="n">
        <x:f>ROUND(IFERROR(AVERAGE(J4:J19),0),1)</x:f>
        <x:v>57.9</x:v>
      </x:c>
      <x:c r="K23" s="39"/>
    </x:row>
  </x:sheetData>
  <x:mergeCells>
    <x:mergeCell ref="A1:K1"/>
  </x:mergeCells>
  <x:pageMargins left="0.7" right="0.7" top="0.75" bottom="0.75" header="0.3" footer="0.3"/>
</x:worksheet>
</file>