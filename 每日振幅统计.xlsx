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620d6fe85648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ce6efb3ae584476"/>
    <x:sheet xmlns:r="http://schemas.openxmlformats.org/officeDocument/2006/relationships" name="周振幅统计" sheetId="2" r:id="R93ccbdd884374289"/>
    <x:sheet xmlns:r="http://schemas.openxmlformats.org/officeDocument/2006/relationships" name="中证1000" sheetId="3" r:id="Rdd95cafc9d5845a1"/>
    <x:sheet xmlns:r="http://schemas.openxmlformats.org/officeDocument/2006/relationships" name="中证500" sheetId="4" r:id="R94c6a8a217984c45"/>
    <x:sheet xmlns:r="http://schemas.openxmlformats.org/officeDocument/2006/relationships" name="上证指数" sheetId="5" r:id="R9b717868e0d047e9"/>
    <x:sheet xmlns:r="http://schemas.openxmlformats.org/officeDocument/2006/relationships" name="IM主力" sheetId="6" r:id="R0f37a08119c840d9"/>
    <x:sheet xmlns:r="http://schemas.openxmlformats.org/officeDocument/2006/relationships" name="IC主力" sheetId="7" r:id="Rb4830dacfb1e492d"/>
    <x:sheet xmlns:r="http://schemas.openxmlformats.org/officeDocument/2006/relationships" name="IF主力" sheetId="8" r:id="R03512f125eb2465d"/>
    <x:sheet xmlns:r="http://schemas.openxmlformats.org/officeDocument/2006/relationships" name="IH主力" sheetId="9" r:id="R2eb6141901bf4fd3"/>
    <x:sheet xmlns:r="http://schemas.openxmlformats.org/officeDocument/2006/relationships" name="碳酸锂2609" sheetId="10" r:id="R32a387899d9049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336a2314284fc7" /><Relationship Type="http://schemas.openxmlformats.org/officeDocument/2006/relationships/theme" Target="/xl/theme/theme1.xml" Id="R39c6ac0f9555411e" /><Relationship Type="http://schemas.openxmlformats.org/officeDocument/2006/relationships/sharedStrings" Target="/xl/sharedStrings.xml" Id="R2b195aa4006e4edc" /><Relationship Type="http://schemas.openxmlformats.org/officeDocument/2006/relationships/worksheet" Target="/xl/worksheets/sheet1.xml" Id="Rece6efb3ae584476" /><Relationship Type="http://schemas.openxmlformats.org/officeDocument/2006/relationships/worksheet" Target="/xl/worksheets/sheet2.xml" Id="R93ccbdd884374289" /><Relationship Type="http://schemas.openxmlformats.org/officeDocument/2006/relationships/worksheet" Target="/xl/worksheets/sheet3.xml" Id="Rdd95cafc9d5845a1" /><Relationship Type="http://schemas.openxmlformats.org/officeDocument/2006/relationships/worksheet" Target="/xl/worksheets/sheet4.xml" Id="R94c6a8a217984c45" /><Relationship Type="http://schemas.openxmlformats.org/officeDocument/2006/relationships/worksheet" Target="/xl/worksheets/sheet5.xml" Id="R9b717868e0d047e9" /><Relationship Type="http://schemas.openxmlformats.org/officeDocument/2006/relationships/worksheet" Target="/xl/worksheets/sheet6.xml" Id="R0f37a08119c840d9" /><Relationship Type="http://schemas.openxmlformats.org/officeDocument/2006/relationships/worksheet" Target="/xl/worksheets/sheet7.xml" Id="Rb4830dacfb1e492d" /><Relationship Type="http://schemas.openxmlformats.org/officeDocument/2006/relationships/worksheet" Target="/xl/worksheets/sheet8.xml" Id="R03512f125eb2465d" /><Relationship Type="http://schemas.openxmlformats.org/officeDocument/2006/relationships/worksheet" Target="/xl/worksheets/sheet9.xml" Id="R2eb6141901bf4fd3" /><Relationship Type="http://schemas.openxmlformats.org/officeDocument/2006/relationships/worksheet" Target="/xl/worksheets/sheet10.xml" Id="R32a387899d9049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2026-08-14</x:v>
      </x:c>
      <x:c r="C4" s="10" t="n">
        <x:v>7784.38</x:v>
      </x:c>
      <x:c r="D4" s="10" t="n">
        <x:v>7673.44</x:v>
      </x:c>
      <x:c r="E4" s="12" t="n">
        <x:v>110.9</x:v>
      </x:c>
      <x:c r="F4" s="9" t="n">
        <x:v>10</x:v>
      </x:c>
      <x:c r="G4" s="10" t="n">
        <x:v>1568.4</x:v>
      </x:c>
      <x:c r="H4" s="10" t="n">
        <x:v>156.8</x:v>
      </x:c>
      <x:c r="I4" s="10" t="n">
        <x:v>180</x:v>
      </x:c>
    </x:row>
    <x:row r="5">
      <x:c r="A5" s="9" t="str">
        <x:v>中证500</x:v>
      </x:c>
      <x:c r="B5" s="9" t="str">
        <x:v>2026-08-14</x:v>
      </x:c>
      <x:c r="C5" s="10" t="n">
        <x:v>8005.15</x:v>
      </x:c>
      <x:c r="D5" s="10" t="n">
        <x:v>7897.24</x:v>
      </x:c>
      <x:c r="E5" s="12" t="n">
        <x:v>107.9</x:v>
      </x:c>
      <x:c r="F5" s="9" t="n">
        <x:v>10</x:v>
      </x:c>
      <x:c r="G5" s="10" t="n">
        <x:v>1580.2</x:v>
      </x:c>
      <x:c r="H5" s="10" t="n">
        <x:v>158</x:v>
      </x:c>
      <x:c r="I5" s="10" t="n">
        <x:v>160</x:v>
      </x:c>
    </x:row>
    <x:row r="6">
      <x:c r="A6" s="9" t="str">
        <x:v>上证指数</x:v>
      </x:c>
      <x:c r="B6" s="9" t="str">
        <x:v>2026-08-14</x:v>
      </x:c>
      <x:c r="C6" s="10" t="n">
        <x:v>3932.64</x:v>
      </x:c>
      <x:c r="D6" s="10" t="n">
        <x:v>3903.7</x:v>
      </x:c>
      <x:c r="E6" s="12" t="n">
        <x:v>28.9</x:v>
      </x:c>
      <x:c r="F6" s="9" t="n">
        <x:v>10</x:v>
      </x:c>
      <x:c r="G6" s="10" t="n">
        <x:v>385.4</x:v>
      </x:c>
      <x:c r="H6" s="10" t="n">
        <x:v>38.5</x:v>
      </x:c>
      <x:c r="I6" s="10" t="n">
        <x:v>50</x:v>
      </x:c>
    </x:row>
    <x:row r="7">
      <x:c r="A7" s="9" t="str">
        <x:v>IM主力</x:v>
      </x:c>
      <x:c r="B7" s="9" t="str">
        <x:v>2026-08-14</x:v>
      </x:c>
      <x:c r="C7" s="10" t="n">
        <x:v>7695</x:v>
      </x:c>
      <x:c r="D7" s="10" t="n">
        <x:v>7597.6</x:v>
      </x:c>
      <x:c r="E7" s="12" t="n">
        <x:v>97.4</x:v>
      </x:c>
      <x:c r="F7" s="9" t="n">
        <x:v>10</x:v>
      </x:c>
      <x:c r="G7" s="10" t="n">
        <x:v>1525</x:v>
      </x:c>
      <x:c r="H7" s="10" t="n">
        <x:v>152.5</x:v>
      </x:c>
      <x:c r="I7" s="10" t="n">
        <x:v>190</x:v>
      </x:c>
    </x:row>
    <x:row r="8">
      <x:c r="A8" s="9" t="str">
        <x:v>IC主力</x:v>
      </x:c>
      <x:c r="B8" s="9" t="str">
        <x:v>2026-08-14</x:v>
      </x:c>
      <x:c r="C8" s="10" t="n">
        <x:v>7914</x:v>
      </x:c>
      <x:c r="D8" s="10" t="n">
        <x:v>7802</x:v>
      </x:c>
      <x:c r="E8" s="12" t="n">
        <x:v>112</x:v>
      </x:c>
      <x:c r="F8" s="9" t="n">
        <x:v>10</x:v>
      </x:c>
      <x:c r="G8" s="10" t="n">
        <x:v>1573</x:v>
      </x:c>
      <x:c r="H8" s="10" t="n">
        <x:v>157.3</x:v>
      </x:c>
      <x:c r="I8" s="10" t="n">
        <x:v>150</x:v>
      </x:c>
    </x:row>
    <x:row r="9">
      <x:c r="A9" s="9" t="str">
        <x:v>IF主力</x:v>
      </x:c>
      <x:c r="B9" s="9" t="str">
        <x:v>2026-08-14</x:v>
      </x:c>
      <x:c r="C9" s="10" t="n">
        <x:v>4639.6</x:v>
      </x:c>
      <x:c r="D9" s="10" t="n">
        <x:v>4598</x:v>
      </x:c>
      <x:c r="E9" s="12" t="n">
        <x:v>41.6</x:v>
      </x:c>
      <x:c r="F9" s="9" t="n">
        <x:v>10</x:v>
      </x:c>
      <x:c r="G9" s="10" t="n">
        <x:v>569.8</x:v>
      </x:c>
      <x:c r="H9" s="10" t="n">
        <x:v>57</x:v>
      </x:c>
      <x:c r="I9" s="10" t="n">
        <x:v>90</x:v>
      </x:c>
    </x:row>
    <x:row r="10">
      <x:c r="A10" s="9" t="str">
        <x:v>IH主力</x:v>
      </x:c>
      <x:c r="B10" s="9" t="str">
        <x:v>2026-08-14</x:v>
      </x:c>
      <x:c r="C10" s="10" t="n">
        <x:v>2910.2</x:v>
      </x:c>
      <x:c r="D10" s="10" t="n">
        <x:v>2877</x:v>
      </x:c>
      <x:c r="E10" s="12" t="n">
        <x:v>33.2</x:v>
      </x:c>
      <x:c r="F10" s="9" t="n">
        <x:v>10</x:v>
      </x:c>
      <x:c r="G10" s="10" t="n">
        <x:v>328.8</x:v>
      </x:c>
      <x:c r="H10" s="10" t="n">
        <x:v>32.9</x:v>
      </x:c>
      <x:c r="I10" s="10" t="n">
        <x:v>60</x:v>
      </x:c>
    </x:row>
    <x:row r="11">
      <x:c r="A11" s="9" t="str">
        <x:v>碳酸锂2609</x:v>
      </x:c>
      <x:c r="B11" s="9" t="str">
        <x:v>2026-08-14</x:v>
      </x:c>
      <x:c r="C11" s="10" t="n">
        <x:v>154500</x:v>
      </x:c>
      <x:c r="D11" s="10" t="n">
        <x:v>149700</x:v>
      </x:c>
      <x:c r="E11" s="12" t="n">
        <x:v>4800</x:v>
      </x:c>
      <x:c r="F11" s="9" t="n">
        <x:v>10</x:v>
      </x:c>
      <x:c r="G11" s="10" t="n">
        <x:v>50340</x:v>
      </x:c>
      <x:c r="H11" s="10" t="n">
        <x:v>5034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901.3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450.7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8月3日-8月7日</x:v>
      </x:c>
      <x:c r="C12" s="23" t="n">
        <x:v>7457.12</x:v>
      </x:c>
      <x:c r="D12" s="23" t="n">
        <x:v>7983.17</x:v>
      </x:c>
      <x:c r="E12" s="23" t="n">
        <x:v>7397.94</x:v>
      </x:c>
      <x:c r="F12" s="23" t="n">
        <x:v>7980.12</x:v>
      </x:c>
      <x:c r="G12" s="23"/>
      <x:c r="H12" s="24"/>
      <x:c r="I12" s="26" t="n">
        <x:f>ROUND(D12-E12,1)</x:f>
        <x:v>585.2</x:v>
      </x:c>
      <x:c r="J12" s="22" t="str">
        <x:v>中证500</x:v>
      </x:c>
      <x:c r="K12" s="22" t="n">
        <x:v>5</x:v>
      </x:c>
    </x:row>
    <x:row r="13">
      <x:c r="A13" s="22" t="n">
        <x:v>2</x:v>
      </x:c>
      <x:c r="B13" s="22" t="str">
        <x:v>8月10日-8月14日</x:v>
      </x:c>
      <x:c r="C13" s="23" t="n">
        <x:v>8003.92</x:v>
      </x:c>
      <x:c r="D13" s="23" t="n">
        <x:v>8142.33</x:v>
      </x:c>
      <x:c r="E13" s="23" t="n">
        <x:v>7897.24</x:v>
      </x:c>
      <x:c r="F13" s="23" t="n">
        <x:v>7990.33</x:v>
      </x:c>
      <x:c r="G13" s="23" t="n">
        <x:f>ROUND(F13-F12,1)</x:f>
        <x:v>10.2</x:v>
      </x:c>
      <x:c r="H13" s="24" t="n">
        <x:f>IFERROR(F13/F12-1,"")</x:f>
        <x:v>0.0012794293820144187</x:v>
      </x:c>
      <x:c r="I13" s="26" t="n">
        <x:f>ROUND(D13-E13,1)</x:f>
        <x:v>245.1</x:v>
      </x:c>
      <x:c r="J13" s="22" t="str">
        <x:v>中证500</x:v>
      </x:c>
      <x:c r="K13" s="22" t="n">
        <x:v>5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830.3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415.2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8月3日-8月7日</x:v>
      </x:c>
      <x:c r="C19" s="23" t="n">
        <x:v>3812.61</x:v>
      </x:c>
      <x:c r="D19" s="23" t="n">
        <x:v>3940.93</x:v>
      </x:c>
      <x:c r="E19" s="23" t="n">
        <x:v>3797.64</x:v>
      </x:c>
      <x:c r="F19" s="23" t="n">
        <x:v>3940.04</x:v>
      </x:c>
      <x:c r="G19" s="23"/>
      <x:c r="H19" s="24"/>
      <x:c r="I19" s="26" t="n">
        <x:f>ROUND(D19-E19,1)</x:f>
        <x:v>143.3</x:v>
      </x:c>
      <x:c r="J19" s="22" t="str">
        <x:v>上证指数</x:v>
      </x:c>
      <x:c r="K19" s="22" t="n">
        <x:v>5</x:v>
      </x:c>
    </x:row>
    <x:row r="20">
      <x:c r="A20" s="22" t="n">
        <x:v>2</x:v>
      </x:c>
      <x:c r="B20" s="22" t="str">
        <x:v>8月10日-8月14日</x:v>
      </x:c>
      <x:c r="C20" s="23" t="n">
        <x:v>3943.82</x:v>
      </x:c>
      <x:c r="D20" s="23" t="n">
        <x:v>3968.48</x:v>
      </x:c>
      <x:c r="E20" s="23" t="n">
        <x:v>3903.7</x:v>
      </x:c>
      <x:c r="F20" s="23" t="n">
        <x:v>3927.18</x:v>
      </x:c>
      <x:c r="G20" s="23" t="n">
        <x:f>ROUND(F20-F19,1)</x:f>
        <x:v>-12.9</x:v>
      </x:c>
      <x:c r="H20" s="24" t="n">
        <x:f>IFERROR(F20/F19-1,"")</x:f>
        <x:v>-0.003263926254555849</x:v>
      </x:c>
      <x:c r="I20" s="26" t="n">
        <x:f>ROUND(D20-E20,1)</x:f>
        <x:v>64.8</x:v>
      </x:c>
      <x:c r="J20" s="22" t="str">
        <x:v>上证指数</x:v>
      </x:c>
      <x:c r="K20" s="22" t="n">
        <x:v>5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208.1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104.1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8月3日-8月7日</x:v>
      </x:c>
      <x:c r="C26" s="23" t="n">
        <x:v>7000</x:v>
      </x:c>
      <x:c r="D26" s="23" t="n">
        <x:v>7594.2</x:v>
      </x:c>
      <x:c r="E26" s="23" t="n">
        <x:v>6976</x:v>
      </x:c>
      <x:c r="F26" s="23" t="n">
        <x:v>7590.6</x:v>
      </x:c>
      <x:c r="G26" s="23"/>
      <x:c r="H26" s="24"/>
      <x:c r="I26" s="26" t="n">
        <x:f>ROUND(D26-E26,1)</x:f>
        <x:v>618.2</x:v>
      </x:c>
      <x:c r="J26" s="22" t="str">
        <x:v>IM2609</x:v>
      </x:c>
      <x:c r="K26" s="22" t="n">
        <x:v>5</x:v>
      </x:c>
    </x:row>
    <x:row r="27">
      <x:c r="A27" s="22" t="n">
        <x:v>2</x:v>
      </x:c>
      <x:c r="B27" s="22" t="str">
        <x:v>8月10日-8月14日</x:v>
      </x:c>
      <x:c r="C27" s="23" t="n">
        <x:v>7628.8</x:v>
      </x:c>
      <x:c r="D27" s="23" t="n">
        <x:v>7776</x:v>
      </x:c>
      <x:c r="E27" s="23" t="n">
        <x:v>7525</x:v>
      </x:c>
      <x:c r="F27" s="23" t="n">
        <x:v>7650.2</x:v>
      </x:c>
      <x:c r="G27" s="23" t="n">
        <x:f>ROUND(F27-F26,1)</x:f>
        <x:v>59.6</x:v>
      </x:c>
      <x:c r="H27" s="24" t="n">
        <x:f>IFERROR(F27/F26-1,"")</x:f>
        <x:v>0.007851816720680693</x:v>
      </x:c>
      <x:c r="I27" s="26" t="n">
        <x:f>ROUND(D27-E27,1)</x:f>
        <x:v>251</x:v>
      </x:c>
      <x:c r="J27" s="22" t="str">
        <x:v>IM2609</x:v>
      </x:c>
      <x:c r="K27" s="22" t="n">
        <x:v>5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869.2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434.6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8月3日-8月7日</x:v>
      </x:c>
      <x:c r="C33" s="23" t="n">
        <x:v>7391</x:v>
      </x:c>
      <x:c r="D33" s="23" t="n">
        <x:v>7882.6</x:v>
      </x:c>
      <x:c r="E33" s="23" t="n">
        <x:v>7335</x:v>
      </x:c>
      <x:c r="F33" s="23" t="n">
        <x:v>7877.8</x:v>
      </x:c>
      <x:c r="G33" s="23"/>
      <x:c r="H33" s="24"/>
      <x:c r="I33" s="26" t="n">
        <x:f>ROUND(D33-E33,1)</x:f>
        <x:v>547.6</x:v>
      </x:c>
      <x:c r="J33" s="22" t="str">
        <x:v>IC2609</x:v>
      </x:c>
      <x:c r="K33" s="22" t="n">
        <x:v>5</x:v>
      </x:c>
    </x:row>
    <x:row r="34">
      <x:c r="A34" s="22" t="n">
        <x:v>2</x:v>
      </x:c>
      <x:c r="B34" s="22" t="str">
        <x:v>8月10日-8月14日</x:v>
      </x:c>
      <x:c r="C34" s="23" t="n">
        <x:v>7888</x:v>
      </x:c>
      <x:c r="D34" s="23" t="n">
        <x:v>8024</x:v>
      </x:c>
      <x:c r="E34" s="23" t="n">
        <x:v>7795.8</x:v>
      </x:c>
      <x:c r="F34" s="23" t="n">
        <x:v>7861.2</x:v>
      </x:c>
      <x:c r="G34" s="23" t="n">
        <x:f>ROUND(F34-F33,1)</x:f>
        <x:v>-16.6</x:v>
      </x:c>
      <x:c r="H34" s="24" t="n">
        <x:f>IFERROR(F34/F33-1,"")</x:f>
        <x:v>-0.0021071872857905127</x:v>
      </x:c>
      <x:c r="I34" s="26" t="n">
        <x:f>ROUND(D34-E34,1)</x:f>
        <x:v>228.2</x:v>
      </x:c>
      <x:c r="J34" s="22" t="str">
        <x:v>IC2609</x:v>
      </x:c>
      <x:c r="K34" s="22" t="n">
        <x:v>5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775.8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387.9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8月3日-8月7日</x:v>
      </x:c>
      <x:c r="C40" s="23" t="n">
        <x:v>4526.4</x:v>
      </x:c>
      <x:c r="D40" s="23" t="n">
        <x:v>4656.2</x:v>
      </x:c>
      <x:c r="E40" s="23" t="n">
        <x:v>4494.2</x:v>
      </x:c>
      <x:c r="F40" s="23" t="n">
        <x:v>4645.6</x:v>
      </x:c>
      <x:c r="G40" s="23"/>
      <x:c r="H40" s="24"/>
      <x:c r="I40" s="26" t="n">
        <x:f>ROUND(D40-E40,1)</x:f>
        <x:v>162</x:v>
      </x:c>
      <x:c r="J40" s="22" t="str">
        <x:v>IF2609</x:v>
      </x:c>
      <x:c r="K40" s="22" t="n">
        <x:v>5</x:v>
      </x:c>
    </x:row>
    <x:row r="41">
      <x:c r="A41" s="22" t="n">
        <x:v>2</x:v>
      </x:c>
      <x:c r="B41" s="22" t="str">
        <x:v>8月10日-8月14日</x:v>
      </x:c>
      <x:c r="C41" s="23" t="n">
        <x:v>4656.8</x:v>
      </x:c>
      <x:c r="D41" s="23" t="n">
        <x:v>4681</x:v>
      </x:c>
      <x:c r="E41" s="23" t="n">
        <x:v>4598</x:v>
      </x:c>
      <x:c r="F41" s="23" t="n">
        <x:v>4620.4</x:v>
      </x:c>
      <x:c r="G41" s="23" t="n">
        <x:f>ROUND(F41-F40,1)</x:f>
        <x:v>-25.2</x:v>
      </x:c>
      <x:c r="H41" s="24" t="n">
        <x:f>IFERROR(F41/F40-1,"")</x:f>
        <x:v>-0.005424487687274104</x:v>
      </x:c>
      <x:c r="I41" s="23" t="n">
        <x:f>ROUND(D41-E41,1)</x:f>
        <x:v>83</x:v>
      </x:c>
      <x:c r="J41" s="22" t="str">
        <x:v>IF2609</x:v>
      </x:c>
      <x:c r="K41" s="22" t="n">
        <x:v>5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245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122.5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8月3日-8月7日</x:v>
      </x:c>
      <x:c r="C47" s="23" t="n">
        <x:v>2882.4</x:v>
      </x:c>
      <x:c r="D47" s="23" t="n">
        <x:v>2930.6</x:v>
      </x:c>
      <x:c r="E47" s="23" t="n">
        <x:v>2845.8</x:v>
      </x:c>
      <x:c r="F47" s="23" t="n">
        <x:v>2930</x:v>
      </x:c>
      <x:c r="G47" s="23"/>
      <x:c r="H47" s="24"/>
      <x:c r="I47" s="26" t="n">
        <x:f>ROUND(D47-E47,1)</x:f>
        <x:v>84.8</x:v>
      </x:c>
      <x:c r="J47" s="22" t="str">
        <x:v>IH2609</x:v>
      </x:c>
      <x:c r="K47" s="22" t="n">
        <x:v>5</x:v>
      </x:c>
    </x:row>
    <x:row r="48">
      <x:c r="A48" s="22" t="n">
        <x:v>2</x:v>
      </x:c>
      <x:c r="B48" s="22" t="str">
        <x:v>8月10日-8月14日</x:v>
      </x:c>
      <x:c r="C48" s="23" t="n">
        <x:v>2930</x:v>
      </x:c>
      <x:c r="D48" s="23" t="n">
        <x:v>2949.6</x:v>
      </x:c>
      <x:c r="E48" s="23" t="n">
        <x:v>2877</x:v>
      </x:c>
      <x:c r="F48" s="23" t="n">
        <x:v>2890</x:v>
      </x:c>
      <x:c r="G48" s="23" t="n">
        <x:f>ROUND(F48-F47,1)</x:f>
        <x:v>-40</x:v>
      </x:c>
      <x:c r="H48" s="24" t="n">
        <x:f>IFERROR(F48/F47-1,"")</x:f>
        <x:v>-0.013651877133105783</x:v>
      </x:c>
      <x:c r="I48" s="26" t="n">
        <x:f>ROUND(D48-E48,1)</x:f>
        <x:v>72.6</x:v>
      </x:c>
      <x:c r="J48" s="22" t="str">
        <x:v>IH2609</x:v>
      </x:c>
      <x:c r="K48" s="22" t="n">
        <x:v>5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157.4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78.7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8月3日-8月7日</x:v>
      </x:c>
      <x:c r="C54" s="23" t="n">
        <x:v>137500</x:v>
      </x:c>
      <x:c r="D54" s="23" t="n">
        <x:v>144800</x:v>
      </x:c>
      <x:c r="E54" s="23" t="n">
        <x:v>135560</x:v>
      </x:c>
      <x:c r="F54" s="23" t="n">
        <x:v>140000</x:v>
      </x:c>
      <x:c r="G54" s="23"/>
      <x:c r="H54" s="24"/>
      <x:c r="I54" s="26" t="n">
        <x:f>ROUND(D54-E54,1)</x:f>
        <x:v>9240</x:v>
      </x:c>
      <x:c r="J54" s="22" t="str">
        <x:v>LC2609</x:v>
      </x:c>
      <x:c r="K54" s="22" t="n">
        <x:v>5</x:v>
      </x:c>
    </x:row>
    <x:row r="55">
      <x:c r="A55" s="22" t="n">
        <x:v>2</x:v>
      </x:c>
      <x:c r="B55" s="22" t="str">
        <x:v>8月10日-8月14日</x:v>
      </x:c>
      <x:c r="C55" s="23" t="n">
        <x:v>140500</x:v>
      </x:c>
      <x:c r="D55" s="23" t="n">
        <x:v>154500</x:v>
      </x:c>
      <x:c r="E55" s="23" t="n">
        <x:v>139280</x:v>
      </x:c>
      <x:c r="F55" s="23" t="n">
        <x:v>153940</x:v>
      </x:c>
      <x:c r="G55" s="34" t="n">
        <x:f>ROUND(F55-F54,1)</x:f>
        <x:v>13940</x:v>
      </x:c>
      <x:c r="H55" s="24" t="n">
        <x:f>IFERROR(F55/F54-1,"")</x:f>
        <x:v>0.09957142857142864</x:v>
      </x:c>
      <x:c r="I55" s="26" t="n">
        <x:f>ROUND(D55-E55,1)</x:f>
        <x:v>15220</x:v>
      </x:c>
      <x:c r="J55" s="22" t="str">
        <x:v>LC2609</x:v>
      </x:c>
      <x:c r="K55" s="22" t="n">
        <x:v>5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24460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12230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4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4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1568.4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156.8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4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4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34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1580.2000000000003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158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385.40000000000003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38.5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4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4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1525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152.5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4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4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1573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157.3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569.8000000000001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57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328.8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32.9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4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4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4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4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34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34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34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34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34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34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50340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5034</x:v>
      </x:c>
      <x:c r="K17" s="28"/>
    </x:row>
  </x:sheetData>
  <x:mergeCells>
    <x:mergeCell ref="A1:K1"/>
  </x:mergeCells>
  <x:pageMargins left="0.7" right="0.7" top="0.75" bottom="0.75" header="0.3" footer="0.3"/>
</x:worksheet>
</file>