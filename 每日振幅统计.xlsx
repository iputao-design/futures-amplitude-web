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e97b7886b548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018d3343e6d474e"/>
    <x:sheet xmlns:r="http://schemas.openxmlformats.org/officeDocument/2006/relationships" name="周振幅统计" sheetId="2" r:id="R8ed67dba783241ff"/>
    <x:sheet xmlns:r="http://schemas.openxmlformats.org/officeDocument/2006/relationships" name="中证1000" sheetId="3" r:id="R2bbae6a86abc4d56"/>
    <x:sheet xmlns:r="http://schemas.openxmlformats.org/officeDocument/2006/relationships" name="中证500" sheetId="4" r:id="R72e236accdf94641"/>
    <x:sheet xmlns:r="http://schemas.openxmlformats.org/officeDocument/2006/relationships" name="上证指数" sheetId="5" r:id="R63e1868cc9b04243"/>
    <x:sheet xmlns:r="http://schemas.openxmlformats.org/officeDocument/2006/relationships" name="IM主力" sheetId="6" r:id="Rc47f1ed6d0f74a49"/>
    <x:sheet xmlns:r="http://schemas.openxmlformats.org/officeDocument/2006/relationships" name="IC主力" sheetId="7" r:id="Re417c1eca8fd418f"/>
    <x:sheet xmlns:r="http://schemas.openxmlformats.org/officeDocument/2006/relationships" name="IF主力" sheetId="8" r:id="Ra41650a730c44954"/>
    <x:sheet xmlns:r="http://schemas.openxmlformats.org/officeDocument/2006/relationships" name="IH主力" sheetId="9" r:id="Rc81bb19f2f8a41b0"/>
    <x:sheet xmlns:r="http://schemas.openxmlformats.org/officeDocument/2006/relationships" name="碳酸锂2610" sheetId="10" r:id="Rab4edee0959546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2e7e4f7d5b45c3" /><Relationship Type="http://schemas.openxmlformats.org/officeDocument/2006/relationships/theme" Target="/xl/theme/theme1.xml" Id="Rd725fa80da4b4018" /><Relationship Type="http://schemas.openxmlformats.org/officeDocument/2006/relationships/sharedStrings" Target="/xl/sharedStrings.xml" Id="R71fba445011a4c04" /><Relationship Type="http://schemas.openxmlformats.org/officeDocument/2006/relationships/worksheet" Target="/xl/worksheets/sheet1.xml" Id="R9018d3343e6d474e" /><Relationship Type="http://schemas.openxmlformats.org/officeDocument/2006/relationships/worksheet" Target="/xl/worksheets/sheet2.xml" Id="R8ed67dba783241ff" /><Relationship Type="http://schemas.openxmlformats.org/officeDocument/2006/relationships/worksheet" Target="/xl/worksheets/sheet3.xml" Id="R2bbae6a86abc4d56" /><Relationship Type="http://schemas.openxmlformats.org/officeDocument/2006/relationships/worksheet" Target="/xl/worksheets/sheet4.xml" Id="R72e236accdf94641" /><Relationship Type="http://schemas.openxmlformats.org/officeDocument/2006/relationships/worksheet" Target="/xl/worksheets/sheet5.xml" Id="R63e1868cc9b04243" /><Relationship Type="http://schemas.openxmlformats.org/officeDocument/2006/relationships/worksheet" Target="/xl/worksheets/sheet6.xml" Id="Rc47f1ed6d0f74a49" /><Relationship Type="http://schemas.openxmlformats.org/officeDocument/2006/relationships/worksheet" Target="/xl/worksheets/sheet7.xml" Id="Re417c1eca8fd418f" /><Relationship Type="http://schemas.openxmlformats.org/officeDocument/2006/relationships/worksheet" Target="/xl/worksheets/sheet8.xml" Id="Ra41650a730c44954" /><Relationship Type="http://schemas.openxmlformats.org/officeDocument/2006/relationships/worksheet" Target="/xl/worksheets/sheet9.xml" Id="Rc81bb19f2f8a41b0" /><Relationship Type="http://schemas.openxmlformats.org/officeDocument/2006/relationships/worksheet" Target="/xl/worksheets/sheet10.xml" Id="Rab4edee0959546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2026-10-08</x:v>
      </x:c>
      <x:c r="C4" s="10" t="n">
        <x:v>7366.86</x:v>
      </x:c>
      <x:c r="D4" s="10" t="n">
        <x:v>7087.8</x:v>
      </x:c>
      <x:c r="E4" s="12" t="n">
        <x:v>279.1</x:v>
      </x:c>
      <x:c r="F4" s="9" t="n">
        <x:v>1</x:v>
      </x:c>
      <x:c r="G4" s="10" t="n">
        <x:v>279.1</x:v>
      </x:c>
      <x:c r="H4" s="10" t="n">
        <x:v>279.1</x:v>
      </x:c>
      <x:c r="I4" s="10" t="n">
        <x:v>180</x:v>
      </x:c>
    </x:row>
    <x:row r="5">
      <x:c r="A5" s="9" t="str">
        <x:v>中证500</x:v>
      </x:c>
      <x:c r="B5" s="9" t="str">
        <x:v>2026-10-08</x:v>
      </x:c>
      <x:c r="C5" s="10" t="n">
        <x:v>7461.24</x:v>
      </x:c>
      <x:c r="D5" s="10" t="n">
        <x:v>7206.06</x:v>
      </x:c>
      <x:c r="E5" s="12" t="n">
        <x:v>255.2</x:v>
      </x:c>
      <x:c r="F5" s="9" t="n">
        <x:v>1</x:v>
      </x:c>
      <x:c r="G5" s="10" t="n">
        <x:v>255.2</x:v>
      </x:c>
      <x:c r="H5" s="10" t="n">
        <x:v>255.2</x:v>
      </x:c>
      <x:c r="I5" s="10" t="n">
        <x:v>160</x:v>
      </x:c>
    </x:row>
    <x:row r="6">
      <x:c r="A6" s="9" t="str">
        <x:v>上证指数</x:v>
      </x:c>
      <x:c r="B6" s="9" t="str">
        <x:v>2026-10-08</x:v>
      </x:c>
      <x:c r="C6" s="10" t="n">
        <x:v>3864.12</x:v>
      </x:c>
      <x:c r="D6" s="10" t="n">
        <x:v>3795.37</x:v>
      </x:c>
      <x:c r="E6" s="12" t="n">
        <x:v>68.8</x:v>
      </x:c>
      <x:c r="F6" s="9" t="n">
        <x:v>1</x:v>
      </x:c>
      <x:c r="G6" s="10" t="n">
        <x:v>68.8</x:v>
      </x:c>
      <x:c r="H6" s="10" t="n">
        <x:v>68.8</x:v>
      </x:c>
      <x:c r="I6" s="10" t="n">
        <x:v>50</x:v>
      </x:c>
    </x:row>
    <x:row r="7">
      <x:c r="A7" s="9" t="str">
        <x:v>IM主力</x:v>
      </x:c>
      <x:c r="B7" s="9" t="str">
        <x:v>2026-10-08</x:v>
      </x:c>
      <x:c r="C7" s="10" t="n">
        <x:v>7251.8</x:v>
      </x:c>
      <x:c r="D7" s="10" t="n">
        <x:v>6948.2</x:v>
      </x:c>
      <x:c r="E7" s="12" t="n">
        <x:v>303.6</x:v>
      </x:c>
      <x:c r="F7" s="9" t="n">
        <x:v>1</x:v>
      </x:c>
      <x:c r="G7" s="10" t="n">
        <x:v>303.6</x:v>
      </x:c>
      <x:c r="H7" s="10" t="n">
        <x:v>303.6</x:v>
      </x:c>
      <x:c r="I7" s="10" t="n">
        <x:v>190</x:v>
      </x:c>
    </x:row>
    <x:row r="8">
      <x:c r="A8" s="9" t="str">
        <x:v>IC主力</x:v>
      </x:c>
      <x:c r="B8" s="9" t="str">
        <x:v>2026-10-08</x:v>
      </x:c>
      <x:c r="C8" s="10" t="n">
        <x:v>7355</x:v>
      </x:c>
      <x:c r="D8" s="10" t="n">
        <x:v>7056.4</x:v>
      </x:c>
      <x:c r="E8" s="12" t="n">
        <x:v>298.6</x:v>
      </x:c>
      <x:c r="F8" s="9" t="n">
        <x:v>1</x:v>
      </x:c>
      <x:c r="G8" s="10" t="n">
        <x:v>298.6</x:v>
      </x:c>
      <x:c r="H8" s="10" t="n">
        <x:v>298.6</x:v>
      </x:c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</x:v>
      </x:c>
      <x:c r="C5" s="23" t="n">
        <x:v>7306.74</x:v>
      </x:c>
      <x:c r="D5" s="23" t="n">
        <x:v>7366.86</x:v>
      </x:c>
      <x:c r="E5" s="23" t="n">
        <x:v>7087.8</x:v>
      </x:c>
      <x:c r="F5" s="23" t="n">
        <x:v>7138.58</x:v>
      </x:c>
      <x:c r="G5" s="23"/>
      <x:c r="H5" s="24"/>
      <x:c r="I5" s="26" t="n">
        <x:f>ROUND(D5-E5,1)</x:f>
        <x:v>279.1</x:v>
      </x:c>
      <x:c r="J5" s="22" t="str">
        <x:v>中证1000</x:v>
      </x:c>
      <x:c r="K5" s="22" t="n">
        <x:v>1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279.1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279.1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10月8日</x:v>
      </x:c>
      <x:c r="C11" s="23" t="n">
        <x:v>7420.44</x:v>
      </x:c>
      <x:c r="D11" s="23" t="n">
        <x:v>7461.24</x:v>
      </x:c>
      <x:c r="E11" s="23" t="n">
        <x:v>7206.06</x:v>
      </x:c>
      <x:c r="F11" s="23" t="n">
        <x:v>7248.43</x:v>
      </x:c>
      <x:c r="G11" s="23"/>
      <x:c r="H11" s="24"/>
      <x:c r="I11" s="26" t="n">
        <x:f>ROUND(D11-E11,1)</x:f>
        <x:v>255.2</x:v>
      </x:c>
      <x:c r="J11" s="22" t="str">
        <x:v>中证500</x:v>
      </x:c>
      <x:c r="K11" s="22" t="n">
        <x:v>1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255.2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255.2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10月8日</x:v>
      </x:c>
      <x:c r="C17" s="23" t="n">
        <x:v>3838.98</x:v>
      </x:c>
      <x:c r="D17" s="23" t="n">
        <x:v>3864.12</x:v>
      </x:c>
      <x:c r="E17" s="23" t="n">
        <x:v>3795.37</x:v>
      </x:c>
      <x:c r="F17" s="23" t="n">
        <x:v>3811.9</x:v>
      </x:c>
      <x:c r="G17" s="23"/>
      <x:c r="H17" s="24"/>
      <x:c r="I17" s="26" t="n">
        <x:f>ROUND(D17-E17,1)</x:f>
        <x:v>68.8</x:v>
      </x:c>
      <x:c r="J17" s="22" t="str">
        <x:v>上证指数</x:v>
      </x:c>
      <x:c r="K17" s="22" t="n">
        <x:v>1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68.8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68.8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</x:v>
      </x:c>
      <x:c r="C23" s="23" t="n">
        <x:v>7182.8</x:v>
      </x:c>
      <x:c r="D23" s="23" t="n">
        <x:v>7251.8</x:v>
      </x:c>
      <x:c r="E23" s="23" t="n">
        <x:v>6948.2</x:v>
      </x:c>
      <x:c r="F23" s="23" t="n">
        <x:v>7022.2</x:v>
      </x:c>
      <x:c r="G23" s="23"/>
      <x:c r="H23" s="24"/>
      <x:c r="I23" s="26" t="n">
        <x:f>ROUND(D23-E23,1)</x:f>
        <x:v>303.6</x:v>
      </x:c>
      <x:c r="J23" s="22" t="str">
        <x:v>IM2612</x:v>
      </x:c>
      <x:c r="K23" s="22" t="n">
        <x:v>1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303.6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303.6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</x:v>
      </x:c>
      <x:c r="C29" s="23" t="n">
        <x:v>7295</x:v>
      </x:c>
      <x:c r="D29" s="23" t="n">
        <x:v>7355</x:v>
      </x:c>
      <x:c r="E29" s="23" t="n">
        <x:v>7056.4</x:v>
      </x:c>
      <x:c r="F29" s="23" t="n">
        <x:v>7122.8</x:v>
      </x:c>
      <x:c r="G29" s="23"/>
      <x:c r="H29" s="24"/>
      <x:c r="I29" s="26" t="n">
        <x:f>ROUND(D29-E29,1)</x:f>
        <x:v>298.6</x:v>
      </x:c>
      <x:c r="J29" s="22" t="str">
        <x:v>IC2612</x:v>
      </x:c>
      <x:c r="K29" s="22" t="n">
        <x:v>1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298.6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298.6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33" t="str">
        <x:v>暂无数据</x:v>
      </x:c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</x:row>
    <x:row r="37">
      <x:c r="A37" s="17" t="str">
        <x:v>IH主力</x:v>
      </x:c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</x:row>
    <x:row r="38">
      <x:c r="A38" s="20" t="str">
        <x:v>序号</x:v>
      </x:c>
      <x:c r="B38" s="20" t="str">
        <x:v>周期</x:v>
      </x:c>
      <x:c r="C38" s="20" t="str">
        <x:v>开盘</x:v>
      </x:c>
      <x:c r="D38" s="20" t="str">
        <x:v>高点</x:v>
      </x:c>
      <x:c r="E38" s="20" t="str">
        <x:v>低点</x:v>
      </x:c>
      <x:c r="F38" s="20" t="str">
        <x:v>收盘</x:v>
      </x:c>
      <x:c r="G38" s="20" t="str">
        <x:v>涨跌点数</x:v>
      </x:c>
      <x:c r="H38" s="20" t="str">
        <x:v>涨幅</x:v>
      </x:c>
      <x:c r="I38" s="20" t="str">
        <x:v>振幅</x:v>
      </x:c>
      <x:c r="J38" s="20" t="str">
        <x:v>标的</x:v>
      </x:c>
      <x:c r="K38" s="20" t="str">
        <x:v>交易日</x:v>
      </x:c>
    </x:row>
    <x:row r="39">
      <x:c r="A39" s="33" t="str">
        <x:v>暂无数据</x:v>
      </x:c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</x:row>
    <x:row r="41">
      <x:c r="A41" s="17" t="str">
        <x:v>碳酸锂2610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33" t="str">
        <x:v>暂无数据</x:v>
      </x:c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5:K35"/>
    <x:mergeCell ref="A37:K37"/>
    <x:mergeCell ref="A39:K39"/>
    <x:mergeCell ref="A41:K41"/>
    <x:mergeCell ref="A43:K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279.1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279.1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255.2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255.2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68.8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68.8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303.6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303.6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298.6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298.6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9" t="str">
        <x:v>合计</x:v>
      </x:c>
      <x:c r="B7" s="28" t="n">
        <x:v>0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0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0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9" t="str">
        <x:v>合计</x:v>
      </x:c>
      <x:c r="B7" s="28" t="n">
        <x:v>0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0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0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9" t="str">
        <x:v>合计</x:v>
      </x:c>
      <x:c r="B7" s="28" t="n">
        <x:v>0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0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0</x:v>
      </x:c>
      <x:c r="K8" s="28"/>
    </x:row>
  </x:sheetData>
  <x:mergeCells>
    <x:mergeCell ref="A1:K1"/>
  </x:mergeCells>
  <x:pageMargins left="0.7" right="0.7" top="0.75" bottom="0.75" header="0.3" footer="0.3"/>
</x:worksheet>
</file>