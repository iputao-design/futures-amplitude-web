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6d839e19b04b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b9c22eb5c03432f"/>
    <x:sheet xmlns:r="http://schemas.openxmlformats.org/officeDocument/2006/relationships" name="周振幅统计" sheetId="2" r:id="R062a1809195946fa"/>
    <x:sheet xmlns:r="http://schemas.openxmlformats.org/officeDocument/2006/relationships" name="中证1000" sheetId="3" r:id="R8e5db369f40448c6"/>
    <x:sheet xmlns:r="http://schemas.openxmlformats.org/officeDocument/2006/relationships" name="中证500" sheetId="4" r:id="R985e1fb240724ab0"/>
    <x:sheet xmlns:r="http://schemas.openxmlformats.org/officeDocument/2006/relationships" name="上证指数" sheetId="5" r:id="R6b79f082cddf43ae"/>
    <x:sheet xmlns:r="http://schemas.openxmlformats.org/officeDocument/2006/relationships" name="IM主力" sheetId="6" r:id="R719883118ce74723"/>
    <x:sheet xmlns:r="http://schemas.openxmlformats.org/officeDocument/2006/relationships" name="IC主力" sheetId="7" r:id="Ra3ce8d9a021a4749"/>
    <x:sheet xmlns:r="http://schemas.openxmlformats.org/officeDocument/2006/relationships" name="IF主力" sheetId="8" r:id="Re39118ad37c0432e"/>
    <x:sheet xmlns:r="http://schemas.openxmlformats.org/officeDocument/2006/relationships" name="IH主力" sheetId="9" r:id="Rd3899b201a0b4b49"/>
    <x:sheet xmlns:r="http://schemas.openxmlformats.org/officeDocument/2006/relationships" name="碳酸锂2609" sheetId="10" r:id="R95edff9b06ce41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f0914b3cc24dbb" /><Relationship Type="http://schemas.openxmlformats.org/officeDocument/2006/relationships/theme" Target="/xl/theme/theme1.xml" Id="Raa591299a6ee4039" /><Relationship Type="http://schemas.openxmlformats.org/officeDocument/2006/relationships/sharedStrings" Target="/xl/sharedStrings.xml" Id="R45b8f51328554d68" /><Relationship Type="http://schemas.openxmlformats.org/officeDocument/2006/relationships/worksheet" Target="/xl/worksheets/sheet1.xml" Id="Rdb9c22eb5c03432f" /><Relationship Type="http://schemas.openxmlformats.org/officeDocument/2006/relationships/worksheet" Target="/xl/worksheets/sheet2.xml" Id="R062a1809195946fa" /><Relationship Type="http://schemas.openxmlformats.org/officeDocument/2006/relationships/worksheet" Target="/xl/worksheets/sheet3.xml" Id="R8e5db369f40448c6" /><Relationship Type="http://schemas.openxmlformats.org/officeDocument/2006/relationships/worksheet" Target="/xl/worksheets/sheet4.xml" Id="R985e1fb240724ab0" /><Relationship Type="http://schemas.openxmlformats.org/officeDocument/2006/relationships/worksheet" Target="/xl/worksheets/sheet5.xml" Id="R6b79f082cddf43ae" /><Relationship Type="http://schemas.openxmlformats.org/officeDocument/2006/relationships/worksheet" Target="/xl/worksheets/sheet6.xml" Id="R719883118ce74723" /><Relationship Type="http://schemas.openxmlformats.org/officeDocument/2006/relationships/worksheet" Target="/xl/worksheets/sheet7.xml" Id="Ra3ce8d9a021a4749" /><Relationship Type="http://schemas.openxmlformats.org/officeDocument/2006/relationships/worksheet" Target="/xl/worksheets/sheet8.xml" Id="Re39118ad37c0432e" /><Relationship Type="http://schemas.openxmlformats.org/officeDocument/2006/relationships/worksheet" Target="/xl/worksheets/sheet9.xml" Id="Rd3899b201a0b4b49" /><Relationship Type="http://schemas.openxmlformats.org/officeDocument/2006/relationships/worksheet" Target="/xl/worksheets/sheet10.xml" Id="R95edff9b06ce41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2026-08-31</x:v>
      </x:c>
      <x:c r="C4" s="10" t="n">
        <x:v>7771.55</x:v>
      </x:c>
      <x:c r="D4" s="10" t="n">
        <x:v>7604.95</x:v>
      </x:c>
      <x:c r="E4" s="12" t="n">
        <x:v>166.6</x:v>
      </x:c>
      <x:c r="F4" s="9" t="n">
        <x:v>21</x:v>
      </x:c>
      <x:c r="G4" s="10" t="n">
        <x:v>3614.9</x:v>
      </x:c>
      <x:c r="H4" s="10" t="n">
        <x:v>172.1</x:v>
      </x:c>
      <x:c r="I4" s="10" t="n">
        <x:v>180</x:v>
      </x:c>
    </x:row>
    <x:row r="5">
      <x:c r="A5" s="9" t="str">
        <x:v>中证500</x:v>
      </x:c>
      <x:c r="B5" s="9" t="str">
        <x:v>2026-08-31</x:v>
      </x:c>
      <x:c r="C5" s="10" t="n">
        <x:v>7953.93</x:v>
      </x:c>
      <x:c r="D5" s="10" t="n">
        <x:v>7764.98</x:v>
      </x:c>
      <x:c r="E5" s="12" t="n">
        <x:v>189</x:v>
      </x:c>
      <x:c r="F5" s="9" t="n">
        <x:v>21</x:v>
      </x:c>
      <x:c r="G5" s="10" t="n">
        <x:v>3487.7</x:v>
      </x:c>
      <x:c r="H5" s="10" t="n">
        <x:v>166.1</x:v>
      </x:c>
      <x:c r="I5" s="10" t="n">
        <x:v>160</x:v>
      </x:c>
    </x:row>
    <x:row r="6">
      <x:c r="A6" s="9" t="str">
        <x:v>上证指数</x:v>
      </x:c>
      <x:c r="B6" s="9" t="str">
        <x:v>2026-08-31</x:v>
      </x:c>
      <x:c r="C6" s="10" t="n">
        <x:v>3986.3</x:v>
      </x:c>
      <x:c r="D6" s="10" t="n">
        <x:v>3926.5</x:v>
      </x:c>
      <x:c r="E6" s="12" t="n">
        <x:v>59.8</x:v>
      </x:c>
      <x:c r="F6" s="9" t="n">
        <x:v>21</x:v>
      </x:c>
      <x:c r="G6" s="10" t="n">
        <x:v>905.8</x:v>
      </x:c>
      <x:c r="H6" s="10" t="n">
        <x:v>43.1</x:v>
      </x:c>
      <x:c r="I6" s="10" t="n">
        <x:v>50</x:v>
      </x:c>
    </x:row>
    <x:row r="7">
      <x:c r="A7" s="9" t="str">
        <x:v>IM主力</x:v>
      </x:c>
      <x:c r="B7" s="9" t="str">
        <x:v>2026-08-28</x:v>
      </x:c>
      <x:c r="C7" s="10" t="n">
        <x:v>7753.8</x:v>
      </x:c>
      <x:c r="D7" s="10" t="n">
        <x:v>7652</x:v>
      </x:c>
      <x:c r="E7" s="12" t="n">
        <x:v>101.8</x:v>
      </x:c>
      <x:c r="F7" s="9" t="n">
        <x:v>20</x:v>
      </x:c>
      <x:c r="G7" s="10" t="n">
        <x:v>3433.8</x:v>
      </x:c>
      <x:c r="H7" s="10" t="n">
        <x:v>171.7</x:v>
      </x:c>
      <x:c r="I7" s="10" t="n">
        <x:v>190</x:v>
      </x:c>
    </x:row>
    <x:row r="8">
      <x:c r="A8" s="9" t="str">
        <x:v>IC主力</x:v>
      </x:c>
      <x:c r="B8" s="9" t="str">
        <x:v>2026-08-28</x:v>
      </x:c>
      <x:c r="C8" s="10" t="n">
        <x:v>7931</x:v>
      </x:c>
      <x:c r="D8" s="10" t="n">
        <x:v>7841</x:v>
      </x:c>
      <x:c r="E8" s="12" t="n">
        <x:v>90</x:v>
      </x:c>
      <x:c r="F8" s="9" t="n">
        <x:v>20</x:v>
      </x:c>
      <x:c r="G8" s="10" t="n">
        <x:v>3352.6</x:v>
      </x:c>
      <x:c r="H8" s="10" t="n">
        <x:v>167.6</x:v>
      </x:c>
      <x:c r="I8" s="10" t="n">
        <x:v>150</x:v>
      </x:c>
    </x:row>
    <x:row r="9">
      <x:c r="A9" s="9" t="str">
        <x:v>IF主力</x:v>
      </x:c>
      <x:c r="B9" s="9" t="str">
        <x:v>2026-08-31</x:v>
      </x:c>
      <x:c r="C9" s="10" t="n">
        <x:v>4608.6</x:v>
      </x:c>
      <x:c r="D9" s="10" t="n">
        <x:v>4530</x:v>
      </x:c>
      <x:c r="E9" s="12" t="n">
        <x:v>78.6</x:v>
      </x:c>
      <x:c r="F9" s="9" t="n">
        <x:v>21</x:v>
      </x:c>
      <x:c r="G9" s="10" t="n">
        <x:v>1327</x:v>
      </x:c>
      <x:c r="H9" s="10" t="n">
        <x:v>63.2</x:v>
      </x:c>
      <x:c r="I9" s="10" t="n">
        <x:v>90</x:v>
      </x:c>
    </x:row>
    <x:row r="10">
      <x:c r="A10" s="9" t="str">
        <x:v>IH主力</x:v>
      </x:c>
      <x:c r="B10" s="9" t="str">
        <x:v>2026-08-28</x:v>
      </x:c>
      <x:c r="C10" s="10" t="n">
        <x:v>2918.2</x:v>
      </x:c>
      <x:c r="D10" s="10" t="n">
        <x:v>2905.2</x:v>
      </x:c>
      <x:c r="E10" s="12" t="n">
        <x:v>13</x:v>
      </x:c>
      <x:c r="F10" s="9" t="n">
        <x:v>20</x:v>
      </x:c>
      <x:c r="G10" s="10" t="n">
        <x:v>655</x:v>
      </x:c>
      <x:c r="H10" s="10" t="n">
        <x:v>32.8</x:v>
      </x:c>
      <x:c r="I10" s="10" t="n">
        <x:v>60</x:v>
      </x:c>
    </x:row>
    <x:row r="11">
      <x:c r="A11" s="9" t="str">
        <x:v>碳酸锂2609</x:v>
      </x:c>
      <x:c r="B11" s="9" t="str">
        <x:v>2026-08-28</x:v>
      </x:c>
      <x:c r="C11" s="10" t="n">
        <x:v>157200</x:v>
      </x:c>
      <x:c r="D11" s="10" t="n">
        <x:v>149380</x:v>
      </x:c>
      <x:c r="E11" s="12" t="n">
        <x:v>7820</x:v>
      </x:c>
      <x:c r="F11" s="9" t="n">
        <x:v>20</x:v>
      </x:c>
      <x:c r="G11" s="10" t="n">
        <x:v>106720</x:v>
      </x:c>
      <x:c r="H11" s="10" t="n">
        <x:v>5336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2026-08-31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8月17日-8月21日</x:v>
      </x:c>
      <x:c r="C7" s="23" t="n">
        <x:v>7797.18</x:v>
      </x:c>
      <x:c r="D7" s="23" t="n">
        <x:v>7995.5</x:v>
      </x:c>
      <x:c r="E7" s="23" t="n">
        <x:v>7472.49</x:v>
      </x:c>
      <x:c r="F7" s="23" t="n">
        <x:v>7601.8</x:v>
      </x:c>
      <x:c r="G7" s="28" t="n">
        <x:f>ROUND(F7-F6,1)</x:f>
        <x:v>-168</x:v>
      </x:c>
      <x:c r="H7" s="24" t="n">
        <x:f>IFERROR(F7/F6-1,"")</x:f>
        <x:v>-0.021624696582417502</x:v>
      </x:c>
      <x:c r="I7" s="26" t="n">
        <x:f>ROUND(D7-E7,1)</x:f>
        <x:v>523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8月24日-8月28日</x:v>
      </x:c>
      <x:c r="C8" s="23" t="n">
        <x:v>7614.89</x:v>
      </x:c>
      <x:c r="D8" s="23" t="n">
        <x:v>7802.55</x:v>
      </x:c>
      <x:c r="E8" s="23" t="n">
        <x:v>7347.95</x:v>
      </x:c>
      <x:c r="F8" s="23" t="n">
        <x:v>7705.03</x:v>
      </x:c>
      <x:c r="G8" s="23" t="n">
        <x:f>ROUND(F8-F7,1)</x:f>
        <x:v>103.2</x:v>
      </x:c>
      <x:c r="H8" s="24" t="n">
        <x:f>IFERROR(F8/F7-1,"")</x:f>
        <x:v>0.013579678497197989</x:v>
      </x:c>
      <x:c r="I8" s="26" t="n">
        <x:f>ROUND(D8-E8,1)</x:f>
        <x:v>454.6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8月31日</x:v>
      </x:c>
      <x:c r="C9" s="23" t="n">
        <x:v>7607.23</x:v>
      </x:c>
      <x:c r="D9" s="23" t="n">
        <x:v>7771.55</x:v>
      </x:c>
      <x:c r="E9" s="23" t="n">
        <x:v>7604.95</x:v>
      </x:c>
      <x:c r="F9" s="23" t="n">
        <x:v>7770.42</x:v>
      </x:c>
      <x:c r="G9" s="23" t="n">
        <x:f>ROUND(F9-F8,1)</x:f>
        <x:v>65.4</x:v>
      </x:c>
      <x:c r="H9" s="24" t="n">
        <x:f>IFERROR(F9/F8-1,"")</x:f>
        <x:v>0.00848666390656505</x:v>
      </x:c>
      <x:c r="I9" s="23" t="n">
        <x:f>ROUND(D9-E9,1)</x:f>
        <x:v>166.6</x:v>
      </x:c>
      <x:c r="J9" s="22" t="str">
        <x:v>中证1000</x:v>
      </x:c>
      <x:c r="K9" s="22" t="n">
        <x:v>1</x:v>
      </x:c>
    </x:row>
    <x:row r="10">
      <x:c r="A10" s="31" t="str">
        <x:v>合计</x:v>
      </x:c>
      <x:c r="B10" s="30" t="n">
        <x:v>5</x:v>
      </x:c>
      <x:c r="C10" s="30"/>
      <x:c r="D10" s="30"/>
      <x:c r="E10" s="30"/>
      <x:c r="F10" s="30"/>
      <x:c r="G10" s="30"/>
      <x:c r="H10" s="30"/>
      <x:c r="I10" s="32" t="n">
        <x:f>ROUND(SUM(I5:I9),1)</x:f>
        <x:v>2045.5</x:v>
      </x:c>
      <x:c r="J10" s="30"/>
      <x:c r="K10" s="30"/>
    </x:row>
    <x:row r="11">
      <x:c r="A11" s="31" t="str">
        <x:v>均值</x:v>
      </x:c>
      <x:c r="B11" s="30"/>
      <x:c r="C11" s="30"/>
      <x:c r="D11" s="30"/>
      <x:c r="E11" s="30"/>
      <x:c r="F11" s="30"/>
      <x:c r="G11" s="30"/>
      <x:c r="H11" s="30"/>
      <x:c r="I11" s="34" t="n">
        <x:f>ROUND(IFERROR(AVERAGE(I5:I9),0),1)</x:f>
        <x:v>409.1</x:v>
      </x:c>
      <x:c r="J11" s="30"/>
      <x:c r="K11" s="30"/>
    </x:row>
    <x:row r="13">
      <x:c r="A13" s="17" t="str">
        <x:v>中证500</x:v>
      </x:c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</x:row>
    <x:row r="14">
      <x:c r="A14" s="20" t="str">
        <x:v>序号</x:v>
      </x:c>
      <x:c r="B14" s="20" t="str">
        <x:v>周期</x:v>
      </x:c>
      <x:c r="C14" s="20" t="str">
        <x:v>开盘</x:v>
      </x:c>
      <x:c r="D14" s="20" t="str">
        <x:v>高点</x:v>
      </x:c>
      <x:c r="E14" s="20" t="str">
        <x:v>低点</x:v>
      </x:c>
      <x:c r="F14" s="20" t="str">
        <x:v>收盘</x:v>
      </x:c>
      <x:c r="G14" s="20" t="str">
        <x:v>涨跌点数</x:v>
      </x:c>
      <x:c r="H14" s="20" t="str">
        <x:v>涨幅</x:v>
      </x:c>
      <x:c r="I14" s="20" t="str">
        <x:v>振幅</x:v>
      </x:c>
      <x:c r="J14" s="20" t="str">
        <x:v>标的</x:v>
      </x:c>
      <x:c r="K14" s="20" t="str">
        <x:v>交易日</x:v>
      </x:c>
    </x:row>
    <x:row r="15">
      <x:c r="A15" s="22" t="n">
        <x:v>1</x:v>
      </x:c>
      <x:c r="B15" s="22" t="str">
        <x:v>8月3日-8月7日</x:v>
      </x:c>
      <x:c r="C15" s="23" t="n">
        <x:v>7457.12</x:v>
      </x:c>
      <x:c r="D15" s="23" t="n">
        <x:v>7983.17</x:v>
      </x:c>
      <x:c r="E15" s="23" t="n">
        <x:v>7397.94</x:v>
      </x:c>
      <x:c r="F15" s="23" t="n">
        <x:v>7980.12</x:v>
      </x:c>
      <x:c r="G15" s="23"/>
      <x:c r="H15" s="24"/>
      <x:c r="I15" s="26" t="n">
        <x:f>ROUND(D15-E15,1)</x:f>
        <x:v>585.2</x:v>
      </x:c>
      <x:c r="J15" s="22" t="str">
        <x:v>中证500</x:v>
      </x:c>
      <x:c r="K15" s="22" t="n">
        <x:v>5</x:v>
      </x:c>
    </x:row>
    <x:row r="16">
      <x:c r="A16" s="22" t="n">
        <x:v>2</x:v>
      </x:c>
      <x:c r="B16" s="22" t="str">
        <x:v>8月10日-8月14日</x:v>
      </x:c>
      <x:c r="C16" s="23" t="n">
        <x:v>8003.92</x:v>
      </x:c>
      <x:c r="D16" s="23" t="n">
        <x:v>8142.33</x:v>
      </x:c>
      <x:c r="E16" s="23" t="n">
        <x:v>7897.24</x:v>
      </x:c>
      <x:c r="F16" s="23" t="n">
        <x:v>7990.33</x:v>
      </x:c>
      <x:c r="G16" s="23" t="n">
        <x:f>ROUND(F16-F15,1)</x:f>
        <x:v>10.2</x:v>
      </x:c>
      <x:c r="H16" s="24" t="n">
        <x:f>IFERROR(F16/F15-1,"")</x:f>
        <x:v>0.0012794293820144187</x:v>
      </x:c>
      <x:c r="I16" s="26" t="n">
        <x:f>ROUND(D16-E16,1)</x:f>
        <x:v>245.1</x:v>
      </x:c>
      <x:c r="J16" s="22" t="str">
        <x:v>中证500</x:v>
      </x:c>
      <x:c r="K16" s="22" t="n">
        <x:v>5</x:v>
      </x:c>
    </x:row>
    <x:row r="17">
      <x:c r="A17" s="22" t="n">
        <x:v>3</x:v>
      </x:c>
      <x:c r="B17" s="22" t="str">
        <x:v>8月17日-8月21日</x:v>
      </x:c>
      <x:c r="C17" s="23" t="n">
        <x:v>8007.87</x:v>
      </x:c>
      <x:c r="D17" s="23" t="n">
        <x:v>8211.31</x:v>
      </x:c>
      <x:c r="E17" s="23" t="n">
        <x:v>7756.28</x:v>
      </x:c>
      <x:c r="F17" s="23" t="n">
        <x:v>7854.33</x:v>
      </x:c>
      <x:c r="G17" s="23" t="n">
        <x:f>ROUND(F17-F16,1)</x:f>
        <x:v>-136</x:v>
      </x:c>
      <x:c r="H17" s="24" t="n">
        <x:f>IFERROR(F17/F16-1,"")</x:f>
        <x:v>-0.01702057361836118</x:v>
      </x:c>
      <x:c r="I17" s="26" t="n">
        <x:f>ROUND(D17-E17,1)</x:f>
        <x:v>455</x:v>
      </x:c>
      <x:c r="J17" s="22" t="str">
        <x:v>中证500</x:v>
      </x:c>
      <x:c r="K17" s="22" t="n">
        <x:v>5</x:v>
      </x:c>
    </x:row>
    <x:row r="18">
      <x:c r="A18" s="22" t="n">
        <x:v>4</x:v>
      </x:c>
      <x:c r="B18" s="22" t="str">
        <x:v>8月24日-8月28日</x:v>
      </x:c>
      <x:c r="C18" s="23" t="n">
        <x:v>7861.05</x:v>
      </x:c>
      <x:c r="D18" s="23" t="n">
        <x:v>7986.43</x:v>
      </x:c>
      <x:c r="E18" s="23" t="n">
        <x:v>7572.86</x:v>
      </x:c>
      <x:c r="F18" s="23" t="n">
        <x:v>7895.45</x:v>
      </x:c>
      <x:c r="G18" s="23" t="n">
        <x:f>ROUND(F18-F17,1)</x:f>
        <x:v>41.1</x:v>
      </x:c>
      <x:c r="H18" s="24" t="n">
        <x:f>IFERROR(F18/F17-1,"")</x:f>
        <x:v>0.005235328793162575</x:v>
      </x:c>
      <x:c r="I18" s="26" t="n">
        <x:f>ROUND(D18-E18,1)</x:f>
        <x:v>413.6</x:v>
      </x:c>
      <x:c r="J18" s="22" t="str">
        <x:v>中证500</x:v>
      </x:c>
      <x:c r="K18" s="22" t="n">
        <x:v>5</x:v>
      </x:c>
    </x:row>
    <x:row r="19">
      <x:c r="A19" s="22" t="n">
        <x:v>5</x:v>
      </x:c>
      <x:c r="B19" s="22" t="str">
        <x:v>8月31日</x:v>
      </x:c>
      <x:c r="C19" s="23" t="n">
        <x:v>7797.23</x:v>
      </x:c>
      <x:c r="D19" s="23" t="n">
        <x:v>7953.93</x:v>
      </x:c>
      <x:c r="E19" s="23" t="n">
        <x:v>7764.98</x:v>
      </x:c>
      <x:c r="F19" s="23" t="n">
        <x:v>7952.1</x:v>
      </x:c>
      <x:c r="G19" s="23" t="n">
        <x:f>ROUND(F19-F18,1)</x:f>
        <x:v>56.7</x:v>
      </x:c>
      <x:c r="H19" s="24" t="n">
        <x:f>IFERROR(F19/F18-1,"")</x:f>
        <x:v>0.007175018523326804</x:v>
      </x:c>
      <x:c r="I19" s="26" t="n">
        <x:f>ROUND(D19-E19,1)</x:f>
        <x:v>189</x:v>
      </x:c>
      <x:c r="J19" s="22" t="str">
        <x:v>中证500</x:v>
      </x:c>
      <x:c r="K19" s="22" t="n">
        <x:v>1</x:v>
      </x:c>
    </x:row>
    <x:row r="20">
      <x:c r="A20" s="31" t="str">
        <x:v>合计</x:v>
      </x:c>
      <x:c r="B20" s="30" t="n">
        <x:v>5</x:v>
      </x:c>
      <x:c r="C20" s="30"/>
      <x:c r="D20" s="30"/>
      <x:c r="E20" s="30"/>
      <x:c r="F20" s="30"/>
      <x:c r="G20" s="30"/>
      <x:c r="H20" s="30"/>
      <x:c r="I20" s="32" t="n">
        <x:f>ROUND(SUM(I15:I19),1)</x:f>
        <x:v>1887.9</x:v>
      </x:c>
      <x:c r="J20" s="30"/>
      <x:c r="K20" s="30"/>
    </x:row>
    <x:row r="21">
      <x:c r="A21" s="31" t="str">
        <x:v>均值</x:v>
      </x:c>
      <x:c r="B21" s="30"/>
      <x:c r="C21" s="30"/>
      <x:c r="D21" s="30"/>
      <x:c r="E21" s="30"/>
      <x:c r="F21" s="30"/>
      <x:c r="G21" s="30"/>
      <x:c r="H21" s="30"/>
      <x:c r="I21" s="34" t="n">
        <x:f>ROUND(IFERROR(AVERAGE(I15:I19),0),1)</x:f>
        <x:v>377.6</x:v>
      </x:c>
      <x:c r="J21" s="30"/>
      <x:c r="K21" s="30"/>
    </x:row>
    <x:row r="23">
      <x:c r="A23" s="17" t="str">
        <x:v>上证指数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2" t="n">
        <x:v>1</x:v>
      </x:c>
      <x:c r="B25" s="22" t="str">
        <x:v>8月3日-8月7日</x:v>
      </x:c>
      <x:c r="C25" s="23" t="n">
        <x:v>3812.61</x:v>
      </x:c>
      <x:c r="D25" s="23" t="n">
        <x:v>3940.93</x:v>
      </x:c>
      <x:c r="E25" s="23" t="n">
        <x:v>3797.64</x:v>
      </x:c>
      <x:c r="F25" s="23" t="n">
        <x:v>3940.04</x:v>
      </x:c>
      <x:c r="G25" s="23"/>
      <x:c r="H25" s="24"/>
      <x:c r="I25" s="26" t="n">
        <x:f>ROUND(D25-E25,1)</x:f>
        <x:v>143.3</x:v>
      </x:c>
      <x:c r="J25" s="22" t="str">
        <x:v>上证指数</x:v>
      </x:c>
      <x:c r="K25" s="22" t="n">
        <x:v>5</x:v>
      </x:c>
    </x:row>
    <x:row r="26">
      <x:c r="A26" s="22" t="n">
        <x:v>2</x:v>
      </x:c>
      <x:c r="B26" s="22" t="str">
        <x:v>8月10日-8月14日</x:v>
      </x:c>
      <x:c r="C26" s="23" t="n">
        <x:v>3943.82</x:v>
      </x:c>
      <x:c r="D26" s="23" t="n">
        <x:v>3968.48</x:v>
      </x:c>
      <x:c r="E26" s="23" t="n">
        <x:v>3903.7</x:v>
      </x:c>
      <x:c r="F26" s="23" t="n">
        <x:v>3927.18</x:v>
      </x:c>
      <x:c r="G26" s="23" t="n">
        <x:f>ROUND(F26-F25,1)</x:f>
        <x:v>-12.9</x:v>
      </x:c>
      <x:c r="H26" s="24" t="n">
        <x:f>IFERROR(F26/F25-1,"")</x:f>
        <x:v>-0.003263926254555849</x:v>
      </x:c>
      <x:c r="I26" s="26" t="n">
        <x:f>ROUND(D26-E26,1)</x:f>
        <x:v>64.8</x:v>
      </x:c>
      <x:c r="J26" s="22" t="str">
        <x:v>上证指数</x:v>
      </x:c>
      <x:c r="K26" s="22" t="n">
        <x:v>5</x:v>
      </x:c>
    </x:row>
    <x:row r="27">
      <x:c r="A27" s="22" t="n">
        <x:v>3</x:v>
      </x:c>
      <x:c r="B27" s="22" t="str">
        <x:v>8月17日-8月21日</x:v>
      </x:c>
      <x:c r="C27" s="23" t="n">
        <x:v>3930.1</x:v>
      </x:c>
      <x:c r="D27" s="23" t="n">
        <x:v>3994.18</x:v>
      </x:c>
      <x:c r="E27" s="23" t="n">
        <x:v>3879.58</x:v>
      </x:c>
      <x:c r="F27" s="23" t="n">
        <x:v>3905.2</x:v>
      </x:c>
      <x:c r="G27" s="23" t="n">
        <x:f>ROUND(F27-F26,1)</x:f>
        <x:v>-22</x:v>
      </x:c>
      <x:c r="H27" s="24" t="n">
        <x:f>IFERROR(F27/F26-1,"")</x:f>
        <x:v>-0.00559689140808417</x:v>
      </x:c>
      <x:c r="I27" s="26" t="n">
        <x:f>ROUND(D27-E27,1)</x:f>
        <x:v>114.6</x:v>
      </x:c>
      <x:c r="J27" s="22" t="str">
        <x:v>上证指数</x:v>
      </x:c>
      <x:c r="K27" s="22" t="n">
        <x:v>5</x:v>
      </x:c>
    </x:row>
    <x:row r="28">
      <x:c r="A28" s="22" t="n">
        <x:v>4</x:v>
      </x:c>
      <x:c r="B28" s="22" t="str">
        <x:v>8月24日-8月28日</x:v>
      </x:c>
      <x:c r="C28" s="23" t="n">
        <x:v>3902.7</x:v>
      </x:c>
      <x:c r="D28" s="23" t="n">
        <x:v>3970.31</x:v>
      </x:c>
      <x:c r="E28" s="23" t="n">
        <x:v>3850.86</x:v>
      </x:c>
      <x:c r="F28" s="23" t="n">
        <x:v>3952.18</x:v>
      </x:c>
      <x:c r="G28" s="23" t="n">
        <x:f>ROUND(F28-F27,1)</x:f>
        <x:v>47</x:v>
      </x:c>
      <x:c r="H28" s="24" t="n">
        <x:f>IFERROR(F28/F27-1,"")</x:f>
        <x:v>0.012030113694561084</x:v>
      </x:c>
      <x:c r="I28" s="26" t="n">
        <x:f>ROUND(D28-E28,1)</x:f>
        <x:v>119.4</x:v>
      </x:c>
      <x:c r="J28" s="22" t="str">
        <x:v>上证指数</x:v>
      </x:c>
      <x:c r="K28" s="22" t="n">
        <x:v>5</x:v>
      </x:c>
    </x:row>
    <x:row r="29">
      <x:c r="A29" s="22" t="n">
        <x:v>5</x:v>
      </x:c>
      <x:c r="B29" s="22" t="str">
        <x:v>8月31日</x:v>
      </x:c>
      <x:c r="C29" s="23" t="n">
        <x:v>3926.53</x:v>
      </x:c>
      <x:c r="D29" s="23" t="n">
        <x:v>3986.3</x:v>
      </x:c>
      <x:c r="E29" s="23" t="n">
        <x:v>3926.5</x:v>
      </x:c>
      <x:c r="F29" s="23" t="n">
        <x:v>3986.3</x:v>
      </x:c>
      <x:c r="G29" s="23" t="n">
        <x:f>ROUND(F29-F28,1)</x:f>
        <x:v>34.1</x:v>
      </x:c>
      <x:c r="H29" s="24" t="n">
        <x:f>IFERROR(F29/F28-1,"")</x:f>
        <x:v>0.008633210025859261</x:v>
      </x:c>
      <x:c r="I29" s="26" t="n">
        <x:f>ROUND(D29-E29,1)</x:f>
        <x:v>59.8</x:v>
      </x:c>
      <x:c r="J29" s="22" t="str">
        <x:v>上证指数</x:v>
      </x:c>
      <x:c r="K29" s="22" t="n">
        <x:v>1</x:v>
      </x:c>
    </x:row>
    <x:row r="30">
      <x:c r="A30" s="31" t="str">
        <x:v>合计</x:v>
      </x:c>
      <x:c r="B30" s="30" t="n">
        <x:v>5</x:v>
      </x:c>
      <x:c r="C30" s="30"/>
      <x:c r="D30" s="30"/>
      <x:c r="E30" s="30"/>
      <x:c r="F30" s="30"/>
      <x:c r="G30" s="30"/>
      <x:c r="H30" s="30"/>
      <x:c r="I30" s="32" t="n">
        <x:f>ROUND(SUM(I25:I29),1)</x:f>
        <x:v>501.9</x:v>
      </x:c>
      <x:c r="J30" s="30"/>
      <x:c r="K30" s="30"/>
    </x:row>
    <x:row r="31">
      <x:c r="A31" s="31" t="str">
        <x:v>均值</x:v>
      </x:c>
      <x:c r="B31" s="30"/>
      <x:c r="C31" s="30"/>
      <x:c r="D31" s="30"/>
      <x:c r="E31" s="30"/>
      <x:c r="F31" s="30"/>
      <x:c r="G31" s="30"/>
      <x:c r="H31" s="30"/>
      <x:c r="I31" s="34" t="n">
        <x:f>ROUND(IFERROR(AVERAGE(I25:I29),0),1)</x:f>
        <x:v>100.4</x:v>
      </x:c>
      <x:c r="J31" s="30"/>
      <x:c r="K31" s="30"/>
    </x:row>
    <x:row r="33">
      <x:c r="A33" s="17" t="str">
        <x:v>IM主力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8月3日-8月7日</x:v>
      </x:c>
      <x:c r="C35" s="23" t="n">
        <x:v>7000</x:v>
      </x:c>
      <x:c r="D35" s="23" t="n">
        <x:v>7594.2</x:v>
      </x:c>
      <x:c r="E35" s="23" t="n">
        <x:v>6976</x:v>
      </x:c>
      <x:c r="F35" s="23" t="n">
        <x:v>7590.6</x:v>
      </x:c>
      <x:c r="G35" s="23"/>
      <x:c r="H35" s="24"/>
      <x:c r="I35" s="26" t="n">
        <x:f>ROUND(D35-E35,1)</x:f>
        <x:v>618.2</x:v>
      </x:c>
      <x:c r="J35" s="22" t="str">
        <x:v>IM2609</x:v>
      </x:c>
      <x:c r="K35" s="22" t="n">
        <x:v>5</x:v>
      </x:c>
    </x:row>
    <x:row r="36">
      <x:c r="A36" s="22" t="n">
        <x:v>2</x:v>
      </x:c>
      <x:c r="B36" s="22" t="str">
        <x:v>8月10日-8月14日</x:v>
      </x:c>
      <x:c r="C36" s="23" t="n">
        <x:v>7628.8</x:v>
      </x:c>
      <x:c r="D36" s="23" t="n">
        <x:v>7776</x:v>
      </x:c>
      <x:c r="E36" s="23" t="n">
        <x:v>7525</x:v>
      </x:c>
      <x:c r="F36" s="23" t="n">
        <x:v>7650.2</x:v>
      </x:c>
      <x:c r="G36" s="23" t="n">
        <x:f>ROUND(F36-F35,1)</x:f>
        <x:v>59.6</x:v>
      </x:c>
      <x:c r="H36" s="24" t="n">
        <x:f>IFERROR(F36/F35-1,"")</x:f>
        <x:v>0.007851816720680693</x:v>
      </x:c>
      <x:c r="I36" s="26" t="n">
        <x:f>ROUND(D36-E36,1)</x:f>
        <x:v>251</x:v>
      </x:c>
      <x:c r="J36" s="22" t="str">
        <x:v>IM2609</x:v>
      </x:c>
      <x:c r="K36" s="22" t="n">
        <x:v>5</x:v>
      </x:c>
    </x:row>
    <x:row r="37">
      <x:c r="A37" s="22" t="n">
        <x:v>3</x:v>
      </x:c>
      <x:c r="B37" s="22" t="str">
        <x:v>8月17日-8月21日</x:v>
      </x:c>
      <x:c r="C37" s="23" t="n">
        <x:v>7675</x:v>
      </x:c>
      <x:c r="D37" s="23" t="n">
        <x:v>7882.8</x:v>
      </x:c>
      <x:c r="E37" s="23" t="n">
        <x:v>7410</x:v>
      </x:c>
      <x:c r="F37" s="23" t="n">
        <x:v>7527</x:v>
      </x:c>
      <x:c r="G37" s="23" t="n">
        <x:f>ROUND(F37-F36,1)</x:f>
        <x:v>-123.2</x:v>
      </x:c>
      <x:c r="H37" s="24" t="n">
        <x:f>IFERROR(F37/F36-1,"")</x:f>
        <x:v>-0.016104154139761073</x:v>
      </x:c>
      <x:c r="I37" s="26" t="n">
        <x:f>ROUND(D37-E37,1)</x:f>
        <x:v>472.8</x:v>
      </x:c>
      <x:c r="J37" s="22" t="str">
        <x:v>IM2609</x:v>
      </x:c>
      <x:c r="K37" s="22" t="n">
        <x:v>5</x:v>
      </x:c>
    </x:row>
    <x:row r="38">
      <x:c r="A38" s="22" t="n">
        <x:v>4</x:v>
      </x:c>
      <x:c r="B38" s="22" t="str">
        <x:v>8月24日-8月28日</x:v>
      </x:c>
      <x:c r="C38" s="23" t="n">
        <x:v>7534.8</x:v>
      </x:c>
      <x:c r="D38" s="23" t="n">
        <x:v>7753.8</x:v>
      </x:c>
      <x:c r="E38" s="23" t="n">
        <x:v>7300.2</x:v>
      </x:c>
      <x:c r="F38" s="23" t="n">
        <x:v>7666.6</x:v>
      </x:c>
      <x:c r="G38" s="23" t="n">
        <x:f>ROUND(F38-F37,1)</x:f>
        <x:v>139.6</x:v>
      </x:c>
      <x:c r="H38" s="24" t="n">
        <x:f>IFERROR(F38/F37-1,"")</x:f>
        <x:v>0.01854656569682489</x:v>
      </x:c>
      <x:c r="I38" s="26" t="n">
        <x:f>ROUND(D38-E38,1)</x:f>
        <x:v>453.6</x:v>
      </x:c>
      <x:c r="J38" s="22" t="str">
        <x:v>IM2609</x:v>
      </x:c>
      <x:c r="K38" s="22" t="n">
        <x:v>5</x:v>
      </x:c>
    </x:row>
    <x:row r="39">
      <x:c r="A39" s="31" t="str">
        <x:v>合计</x:v>
      </x:c>
      <x:c r="B39" s="30" t="n">
        <x:v>4</x:v>
      </x:c>
      <x:c r="C39" s="30"/>
      <x:c r="D39" s="30"/>
      <x:c r="E39" s="30"/>
      <x:c r="F39" s="30"/>
      <x:c r="G39" s="30"/>
      <x:c r="H39" s="30"/>
      <x:c r="I39" s="32" t="n">
        <x:f>ROUND(SUM(I35:I38),1)</x:f>
        <x:v>1795.6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ROUND(IFERROR(AVERAGE(I35:I38),0),1)</x:f>
        <x:v>448.9</x:v>
      </x:c>
      <x:c r="J40" s="30"/>
      <x:c r="K40" s="30"/>
    </x:row>
    <x:row r="42">
      <x:c r="A42" s="17" t="str">
        <x:v>IC主力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8月3日-8月7日</x:v>
      </x:c>
      <x:c r="C44" s="23" t="n">
        <x:v>7391</x:v>
      </x:c>
      <x:c r="D44" s="23" t="n">
        <x:v>7882.6</x:v>
      </x:c>
      <x:c r="E44" s="23" t="n">
        <x:v>7335</x:v>
      </x:c>
      <x:c r="F44" s="23" t="n">
        <x:v>7877.8</x:v>
      </x:c>
      <x:c r="G44" s="23"/>
      <x:c r="H44" s="24"/>
      <x:c r="I44" s="26" t="n">
        <x:f>ROUND(D44-E44,1)</x:f>
        <x:v>547.6</x:v>
      </x:c>
      <x:c r="J44" s="22" t="str">
        <x:v>IC2609</x:v>
      </x:c>
      <x:c r="K44" s="22" t="n">
        <x:v>5</x:v>
      </x:c>
    </x:row>
    <x:row r="45">
      <x:c r="A45" s="22" t="n">
        <x:v>2</x:v>
      </x:c>
      <x:c r="B45" s="22" t="str">
        <x:v>8月10日-8月14日</x:v>
      </x:c>
      <x:c r="C45" s="23" t="n">
        <x:v>7888</x:v>
      </x:c>
      <x:c r="D45" s="23" t="n">
        <x:v>8024</x:v>
      </x:c>
      <x:c r="E45" s="23" t="n">
        <x:v>7795.8</x:v>
      </x:c>
      <x:c r="F45" s="23" t="n">
        <x:v>7861.2</x:v>
      </x:c>
      <x:c r="G45" s="23" t="n">
        <x:f>ROUND(F45-F44,1)</x:f>
        <x:v>-16.6</x:v>
      </x:c>
      <x:c r="H45" s="24" t="n">
        <x:f>IFERROR(F45/F44-1,"")</x:f>
        <x:v>-0.0021071872857905127</x:v>
      </x:c>
      <x:c r="I45" s="26" t="n">
        <x:f>ROUND(D45-E45,1)</x:f>
        <x:v>228.2</x:v>
      </x:c>
      <x:c r="J45" s="22" t="str">
        <x:v>IC2609</x:v>
      </x:c>
      <x:c r="K45" s="22" t="n">
        <x:v>5</x:v>
      </x:c>
    </x:row>
    <x:row r="46">
      <x:c r="A46" s="22" t="n">
        <x:v>3</x:v>
      </x:c>
      <x:c r="B46" s="22" t="str">
        <x:v>8月17日-8月21日</x:v>
      </x:c>
      <x:c r="C46" s="23" t="n">
        <x:v>7885</x:v>
      </x:c>
      <x:c r="D46" s="23" t="n">
        <x:v>8091.8</x:v>
      </x:c>
      <x:c r="E46" s="23" t="n">
        <x:v>7669.6</x:v>
      </x:c>
      <x:c r="F46" s="23" t="n">
        <x:v>7762</x:v>
      </x:c>
      <x:c r="G46" s="23" t="n">
        <x:f>ROUND(F46-F45,1)</x:f>
        <x:v>-99.2</x:v>
      </x:c>
      <x:c r="H46" s="24" t="n">
        <x:f>IFERROR(F46/F45-1,"")</x:f>
        <x:v>-0.012618938584439965</x:v>
      </x:c>
      <x:c r="I46" s="26" t="n">
        <x:f>ROUND(D46-E46,1)</x:f>
        <x:v>422.2</x:v>
      </x:c>
      <x:c r="J46" s="22" t="str">
        <x:v>IC2609</x:v>
      </x:c>
      <x:c r="K46" s="22" t="n">
        <x:v>5</x:v>
      </x:c>
    </x:row>
    <x:row r="47">
      <x:c r="A47" s="22" t="n">
        <x:v>4</x:v>
      </x:c>
      <x:c r="B47" s="22" t="str">
        <x:v>8月24日-8月28日</x:v>
      </x:c>
      <x:c r="C47" s="23" t="n">
        <x:v>7757</x:v>
      </x:c>
      <x:c r="D47" s="23" t="n">
        <x:v>7931</x:v>
      </x:c>
      <x:c r="E47" s="23" t="n">
        <x:v>7496</x:v>
      </x:c>
      <x:c r="F47" s="23" t="n">
        <x:v>7853.8</x:v>
      </x:c>
      <x:c r="G47" s="23" t="n">
        <x:f>ROUND(F47-F46,1)</x:f>
        <x:v>91.8</x:v>
      </x:c>
      <x:c r="H47" s="24" t="n">
        <x:f>IFERROR(F47/F46-1,"")</x:f>
        <x:v>0.011826848750322139</x:v>
      </x:c>
      <x:c r="I47" s="26" t="n">
        <x:f>ROUND(D47-E47,1)</x:f>
        <x:v>435</x:v>
      </x:c>
      <x:c r="J47" s="22" t="str">
        <x:v>IC2609</x:v>
      </x:c>
      <x:c r="K47" s="22" t="n">
        <x:v>5</x:v>
      </x:c>
    </x:row>
    <x:row r="48">
      <x:c r="A48" s="31" t="str">
        <x:v>合计</x:v>
      </x:c>
      <x:c r="B48" s="30" t="n">
        <x:v>4</x:v>
      </x:c>
      <x:c r="C48" s="30"/>
      <x:c r="D48" s="30"/>
      <x:c r="E48" s="30"/>
      <x:c r="F48" s="30"/>
      <x:c r="G48" s="30"/>
      <x:c r="H48" s="30"/>
      <x:c r="I48" s="32" t="n">
        <x:f>ROUND(SUM(I44:I47),1)</x:f>
        <x:v>1633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ROUND(IFERROR(AVERAGE(I44:I47),0),1)</x:f>
        <x:v>408.3</x:v>
      </x:c>
      <x:c r="J49" s="30"/>
      <x:c r="K49" s="30"/>
    </x:row>
    <x:row r="51">
      <x:c r="A51" s="17" t="str">
        <x:v>IF主力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8月3日-8月7日</x:v>
      </x:c>
      <x:c r="C53" s="23" t="n">
        <x:v>4526.4</x:v>
      </x:c>
      <x:c r="D53" s="23" t="n">
        <x:v>4656.2</x:v>
      </x:c>
      <x:c r="E53" s="23" t="n">
        <x:v>4494.2</x:v>
      </x:c>
      <x:c r="F53" s="23" t="n">
        <x:v>4645.6</x:v>
      </x:c>
      <x:c r="G53" s="23"/>
      <x:c r="H53" s="24"/>
      <x:c r="I53" s="26" t="n">
        <x:f>ROUND(D53-E53,1)</x:f>
        <x:v>162</x:v>
      </x:c>
      <x:c r="J53" s="22" t="str">
        <x:v>IF2609</x:v>
      </x:c>
      <x:c r="K53" s="22" t="n">
        <x:v>5</x:v>
      </x:c>
    </x:row>
    <x:row r="54">
      <x:c r="A54" s="22" t="n">
        <x:v>2</x:v>
      </x:c>
      <x:c r="B54" s="22" t="str">
        <x:v>8月10日-8月14日</x:v>
      </x:c>
      <x:c r="C54" s="23" t="n">
        <x:v>4656.8</x:v>
      </x:c>
      <x:c r="D54" s="23" t="n">
        <x:v>4681</x:v>
      </x:c>
      <x:c r="E54" s="23" t="n">
        <x:v>4598</x:v>
      </x:c>
      <x:c r="F54" s="23" t="n">
        <x:v>4620.4</x:v>
      </x:c>
      <x:c r="G54" s="23" t="n">
        <x:f>ROUND(F54-F53,1)</x:f>
        <x:v>-25.2</x:v>
      </x:c>
      <x:c r="H54" s="24" t="n">
        <x:f>IFERROR(F54/F53-1,"")</x:f>
        <x:v>-0.005424487687274104</x:v>
      </x:c>
      <x:c r="I54" s="23" t="n">
        <x:f>ROUND(D54-E54,1)</x:f>
        <x:v>83</x:v>
      </x:c>
      <x:c r="J54" s="22" t="str">
        <x:v>IF2609</x:v>
      </x:c>
      <x:c r="K54" s="22" t="n">
        <x:v>5</x:v>
      </x:c>
    </x:row>
    <x:row r="55">
      <x:c r="A55" s="22" t="n">
        <x:v>3</x:v>
      </x:c>
      <x:c r="B55" s="22" t="str">
        <x:v>8月17日-8月21日</x:v>
      </x:c>
      <x:c r="C55" s="23" t="n">
        <x:v>4624</x:v>
      </x:c>
      <x:c r="D55" s="23" t="n">
        <x:v>4700.6</x:v>
      </x:c>
      <x:c r="E55" s="23" t="n">
        <x:v>4531.8</x:v>
      </x:c>
      <x:c r="F55" s="23" t="n">
        <x:v>4576</x:v>
      </x:c>
      <x:c r="G55" s="23" t="n">
        <x:f>ROUND(F55-F54,1)</x:f>
        <x:v>-44.4</x:v>
      </x:c>
      <x:c r="H55" s="24" t="n">
        <x:f>IFERROR(F55/F54-1,"")</x:f>
        <x:v>-0.00960955761405935</x:v>
      </x:c>
      <x:c r="I55" s="26" t="n">
        <x:f>ROUND(D55-E55,1)</x:f>
        <x:v>168.8</x:v>
      </x:c>
      <x:c r="J55" s="22" t="str">
        <x:v>IF2609</x:v>
      </x:c>
      <x:c r="K55" s="22" t="n">
        <x:v>5</x:v>
      </x:c>
    </x:row>
    <x:row r="56">
      <x:c r="A56" s="22" t="n">
        <x:v>4</x:v>
      </x:c>
      <x:c r="B56" s="22" t="str">
        <x:v>8月24日-8月28日</x:v>
      </x:c>
      <x:c r="C56" s="23" t="n">
        <x:v>4607.4</x:v>
      </x:c>
      <x:c r="D56" s="23" t="n">
        <x:v>4620</x:v>
      </x:c>
      <x:c r="E56" s="23" t="n">
        <x:v>4486.4</x:v>
      </x:c>
      <x:c r="F56" s="23" t="n">
        <x:v>4593.6</x:v>
      </x:c>
      <x:c r="G56" s="23" t="n">
        <x:f>ROUND(F56-F55,1)</x:f>
        <x:v>17.6</x:v>
      </x:c>
      <x:c r="H56" s="24" t="n">
        <x:f>IFERROR(F56/F55-1,"")</x:f>
        <x:v>0.0038461538461538325</x:v>
      </x:c>
      <x:c r="I56" s="26" t="n">
        <x:f>ROUND(D56-E56,1)</x:f>
        <x:v>133.6</x:v>
      </x:c>
      <x:c r="J56" s="22" t="str">
        <x:v>IF2609</x:v>
      </x:c>
      <x:c r="K56" s="22" t="n">
        <x:v>5</x:v>
      </x:c>
    </x:row>
    <x:row r="57">
      <x:c r="A57" s="22" t="n">
        <x:v>5</x:v>
      </x:c>
      <x:c r="B57" s="22" t="str">
        <x:v>8月31日</x:v>
      </x:c>
      <x:c r="C57" s="23" t="n">
        <x:v>4553</x:v>
      </x:c>
      <x:c r="D57" s="23" t="n">
        <x:v>4608.6</x:v>
      </x:c>
      <x:c r="E57" s="23" t="n">
        <x:v>4530</x:v>
      </x:c>
      <x:c r="F57" s="23" t="n">
        <x:v>4601.6</x:v>
      </x:c>
      <x:c r="G57" s="23" t="n">
        <x:f>ROUND(F57-F56,1)</x:f>
        <x:v>8</x:v>
      </x:c>
      <x:c r="H57" s="24" t="n">
        <x:f>IFERROR(F57/F56-1,"")</x:f>
        <x:v>0.0017415534656914922</x:v>
      </x:c>
      <x:c r="I57" s="23" t="n">
        <x:f>ROUND(D57-E57,1)</x:f>
        <x:v>78.6</x:v>
      </x:c>
      <x:c r="J57" s="22" t="str">
        <x:v>IF2609</x:v>
      </x:c>
      <x:c r="K57" s="22" t="n">
        <x:v>1</x:v>
      </x:c>
    </x:row>
    <x:row r="58">
      <x:c r="A58" s="31" t="str">
        <x:v>合计</x:v>
      </x:c>
      <x:c r="B58" s="30" t="n">
        <x:v>5</x:v>
      </x:c>
      <x:c r="C58" s="30"/>
      <x:c r="D58" s="30"/>
      <x:c r="E58" s="30"/>
      <x:c r="F58" s="30"/>
      <x:c r="G58" s="30"/>
      <x:c r="H58" s="30"/>
      <x:c r="I58" s="32" t="n">
        <x:f>ROUND(SUM(I53:I57),1)</x:f>
        <x:v>626</x:v>
      </x:c>
      <x:c r="J58" s="30"/>
      <x:c r="K58" s="30"/>
    </x:row>
    <x:row r="59">
      <x:c r="A59" s="31" t="str">
        <x:v>均值</x:v>
      </x:c>
      <x:c r="B59" s="30"/>
      <x:c r="C59" s="30"/>
      <x:c r="D59" s="30"/>
      <x:c r="E59" s="30"/>
      <x:c r="F59" s="30"/>
      <x:c r="G59" s="30"/>
      <x:c r="H59" s="30"/>
      <x:c r="I59" s="34" t="n">
        <x:f>ROUND(IFERROR(AVERAGE(I53:I57),0),1)</x:f>
        <x:v>125.2</x:v>
      </x:c>
      <x:c r="J59" s="30"/>
      <x:c r="K59" s="30"/>
    </x:row>
    <x:row r="61">
      <x:c r="A61" s="17" t="str">
        <x:v>IH主力</x:v>
      </x:c>
      <x:c r="B61" s="17"/>
      <x:c r="C61" s="17"/>
      <x:c r="D61" s="17"/>
      <x:c r="E61" s="17"/>
      <x:c r="F61" s="17"/>
      <x:c r="G61" s="17"/>
      <x:c r="H61" s="17"/>
      <x:c r="I61" s="17"/>
      <x:c r="J61" s="17"/>
      <x:c r="K61" s="17"/>
    </x:row>
    <x:row r="62">
      <x:c r="A62" s="20" t="str">
        <x:v>序号</x:v>
      </x:c>
      <x:c r="B62" s="20" t="str">
        <x:v>周期</x:v>
      </x:c>
      <x:c r="C62" s="20" t="str">
        <x:v>开盘</x:v>
      </x:c>
      <x:c r="D62" s="20" t="str">
        <x:v>高点</x:v>
      </x:c>
      <x:c r="E62" s="20" t="str">
        <x:v>低点</x:v>
      </x:c>
      <x:c r="F62" s="20" t="str">
        <x:v>收盘</x:v>
      </x:c>
      <x:c r="G62" s="20" t="str">
        <x:v>涨跌点数</x:v>
      </x:c>
      <x:c r="H62" s="20" t="str">
        <x:v>涨幅</x:v>
      </x:c>
      <x:c r="I62" s="20" t="str">
        <x:v>振幅</x:v>
      </x:c>
      <x:c r="J62" s="20" t="str">
        <x:v>标的</x:v>
      </x:c>
      <x:c r="K62" s="20" t="str">
        <x:v>交易日</x:v>
      </x:c>
    </x:row>
    <x:row r="63">
      <x:c r="A63" s="22" t="n">
        <x:v>1</x:v>
      </x:c>
      <x:c r="B63" s="22" t="str">
        <x:v>8月3日-8月7日</x:v>
      </x:c>
      <x:c r="C63" s="23" t="n">
        <x:v>2882.4</x:v>
      </x:c>
      <x:c r="D63" s="23" t="n">
        <x:v>2930.6</x:v>
      </x:c>
      <x:c r="E63" s="23" t="n">
        <x:v>2845.8</x:v>
      </x:c>
      <x:c r="F63" s="23" t="n">
        <x:v>2930</x:v>
      </x:c>
      <x:c r="G63" s="23"/>
      <x:c r="H63" s="24"/>
      <x:c r="I63" s="26" t="n">
        <x:f>ROUND(D63-E63,1)</x:f>
        <x:v>84.8</x:v>
      </x:c>
      <x:c r="J63" s="22" t="str">
        <x:v>IH2609</x:v>
      </x:c>
      <x:c r="K63" s="22" t="n">
        <x:v>5</x:v>
      </x:c>
    </x:row>
    <x:row r="64">
      <x:c r="A64" s="22" t="n">
        <x:v>2</x:v>
      </x:c>
      <x:c r="B64" s="22" t="str">
        <x:v>8月10日-8月14日</x:v>
      </x:c>
      <x:c r="C64" s="23" t="n">
        <x:v>2930</x:v>
      </x:c>
      <x:c r="D64" s="23" t="n">
        <x:v>2949.6</x:v>
      </x:c>
      <x:c r="E64" s="23" t="n">
        <x:v>2877</x:v>
      </x:c>
      <x:c r="F64" s="23" t="n">
        <x:v>2890</x:v>
      </x:c>
      <x:c r="G64" s="23" t="n">
        <x:f>ROUND(F64-F63,1)</x:f>
        <x:v>-40</x:v>
      </x:c>
      <x:c r="H64" s="24" t="n">
        <x:f>IFERROR(F64/F63-1,"")</x:f>
        <x:v>-0.013651877133105783</x:v>
      </x:c>
      <x:c r="I64" s="26" t="n">
        <x:f>ROUND(D64-E64,1)</x:f>
        <x:v>72.6</x:v>
      </x:c>
      <x:c r="J64" s="22" t="str">
        <x:v>IH2609</x:v>
      </x:c>
      <x:c r="K64" s="22" t="n">
        <x:v>5</x:v>
      </x:c>
    </x:row>
    <x:row r="65">
      <x:c r="A65" s="22" t="n">
        <x:v>3</x:v>
      </x:c>
      <x:c r="B65" s="22" t="str">
        <x:v>8月17日-8月21日</x:v>
      </x:c>
      <x:c r="C65" s="23" t="n">
        <x:v>2886</x:v>
      </x:c>
      <x:c r="D65" s="23" t="n">
        <x:v>2921.2</x:v>
      </x:c>
      <x:c r="E65" s="23" t="n">
        <x:v>2843</x:v>
      </x:c>
      <x:c r="F65" s="23" t="n">
        <x:v>2861</x:v>
      </x:c>
      <x:c r="G65" s="23" t="n">
        <x:f>ROUND(F65-F64,1)</x:f>
        <x:v>-29</x:v>
      </x:c>
      <x:c r="H65" s="24" t="n">
        <x:f>IFERROR(F65/F64-1,"")</x:f>
        <x:v>-0.01003460207612461</x:v>
      </x:c>
      <x:c r="I65" s="26" t="n">
        <x:f>ROUND(D65-E65,1)</x:f>
        <x:v>78.2</x:v>
      </x:c>
      <x:c r="J65" s="22" t="str">
        <x:v>IH2609</x:v>
      </x:c>
      <x:c r="K65" s="22" t="n">
        <x:v>5</x:v>
      </x:c>
    </x:row>
    <x:row r="66">
      <x:c r="A66" s="22" t="n">
        <x:v>4</x:v>
      </x:c>
      <x:c r="B66" s="22" t="str">
        <x:v>8月24日-8月28日</x:v>
      </x:c>
      <x:c r="C66" s="23" t="n">
        <x:v>2856.4</x:v>
      </x:c>
      <x:c r="D66" s="23" t="n">
        <x:v>2918.2</x:v>
      </x:c>
      <x:c r="E66" s="23" t="n">
        <x:v>2837.4</x:v>
      </x:c>
      <x:c r="F66" s="23" t="n">
        <x:v>2911.4</x:v>
      </x:c>
      <x:c r="G66" s="23" t="n">
        <x:f>ROUND(F66-F65,1)</x:f>
        <x:v>50.4</x:v>
      </x:c>
      <x:c r="H66" s="24" t="n">
        <x:f>IFERROR(F66/F65-1,"")</x:f>
        <x:v>0.01761621810555747</x:v>
      </x:c>
      <x:c r="I66" s="26" t="n">
        <x:f>ROUND(D66-E66,1)</x:f>
        <x:v>80.8</x:v>
      </x:c>
      <x:c r="J66" s="22" t="str">
        <x:v>IH2609</x:v>
      </x:c>
      <x:c r="K66" s="22" t="n">
        <x:v>5</x:v>
      </x:c>
    </x:row>
    <x:row r="67">
      <x:c r="A67" s="31" t="str">
        <x:v>合计</x:v>
      </x:c>
      <x:c r="B67" s="30" t="n">
        <x:v>4</x:v>
      </x:c>
      <x:c r="C67" s="30"/>
      <x:c r="D67" s="30"/>
      <x:c r="E67" s="30"/>
      <x:c r="F67" s="30"/>
      <x:c r="G67" s="30"/>
      <x:c r="H67" s="30"/>
      <x:c r="I67" s="32" t="n">
        <x:f>ROUND(SUM(I63:I66),1)</x:f>
        <x:v>316.4</x:v>
      </x:c>
      <x:c r="J67" s="30"/>
      <x:c r="K67" s="30"/>
    </x:row>
    <x:row r="68">
      <x:c r="A68" s="31" t="str">
        <x:v>均值</x:v>
      </x:c>
      <x:c r="B68" s="30"/>
      <x:c r="C68" s="30"/>
      <x:c r="D68" s="30"/>
      <x:c r="E68" s="30"/>
      <x:c r="F68" s="30"/>
      <x:c r="G68" s="30"/>
      <x:c r="H68" s="30"/>
      <x:c r="I68" s="34" t="n">
        <x:f>ROUND(IFERROR(AVERAGE(I63:I66),0),1)</x:f>
        <x:v>79.1</x:v>
      </x:c>
      <x:c r="J68" s="30"/>
      <x:c r="K68" s="30"/>
    </x:row>
    <x:row r="70">
      <x:c r="A70" s="17" t="str">
        <x:v>碳酸锂2609</x:v>
      </x:c>
      <x:c r="B70" s="17"/>
      <x:c r="C70" s="17"/>
      <x:c r="D70" s="17"/>
      <x:c r="E70" s="17"/>
      <x:c r="F70" s="17"/>
      <x:c r="G70" s="17"/>
      <x:c r="H70" s="17"/>
      <x:c r="I70" s="17"/>
      <x:c r="J70" s="17"/>
      <x:c r="K70" s="17"/>
    </x:row>
    <x:row r="71">
      <x:c r="A71" s="20" t="str">
        <x:v>序号</x:v>
      </x:c>
      <x:c r="B71" s="20" t="str">
        <x:v>周期</x:v>
      </x:c>
      <x:c r="C71" s="20" t="str">
        <x:v>开盘</x:v>
      </x:c>
      <x:c r="D71" s="20" t="str">
        <x:v>高点</x:v>
      </x:c>
      <x:c r="E71" s="20" t="str">
        <x:v>低点</x:v>
      </x:c>
      <x:c r="F71" s="20" t="str">
        <x:v>收盘</x:v>
      </x:c>
      <x:c r="G71" s="20" t="str">
        <x:v>涨跌点数</x:v>
      </x:c>
      <x:c r="H71" s="20" t="str">
        <x:v>涨幅</x:v>
      </x:c>
      <x:c r="I71" s="20" t="str">
        <x:v>振幅</x:v>
      </x:c>
      <x:c r="J71" s="20" t="str">
        <x:v>标的</x:v>
      </x:c>
      <x:c r="K71" s="20" t="str">
        <x:v>交易日</x:v>
      </x:c>
    </x:row>
    <x:row r="72">
      <x:c r="A72" s="22" t="n">
        <x:v>1</x:v>
      </x:c>
      <x:c r="B72" s="22" t="str">
        <x:v>8月3日-8月7日</x:v>
      </x:c>
      <x:c r="C72" s="23" t="n">
        <x:v>137500</x:v>
      </x:c>
      <x:c r="D72" s="23" t="n">
        <x:v>144800</x:v>
      </x:c>
      <x:c r="E72" s="23" t="n">
        <x:v>135560</x:v>
      </x:c>
      <x:c r="F72" s="23" t="n">
        <x:v>140000</x:v>
      </x:c>
      <x:c r="G72" s="23"/>
      <x:c r="H72" s="24"/>
      <x:c r="I72" s="26" t="n">
        <x:f>ROUND(D72-E72,1)</x:f>
        <x:v>9240</x:v>
      </x:c>
      <x:c r="J72" s="22" t="str">
        <x:v>LC2609</x:v>
      </x:c>
      <x:c r="K72" s="22" t="n">
        <x:v>5</x:v>
      </x:c>
    </x:row>
    <x:row r="73">
      <x:c r="A73" s="22" t="n">
        <x:v>2</x:v>
      </x:c>
      <x:c r="B73" s="22" t="str">
        <x:v>8月10日-8月14日</x:v>
      </x:c>
      <x:c r="C73" s="23" t="n">
        <x:v>140500</x:v>
      </x:c>
      <x:c r="D73" s="23" t="n">
        <x:v>154500</x:v>
      </x:c>
      <x:c r="E73" s="23" t="n">
        <x:v>139280</x:v>
      </x:c>
      <x:c r="F73" s="23" t="n">
        <x:v>153940</x:v>
      </x:c>
      <x:c r="G73" s="28" t="n">
        <x:f>ROUND(F73-F72,1)</x:f>
        <x:v>13940</x:v>
      </x:c>
      <x:c r="H73" s="24" t="n">
        <x:f>IFERROR(F73/F72-1,"")</x:f>
        <x:v>0.09957142857142864</x:v>
      </x:c>
      <x:c r="I73" s="26" t="n">
        <x:f>ROUND(D73-E73,1)</x:f>
        <x:v>15220</x:v>
      </x:c>
      <x:c r="J73" s="22" t="str">
        <x:v>LC2609</x:v>
      </x:c>
      <x:c r="K73" s="22" t="n">
        <x:v>5</x:v>
      </x:c>
    </x:row>
    <x:row r="74">
      <x:c r="A74" s="22" t="n">
        <x:v>3</x:v>
      </x:c>
      <x:c r="B74" s="22" t="str">
        <x:v>8月17日-8月21日</x:v>
      </x:c>
      <x:c r="C74" s="23" t="n">
        <x:v>154300</x:v>
      </x:c>
      <x:c r="D74" s="23" t="n">
        <x:v>157000</x:v>
      </x:c>
      <x:c r="E74" s="23" t="n">
        <x:v>148400</x:v>
      </x:c>
      <x:c r="F74" s="23" t="n">
        <x:v>156140</x:v>
      </x:c>
      <x:c r="G74" s="28" t="n">
        <x:f>ROUND(F74-F73,1)</x:f>
        <x:v>2200</x:v>
      </x:c>
      <x:c r="H74" s="24" t="n">
        <x:f>IFERROR(F74/F73-1,"")</x:f>
        <x:v>0.014291282317786091</x:v>
      </x:c>
      <x:c r="I74" s="26" t="n">
        <x:f>ROUND(D74-E74,1)</x:f>
        <x:v>8600</x:v>
      </x:c>
      <x:c r="J74" s="22" t="str">
        <x:v>LC2609</x:v>
      </x:c>
      <x:c r="K74" s="22" t="n">
        <x:v>5</x:v>
      </x:c>
    </x:row>
    <x:row r="75">
      <x:c r="A75" s="22" t="n">
        <x:v>4</x:v>
      </x:c>
      <x:c r="B75" s="22" t="str">
        <x:v>8月24日-8月28日</x:v>
      </x:c>
      <x:c r="C75" s="23" t="n">
        <x:v>158500</x:v>
      </x:c>
      <x:c r="D75" s="23" t="n">
        <x:v>160000</x:v>
      </x:c>
      <x:c r="E75" s="23" t="n">
        <x:v>147000</x:v>
      </x:c>
      <x:c r="F75" s="23" t="n">
        <x:v>157080</x:v>
      </x:c>
      <x:c r="G75" s="28" t="n">
        <x:f>ROUND(F75-F74,1)</x:f>
        <x:v>940</x:v>
      </x:c>
      <x:c r="H75" s="24" t="n">
        <x:f>IFERROR(F75/F74-1,"")</x:f>
        <x:v>0.0060202382477263505</x:v>
      </x:c>
      <x:c r="I75" s="26" t="n">
        <x:f>ROUND(D75-E75,1)</x:f>
        <x:v>13000</x:v>
      </x:c>
      <x:c r="J75" s="22" t="str">
        <x:v>LC2609</x:v>
      </x:c>
      <x:c r="K75" s="22" t="n">
        <x:v>5</x:v>
      </x:c>
    </x:row>
    <x:row r="76">
      <x:c r="A76" s="31" t="str">
        <x:v>合计</x:v>
      </x:c>
      <x:c r="B76" s="30" t="n">
        <x:v>4</x:v>
      </x:c>
      <x:c r="C76" s="30"/>
      <x:c r="D76" s="30"/>
      <x:c r="E76" s="30"/>
      <x:c r="F76" s="30"/>
      <x:c r="G76" s="30"/>
      <x:c r="H76" s="30"/>
      <x:c r="I76" s="32" t="n">
        <x:f>ROUND(SUM(I72:I75),1)</x:f>
        <x:v>46060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ROUND(IFERROR(AVERAGE(I72:I75),0),1)</x:f>
        <x:v>11515</x:v>
      </x:c>
      <x:c r="J77" s="30"/>
      <x:c r="K77" s="30"/>
    </x:row>
  </x:sheetData>
  <x:mergeCells>
    <x:mergeCell ref="A1:K1"/>
    <x:mergeCell ref="A3:K3"/>
    <x:mergeCell ref="A13:K13"/>
    <x:mergeCell ref="A23:K23"/>
    <x:mergeCell ref="A33:K33"/>
    <x:mergeCell ref="A42:K42"/>
    <x:mergeCell ref="A51:K51"/>
    <x:mergeCell ref="A61:K61"/>
    <x:mergeCell ref="A70:K7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7602.5</x:v>
      </x:c>
      <x:c r="E17" s="23" t="n">
        <x:v>7656.61</x:v>
      </x:c>
      <x:c r="F17" s="23" t="n">
        <x:v>7541.48</x:v>
      </x:c>
      <x:c r="G17" s="23" t="n">
        <x:v>7589.78</x:v>
      </x:c>
      <x:c r="H17" s="23" t="n">
        <x:v>72</x:v>
      </x:c>
      <x:c r="I17" s="24" t="n">
        <x:v>0.009578638346211532</x:v>
      </x:c>
      <x:c r="J17" s="23" t="n">
        <x:f>ROUND(E17-F17,1)</x:f>
        <x:v>115.1</x:v>
      </x:c>
      <x:c r="K17" s="22" t="str">
        <x:v>中证1000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7555.55</x:v>
      </x:c>
      <x:c r="E18" s="42" t="n">
        <x:v>7634.08</x:v>
      </x:c>
      <x:c r="F18" s="42" t="n">
        <x:v>7472.49</x:v>
      </x:c>
      <x:c r="G18" s="42" t="n">
        <x:v>7601.8</x:v>
      </x:c>
      <x:c r="H18" s="42" t="n">
        <x:v>12</x:v>
      </x:c>
      <x:c r="I18" s="43" t="n">
        <x:v>0.0015837086186951677</x:v>
      </x:c>
      <x:c r="J18" s="42" t="n">
        <x:f>ROUND(E18-F18,1)</x:f>
        <x:v>161.6</x:v>
      </x:c>
      <x:c r="K18" s="41" t="str">
        <x:v>中证1000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7614.89</x:v>
      </x:c>
      <x:c r="E19" s="23" t="n">
        <x:v>7633.34</x:v>
      </x:c>
      <x:c r="F19" s="23" t="n">
        <x:v>7377.72</x:v>
      </x:c>
      <x:c r="G19" s="23" t="n">
        <x:v>7491.49</x:v>
      </x:c>
      <x:c r="H19" s="23" t="n">
        <x:v>-110.3</x:v>
      </x:c>
      <x:c r="I19" s="24" t="n">
        <x:v>-0.014511036859691129</x:v>
      </x:c>
      <x:c r="J19" s="26" t="n">
        <x:f>ROUND(E19-F19,1)</x:f>
        <x:v>255.6</x:v>
      </x:c>
      <x:c r="K19" s="22" t="str">
        <x:v>中证1000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7420.77</x:v>
      </x:c>
      <x:c r="E20" s="23" t="n">
        <x:v>7556.07</x:v>
      </x:c>
      <x:c r="F20" s="23" t="n">
        <x:v>7347.95</x:v>
      </x:c>
      <x:c r="G20" s="23" t="n">
        <x:v>7527.5</x:v>
      </x:c>
      <x:c r="H20" s="23" t="n">
        <x:v>36</x:v>
      </x:c>
      <x:c r="I20" s="24" t="n">
        <x:v>0.004806787434809445</x:v>
      </x:c>
      <x:c r="J20" s="26" t="n">
        <x:f>ROUND(E20-F20,1)</x:f>
        <x:v>208.1</x:v>
      </x:c>
      <x:c r="K20" s="22" t="str">
        <x:v>中证1000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7536.37</x:v>
      </x:c>
      <x:c r="E21" s="23" t="n">
        <x:v>7601.84</x:v>
      </x:c>
      <x:c r="F21" s="23" t="n">
        <x:v>7467.41</x:v>
      </x:c>
      <x:c r="G21" s="23" t="n">
        <x:v>7544.67</x:v>
      </x:c>
      <x:c r="H21" s="23" t="n">
        <x:v>17.2</x:v>
      </x:c>
      <x:c r="I21" s="24" t="n">
        <x:v>0.0022809697774826</x:v>
      </x:c>
      <x:c r="J21" s="23" t="n">
        <x:f>ROUND(E21-F21,1)</x:f>
        <x:v>134.4</x:v>
      </x:c>
      <x:c r="K21" s="22" t="str">
        <x:v>中证1000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7551.44</x:v>
      </x:c>
      <x:c r="E22" s="23" t="n">
        <x:v>7734.31</x:v>
      </x:c>
      <x:c r="F22" s="23" t="n">
        <x:v>7531.78</x:v>
      </x:c>
      <x:c r="G22" s="23" t="n">
        <x:v>7732.95</x:v>
      </x:c>
      <x:c r="H22" s="28" t="n">
        <x:v>188.3</x:v>
      </x:c>
      <x:c r="I22" s="24" t="n">
        <x:v>0.024955365841050625</x:v>
      </x:c>
      <x:c r="J22" s="26" t="n">
        <x:f>ROUND(E22-F22,1)</x:f>
        <x:v>202.5</x:v>
      </x:c>
      <x:c r="K22" s="22" t="str">
        <x:v>中证1000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7734.19</x:v>
      </x:c>
      <x:c r="E23" s="23" t="n">
        <x:v>7802.55</x:v>
      </x:c>
      <x:c r="F23" s="23" t="n">
        <x:v>7702.18</x:v>
      </x:c>
      <x:c r="G23" s="23" t="n">
        <x:v>7705.03</x:v>
      </x:c>
      <x:c r="H23" s="23" t="n">
        <x:v>-27.9</x:v>
      </x:c>
      <x:c r="I23" s="24" t="n">
        <x:v>-0.0036105237975158078</x:v>
      </x:c>
      <x:c r="J23" s="23" t="n">
        <x:f>ROUND(E23-F23,1)</x:f>
        <x:v>100.4</x:v>
      </x:c>
      <x:c r="K23" s="22" t="str">
        <x:v>中证1000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7607.23</x:v>
      </x:c>
      <x:c r="E24" s="23" t="n">
        <x:v>7771.55</x:v>
      </x:c>
      <x:c r="F24" s="23" t="n">
        <x:v>7604.95</x:v>
      </x:c>
      <x:c r="G24" s="23" t="n">
        <x:v>7770.42</x:v>
      </x:c>
      <x:c r="H24" s="23" t="n">
        <x:v>65.4</x:v>
      </x:c>
      <x:c r="I24" s="24" t="n">
        <x:v>0.00848666390656505</x:v>
      </x:c>
      <x:c r="J24" s="23" t="n">
        <x:f>ROUND(E24-F24,1)</x:f>
        <x:v>166.6</x:v>
      </x:c>
      <x:c r="K24" s="22" t="str">
        <x:v>中证1000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3614.9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172.1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7864.68</x:v>
      </x:c>
      <x:c r="E17" s="23" t="n">
        <x:v>7923.91</x:v>
      </x:c>
      <x:c r="F17" s="23" t="n">
        <x:v>7796.28</x:v>
      </x:c>
      <x:c r="G17" s="23" t="n">
        <x:v>7850.4</x:v>
      </x:c>
      <x:c r="H17" s="23" t="n">
        <x:v>66.9</x:v>
      </x:c>
      <x:c r="I17" s="24" t="n">
        <x:v>0.008600288303659331</x:v>
      </x:c>
      <x:c r="J17" s="23" t="n">
        <x:f>ROUND(E17-F17,1)</x:f>
        <x:v>127.6</x:v>
      </x:c>
      <x:c r="K17" s="22" t="str">
        <x:v>中证500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7812.26</x:v>
      </x:c>
      <x:c r="E18" s="42" t="n">
        <x:v>7877.34</x:v>
      </x:c>
      <x:c r="F18" s="42" t="n">
        <x:v>7756.28</x:v>
      </x:c>
      <x:c r="G18" s="42" t="n">
        <x:v>7854.33</x:v>
      </x:c>
      <x:c r="H18" s="42" t="n">
        <x:v>3.9</x:v>
      </x:c>
      <x:c r="I18" s="43" t="n">
        <x:v>0.0005006114338124146</x:v>
      </x:c>
      <x:c r="J18" s="42" t="n">
        <x:f>ROUND(E18-F18,1)</x:f>
        <x:v>121.1</x:v>
      </x:c>
      <x:c r="K18" s="41" t="str">
        <x:v>中证500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7861.05</x:v>
      </x:c>
      <x:c r="E19" s="23" t="n">
        <x:v>7865.54</x:v>
      </x:c>
      <x:c r="F19" s="23" t="n">
        <x:v>7615.45</x:v>
      </x:c>
      <x:c r="G19" s="23" t="n">
        <x:v>7717.09</x:v>
      </x:c>
      <x:c r="H19" s="23" t="n">
        <x:v>-137.2</x:v>
      </x:c>
      <x:c r="I19" s="24" t="n">
        <x:v>-0.017473164483794212</x:v>
      </x:c>
      <x:c r="J19" s="26" t="n">
        <x:f>ROUND(E19-F19,1)</x:f>
        <x:v>250.1</x:v>
      </x:c>
      <x:c r="K19" s="22" t="str">
        <x:v>中证500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7644.2</x:v>
      </x:c>
      <x:c r="E20" s="23" t="n">
        <x:v>7755.72</x:v>
      </x:c>
      <x:c r="F20" s="23" t="n">
        <x:v>7572.86</x:v>
      </x:c>
      <x:c r="G20" s="23" t="n">
        <x:v>7710.94</x:v>
      </x:c>
      <x:c r="H20" s="23" t="n">
        <x:v>-6.2</x:v>
      </x:c>
      <x:c r="I20" s="24" t="n">
        <x:v>-0.0007969325224923551</x:v>
      </x:c>
      <x:c r="J20" s="26" t="n">
        <x:f>ROUND(E20-F20,1)</x:f>
        <x:v>182.9</x:v>
      </x:c>
      <x:c r="K20" s="22" t="str">
        <x:v>中证500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7714.84</x:v>
      </x:c>
      <x:c r="E21" s="23" t="n">
        <x:v>7833.6</x:v>
      </x:c>
      <x:c r="F21" s="23" t="n">
        <x:v>7699.42</x:v>
      </x:c>
      <x:c r="G21" s="23" t="n">
        <x:v>7770.53</x:v>
      </x:c>
      <x:c r="H21" s="23" t="n">
        <x:v>59.6</x:v>
      </x:c>
      <x:c r="I21" s="24" t="n">
        <x:v>0.007727981283734531</x:v>
      </x:c>
      <x:c r="J21" s="23" t="n">
        <x:f>ROUND(E21-F21,1)</x:f>
        <x:v>134.2</x:v>
      </x:c>
      <x:c r="K21" s="22" t="str">
        <x:v>中证500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7786.69</x:v>
      </x:c>
      <x:c r="E22" s="23" t="n">
        <x:v>7951.05</x:v>
      </x:c>
      <x:c r="F22" s="23" t="n">
        <x:v>7763.98</x:v>
      </x:c>
      <x:c r="G22" s="23" t="n">
        <x:v>7946.33</x:v>
      </x:c>
      <x:c r="H22" s="28" t="n">
        <x:v>175.8</x:v>
      </x:c>
      <x:c r="I22" s="24" t="n">
        <x:v>0.02262393942240748</x:v>
      </x:c>
      <x:c r="J22" s="26" t="n">
        <x:f>ROUND(E22-F22,1)</x:f>
        <x:v>187.1</x:v>
      </x:c>
      <x:c r="K22" s="22" t="str">
        <x:v>中证500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7939.45</x:v>
      </x:c>
      <x:c r="E23" s="23" t="n">
        <x:v>7986.43</x:v>
      </x:c>
      <x:c r="F23" s="23" t="n">
        <x:v>7892.51</x:v>
      </x:c>
      <x:c r="G23" s="23" t="n">
        <x:v>7895.45</x:v>
      </x:c>
      <x:c r="H23" s="23" t="n">
        <x:v>-50.9</x:v>
      </x:c>
      <x:c r="I23" s="24" t="n">
        <x:v>-0.006402955829924006</x:v>
      </x:c>
      <x:c r="J23" s="23" t="n">
        <x:f>ROUND(E23-F23,1)</x:f>
        <x:v>93.9</x:v>
      </x:c>
      <x:c r="K23" s="22" t="str">
        <x:v>中证500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7797.23</x:v>
      </x:c>
      <x:c r="E24" s="23" t="n">
        <x:v>7953.93</x:v>
      </x:c>
      <x:c r="F24" s="23" t="n">
        <x:v>7764.98</x:v>
      </x:c>
      <x:c r="G24" s="23" t="n">
        <x:v>7952.1</x:v>
      </x:c>
      <x:c r="H24" s="23" t="n">
        <x:v>56.7</x:v>
      </x:c>
      <x:c r="I24" s="24" t="n">
        <x:v>0.007175018523326804</x:v>
      </x:c>
      <x:c r="J24" s="26" t="n">
        <x:f>ROUND(E24-F24,1)</x:f>
        <x:v>189</x:v>
      </x:c>
      <x:c r="K24" s="22" t="str">
        <x:v>中证500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3487.7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166.1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3907.21</x:v>
      </x:c>
      <x:c r="E17" s="23" t="n">
        <x:v>3925.06</x:v>
      </x:c>
      <x:c r="F17" s="23" t="n">
        <x:v>3888.1</x:v>
      </x:c>
      <x:c r="G17" s="23" t="n">
        <x:v>3903.72</x:v>
      </x:c>
      <x:c r="H17" s="23" t="n">
        <x:v>9.3</x:v>
      </x:c>
      <x:c r="I17" s="24" t="n">
        <x:v>0.002388032107476734</x:v>
      </x:c>
      <x:c r="J17" s="23" t="n">
        <x:f>ROUND(E17-F17,1)</x:f>
        <x:v>37</x:v>
      </x:c>
      <x:c r="K17" s="22" t="str">
        <x:v>上证指数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3891.18</x:v>
      </x:c>
      <x:c r="E18" s="42" t="n">
        <x:v>3912.13</x:v>
      </x:c>
      <x:c r="F18" s="42" t="n">
        <x:v>3883.79</x:v>
      </x:c>
      <x:c r="G18" s="42" t="n">
        <x:v>3905.2</x:v>
      </x:c>
      <x:c r="H18" s="42" t="n">
        <x:v>1.5</x:v>
      </x:c>
      <x:c r="I18" s="43" t="n">
        <x:v>0.0003791255520375625</x:v>
      </x:c>
      <x:c r="J18" s="42" t="n">
        <x:f>ROUND(E18-F18,1)</x:f>
        <x:v>28.3</x:v>
      </x:c>
      <x:c r="K18" s="41" t="str">
        <x:v>上证指数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3902.7</x:v>
      </x:c>
      <x:c r="E19" s="23" t="n">
        <x:v>3910.24</x:v>
      </x:c>
      <x:c r="F19" s="23" t="n">
        <x:v>3855.35</x:v>
      </x:c>
      <x:c r="G19" s="23" t="n">
        <x:v>3882.01</x:v>
      </x:c>
      <x:c r="H19" s="23" t="n">
        <x:v>-23.2</x:v>
      </x:c>
      <x:c r="I19" s="24" t="n">
        <x:v>-0.005938236197889912</x:v>
      </x:c>
      <x:c r="J19" s="26" t="n">
        <x:f>ROUND(E19-F19,1)</x:f>
        <x:v>54.9</x:v>
      </x:c>
      <x:c r="K19" s="22" t="str">
        <x:v>上证指数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3863.37</x:v>
      </x:c>
      <x:c r="E20" s="23" t="n">
        <x:v>3896.21</x:v>
      </x:c>
      <x:c r="F20" s="23" t="n">
        <x:v>3850.86</x:v>
      </x:c>
      <x:c r="G20" s="23" t="n">
        <x:v>3889.44</x:v>
      </x:c>
      <x:c r="H20" s="23" t="n">
        <x:v>7.4</x:v>
      </x:c>
      <x:c r="I20" s="24" t="n">
        <x:v>0.0019139569449846405</x:v>
      </x:c>
      <x:c r="J20" s="23" t="n">
        <x:f>ROUND(E20-F20,1)</x:f>
        <x:v>45.3</x:v>
      </x:c>
      <x:c r="K20" s="22" t="str">
        <x:v>上证指数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3881.74</x:v>
      </x:c>
      <x:c r="E21" s="23" t="n">
        <x:v>3926.44</x:v>
      </x:c>
      <x:c r="F21" s="23" t="n">
        <x:v>3881.74</x:v>
      </x:c>
      <x:c r="G21" s="23" t="n">
        <x:v>3912.52</x:v>
      </x:c>
      <x:c r="H21" s="23" t="n">
        <x:v>23.1</x:v>
      </x:c>
      <x:c r="I21" s="24" t="n">
        <x:v>0.005934016207988835</x:v>
      </x:c>
      <x:c r="J21" s="23" t="n">
        <x:f>ROUND(E21-F21,1)</x:f>
        <x:v>44.7</x:v>
      </x:c>
      <x:c r="K21" s="22" t="str">
        <x:v>上证指数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3911.89</x:v>
      </x:c>
      <x:c r="E22" s="23" t="n">
        <x:v>3958.03</x:v>
      </x:c>
      <x:c r="F22" s="23" t="n">
        <x:v>3909.31</x:v>
      </x:c>
      <x:c r="G22" s="23" t="n">
        <x:v>3956.57</x:v>
      </x:c>
      <x:c r="H22" s="23" t="n">
        <x:v>44.1</x:v>
      </x:c>
      <x:c r="I22" s="24" t="n">
        <x:v>0.01125872838988684</x:v>
      </x:c>
      <x:c r="J22" s="23" t="n">
        <x:f>ROUND(E22-F22,1)</x:f>
        <x:v>48.7</x:v>
      </x:c>
      <x:c r="K22" s="22" t="str">
        <x:v>上证指数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3950.24</x:v>
      </x:c>
      <x:c r="E23" s="23" t="n">
        <x:v>3970.31</x:v>
      </x:c>
      <x:c r="F23" s="23" t="n">
        <x:v>3947.8</x:v>
      </x:c>
      <x:c r="G23" s="23" t="n">
        <x:v>3952.18</x:v>
      </x:c>
      <x:c r="H23" s="23" t="n">
        <x:v>-4.4</x:v>
      </x:c>
      <x:c r="I23" s="24" t="n">
        <x:v>-0.0011095469055268925</x:v>
      </x:c>
      <x:c r="J23" s="23" t="n">
        <x:f>ROUND(E23-F23,1)</x:f>
        <x:v>22.5</x:v>
      </x:c>
      <x:c r="K23" s="22" t="str">
        <x:v>上证指数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3926.53</x:v>
      </x:c>
      <x:c r="E24" s="23" t="n">
        <x:v>3986.3</x:v>
      </x:c>
      <x:c r="F24" s="23" t="n">
        <x:v>3926.5</x:v>
      </x:c>
      <x:c r="G24" s="23" t="n">
        <x:v>3986.3</x:v>
      </x:c>
      <x:c r="H24" s="23" t="n">
        <x:v>34.1</x:v>
      </x:c>
      <x:c r="I24" s="24" t="n">
        <x:v>0.008633210025859261</x:v>
      </x:c>
      <x:c r="J24" s="26" t="n">
        <x:f>ROUND(E24-F24,1)</x:f>
        <x:v>59.8</x:v>
      </x:c>
      <x:c r="K24" s="22" t="str">
        <x:v>上证指数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905.8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43.1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7550</x:v>
      </x:c>
      <x:c r="E17" s="23" t="n">
        <x:v>7582.2</x:v>
      </x:c>
      <x:c r="F17" s="23" t="n">
        <x:v>7482.8</x:v>
      </x:c>
      <x:c r="G17" s="23" t="n">
        <x:v>7516.2</x:v>
      </x:c>
      <x:c r="H17" s="23" t="n">
        <x:v>47.4</x:v>
      </x:c>
      <x:c r="I17" s="24" t="n">
        <x:v>0.0063464010282776595</x:v>
      </x:c>
      <x:c r="J17" s="23" t="n">
        <x:f>ROUND(E17-F17,1)</x:f>
        <x:v>99.4</x:v>
      </x:c>
      <x:c r="K17" s="22" t="str">
        <x:v>IM2609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7500</x:v>
      </x:c>
      <x:c r="E18" s="42" t="n">
        <x:v>7575</x:v>
      </x:c>
      <x:c r="F18" s="42" t="n">
        <x:v>7410</x:v>
      </x:c>
      <x:c r="G18" s="42" t="n">
        <x:v>7527</x:v>
      </x:c>
      <x:c r="H18" s="42" t="n">
        <x:v>10.8</x:v>
      </x:c>
      <x:c r="I18" s="43" t="n">
        <x:v>0.0014368963039834703</x:v>
      </x:c>
      <x:c r="J18" s="42" t="n">
        <x:f>ROUND(E18-F18,1)</x:f>
        <x:v>165</x:v>
      </x:c>
      <x:c r="K18" s="41" t="str">
        <x:v>IM2609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7534.8</x:v>
      </x:c>
      <x:c r="E19" s="23" t="n">
        <x:v>7549</x:v>
      </x:c>
      <x:c r="F19" s="23" t="n">
        <x:v>7308.8</x:v>
      </x:c>
      <x:c r="G19" s="23" t="n">
        <x:v>7425.8</x:v>
      </x:c>
      <x:c r="H19" s="23" t="n">
        <x:v>-101.2</x:v>
      </x:c>
      <x:c r="I19" s="24" t="n">
        <x:v>-0.013444931579646546</x:v>
      </x:c>
      <x:c r="J19" s="26" t="n">
        <x:f>ROUND(E19-F19,1)</x:f>
        <x:v>240.2</x:v>
      </x:c>
      <x:c r="K19" s="22" t="str">
        <x:v>IM2609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7380</x:v>
      </x:c>
      <x:c r="E20" s="23" t="n">
        <x:v>7509.6</x:v>
      </x:c>
      <x:c r="F20" s="23" t="n">
        <x:v>7300.2</x:v>
      </x:c>
      <x:c r="G20" s="23" t="n">
        <x:v>7466.4</x:v>
      </x:c>
      <x:c r="H20" s="23" t="n">
        <x:v>40.6</x:v>
      </x:c>
      <x:c r="I20" s="24" t="n">
        <x:v>0.005467424385251274</x:v>
      </x:c>
      <x:c r="J20" s="26" t="n">
        <x:f>ROUND(E20-F20,1)</x:f>
        <x:v>209.4</x:v>
      </x:c>
      <x:c r="K20" s="22" t="str">
        <x:v>IM2609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7466</x:v>
      </x:c>
      <x:c r="E21" s="23" t="n">
        <x:v>7558</x:v>
      </x:c>
      <x:c r="F21" s="23" t="n">
        <x:v>7395</x:v>
      </x:c>
      <x:c r="G21" s="23" t="n">
        <x:v>7491.8</x:v>
      </x:c>
      <x:c r="H21" s="23" t="n">
        <x:v>25.4</x:v>
      </x:c>
      <x:c r="I21" s="24" t="n">
        <x:v>0.0034019072109718884</x:v>
      </x:c>
      <x:c r="J21" s="23" t="n">
        <x:f>ROUND(E21-F21,1)</x:f>
        <x:v>163</x:v>
      </x:c>
      <x:c r="K21" s="22" t="str">
        <x:v>IM2609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7511</x:v>
      </x:c>
      <x:c r="E22" s="23" t="n">
        <x:v>7696</x:v>
      </x:c>
      <x:c r="F22" s="23" t="n">
        <x:v>7472</x:v>
      </x:c>
      <x:c r="G22" s="23" t="n">
        <x:v>7686.6</x:v>
      </x:c>
      <x:c r="H22" s="28" t="n">
        <x:v>194.8</x:v>
      </x:c>
      <x:c r="I22" s="24" t="n">
        <x:v>0.026001761926372824</x:v>
      </x:c>
      <x:c r="J22" s="26" t="n">
        <x:f>ROUND(E22-F22,1)</x:f>
        <x:v>224</x:v>
      </x:c>
      <x:c r="K22" s="22" t="str">
        <x:v>IM2609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7680</x:v>
      </x:c>
      <x:c r="E23" s="23" t="n">
        <x:v>7753.8</x:v>
      </x:c>
      <x:c r="F23" s="23" t="n">
        <x:v>7652</x:v>
      </x:c>
      <x:c r="G23" s="23" t="n">
        <x:v>7666.6</x:v>
      </x:c>
      <x:c r="H23" s="23" t="n">
        <x:v>-20</x:v>
      </x:c>
      <x:c r="I23" s="24" t="n">
        <x:v>-0.0026019306325293368</x:v>
      </x:c>
      <x:c r="J23" s="23" t="n">
        <x:f>ROUND(E23-F23,1)</x:f>
        <x:v>101.8</x:v>
      </x:c>
      <x:c r="K23" s="22" t="str">
        <x:v>IM2609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3433.8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171.7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7789.6</x:v>
      </x:c>
      <x:c r="E17" s="23" t="n">
        <x:v>7811</x:v>
      </x:c>
      <x:c r="F17" s="23" t="n">
        <x:v>7713</x:v>
      </x:c>
      <x:c r="G17" s="23" t="n">
        <x:v>7761</x:v>
      </x:c>
      <x:c r="H17" s="23" t="n">
        <x:v>49</x:v>
      </x:c>
      <x:c r="I17" s="24" t="n">
        <x:v>0.006353734439834113</x:v>
      </x:c>
      <x:c r="J17" s="23" t="n">
        <x:f>ROUND(E17-F17,1)</x:f>
        <x:v>98</x:v>
      </x:c>
      <x:c r="K17" s="22" t="str">
        <x:v>IC2609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7744</x:v>
      </x:c>
      <x:c r="E18" s="42" t="n">
        <x:v>7797.2</x:v>
      </x:c>
      <x:c r="F18" s="42" t="n">
        <x:v>7669.6</x:v>
      </x:c>
      <x:c r="G18" s="42" t="n">
        <x:v>7762</x:v>
      </x:c>
      <x:c r="H18" s="42" t="n">
        <x:v>1</x:v>
      </x:c>
      <x:c r="I18" s="43" t="n">
        <x:v>0.00012884937508061967</x:v>
      </x:c>
      <x:c r="J18" s="42" t="n">
        <x:f>ROUND(E18-F18,1)</x:f>
        <x:v>127.6</x:v>
      </x:c>
      <x:c r="K18" s="41" t="str">
        <x:v>IC2609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7757</x:v>
      </x:c>
      <x:c r="E19" s="23" t="n">
        <x:v>7764.4</x:v>
      </x:c>
      <x:c r="F19" s="23" t="n">
        <x:v>7514.4</x:v>
      </x:c>
      <x:c r="G19" s="23" t="n">
        <x:v>7628.4</x:v>
      </x:c>
      <x:c r="H19" s="23" t="n">
        <x:v>-133.6</x:v>
      </x:c>
      <x:c r="I19" s="24" t="n">
        <x:v>-0.01721205874774545</x:v>
      </x:c>
      <x:c r="J19" s="26" t="n">
        <x:f>ROUND(E19-F19,1)</x:f>
        <x:v>250</x:v>
      </x:c>
      <x:c r="K19" s="22" t="str">
        <x:v>IC2609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7593</x:v>
      </x:c>
      <x:c r="E20" s="23" t="n">
        <x:v>7687.8</x:v>
      </x:c>
      <x:c r="F20" s="23" t="n">
        <x:v>7496</x:v>
      </x:c>
      <x:c r="G20" s="23" t="n">
        <x:v>7637</x:v>
      </x:c>
      <x:c r="H20" s="23" t="n">
        <x:v>8.6</x:v>
      </x:c>
      <x:c r="I20" s="24" t="n">
        <x:v>0.0011273661580410987</x:v>
      </x:c>
      <x:c r="J20" s="26" t="n">
        <x:f>ROUND(E20-F20,1)</x:f>
        <x:v>191.8</x:v>
      </x:c>
      <x:c r="K20" s="22" t="str">
        <x:v>IC2609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7633.8</x:v>
      </x:c>
      <x:c r="E21" s="23" t="n">
        <x:v>7783.2</x:v>
      </x:c>
      <x:c r="F21" s="23" t="n">
        <x:v>7604</x:v>
      </x:c>
      <x:c r="G21" s="23" t="n">
        <x:v>7708.8</x:v>
      </x:c>
      <x:c r="H21" s="23" t="n">
        <x:v>71.8</x:v>
      </x:c>
      <x:c r="I21" s="24" t="n">
        <x:v>0.00940159748592384</x:v>
      </x:c>
      <x:c r="J21" s="26" t="n">
        <x:f>ROUND(E21-F21,1)</x:f>
        <x:v>179.2</x:v>
      </x:c>
      <x:c r="K21" s="22" t="str">
        <x:v>IC2609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7730.6</x:v>
      </x:c>
      <x:c r="E22" s="23" t="n">
        <x:v>7907</x:v>
      </x:c>
      <x:c r="F22" s="23" t="n">
        <x:v>7700</x:v>
      </x:c>
      <x:c r="G22" s="23" t="n">
        <x:v>7903</x:v>
      </x:c>
      <x:c r="H22" s="28" t="n">
        <x:v>194.2</x:v>
      </x:c>
      <x:c r="I22" s="24" t="n">
        <x:v>0.025191988376919827</x:v>
      </x:c>
      <x:c r="J22" s="26" t="n">
        <x:f>ROUND(E22-F22,1)</x:f>
        <x:v>207</x:v>
      </x:c>
      <x:c r="K22" s="22" t="str">
        <x:v>IC2609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7895</x:v>
      </x:c>
      <x:c r="E23" s="23" t="n">
        <x:v>7931</x:v>
      </x:c>
      <x:c r="F23" s="23" t="n">
        <x:v>7841</x:v>
      </x:c>
      <x:c r="G23" s="23" t="n">
        <x:v>7853.8</x:v>
      </x:c>
      <x:c r="H23" s="23" t="n">
        <x:v>-49.2</x:v>
      </x:c>
      <x:c r="I23" s="24" t="n">
        <x:v>-0.006225483993420156</x:v>
      </x:c>
      <x:c r="J23" s="23" t="n">
        <x:f>ROUND(E23-F23,1)</x:f>
        <x:v>90</x:v>
      </x:c>
      <x:c r="K23" s="22" t="str">
        <x:v>IC2609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3352.6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167.6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4580</x:v>
      </x:c>
      <x:c r="E17" s="23" t="n">
        <x:v>4585</x:v>
      </x:c>
      <x:c r="F17" s="23" t="n">
        <x:v>4532.4</x:v>
      </x:c>
      <x:c r="G17" s="23" t="n">
        <x:v>4554</x:v>
      </x:c>
      <x:c r="H17" s="23" t="n">
        <x:v>-0.2</x:v>
      </x:c>
      <x:c r="I17" s="24" t="n">
        <x:v>-0.000043915506565350704</x:v>
      </x:c>
      <x:c r="J17" s="23" t="n">
        <x:f>ROUND(E17-F17,1)</x:f>
        <x:v>52.6</x:v>
      </x:c>
      <x:c r="K17" s="22" t="str">
        <x:v>IF2609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4556</x:v>
      </x:c>
      <x:c r="E18" s="42" t="n">
        <x:v>4595.8</x:v>
      </x:c>
      <x:c r="F18" s="42" t="n">
        <x:v>4542.4</x:v>
      </x:c>
      <x:c r="G18" s="42" t="n">
        <x:v>4576</x:v>
      </x:c>
      <x:c r="H18" s="42" t="n">
        <x:v>22</x:v>
      </x:c>
      <x:c r="I18" s="43" t="n">
        <x:v>0.004830917874396157</x:v>
      </x:c>
      <x:c r="J18" s="42" t="n">
        <x:f>ROUND(E18-F18,1)</x:f>
        <x:v>53.4</x:v>
      </x:c>
      <x:c r="K18" s="41" t="str">
        <x:v>IF2609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4607.4</x:v>
      </x:c>
      <x:c r="E19" s="23" t="n">
        <x:v>4607.4</x:v>
      </x:c>
      <x:c r="F19" s="23" t="n">
        <x:v>4486.4</x:v>
      </x:c>
      <x:c r="G19" s="23" t="n">
        <x:v>4526.4</x:v>
      </x:c>
      <x:c r="H19" s="23" t="n">
        <x:v>-49.6</x:v>
      </x:c>
      <x:c r="I19" s="24" t="n">
        <x:v>-0.010839160839160922</x:v>
      </x:c>
      <x:c r="J19" s="26" t="n">
        <x:f>ROUND(E19-F19,1)</x:f>
        <x:v>121</x:v>
      </x:c>
      <x:c r="K19" s="22" t="str">
        <x:v>IF2609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4510</x:v>
      </x:c>
      <x:c r="E20" s="23" t="n">
        <x:v>4544.2</x:v>
      </x:c>
      <x:c r="F20" s="23" t="n">
        <x:v>4488</x:v>
      </x:c>
      <x:c r="G20" s="23" t="n">
        <x:v>4521.8</x:v>
      </x:c>
      <x:c r="H20" s="23" t="n">
        <x:v>-4.6</x:v>
      </x:c>
      <x:c r="I20" s="24" t="n">
        <x:v>-0.0010162601626014789</x:v>
      </x:c>
      <x:c r="J20" s="23" t="n">
        <x:f>ROUND(E20-F20,1)</x:f>
        <x:v>56.2</x:v>
      </x:c>
      <x:c r="K20" s="22" t="str">
        <x:v>IF2609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4515.6</x:v>
      </x:c>
      <x:c r="E21" s="23" t="n">
        <x:v>4593.6</x:v>
      </x:c>
      <x:c r="F21" s="23" t="n">
        <x:v>4515.6</x:v>
      </x:c>
      <x:c r="G21" s="23" t="n">
        <x:v>4566.8</x:v>
      </x:c>
      <x:c r="H21" s="23" t="n">
        <x:v>45</x:v>
      </x:c>
      <x:c r="I21" s="24" t="n">
        <x:v>0.009951789110531184</x:v>
      </x:c>
      <x:c r="J21" s="23" t="n">
        <x:f>ROUND(E21-F21,1)</x:f>
        <x:v>78</x:v>
      </x:c>
      <x:c r="K21" s="22" t="str">
        <x:v>IF2609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4577.2</x:v>
      </x:c>
      <x:c r="E22" s="23" t="n">
        <x:v>4608.2</x:v>
      </x:c>
      <x:c r="F22" s="23" t="n">
        <x:v>4561.8</x:v>
      </x:c>
      <x:c r="G22" s="23" t="n">
        <x:v>4604.8</x:v>
      </x:c>
      <x:c r="H22" s="23" t="n">
        <x:v>38</x:v>
      </x:c>
      <x:c r="I22" s="24" t="n">
        <x:v>0.008320924936498164</x:v>
      </x:c>
      <x:c r="J22" s="23" t="n">
        <x:f>ROUND(E22-F22,1)</x:f>
        <x:v>46.4</x:v>
      </x:c>
      <x:c r="K22" s="22" t="str">
        <x:v>IF2609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4591.8</x:v>
      </x:c>
      <x:c r="E23" s="23" t="n">
        <x:v>4620</x:v>
      </x:c>
      <x:c r="F23" s="23" t="n">
        <x:v>4587.2</x:v>
      </x:c>
      <x:c r="G23" s="23" t="n">
        <x:v>4593.6</x:v>
      </x:c>
      <x:c r="H23" s="23" t="n">
        <x:v>-11.2</x:v>
      </x:c>
      <x:c r="I23" s="24" t="n">
        <x:v>-0.0024322446143154597</x:v>
      </x:c>
      <x:c r="J23" s="23" t="n">
        <x:f>ROUND(E23-F23,1)</x:f>
        <x:v>32.8</x:v>
      </x:c>
      <x:c r="K23" s="22" t="str">
        <x:v>IF2609</x:v>
      </x:c>
    </x:row>
    <x:row r="24">
      <x:c r="A24" s="22" t="n">
        <x:v>21</x:v>
      </x:c>
      <x:c r="B24" s="22" t="str">
        <x:v>周一</x:v>
      </x:c>
      <x:c r="C24" s="22" t="str">
        <x:v>8月31日</x:v>
      </x:c>
      <x:c r="D24" s="23" t="n">
        <x:v>4553</x:v>
      </x:c>
      <x:c r="E24" s="23" t="n">
        <x:v>4608.6</x:v>
      </x:c>
      <x:c r="F24" s="23" t="n">
        <x:v>4530</x:v>
      </x:c>
      <x:c r="G24" s="23" t="n">
        <x:v>4601.6</x:v>
      </x:c>
      <x:c r="H24" s="23" t="n">
        <x:v>8</x:v>
      </x:c>
      <x:c r="I24" s="24" t="n">
        <x:v>0.0017415534656914922</x:v>
      </x:c>
      <x:c r="J24" s="23" t="n">
        <x:f>ROUND(E24-F24,1)</x:f>
        <x:v>78.6</x:v>
      </x:c>
      <x:c r="K24" s="22" t="str">
        <x:v>IF2609</x:v>
      </x:c>
    </x:row>
    <x:row r="27">
      <x:c r="A27" s="31" t="str">
        <x:v>合计</x:v>
      </x:c>
      <x:c r="B27" s="30" t="n">
        <x:v>21</x:v>
      </x:c>
      <x:c r="C27" s="30"/>
      <x:c r="D27" s="30"/>
      <x:c r="E27" s="30"/>
      <x:c r="F27" s="30"/>
      <x:c r="G27" s="30"/>
      <x:c r="H27" s="30"/>
      <x:c r="I27" s="30"/>
      <x:c r="J27" s="32" t="n">
        <x:f>SUM(J4:J24)</x:f>
        <x:v>1327</x:v>
      </x:c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0"/>
      <x:c r="J28" s="34" t="n">
        <x:f>ROUND(IFERROR(AVERAGE(J4:J24),0),1)</x:f>
        <x:v>63.2</x:v>
      </x:c>
      <x:c r="K28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2871.6</x:v>
      </x:c>
      <x:c r="E17" s="23" t="n">
        <x:v>2880.8</x:v>
      </x:c>
      <x:c r="F17" s="23" t="n">
        <x:v>2848</x:v>
      </x:c>
      <x:c r="G17" s="23" t="n">
        <x:v>2858.8</x:v>
      </x:c>
      <x:c r="H17" s="23" t="n">
        <x:v>-6.2</x:v>
      </x:c>
      <x:c r="I17" s="24" t="n">
        <x:v>-0.0021640488656194945</x:v>
      </x:c>
      <x:c r="J17" s="23" t="n">
        <x:f>ROUND(E17-F17,1)</x:f>
        <x:v>32.8</x:v>
      </x:c>
      <x:c r="K17" s="22" t="str">
        <x:v>IH2609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2854</x:v>
      </x:c>
      <x:c r="E18" s="42" t="n">
        <x:v>2873</x:v>
      </x:c>
      <x:c r="F18" s="42" t="n">
        <x:v>2847.2</x:v>
      </x:c>
      <x:c r="G18" s="42" t="n">
        <x:v>2861</x:v>
      </x:c>
      <x:c r="H18" s="42" t="n">
        <x:v>2.2</x:v>
      </x:c>
      <x:c r="I18" s="43" t="n">
        <x:v>0.0007695536588778751</x:v>
      </x:c>
      <x:c r="J18" s="42" t="n">
        <x:f>ROUND(E18-F18,1)</x:f>
        <x:v>25.8</x:v>
      </x:c>
      <x:c r="K18" s="41" t="str">
        <x:v>IH2609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2856.4</x:v>
      </x:c>
      <x:c r="E19" s="23" t="n">
        <x:v>2866.8</x:v>
      </x:c>
      <x:c r="F19" s="23" t="n">
        <x:v>2837.4</x:v>
      </x:c>
      <x:c r="G19" s="23" t="n">
        <x:v>2851</x:v>
      </x:c>
      <x:c r="H19" s="23" t="n">
        <x:v>-10</x:v>
      </x:c>
      <x:c r="I19" s="24" t="n">
        <x:v>-0.003495281370150316</x:v>
      </x:c>
      <x:c r="J19" s="23" t="n">
        <x:f>ROUND(E19-F19,1)</x:f>
        <x:v>29.4</x:v>
      </x:c>
      <x:c r="K19" s="22" t="str">
        <x:v>IH2609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2855.2</x:v>
      </x:c>
      <x:c r="E20" s="23" t="n">
        <x:v>2864.4</x:v>
      </x:c>
      <x:c r="F20" s="23" t="n">
        <x:v>2840</x:v>
      </x:c>
      <x:c r="G20" s="23" t="n">
        <x:v>2855.2</x:v>
      </x:c>
      <x:c r="H20" s="23" t="n">
        <x:v>4.2</x:v>
      </x:c>
      <x:c r="I20" s="24" t="n">
        <x:v>0.001473167309715917</x:v>
      </x:c>
      <x:c r="J20" s="23" t="n">
        <x:f>ROUND(E20-F20,1)</x:f>
        <x:v>24.4</x:v>
      </x:c>
      <x:c r="K20" s="22" t="str">
        <x:v>IH2609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2850</x:v>
      </x:c>
      <x:c r="E21" s="23" t="n">
        <x:v>2903.8</x:v>
      </x:c>
      <x:c r="F21" s="23" t="n">
        <x:v>2850</x:v>
      </x:c>
      <x:c r="G21" s="23" t="n">
        <x:v>2888.8</x:v>
      </x:c>
      <x:c r="H21" s="23" t="n">
        <x:v>33.6</x:v>
      </x:c>
      <x:c r="I21" s="24" t="n">
        <x:v>0.0117680022415243</x:v>
      </x:c>
      <x:c r="J21" s="23" t="n">
        <x:f>ROUND(E21-F21,1)</x:f>
        <x:v>53.8</x:v>
      </x:c>
      <x:c r="K21" s="22" t="str">
        <x:v>IH2609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2895</x:v>
      </x:c>
      <x:c r="E22" s="23" t="n">
        <x:v>2916.2</x:v>
      </x:c>
      <x:c r="F22" s="23" t="n">
        <x:v>2890.4</x:v>
      </x:c>
      <x:c r="G22" s="23" t="n">
        <x:v>2914</x:v>
      </x:c>
      <x:c r="H22" s="23" t="n">
        <x:v>25.2</x:v>
      </x:c>
      <x:c r="I22" s="24" t="n">
        <x:v>0.008723345333702559</x:v>
      </x:c>
      <x:c r="J22" s="23" t="n">
        <x:f>ROUND(E22-F22,1)</x:f>
        <x:v>25.8</x:v>
      </x:c>
      <x:c r="K22" s="22" t="str">
        <x:v>IH2609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2909</x:v>
      </x:c>
      <x:c r="E23" s="23" t="n">
        <x:v>2918.2</x:v>
      </x:c>
      <x:c r="F23" s="23" t="n">
        <x:v>2905.2</x:v>
      </x:c>
      <x:c r="G23" s="23" t="n">
        <x:v>2911.4</x:v>
      </x:c>
      <x:c r="H23" s="23" t="n">
        <x:v>-2.6</x:v>
      </x:c>
      <x:c r="I23" s="24" t="n">
        <x:v>-0.0008922443376800926</x:v>
      </x:c>
      <x:c r="J23" s="23" t="n">
        <x:f>ROUND(E23-F23,1)</x:f>
        <x:v>13</x:v>
      </x:c>
      <x:c r="K23" s="22" t="str">
        <x:v>IH2609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655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32.8</x:v>
      </x:c>
      <x:c r="K27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7">
      <x:c r="A17" s="22" t="n">
        <x:v>14</x:v>
      </x:c>
      <x:c r="B17" s="22" t="str">
        <x:v>周四</x:v>
      </x:c>
      <x:c r="C17" s="22" t="str">
        <x:v>8月20日</x:v>
      </x:c>
      <x:c r="D17" s="23" t="n">
        <x:v>150800</x:v>
      </x:c>
      <x:c r="E17" s="23" t="n">
        <x:v>152600</x:v>
      </x:c>
      <x:c r="F17" s="23" t="n">
        <x:v>149800</x:v>
      </x:c>
      <x:c r="G17" s="23" t="n">
        <x:v>151500</x:v>
      </x:c>
      <x:c r="H17" s="28" t="n">
        <x:v>2020</x:v>
      </x:c>
      <x:c r="I17" s="24" t="n">
        <x:v>0.013513513513513598</x:v>
      </x:c>
      <x:c r="J17" s="23" t="n">
        <x:f>ROUND(E17-F17,1)</x:f>
        <x:v>2800</x:v>
      </x:c>
      <x:c r="K17" s="22" t="str">
        <x:v>LC2609</x:v>
      </x:c>
    </x:row>
    <x:row r="18">
      <x:c r="A18" s="41" t="n">
        <x:v>15</x:v>
      </x:c>
      <x:c r="B18" s="41" t="str">
        <x:v>周五</x:v>
      </x:c>
      <x:c r="C18" s="41" t="str">
        <x:v>8月21日</x:v>
      </x:c>
      <x:c r="D18" s="42" t="n">
        <x:v>151500</x:v>
      </x:c>
      <x:c r="E18" s="42" t="n">
        <x:v>157000</x:v>
      </x:c>
      <x:c r="F18" s="42" t="n">
        <x:v>150020</x:v>
      </x:c>
      <x:c r="G18" s="42" t="n">
        <x:v>156140</x:v>
      </x:c>
      <x:c r="H18" s="28" t="n">
        <x:v>4640</x:v>
      </x:c>
      <x:c r="I18" s="43" t="n">
        <x:v>0.03062706270627058</x:v>
      </x:c>
      <x:c r="J18" s="26" t="n">
        <x:f>ROUND(E18-F18,1)</x:f>
        <x:v>6980</x:v>
      </x:c>
      <x:c r="K18" s="41" t="str">
        <x:v>LC2609</x:v>
      </x:c>
    </x:row>
    <x:row r="19">
      <x:c r="A19" s="22" t="n">
        <x:v>16</x:v>
      </x:c>
      <x:c r="B19" s="22" t="str">
        <x:v>周一</x:v>
      </x:c>
      <x:c r="C19" s="22" t="str">
        <x:v>8月24日</x:v>
      </x:c>
      <x:c r="D19" s="23" t="n">
        <x:v>158500</x:v>
      </x:c>
      <x:c r="E19" s="23" t="n">
        <x:v>160000</x:v>
      </x:c>
      <x:c r="F19" s="23" t="n">
        <x:v>154280</x:v>
      </x:c>
      <x:c r="G19" s="23" t="n">
        <x:v>157000</x:v>
      </x:c>
      <x:c r="H19" s="28" t="n">
        <x:v>860</x:v>
      </x:c>
      <x:c r="I19" s="24" t="n">
        <x:v>0.005507877545792184</x:v>
      </x:c>
      <x:c r="J19" s="23" t="n">
        <x:f>ROUND(E19-F19,1)</x:f>
        <x:v>5720</x:v>
      </x:c>
      <x:c r="K19" s="22" t="str">
        <x:v>LC2609</x:v>
      </x:c>
    </x:row>
    <x:row r="20">
      <x:c r="A20" s="22" t="n">
        <x:v>17</x:v>
      </x:c>
      <x:c r="B20" s="22" t="str">
        <x:v>周二</x:v>
      </x:c>
      <x:c r="C20" s="22" t="str">
        <x:v>8月25日</x:v>
      </x:c>
      <x:c r="D20" s="23" t="n">
        <x:v>156000</x:v>
      </x:c>
      <x:c r="E20" s="23" t="n">
        <x:v>157980</x:v>
      </x:c>
      <x:c r="F20" s="23" t="n">
        <x:v>149300</x:v>
      </x:c>
      <x:c r="G20" s="23" t="n">
        <x:v>149300</x:v>
      </x:c>
      <x:c r="H20" s="28" t="n">
        <x:v>-7700</x:v>
      </x:c>
      <x:c r="I20" s="24" t="n">
        <x:v>-0.049044585987261136</x:v>
      </x:c>
      <x:c r="J20" s="26" t="n">
        <x:f>ROUND(E20-F20,1)</x:f>
        <x:v>8680</x:v>
      </x:c>
      <x:c r="K20" s="22" t="str">
        <x:v>LC2609</x:v>
      </x:c>
    </x:row>
    <x:row r="21">
      <x:c r="A21" s="22" t="n">
        <x:v>18</x:v>
      </x:c>
      <x:c r="B21" s="22" t="str">
        <x:v>周三</x:v>
      </x:c>
      <x:c r="C21" s="22" t="str">
        <x:v>8月26日</x:v>
      </x:c>
      <x:c r="D21" s="23" t="n">
        <x:v>147000</x:v>
      </x:c>
      <x:c r="E21" s="23" t="n">
        <x:v>153380</x:v>
      </x:c>
      <x:c r="F21" s="23" t="n">
        <x:v>147000</x:v>
      </x:c>
      <x:c r="G21" s="23" t="n">
        <x:v>150580</x:v>
      </x:c>
      <x:c r="H21" s="28" t="n">
        <x:v>1280</x:v>
      </x:c>
      <x:c r="I21" s="24" t="n">
        <x:v>0.008573342263898276</x:v>
      </x:c>
      <x:c r="J21" s="26" t="n">
        <x:f>ROUND(E21-F21,1)</x:f>
        <x:v>6380</x:v>
      </x:c>
      <x:c r="K21" s="22" t="str">
        <x:v>LC2609</x:v>
      </x:c>
    </x:row>
    <x:row r="22">
      <x:c r="A22" s="22" t="n">
        <x:v>19</x:v>
      </x:c>
      <x:c r="B22" s="22" t="str">
        <x:v>周四</x:v>
      </x:c>
      <x:c r="C22" s="22" t="str">
        <x:v>8月27日</x:v>
      </x:c>
      <x:c r="D22" s="23" t="n">
        <x:v>149860</x:v>
      </x:c>
      <x:c r="E22" s="23" t="n">
        <x:v>153140</x:v>
      </x:c>
      <x:c r="F22" s="23" t="n">
        <x:v>149120</x:v>
      </x:c>
      <x:c r="G22" s="23" t="n">
        <x:v>150300</x:v>
      </x:c>
      <x:c r="H22" s="28" t="n">
        <x:v>-280</x:v>
      </x:c>
      <x:c r="I22" s="24" t="n">
        <x:v>-0.001859476690131534</x:v>
      </x:c>
      <x:c r="J22" s="23" t="n">
        <x:f>ROUND(E22-F22,1)</x:f>
        <x:v>4020</x:v>
      </x:c>
      <x:c r="K22" s="22" t="str">
        <x:v>LC2609</x:v>
      </x:c>
    </x:row>
    <x:row r="23">
      <x:c r="A23" s="22" t="n">
        <x:v>20</x:v>
      </x:c>
      <x:c r="B23" s="22" t="str">
        <x:v>周五</x:v>
      </x:c>
      <x:c r="C23" s="22" t="str">
        <x:v>8月28日</x:v>
      </x:c>
      <x:c r="D23" s="23" t="n">
        <x:v>149380</x:v>
      </x:c>
      <x:c r="E23" s="23" t="n">
        <x:v>157200</x:v>
      </x:c>
      <x:c r="F23" s="23" t="n">
        <x:v>149380</x:v>
      </x:c>
      <x:c r="G23" s="23" t="n">
        <x:v>157080</x:v>
      </x:c>
      <x:c r="H23" s="28" t="n">
        <x:v>6780</x:v>
      </x:c>
      <x:c r="I23" s="24" t="n">
        <x:v>0.04510978043912184</x:v>
      </x:c>
      <x:c r="J23" s="26" t="n">
        <x:f>ROUND(E23-F23,1)</x:f>
        <x:v>7820</x:v>
      </x:c>
      <x:c r="K23" s="22" t="str">
        <x:v>LC2609</x:v>
      </x:c>
    </x:row>
    <x:row r="26">
      <x:c r="A26" s="31" t="str">
        <x:v>合计</x:v>
      </x:c>
      <x:c r="B26" s="30" t="n">
        <x:v>20</x:v>
      </x:c>
      <x:c r="C26" s="30"/>
      <x:c r="D26" s="30"/>
      <x:c r="E26" s="30"/>
      <x:c r="F26" s="30"/>
      <x:c r="G26" s="30"/>
      <x:c r="H26" s="30"/>
      <x:c r="I26" s="30"/>
      <x:c r="J26" s="32" t="n">
        <x:f>SUM(J4:J23)</x:f>
        <x:v>106720</x:v>
      </x:c>
      <x:c r="K26" s="30"/>
    </x:row>
    <x:row r="27">
      <x:c r="A27" s="31" t="str">
        <x:v>均值</x:v>
      </x:c>
      <x:c r="B27" s="30"/>
      <x:c r="C27" s="30"/>
      <x:c r="D27" s="30"/>
      <x:c r="E27" s="30"/>
      <x:c r="F27" s="30"/>
      <x:c r="G27" s="30"/>
      <x:c r="H27" s="30"/>
      <x:c r="I27" s="30"/>
      <x:c r="J27" s="34" t="n">
        <x:f>ROUND(IFERROR(AVERAGE(J4:J23),0),1)</x:f>
        <x:v>5336</x:v>
      </x:c>
      <x:c r="K27" s="30"/>
    </x:row>
  </x:sheetData>
  <x:mergeCells>
    <x:mergeCell ref="A1:K1"/>
  </x:mergeCells>
  <x:pageMargins left="0.7" right="0.7" top="0.75" bottom="0.75" header="0.3" footer="0.3"/>
</x:worksheet>
</file>