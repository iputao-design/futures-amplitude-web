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27ff2865f44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84368c529bb4b39"/>
    <x:sheet xmlns:r="http://schemas.openxmlformats.org/officeDocument/2006/relationships" name="周振幅统计" sheetId="2" r:id="Re61cdfe2734f44e4"/>
    <x:sheet xmlns:r="http://schemas.openxmlformats.org/officeDocument/2006/relationships" name="中证1000" sheetId="3" r:id="R54ecd4dcc73047d1"/>
    <x:sheet xmlns:r="http://schemas.openxmlformats.org/officeDocument/2006/relationships" name="中证500" sheetId="4" r:id="R52ee679d281f4b2d"/>
    <x:sheet xmlns:r="http://schemas.openxmlformats.org/officeDocument/2006/relationships" name="上证指数" sheetId="5" r:id="Rf25f5d267cb94f46"/>
    <x:sheet xmlns:r="http://schemas.openxmlformats.org/officeDocument/2006/relationships" name="IM主力" sheetId="6" r:id="Rac3871daa08d48dc"/>
    <x:sheet xmlns:r="http://schemas.openxmlformats.org/officeDocument/2006/relationships" name="IC主力" sheetId="7" r:id="R4fa1cdde7fa14a5a"/>
    <x:sheet xmlns:r="http://schemas.openxmlformats.org/officeDocument/2006/relationships" name="IF主力" sheetId="8" r:id="Rcfb5e916cd574136"/>
    <x:sheet xmlns:r="http://schemas.openxmlformats.org/officeDocument/2006/relationships" name="IH主力" sheetId="9" r:id="R47623ef079d74707"/>
    <x:sheet xmlns:r="http://schemas.openxmlformats.org/officeDocument/2006/relationships" name="碳酸锂2610" sheetId="10" r:id="R5756bae3d5b44f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7626a86e3a419b" /><Relationship Type="http://schemas.openxmlformats.org/officeDocument/2006/relationships/theme" Target="/xl/theme/theme1.xml" Id="Rfa29eac4e5ed437f" /><Relationship Type="http://schemas.openxmlformats.org/officeDocument/2006/relationships/sharedStrings" Target="/xl/sharedStrings.xml" Id="R8c302ee0b9154c67" /><Relationship Type="http://schemas.openxmlformats.org/officeDocument/2006/relationships/worksheet" Target="/xl/worksheets/sheet1.xml" Id="Rf84368c529bb4b39" /><Relationship Type="http://schemas.openxmlformats.org/officeDocument/2006/relationships/worksheet" Target="/xl/worksheets/sheet2.xml" Id="Re61cdfe2734f44e4" /><Relationship Type="http://schemas.openxmlformats.org/officeDocument/2006/relationships/worksheet" Target="/xl/worksheets/sheet3.xml" Id="R54ecd4dcc73047d1" /><Relationship Type="http://schemas.openxmlformats.org/officeDocument/2006/relationships/worksheet" Target="/xl/worksheets/sheet4.xml" Id="R52ee679d281f4b2d" /><Relationship Type="http://schemas.openxmlformats.org/officeDocument/2006/relationships/worksheet" Target="/xl/worksheets/sheet5.xml" Id="Rf25f5d267cb94f46" /><Relationship Type="http://schemas.openxmlformats.org/officeDocument/2006/relationships/worksheet" Target="/xl/worksheets/sheet6.xml" Id="Rac3871daa08d48dc" /><Relationship Type="http://schemas.openxmlformats.org/officeDocument/2006/relationships/worksheet" Target="/xl/worksheets/sheet7.xml" Id="R4fa1cdde7fa14a5a" /><Relationship Type="http://schemas.openxmlformats.org/officeDocument/2006/relationships/worksheet" Target="/xl/worksheets/sheet8.xml" Id="Rcfb5e916cd574136" /><Relationship Type="http://schemas.openxmlformats.org/officeDocument/2006/relationships/worksheet" Target="/xl/worksheets/sheet9.xml" Id="R47623ef079d74707" /><Relationship Type="http://schemas.openxmlformats.org/officeDocument/2006/relationships/worksheet" Target="/xl/worksheets/sheet10.xml" Id="R5756bae3d5b44f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2026-10-26</x:v>
      </x:c>
      <x:c r="C4" s="10" t="n">
        <x:v>6704.68</x:v>
      </x:c>
      <x:c r="D4" s="10" t="n">
        <x:v>6589.13</x:v>
      </x:c>
      <x:c r="E4" s="12" t="n">
        <x:v>115.6</x:v>
      </x:c>
      <x:c r="F4" s="9" t="n">
        <x:v>13</x:v>
      </x:c>
      <x:c r="G4" s="10" t="n">
        <x:v>2686.4</x:v>
      </x:c>
      <x:c r="H4" s="10" t="n">
        <x:v>206.6</x:v>
      </x:c>
      <x:c r="I4" s="10" t="n">
        <x:v>180</x:v>
      </x:c>
    </x:row>
    <x:row r="5">
      <x:c r="A5" s="9" t="str">
        <x:v>中证500</x:v>
      </x:c>
      <x:c r="B5" s="9" t="str">
        <x:v>2026-10-26</x:v>
      </x:c>
      <x:c r="C5" s="10" t="n">
        <x:v>6787.32</x:v>
      </x:c>
      <x:c r="D5" s="10" t="n">
        <x:v>6674.4</x:v>
      </x:c>
      <x:c r="E5" s="12" t="n">
        <x:v>112.9</x:v>
      </x:c>
      <x:c r="F5" s="9" t="n">
        <x:v>13</x:v>
      </x:c>
      <x:c r="G5" s="10" t="n">
        <x:v>2497.5</x:v>
      </x:c>
      <x:c r="H5" s="10" t="n">
        <x:v>192.1</x:v>
      </x:c>
      <x:c r="I5" s="10" t="n">
        <x:v>160</x:v>
      </x:c>
    </x:row>
    <x:row r="6">
      <x:c r="A6" s="9" t="str">
        <x:v>上证指数</x:v>
      </x:c>
      <x:c r="B6" s="9" t="str">
        <x:v>2026-10-26</x:v>
      </x:c>
      <x:c r="C6" s="10" t="n">
        <x:v>3699.01</x:v>
      </x:c>
      <x:c r="D6" s="10" t="n">
        <x:v>3664.82</x:v>
      </x:c>
      <x:c r="E6" s="12" t="n">
        <x:v>34.2</x:v>
      </x:c>
      <x:c r="F6" s="9" t="n">
        <x:v>13</x:v>
      </x:c>
      <x:c r="G6" s="10" t="n">
        <x:v>771.2</x:v>
      </x:c>
      <x:c r="H6" s="10" t="n">
        <x:v>59.3</x:v>
      </x:c>
      <x:c r="I6" s="10" t="n">
        <x:v>50</x:v>
      </x:c>
    </x:row>
    <x:row r="7">
      <x:c r="A7" s="9" t="str">
        <x:v>IM主力</x:v>
      </x:c>
      <x:c r="B7" s="9" t="str">
        <x:v>2026-10-26</x:v>
      </x:c>
      <x:c r="C7" s="10" t="n">
        <x:v>6630</x:v>
      </x:c>
      <x:c r="D7" s="10" t="n">
        <x:v>6494</x:v>
      </x:c>
      <x:c r="E7" s="12" t="n">
        <x:v>136</x:v>
      </x:c>
      <x:c r="F7" s="9" t="n">
        <x:v>13</x:v>
      </x:c>
      <x:c r="G7" s="10" t="n">
        <x:v>2868</x:v>
      </x:c>
      <x:c r="H7" s="10" t="n">
        <x:v>220.6</x:v>
      </x:c>
      <x:c r="I7" s="10" t="n">
        <x:v>190</x:v>
      </x:c>
    </x:row>
    <x:row r="8">
      <x:c r="A8" s="9" t="str">
        <x:v>IC主力</x:v>
      </x:c>
      <x:c r="B8" s="9" t="str">
        <x:v>2026-10-26</x:v>
      </x:c>
      <x:c r="C8" s="10" t="n">
        <x:v>6711.4</x:v>
      </x:c>
      <x:c r="D8" s="10" t="n">
        <x:v>6573.6</x:v>
      </x:c>
      <x:c r="E8" s="12" t="n">
        <x:v>137.8</x:v>
      </x:c>
      <x:c r="F8" s="9" t="n">
        <x:v>13</x:v>
      </x:c>
      <x:c r="G8" s="10" t="n">
        <x:v>2768.4</x:v>
      </x:c>
      <x:c r="H8" s="10" t="n">
        <x:v>213</x:v>
      </x:c>
      <x:c r="I8" s="10" t="n">
        <x:v>150</x:v>
      </x:c>
    </x:row>
    <x:row r="9">
      <x:c r="A9" s="9" t="str">
        <x:v>IF主力</x:v>
      </x:c>
      <x:c r="B9" s="9" t="str">
        <x:v>2026-10-26</x:v>
      </x:c>
      <x:c r="C9" s="10" t="n">
        <x:v>4049.8</x:v>
      </x:c>
      <x:c r="D9" s="10" t="n">
        <x:v>3996.4</x:v>
      </x:c>
      <x:c r="E9" s="12" t="n">
        <x:v>53.4</x:v>
      </x:c>
      <x:c r="F9" s="9" t="n">
        <x:v>13</x:v>
      </x:c>
      <x:c r="G9" s="10" t="n">
        <x:v>1124</x:v>
      </x:c>
      <x:c r="H9" s="10" t="n">
        <x:v>86.5</x:v>
      </x:c>
      <x:c r="I9" s="10" t="n">
        <x:v>90</x:v>
      </x:c>
    </x:row>
    <x:row r="10">
      <x:c r="A10" s="9" t="str">
        <x:v>IH主力</x:v>
      </x:c>
      <x:c r="B10" s="9" t="str">
        <x:v>2026-10-26</x:v>
      </x:c>
      <x:c r="C10" s="10" t="n">
        <x:v>2724</x:v>
      </x:c>
      <x:c r="D10" s="10" t="n">
        <x:v>2691.2</x:v>
      </x:c>
      <x:c r="E10" s="12" t="n">
        <x:v>32.8</x:v>
      </x:c>
      <x:c r="F10" s="9" t="n">
        <x:v>13</x:v>
      </x:c>
      <x:c r="G10" s="10" t="n">
        <x:v>618.2</x:v>
      </x:c>
      <x:c r="H10" s="10" t="n">
        <x:v>47.6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</x:v>
      </x:c>
      <x:c r="C8" s="23" t="n">
        <x:v>6684.93</x:v>
      </x:c>
      <x:c r="D8" s="23" t="n">
        <x:v>6704.68</x:v>
      </x:c>
      <x:c r="E8" s="23" t="n">
        <x:v>6589.13</x:v>
      </x:c>
      <x:c r="F8" s="23" t="n">
        <x:v>6630.78</x:v>
      </x:c>
      <x:c r="G8" s="23" t="n">
        <x:f>ROUND(F8-F7,1)</x:f>
        <x:v>-103.8</x:v>
      </x:c>
      <x:c r="H8" s="24" t="n">
        <x:f>IFERROR(F8/F7-1,"")</x:f>
        <x:v>-0.015408601911040876</x:v>
      </x:c>
      <x:c r="I8" s="23" t="n">
        <x:f>ROUND(D8-E8,1)</x:f>
        <x:v>115.6</x:v>
      </x:c>
      <x:c r="J8" s="22" t="str">
        <x:v>中证1000</x:v>
      </x:c>
      <x:c r="K8" s="22" t="n">
        <x:v>1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1654.2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413.6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</x:v>
      </x:c>
      <x:c r="C17" s="23" t="n">
        <x:v>6756.46</x:v>
      </x:c>
      <x:c r="D17" s="23" t="n">
        <x:v>6787.32</x:v>
      </x:c>
      <x:c r="E17" s="23" t="n">
        <x:v>6674.4</x:v>
      </x:c>
      <x:c r="F17" s="23" t="n">
        <x:v>6712.73</x:v>
      </x:c>
      <x:c r="G17" s="23" t="n">
        <x:f>ROUND(F17-F16,1)</x:f>
        <x:v>-101.7</x:v>
      </x:c>
      <x:c r="H17" s="24" t="n">
        <x:f>IFERROR(F17/F16-1,"")</x:f>
        <x:v>-0.0149256578677045</x:v>
      </x:c>
      <x:c r="I17" s="23" t="n">
        <x:f>ROUND(D17-E17,1)</x:f>
        <x:v>112.9</x:v>
      </x:c>
      <x:c r="J17" s="22" t="str">
        <x:v>中证500</x:v>
      </x:c>
      <x:c r="K17" s="22" t="n">
        <x:v>1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1543.9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386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</x:v>
      </x:c>
      <x:c r="C26" s="23" t="n">
        <x:v>3671</x:v>
      </x:c>
      <x:c r="D26" s="23" t="n">
        <x:v>3699.01</x:v>
      </x:c>
      <x:c r="E26" s="23" t="n">
        <x:v>3664.82</x:v>
      </x:c>
      <x:c r="F26" s="23" t="n">
        <x:v>3697.52</x:v>
      </x:c>
      <x:c r="G26" s="23" t="n">
        <x:f>ROUND(F26-F25,1)</x:f>
        <x:v>7</x:v>
      </x:c>
      <x:c r="H26" s="24" t="n">
        <x:f>IFERROR(F26/F25-1,"")</x:f>
        <x:v>0.0019076109340789849</x:v>
      </x:c>
      <x:c r="I26" s="23" t="n">
        <x:f>ROUND(D26-E26,1)</x:f>
        <x:v>34.2</x:v>
      </x:c>
      <x:c r="J26" s="22" t="str">
        <x:v>上证指数</x:v>
      </x:c>
      <x:c r="K26" s="22" t="n">
        <x:v>1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467.1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116.8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</x:v>
      </x:c>
      <x:c r="C35" s="23" t="n">
        <x:v>6618</x:v>
      </x:c>
      <x:c r="D35" s="23" t="n">
        <x:v>6630</x:v>
      </x:c>
      <x:c r="E35" s="23" t="n">
        <x:v>6494</x:v>
      </x:c>
      <x:c r="F35" s="23" t="n">
        <x:v>6555.8</x:v>
      </x:c>
      <x:c r="G35" s="23" t="n">
        <x:f>ROUND(F35-F34,1)</x:f>
        <x:v>-104.2</x:v>
      </x:c>
      <x:c r="H35" s="24" t="n">
        <x:f>IFERROR(F35/F34-1,"")</x:f>
        <x:v>-0.015645645645645634</x:v>
      </x:c>
      <x:c r="I35" s="23" t="n">
        <x:f>ROUND(D35-E35,1)</x:f>
        <x:v>136</x:v>
      </x:c>
      <x:c r="J35" s="22" t="str">
        <x:v>IM2612</x:v>
      </x:c>
      <x:c r="K35" s="22" t="n">
        <x:v>1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1667.2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416.8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</x:v>
      </x:c>
      <x:c r="C44" s="23" t="n">
        <x:v>6700</x:v>
      </x:c>
      <x:c r="D44" s="23" t="n">
        <x:v>6711.4</x:v>
      </x:c>
      <x:c r="E44" s="23" t="n">
        <x:v>6573.6</x:v>
      </x:c>
      <x:c r="F44" s="23" t="n">
        <x:v>6637</x:v>
      </x:c>
      <x:c r="G44" s="23" t="n">
        <x:f>ROUND(F44-F43,1)</x:f>
        <x:v>-105</x:v>
      </x:c>
      <x:c r="H44" s="24" t="n">
        <x:f>IFERROR(F44/F43-1,"")</x:f>
        <x:v>-0.015574013645802465</x:v>
      </x:c>
      <x:c r="I44" s="23" t="n">
        <x:f>ROUND(D44-E44,1)</x:f>
        <x:v>137.8</x:v>
      </x:c>
      <x:c r="J44" s="22" t="str">
        <x:v>IC2612</x:v>
      </x:c>
      <x:c r="K44" s="22" t="n">
        <x:v>1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1617.2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404.3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</x:v>
      </x:c>
      <x:c r="C53" s="23" t="n">
        <x:v>4034</x:v>
      </x:c>
      <x:c r="D53" s="23" t="n">
        <x:v>4049.8</x:v>
      </x:c>
      <x:c r="E53" s="23" t="n">
        <x:v>3996.4</x:v>
      </x:c>
      <x:c r="F53" s="23" t="n">
        <x:v>4049</x:v>
      </x:c>
      <x:c r="G53" s="23" t="n">
        <x:f>ROUND(F53-F52,1)</x:f>
        <x:v>-6</x:v>
      </x:c>
      <x:c r="H53" s="24" t="n">
        <x:f>IFERROR(F53/F52-1,"")</x:f>
        <x:v>-0.0014796547472256671</x:v>
      </x:c>
      <x:c r="I53" s="23" t="n">
        <x:f>ROUND(D53-E53,1)</x:f>
        <x:v>53.4</x:v>
      </x:c>
      <x:c r="J53" s="22" t="str">
        <x:v>IF2612</x:v>
      </x:c>
      <x:c r="K53" s="22" t="n">
        <x:v>1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675.6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168.9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</x:v>
      </x:c>
      <x:c r="C62" s="23" t="n">
        <x:v>2711</x:v>
      </x:c>
      <x:c r="D62" s="23" t="n">
        <x:v>2724</x:v>
      </x:c>
      <x:c r="E62" s="23" t="n">
        <x:v>2691.2</x:v>
      </x:c>
      <x:c r="F62" s="23" t="n">
        <x:v>2721.8</x:v>
      </x:c>
      <x:c r="G62" s="23" t="n">
        <x:f>ROUND(F62-F61,1)</x:f>
        <x:v>2.8</x:v>
      </x:c>
      <x:c r="H62" s="24" t="n">
        <x:f>IFERROR(F62/F61-1,"")</x:f>
        <x:v>0.0010297903641045547</x:v>
      </x:c>
      <x:c r="I62" s="23" t="n">
        <x:f>ROUND(D62-E62,1)</x:f>
        <x:v>32.8</x:v>
      </x:c>
      <x:c r="J62" s="22" t="str">
        <x:v>IH2612</x:v>
      </x:c>
      <x:c r="K62" s="22" t="n">
        <x:v>1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329.2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82.3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2686.3999999999996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206.6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2497.5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192.1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771.2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59.3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2868.0000000000005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220.6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2768.4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213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1124.0000000000002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86.5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618.2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47.6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