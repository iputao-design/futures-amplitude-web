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e0f939652246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7637537ca1584f80"/>
    <x:sheet xmlns:r="http://schemas.openxmlformats.org/officeDocument/2006/relationships" name="周振幅统计" sheetId="2" r:id="R197dbeb25c394002"/>
    <x:sheet xmlns:r="http://schemas.openxmlformats.org/officeDocument/2006/relationships" name="中证1000" sheetId="3" r:id="R6e7345ff714741ca"/>
    <x:sheet xmlns:r="http://schemas.openxmlformats.org/officeDocument/2006/relationships" name="中证500" sheetId="4" r:id="R96eca8515006405c"/>
    <x:sheet xmlns:r="http://schemas.openxmlformats.org/officeDocument/2006/relationships" name="上证指数" sheetId="5" r:id="R125fbfec7e1f4135"/>
    <x:sheet xmlns:r="http://schemas.openxmlformats.org/officeDocument/2006/relationships" name="IM主力" sheetId="6" r:id="R83a0c2406bbb4657"/>
    <x:sheet xmlns:r="http://schemas.openxmlformats.org/officeDocument/2006/relationships" name="IC主力" sheetId="7" r:id="Rd6e1f6f5325842ec"/>
    <x:sheet xmlns:r="http://schemas.openxmlformats.org/officeDocument/2006/relationships" name="IF主力" sheetId="8" r:id="Rda4d290680b34a22"/>
    <x:sheet xmlns:r="http://schemas.openxmlformats.org/officeDocument/2006/relationships" name="IH主力" sheetId="9" r:id="R54052f26d0fb44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8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dc596fa15f48a5" /><Relationship Type="http://schemas.openxmlformats.org/officeDocument/2006/relationships/theme" Target="/xl/theme/theme1.xml" Id="R9753ad7f78ec4ca6" /><Relationship Type="http://schemas.openxmlformats.org/officeDocument/2006/relationships/sharedStrings" Target="/xl/sharedStrings.xml" Id="R3b29b847fd04498c" /><Relationship Type="http://schemas.openxmlformats.org/officeDocument/2006/relationships/worksheet" Target="/xl/worksheets/sheet1.xml" Id="R7637537ca1584f80" /><Relationship Type="http://schemas.openxmlformats.org/officeDocument/2006/relationships/worksheet" Target="/xl/worksheets/sheet2.xml" Id="R197dbeb25c394002" /><Relationship Type="http://schemas.openxmlformats.org/officeDocument/2006/relationships/worksheet" Target="/xl/worksheets/sheet3.xml" Id="R6e7345ff714741ca" /><Relationship Type="http://schemas.openxmlformats.org/officeDocument/2006/relationships/worksheet" Target="/xl/worksheets/sheet4.xml" Id="R96eca8515006405c" /><Relationship Type="http://schemas.openxmlformats.org/officeDocument/2006/relationships/worksheet" Target="/xl/worksheets/sheet5.xml" Id="R125fbfec7e1f4135" /><Relationship Type="http://schemas.openxmlformats.org/officeDocument/2006/relationships/worksheet" Target="/xl/worksheets/sheet6.xml" Id="R83a0c2406bbb4657" /><Relationship Type="http://schemas.openxmlformats.org/officeDocument/2006/relationships/worksheet" Target="/xl/worksheets/sheet7.xml" Id="Rd6e1f6f5325842ec" /><Relationship Type="http://schemas.openxmlformats.org/officeDocument/2006/relationships/worksheet" Target="/xl/worksheets/sheet8.xml" Id="Rda4d290680b34a22" /><Relationship Type="http://schemas.openxmlformats.org/officeDocument/2006/relationships/worksheet" Target="/xl/worksheets/sheet9.xml" Id="R54052f26d0fb44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2026-08-03</x:v>
      </x:c>
      <x:c r="C4" s="10" t="n">
        <x:v>7118.1</x:v>
      </x:c>
      <x:c r="D4" s="10" t="n">
        <x:v>7042.89</x:v>
      </x:c>
      <x:c r="E4" s="12" t="n">
        <x:v>75.2</x:v>
      </x:c>
      <x:c r="F4" s="9" t="n">
        <x:v>1</x:v>
      </x:c>
      <x:c r="G4" s="10" t="n">
        <x:v>75.2</x:v>
      </x:c>
      <x:c r="H4" s="10" t="n">
        <x:v>75.2</x:v>
      </x:c>
      <x:c r="I4" s="10" t="n">
        <x:v>180</x:v>
      </x:c>
    </x:row>
    <x:row r="5">
      <x:c r="A5" s="9" t="str">
        <x:v>中证500</x:v>
      </x:c>
      <x:c r="B5" s="9" t="str">
        <x:v>2026-08-03</x:v>
      </x:c>
      <x:c r="C5" s="10" t="n">
        <x:v>7499.58</x:v>
      </x:c>
      <x:c r="D5" s="10" t="n">
        <x:v>7397.94</x:v>
      </x:c>
      <x:c r="E5" s="12" t="n">
        <x:v>101.6</x:v>
      </x:c>
      <x:c r="F5" s="9" t="n">
        <x:v>1</x:v>
      </x:c>
      <x:c r="G5" s="10" t="n">
        <x:v>101.6</x:v>
      </x:c>
      <x:c r="H5" s="10" t="n">
        <x:v>101.6</x:v>
      </x:c>
      <x:c r="I5" s="10" t="n">
        <x:v>160</x:v>
      </x:c>
    </x:row>
    <x:row r="6">
      <x:c r="A6" s="9" t="str">
        <x:v>上证指数</x:v>
      </x:c>
      <x:c r="B6" s="9" t="str">
        <x:v>2026-08-03</x:v>
      </x:c>
      <x:c r="C6" s="10" t="n">
        <x:v>3827.64</x:v>
      </x:c>
      <x:c r="D6" s="10" t="n">
        <x:v>3797.64</x:v>
      </x:c>
      <x:c r="E6" s="12" t="n">
        <x:v>30</x:v>
      </x:c>
      <x:c r="F6" s="9" t="n">
        <x:v>1</x:v>
      </x:c>
      <x:c r="G6" s="10" t="n">
        <x:v>30</x:v>
      </x:c>
      <x:c r="H6" s="10" t="n">
        <x:v>30</x:v>
      </x:c>
      <x:c r="I6" s="10" t="n">
        <x:v>50</x:v>
      </x:c>
    </x:row>
    <x:row r="7">
      <x:c r="A7" s="9" t="str">
        <x:v>IM主力</x:v>
      </x:c>
      <x:c r="B7" s="9" t="str"/>
      <x:c r="C7" s="10" t="str"/>
      <x:c r="D7" s="10" t="str"/>
      <x:c r="E7" s="12" t="str"/>
      <x:c r="F7" s="9" t="n">
        <x:v>0</x:v>
      </x:c>
      <x:c r="G7" s="10" t="n">
        <x:v>0</x:v>
      </x:c>
      <x:c r="H7" s="10" t="str"/>
      <x:c r="I7" s="10" t="n">
        <x:v>190</x:v>
      </x:c>
    </x:row>
    <x:row r="8">
      <x:c r="A8" s="9" t="str">
        <x:v>IC主力</x:v>
      </x:c>
      <x:c r="B8" s="9" t="str">
        <x:v>2026-08-03</x:v>
      </x:c>
      <x:c r="C8" s="10" t="n">
        <x:v>7440</x:v>
      </x:c>
      <x:c r="D8" s="10" t="n">
        <x:v>7335</x:v>
      </x:c>
      <x:c r="E8" s="12" t="n">
        <x:v>105</x:v>
      </x:c>
      <x:c r="F8" s="9" t="n">
        <x:v>1</x:v>
      </x:c>
      <x:c r="G8" s="10" t="n">
        <x:v>105</x:v>
      </x:c>
      <x:c r="H8" s="10" t="n">
        <x:v>105</x:v>
      </x:c>
      <x:c r="I8" s="10" t="n">
        <x:v>150</x:v>
      </x:c>
    </x:row>
    <x:row r="9">
      <x:c r="A9" s="9" t="str">
        <x:v>IF主力</x:v>
      </x:c>
      <x:c r="B9" s="9" t="str">
        <x:v>2026-08-03</x:v>
      </x:c>
      <x:c r="C9" s="10" t="n">
        <x:v>4538</x:v>
      </x:c>
      <x:c r="D9" s="10" t="n">
        <x:v>4494.2</x:v>
      </x:c>
      <x:c r="E9" s="12" t="n">
        <x:v>43.8</x:v>
      </x:c>
      <x:c r="F9" s="9" t="n">
        <x:v>1</x:v>
      </x:c>
      <x:c r="G9" s="10" t="n">
        <x:v>43.8</x:v>
      </x:c>
      <x:c r="H9" s="10" t="n">
        <x:v>43.8</x:v>
      </x:c>
      <x:c r="I9" s="10" t="n">
        <x:v>90</x:v>
      </x:c>
    </x:row>
    <x:row r="10">
      <x:c r="A10" s="9" t="str">
        <x:v>IH主力</x:v>
      </x:c>
      <x:c r="B10" s="9" t="str">
        <x:v>2026-08-03</x:v>
      </x:c>
      <x:c r="C10" s="10" t="n">
        <x:v>2890</x:v>
      </x:c>
      <x:c r="D10" s="10" t="n">
        <x:v>2845.8</x:v>
      </x:c>
      <x:c r="E10" s="12" t="n">
        <x:v>44.2</x:v>
      </x:c>
      <x:c r="F10" s="9" t="n">
        <x:v>1</x:v>
      </x:c>
      <x:c r="G10" s="10" t="n">
        <x:v>44.2</x:v>
      </x:c>
      <x:c r="H10" s="10" t="n">
        <x:v>44.2</x:v>
      </x:c>
      <x:c r="I10" s="10" t="n">
        <x:v>60</x:v>
      </x:c>
    </x:row>
    <x:row r="13">
      <x:c r="A13" s="14" t="str">
        <x:v>统计区间</x:v>
      </x:c>
      <x:c r="B13" s="14" t="str">
        <x:v>2026-08-01</x:v>
      </x:c>
      <x:c r="C13" s="14" t="str">
        <x:v>2026-08-03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https://web.ifzq.gtimg.cn/appstock/app/fqkline/get?param=sh000852,day,,,80,qfq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https://web.ifzq.gtimg.cn/appstock/app/fqkline/get?param=sh000905,day,,,80,qfq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https://web.ifzq.gtimg.cn/appstock/app/fqkline/get?param=sh000001,day,,,80,qfq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</x:v>
      </x:c>
      <x:c r="C5" s="23" t="n">
        <x:v>7055.27</x:v>
      </x:c>
      <x:c r="D5" s="23" t="n">
        <x:v>7118.1</x:v>
      </x:c>
      <x:c r="E5" s="23" t="n">
        <x:v>7042.89</x:v>
      </x:c>
      <x:c r="F5" s="23" t="n">
        <x:v>7079.78</x:v>
      </x:c>
      <x:c r="G5" s="23"/>
      <x:c r="H5" s="24"/>
      <x:c r="I5" s="23" t="n">
        <x:f>ROUND(D5-E5,1)</x:f>
        <x:v>75.2</x:v>
      </x:c>
      <x:c r="J5" s="22" t="str">
        <x:v>中证1000</x:v>
      </x:c>
      <x:c r="K5" s="22" t="n">
        <x:v>1</x:v>
      </x:c>
    </x:row>
    <x:row r="6">
      <x:c r="A6" s="27" t="str">
        <x:v>合计</x:v>
      </x:c>
      <x:c r="B6" s="26" t="n">
        <x:v>1</x:v>
      </x:c>
      <x:c r="C6" s="26"/>
      <x:c r="D6" s="26"/>
      <x:c r="E6" s="26"/>
      <x:c r="F6" s="26"/>
      <x:c r="G6" s="26"/>
      <x:c r="H6" s="26"/>
      <x:c r="I6" s="28" t="n">
        <x:f>ROUND(SUM(I5:I5),1)</x:f>
        <x:v>75.2</x:v>
      </x:c>
      <x:c r="J6" s="26"/>
      <x:c r="K6" s="26"/>
    </x:row>
    <x:row r="7">
      <x:c r="A7" s="27" t="str">
        <x:v>均值</x:v>
      </x:c>
      <x:c r="B7" s="26"/>
      <x:c r="C7" s="26"/>
      <x:c r="D7" s="26"/>
      <x:c r="E7" s="26"/>
      <x:c r="F7" s="26"/>
      <x:c r="G7" s="26"/>
      <x:c r="H7" s="26"/>
      <x:c r="I7" s="30" t="n">
        <x:f>ROUND(IFERROR(AVERAGE(I5:I5),0),1)</x:f>
        <x:v>75.2</x:v>
      </x:c>
      <x:c r="J7" s="26"/>
      <x:c r="K7" s="26"/>
    </x:row>
    <x:row r="9">
      <x:c r="A9" s="17" t="str">
        <x:v>中证500</x:v>
      </x:c>
      <x:c r="B9" s="17"/>
      <x:c r="C9" s="17"/>
      <x:c r="D9" s="17"/>
      <x:c r="E9" s="17"/>
      <x:c r="F9" s="17"/>
      <x:c r="G9" s="17"/>
      <x:c r="H9" s="17"/>
      <x:c r="I9" s="17"/>
      <x:c r="J9" s="17"/>
      <x:c r="K9" s="17"/>
    </x:row>
    <x:row r="10">
      <x:c r="A10" s="20" t="str">
        <x:v>序号</x:v>
      </x:c>
      <x:c r="B10" s="20" t="str">
        <x:v>周期</x:v>
      </x:c>
      <x:c r="C10" s="20" t="str">
        <x:v>开盘</x:v>
      </x:c>
      <x:c r="D10" s="20" t="str">
        <x:v>高点</x:v>
      </x:c>
      <x:c r="E10" s="20" t="str">
        <x:v>低点</x:v>
      </x:c>
      <x:c r="F10" s="20" t="str">
        <x:v>收盘</x:v>
      </x:c>
      <x:c r="G10" s="20" t="str">
        <x:v>涨跌点数</x:v>
      </x:c>
      <x:c r="H10" s="20" t="str">
        <x:v>涨幅</x:v>
      </x:c>
      <x:c r="I10" s="20" t="str">
        <x:v>振幅</x:v>
      </x:c>
      <x:c r="J10" s="20" t="str">
        <x:v>标的</x:v>
      </x:c>
      <x:c r="K10" s="20" t="str">
        <x:v>交易日</x:v>
      </x:c>
    </x:row>
    <x:row r="11">
      <x:c r="A11" s="22" t="n">
        <x:v>1</x:v>
      </x:c>
      <x:c r="B11" s="22" t="str">
        <x:v>8月3日</x:v>
      </x:c>
      <x:c r="C11" s="23" t="n">
        <x:v>7457.12</x:v>
      </x:c>
      <x:c r="D11" s="23" t="n">
        <x:v>7499.58</x:v>
      </x:c>
      <x:c r="E11" s="23" t="n">
        <x:v>7397.94</x:v>
      </x:c>
      <x:c r="F11" s="23" t="n">
        <x:v>7414.52</x:v>
      </x:c>
      <x:c r="G11" s="23"/>
      <x:c r="H11" s="24"/>
      <x:c r="I11" s="23" t="n">
        <x:f>ROUND(D11-E11,1)</x:f>
        <x:v>101.6</x:v>
      </x:c>
      <x:c r="J11" s="22" t="str">
        <x:v>中证500</x:v>
      </x:c>
      <x:c r="K11" s="22" t="n">
        <x:v>1</x:v>
      </x:c>
    </x:row>
    <x:row r="12">
      <x:c r="A12" s="27" t="str">
        <x:v>合计</x:v>
      </x:c>
      <x:c r="B12" s="26" t="n">
        <x:v>1</x:v>
      </x:c>
      <x:c r="C12" s="26"/>
      <x:c r="D12" s="26"/>
      <x:c r="E12" s="26"/>
      <x:c r="F12" s="26"/>
      <x:c r="G12" s="26"/>
      <x:c r="H12" s="26"/>
      <x:c r="I12" s="28" t="n">
        <x:f>ROUND(SUM(I11:I11),1)</x:f>
        <x:v>101.6</x:v>
      </x:c>
      <x:c r="J12" s="26"/>
      <x:c r="K12" s="26"/>
    </x:row>
    <x:row r="13">
      <x:c r="A13" s="27" t="str">
        <x:v>均值</x:v>
      </x:c>
      <x:c r="B13" s="26"/>
      <x:c r="C13" s="26"/>
      <x:c r="D13" s="26"/>
      <x:c r="E13" s="26"/>
      <x:c r="F13" s="26"/>
      <x:c r="G13" s="26"/>
      <x:c r="H13" s="26"/>
      <x:c r="I13" s="30" t="n">
        <x:f>ROUND(IFERROR(AVERAGE(I11:I11),0),1)</x:f>
        <x:v>101.6</x:v>
      </x:c>
      <x:c r="J13" s="26"/>
      <x:c r="K13" s="26"/>
    </x:row>
    <x:row r="15">
      <x:c r="A15" s="17" t="str">
        <x:v>上证指数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2" t="n">
        <x:v>1</x:v>
      </x:c>
      <x:c r="B17" s="22" t="str">
        <x:v>8月3日</x:v>
      </x:c>
      <x:c r="C17" s="23" t="n">
        <x:v>3812.61</x:v>
      </x:c>
      <x:c r="D17" s="23" t="n">
        <x:v>3827.64</x:v>
      </x:c>
      <x:c r="E17" s="23" t="n">
        <x:v>3797.64</x:v>
      </x:c>
      <x:c r="F17" s="23" t="n">
        <x:v>3809.66</x:v>
      </x:c>
      <x:c r="G17" s="23"/>
      <x:c r="H17" s="24"/>
      <x:c r="I17" s="23" t="n">
        <x:f>ROUND(D17-E17,1)</x:f>
        <x:v>30</x:v>
      </x:c>
      <x:c r="J17" s="22" t="str">
        <x:v>上证指数</x:v>
      </x:c>
      <x:c r="K17" s="22" t="n">
        <x:v>1</x:v>
      </x:c>
    </x:row>
    <x:row r="18">
      <x:c r="A18" s="27" t="str">
        <x:v>合计</x:v>
      </x:c>
      <x:c r="B18" s="26" t="n">
        <x:v>1</x:v>
      </x:c>
      <x:c r="C18" s="26"/>
      <x:c r="D18" s="26"/>
      <x:c r="E18" s="26"/>
      <x:c r="F18" s="26"/>
      <x:c r="G18" s="26"/>
      <x:c r="H18" s="26"/>
      <x:c r="I18" s="28" t="n">
        <x:f>ROUND(SUM(I17:I17),1)</x:f>
        <x:v>30</x:v>
      </x:c>
      <x:c r="J18" s="26"/>
      <x:c r="K18" s="26"/>
    </x:row>
    <x:row r="19">
      <x:c r="A19" s="27" t="str">
        <x:v>均值</x:v>
      </x:c>
      <x:c r="B19" s="26"/>
      <x:c r="C19" s="26"/>
      <x:c r="D19" s="26"/>
      <x:c r="E19" s="26"/>
      <x:c r="F19" s="26"/>
      <x:c r="G19" s="26"/>
      <x:c r="H19" s="26"/>
      <x:c r="I19" s="30" t="n">
        <x:f>ROUND(IFERROR(AVERAGE(I17:I17),0),1)</x:f>
        <x:v>30</x:v>
      </x:c>
      <x:c r="J19" s="26"/>
      <x:c r="K19" s="26"/>
    </x:row>
    <x:row r="21">
      <x:c r="A21" s="17" t="str">
        <x:v>IM主力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31" t="str">
        <x:v>暂无数据</x:v>
      </x:c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</x:row>
    <x:row r="25">
      <x:c r="A25" s="17" t="str">
        <x:v>IC主力</x:v>
      </x:c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</x:row>
    <x:row r="26">
      <x:c r="A26" s="20" t="str">
        <x:v>序号</x:v>
      </x:c>
      <x:c r="B26" s="20" t="str">
        <x:v>周期</x:v>
      </x:c>
      <x:c r="C26" s="20" t="str">
        <x:v>开盘</x:v>
      </x:c>
      <x:c r="D26" s="20" t="str">
        <x:v>高点</x:v>
      </x:c>
      <x:c r="E26" s="20" t="str">
        <x:v>低点</x:v>
      </x:c>
      <x:c r="F26" s="20" t="str">
        <x:v>收盘</x:v>
      </x:c>
      <x:c r="G26" s="20" t="str">
        <x:v>涨跌点数</x:v>
      </x:c>
      <x:c r="H26" s="20" t="str">
        <x:v>涨幅</x:v>
      </x:c>
      <x:c r="I26" s="20" t="str">
        <x:v>振幅</x:v>
      </x:c>
      <x:c r="J26" s="20" t="str">
        <x:v>标的</x:v>
      </x:c>
      <x:c r="K26" s="20" t="str">
        <x:v>交易日</x:v>
      </x:c>
    </x:row>
    <x:row r="27">
      <x:c r="A27" s="22" t="n">
        <x:v>1</x:v>
      </x:c>
      <x:c r="B27" s="22" t="str">
        <x:v>8月3日</x:v>
      </x:c>
      <x:c r="C27" s="23" t="n">
        <x:v>7391</x:v>
      </x:c>
      <x:c r="D27" s="23" t="n">
        <x:v>7440</x:v>
      </x:c>
      <x:c r="E27" s="23" t="n">
        <x:v>7335</x:v>
      </x:c>
      <x:c r="F27" s="23" t="n">
        <x:v>7356</x:v>
      </x:c>
      <x:c r="G27" s="23"/>
      <x:c r="H27" s="24"/>
      <x:c r="I27" s="23" t="n">
        <x:f>ROUND(D27-E27,1)</x:f>
        <x:v>105</x:v>
      </x:c>
      <x:c r="J27" s="22" t="str">
        <x:v>IC2609</x:v>
      </x:c>
      <x:c r="K27" s="22" t="n">
        <x:v>1</x:v>
      </x:c>
    </x:row>
    <x:row r="28">
      <x:c r="A28" s="27" t="str">
        <x:v>合计</x:v>
      </x:c>
      <x:c r="B28" s="26" t="n">
        <x:v>1</x:v>
      </x:c>
      <x:c r="C28" s="26"/>
      <x:c r="D28" s="26"/>
      <x:c r="E28" s="26"/>
      <x:c r="F28" s="26"/>
      <x:c r="G28" s="26"/>
      <x:c r="H28" s="26"/>
      <x:c r="I28" s="28" t="n">
        <x:f>ROUND(SUM(I27:I27),1)</x:f>
        <x:v>105</x:v>
      </x:c>
      <x:c r="J28" s="26"/>
      <x:c r="K28" s="26"/>
    </x:row>
    <x:row r="29">
      <x:c r="A29" s="27" t="str">
        <x:v>均值</x:v>
      </x:c>
      <x:c r="B29" s="26"/>
      <x:c r="C29" s="26"/>
      <x:c r="D29" s="26"/>
      <x:c r="E29" s="26"/>
      <x:c r="F29" s="26"/>
      <x:c r="G29" s="26"/>
      <x:c r="H29" s="26"/>
      <x:c r="I29" s="30" t="n">
        <x:f>ROUND(IFERROR(AVERAGE(I27:I27),0),1)</x:f>
        <x:v>105</x:v>
      </x:c>
      <x:c r="J29" s="26"/>
      <x:c r="K29" s="26"/>
    </x:row>
    <x:row r="31">
      <x:c r="A31" s="17" t="str">
        <x:v>IF主力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8月3日</x:v>
      </x:c>
      <x:c r="C33" s="23" t="n">
        <x:v>4526.4</x:v>
      </x:c>
      <x:c r="D33" s="23" t="n">
        <x:v>4538</x:v>
      </x:c>
      <x:c r="E33" s="23" t="n">
        <x:v>4494.2</x:v>
      </x:c>
      <x:c r="F33" s="23" t="n">
        <x:v>4512.2</x:v>
      </x:c>
      <x:c r="G33" s="23"/>
      <x:c r="H33" s="24"/>
      <x:c r="I33" s="23" t="n">
        <x:f>ROUND(D33-E33,1)</x:f>
        <x:v>43.8</x:v>
      </x:c>
      <x:c r="J33" s="22" t="str">
        <x:v>IF2609</x:v>
      </x:c>
      <x:c r="K33" s="22" t="n">
        <x:v>1</x:v>
      </x:c>
    </x:row>
    <x:row r="34">
      <x:c r="A34" s="27" t="str">
        <x:v>合计</x:v>
      </x:c>
      <x:c r="B34" s="26" t="n">
        <x:v>1</x:v>
      </x:c>
      <x:c r="C34" s="26"/>
      <x:c r="D34" s="26"/>
      <x:c r="E34" s="26"/>
      <x:c r="F34" s="26"/>
      <x:c r="G34" s="26"/>
      <x:c r="H34" s="26"/>
      <x:c r="I34" s="28" t="n">
        <x:f>ROUND(SUM(I33:I33),1)</x:f>
        <x:v>43.8</x:v>
      </x:c>
      <x:c r="J34" s="26"/>
      <x:c r="K34" s="26"/>
    </x:row>
    <x:row r="35">
      <x:c r="A35" s="27" t="str">
        <x:v>均值</x:v>
      </x:c>
      <x:c r="B35" s="26"/>
      <x:c r="C35" s="26"/>
      <x:c r="D35" s="26"/>
      <x:c r="E35" s="26"/>
      <x:c r="F35" s="26"/>
      <x:c r="G35" s="26"/>
      <x:c r="H35" s="26"/>
      <x:c r="I35" s="30" t="n">
        <x:f>ROUND(IFERROR(AVERAGE(I33:I33),0),1)</x:f>
        <x:v>43.8</x:v>
      </x:c>
      <x:c r="J35" s="26"/>
      <x:c r="K35" s="26"/>
    </x:row>
    <x:row r="37">
      <x:c r="A37" s="17" t="str">
        <x:v>IH主力</x:v>
      </x:c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</x:row>
    <x:row r="38">
      <x:c r="A38" s="20" t="str">
        <x:v>序号</x:v>
      </x:c>
      <x:c r="B38" s="20" t="str">
        <x:v>周期</x:v>
      </x:c>
      <x:c r="C38" s="20" t="str">
        <x:v>开盘</x:v>
      </x:c>
      <x:c r="D38" s="20" t="str">
        <x:v>高点</x:v>
      </x:c>
      <x:c r="E38" s="20" t="str">
        <x:v>低点</x:v>
      </x:c>
      <x:c r="F38" s="20" t="str">
        <x:v>收盘</x:v>
      </x:c>
      <x:c r="G38" s="20" t="str">
        <x:v>涨跌点数</x:v>
      </x:c>
      <x:c r="H38" s="20" t="str">
        <x:v>涨幅</x:v>
      </x:c>
      <x:c r="I38" s="20" t="str">
        <x:v>振幅</x:v>
      </x:c>
      <x:c r="J38" s="20" t="str">
        <x:v>标的</x:v>
      </x:c>
      <x:c r="K38" s="20" t="str">
        <x:v>交易日</x:v>
      </x:c>
    </x:row>
    <x:row r="39">
      <x:c r="A39" s="22" t="n">
        <x:v>1</x:v>
      </x:c>
      <x:c r="B39" s="22" t="str">
        <x:v>8月3日</x:v>
      </x:c>
      <x:c r="C39" s="23" t="n">
        <x:v>2882.4</x:v>
      </x:c>
      <x:c r="D39" s="23" t="n">
        <x:v>2890</x:v>
      </x:c>
      <x:c r="E39" s="23" t="n">
        <x:v>2845.8</x:v>
      </x:c>
      <x:c r="F39" s="23" t="n">
        <x:v>2860</x:v>
      </x:c>
      <x:c r="G39" s="23"/>
      <x:c r="H39" s="24"/>
      <x:c r="I39" s="23" t="n">
        <x:f>ROUND(D39-E39,1)</x:f>
        <x:v>44.2</x:v>
      </x:c>
      <x:c r="J39" s="22" t="str">
        <x:v>IH2609</x:v>
      </x:c>
      <x:c r="K39" s="22" t="n">
        <x:v>1</x:v>
      </x:c>
    </x:row>
    <x:row r="40">
      <x:c r="A40" s="27" t="str">
        <x:v>合计</x:v>
      </x:c>
      <x:c r="B40" s="26" t="n">
        <x:v>1</x:v>
      </x:c>
      <x:c r="C40" s="26"/>
      <x:c r="D40" s="26"/>
      <x:c r="E40" s="26"/>
      <x:c r="F40" s="26"/>
      <x:c r="G40" s="26"/>
      <x:c r="H40" s="26"/>
      <x:c r="I40" s="28" t="n">
        <x:f>ROUND(SUM(I39:I39),1)</x:f>
        <x:v>44.2</x:v>
      </x:c>
      <x:c r="J40" s="26"/>
      <x:c r="K40" s="26"/>
    </x:row>
    <x:row r="41">
      <x:c r="A41" s="27" t="str">
        <x:v>均值</x:v>
      </x:c>
      <x:c r="B41" s="26"/>
      <x:c r="C41" s="26"/>
      <x:c r="D41" s="26"/>
      <x:c r="E41" s="26"/>
      <x:c r="F41" s="26"/>
      <x:c r="G41" s="26"/>
      <x:c r="H41" s="26"/>
      <x:c r="I41" s="30" t="n">
        <x:f>ROUND(IFERROR(AVERAGE(I39:I39),0),1)</x:f>
        <x:v>44.2</x:v>
      </x:c>
      <x:c r="J41" s="26"/>
      <x:c r="K41" s="26"/>
    </x:row>
  </x:sheetData>
  <x:mergeCells>
    <x:mergeCell ref="A1:K1"/>
    <x:mergeCell ref="A3:K3"/>
    <x:mergeCell ref="A9:K9"/>
    <x:mergeCell ref="A15:K15"/>
    <x:mergeCell ref="A21:K21"/>
    <x:mergeCell ref="A23:K23"/>
    <x:mergeCell ref="A25:K25"/>
    <x:mergeCell ref="A31:K31"/>
    <x:mergeCell ref="A37:K3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75.2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75.2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101.6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101.6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30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30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/>
      <x:c r="B4" s="22"/>
      <x:c r="C4" s="22"/>
      <x:c r="D4" s="23"/>
      <x:c r="E4" s="23"/>
      <x:c r="F4" s="23"/>
      <x:c r="G4" s="23"/>
      <x:c r="H4" s="23"/>
      <x:c r="I4" s="24"/>
      <x:c r="J4" s="23"/>
      <x:c r="K4" s="22"/>
    </x:row>
    <x:row r="7">
      <x:c r="A7" s="27" t="str">
        <x:v>合计</x:v>
      </x:c>
      <x:c r="B7" s="26" t="n">
        <x:v>0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0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0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105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105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43.8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43.8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44.2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44.2</x:v>
      </x:c>
      <x:c r="K8" s="26"/>
    </x:row>
  </x:sheetData>
  <x:mergeCells>
    <x:mergeCell ref="A1:K1"/>
  </x:mergeCells>
  <x:pageMargins left="0.7" right="0.7" top="0.75" bottom="0.75" header="0.3" footer="0.3"/>
</x:worksheet>
</file>