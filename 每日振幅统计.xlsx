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17801db6304b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9f21e148d0f4d82"/>
    <x:sheet xmlns:r="http://schemas.openxmlformats.org/officeDocument/2006/relationships" name="周振幅统计" sheetId="2" r:id="R30654549015b4144"/>
    <x:sheet xmlns:r="http://schemas.openxmlformats.org/officeDocument/2006/relationships" name="中证1000" sheetId="3" r:id="R2fcd5e6e6b8345d9"/>
    <x:sheet xmlns:r="http://schemas.openxmlformats.org/officeDocument/2006/relationships" name="中证500" sheetId="4" r:id="R35fd2e6f7ea74423"/>
    <x:sheet xmlns:r="http://schemas.openxmlformats.org/officeDocument/2006/relationships" name="上证指数" sheetId="5" r:id="R4213cc1091bb4d9f"/>
    <x:sheet xmlns:r="http://schemas.openxmlformats.org/officeDocument/2006/relationships" name="IM主力" sheetId="6" r:id="R1720aa0c12df4a8c"/>
    <x:sheet xmlns:r="http://schemas.openxmlformats.org/officeDocument/2006/relationships" name="IC主力" sheetId="7" r:id="R2f60b8861caa4e58"/>
    <x:sheet xmlns:r="http://schemas.openxmlformats.org/officeDocument/2006/relationships" name="IF主力" sheetId="8" r:id="R9a39ce3b60474b47"/>
    <x:sheet xmlns:r="http://schemas.openxmlformats.org/officeDocument/2006/relationships" name="IH主力" sheetId="9" r:id="R2a25dcb9306a4a0b"/>
    <x:sheet xmlns:r="http://schemas.openxmlformats.org/officeDocument/2006/relationships" name="碳酸锂2609" sheetId="10" r:id="R4c97ea8651cd4c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89239bbecf4d53" /><Relationship Type="http://schemas.openxmlformats.org/officeDocument/2006/relationships/theme" Target="/xl/theme/theme1.xml" Id="R358396595d3c43c5" /><Relationship Type="http://schemas.openxmlformats.org/officeDocument/2006/relationships/sharedStrings" Target="/xl/sharedStrings.xml" Id="Re34fdb90e73e456c" /><Relationship Type="http://schemas.openxmlformats.org/officeDocument/2006/relationships/worksheet" Target="/xl/worksheets/sheet1.xml" Id="Rf9f21e148d0f4d82" /><Relationship Type="http://schemas.openxmlformats.org/officeDocument/2006/relationships/worksheet" Target="/xl/worksheets/sheet2.xml" Id="R30654549015b4144" /><Relationship Type="http://schemas.openxmlformats.org/officeDocument/2006/relationships/worksheet" Target="/xl/worksheets/sheet3.xml" Id="R2fcd5e6e6b8345d9" /><Relationship Type="http://schemas.openxmlformats.org/officeDocument/2006/relationships/worksheet" Target="/xl/worksheets/sheet4.xml" Id="R35fd2e6f7ea74423" /><Relationship Type="http://schemas.openxmlformats.org/officeDocument/2006/relationships/worksheet" Target="/xl/worksheets/sheet5.xml" Id="R4213cc1091bb4d9f" /><Relationship Type="http://schemas.openxmlformats.org/officeDocument/2006/relationships/worksheet" Target="/xl/worksheets/sheet6.xml" Id="R1720aa0c12df4a8c" /><Relationship Type="http://schemas.openxmlformats.org/officeDocument/2006/relationships/worksheet" Target="/xl/worksheets/sheet7.xml" Id="R2f60b8861caa4e58" /><Relationship Type="http://schemas.openxmlformats.org/officeDocument/2006/relationships/worksheet" Target="/xl/worksheets/sheet8.xml" Id="R9a39ce3b60474b47" /><Relationship Type="http://schemas.openxmlformats.org/officeDocument/2006/relationships/worksheet" Target="/xl/worksheets/sheet9.xml" Id="R2a25dcb9306a4a0b" /><Relationship Type="http://schemas.openxmlformats.org/officeDocument/2006/relationships/worksheet" Target="/xl/worksheets/sheet10.xml" Id="R4c97ea8651cd4c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2026-09-16</x:v>
      </x:c>
      <x:c r="C4" s="10" t="n">
        <x:v>7607.89</x:v>
      </x:c>
      <x:c r="D4" s="10" t="n">
        <x:v>7402.37</x:v>
      </x:c>
      <x:c r="E4" s="12" t="n">
        <x:v>205.5</x:v>
      </x:c>
      <x:c r="F4" s="9" t="n">
        <x:v>12</x:v>
      </x:c>
      <x:c r="G4" s="10" t="n">
        <x:v>1687.3</x:v>
      </x:c>
      <x:c r="H4" s="10" t="n">
        <x:v>140.6</x:v>
      </x:c>
      <x:c r="I4" s="10" t="n">
        <x:v>180</x:v>
      </x:c>
    </x:row>
    <x:row r="5">
      <x:c r="A5" s="9" t="str">
        <x:v>中证500</x:v>
      </x:c>
      <x:c r="B5" s="9" t="str">
        <x:v>2026-09-16</x:v>
      </x:c>
      <x:c r="C5" s="10" t="n">
        <x:v>7696.47</x:v>
      </x:c>
      <x:c r="D5" s="10" t="n">
        <x:v>7523.82</x:v>
      </x:c>
      <x:c r="E5" s="12" t="n">
        <x:v>172.7</x:v>
      </x:c>
      <x:c r="F5" s="9" t="n">
        <x:v>12</x:v>
      </x:c>
      <x:c r="G5" s="10" t="n">
        <x:v>1502.1</x:v>
      </x:c>
      <x:c r="H5" s="10" t="n">
        <x:v>125.2</x:v>
      </x:c>
      <x:c r="I5" s="10" t="n">
        <x:v>160</x:v>
      </x:c>
    </x:row>
    <x:row r="6">
      <x:c r="A6" s="9" t="str">
        <x:v>上证指数</x:v>
      </x:c>
      <x:c r="B6" s="9" t="str">
        <x:v>2026-09-16</x:v>
      </x:c>
      <x:c r="C6" s="10" t="n">
        <x:v>3894.66</x:v>
      </x:c>
      <x:c r="D6" s="10" t="n">
        <x:v>3842.72</x:v>
      </x:c>
      <x:c r="E6" s="12" t="n">
        <x:v>51.9</x:v>
      </x:c>
      <x:c r="F6" s="9" t="n">
        <x:v>12</x:v>
      </x:c>
      <x:c r="G6" s="10" t="n">
        <x:v>433.3</x:v>
      </x:c>
      <x:c r="H6" s="10" t="n">
        <x:v>36.1</x:v>
      </x:c>
      <x:c r="I6" s="10" t="n">
        <x:v>50</x:v>
      </x:c>
    </x:row>
    <x:row r="7">
      <x:c r="A7" s="9" t="str">
        <x:v>IM主力</x:v>
      </x:c>
      <x:c r="B7" s="9" t="str">
        <x:v>2026-09-16</x:v>
      </x:c>
      <x:c r="C7" s="10" t="n">
        <x:v>7623.6</x:v>
      </x:c>
      <x:c r="D7" s="10" t="n">
        <x:v>7401.6</x:v>
      </x:c>
      <x:c r="E7" s="12" t="n">
        <x:v>222</x:v>
      </x:c>
      <x:c r="F7" s="9" t="n">
        <x:v>12</x:v>
      </x:c>
      <x:c r="G7" s="10" t="n">
        <x:v>1888.6</x:v>
      </x:c>
      <x:c r="H7" s="10" t="n">
        <x:v>157.4</x:v>
      </x:c>
      <x:c r="I7" s="10" t="n">
        <x:v>190</x:v>
      </x:c>
    </x:row>
    <x:row r="8">
      <x:c r="A8" s="9" t="str">
        <x:v>IC主力</x:v>
      </x:c>
      <x:c r="B8" s="9" t="str">
        <x:v>2026-09-16</x:v>
      </x:c>
      <x:c r="C8" s="10" t="n">
        <x:v>7710</x:v>
      </x:c>
      <x:c r="D8" s="10" t="n">
        <x:v>7516.2</x:v>
      </x:c>
      <x:c r="E8" s="12" t="n">
        <x:v>193.8</x:v>
      </x:c>
      <x:c r="F8" s="9" t="n">
        <x:v>12</x:v>
      </x:c>
      <x:c r="G8" s="10" t="n">
        <x:v>1774.4</x:v>
      </x:c>
      <x:c r="H8" s="10" t="n">
        <x:v>147.9</x:v>
      </x:c>
      <x:c r="I8" s="10" t="n">
        <x:v>150</x:v>
      </x:c>
    </x:row>
    <x:row r="9">
      <x:c r="A9" s="9" t="str">
        <x:v>IF主力</x:v>
      </x:c>
      <x:c r="B9" s="9" t="str">
        <x:v>2026-09-16</x:v>
      </x:c>
      <x:c r="C9" s="10" t="n">
        <x:v>4487</x:v>
      </x:c>
      <x:c r="D9" s="10" t="n">
        <x:v>4412.2</x:v>
      </x:c>
      <x:c r="E9" s="12" t="n">
        <x:v>74.8</x:v>
      </x:c>
      <x:c r="F9" s="9" t="n">
        <x:v>12</x:v>
      </x:c>
      <x:c r="G9" s="10" t="n">
        <x:v>649</x:v>
      </x:c>
      <x:c r="H9" s="10" t="n">
        <x:v>54.1</x:v>
      </x:c>
      <x:c r="I9" s="10" t="n">
        <x:v>90</x:v>
      </x:c>
    </x:row>
    <x:row r="10">
      <x:c r="A10" s="9" t="str">
        <x:v>IH主力</x:v>
      </x:c>
      <x:c r="B10" s="9" t="str">
        <x:v>2026-09-16</x:v>
      </x:c>
      <x:c r="C10" s="10" t="n">
        <x:v>2873.2</x:v>
      </x:c>
      <x:c r="D10" s="10" t="n">
        <x:v>2829.4</x:v>
      </x:c>
      <x:c r="E10" s="12" t="n">
        <x:v>43.8</x:v>
      </x:c>
      <x:c r="F10" s="9" t="n">
        <x:v>12</x:v>
      </x:c>
      <x:c r="G10" s="10" t="n">
        <x:v>381</x:v>
      </x:c>
      <x:c r="H10" s="10" t="n">
        <x:v>31.8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135500</x:v>
      </x:c>
      <x:c r="D11" s="10" t="n">
        <x:v>135500</x:v>
      </x:c>
      <x:c r="E11" s="12" t="n">
        <x:v>0</x:v>
      </x:c>
      <x:c r="F11" s="9" t="n">
        <x:v>10</x:v>
      </x:c>
      <x:c r="G11" s="10" t="n">
        <x:v>41200</x:v>
      </x:c>
      <x:c r="H11" s="10" t="n">
        <x:v>4120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9月14日-9月16日</x:v>
      </x:c>
      <x:c r="C7" s="23" t="n">
        <x:v>7363.42</x:v>
      </x:c>
      <x:c r="D7" s="23" t="n">
        <x:v>7607.89</x:v>
      </x:c>
      <x:c r="E7" s="23" t="n">
        <x:v>7329.6</x:v>
      </x:c>
      <x:c r="F7" s="23" t="n">
        <x:v>7587.43</x:v>
      </x:c>
      <x:c r="G7" s="28" t="n">
        <x:f>ROUND(F7-F6,1)</x:f>
        <x:v>160.2</x:v>
      </x:c>
      <x:c r="H7" s="24" t="n">
        <x:f>IFERROR(F7/F6-1,"")</x:f>
        <x:v>0.021567904093579893</x:v>
      </x:c>
      <x:c r="I7" s="26" t="n">
        <x:f>ROUND(D7-E7,1)</x:f>
        <x:v>278.3</x:v>
      </x:c>
      <x:c r="J7" s="22" t="str">
        <x:v>中证1000</x:v>
      </x:c>
      <x:c r="K7" s="22" t="n">
        <x:v>3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1026.8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342.3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9月14日-9月16日</x:v>
      </x:c>
      <x:c r="C15" s="23" t="n">
        <x:v>7511.04</x:v>
      </x:c>
      <x:c r="D15" s="23" t="n">
        <x:v>7696.47</x:v>
      </x:c>
      <x:c r="E15" s="23" t="n">
        <x:v>7487.46</x:v>
      </x:c>
      <x:c r="F15" s="23" t="n">
        <x:v>7683.47</x:v>
      </x:c>
      <x:c r="G15" s="23" t="n">
        <x:f>ROUND(F15-F14,1)</x:f>
        <x:v>102.9</x:v>
      </x:c>
      <x:c r="H15" s="24" t="n">
        <x:f>IFERROR(F15/F14-1,"")</x:f>
        <x:v>0.013578188361251353</x:v>
      </x:c>
      <x:c r="I15" s="26" t="n">
        <x:f>ROUND(D15-E15,1)</x:f>
        <x:v>209</x:v>
      </x:c>
      <x:c r="J15" s="22" t="str">
        <x:v>中证500</x:v>
      </x:c>
      <x:c r="K15" s="22" t="n">
        <x:v>3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933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311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9月14日-9月16日</x:v>
      </x:c>
      <x:c r="C23" s="23" t="n">
        <x:v>3867.02</x:v>
      </x:c>
      <x:c r="D23" s="23" t="n">
        <x:v>3895.51</x:v>
      </x:c>
      <x:c r="E23" s="23" t="n">
        <x:v>3842.72</x:v>
      </x:c>
      <x:c r="F23" s="23" t="n">
        <x:v>3891.6</x:v>
      </x:c>
      <x:c r="G23" s="23" t="n">
        <x:f>ROUND(F23-F22,1)</x:f>
        <x:v>3.5</x:v>
      </x:c>
      <x:c r="H23" s="24" t="n">
        <x:f>IFERROR(F23/F22-1,"")</x:f>
        <x:v>0.0008976083495579879</x:v>
      </x:c>
      <x:c r="I23" s="26" t="n">
        <x:f>ROUND(D23-E23,1)</x:f>
        <x:v>52.8</x:v>
      </x:c>
      <x:c r="J23" s="22" t="str">
        <x:v>上证指数</x:v>
      </x:c>
      <x:c r="K23" s="22" t="n">
        <x:v>3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238.9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79.6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9月14日-9月16日</x:v>
      </x:c>
      <x:c r="C31" s="23" t="n">
        <x:v>7312</x:v>
      </x:c>
      <x:c r="D31" s="23" t="n">
        <x:v>7623.6</x:v>
      </x:c>
      <x:c r="E31" s="23" t="n">
        <x:v>7283.4</x:v>
      </x:c>
      <x:c r="F31" s="23" t="n">
        <x:v>7593</x:v>
      </x:c>
      <x:c r="G31" s="28" t="n">
        <x:f>ROUND(F31-F30,1)</x:f>
        <x:v>177.8</x:v>
      </x:c>
      <x:c r="H31" s="24" t="n">
        <x:f>IFERROR(F31/F30-1,"")</x:f>
        <x:v>0.02397777538029988</x:v>
      </x:c>
      <x:c r="I31" s="26" t="n">
        <x:f>ROUND(D31-E31,1)</x:f>
        <x:v>340.2</x:v>
      </x:c>
      <x:c r="J31" s="22" t="str">
        <x:v>IM2609</x:v>
      </x:c>
      <x:c r="K31" s="22" t="n">
        <x:v>3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1084.4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361.5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9月14日-9月16日</x:v>
      </x:c>
      <x:c r="C39" s="23" t="n">
        <x:v>7482.2</x:v>
      </x:c>
      <x:c r="D39" s="23" t="n">
        <x:v>7710</x:v>
      </x:c>
      <x:c r="E39" s="23" t="n">
        <x:v>7452.2</x:v>
      </x:c>
      <x:c r="F39" s="23" t="n">
        <x:v>7689.6</x:v>
      </x:c>
      <x:c r="G39" s="23" t="n">
        <x:f>ROUND(F39-F38,1)</x:f>
        <x:v>120.6</x:v>
      </x:c>
      <x:c r="H39" s="24" t="n">
        <x:f>IFERROR(F39/F38-1,"")</x:f>
        <x:v>0.015933412604042907</x:v>
      </x:c>
      <x:c r="I39" s="26" t="n">
        <x:f>ROUND(D39-E39,1)</x:f>
        <x:v>257.8</x:v>
      </x:c>
      <x:c r="J39" s="22" t="str">
        <x:v>IC2609</x:v>
      </x:c>
      <x:c r="K39" s="22" t="n">
        <x:v>3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991.2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330.4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9月14日-9月16日</x:v>
      </x:c>
      <x:c r="C47" s="23" t="n">
        <x:v>4468</x:v>
      </x:c>
      <x:c r="D47" s="23" t="n">
        <x:v>4500.6</x:v>
      </x:c>
      <x:c r="E47" s="23" t="n">
        <x:v>4412.2</x:v>
      </x:c>
      <x:c r="F47" s="23" t="n">
        <x:v>4478</x:v>
      </x:c>
      <x:c r="G47" s="23" t="n">
        <x:f>ROUND(F47-F46,1)</x:f>
        <x:v>-25.4</x:v>
      </x:c>
      <x:c r="H47" s="24" t="n">
        <x:f>IFERROR(F47/F46-1,"")</x:f>
        <x:v>-0.005640182972864838</x:v>
      </x:c>
      <x:c r="I47" s="23" t="n">
        <x:f>ROUND(D47-E47,1)</x:f>
        <x:v>88.4</x:v>
      </x:c>
      <x:c r="J47" s="22" t="str">
        <x:v>IF2609</x:v>
      </x:c>
      <x:c r="K47" s="22" t="n">
        <x:v>3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341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113.7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9月14日-9月16日</x:v>
      </x:c>
      <x:c r="C55" s="23" t="n">
        <x:v>2849.2</x:v>
      </x:c>
      <x:c r="D55" s="23" t="n">
        <x:v>2873.2</x:v>
      </x:c>
      <x:c r="E55" s="23" t="n">
        <x:v>2829.4</x:v>
      </x:c>
      <x:c r="F55" s="23" t="n">
        <x:v>2865</x:v>
      </x:c>
      <x:c r="G55" s="23" t="n">
        <x:f>ROUND(F55-F54,1)</x:f>
        <x:v>-2</x:v>
      </x:c>
      <x:c r="H55" s="24" t="n">
        <x:f>IFERROR(F55/F54-1,"")</x:f>
        <x:v>-0.0006975933031042603</x:v>
      </x:c>
      <x:c r="I55" s="23" t="n">
        <x:f>ROUND(D55-E55,1)</x:f>
        <x:v>43.8</x:v>
      </x:c>
      <x:c r="J55" s="22" t="str">
        <x:v>IH2609</x:v>
      </x:c>
      <x:c r="K55" s="22" t="n">
        <x:v>3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206.4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68.8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159000</x:v>
      </x:c>
      <x:c r="D61" s="23" t="n">
        <x:v>160480</x:v>
      </x:c>
      <x:c r="E61" s="23" t="n">
        <x:v>140940</x:v>
      </x:c>
      <x:c r="F61" s="23" t="n">
        <x:v>140980</x:v>
      </x:c>
      <x:c r="G61" s="23"/>
      <x:c r="H61" s="24"/>
      <x:c r="I61" s="26" t="n">
        <x:f>ROUND(D61-E61,1)</x:f>
        <x:v>19540</x:v>
      </x:c>
      <x:c r="J61" s="22" t="str">
        <x:v>LC2609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142120</x:v>
      </x:c>
      <x:c r="D62" s="23" t="n">
        <x:v>143200</x:v>
      </x:c>
      <x:c r="E62" s="23" t="n">
        <x:v>131900</x:v>
      </x:c>
      <x:c r="F62" s="23" t="n">
        <x:v>135500</x:v>
      </x:c>
      <x:c r="G62" s="28" t="n">
        <x:f>ROUND(F62-F61,1)</x:f>
        <x:v>-5480</x:v>
      </x:c>
      <x:c r="H62" s="24" t="n">
        <x:f>IFERROR(F62/F61-1,"")</x:f>
        <x:v>-0.038870761810185894</x:v>
      </x:c>
      <x:c r="I62" s="26" t="n">
        <x:f>ROUND(D62-E62,1)</x:f>
        <x:v>11300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9月14日</x:v>
      </x:c>
      <x:c r="C63" s="23" t="n">
        <x:v>135500</x:v>
      </x:c>
      <x:c r="D63" s="23" t="n">
        <x:v>135500</x:v>
      </x:c>
      <x:c r="E63" s="23" t="n">
        <x:v>135500</x:v>
      </x:c>
      <x:c r="F63" s="23" t="n">
        <x:v>135500</x:v>
      </x:c>
      <x:c r="G63" s="23" t="n">
        <x:f>ROUND(F63-F62,1)</x:f>
        <x:v>0</x:v>
      </x:c>
      <x:c r="H63" s="24" t="n">
        <x:f>IFERROR(F63/F62-1,"")</x:f>
        <x:v>0</x:v>
      </x:c>
      <x:c r="I63" s="23" t="n">
        <x:f>ROUND(D63-E63,1)</x:f>
        <x:v>0</x:v>
      </x:c>
      <x:c r="J63" s="22" t="str">
        <x:v>LC2609</x:v>
      </x:c>
      <x:c r="K63" s="22" t="n">
        <x:v>1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30840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10280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1687.3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140.6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1502.0999999999997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125.2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433.29999999999995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36.1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1888.6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157.4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1774.3999999999999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147.9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648.9999999999999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54.1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381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31.8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2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2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2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28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28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28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141220</x:v>
      </x:c>
      <x:c r="E11" s="23" t="n">
        <x:v>142500</x:v>
      </x:c>
      <x:c r="F11" s="23" t="n">
        <x:v>139000</x:v>
      </x:c>
      <x:c r="G11" s="23" t="n">
        <x:v>140520</x:v>
      </x:c>
      <x:c r="H11" s="28" t="n">
        <x:v>-740</x:v>
      </x:c>
      <x:c r="I11" s="24" t="n">
        <x:v>-0.005238567181084508</x:v>
      </x:c>
      <x:c r="J11" s="23" t="n">
        <x:f>ROUND(E11-F11,1)</x:f>
        <x:v>3500</x:v>
      </x:c>
      <x:c r="K11" s="22" t="str">
        <x:v>LC2609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134480</x:v>
      </x:c>
      <x:c r="E12" s="23" t="n">
        <x:v>135500</x:v>
      </x:c>
      <x:c r="F12" s="23" t="n">
        <x:v>131900</x:v>
      </x:c>
      <x:c r="G12" s="23" t="n">
        <x:v>135500</x:v>
      </x:c>
      <x:c r="H12" s="28" t="n">
        <x:v>-5020</x:v>
      </x:c>
      <x:c r="I12" s="24" t="n">
        <x:v>-0.035724452035297505</x:v>
      </x:c>
      <x:c r="J12" s="23" t="n">
        <x:f>ROUND(E12-F12,1)</x:f>
        <x:v>3600</x:v>
      </x:c>
      <x:c r="K12" s="22" t="str">
        <x:v>LC2609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135500</x:v>
      </x:c>
      <x:c r="E13" s="23" t="n">
        <x:v>135500</x:v>
      </x:c>
      <x:c r="F13" s="23" t="n">
        <x:v>135500</x:v>
      </x:c>
      <x:c r="G13" s="23" t="n">
        <x:v>135500</x:v>
      </x:c>
      <x:c r="H13" s="23" t="n">
        <x:v>0</x:v>
      </x:c>
      <x:c r="I13" s="24" t="n">
        <x:v>0</x:v>
      </x:c>
      <x:c r="J13" s="23" t="n">
        <x:f>ROUND(E13-F13,1)</x:f>
        <x:v>0</x:v>
      </x:c>
      <x:c r="K13" s="22" t="str">
        <x:v>LC2609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41200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4120</x:v>
      </x:c>
      <x:c r="K17" s="30"/>
    </x:row>
  </x:sheetData>
  <x:mergeCells>
    <x:mergeCell ref="A1:K1"/>
  </x:mergeCells>
  <x:pageMargins left="0.7" right="0.7" top="0.75" bottom="0.75" header="0.3" footer="0.3"/>
</x:worksheet>
</file>