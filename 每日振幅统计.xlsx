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0fc64dd5a7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937932bd6294397"/>
    <x:sheet xmlns:r="http://schemas.openxmlformats.org/officeDocument/2006/relationships" name="周振幅统计" sheetId="2" r:id="R652d8e098f1444ff"/>
    <x:sheet xmlns:r="http://schemas.openxmlformats.org/officeDocument/2006/relationships" name="中证1000" sheetId="3" r:id="R65ac4658fd3a4bab"/>
    <x:sheet xmlns:r="http://schemas.openxmlformats.org/officeDocument/2006/relationships" name="中证500" sheetId="4" r:id="R981ce712eb31422f"/>
    <x:sheet xmlns:r="http://schemas.openxmlformats.org/officeDocument/2006/relationships" name="上证指数" sheetId="5" r:id="R4ec76fa4e71e4034"/>
    <x:sheet xmlns:r="http://schemas.openxmlformats.org/officeDocument/2006/relationships" name="IM主力" sheetId="6" r:id="R64134fac3f434e26"/>
    <x:sheet xmlns:r="http://schemas.openxmlformats.org/officeDocument/2006/relationships" name="IC主力" sheetId="7" r:id="Rc22b03b219c34a98"/>
    <x:sheet xmlns:r="http://schemas.openxmlformats.org/officeDocument/2006/relationships" name="IF主力" sheetId="8" r:id="R31d08eca958949b5"/>
    <x:sheet xmlns:r="http://schemas.openxmlformats.org/officeDocument/2006/relationships" name="IH主力" sheetId="9" r:id="R81c399a2237046d8"/>
    <x:sheet xmlns:r="http://schemas.openxmlformats.org/officeDocument/2006/relationships" name="碳酸锂2609" sheetId="10" r:id="Rdee9a5e54edf4a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984bd66b74415f" /><Relationship Type="http://schemas.openxmlformats.org/officeDocument/2006/relationships/theme" Target="/xl/theme/theme1.xml" Id="R4e34d7c5076f4034" /><Relationship Type="http://schemas.openxmlformats.org/officeDocument/2006/relationships/sharedStrings" Target="/xl/sharedStrings.xml" Id="R0947e185662e4c01" /><Relationship Type="http://schemas.openxmlformats.org/officeDocument/2006/relationships/worksheet" Target="/xl/worksheets/sheet1.xml" Id="R5937932bd6294397" /><Relationship Type="http://schemas.openxmlformats.org/officeDocument/2006/relationships/worksheet" Target="/xl/worksheets/sheet2.xml" Id="R652d8e098f1444ff" /><Relationship Type="http://schemas.openxmlformats.org/officeDocument/2006/relationships/worksheet" Target="/xl/worksheets/sheet3.xml" Id="R65ac4658fd3a4bab" /><Relationship Type="http://schemas.openxmlformats.org/officeDocument/2006/relationships/worksheet" Target="/xl/worksheets/sheet4.xml" Id="R981ce712eb31422f" /><Relationship Type="http://schemas.openxmlformats.org/officeDocument/2006/relationships/worksheet" Target="/xl/worksheets/sheet5.xml" Id="R4ec76fa4e71e4034" /><Relationship Type="http://schemas.openxmlformats.org/officeDocument/2006/relationships/worksheet" Target="/xl/worksheets/sheet6.xml" Id="R64134fac3f434e26" /><Relationship Type="http://schemas.openxmlformats.org/officeDocument/2006/relationships/worksheet" Target="/xl/worksheets/sheet7.xml" Id="Rc22b03b219c34a98" /><Relationship Type="http://schemas.openxmlformats.org/officeDocument/2006/relationships/worksheet" Target="/xl/worksheets/sheet8.xml" Id="R31d08eca958949b5" /><Relationship Type="http://schemas.openxmlformats.org/officeDocument/2006/relationships/worksheet" Target="/xl/worksheets/sheet9.xml" Id="R81c399a2237046d8" /><Relationship Type="http://schemas.openxmlformats.org/officeDocument/2006/relationships/worksheet" Target="/xl/worksheets/sheet10.xml" Id="Rdee9a5e54edf4a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2026-08-14</x:v>
      </x:c>
      <x:c r="C4" s="10" t="n">
        <x:v>7784.38</x:v>
      </x:c>
      <x:c r="D4" s="10" t="n">
        <x:v>7673.44</x:v>
      </x:c>
      <x:c r="E4" s="12" t="n">
        <x:v>110.9</x:v>
      </x:c>
      <x:c r="F4" s="9" t="n">
        <x:v>10</x:v>
      </x:c>
      <x:c r="G4" s="10" t="n">
        <x:v>1568.4</x:v>
      </x:c>
      <x:c r="H4" s="10" t="n">
        <x:v>156.8</x:v>
      </x:c>
      <x:c r="I4" s="10" t="n">
        <x:v>180</x:v>
      </x:c>
    </x:row>
    <x:row r="5">
      <x:c r="A5" s="9" t="str">
        <x:v>中证500</x:v>
      </x:c>
      <x:c r="B5" s="9" t="str">
        <x:v>2026-08-14</x:v>
      </x:c>
      <x:c r="C5" s="10" t="n">
        <x:v>8005.15</x:v>
      </x:c>
      <x:c r="D5" s="10" t="n">
        <x:v>7897.24</x:v>
      </x:c>
      <x:c r="E5" s="12" t="n">
        <x:v>107.9</x:v>
      </x:c>
      <x:c r="F5" s="9" t="n">
        <x:v>10</x:v>
      </x:c>
      <x:c r="G5" s="10" t="n">
        <x:v>1580.2</x:v>
      </x:c>
      <x:c r="H5" s="10" t="n">
        <x:v>158</x:v>
      </x:c>
      <x:c r="I5" s="10" t="n">
        <x:v>160</x:v>
      </x:c>
    </x:row>
    <x:row r="6">
      <x:c r="A6" s="9" t="str">
        <x:v>上证指数</x:v>
      </x:c>
      <x:c r="B6" s="9" t="str">
        <x:v>2026-08-14</x:v>
      </x:c>
      <x:c r="C6" s="10" t="n">
        <x:v>3932.64</x:v>
      </x:c>
      <x:c r="D6" s="10" t="n">
        <x:v>3903.7</x:v>
      </x:c>
      <x:c r="E6" s="12" t="n">
        <x:v>28.9</x:v>
      </x:c>
      <x:c r="F6" s="9" t="n">
        <x:v>10</x:v>
      </x:c>
      <x:c r="G6" s="10" t="n">
        <x:v>385.4</x:v>
      </x:c>
      <x:c r="H6" s="10" t="n">
        <x:v>38.5</x:v>
      </x:c>
      <x:c r="I6" s="10" t="n">
        <x:v>50</x:v>
      </x:c>
    </x:row>
    <x:row r="7">
      <x:c r="A7" s="9" t="str">
        <x:v>IM主力</x:v>
      </x:c>
      <x:c r="B7" s="9" t="str">
        <x:v>2026-08-14</x:v>
      </x:c>
      <x:c r="C7" s="10" t="n">
        <x:v>7695</x:v>
      </x:c>
      <x:c r="D7" s="10" t="n">
        <x:v>7597.6</x:v>
      </x:c>
      <x:c r="E7" s="12" t="n">
        <x:v>97.4</x:v>
      </x:c>
      <x:c r="F7" s="9" t="n">
        <x:v>10</x:v>
      </x:c>
      <x:c r="G7" s="10" t="n">
        <x:v>1525</x:v>
      </x:c>
      <x:c r="H7" s="10" t="n">
        <x:v>152.5</x:v>
      </x:c>
      <x:c r="I7" s="10" t="n">
        <x:v>190</x:v>
      </x:c>
    </x:row>
    <x:row r="8">
      <x:c r="A8" s="9" t="str">
        <x:v>IC主力</x:v>
      </x:c>
      <x:c r="B8" s="9" t="str">
        <x:v>2026-08-14</x:v>
      </x:c>
      <x:c r="C8" s="10" t="n">
        <x:v>7914</x:v>
      </x:c>
      <x:c r="D8" s="10" t="n">
        <x:v>7802</x:v>
      </x:c>
      <x:c r="E8" s="12" t="n">
        <x:v>112</x:v>
      </x:c>
      <x:c r="F8" s="9" t="n">
        <x:v>10</x:v>
      </x:c>
      <x:c r="G8" s="10" t="n">
        <x:v>1573</x:v>
      </x:c>
      <x:c r="H8" s="10" t="n">
        <x:v>157.3</x:v>
      </x:c>
      <x:c r="I8" s="10" t="n">
        <x:v>150</x:v>
      </x:c>
    </x:row>
    <x:row r="9">
      <x:c r="A9" s="9" t="str">
        <x:v>IF主力</x:v>
      </x:c>
      <x:c r="B9" s="9" t="str">
        <x:v>2026-08-13</x:v>
      </x:c>
      <x:c r="C9" s="10" t="n">
        <x:v>4681</x:v>
      </x:c>
      <x:c r="D9" s="10" t="n">
        <x:v>4621.4</x:v>
      </x:c>
      <x:c r="E9" s="12" t="n">
        <x:v>59.6</x:v>
      </x:c>
      <x:c r="F9" s="9" t="n">
        <x:v>9</x:v>
      </x:c>
      <x:c r="G9" s="10" t="n">
        <x:v>528.2</x:v>
      </x:c>
      <x:c r="H9" s="10" t="n">
        <x:v>58.7</x:v>
      </x:c>
      <x:c r="I9" s="10" t="n">
        <x:v>90</x:v>
      </x:c>
    </x:row>
    <x:row r="10">
      <x:c r="A10" s="9" t="str">
        <x:v>IH主力</x:v>
      </x:c>
      <x:c r="B10" s="9" t="str">
        <x:v>2026-08-14</x:v>
      </x:c>
      <x:c r="C10" s="10" t="n">
        <x:v>2910.2</x:v>
      </x:c>
      <x:c r="D10" s="10" t="n">
        <x:v>2877</x:v>
      </x:c>
      <x:c r="E10" s="12" t="n">
        <x:v>33.2</x:v>
      </x:c>
      <x:c r="F10" s="9" t="n">
        <x:v>10</x:v>
      </x:c>
      <x:c r="G10" s="10" t="n">
        <x:v>328.8</x:v>
      </x:c>
      <x:c r="H10" s="10" t="n">
        <x:v>32.9</x:v>
      </x:c>
      <x:c r="I10" s="10" t="n">
        <x:v>60</x:v>
      </x:c>
    </x:row>
    <x:row r="11">
      <x:c r="A11" s="9" t="str">
        <x:v>碳酸锂2609</x:v>
      </x:c>
      <x:c r="B11" s="9" t="str">
        <x:v>2026-08-13</x:v>
      </x:c>
      <x:c r="C11" s="10" t="n">
        <x:v>152440</x:v>
      </x:c>
      <x:c r="D11" s="10" t="n">
        <x:v>147100</x:v>
      </x:c>
      <x:c r="E11" s="12" t="n">
        <x:v>5340</x:v>
      </x:c>
      <x:c r="F11" s="9" t="n">
        <x:v>9</x:v>
      </x:c>
      <x:c r="G11" s="10" t="n">
        <x:v>45540</x:v>
      </x:c>
      <x:c r="H11" s="10" t="n">
        <x:v>5060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901.3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450.7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8月10日-8月14日</x:v>
      </x:c>
      <x:c r="C13" s="23" t="n">
        <x:v>8003.92</x:v>
      </x:c>
      <x:c r="D13" s="23" t="n">
        <x:v>8142.33</x:v>
      </x:c>
      <x:c r="E13" s="23" t="n">
        <x:v>7897.24</x:v>
      </x:c>
      <x:c r="F13" s="23" t="n">
        <x:v>7990.33</x:v>
      </x:c>
      <x:c r="G13" s="23" t="n">
        <x:f>ROUND(F13-F12,1)</x:f>
        <x:v>10.2</x:v>
      </x:c>
      <x:c r="H13" s="24" t="n">
        <x:f>IFERROR(F13/F12-1,"")</x:f>
        <x:v>0.0012794293820144187</x:v>
      </x:c>
      <x:c r="I13" s="26" t="n">
        <x:f>ROUND(D13-E13,1)</x:f>
        <x:v>245.1</x:v>
      </x:c>
      <x:c r="J13" s="22" t="str">
        <x:v>中证500</x:v>
      </x:c>
      <x:c r="K13" s="22" t="n">
        <x:v>5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830.3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415.2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8月10日-8月14日</x:v>
      </x:c>
      <x:c r="C20" s="23" t="n">
        <x:v>3943.82</x:v>
      </x:c>
      <x:c r="D20" s="23" t="n">
        <x:v>3968.48</x:v>
      </x:c>
      <x:c r="E20" s="23" t="n">
        <x:v>3903.7</x:v>
      </x:c>
      <x:c r="F20" s="23" t="n">
        <x:v>3927.18</x:v>
      </x:c>
      <x:c r="G20" s="23" t="n">
        <x:f>ROUND(F20-F19,1)</x:f>
        <x:v>-12.9</x:v>
      </x:c>
      <x:c r="H20" s="24" t="n">
        <x:f>IFERROR(F20/F19-1,"")</x:f>
        <x:v>-0.003263926254555849</x:v>
      </x:c>
      <x:c r="I20" s="26" t="n">
        <x:f>ROUND(D20-E20,1)</x:f>
        <x:v>64.8</x:v>
      </x:c>
      <x:c r="J20" s="22" t="str">
        <x:v>上证指数</x:v>
      </x:c>
      <x:c r="K20" s="22" t="n">
        <x:v>5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208.1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104.1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8月10日-8月14日</x:v>
      </x:c>
      <x:c r="C27" s="23" t="n">
        <x:v>7628.8</x:v>
      </x:c>
      <x:c r="D27" s="23" t="n">
        <x:v>7776</x:v>
      </x:c>
      <x:c r="E27" s="23" t="n">
        <x:v>7525</x:v>
      </x:c>
      <x:c r="F27" s="23" t="n">
        <x:v>7650.2</x:v>
      </x:c>
      <x:c r="G27" s="23" t="n">
        <x:f>ROUND(F27-F26,1)</x:f>
        <x:v>59.6</x:v>
      </x:c>
      <x:c r="H27" s="24" t="n">
        <x:f>IFERROR(F27/F26-1,"")</x:f>
        <x:v>0.007851816720680693</x:v>
      </x:c>
      <x:c r="I27" s="26" t="n">
        <x:f>ROUND(D27-E27,1)</x:f>
        <x:v>251</x:v>
      </x:c>
      <x:c r="J27" s="22" t="str">
        <x:v>IM2609</x:v>
      </x:c>
      <x:c r="K27" s="22" t="n">
        <x:v>5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869.2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434.6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8月10日-8月14日</x:v>
      </x:c>
      <x:c r="C34" s="23" t="n">
        <x:v>7888</x:v>
      </x:c>
      <x:c r="D34" s="23" t="n">
        <x:v>8024</x:v>
      </x:c>
      <x:c r="E34" s="23" t="n">
        <x:v>7795.8</x:v>
      </x:c>
      <x:c r="F34" s="23" t="n">
        <x:v>7861.2</x:v>
      </x:c>
      <x:c r="G34" s="23" t="n">
        <x:f>ROUND(F34-F33,1)</x:f>
        <x:v>-16.6</x:v>
      </x:c>
      <x:c r="H34" s="24" t="n">
        <x:f>IFERROR(F34/F33-1,"")</x:f>
        <x:v>-0.0021071872857905127</x:v>
      </x:c>
      <x:c r="I34" s="26" t="n">
        <x:f>ROUND(D34-E34,1)</x:f>
        <x:v>228.2</x:v>
      </x:c>
      <x:c r="J34" s="22" t="str">
        <x:v>IC2609</x:v>
      </x:c>
      <x:c r="K34" s="22" t="n">
        <x:v>5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775.8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387.9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8月10日-8月13日</x:v>
      </x:c>
      <x:c r="C41" s="23" t="n">
        <x:v>4656.8</x:v>
      </x:c>
      <x:c r="D41" s="23" t="n">
        <x:v>4681</x:v>
      </x:c>
      <x:c r="E41" s="23" t="n">
        <x:v>4611</x:v>
      </x:c>
      <x:c r="F41" s="23" t="n">
        <x:v>4624</x:v>
      </x:c>
      <x:c r="G41" s="23" t="n">
        <x:f>ROUND(F41-F40,1)</x:f>
        <x:v>-21.6</x:v>
      </x:c>
      <x:c r="H41" s="24" t="n">
        <x:f>IFERROR(F41/F40-1,"")</x:f>
        <x:v>-0.004649560874806391</x:v>
      </x:c>
      <x:c r="I41" s="23" t="n">
        <x:f>ROUND(D41-E41,1)</x:f>
        <x:v>70</x:v>
      </x:c>
      <x:c r="J41" s="22" t="str">
        <x:v>IF2609</x:v>
      </x:c>
      <x:c r="K41" s="22" t="n">
        <x:v>4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232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116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8月10日-8月14日</x:v>
      </x:c>
      <x:c r="C48" s="23" t="n">
        <x:v>2930</x:v>
      </x:c>
      <x:c r="D48" s="23" t="n">
        <x:v>2949.6</x:v>
      </x:c>
      <x:c r="E48" s="23" t="n">
        <x:v>2877</x:v>
      </x:c>
      <x:c r="F48" s="23" t="n">
        <x:v>2890</x:v>
      </x:c>
      <x:c r="G48" s="23" t="n">
        <x:f>ROUND(F48-F47,1)</x:f>
        <x:v>-40</x:v>
      </x:c>
      <x:c r="H48" s="24" t="n">
        <x:f>IFERROR(F48/F47-1,"")</x:f>
        <x:v>-0.013651877133105783</x:v>
      </x:c>
      <x:c r="I48" s="26" t="n">
        <x:f>ROUND(D48-E48,1)</x:f>
        <x:v>72.6</x:v>
      </x:c>
      <x:c r="J48" s="22" t="str">
        <x:v>IH2609</x:v>
      </x:c>
      <x:c r="K48" s="22" t="n">
        <x:v>5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157.4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78.7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8月10日-8月13日</x:v>
      </x:c>
      <x:c r="C55" s="23" t="n">
        <x:v>140500</x:v>
      </x:c>
      <x:c r="D55" s="23" t="n">
        <x:v>152440</x:v>
      </x:c>
      <x:c r="E55" s="23" t="n">
        <x:v>139280</x:v>
      </x:c>
      <x:c r="F55" s="23" t="n">
        <x:v>151420</x:v>
      </x:c>
      <x:c r="G55" s="34" t="n">
        <x:f>ROUND(F55-F54,1)</x:f>
        <x:v>11420</x:v>
      </x:c>
      <x:c r="H55" s="24" t="n">
        <x:f>IFERROR(F55/F54-1,"")</x:f>
        <x:v>0.08157142857142863</x:v>
      </x:c>
      <x:c r="I55" s="26" t="n">
        <x:f>ROUND(D55-E55,1)</x:f>
        <x:v>13160</x:v>
      </x:c>
      <x:c r="J55" s="22" t="str">
        <x:v>LC2609</x:v>
      </x:c>
      <x:c r="K55" s="22" t="n">
        <x:v>4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22400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11200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1568.4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156.8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1580.2000000000003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158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385.40000000000003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38.5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1525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152.5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1573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157.3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528.2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58.7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328.8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32.9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34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34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45540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5060</x:v>
      </x:c>
      <x:c r="K16" s="28"/>
    </x:row>
  </x:sheetData>
  <x:mergeCells>
    <x:mergeCell ref="A1:K1"/>
  </x:mergeCells>
  <x:pageMargins left="0.7" right="0.7" top="0.75" bottom="0.75" header="0.3" footer="0.3"/>
</x:worksheet>
</file>