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84d23348142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450d9c8ae164658"/>
    <x:sheet xmlns:r="http://schemas.openxmlformats.org/officeDocument/2006/relationships" name="周振幅统计" sheetId="2" r:id="Rb79f2b8b9f82465b"/>
    <x:sheet xmlns:r="http://schemas.openxmlformats.org/officeDocument/2006/relationships" name="中证1000" sheetId="3" r:id="Rfb2333ad697445a7"/>
    <x:sheet xmlns:r="http://schemas.openxmlformats.org/officeDocument/2006/relationships" name="中证500" sheetId="4" r:id="R48097fc073c14c13"/>
    <x:sheet xmlns:r="http://schemas.openxmlformats.org/officeDocument/2006/relationships" name="上证指数" sheetId="5" r:id="R1548f0f8129e41b6"/>
    <x:sheet xmlns:r="http://schemas.openxmlformats.org/officeDocument/2006/relationships" name="IM主力" sheetId="6" r:id="R4112d5891e5b4f65"/>
    <x:sheet xmlns:r="http://schemas.openxmlformats.org/officeDocument/2006/relationships" name="IC主力" sheetId="7" r:id="Rc665623d394d4e03"/>
    <x:sheet xmlns:r="http://schemas.openxmlformats.org/officeDocument/2006/relationships" name="IF主力" sheetId="8" r:id="R093aa4a8b6cd4d0e"/>
    <x:sheet xmlns:r="http://schemas.openxmlformats.org/officeDocument/2006/relationships" name="IH主力" sheetId="9" r:id="Rd60a395ac02346ed"/>
    <x:sheet xmlns:r="http://schemas.openxmlformats.org/officeDocument/2006/relationships" name="碳酸锂2610" sheetId="10" r:id="Rf01c361a6fbc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4d75983eaa497a" /><Relationship Type="http://schemas.openxmlformats.org/officeDocument/2006/relationships/theme" Target="/xl/theme/theme1.xml" Id="Rf8d96ab179814baf" /><Relationship Type="http://schemas.openxmlformats.org/officeDocument/2006/relationships/sharedStrings" Target="/xl/sharedStrings.xml" Id="R476d3381672849e1" /><Relationship Type="http://schemas.openxmlformats.org/officeDocument/2006/relationships/worksheet" Target="/xl/worksheets/sheet1.xml" Id="R5450d9c8ae164658" /><Relationship Type="http://schemas.openxmlformats.org/officeDocument/2006/relationships/worksheet" Target="/xl/worksheets/sheet2.xml" Id="Rb79f2b8b9f82465b" /><Relationship Type="http://schemas.openxmlformats.org/officeDocument/2006/relationships/worksheet" Target="/xl/worksheets/sheet3.xml" Id="Rfb2333ad697445a7" /><Relationship Type="http://schemas.openxmlformats.org/officeDocument/2006/relationships/worksheet" Target="/xl/worksheets/sheet4.xml" Id="R48097fc073c14c13" /><Relationship Type="http://schemas.openxmlformats.org/officeDocument/2006/relationships/worksheet" Target="/xl/worksheets/sheet5.xml" Id="R1548f0f8129e41b6" /><Relationship Type="http://schemas.openxmlformats.org/officeDocument/2006/relationships/worksheet" Target="/xl/worksheets/sheet6.xml" Id="R4112d5891e5b4f65" /><Relationship Type="http://schemas.openxmlformats.org/officeDocument/2006/relationships/worksheet" Target="/xl/worksheets/sheet7.xml" Id="Rc665623d394d4e03" /><Relationship Type="http://schemas.openxmlformats.org/officeDocument/2006/relationships/worksheet" Target="/xl/worksheets/sheet8.xml" Id="R093aa4a8b6cd4d0e" /><Relationship Type="http://schemas.openxmlformats.org/officeDocument/2006/relationships/worksheet" Target="/xl/worksheets/sheet9.xml" Id="Rd60a395ac02346ed" /><Relationship Type="http://schemas.openxmlformats.org/officeDocument/2006/relationships/worksheet" Target="/xl/worksheets/sheet10.xml" Id="Rf01c361a6fbc4e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2026-10-15</x:v>
      </x:c>
      <x:c r="C4" s="10" t="n">
        <x:v>6805.19</x:v>
      </x:c>
      <x:c r="D4" s="10" t="n">
        <x:v>6652.55</x:v>
      </x:c>
      <x:c r="E4" s="12" t="n">
        <x:v>152.6</x:v>
      </x:c>
      <x:c r="F4" s="9" t="n">
        <x:v>6</x:v>
      </x:c>
      <x:c r="G4" s="10" t="n">
        <x:v>1247.2</x:v>
      </x:c>
      <x:c r="H4" s="10" t="n">
        <x:v>207.9</x:v>
      </x:c>
      <x:c r="I4" s="10" t="n">
        <x:v>180</x:v>
      </x:c>
    </x:row>
    <x:row r="5">
      <x:c r="A5" s="9" t="str">
        <x:v>中证500</x:v>
      </x:c>
      <x:c r="B5" s="9" t="str">
        <x:v>2026-10-15</x:v>
      </x:c>
      <x:c r="C5" s="10" t="n">
        <x:v>6870.95</x:v>
      </x:c>
      <x:c r="D5" s="10" t="n">
        <x:v>6725.59</x:v>
      </x:c>
      <x:c r="E5" s="12" t="n">
        <x:v>145.4</x:v>
      </x:c>
      <x:c r="F5" s="9" t="n">
        <x:v>6</x:v>
      </x:c>
      <x:c r="G5" s="10" t="n">
        <x:v>1179.1</x:v>
      </x:c>
      <x:c r="H5" s="10" t="n">
        <x:v>196.5</x:v>
      </x:c>
      <x:c r="I5" s="10" t="n">
        <x:v>160</x:v>
      </x:c>
    </x:row>
    <x:row r="6">
      <x:c r="A6" s="9" t="str">
        <x:v>上证指数</x:v>
      </x:c>
      <x:c r="B6" s="9" t="str">
        <x:v>2026-10-15</x:v>
      </x:c>
      <x:c r="C6" s="10" t="n">
        <x:v>3724.56</x:v>
      </x:c>
      <x:c r="D6" s="10" t="n">
        <x:v>3674.82</x:v>
      </x:c>
      <x:c r="E6" s="12" t="n">
        <x:v>49.7</x:v>
      </x:c>
      <x:c r="F6" s="9" t="n">
        <x:v>6</x:v>
      </x:c>
      <x:c r="G6" s="10" t="n">
        <x:v>356.7</x:v>
      </x:c>
      <x:c r="H6" s="10" t="n">
        <x:v>59.4</x:v>
      </x:c>
      <x:c r="I6" s="10" t="n">
        <x:v>50</x:v>
      </x:c>
    </x:row>
    <x:row r="7">
      <x:c r="A7" s="9" t="str">
        <x:v>IM主力</x:v>
      </x:c>
      <x:c r="B7" s="9" t="str">
        <x:v>2026-10-15</x:v>
      </x:c>
      <x:c r="C7" s="10" t="n">
        <x:v>6706.6</x:v>
      </x:c>
      <x:c r="D7" s="10" t="n">
        <x:v>6532.4</x:v>
      </x:c>
      <x:c r="E7" s="12" t="n">
        <x:v>174.2</x:v>
      </x:c>
      <x:c r="F7" s="9" t="n">
        <x:v>6</x:v>
      </x:c>
      <x:c r="G7" s="10" t="n">
        <x:v>1308</x:v>
      </x:c>
      <x:c r="H7" s="10" t="n">
        <x:v>218</x:v>
      </x:c>
      <x:c r="I7" s="10" t="n">
        <x:v>190</x:v>
      </x:c>
    </x:row>
    <x:row r="8">
      <x:c r="A8" s="9" t="str">
        <x:v>IC主力</x:v>
      </x:c>
      <x:c r="B8" s="9" t="str">
        <x:v>2026-10-15</x:v>
      </x:c>
      <x:c r="C8" s="10" t="n">
        <x:v>6769</x:v>
      </x:c>
      <x:c r="D8" s="10" t="n">
        <x:v>6583.2</x:v>
      </x:c>
      <x:c r="E8" s="12" t="n">
        <x:v>185.8</x:v>
      </x:c>
      <x:c r="F8" s="9" t="n">
        <x:v>6</x:v>
      </x:c>
      <x:c r="G8" s="10" t="n">
        <x:v>1289.4</x:v>
      </x:c>
      <x:c r="H8" s="10" t="n">
        <x:v>214.9</x:v>
      </x:c>
      <x:c r="I8" s="10" t="n">
        <x:v>150</x:v>
      </x:c>
    </x:row>
    <x:row r="9">
      <x:c r="A9" s="9" t="str">
        <x:v>IF主力</x:v>
      </x:c>
      <x:c r="B9" s="9" t="str">
        <x:v>2026-10-15</x:v>
      </x:c>
      <x:c r="C9" s="10" t="n">
        <x:v>4113</x:v>
      </x:c>
      <x:c r="D9" s="10" t="n">
        <x:v>4045.2</x:v>
      </x:c>
      <x:c r="E9" s="12" t="n">
        <x:v>67.8</x:v>
      </x:c>
      <x:c r="F9" s="9" t="n">
        <x:v>6</x:v>
      </x:c>
      <x:c r="G9" s="10" t="n">
        <x:v>507.8</x:v>
      </x:c>
      <x:c r="H9" s="10" t="n">
        <x:v>84.6</x:v>
      </x:c>
      <x:c r="I9" s="10" t="n">
        <x:v>90</x:v>
      </x:c>
    </x:row>
    <x:row r="10">
      <x:c r="A10" s="9" t="str">
        <x:v>IH主力</x:v>
      </x:c>
      <x:c r="B10" s="9" t="str">
        <x:v>2026-10-15</x:v>
      </x:c>
      <x:c r="C10" s="10" t="n">
        <x:v>2719.8</x:v>
      </x:c>
      <x:c r="D10" s="10" t="n">
        <x:v>2677.6</x:v>
      </x:c>
      <x:c r="E10" s="12" t="n">
        <x:v>42.2</x:v>
      </x:c>
      <x:c r="F10" s="9" t="n">
        <x:v>6</x:v>
      </x:c>
      <x:c r="G10" s="10" t="n">
        <x:v>259.6</x:v>
      </x:c>
      <x:c r="H10" s="10" t="n">
        <x:v>43.3</x:v>
      </x:c>
      <x:c r="I10" s="10" t="n">
        <x:v>60</x:v>
      </x:c>
    </x:row>
    <x:row r="11">
      <x:c r="A11" s="9" t="str">
        <x:v>碳酸锂2610</x:v>
      </x:c>
      <x:c r="B11" s="9" t="str">
        <x:v>2026-10-15</x:v>
      </x:c>
      <x:c r="C11" s="10" t="n">
        <x:v>103400</x:v>
      </x:c>
      <x:c r="D11" s="10" t="n">
        <x:v>102000</x:v>
      </x:c>
      <x:c r="E11" s="12" t="n">
        <x:v>1400</x:v>
      </x:c>
      <x:c r="F11" s="9" t="n">
        <x:v>6</x:v>
      </x:c>
      <x:c r="G11" s="10" t="n">
        <x:v>46960</x:v>
      </x:c>
      <x:c r="H11" s="10" t="n">
        <x:v>7826.7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10月12日-10月15日</x:v>
      </x:c>
      <x:c r="C6" s="23" t="n">
        <x:v>7132.68</x:v>
      </x:c>
      <x:c r="D6" s="23" t="n">
        <x:v>7145.06</x:v>
      </x:c>
      <x:c r="E6" s="23" t="n">
        <x:v>6652.55</x:v>
      </x:c>
      <x:c r="F6" s="23" t="n">
        <x:v>6678.65</x:v>
      </x:c>
      <x:c r="G6" s="28" t="n">
        <x:f>ROUND(F6-F5,1)</x:f>
        <x:v>-477.3</x:v>
      </x:c>
      <x:c r="H6" s="24" t="n">
        <x:f>IFERROR(F6/F5-1,"")</x:f>
        <x:v>-0.06669452242971197</x:v>
      </x:c>
      <x:c r="I6" s="26" t="n">
        <x:f>ROUND(D6-E6,1)</x:f>
        <x:v>492.5</x:v>
      </x:c>
      <x:c r="J6" s="22" t="str">
        <x:v>中证1000</x:v>
      </x:c>
      <x:c r="K6" s="22" t="n">
        <x:v>4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933.9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467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10月12日-10月15日</x:v>
      </x:c>
      <x:c r="C13" s="23" t="n">
        <x:v>7226.07</x:v>
      </x:c>
      <x:c r="D13" s="23" t="n">
        <x:v>7236.78</x:v>
      </x:c>
      <x:c r="E13" s="23" t="n">
        <x:v>6725.59</x:v>
      </x:c>
      <x:c r="F13" s="23" t="n">
        <x:v>6769.25</x:v>
      </x:c>
      <x:c r="G13" s="28" t="n">
        <x:f>ROUND(F13-F12,1)</x:f>
        <x:v>-481.8</x:v>
      </x:c>
      <x:c r="H13" s="24" t="n">
        <x:f>IFERROR(F13/F12-1,"")</x:f>
        <x:v>-0.06644039933747159</x:v>
      </x:c>
      <x:c r="I13" s="26" t="n">
        <x:f>ROUND(D13-E13,1)</x:f>
        <x:v>511.2</x:v>
      </x:c>
      <x:c r="J13" s="22" t="str">
        <x:v>中证500</x:v>
      </x:c>
      <x:c r="K13" s="22" t="n">
        <x:v>4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924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462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10月12日-10月15日</x:v>
      </x:c>
      <x:c r="C20" s="23" t="n">
        <x:v>3806.98</x:v>
      </x:c>
      <x:c r="D20" s="23" t="n">
        <x:v>3828.22</x:v>
      </x:c>
      <x:c r="E20" s="23" t="n">
        <x:v>3674.82</x:v>
      </x:c>
      <x:c r="F20" s="23" t="n">
        <x:v>3707.48</x:v>
      </x:c>
      <x:c r="G20" s="23" t="n">
        <x:f>ROUND(F20-F19,1)</x:f>
        <x:v>-106.3</x:v>
      </x:c>
      <x:c r="H20" s="24" t="n">
        <x:f>IFERROR(F20/F19-1,"")</x:f>
        <x:v>-0.027875158307090864</x:v>
      </x:c>
      <x:c r="I20" s="26" t="n">
        <x:f>ROUND(D20-E20,1)</x:f>
        <x:v>153.4</x:v>
      </x:c>
      <x:c r="J20" s="22" t="str">
        <x:v>上证指数</x:v>
      </x:c>
      <x:c r="K20" s="22" t="n">
        <x:v>4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263.4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131.7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10月12日-10月15日</x:v>
      </x:c>
      <x:c r="C27" s="23" t="n">
        <x:v>7000</x:v>
      </x:c>
      <x:c r="D27" s="23" t="n">
        <x:v>7031.2</x:v>
      </x:c>
      <x:c r="E27" s="23" t="n">
        <x:v>6532.4</x:v>
      </x:c>
      <x:c r="F27" s="23" t="n">
        <x:v>6553.6</x:v>
      </x:c>
      <x:c r="G27" s="28" t="n">
        <x:f>ROUND(F27-F26,1)</x:f>
        <x:v>-462.2</x:v>
      </x:c>
      <x:c r="H27" s="24" t="n">
        <x:f>IFERROR(F27/F26-1,"")</x:f>
        <x:v>-0.06587987114798022</x:v>
      </x:c>
      <x:c r="I27" s="26" t="n">
        <x:f>ROUND(D27-E27,1)</x:f>
        <x:v>498.8</x:v>
      </x:c>
      <x:c r="J27" s="22" t="str">
        <x:v>IM2612</x:v>
      </x:c>
      <x:c r="K27" s="22" t="n">
        <x:v>4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931.4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465.7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10月12日-10月15日</x:v>
      </x:c>
      <x:c r="C34" s="23" t="n">
        <x:v>7076.6</x:v>
      </x:c>
      <x:c r="D34" s="23" t="n">
        <x:v>7115.6</x:v>
      </x:c>
      <x:c r="E34" s="23" t="n">
        <x:v>6583.2</x:v>
      </x:c>
      <x:c r="F34" s="23" t="n">
        <x:v>6638.2</x:v>
      </x:c>
      <x:c r="G34" s="28" t="n">
        <x:f>ROUND(F34-F33,1)</x:f>
        <x:v>-472.8</x:v>
      </x:c>
      <x:c r="H34" s="24" t="n">
        <x:f>IFERROR(F34/F33-1,"")</x:f>
        <x:v>-0.0664885388834201</x:v>
      </x:c>
      <x:c r="I34" s="26" t="n">
        <x:f>ROUND(D34-E34,1)</x:f>
        <x:v>532.4</x:v>
      </x:c>
      <x:c r="J34" s="22" t="str">
        <x:v>IC2612</x:v>
      </x:c>
      <x:c r="K34" s="22" t="n">
        <x:v>4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955.4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477.7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10月12日-10月15日</x:v>
      </x:c>
      <x:c r="C41" s="23" t="n">
        <x:v>4240.4</x:v>
      </x:c>
      <x:c r="D41" s="23" t="n">
        <x:v>4273.6</x:v>
      </x:c>
      <x:c r="E41" s="23" t="n">
        <x:v>4045.2</x:v>
      </x:c>
      <x:c r="F41" s="23" t="n">
        <x:v>4092.6</x:v>
      </x:c>
      <x:c r="G41" s="28" t="n">
        <x:f>ROUND(F41-F40,1)</x:f>
        <x:v>-152.2</x:v>
      </x:c>
      <x:c r="H41" s="24" t="n">
        <x:f>IFERROR(F41/F40-1,"")</x:f>
        <x:v>-0.03585563513004153</x:v>
      </x:c>
      <x:c r="I41" s="26" t="n">
        <x:f>ROUND(D41-E41,1)</x:f>
        <x:v>228.4</x:v>
      </x:c>
      <x:c r="J41" s="22" t="str">
        <x:v>IF2612</x:v>
      </x:c>
      <x:c r="K41" s="22" t="n">
        <x:v>4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379.6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189.8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10月12日-10月15日</x:v>
      </x:c>
      <x:c r="C48" s="23" t="n">
        <x:v>2762</x:v>
      </x:c>
      <x:c r="D48" s="23" t="n">
        <x:v>2794</x:v>
      </x:c>
      <x:c r="E48" s="23" t="n">
        <x:v>2677.6</x:v>
      </x:c>
      <x:c r="F48" s="23" t="n">
        <x:v>2718.6</x:v>
      </x:c>
      <x:c r="G48" s="23" t="n">
        <x:f>ROUND(F48-F47,1)</x:f>
        <x:v>-45.4</x:v>
      </x:c>
      <x:c r="H48" s="24" t="n">
        <x:f>IFERROR(F48/F47-1,"")</x:f>
        <x:v>-0.016425470332851022</x:v>
      </x:c>
      <x:c r="I48" s="26" t="n">
        <x:f>ROUND(D48-E48,1)</x:f>
        <x:v>116.4</x:v>
      </x:c>
      <x:c r="J48" s="22" t="str">
        <x:v>IH2612</x:v>
      </x:c>
      <x:c r="K48" s="22" t="n">
        <x:v>4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179.8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89.9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10月12日-10月15日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102000</x:v>
      </x:c>
      <x:c r="G55" s="28" t="n">
        <x:f>ROUND(F55-F54,1)</x:f>
        <x:v>-19000</x:v>
      </x:c>
      <x:c r="H55" s="24" t="n">
        <x:f>IFERROR(F55/F54-1,"")</x:f>
        <x:v>-0.15702479338842978</x:v>
      </x:c>
      <x:c r="I55" s="26" t="n">
        <x:f>ROUND(D55-E55,1)</x:f>
        <x:v>24960</x:v>
      </x:c>
      <x:c r="J55" s="22" t="str">
        <x:v>LC2610</x:v>
      </x:c>
      <x:c r="K55" s="22" t="n">
        <x:v>4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32760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16380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1247.1999999999998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207.9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1179.1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196.5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356.69999999999993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59.4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1308.0000000000002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218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1289.4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214.9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507.8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84.6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259.6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43.3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46960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7826.7</x:v>
      </x:c>
      <x:c r="K13" s="30"/>
    </x:row>
  </x:sheetData>
  <x:mergeCells>
    <x:mergeCell ref="A1:K1"/>
  </x:mergeCells>
  <x:pageMargins left="0.7" right="0.7" top="0.75" bottom="0.75" header="0.3" footer="0.3"/>
</x:worksheet>
</file>