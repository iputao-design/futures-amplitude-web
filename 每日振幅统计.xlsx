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ecc6e84394e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c0e6143f5944460"/>
    <x:sheet xmlns:r="http://schemas.openxmlformats.org/officeDocument/2006/relationships" name="周振幅统计" sheetId="2" r:id="Rccfb8d8a8a314ea8"/>
    <x:sheet xmlns:r="http://schemas.openxmlformats.org/officeDocument/2006/relationships" name="中证1000" sheetId="3" r:id="R9968d3768a224516"/>
    <x:sheet xmlns:r="http://schemas.openxmlformats.org/officeDocument/2006/relationships" name="中证500" sheetId="4" r:id="Rcbbf8a5a4a064d66"/>
    <x:sheet xmlns:r="http://schemas.openxmlformats.org/officeDocument/2006/relationships" name="上证指数" sheetId="5" r:id="R7a7533a6326a41e4"/>
    <x:sheet xmlns:r="http://schemas.openxmlformats.org/officeDocument/2006/relationships" name="IM主力" sheetId="6" r:id="R51faefcba87a4534"/>
    <x:sheet xmlns:r="http://schemas.openxmlformats.org/officeDocument/2006/relationships" name="IC主力" sheetId="7" r:id="Rd09af5f598ee410d"/>
    <x:sheet xmlns:r="http://schemas.openxmlformats.org/officeDocument/2006/relationships" name="IF主力" sheetId="8" r:id="R24dc1220db984c0e"/>
    <x:sheet xmlns:r="http://schemas.openxmlformats.org/officeDocument/2006/relationships" name="IH主力" sheetId="9" r:id="R8a7f71541c3243f9"/>
    <x:sheet xmlns:r="http://schemas.openxmlformats.org/officeDocument/2006/relationships" name="碳酸锂2609" sheetId="10" r:id="Rc77f4c16772947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ada5ac797b4b83" /><Relationship Type="http://schemas.openxmlformats.org/officeDocument/2006/relationships/theme" Target="/xl/theme/theme1.xml" Id="Rf5f918889ec24323" /><Relationship Type="http://schemas.openxmlformats.org/officeDocument/2006/relationships/sharedStrings" Target="/xl/sharedStrings.xml" Id="R824e6bd0c516444f" /><Relationship Type="http://schemas.openxmlformats.org/officeDocument/2006/relationships/worksheet" Target="/xl/worksheets/sheet1.xml" Id="R7c0e6143f5944460" /><Relationship Type="http://schemas.openxmlformats.org/officeDocument/2006/relationships/worksheet" Target="/xl/worksheets/sheet2.xml" Id="Rccfb8d8a8a314ea8" /><Relationship Type="http://schemas.openxmlformats.org/officeDocument/2006/relationships/worksheet" Target="/xl/worksheets/sheet3.xml" Id="R9968d3768a224516" /><Relationship Type="http://schemas.openxmlformats.org/officeDocument/2006/relationships/worksheet" Target="/xl/worksheets/sheet4.xml" Id="Rcbbf8a5a4a064d66" /><Relationship Type="http://schemas.openxmlformats.org/officeDocument/2006/relationships/worksheet" Target="/xl/worksheets/sheet5.xml" Id="R7a7533a6326a41e4" /><Relationship Type="http://schemas.openxmlformats.org/officeDocument/2006/relationships/worksheet" Target="/xl/worksheets/sheet6.xml" Id="R51faefcba87a4534" /><Relationship Type="http://schemas.openxmlformats.org/officeDocument/2006/relationships/worksheet" Target="/xl/worksheets/sheet7.xml" Id="Rd09af5f598ee410d" /><Relationship Type="http://schemas.openxmlformats.org/officeDocument/2006/relationships/worksheet" Target="/xl/worksheets/sheet8.xml" Id="R24dc1220db984c0e" /><Relationship Type="http://schemas.openxmlformats.org/officeDocument/2006/relationships/worksheet" Target="/xl/worksheets/sheet9.xml" Id="R8a7f71541c3243f9" /><Relationship Type="http://schemas.openxmlformats.org/officeDocument/2006/relationships/worksheet" Target="/xl/worksheets/sheet10.xml" Id="Rc77f4c16772947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2026-08-28</x:v>
      </x:c>
      <x:c r="C4" s="10" t="n">
        <x:v>7802.55</x:v>
      </x:c>
      <x:c r="D4" s="10" t="n">
        <x:v>7702.18</x:v>
      </x:c>
      <x:c r="E4" s="12" t="n">
        <x:v>100.4</x:v>
      </x:c>
      <x:c r="F4" s="9" t="n">
        <x:v>20</x:v>
      </x:c>
      <x:c r="G4" s="10" t="n">
        <x:v>3448.3</x:v>
      </x:c>
      <x:c r="H4" s="10" t="n">
        <x:v>172.4</x:v>
      </x:c>
      <x:c r="I4" s="10" t="n">
        <x:v>180</x:v>
      </x:c>
    </x:row>
    <x:row r="5">
      <x:c r="A5" s="9" t="str">
        <x:v>中证500</x:v>
      </x:c>
      <x:c r="B5" s="9" t="str">
        <x:v>2026-08-28</x:v>
      </x:c>
      <x:c r="C5" s="10" t="n">
        <x:v>7986.43</x:v>
      </x:c>
      <x:c r="D5" s="10" t="n">
        <x:v>7892.51</x:v>
      </x:c>
      <x:c r="E5" s="12" t="n">
        <x:v>93.9</x:v>
      </x:c>
      <x:c r="F5" s="9" t="n">
        <x:v>20</x:v>
      </x:c>
      <x:c r="G5" s="10" t="n">
        <x:v>3298.7</x:v>
      </x:c>
      <x:c r="H5" s="10" t="n">
        <x:v>164.9</x:v>
      </x:c>
      <x:c r="I5" s="10" t="n">
        <x:v>160</x:v>
      </x:c>
    </x:row>
    <x:row r="6">
      <x:c r="A6" s="9" t="str">
        <x:v>上证指数</x:v>
      </x:c>
      <x:c r="B6" s="9" t="str">
        <x:v>2026-08-28</x:v>
      </x:c>
      <x:c r="C6" s="10" t="n">
        <x:v>3970.31</x:v>
      </x:c>
      <x:c r="D6" s="10" t="n">
        <x:v>3947.8</x:v>
      </x:c>
      <x:c r="E6" s="12" t="n">
        <x:v>22.5</x:v>
      </x:c>
      <x:c r="F6" s="9" t="n">
        <x:v>20</x:v>
      </x:c>
      <x:c r="G6" s="10" t="n">
        <x:v>846</x:v>
      </x:c>
      <x:c r="H6" s="10" t="n">
        <x:v>42.3</x:v>
      </x:c>
      <x:c r="I6" s="10" t="n">
        <x:v>50</x:v>
      </x:c>
    </x:row>
    <x:row r="7">
      <x:c r="A7" s="9" t="str">
        <x:v>IM主力</x:v>
      </x:c>
      <x:c r="B7" s="9" t="str">
        <x:v>2026-08-28</x:v>
      </x:c>
      <x:c r="C7" s="10" t="n">
        <x:v>7753.8</x:v>
      </x:c>
      <x:c r="D7" s="10" t="n">
        <x:v>7652</x:v>
      </x:c>
      <x:c r="E7" s="12" t="n">
        <x:v>101.8</x:v>
      </x:c>
      <x:c r="F7" s="9" t="n">
        <x:v>20</x:v>
      </x:c>
      <x:c r="G7" s="10" t="n">
        <x:v>3433.8</x:v>
      </x:c>
      <x:c r="H7" s="10" t="n">
        <x:v>171.7</x:v>
      </x:c>
      <x:c r="I7" s="10" t="n">
        <x:v>190</x:v>
      </x:c>
    </x:row>
    <x:row r="8">
      <x:c r="A8" s="9" t="str">
        <x:v>IC主力</x:v>
      </x:c>
      <x:c r="B8" s="9" t="str">
        <x:v>2026-08-28</x:v>
      </x:c>
      <x:c r="C8" s="10" t="n">
        <x:v>7931</x:v>
      </x:c>
      <x:c r="D8" s="10" t="n">
        <x:v>7841</x:v>
      </x:c>
      <x:c r="E8" s="12" t="n">
        <x:v>90</x:v>
      </x:c>
      <x:c r="F8" s="9" t="n">
        <x:v>20</x:v>
      </x:c>
      <x:c r="G8" s="10" t="n">
        <x:v>3352.6</x:v>
      </x:c>
      <x:c r="H8" s="10" t="n">
        <x:v>167.6</x:v>
      </x:c>
      <x:c r="I8" s="10" t="n">
        <x:v>150</x:v>
      </x:c>
    </x:row>
    <x:row r="9">
      <x:c r="A9" s="9" t="str">
        <x:v>IF主力</x:v>
      </x:c>
      <x:c r="B9" s="9" t="str">
        <x:v>2026-08-28</x:v>
      </x:c>
      <x:c r="C9" s="10" t="n">
        <x:v>4620</x:v>
      </x:c>
      <x:c r="D9" s="10" t="n">
        <x:v>4587.2</x:v>
      </x:c>
      <x:c r="E9" s="12" t="n">
        <x:v>32.8</x:v>
      </x:c>
      <x:c r="F9" s="9" t="n">
        <x:v>20</x:v>
      </x:c>
      <x:c r="G9" s="10" t="n">
        <x:v>1248.4</x:v>
      </x:c>
      <x:c r="H9" s="10" t="n">
        <x:v>62.4</x:v>
      </x:c>
      <x:c r="I9" s="10" t="n">
        <x:v>90</x:v>
      </x:c>
    </x:row>
    <x:row r="10">
      <x:c r="A10" s="9" t="str">
        <x:v>IH主力</x:v>
      </x:c>
      <x:c r="B10" s="9" t="str">
        <x:v>2026-08-28</x:v>
      </x:c>
      <x:c r="C10" s="10" t="n">
        <x:v>2918.2</x:v>
      </x:c>
      <x:c r="D10" s="10" t="n">
        <x:v>2905.2</x:v>
      </x:c>
      <x:c r="E10" s="12" t="n">
        <x:v>13</x:v>
      </x:c>
      <x:c r="F10" s="9" t="n">
        <x:v>20</x:v>
      </x:c>
      <x:c r="G10" s="10" t="n">
        <x:v>655</x:v>
      </x:c>
      <x:c r="H10" s="10" t="n">
        <x:v>32.8</x:v>
      </x:c>
      <x:c r="I10" s="10" t="n">
        <x:v>60</x:v>
      </x:c>
    </x:row>
    <x:row r="11">
      <x:c r="A11" s="9" t="str">
        <x:v>碳酸锂2609</x:v>
      </x:c>
      <x:c r="B11" s="9" t="str">
        <x:v>2026-08-28</x:v>
      </x:c>
      <x:c r="C11" s="10" t="n">
        <x:v>157200</x:v>
      </x:c>
      <x:c r="D11" s="10" t="n">
        <x:v>149380</x:v>
      </x:c>
      <x:c r="E11" s="12" t="n">
        <x:v>7820</x:v>
      </x:c>
      <x:c r="F11" s="9" t="n">
        <x:v>20</x:v>
      </x:c>
      <x:c r="G11" s="10" t="n">
        <x:v>106720</x:v>
      </x:c>
      <x:c r="H11" s="10" t="n">
        <x:v>5336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8月24日-8月28日</x:v>
      </x:c>
      <x:c r="C8" s="23" t="n">
        <x:v>7614.89</x:v>
      </x:c>
      <x:c r="D8" s="23" t="n">
        <x:v>7802.55</x:v>
      </x:c>
      <x:c r="E8" s="23" t="n">
        <x:v>7347.95</x:v>
      </x:c>
      <x:c r="F8" s="23" t="n">
        <x:v>7705.03</x:v>
      </x:c>
      <x:c r="G8" s="23" t="n">
        <x:f>ROUND(F8-F7,1)</x:f>
        <x:v>103.2</x:v>
      </x:c>
      <x:c r="H8" s="24" t="n">
        <x:f>IFERROR(F8/F7-1,"")</x:f>
        <x:v>0.013579678497197989</x:v>
      </x:c>
      <x:c r="I8" s="26" t="n">
        <x:f>ROUND(D8-E8,1)</x:f>
        <x:v>454.6</x:v>
      </x:c>
      <x:c r="J8" s="22" t="str">
        <x:v>中证1000</x:v>
      </x:c>
      <x:c r="K8" s="22" t="n">
        <x:v>5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1878.9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469.7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8月24日-8月28日</x:v>
      </x:c>
      <x:c r="C17" s="23" t="n">
        <x:v>7861.05</x:v>
      </x:c>
      <x:c r="D17" s="23" t="n">
        <x:v>7986.43</x:v>
      </x:c>
      <x:c r="E17" s="23" t="n">
        <x:v>7572.86</x:v>
      </x:c>
      <x:c r="F17" s="23" t="n">
        <x:v>7895.45</x:v>
      </x:c>
      <x:c r="G17" s="23" t="n">
        <x:f>ROUND(F17-F16,1)</x:f>
        <x:v>41.1</x:v>
      </x:c>
      <x:c r="H17" s="24" t="n">
        <x:f>IFERROR(F17/F16-1,"")</x:f>
        <x:v>0.005235328793162575</x:v>
      </x:c>
      <x:c r="I17" s="26" t="n">
        <x:f>ROUND(D17-E17,1)</x:f>
        <x:v>413.6</x:v>
      </x:c>
      <x:c r="J17" s="22" t="str">
        <x:v>中证500</x:v>
      </x:c>
      <x:c r="K17" s="22" t="n">
        <x:v>5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1698.9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424.7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8月24日-8月28日</x:v>
      </x:c>
      <x:c r="C26" s="23" t="n">
        <x:v>3902.7</x:v>
      </x:c>
      <x:c r="D26" s="23" t="n">
        <x:v>3970.31</x:v>
      </x:c>
      <x:c r="E26" s="23" t="n">
        <x:v>3850.86</x:v>
      </x:c>
      <x:c r="F26" s="23" t="n">
        <x:v>3952.18</x:v>
      </x:c>
      <x:c r="G26" s="23" t="n">
        <x:f>ROUND(F26-F25,1)</x:f>
        <x:v>47</x:v>
      </x:c>
      <x:c r="H26" s="24" t="n">
        <x:f>IFERROR(F26/F25-1,"")</x:f>
        <x:v>0.012030113694561084</x:v>
      </x:c>
      <x:c r="I26" s="26" t="n">
        <x:f>ROUND(D26-E26,1)</x:f>
        <x:v>119.4</x:v>
      </x:c>
      <x:c r="J26" s="22" t="str">
        <x:v>上证指数</x:v>
      </x:c>
      <x:c r="K26" s="22" t="n">
        <x:v>5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442.1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110.5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8月24日-8月28日</x:v>
      </x:c>
      <x:c r="C35" s="23" t="n">
        <x:v>7534.8</x:v>
      </x:c>
      <x:c r="D35" s="23" t="n">
        <x:v>7753.8</x:v>
      </x:c>
      <x:c r="E35" s="23" t="n">
        <x:v>7300.2</x:v>
      </x:c>
      <x:c r="F35" s="23" t="n">
        <x:v>7666.6</x:v>
      </x:c>
      <x:c r="G35" s="23" t="n">
        <x:f>ROUND(F35-F34,1)</x:f>
        <x:v>139.6</x:v>
      </x:c>
      <x:c r="H35" s="24" t="n">
        <x:f>IFERROR(F35/F34-1,"")</x:f>
        <x:v>0.01854656569682489</x:v>
      </x:c>
      <x:c r="I35" s="26" t="n">
        <x:f>ROUND(D35-E35,1)</x:f>
        <x:v>453.6</x:v>
      </x:c>
      <x:c r="J35" s="22" t="str">
        <x:v>IM2609</x:v>
      </x:c>
      <x:c r="K35" s="22" t="n">
        <x:v>5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1795.6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448.9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8月24日-8月28日</x:v>
      </x:c>
      <x:c r="C44" s="23" t="n">
        <x:v>7757</x:v>
      </x:c>
      <x:c r="D44" s="23" t="n">
        <x:v>7931</x:v>
      </x:c>
      <x:c r="E44" s="23" t="n">
        <x:v>7496</x:v>
      </x:c>
      <x:c r="F44" s="23" t="n">
        <x:v>7853.8</x:v>
      </x:c>
      <x:c r="G44" s="23" t="n">
        <x:f>ROUND(F44-F43,1)</x:f>
        <x:v>91.8</x:v>
      </x:c>
      <x:c r="H44" s="24" t="n">
        <x:f>IFERROR(F44/F43-1,"")</x:f>
        <x:v>0.011826848750322139</x:v>
      </x:c>
      <x:c r="I44" s="26" t="n">
        <x:f>ROUND(D44-E44,1)</x:f>
        <x:v>435</x:v>
      </x:c>
      <x:c r="J44" s="22" t="str">
        <x:v>IC2609</x:v>
      </x:c>
      <x:c r="K44" s="22" t="n">
        <x:v>5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1633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408.3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8月24日-8月28日</x:v>
      </x:c>
      <x:c r="C53" s="23" t="n">
        <x:v>4607.4</x:v>
      </x:c>
      <x:c r="D53" s="23" t="n">
        <x:v>4620</x:v>
      </x:c>
      <x:c r="E53" s="23" t="n">
        <x:v>4486.4</x:v>
      </x:c>
      <x:c r="F53" s="23" t="n">
        <x:v>4593.6</x:v>
      </x:c>
      <x:c r="G53" s="23" t="n">
        <x:f>ROUND(F53-F52,1)</x:f>
        <x:v>17.6</x:v>
      </x:c>
      <x:c r="H53" s="24" t="n">
        <x:f>IFERROR(F53/F52-1,"")</x:f>
        <x:v>0.0038461538461538325</x:v>
      </x:c>
      <x:c r="I53" s="26" t="n">
        <x:f>ROUND(D53-E53,1)</x:f>
        <x:v>133.6</x:v>
      </x:c>
      <x:c r="J53" s="22" t="str">
        <x:v>IF2609</x:v>
      </x:c>
      <x:c r="K53" s="22" t="n">
        <x:v>5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547.4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136.9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8月24日-8月28日</x:v>
      </x:c>
      <x:c r="C62" s="23" t="n">
        <x:v>2856.4</x:v>
      </x:c>
      <x:c r="D62" s="23" t="n">
        <x:v>2918.2</x:v>
      </x:c>
      <x:c r="E62" s="23" t="n">
        <x:v>2837.4</x:v>
      </x:c>
      <x:c r="F62" s="23" t="n">
        <x:v>2911.4</x:v>
      </x:c>
      <x:c r="G62" s="23" t="n">
        <x:f>ROUND(F62-F61,1)</x:f>
        <x:v>50.4</x:v>
      </x:c>
      <x:c r="H62" s="24" t="n">
        <x:f>IFERROR(F62/F61-1,"")</x:f>
        <x:v>0.01761621810555747</x:v>
      </x:c>
      <x:c r="I62" s="26" t="n">
        <x:f>ROUND(D62-E62,1)</x:f>
        <x:v>80.8</x:v>
      </x:c>
      <x:c r="J62" s="22" t="str">
        <x:v>IH2609</x:v>
      </x:c>
      <x:c r="K62" s="22" t="n">
        <x:v>5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316.4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79.1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8月24日-8月28日</x:v>
      </x:c>
      <x:c r="C71" s="23" t="n">
        <x:v>158500</x:v>
      </x:c>
      <x:c r="D71" s="23" t="n">
        <x:v>160000</x:v>
      </x:c>
      <x:c r="E71" s="23" t="n">
        <x:v>147000</x:v>
      </x:c>
      <x:c r="F71" s="23" t="n">
        <x:v>157080</x:v>
      </x:c>
      <x:c r="G71" s="28" t="n">
        <x:f>ROUND(F71-F70,1)</x:f>
        <x:v>940</x:v>
      </x:c>
      <x:c r="H71" s="24" t="n">
        <x:f>IFERROR(F71/F70-1,"")</x:f>
        <x:v>0.0060202382477263505</x:v>
      </x:c>
      <x:c r="I71" s="26" t="n">
        <x:f>ROUND(D71-E71,1)</x:f>
        <x:v>13000</x:v>
      </x:c>
      <x:c r="J71" s="22" t="str">
        <x:v>LC2609</x:v>
      </x:c>
      <x:c r="K71" s="22" t="n">
        <x:v>5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46060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11515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7551.44</x:v>
      </x:c>
      <x:c r="E22" s="23" t="n">
        <x:v>7734.31</x:v>
      </x:c>
      <x:c r="F22" s="23" t="n">
        <x:v>7531.78</x:v>
      </x:c>
      <x:c r="G22" s="23" t="n">
        <x:v>7732.95</x:v>
      </x:c>
      <x:c r="H22" s="28" t="n">
        <x:v>188.3</x:v>
      </x:c>
      <x:c r="I22" s="24" t="n">
        <x:v>0.024955365841050625</x:v>
      </x:c>
      <x:c r="J22" s="26" t="n">
        <x:f>ROUND(E22-F22,1)</x:f>
        <x:v>202.5</x:v>
      </x:c>
      <x:c r="K22" s="22" t="str">
        <x:v>中证1000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7734.19</x:v>
      </x:c>
      <x:c r="E23" s="23" t="n">
        <x:v>7802.55</x:v>
      </x:c>
      <x:c r="F23" s="23" t="n">
        <x:v>7702.18</x:v>
      </x:c>
      <x:c r="G23" s="23" t="n">
        <x:v>7705.03</x:v>
      </x:c>
      <x:c r="H23" s="23" t="n">
        <x:v>-27.9</x:v>
      </x:c>
      <x:c r="I23" s="24" t="n">
        <x:v>-0.0036105237975158078</x:v>
      </x:c>
      <x:c r="J23" s="23" t="n">
        <x:f>ROUND(E23-F23,1)</x:f>
        <x:v>100.4</x:v>
      </x:c>
      <x:c r="K23" s="22" t="str">
        <x:v>中证1000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3448.3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172.4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7786.69</x:v>
      </x:c>
      <x:c r="E22" s="23" t="n">
        <x:v>7951.05</x:v>
      </x:c>
      <x:c r="F22" s="23" t="n">
        <x:v>7763.98</x:v>
      </x:c>
      <x:c r="G22" s="23" t="n">
        <x:v>7946.33</x:v>
      </x:c>
      <x:c r="H22" s="28" t="n">
        <x:v>175.8</x:v>
      </x:c>
      <x:c r="I22" s="24" t="n">
        <x:v>0.02262393942240748</x:v>
      </x:c>
      <x:c r="J22" s="26" t="n">
        <x:f>ROUND(E22-F22,1)</x:f>
        <x:v>187.1</x:v>
      </x:c>
      <x:c r="K22" s="22" t="str">
        <x:v>中证500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7939.45</x:v>
      </x:c>
      <x:c r="E23" s="23" t="n">
        <x:v>7986.43</x:v>
      </x:c>
      <x:c r="F23" s="23" t="n">
        <x:v>7892.51</x:v>
      </x:c>
      <x:c r="G23" s="23" t="n">
        <x:v>7895.45</x:v>
      </x:c>
      <x:c r="H23" s="23" t="n">
        <x:v>-50.9</x:v>
      </x:c>
      <x:c r="I23" s="24" t="n">
        <x:v>-0.006402955829924006</x:v>
      </x:c>
      <x:c r="J23" s="23" t="n">
        <x:f>ROUND(E23-F23,1)</x:f>
        <x:v>93.9</x:v>
      </x:c>
      <x:c r="K23" s="22" t="str">
        <x:v>中证500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3298.7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164.9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3911.89</x:v>
      </x:c>
      <x:c r="E22" s="23" t="n">
        <x:v>3958.03</x:v>
      </x:c>
      <x:c r="F22" s="23" t="n">
        <x:v>3909.31</x:v>
      </x:c>
      <x:c r="G22" s="23" t="n">
        <x:v>3956.57</x:v>
      </x:c>
      <x:c r="H22" s="23" t="n">
        <x:v>44.1</x:v>
      </x:c>
      <x:c r="I22" s="24" t="n">
        <x:v>0.01125872838988684</x:v>
      </x:c>
      <x:c r="J22" s="23" t="n">
        <x:f>ROUND(E22-F22,1)</x:f>
        <x:v>48.7</x:v>
      </x:c>
      <x:c r="K22" s="22" t="str">
        <x:v>上证指数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3950.24</x:v>
      </x:c>
      <x:c r="E23" s="23" t="n">
        <x:v>3970.31</x:v>
      </x:c>
      <x:c r="F23" s="23" t="n">
        <x:v>3947.8</x:v>
      </x:c>
      <x:c r="G23" s="23" t="n">
        <x:v>3952.18</x:v>
      </x:c>
      <x:c r="H23" s="23" t="n">
        <x:v>-4.4</x:v>
      </x:c>
      <x:c r="I23" s="24" t="n">
        <x:v>-0.0011095469055268925</x:v>
      </x:c>
      <x:c r="J23" s="23" t="n">
        <x:f>ROUND(E23-F23,1)</x:f>
        <x:v>22.5</x:v>
      </x:c>
      <x:c r="K23" s="22" t="str">
        <x:v>上证指数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846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42.3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7466</x:v>
      </x:c>
      <x:c r="E21" s="23" t="n">
        <x:v>7558</x:v>
      </x:c>
      <x:c r="F21" s="23" t="n">
        <x:v>7395</x:v>
      </x:c>
      <x:c r="G21" s="23" t="n">
        <x:v>7491.8</x:v>
      </x:c>
      <x:c r="H21" s="23" t="n">
        <x:v>25.4</x:v>
      </x:c>
      <x:c r="I21" s="24" t="n">
        <x:v>0.0034019072109718884</x:v>
      </x:c>
      <x:c r="J21" s="23" t="n">
        <x:f>ROUND(E21-F21,1)</x:f>
        <x:v>163</x:v>
      </x:c>
      <x:c r="K21" s="22" t="str">
        <x:v>IM2609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7511</x:v>
      </x:c>
      <x:c r="E22" s="23" t="n">
        <x:v>7696</x:v>
      </x:c>
      <x:c r="F22" s="23" t="n">
        <x:v>7472</x:v>
      </x:c>
      <x:c r="G22" s="23" t="n">
        <x:v>7686.6</x:v>
      </x:c>
      <x:c r="H22" s="28" t="n">
        <x:v>194.8</x:v>
      </x:c>
      <x:c r="I22" s="24" t="n">
        <x:v>0.026001761926372824</x:v>
      </x:c>
      <x:c r="J22" s="26" t="n">
        <x:f>ROUND(E22-F22,1)</x:f>
        <x:v>224</x:v>
      </x:c>
      <x:c r="K22" s="22" t="str">
        <x:v>IM2609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7680</x:v>
      </x:c>
      <x:c r="E23" s="23" t="n">
        <x:v>7753.8</x:v>
      </x:c>
      <x:c r="F23" s="23" t="n">
        <x:v>7652</x:v>
      </x:c>
      <x:c r="G23" s="23" t="n">
        <x:v>7666.6</x:v>
      </x:c>
      <x:c r="H23" s="23" t="n">
        <x:v>-20</x:v>
      </x:c>
      <x:c r="I23" s="24" t="n">
        <x:v>-0.0026019306325293368</x:v>
      </x:c>
      <x:c r="J23" s="23" t="n">
        <x:f>ROUND(E23-F23,1)</x:f>
        <x:v>101.8</x:v>
      </x:c>
      <x:c r="K23" s="22" t="str">
        <x:v>IM2609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3433.8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171.7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7730.6</x:v>
      </x:c>
      <x:c r="E22" s="23" t="n">
        <x:v>7907</x:v>
      </x:c>
      <x:c r="F22" s="23" t="n">
        <x:v>7700</x:v>
      </x:c>
      <x:c r="G22" s="23" t="n">
        <x:v>7903</x:v>
      </x:c>
      <x:c r="H22" s="28" t="n">
        <x:v>194.2</x:v>
      </x:c>
      <x:c r="I22" s="24" t="n">
        <x:v>0.025191988376919827</x:v>
      </x:c>
      <x:c r="J22" s="26" t="n">
        <x:f>ROUND(E22-F22,1)</x:f>
        <x:v>207</x:v>
      </x:c>
      <x:c r="K22" s="22" t="str">
        <x:v>IC2609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7895</x:v>
      </x:c>
      <x:c r="E23" s="23" t="n">
        <x:v>7931</x:v>
      </x:c>
      <x:c r="F23" s="23" t="n">
        <x:v>7841</x:v>
      </x:c>
      <x:c r="G23" s="23" t="n">
        <x:v>7853.8</x:v>
      </x:c>
      <x:c r="H23" s="23" t="n">
        <x:v>-49.2</x:v>
      </x:c>
      <x:c r="I23" s="24" t="n">
        <x:v>-0.006225483993420156</x:v>
      </x:c>
      <x:c r="J23" s="23" t="n">
        <x:f>ROUND(E23-F23,1)</x:f>
        <x:v>90</x:v>
      </x:c>
      <x:c r="K23" s="22" t="str">
        <x:v>IC2609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3352.6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167.6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4515.6</x:v>
      </x:c>
      <x:c r="E21" s="23" t="n">
        <x:v>4593.6</x:v>
      </x:c>
      <x:c r="F21" s="23" t="n">
        <x:v>4515.6</x:v>
      </x:c>
      <x:c r="G21" s="23" t="n">
        <x:v>4566.8</x:v>
      </x:c>
      <x:c r="H21" s="23" t="n">
        <x:v>45</x:v>
      </x:c>
      <x:c r="I21" s="24" t="n">
        <x:v>0.009951789110531184</x:v>
      </x:c>
      <x:c r="J21" s="23" t="n">
        <x:f>ROUND(E21-F21,1)</x:f>
        <x:v>78</x:v>
      </x:c>
      <x:c r="K21" s="22" t="str">
        <x:v>IF2609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4577.2</x:v>
      </x:c>
      <x:c r="E22" s="23" t="n">
        <x:v>4608.2</x:v>
      </x:c>
      <x:c r="F22" s="23" t="n">
        <x:v>4561.8</x:v>
      </x:c>
      <x:c r="G22" s="23" t="n">
        <x:v>4604.8</x:v>
      </x:c>
      <x:c r="H22" s="23" t="n">
        <x:v>38</x:v>
      </x:c>
      <x:c r="I22" s="24" t="n">
        <x:v>0.008320924936498164</x:v>
      </x:c>
      <x:c r="J22" s="23" t="n">
        <x:f>ROUND(E22-F22,1)</x:f>
        <x:v>46.4</x:v>
      </x:c>
      <x:c r="K22" s="22" t="str">
        <x:v>IF2609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4591.8</x:v>
      </x:c>
      <x:c r="E23" s="23" t="n">
        <x:v>4620</x:v>
      </x:c>
      <x:c r="F23" s="23" t="n">
        <x:v>4587.2</x:v>
      </x:c>
      <x:c r="G23" s="23" t="n">
        <x:v>4593.6</x:v>
      </x:c>
      <x:c r="H23" s="23" t="n">
        <x:v>-11.2</x:v>
      </x:c>
      <x:c r="I23" s="24" t="n">
        <x:v>-0.0024322446143154597</x:v>
      </x:c>
      <x:c r="J23" s="23" t="n">
        <x:f>ROUND(E23-F23,1)</x:f>
        <x:v>32.8</x:v>
      </x:c>
      <x:c r="K23" s="22" t="str">
        <x:v>IF2609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1248.4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62.4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2895</x:v>
      </x:c>
      <x:c r="E22" s="23" t="n">
        <x:v>2916.2</x:v>
      </x:c>
      <x:c r="F22" s="23" t="n">
        <x:v>2890.4</x:v>
      </x:c>
      <x:c r="G22" s="23" t="n">
        <x:v>2914</x:v>
      </x:c>
      <x:c r="H22" s="23" t="n">
        <x:v>25.2</x:v>
      </x:c>
      <x:c r="I22" s="24" t="n">
        <x:v>0.008723345333702559</x:v>
      </x:c>
      <x:c r="J22" s="23" t="n">
        <x:f>ROUND(E22-F22,1)</x:f>
        <x:v>25.8</x:v>
      </x:c>
      <x:c r="K22" s="22" t="str">
        <x:v>IH2609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2909</x:v>
      </x:c>
      <x:c r="E23" s="23" t="n">
        <x:v>2918.2</x:v>
      </x:c>
      <x:c r="F23" s="23" t="n">
        <x:v>2905.2</x:v>
      </x:c>
      <x:c r="G23" s="23" t="n">
        <x:v>2911.4</x:v>
      </x:c>
      <x:c r="H23" s="23" t="n">
        <x:v>-2.6</x:v>
      </x:c>
      <x:c r="I23" s="24" t="n">
        <x:v>-0.0008922443376800926</x:v>
      </x:c>
      <x:c r="J23" s="23" t="n">
        <x:f>ROUND(E23-F23,1)</x:f>
        <x:v>13</x:v>
      </x:c>
      <x:c r="K23" s="22" t="str">
        <x:v>IH2609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655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32.8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149860</x:v>
      </x:c>
      <x:c r="E22" s="23" t="n">
        <x:v>153140</x:v>
      </x:c>
      <x:c r="F22" s="23" t="n">
        <x:v>149120</x:v>
      </x:c>
      <x:c r="G22" s="23" t="n">
        <x:v>150300</x:v>
      </x:c>
      <x:c r="H22" s="28" t="n">
        <x:v>-280</x:v>
      </x:c>
      <x:c r="I22" s="24" t="n">
        <x:v>-0.001859476690131534</x:v>
      </x:c>
      <x:c r="J22" s="23" t="n">
        <x:f>ROUND(E22-F22,1)</x:f>
        <x:v>4020</x:v>
      </x:c>
      <x:c r="K22" s="22" t="str">
        <x:v>LC2609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149380</x:v>
      </x:c>
      <x:c r="E23" s="23" t="n">
        <x:v>157200</x:v>
      </x:c>
      <x:c r="F23" s="23" t="n">
        <x:v>149380</x:v>
      </x:c>
      <x:c r="G23" s="23" t="n">
        <x:v>157080</x:v>
      </x:c>
      <x:c r="H23" s="28" t="n">
        <x:v>6780</x:v>
      </x:c>
      <x:c r="I23" s="24" t="n">
        <x:v>0.04510978043912184</x:v>
      </x:c>
      <x:c r="J23" s="26" t="n">
        <x:f>ROUND(E23-F23,1)</x:f>
        <x:v>7820</x:v>
      </x:c>
      <x:c r="K23" s="22" t="str">
        <x:v>LC2609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106720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5336</x:v>
      </x:c>
      <x:c r="K27" s="30"/>
    </x:row>
  </x:sheetData>
  <x:mergeCells>
    <x:mergeCell ref="A1:K1"/>
  </x:mergeCells>
  <x:pageMargins left="0.7" right="0.7" top="0.75" bottom="0.75" header="0.3" footer="0.3"/>
</x:worksheet>
</file>