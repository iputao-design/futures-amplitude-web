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7e92aca2ff4e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965192986d54293"/>
    <x:sheet xmlns:r="http://schemas.openxmlformats.org/officeDocument/2006/relationships" name="中证1000" sheetId="2" r:id="Rd1e8ae8771a7410d"/>
    <x:sheet xmlns:r="http://schemas.openxmlformats.org/officeDocument/2006/relationships" name="中证500" sheetId="3" r:id="R133a6d1eb2384b30"/>
    <x:sheet xmlns:r="http://schemas.openxmlformats.org/officeDocument/2006/relationships" name="上证指数" sheetId="4" r:id="Rcd72ef20500c4cfe"/>
    <x:sheet xmlns:r="http://schemas.openxmlformats.org/officeDocument/2006/relationships" name="IM主力" sheetId="5" r:id="Rad1b9aec6b0340a6"/>
    <x:sheet xmlns:r="http://schemas.openxmlformats.org/officeDocument/2006/relationships" name="IC主力" sheetId="6" r:id="R9e92c78a80a64724"/>
    <x:sheet xmlns:r="http://schemas.openxmlformats.org/officeDocument/2006/relationships" name="IF主力" sheetId="7" r:id="R46ae41261300410c"/>
    <x:sheet xmlns:r="http://schemas.openxmlformats.org/officeDocument/2006/relationships" name="IH主力" sheetId="8" r:id="R7b3b722d5a1f45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5" fillId="7" borderId="2" xfId="0" applyNumberFormat="1" applyFont="1" applyFill="1" applyBorder="1" applyAlignment="1">
      <x:alignment horizontal="center" vertical="center"/>
    </x:xf>
    <x:xf numFmtId="200" fontId="5" fillId="7" borderId="2" xfId="0" applyNumberFormat="1" applyFont="1" applyFill="1" applyBorder="1" applyAlignment="1">
      <x:alignment horizontal="center" vertical="center"/>
    </x:xf>
    <x:xf numFmtId="201" fontId="5" fillId="7" borderId="2" xfId="0" applyNumberFormat="1" applyFont="1" applyFill="1" applyBorder="1" applyAlignment="1">
      <x:alignment horizontal="center" vertical="center"/>
    </x:xf>
    <x:xf numFmtId="0" fontId="8" fillId="7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  <x:xf numFmtId="201" fontId="8" fillId="7" borderId="2" xfId="0" applyNumberFormat="1" applyFont="1" applyFill="1" applyBorder="1" applyAlignment="1">
      <x:alignment horizontal="center" vertic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418c30130c4a75" /><Relationship Type="http://schemas.openxmlformats.org/officeDocument/2006/relationships/theme" Target="/xl/theme/theme1.xml" Id="Rec726ceac3a24ac8" /><Relationship Type="http://schemas.openxmlformats.org/officeDocument/2006/relationships/sharedStrings" Target="/xl/sharedStrings.xml" Id="R146317d304714c77" /><Relationship Type="http://schemas.openxmlformats.org/officeDocument/2006/relationships/worksheet" Target="/xl/worksheets/sheet1.xml" Id="R2965192986d54293" /><Relationship Type="http://schemas.openxmlformats.org/officeDocument/2006/relationships/worksheet" Target="/xl/worksheets/sheet2.xml" Id="Rd1e8ae8771a7410d" /><Relationship Type="http://schemas.openxmlformats.org/officeDocument/2006/relationships/worksheet" Target="/xl/worksheets/sheet3.xml" Id="R133a6d1eb2384b30" /><Relationship Type="http://schemas.openxmlformats.org/officeDocument/2006/relationships/worksheet" Target="/xl/worksheets/sheet4.xml" Id="Rcd72ef20500c4cfe" /><Relationship Type="http://schemas.openxmlformats.org/officeDocument/2006/relationships/worksheet" Target="/xl/worksheets/sheet5.xml" Id="Rad1b9aec6b0340a6" /><Relationship Type="http://schemas.openxmlformats.org/officeDocument/2006/relationships/worksheet" Target="/xl/worksheets/sheet6.xml" Id="R9e92c78a80a64724" /><Relationship Type="http://schemas.openxmlformats.org/officeDocument/2006/relationships/worksheet" Target="/xl/worksheets/sheet7.xml" Id="R46ae41261300410c" /><Relationship Type="http://schemas.openxmlformats.org/officeDocument/2006/relationships/worksheet" Target="/xl/worksheets/sheet8.xml" Id="R7b3b722d5a1f45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2026-07-17</x:v>
      </x:c>
      <x:c r="C4" s="10" t="n">
        <x:v>7605.613</x:v>
      </x:c>
      <x:c r="D4" s="10" t="n">
        <x:v>7163.309</x:v>
      </x:c>
      <x:c r="E4" s="12" t="n">
        <x:v>442.3</x:v>
      </x:c>
      <x:c r="F4" s="9" t="n">
        <x:v>13</x:v>
      </x:c>
      <x:c r="G4" s="10" t="n">
        <x:v>3422.6</x:v>
      </x:c>
      <x:c r="H4" s="10" t="n">
        <x:v>263.3</x:v>
      </x:c>
      <x:c r="I4" s="10" t="n">
        <x:v>180</x:v>
      </x:c>
    </x:row>
    <x:row r="5">
      <x:c r="A5" s="9" t="str">
        <x:v>中证500</x:v>
      </x:c>
      <x:c r="B5" s="9" t="str">
        <x:v>2026-07-17</x:v>
      </x:c>
      <x:c r="C5" s="10" t="n">
        <x:v>7908.739</x:v>
      </x:c>
      <x:c r="D5" s="10" t="n">
        <x:v>7474.151</x:v>
      </x:c>
      <x:c r="E5" s="12" t="n">
        <x:v>434.6</x:v>
      </x:c>
      <x:c r="F5" s="9" t="n">
        <x:v>13</x:v>
      </x:c>
      <x:c r="G5" s="10" t="n">
        <x:v>3559.9</x:v>
      </x:c>
      <x:c r="H5" s="10" t="n">
        <x:v>273.8</x:v>
      </x:c>
      <x:c r="I5" s="10" t="n">
        <x:v>160</x:v>
      </x:c>
    </x:row>
    <x:row r="6">
      <x:c r="A6" s="9" t="str">
        <x:v>上证指数</x:v>
      </x:c>
      <x:c r="B6" s="9" t="str">
        <x:v>2026-07-17</x:v>
      </x:c>
      <x:c r="C6" s="10" t="n">
        <x:v>3869.215</x:v>
      </x:c>
      <x:c r="D6" s="10" t="n">
        <x:v>3745.174</x:v>
      </x:c>
      <x:c r="E6" s="12" t="n">
        <x:v>124</x:v>
      </x:c>
      <x:c r="F6" s="9" t="n">
        <x:v>13</x:v>
      </x:c>
      <x:c r="G6" s="10" t="n">
        <x:v>932.2</x:v>
      </x:c>
      <x:c r="H6" s="10" t="n">
        <x:v>71.7</x:v>
      </x:c>
      <x:c r="I6" s="10" t="n">
        <x:v>50</x:v>
      </x:c>
    </x:row>
    <x:row r="7">
      <x:c r="A7" s="9" t="str">
        <x:v>IM主力</x:v>
      </x:c>
      <x:c r="B7" s="9" t="str">
        <x:v>2026-07-17</x:v>
      </x:c>
      <x:c r="C7" s="10" t="n">
        <x:v>7534.6</x:v>
      </x:c>
      <x:c r="D7" s="10" t="n">
        <x:v>7018.8</x:v>
      </x:c>
      <x:c r="E7" s="12" t="n">
        <x:v>515.8</x:v>
      </x:c>
      <x:c r="F7" s="9" t="n">
        <x:v>13</x:v>
      </x:c>
      <x:c r="G7" s="10" t="n">
        <x:v>3145</x:v>
      </x:c>
      <x:c r="H7" s="10" t="n">
        <x:v>241.9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</x:v>
      </x:c>
      <x:c r="G8" s="10" t="n">
        <x:v>2906.4</x:v>
      </x:c>
      <x:c r="H8" s="10" t="n">
        <x:v>242.2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</x:v>
      </x:c>
      <x:c r="G9" s="10" t="n">
        <x:v>1133.8</x:v>
      </x:c>
      <x:c r="H9" s="10" t="n">
        <x:v>94.5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</x:v>
      </x:c>
      <x:c r="G10" s="10" t="n">
        <x:v>649</x:v>
      </x:c>
      <x:c r="H10" s="10" t="n">
        <x:v>54.1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8124.363</x:v>
      </x:c>
      <x:c r="E12" s="22" t="n">
        <x:v>8171.504</x:v>
      </x:c>
      <x:c r="F12" s="22" t="n">
        <x:v>7769.292</x:v>
      </x:c>
      <x:c r="G12" s="22" t="n">
        <x:v>7787.853</x:v>
      </x:c>
      <x:c r="H12" s="25" t="n">
        <x:v>-410.5</x:v>
      </x:c>
      <x:c r="I12" s="23" t="n">
        <x:v>-0.050065818459126055</x:v>
      </x:c>
      <x:c r="J12" s="27" t="n">
        <x:f>ROUND(E12-F12,1)</x:f>
        <x:v>402.2</x:v>
      </x:c>
      <x:c r="K12" s="21" t="str">
        <x:v>中证1000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7799.813</x:v>
      </x:c>
      <x:c r="E13" s="22" t="n">
        <x:v>7934.103</x:v>
      </x:c>
      <x:c r="F13" s="22" t="n">
        <x:v>7657.671</x:v>
      </x:c>
      <x:c r="G13" s="22" t="n">
        <x:v>7925.123</x:v>
      </x:c>
      <x:c r="H13" s="22" t="n">
        <x:v>137.3</x:v>
      </x:c>
      <x:c r="I13" s="23" t="n">
        <x:v>0.017626167314662933</x:v>
      </x:c>
      <x:c r="J13" s="27" t="n">
        <x:f>ROUND(E13-F13,1)</x:f>
        <x:v>276.4</x:v>
      </x:c>
      <x:c r="K13" s="21" t="str">
        <x:v>中证1000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7959.374</x:v>
      </x:c>
      <x:c r="E14" s="22" t="n">
        <x:v>7979.077</x:v>
      </x:c>
      <x:c r="F14" s="22" t="n">
        <x:v>7783.219</x:v>
      </x:c>
      <x:c r="G14" s="22" t="n">
        <x:v>7817.831</x:v>
      </x:c>
      <x:c r="H14" s="22" t="n">
        <x:v>-107.3</x:v>
      </x:c>
      <x:c r="I14" s="23" t="n">
        <x:v>-0.01353821259304111</x:v>
      </x:c>
      <x:c r="J14" s="27" t="n">
        <x:f>ROUND(E14-F14,1)</x:f>
        <x:v>195.9</x:v>
      </x:c>
      <x:c r="K14" s="21" t="str">
        <x:v>中证1000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7713.135</x:v>
      </x:c>
      <x:c r="E15" s="22" t="n">
        <x:v>7836.39</x:v>
      </x:c>
      <x:c r="F15" s="22" t="n">
        <x:v>7591.421</x:v>
      </x:c>
      <x:c r="G15" s="22" t="n">
        <x:v>7631.762</x:v>
      </x:c>
      <x:c r="H15" s="25" t="n">
        <x:v>-186.1</x:v>
      </x:c>
      <x:c r="I15" s="23" t="n">
        <x:v>-0.02380059123815803</x:v>
      </x:c>
      <x:c r="J15" s="27" t="n">
        <x:f>ROUND(E15-F15,1)</x:f>
        <x:v>245</x:v>
      </x:c>
      <x:c r="K15" s="21" t="str">
        <x:v>中证1000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7599.388</x:v>
      </x:c>
      <x:c r="E16" s="32" t="n">
        <x:v>7605.613</x:v>
      </x:c>
      <x:c r="F16" s="32" t="n">
        <x:v>7163.309</x:v>
      </x:c>
      <x:c r="G16" s="32" t="n">
        <x:v>7167.996</x:v>
      </x:c>
      <x:c r="H16" s="25" t="n">
        <x:v>-463.8</x:v>
      </x:c>
      <x:c r="I16" s="33" t="n">
        <x:v>-0.06076788034008396</x:v>
      </x:c>
      <x:c r="J16" s="27" t="n">
        <x:f>ROUND(E16-F16,1)</x:f>
        <x:v>442.3</x:v>
      </x:c>
      <x:c r="K16" s="31" t="str">
        <x:v>中证1000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3422.6000000000004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263.3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8409.143</x:v>
      </x:c>
      <x:c r="E12" s="22" t="n">
        <x:v>8457.692</x:v>
      </x:c>
      <x:c r="F12" s="22" t="n">
        <x:v>8106.269</x:v>
      </x:c>
      <x:c r="G12" s="22" t="n">
        <x:v>8138.144</x:v>
      </x:c>
      <x:c r="H12" s="25" t="n">
        <x:v>-365.8</x:v>
      </x:c>
      <x:c r="I12" s="23" t="n">
        <x:v>-0.04301837341637216</x:v>
      </x:c>
      <x:c r="J12" s="27" t="n">
        <x:f>ROUND(E12-F12,1)</x:f>
        <x:v>351.4</x:v>
      </x:c>
      <x:c r="K12" s="21" t="str">
        <x:v>中证500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8135.046</x:v>
      </x:c>
      <x:c r="E13" s="22" t="n">
        <x:v>8275.96</x:v>
      </x:c>
      <x:c r="F13" s="22" t="n">
        <x:v>7955.308</x:v>
      </x:c>
      <x:c r="G13" s="22" t="n">
        <x:v>8275.939</x:v>
      </x:c>
      <x:c r="H13" s="22" t="n">
        <x:v>137.8</x:v>
      </x:c>
      <x:c r="I13" s="23" t="n">
        <x:v>0.016931993339021734</x:v>
      </x:c>
      <x:c r="J13" s="27" t="n">
        <x:f>ROUND(E13-F13,1)</x:f>
        <x:v>320.7</x:v>
      </x:c>
      <x:c r="K13" s="21" t="str">
        <x:v>中证500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8294.142</x:v>
      </x:c>
      <x:c r="E14" s="22" t="n">
        <x:v>8305.272</x:v>
      </x:c>
      <x:c r="F14" s="22" t="n">
        <x:v>8117.459</x:v>
      </x:c>
      <x:c r="G14" s="22" t="n">
        <x:v>8147.579</x:v>
      </x:c>
      <x:c r="H14" s="22" t="n">
        <x:v>-128.4</x:v>
      </x:c>
      <x:c r="I14" s="23" t="n">
        <x:v>-0.015510022488082642</x:v>
      </x:c>
      <x:c r="J14" s="27" t="n">
        <x:f>ROUND(E14-F14,1)</x:f>
        <x:v>187.8</x:v>
      </x:c>
      <x:c r="K14" s="21" t="str">
        <x:v>中证500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8006.449</x:v>
      </x:c>
      <x:c r="E15" s="22" t="n">
        <x:v>8148.042</x:v>
      </x:c>
      <x:c r="F15" s="22" t="n">
        <x:v>7907.097</x:v>
      </x:c>
      <x:c r="G15" s="22" t="n">
        <x:v>7955.664</x:v>
      </x:c>
      <x:c r="H15" s="25" t="n">
        <x:v>-191.9</x:v>
      </x:c>
      <x:c r="I15" s="23" t="n">
        <x:v>-0.02355484985171663</x:v>
      </x:c>
      <x:c r="J15" s="27" t="n">
        <x:f>ROUND(E15-F15,1)</x:f>
        <x:v>240.9</x:v>
      </x:c>
      <x:c r="K15" s="21" t="str">
        <x:v>中证500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7900.097</x:v>
      </x:c>
      <x:c r="E16" s="32" t="n">
        <x:v>7908.739</x:v>
      </x:c>
      <x:c r="F16" s="32" t="n">
        <x:v>7474.151</x:v>
      </x:c>
      <x:c r="G16" s="32" t="n">
        <x:v>7513.763</x:v>
      </x:c>
      <x:c r="H16" s="25" t="n">
        <x:v>-441.9</x:v>
      </x:c>
      <x:c r="I16" s="33" t="n">
        <x:v>-0.05554545792783605</x:v>
      </x:c>
      <x:c r="J16" s="27" t="n">
        <x:f>ROUND(E16-F16,1)</x:f>
        <x:v>434.6</x:v>
      </x:c>
      <x:c r="K16" s="31" t="str">
        <x:v>中证500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3559.9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273.8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3966.023</x:v>
      </x:c>
      <x:c r="E12" s="22" t="n">
        <x:v>3983.054</x:v>
      </x:c>
      <x:c r="F12" s="22" t="n">
        <x:v>3900.668</x:v>
      </x:c>
      <x:c r="G12" s="22" t="n">
        <x:v>3913.794</x:v>
      </x:c>
      <x:c r="H12" s="22" t="n">
        <x:v>-82.4</x:v>
      </x:c>
      <x:c r="I12" s="23" t="n">
        <x:v>-0.020611777000031473</x:v>
      </x:c>
      <x:c r="J12" s="27" t="n">
        <x:f>ROUND(E12-F12,1)</x:f>
        <x:v>82.4</x:v>
      </x:c>
      <x:c r="K12" s="21" t="str">
        <x:v>上证指数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3909.274</x:v>
      </x:c>
      <x:c r="E13" s="22" t="n">
        <x:v>3967.126</x:v>
      </x:c>
      <x:c r="F13" s="22" t="n">
        <x:v>3869.304</x:v>
      </x:c>
      <x:c r="G13" s="22" t="n">
        <x:v>3967.126</x:v>
      </x:c>
      <x:c r="H13" s="22" t="n">
        <x:v>53.3</x:v>
      </x:c>
      <x:c r="I13" s="23" t="n">
        <x:v>0.01362667529256778</x:v>
      </x:c>
      <x:c r="J13" s="27" t="n">
        <x:f>ROUND(E13-F13,1)</x:f>
        <x:v>97.8</x:v>
      </x:c>
      <x:c r="K13" s="21" t="str">
        <x:v>上证指数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3963.727</x:v>
      </x:c>
      <x:c r="E14" s="22" t="n">
        <x:v>3981.672</x:v>
      </x:c>
      <x:c r="F14" s="22" t="n">
        <x:v>3943.695</x:v>
      </x:c>
      <x:c r="G14" s="22" t="n">
        <x:v>3955.578</x:v>
      </x:c>
      <x:c r="H14" s="22" t="n">
        <x:v>-11.5</x:v>
      </x:c>
      <x:c r="I14" s="23" t="n">
        <x:v>-0.002910923424161549</x:v>
      </x:c>
      <x:c r="J14" s="22" t="n">
        <x:f>ROUND(E14-F14,1)</x:f>
        <x:v>38</x:v>
      </x:c>
      <x:c r="K14" s="21" t="str">
        <x:v>上证指数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3912.381</x:v>
      </x:c>
      <x:c r="E15" s="22" t="n">
        <x:v>3940.451</x:v>
      </x:c>
      <x:c r="F15" s="22" t="n">
        <x:v>3867.601</x:v>
      </x:c>
      <x:c r="G15" s="22" t="n">
        <x:v>3882.413</x:v>
      </x:c>
      <x:c r="H15" s="22" t="n">
        <x:v>-73.2</x:v>
      </x:c>
      <x:c r="I15" s="23" t="n">
        <x:v>-0.01849666470993616</x:v>
      </x:c>
      <x:c r="J15" s="27" t="n">
        <x:f>ROUND(E15-F15,1)</x:f>
        <x:v>72.8</x:v>
      </x:c>
      <x:c r="K15" s="21" t="str">
        <x:v>上证指数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3865.317</x:v>
      </x:c>
      <x:c r="E16" s="32" t="n">
        <x:v>3869.215</x:v>
      </x:c>
      <x:c r="F16" s="32" t="n">
        <x:v>3745.174</x:v>
      </x:c>
      <x:c r="G16" s="32" t="n">
        <x:v>3764.155</x:v>
      </x:c>
      <x:c r="H16" s="32" t="n">
        <x:v>-118.3</x:v>
      </x:c>
      <x:c r="I16" s="33" t="n">
        <x:v>-0.030459922733619527</x:v>
      </x:c>
      <x:c r="J16" s="27" t="n">
        <x:f>ROUND(E16-F16,1)</x:f>
        <x:v>124</x:v>
      </x:c>
      <x:c r="K16" s="31" t="str">
        <x:v>上证指数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932.1999999999999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71.7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 t="n">
        <x:v>13.4</x:v>
      </x:c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 t="n">
        <x:v>-147.4</x:v>
      </x:c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 t="n">
        <x:v>2.8</x:v>
      </x:c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 t="n">
        <x:v>-108</x:v>
      </x:c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 t="n">
        <x:v>-149.8</x:v>
      </x:c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 t="n">
        <x:v>-141.2</x:v>
      </x:c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5" t="n">
        <x:v>153.4</x:v>
      </x:c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 t="n">
        <x:v>-108</x:v>
      </x:c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7995</x:v>
      </x:c>
      <x:c r="E12" s="22" t="n">
        <x:v>8029.8</x:v>
      </x:c>
      <x:c r="F12" s="22" t="n">
        <x:v>7651</x:v>
      </x:c>
      <x:c r="G12" s="22" t="n">
        <x:v>7684.4</x:v>
      </x:c>
      <x:c r="H12" s="25" t="n">
        <x:v>-335</x:v>
      </x:c>
      <x:c r="I12" s="23" t="n">
        <x:v>-0.04177369878045745</x:v>
      </x:c>
      <x:c r="J12" s="27" t="n">
        <x:f>ROUND(E12-F12,1)</x:f>
        <x:v>378.8</x:v>
      </x:c>
      <x:c r="K12" s="21" t="str">
        <x:v>IM2609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7720</x:v>
      </x:c>
      <x:c r="E13" s="22" t="n">
        <x:v>7810.6</x:v>
      </x:c>
      <x:c r="F13" s="22" t="n">
        <x:v>7580</x:v>
      </x:c>
      <x:c r="G13" s="22" t="n">
        <x:v>7788</x:v>
      </x:c>
      <x:c r="H13" s="22" t="n">
        <x:v>103.6</x:v>
      </x:c>
      <x:c r="I13" s="23" t="n">
        <x:v>0.013481859351413217</x:v>
      </x:c>
      <x:c r="J13" s="27" t="n">
        <x:f>ROUND(E13-F13,1)</x:f>
        <x:v>230.6</x:v>
      </x:c>
      <x:c r="K13" s="21" t="str">
        <x:v>IM2609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7838</x:v>
      </x:c>
      <x:c r="E14" s="22" t="n">
        <x:v>7846</x:v>
      </x:c>
      <x:c r="F14" s="22" t="n">
        <x:v>7661.4</x:v>
      </x:c>
      <x:c r="G14" s="22" t="n">
        <x:v>7723.2</x:v>
      </x:c>
      <x:c r="H14" s="22" t="n">
        <x:v>-64.8</x:v>
      </x:c>
      <x:c r="I14" s="23" t="n">
        <x:v>-0.008320493066255819</x:v>
      </x:c>
      <x:c r="J14" s="22" t="n">
        <x:f>ROUND(E14-F14,1)</x:f>
        <x:v>184.6</x:v>
      </x:c>
      <x:c r="K14" s="21" t="str">
        <x:v>IM2609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7648.6</x:v>
      </x:c>
      <x:c r="E15" s="22" t="n">
        <x:v>7750.2</x:v>
      </x:c>
      <x:c r="F15" s="22" t="n">
        <x:v>7511</x:v>
      </x:c>
      <x:c r="G15" s="22" t="n">
        <x:v>7552.6</x:v>
      </x:c>
      <x:c r="H15" s="25" t="n">
        <x:v>-170.6</x:v>
      </x:c>
      <x:c r="I15" s="23" t="n">
        <x:v>-0.022089289413714464</x:v>
      </x:c>
      <x:c r="J15" s="27" t="n">
        <x:f>ROUND(E15-F15,1)</x:f>
        <x:v>239.2</x:v>
      </x:c>
      <x:c r="K15" s="21" t="str">
        <x:v>IM2609</x:v>
      </x:c>
    </x:row>
    <x:row r="16">
      <x:c r="A16" s="31" t="n">
        <x:v>13</x:v>
      </x:c>
      <x:c r="B16" s="31" t="str">
        <x:v>周五</x:v>
      </x:c>
      <x:c r="C16" s="31" t="str">
        <x:v>7月17日</x:v>
      </x:c>
      <x:c r="D16" s="32" t="n">
        <x:v>7520</x:v>
      </x:c>
      <x:c r="E16" s="32" t="n">
        <x:v>7534.6</x:v>
      </x:c>
      <x:c r="F16" s="32" t="n">
        <x:v>7018.8</x:v>
      </x:c>
      <x:c r="G16" s="32" t="n">
        <x:v>7065.2</x:v>
      </x:c>
      <x:c r="H16" s="25" t="n">
        <x:v>-487.4</x:v>
      </x:c>
      <x:c r="I16" s="33" t="n">
        <x:v>-0.06453406773826242</x:v>
      </x:c>
      <x:c r="J16" s="27" t="n">
        <x:f>ROUND(E16-F16,1)</x:f>
        <x:v>515.8</x:v>
      </x:c>
      <x:c r="K16" s="31" t="str">
        <x:v>IM2609</x:v>
      </x:c>
    </x:row>
    <x:row r="19">
      <x:c r="A19" s="38" t="str">
        <x:v>合计</x:v>
      </x:c>
      <x:c r="B19" s="39" t="n">
        <x:v>13</x:v>
      </x:c>
      <x:c r="C19" s="39"/>
      <x:c r="D19" s="39"/>
      <x:c r="E19" s="39"/>
      <x:c r="F19" s="39"/>
      <x:c r="G19" s="39"/>
      <x:c r="H19" s="39"/>
      <x:c r="I19" s="39"/>
      <x:c r="J19" s="40" t="n">
        <x:f>SUM(J4:J16)</x:f>
        <x:v>3145</x:v>
      </x:c>
      <x:c r="K19" s="39"/>
    </x:row>
    <x:row r="20">
      <x:c r="A20" s="38" t="str">
        <x:v>均值</x:v>
      </x:c>
      <x:c r="B20" s="39"/>
      <x:c r="C20" s="39"/>
      <x:c r="D20" s="39"/>
      <x:c r="E20" s="39"/>
      <x:c r="F20" s="39"/>
      <x:c r="G20" s="39"/>
      <x:c r="H20" s="39"/>
      <x:c r="I20" s="39"/>
      <x:c r="J20" s="42" t="n">
        <x:f>ROUND(IFERROR(AVERAGE(J4:J16),0),1)</x:f>
        <x:v>241.9</x:v>
      </x:c>
      <x:c r="K20" s="39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 t="n">
        <x:v>-70</x:v>
      </x:c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5" t="n">
        <x:v>-225</x:v>
      </x:c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 t="n">
        <x:v>50</x:v>
      </x:c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 t="n">
        <x:v>-71</x:v>
      </x:c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 t="n">
        <x:v>-144.4</x:v>
      </x:c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 t="n">
        <x:v>-67.4</x:v>
      </x:c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5" t="n">
        <x:v>-169.4</x:v>
      </x:c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8303</x:v>
      </x:c>
      <x:c r="E12" s="22" t="n">
        <x:v>8328</x:v>
      </x:c>
      <x:c r="F12" s="22" t="n">
        <x:v>7995.8</x:v>
      </x:c>
      <x:c r="G12" s="22" t="n">
        <x:v>8021.6</x:v>
      </x:c>
      <x:c r="H12" s="25" t="n">
        <x:v>-311.4</x:v>
      </x:c>
      <x:c r="I12" s="23" t="n">
        <x:v>-0.037369494779791124</x:v>
      </x:c>
      <x:c r="J12" s="27" t="n">
        <x:f>ROUND(E12-F12,1)</x:f>
        <x:v>332.2</x:v>
      </x:c>
      <x:c r="K12" s="21" t="str">
        <x:v>IC2609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8043.2</x:v>
      </x:c>
      <x:c r="E13" s="22" t="n">
        <x:v>8166</x:v>
      </x:c>
      <x:c r="F13" s="22" t="n">
        <x:v>7881</x:v>
      </x:c>
      <x:c r="G13" s="22" t="n">
        <x:v>8117</x:v>
      </x:c>
      <x:c r="H13" s="22" t="n">
        <x:v>95.4</x:v>
      </x:c>
      <x:c r="I13" s="23" t="n">
        <x:v>0.011892889199162315</x:v>
      </x:c>
      <x:c r="J13" s="27" t="n">
        <x:f>ROUND(E13-F13,1)</x:f>
        <x:v>285</x:v>
      </x:c>
      <x:c r="K13" s="21" t="str">
        <x:v>IC2609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8160</x:v>
      </x:c>
      <x:c r="E14" s="22" t="n">
        <x:v>8192.2</x:v>
      </x:c>
      <x:c r="F14" s="22" t="n">
        <x:v>7983.8</x:v>
      </x:c>
      <x:c r="G14" s="22" t="n">
        <x:v>8046.4</x:v>
      </x:c>
      <x:c r="H14" s="22" t="n">
        <x:v>-70.6</x:v>
      </x:c>
      <x:c r="I14" s="23" t="n">
        <x:v>-0.008697794751755583</x:v>
      </x:c>
      <x:c r="J14" s="27" t="n">
        <x:f>ROUND(E14-F14,1)</x:f>
        <x:v>208.4</x:v>
      </x:c>
      <x:c r="K14" s="21" t="str">
        <x:v>IC2609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7955.4</x:v>
      </x:c>
      <x:c r="E15" s="22" t="n">
        <x:v>8054.4</x:v>
      </x:c>
      <x:c r="F15" s="22" t="n">
        <x:v>7823</x:v>
      </x:c>
      <x:c r="G15" s="22" t="n">
        <x:v>7869.6</x:v>
      </x:c>
      <x:c r="H15" s="25" t="n">
        <x:v>-176.8</x:v>
      </x:c>
      <x:c r="I15" s="23" t="n">
        <x:v>-0.021972559156890004</x:v>
      </x:c>
      <x:c r="J15" s="27" t="n">
        <x:f>ROUND(E15-F15,1)</x:f>
        <x:v>231.4</x:v>
      </x:c>
      <x:c r="K15" s="21" t="str">
        <x:v>IC2609</x:v>
      </x:c>
    </x:row>
    <x:row r="18">
      <x:c r="A18" s="38" t="str">
        <x:v>合计</x:v>
      </x:c>
      <x:c r="B18" s="39" t="n">
        <x:v>12</x:v>
      </x:c>
      <x:c r="C18" s="39"/>
      <x:c r="D18" s="39"/>
      <x:c r="E18" s="39"/>
      <x:c r="F18" s="39"/>
      <x:c r="G18" s="39"/>
      <x:c r="H18" s="39"/>
      <x:c r="I18" s="39"/>
      <x:c r="J18" s="40" t="n">
        <x:f>SUM(J4:J15)</x:f>
        <x:v>2906.4</x:v>
      </x:c>
      <x:c r="K18" s="39"/>
    </x:row>
    <x:row r="19">
      <x:c r="A19" s="38" t="str">
        <x:v>均值</x:v>
      </x:c>
      <x:c r="B19" s="39"/>
      <x:c r="C19" s="39"/>
      <x:c r="D19" s="39"/>
      <x:c r="E19" s="39"/>
      <x:c r="F19" s="39"/>
      <x:c r="G19" s="39"/>
      <x:c r="H19" s="39"/>
      <x:c r="I19" s="39"/>
      <x:c r="J19" s="42" t="n">
        <x:f>ROUND(IFERROR(AVERAGE(J4:J15),0),1)</x:f>
        <x:v>242.2</x:v>
      </x:c>
      <x:c r="K19" s="39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 t="n">
        <x:v>-24.6</x:v>
      </x:c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 t="n">
        <x:v>-111.8</x:v>
      </x:c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 t="n">
        <x:v>32.8</x:v>
      </x:c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 t="n">
        <x:v>1</x:v>
      </x:c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 t="n">
        <x:v>-49.8</x:v>
      </x:c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 t="n">
        <x:v>-35.4</x:v>
      </x:c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 t="n">
        <x:v>112.8</x:v>
      </x:c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 t="n">
        <x:v>-76.2</x:v>
      </x:c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4691</x:v>
      </x:c>
      <x:c r="E12" s="22" t="n">
        <x:v>4705</x:v>
      </x:c>
      <x:c r="F12" s="22" t="n">
        <x:v>4610.2</x:v>
      </x:c>
      <x:c r="G12" s="22" t="n">
        <x:v>4634.6</x:v>
      </x:c>
      <x:c r="H12" s="22" t="n">
        <x:v>-70</x:v>
      </x:c>
      <x:c r="I12" s="23" t="n">
        <x:v>-0.014879054542362824</x:v>
      </x:c>
      <x:c r="J12" s="27" t="n">
        <x:f>ROUND(E12-F12,1)</x:f>
        <x:v>94.8</x:v>
      </x:c>
      <x:c r="K12" s="21" t="str">
        <x:v>IF2609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4640</x:v>
      </x:c>
      <x:c r="E13" s="22" t="n">
        <x:v>4713.2</x:v>
      </x:c>
      <x:c r="F13" s="22" t="n">
        <x:v>4593</x:v>
      </x:c>
      <x:c r="G13" s="22" t="n">
        <x:v>4690</x:v>
      </x:c>
      <x:c r="H13" s="22" t="n">
        <x:v>55.4</x:v>
      </x:c>
      <x:c r="I13" s="23" t="n">
        <x:v>0.011953566650843683</x:v>
      </x:c>
      <x:c r="J13" s="27" t="n">
        <x:f>ROUND(E13-F13,1)</x:f>
        <x:v>120.2</x:v>
      </x:c>
      <x:c r="K13" s="21" t="str">
        <x:v>IF2609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4706</x:v>
      </x:c>
      <x:c r="E14" s="22" t="n">
        <x:v>4739.4</x:v>
      </x:c>
      <x:c r="F14" s="22" t="n">
        <x:v>4690.6</x:v>
      </x:c>
      <x:c r="G14" s="22" t="n">
        <x:v>4717.4</x:v>
      </x:c>
      <x:c r="H14" s="22" t="n">
        <x:v>27.4</x:v>
      </x:c>
      <x:c r="I14" s="23" t="n">
        <x:v>0.005842217484008483</x:v>
      </x:c>
      <x:c r="J14" s="22" t="n">
        <x:f>ROUND(E14-F14,1)</x:f>
        <x:v>48.8</x:v>
      </x:c>
      <x:c r="K14" s="21" t="str">
        <x:v>IF2609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4677</x:v>
      </x:c>
      <x:c r="E15" s="22" t="n">
        <x:v>4712.6</x:v>
      </x:c>
      <x:c r="F15" s="22" t="n">
        <x:v>4618</x:v>
      </x:c>
      <x:c r="G15" s="22" t="n">
        <x:v>4645.6</x:v>
      </x:c>
      <x:c r="H15" s="22" t="n">
        <x:v>-71.8</x:v>
      </x:c>
      <x:c r="I15" s="23" t="n">
        <x:v>-0.015220248441938256</x:v>
      </x:c>
      <x:c r="J15" s="27" t="n">
        <x:f>ROUND(E15-F15,1)</x:f>
        <x:v>94.6</x:v>
      </x:c>
      <x:c r="K15" s="21" t="str">
        <x:v>IF2609</x:v>
      </x:c>
    </x:row>
    <x:row r="18">
      <x:c r="A18" s="38" t="str">
        <x:v>合计</x:v>
      </x:c>
      <x:c r="B18" s="39" t="n">
        <x:v>12</x:v>
      </x:c>
      <x:c r="C18" s="39"/>
      <x:c r="D18" s="39"/>
      <x:c r="E18" s="39"/>
      <x:c r="F18" s="39"/>
      <x:c r="G18" s="39"/>
      <x:c r="H18" s="39"/>
      <x:c r="I18" s="39"/>
      <x:c r="J18" s="40" t="n">
        <x:f>SUM(J4:J15)</x:f>
        <x:v>1133.8</x:v>
      </x:c>
      <x:c r="K18" s="39"/>
    </x:row>
    <x:row r="19">
      <x:c r="A19" s="38" t="str">
        <x:v>均值</x:v>
      </x:c>
      <x:c r="B19" s="39"/>
      <x:c r="C19" s="39"/>
      <x:c r="D19" s="39"/>
      <x:c r="E19" s="39"/>
      <x:c r="F19" s="39"/>
      <x:c r="G19" s="39"/>
      <x:c r="H19" s="39"/>
      <x:c r="I19" s="39"/>
      <x:c r="J19" s="42" t="n">
        <x:f>ROUND(IFERROR(AVERAGE(J4:J15),0),1)</x:f>
        <x:v>94.5</x:v>
      </x:c>
      <x:c r="K19" s="39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 t="n">
        <x:v>-3.4</x:v>
      </x:c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 t="n">
        <x:v>-63.6</x:v>
      </x:c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 t="n">
        <x:v>15.6</x:v>
      </x:c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 t="n">
        <x:v>18.6</x:v>
      </x:c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 t="n">
        <x:v>-34.6</x:v>
      </x:c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 t="n">
        <x:v>-2.6</x:v>
      </x:c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 t="n">
        <x:v>-29.6</x:v>
      </x:c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2">
      <x:c r="A12" s="21" t="n">
        <x:v>9</x:v>
      </x:c>
      <x:c r="B12" s="21" t="str">
        <x:v>周一</x:v>
      </x:c>
      <x:c r="C12" s="21" t="str">
        <x:v>7月13日</x:v>
      </x:c>
      <x:c r="D12" s="22" t="n">
        <x:v>2895.8</x:v>
      </x:c>
      <x:c r="E12" s="22" t="n">
        <x:v>2908.6</x:v>
      </x:c>
      <x:c r="F12" s="22" t="n">
        <x:v>2858</x:v>
      </x:c>
      <x:c r="G12" s="22" t="n">
        <x:v>2872.6</x:v>
      </x:c>
      <x:c r="H12" s="22" t="n">
        <x:v>-37.6</x:v>
      </x:c>
      <x:c r="I12" s="23" t="n">
        <x:v>-0.012920074221702937</x:v>
      </x:c>
      <x:c r="J12" s="22" t="n">
        <x:f>ROUND(E12-F12,1)</x:f>
        <x:v>50.6</x:v>
      </x:c>
      <x:c r="K12" s="21" t="str">
        <x:v>IH2609</x:v>
      </x:c>
    </x:row>
    <x:row r="13">
      <x:c r="A13" s="21" t="n">
        <x:v>10</x:v>
      </x:c>
      <x:c r="B13" s="21" t="str">
        <x:v>周二</x:v>
      </x:c>
      <x:c r="C13" s="21" t="str">
        <x:v>7月14日</x:v>
      </x:c>
      <x:c r="D13" s="22" t="n">
        <x:v>2872</x:v>
      </x:c>
      <x:c r="E13" s="22" t="n">
        <x:v>2894</x:v>
      </x:c>
      <x:c r="F13" s="22" t="n">
        <x:v>2831.4</x:v>
      </x:c>
      <x:c r="G13" s="22" t="n">
        <x:v>2891.2</x:v>
      </x:c>
      <x:c r="H13" s="22" t="n">
        <x:v>18.6</x:v>
      </x:c>
      <x:c r="I13" s="23" t="n">
        <x:v>0.006474970410081493</x:v>
      </x:c>
      <x:c r="J13" s="27" t="n">
        <x:f>ROUND(E13-F13,1)</x:f>
        <x:v>62.6</x:v>
      </x:c>
      <x:c r="K13" s="21" t="str">
        <x:v>IH2609</x:v>
      </x:c>
    </x:row>
    <x:row r="14">
      <x:c r="A14" s="21" t="n">
        <x:v>11</x:v>
      </x:c>
      <x:c r="B14" s="21" t="str">
        <x:v>周三</x:v>
      </x:c>
      <x:c r="C14" s="21" t="str">
        <x:v>7月15日</x:v>
      </x:c>
      <x:c r="D14" s="22" t="n">
        <x:v>2900</x:v>
      </x:c>
      <x:c r="E14" s="22" t="n">
        <x:v>2924</x:v>
      </x:c>
      <x:c r="F14" s="22" t="n">
        <x:v>2891</x:v>
      </x:c>
      <x:c r="G14" s="22" t="n">
        <x:v>2914</x:v>
      </x:c>
      <x:c r="H14" s="22" t="n">
        <x:v>22.8</x:v>
      </x:c>
      <x:c r="I14" s="23" t="n">
        <x:v>0.007885998893193191</x:v>
      </x:c>
      <x:c r="J14" s="22" t="n">
        <x:f>ROUND(E14-F14,1)</x:f>
        <x:v>33</x:v>
      </x:c>
      <x:c r="K14" s="21" t="str">
        <x:v>IH2609</x:v>
      </x:c>
    </x:row>
    <x:row r="15">
      <x:c r="A15" s="21" t="n">
        <x:v>12</x:v>
      </x:c>
      <x:c r="B15" s="21" t="str">
        <x:v>周四</x:v>
      </x:c>
      <x:c r="C15" s="21" t="str">
        <x:v>7月16日</x:v>
      </x:c>
      <x:c r="D15" s="22" t="n">
        <x:v>2889</x:v>
      </x:c>
      <x:c r="E15" s="22" t="n">
        <x:v>2911.8</x:v>
      </x:c>
      <x:c r="F15" s="22" t="n">
        <x:v>2853.4</x:v>
      </x:c>
      <x:c r="G15" s="22" t="n">
        <x:v>2867.8</x:v>
      </x:c>
      <x:c r="H15" s="22" t="n">
        <x:v>-46.2</x:v>
      </x:c>
      <x:c r="I15" s="23" t="n">
        <x:v>-0.015854495538778268</x:v>
      </x:c>
      <x:c r="J15" s="22" t="n">
        <x:f>ROUND(E15-F15,1)</x:f>
        <x:v>58.4</x:v>
      </x:c>
      <x:c r="K15" s="21" t="str">
        <x:v>IH2609</x:v>
      </x:c>
    </x:row>
    <x:row r="18">
      <x:c r="A18" s="38" t="str">
        <x:v>合计</x:v>
      </x:c>
      <x:c r="B18" s="39" t="n">
        <x:v>12</x:v>
      </x:c>
      <x:c r="C18" s="39"/>
      <x:c r="D18" s="39"/>
      <x:c r="E18" s="39"/>
      <x:c r="F18" s="39"/>
      <x:c r="G18" s="39"/>
      <x:c r="H18" s="39"/>
      <x:c r="I18" s="39"/>
      <x:c r="J18" s="40" t="n">
        <x:f>SUM(J4:J15)</x:f>
        <x:v>649</x:v>
      </x:c>
      <x:c r="K18" s="39"/>
    </x:row>
    <x:row r="19">
      <x:c r="A19" s="38" t="str">
        <x:v>均值</x:v>
      </x:c>
      <x:c r="B19" s="39"/>
      <x:c r="C19" s="39"/>
      <x:c r="D19" s="39"/>
      <x:c r="E19" s="39"/>
      <x:c r="F19" s="39"/>
      <x:c r="G19" s="39"/>
      <x:c r="H19" s="39"/>
      <x:c r="I19" s="39"/>
      <x:c r="J19" s="42" t="n">
        <x:f>ROUND(IFERROR(AVERAGE(J4:J15),0),1)</x:f>
        <x:v>54.1</x:v>
      </x:c>
      <x:c r="K19" s="39"/>
    </x:row>
  </x:sheetData>
  <x:mergeCells>
    <x:mergeCell ref="A1:K1"/>
  </x:mergeCells>
  <x:pageMargins left="0.7" right="0.7" top="0.75" bottom="0.75" header="0.3" footer="0.3"/>
</x:worksheet>
</file>