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8c8f9a7d8b84ad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85f1825adb8e4791"/>
    <x:sheet xmlns:r="http://schemas.openxmlformats.org/officeDocument/2006/relationships" name="周振幅统计" sheetId="2" r:id="R7ddf818262574301"/>
    <x:sheet xmlns:r="http://schemas.openxmlformats.org/officeDocument/2006/relationships" name="中证1000" sheetId="3" r:id="R92fd78210e324623"/>
    <x:sheet xmlns:r="http://schemas.openxmlformats.org/officeDocument/2006/relationships" name="中证500" sheetId="4" r:id="R9442735c7f584913"/>
    <x:sheet xmlns:r="http://schemas.openxmlformats.org/officeDocument/2006/relationships" name="上证指数" sheetId="5" r:id="Rcf33dbc244a34dd0"/>
    <x:sheet xmlns:r="http://schemas.openxmlformats.org/officeDocument/2006/relationships" name="IM主力" sheetId="6" r:id="Rd33f7caf6dce4b07"/>
    <x:sheet xmlns:r="http://schemas.openxmlformats.org/officeDocument/2006/relationships" name="IC主力" sheetId="7" r:id="R063de2fa309a40e0"/>
    <x:sheet xmlns:r="http://schemas.openxmlformats.org/officeDocument/2006/relationships" name="IF主力" sheetId="8" r:id="R3577d9704b814ee4"/>
    <x:sheet xmlns:r="http://schemas.openxmlformats.org/officeDocument/2006/relationships" name="IH主力" sheetId="9" r:id="R42fe9f161a4547bc"/>
    <x:sheet xmlns:r="http://schemas.openxmlformats.org/officeDocument/2006/relationships" name="碳酸锂2610" sheetId="10" r:id="R7fdcacf3e03445c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88b347984df48dc" /><Relationship Type="http://schemas.openxmlformats.org/officeDocument/2006/relationships/theme" Target="/xl/theme/theme1.xml" Id="R3e1151ef50934a1d" /><Relationship Type="http://schemas.openxmlformats.org/officeDocument/2006/relationships/sharedStrings" Target="/xl/sharedStrings.xml" Id="Rf93c7d3bbe654a79" /><Relationship Type="http://schemas.openxmlformats.org/officeDocument/2006/relationships/worksheet" Target="/xl/worksheets/sheet1.xml" Id="R85f1825adb8e4791" /><Relationship Type="http://schemas.openxmlformats.org/officeDocument/2006/relationships/worksheet" Target="/xl/worksheets/sheet2.xml" Id="R7ddf818262574301" /><Relationship Type="http://schemas.openxmlformats.org/officeDocument/2006/relationships/worksheet" Target="/xl/worksheets/sheet3.xml" Id="R92fd78210e324623" /><Relationship Type="http://schemas.openxmlformats.org/officeDocument/2006/relationships/worksheet" Target="/xl/worksheets/sheet4.xml" Id="R9442735c7f584913" /><Relationship Type="http://schemas.openxmlformats.org/officeDocument/2006/relationships/worksheet" Target="/xl/worksheets/sheet5.xml" Id="Rcf33dbc244a34dd0" /><Relationship Type="http://schemas.openxmlformats.org/officeDocument/2006/relationships/worksheet" Target="/xl/worksheets/sheet6.xml" Id="Rd33f7caf6dce4b07" /><Relationship Type="http://schemas.openxmlformats.org/officeDocument/2006/relationships/worksheet" Target="/xl/worksheets/sheet7.xml" Id="R063de2fa309a40e0" /><Relationship Type="http://schemas.openxmlformats.org/officeDocument/2006/relationships/worksheet" Target="/xl/worksheets/sheet8.xml" Id="R3577d9704b814ee4" /><Relationship Type="http://schemas.openxmlformats.org/officeDocument/2006/relationships/worksheet" Target="/xl/worksheets/sheet9.xml" Id="R42fe9f161a4547bc" /><Relationship Type="http://schemas.openxmlformats.org/officeDocument/2006/relationships/worksheet" Target="/xl/worksheets/sheet10.xml" Id="R7fdcacf3e03445c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2026年10月统计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2026-10-08</x:v>
      </x:c>
      <x:c r="C4" s="10" t="n">
        <x:v>7366.86</x:v>
      </x:c>
      <x:c r="D4" s="10" t="n">
        <x:v>7087.8</x:v>
      </x:c>
      <x:c r="E4" s="12" t="n">
        <x:v>279.1</x:v>
      </x:c>
      <x:c r="F4" s="9" t="n">
        <x:v>1</x:v>
      </x:c>
      <x:c r="G4" s="10" t="n">
        <x:v>279.1</x:v>
      </x:c>
      <x:c r="H4" s="10" t="n">
        <x:v>279.1</x:v>
      </x:c>
      <x:c r="I4" s="10" t="n">
        <x:v>180</x:v>
      </x:c>
    </x:row>
    <x:row r="5">
      <x:c r="A5" s="9" t="str">
        <x:v>中证500</x:v>
      </x:c>
      <x:c r="B5" s="9" t="str">
        <x:v>2026-10-08</x:v>
      </x:c>
      <x:c r="C5" s="10" t="n">
        <x:v>7461.24</x:v>
      </x:c>
      <x:c r="D5" s="10" t="n">
        <x:v>7206.06</x:v>
      </x:c>
      <x:c r="E5" s="12" t="n">
        <x:v>255.2</x:v>
      </x:c>
      <x:c r="F5" s="9" t="n">
        <x:v>1</x:v>
      </x:c>
      <x:c r="G5" s="10" t="n">
        <x:v>255.2</x:v>
      </x:c>
      <x:c r="H5" s="10" t="n">
        <x:v>255.2</x:v>
      </x:c>
      <x:c r="I5" s="10" t="n">
        <x:v>160</x:v>
      </x:c>
    </x:row>
    <x:row r="6">
      <x:c r="A6" s="9" t="str">
        <x:v>上证指数</x:v>
      </x:c>
      <x:c r="B6" s="9" t="str">
        <x:v>2026-10-08</x:v>
      </x:c>
      <x:c r="C6" s="10" t="n">
        <x:v>3864.12</x:v>
      </x:c>
      <x:c r="D6" s="10" t="n">
        <x:v>3795.37</x:v>
      </x:c>
      <x:c r="E6" s="12" t="n">
        <x:v>68.8</x:v>
      </x:c>
      <x:c r="F6" s="9" t="n">
        <x:v>1</x:v>
      </x:c>
      <x:c r="G6" s="10" t="n">
        <x:v>68.8</x:v>
      </x:c>
      <x:c r="H6" s="10" t="n">
        <x:v>68.8</x:v>
      </x:c>
      <x:c r="I6" s="10" t="n">
        <x:v>50</x:v>
      </x:c>
    </x:row>
    <x:row r="7">
      <x:c r="A7" s="9" t="str">
        <x:v>IM主力</x:v>
      </x:c>
      <x:c r="B7" s="9" t="str">
        <x:v>2026-10-08</x:v>
      </x:c>
      <x:c r="C7" s="10" t="n">
        <x:v>7251.8</x:v>
      </x:c>
      <x:c r="D7" s="10" t="n">
        <x:v>6948.2</x:v>
      </x:c>
      <x:c r="E7" s="12" t="n">
        <x:v>303.6</x:v>
      </x:c>
      <x:c r="F7" s="9" t="n">
        <x:v>1</x:v>
      </x:c>
      <x:c r="G7" s="10" t="n">
        <x:v>303.6</x:v>
      </x:c>
      <x:c r="H7" s="10" t="n">
        <x:v>303.6</x:v>
      </x:c>
      <x:c r="I7" s="10" t="n">
        <x:v>190</x:v>
      </x:c>
    </x:row>
    <x:row r="8">
      <x:c r="A8" s="9" t="str">
        <x:v>IC主力</x:v>
      </x:c>
      <x:c r="B8" s="9" t="str">
        <x:v>2026-10-08</x:v>
      </x:c>
      <x:c r="C8" s="10" t="n">
        <x:v>7355</x:v>
      </x:c>
      <x:c r="D8" s="10" t="n">
        <x:v>7056.4</x:v>
      </x:c>
      <x:c r="E8" s="12" t="n">
        <x:v>298.6</x:v>
      </x:c>
      <x:c r="F8" s="9" t="n">
        <x:v>1</x:v>
      </x:c>
      <x:c r="G8" s="10" t="n">
        <x:v>298.6</x:v>
      </x:c>
      <x:c r="H8" s="10" t="n">
        <x:v>298.6</x:v>
      </x:c>
      <x:c r="I8" s="10" t="n">
        <x:v>150</x:v>
      </x:c>
    </x:row>
    <x:row r="9">
      <x:c r="A9" s="9" t="str">
        <x:v>IF主力</x:v>
      </x:c>
      <x:c r="B9" s="9" t="str">
        <x:v>2026-10-08</x:v>
      </x:c>
      <x:c r="C9" s="10" t="n">
        <x:v>4331.6</x:v>
      </x:c>
      <x:c r="D9" s="10" t="n">
        <x:v>4218.6</x:v>
      </x:c>
      <x:c r="E9" s="12" t="n">
        <x:v>113</x:v>
      </x:c>
      <x:c r="F9" s="9" t="n">
        <x:v>1</x:v>
      </x:c>
      <x:c r="G9" s="10" t="n">
        <x:v>113</x:v>
      </x:c>
      <x:c r="H9" s="10" t="n">
        <x:v>113</x:v>
      </x:c>
      <x:c r="I9" s="10" t="n">
        <x:v>90</x:v>
      </x:c>
    </x:row>
    <x:row r="10">
      <x:c r="A10" s="9" t="str">
        <x:v>IH主力</x:v>
      </x:c>
      <x:c r="B10" s="9" t="str">
        <x:v>2026-10-08</x:v>
      </x:c>
      <x:c r="C10" s="10" t="n">
        <x:v>2798.4</x:v>
      </x:c>
      <x:c r="D10" s="10" t="n">
        <x:v>2747.4</x:v>
      </x:c>
      <x:c r="E10" s="12" t="n">
        <x:v>51</x:v>
      </x:c>
      <x:c r="F10" s="9" t="n">
        <x:v>1</x:v>
      </x:c>
      <x:c r="G10" s="10" t="n">
        <x:v>51</x:v>
      </x:c>
      <x:c r="H10" s="10" t="n">
        <x:v>51</x:v>
      </x:c>
      <x:c r="I10" s="10" t="n">
        <x:v>60</x:v>
      </x:c>
    </x:row>
    <x:row r="11">
      <x:c r="A11" s="9" t="str">
        <x:v>碳酸锂2610</x:v>
      </x:c>
      <x:c r="B11" s="9" t="str">
        <x:v>2026-10-08</x:v>
      </x:c>
      <x:c r="C11" s="10" t="n">
        <x:v>126800</x:v>
      </x:c>
      <x:c r="D11" s="10" t="n">
        <x:v>120000</x:v>
      </x:c>
      <x:c r="E11" s="12" t="n">
        <x:v>6800</x:v>
      </x:c>
      <x:c r="F11" s="9" t="n">
        <x:v>1</x:v>
      </x:c>
      <x:c r="G11" s="10" t="n">
        <x:v>6800</x:v>
      </x:c>
      <x:c r="H11" s="10" t="n">
        <x:v>6800</x:v>
      </x:c>
      <x:c r="I11" s="10" t="n">
        <x:v>6000</x:v>
      </x:c>
    </x:row>
    <x:row r="14">
      <x:c r="A14" s="14" t="str">
        <x:v>统计区间</x:v>
      </x:c>
      <x:c r="B14" s="14" t="str">
        <x:v>2026-10-01</x:v>
      </x:c>
      <x:c r="C14" s="14" t="str">
        <x:v>2026-10-08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2026年10月统计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10月8日</x:v>
      </x:c>
      <x:c r="C5" s="23" t="n">
        <x:v>7306.74</x:v>
      </x:c>
      <x:c r="D5" s="23" t="n">
        <x:v>7366.86</x:v>
      </x:c>
      <x:c r="E5" s="23" t="n">
        <x:v>7087.8</x:v>
      </x:c>
      <x:c r="F5" s="23" t="n">
        <x:v>7138.58</x:v>
      </x:c>
      <x:c r="G5" s="23"/>
      <x:c r="H5" s="24"/>
      <x:c r="I5" s="26" t="n">
        <x:f>ROUND(D5-E5,1)</x:f>
        <x:v>279.1</x:v>
      </x:c>
      <x:c r="J5" s="22" t="str">
        <x:v>中证1000</x:v>
      </x:c>
      <x:c r="K5" s="22" t="n">
        <x:v>1</x:v>
      </x:c>
    </x:row>
    <x:row r="6">
      <x:c r="A6" s="29" t="str">
        <x:v>合计</x:v>
      </x:c>
      <x:c r="B6" s="28" t="n">
        <x:v>1</x:v>
      </x:c>
      <x:c r="C6" s="28"/>
      <x:c r="D6" s="28"/>
      <x:c r="E6" s="28"/>
      <x:c r="F6" s="28"/>
      <x:c r="G6" s="28"/>
      <x:c r="H6" s="28"/>
      <x:c r="I6" s="30" t="n">
        <x:f>ROUND(SUM(I5:I5),1)</x:f>
        <x:v>279.1</x:v>
      </x:c>
      <x:c r="J6" s="28"/>
      <x:c r="K6" s="28"/>
    </x:row>
    <x:row r="7">
      <x:c r="A7" s="29" t="str">
        <x:v>均值</x:v>
      </x:c>
      <x:c r="B7" s="28"/>
      <x:c r="C7" s="28"/>
      <x:c r="D7" s="28"/>
      <x:c r="E7" s="28"/>
      <x:c r="F7" s="28"/>
      <x:c r="G7" s="28"/>
      <x:c r="H7" s="28"/>
      <x:c r="I7" s="32" t="n">
        <x:f>ROUND(IFERROR(AVERAGE(I5:I5),0),1)</x:f>
        <x:v>279.1</x:v>
      </x:c>
      <x:c r="J7" s="28"/>
      <x:c r="K7" s="28"/>
    </x:row>
    <x:row r="9">
      <x:c r="A9" s="17" t="str">
        <x:v>中证500</x:v>
      </x:c>
      <x:c r="B9" s="17"/>
      <x:c r="C9" s="17"/>
      <x:c r="D9" s="17"/>
      <x:c r="E9" s="17"/>
      <x:c r="F9" s="17"/>
      <x:c r="G9" s="17"/>
      <x:c r="H9" s="17"/>
      <x:c r="I9" s="17"/>
      <x:c r="J9" s="17"/>
      <x:c r="K9" s="17"/>
    </x:row>
    <x:row r="10">
      <x:c r="A10" s="20" t="str">
        <x:v>序号</x:v>
      </x:c>
      <x:c r="B10" s="20" t="str">
        <x:v>周期</x:v>
      </x:c>
      <x:c r="C10" s="20" t="str">
        <x:v>开盘</x:v>
      </x:c>
      <x:c r="D10" s="20" t="str">
        <x:v>高点</x:v>
      </x:c>
      <x:c r="E10" s="20" t="str">
        <x:v>低点</x:v>
      </x:c>
      <x:c r="F10" s="20" t="str">
        <x:v>收盘</x:v>
      </x:c>
      <x:c r="G10" s="20" t="str">
        <x:v>涨跌点数</x:v>
      </x:c>
      <x:c r="H10" s="20" t="str">
        <x:v>涨幅</x:v>
      </x:c>
      <x:c r="I10" s="20" t="str">
        <x:v>振幅</x:v>
      </x:c>
      <x:c r="J10" s="20" t="str">
        <x:v>标的</x:v>
      </x:c>
      <x:c r="K10" s="20" t="str">
        <x:v>交易日</x:v>
      </x:c>
    </x:row>
    <x:row r="11">
      <x:c r="A11" s="22" t="n">
        <x:v>1</x:v>
      </x:c>
      <x:c r="B11" s="22" t="str">
        <x:v>10月8日</x:v>
      </x:c>
      <x:c r="C11" s="23" t="n">
        <x:v>7420.44</x:v>
      </x:c>
      <x:c r="D11" s="23" t="n">
        <x:v>7461.24</x:v>
      </x:c>
      <x:c r="E11" s="23" t="n">
        <x:v>7206.06</x:v>
      </x:c>
      <x:c r="F11" s="23" t="n">
        <x:v>7248.43</x:v>
      </x:c>
      <x:c r="G11" s="23"/>
      <x:c r="H11" s="24"/>
      <x:c r="I11" s="26" t="n">
        <x:f>ROUND(D11-E11,1)</x:f>
        <x:v>255.2</x:v>
      </x:c>
      <x:c r="J11" s="22" t="str">
        <x:v>中证500</x:v>
      </x:c>
      <x:c r="K11" s="22" t="n">
        <x:v>1</x:v>
      </x:c>
    </x:row>
    <x:row r="12">
      <x:c r="A12" s="29" t="str">
        <x:v>合计</x:v>
      </x:c>
      <x:c r="B12" s="28" t="n">
        <x:v>1</x:v>
      </x:c>
      <x:c r="C12" s="28"/>
      <x:c r="D12" s="28"/>
      <x:c r="E12" s="28"/>
      <x:c r="F12" s="28"/>
      <x:c r="G12" s="28"/>
      <x:c r="H12" s="28"/>
      <x:c r="I12" s="30" t="n">
        <x:f>ROUND(SUM(I11:I11),1)</x:f>
        <x:v>255.2</x:v>
      </x:c>
      <x:c r="J12" s="28"/>
      <x:c r="K12" s="28"/>
    </x:row>
    <x:row r="13">
      <x:c r="A13" s="29" t="str">
        <x:v>均值</x:v>
      </x:c>
      <x:c r="B13" s="28"/>
      <x:c r="C13" s="28"/>
      <x:c r="D13" s="28"/>
      <x:c r="E13" s="28"/>
      <x:c r="F13" s="28"/>
      <x:c r="G13" s="28"/>
      <x:c r="H13" s="28"/>
      <x:c r="I13" s="32" t="n">
        <x:f>ROUND(IFERROR(AVERAGE(I11:I11),0),1)</x:f>
        <x:v>255.2</x:v>
      </x:c>
      <x:c r="J13" s="28"/>
      <x:c r="K13" s="28"/>
    </x:row>
    <x:row r="15">
      <x:c r="A15" s="17" t="str">
        <x:v>上证指数</x:v>
      </x:c>
      <x:c r="B15" s="17"/>
      <x:c r="C15" s="17"/>
      <x:c r="D15" s="17"/>
      <x:c r="E15" s="17"/>
      <x:c r="F15" s="17"/>
      <x:c r="G15" s="17"/>
      <x:c r="H15" s="17"/>
      <x:c r="I15" s="17"/>
      <x:c r="J15" s="17"/>
      <x:c r="K15" s="17"/>
    </x:row>
    <x:row r="16">
      <x:c r="A16" s="20" t="str">
        <x:v>序号</x:v>
      </x:c>
      <x:c r="B16" s="20" t="str">
        <x:v>周期</x:v>
      </x:c>
      <x:c r="C16" s="20" t="str">
        <x:v>开盘</x:v>
      </x:c>
      <x:c r="D16" s="20" t="str">
        <x:v>高点</x:v>
      </x:c>
      <x:c r="E16" s="20" t="str">
        <x:v>低点</x:v>
      </x:c>
      <x:c r="F16" s="20" t="str">
        <x:v>收盘</x:v>
      </x:c>
      <x:c r="G16" s="20" t="str">
        <x:v>涨跌点数</x:v>
      </x:c>
      <x:c r="H16" s="20" t="str">
        <x:v>涨幅</x:v>
      </x:c>
      <x:c r="I16" s="20" t="str">
        <x:v>振幅</x:v>
      </x:c>
      <x:c r="J16" s="20" t="str">
        <x:v>标的</x:v>
      </x:c>
      <x:c r="K16" s="20" t="str">
        <x:v>交易日</x:v>
      </x:c>
    </x:row>
    <x:row r="17">
      <x:c r="A17" s="22" t="n">
        <x:v>1</x:v>
      </x:c>
      <x:c r="B17" s="22" t="str">
        <x:v>10月8日</x:v>
      </x:c>
      <x:c r="C17" s="23" t="n">
        <x:v>3838.98</x:v>
      </x:c>
      <x:c r="D17" s="23" t="n">
        <x:v>3864.12</x:v>
      </x:c>
      <x:c r="E17" s="23" t="n">
        <x:v>3795.37</x:v>
      </x:c>
      <x:c r="F17" s="23" t="n">
        <x:v>3811.9</x:v>
      </x:c>
      <x:c r="G17" s="23"/>
      <x:c r="H17" s="24"/>
      <x:c r="I17" s="26" t="n">
        <x:f>ROUND(D17-E17,1)</x:f>
        <x:v>68.8</x:v>
      </x:c>
      <x:c r="J17" s="22" t="str">
        <x:v>上证指数</x:v>
      </x:c>
      <x:c r="K17" s="22" t="n">
        <x:v>1</x:v>
      </x:c>
    </x:row>
    <x:row r="18">
      <x:c r="A18" s="29" t="str">
        <x:v>合计</x:v>
      </x:c>
      <x:c r="B18" s="28" t="n">
        <x:v>1</x:v>
      </x:c>
      <x:c r="C18" s="28"/>
      <x:c r="D18" s="28"/>
      <x:c r="E18" s="28"/>
      <x:c r="F18" s="28"/>
      <x:c r="G18" s="28"/>
      <x:c r="H18" s="28"/>
      <x:c r="I18" s="30" t="n">
        <x:f>ROUND(SUM(I17:I17),1)</x:f>
        <x:v>68.8</x:v>
      </x:c>
      <x:c r="J18" s="28"/>
      <x:c r="K18" s="28"/>
    </x:row>
    <x:row r="19">
      <x:c r="A19" s="29" t="str">
        <x:v>均值</x:v>
      </x:c>
      <x:c r="B19" s="28"/>
      <x:c r="C19" s="28"/>
      <x:c r="D19" s="28"/>
      <x:c r="E19" s="28"/>
      <x:c r="F19" s="28"/>
      <x:c r="G19" s="28"/>
      <x:c r="H19" s="28"/>
      <x:c r="I19" s="32" t="n">
        <x:f>ROUND(IFERROR(AVERAGE(I17:I17),0),1)</x:f>
        <x:v>68.8</x:v>
      </x:c>
      <x:c r="J19" s="28"/>
      <x:c r="K19" s="28"/>
    </x:row>
    <x:row r="21">
      <x:c r="A21" s="17" t="str">
        <x:v>IM主力</x:v>
      </x:c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</x:row>
    <x:row r="22">
      <x:c r="A22" s="20" t="str">
        <x:v>序号</x:v>
      </x:c>
      <x:c r="B22" s="20" t="str">
        <x:v>周期</x:v>
      </x:c>
      <x:c r="C22" s="20" t="str">
        <x:v>开盘</x:v>
      </x:c>
      <x:c r="D22" s="20" t="str">
        <x:v>高点</x:v>
      </x:c>
      <x:c r="E22" s="20" t="str">
        <x:v>低点</x:v>
      </x:c>
      <x:c r="F22" s="20" t="str">
        <x:v>收盘</x:v>
      </x:c>
      <x:c r="G22" s="20" t="str">
        <x:v>涨跌点数</x:v>
      </x:c>
      <x:c r="H22" s="20" t="str">
        <x:v>涨幅</x:v>
      </x:c>
      <x:c r="I22" s="20" t="str">
        <x:v>振幅</x:v>
      </x:c>
      <x:c r="J22" s="20" t="str">
        <x:v>标的</x:v>
      </x:c>
      <x:c r="K22" s="20" t="str">
        <x:v>交易日</x:v>
      </x:c>
    </x:row>
    <x:row r="23">
      <x:c r="A23" s="22" t="n">
        <x:v>1</x:v>
      </x:c>
      <x:c r="B23" s="22" t="str">
        <x:v>10月8日</x:v>
      </x:c>
      <x:c r="C23" s="23" t="n">
        <x:v>7182.8</x:v>
      </x:c>
      <x:c r="D23" s="23" t="n">
        <x:v>7251.8</x:v>
      </x:c>
      <x:c r="E23" s="23" t="n">
        <x:v>6948.2</x:v>
      </x:c>
      <x:c r="F23" s="23" t="n">
        <x:v>7022.2</x:v>
      </x:c>
      <x:c r="G23" s="23"/>
      <x:c r="H23" s="24"/>
      <x:c r="I23" s="26" t="n">
        <x:f>ROUND(D23-E23,1)</x:f>
        <x:v>303.6</x:v>
      </x:c>
      <x:c r="J23" s="22" t="str">
        <x:v>IM2612</x:v>
      </x:c>
      <x:c r="K23" s="22" t="n">
        <x:v>1</x:v>
      </x:c>
    </x:row>
    <x:row r="24">
      <x:c r="A24" s="29" t="str">
        <x:v>合计</x:v>
      </x:c>
      <x:c r="B24" s="28" t="n">
        <x:v>1</x:v>
      </x:c>
      <x:c r="C24" s="28"/>
      <x:c r="D24" s="28"/>
      <x:c r="E24" s="28"/>
      <x:c r="F24" s="28"/>
      <x:c r="G24" s="28"/>
      <x:c r="H24" s="28"/>
      <x:c r="I24" s="30" t="n">
        <x:f>ROUND(SUM(I23:I23),1)</x:f>
        <x:v>303.6</x:v>
      </x:c>
      <x:c r="J24" s="28"/>
      <x:c r="K24" s="28"/>
    </x:row>
    <x:row r="25">
      <x:c r="A25" s="29" t="str">
        <x:v>均值</x:v>
      </x:c>
      <x:c r="B25" s="28"/>
      <x:c r="C25" s="28"/>
      <x:c r="D25" s="28"/>
      <x:c r="E25" s="28"/>
      <x:c r="F25" s="28"/>
      <x:c r="G25" s="28"/>
      <x:c r="H25" s="28"/>
      <x:c r="I25" s="32" t="n">
        <x:f>ROUND(IFERROR(AVERAGE(I23:I23),0),1)</x:f>
        <x:v>303.6</x:v>
      </x:c>
      <x:c r="J25" s="28"/>
      <x:c r="K25" s="28"/>
    </x:row>
    <x:row r="27">
      <x:c r="A27" s="17" t="str">
        <x:v>IC主力</x:v>
      </x:c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</x:row>
    <x:row r="28">
      <x:c r="A28" s="20" t="str">
        <x:v>序号</x:v>
      </x:c>
      <x:c r="B28" s="20" t="str">
        <x:v>周期</x:v>
      </x:c>
      <x:c r="C28" s="20" t="str">
        <x:v>开盘</x:v>
      </x:c>
      <x:c r="D28" s="20" t="str">
        <x:v>高点</x:v>
      </x:c>
      <x:c r="E28" s="20" t="str">
        <x:v>低点</x:v>
      </x:c>
      <x:c r="F28" s="20" t="str">
        <x:v>收盘</x:v>
      </x:c>
      <x:c r="G28" s="20" t="str">
        <x:v>涨跌点数</x:v>
      </x:c>
      <x:c r="H28" s="20" t="str">
        <x:v>涨幅</x:v>
      </x:c>
      <x:c r="I28" s="20" t="str">
        <x:v>振幅</x:v>
      </x:c>
      <x:c r="J28" s="20" t="str">
        <x:v>标的</x:v>
      </x:c>
      <x:c r="K28" s="20" t="str">
        <x:v>交易日</x:v>
      </x:c>
    </x:row>
    <x:row r="29">
      <x:c r="A29" s="22" t="n">
        <x:v>1</x:v>
      </x:c>
      <x:c r="B29" s="22" t="str">
        <x:v>10月8日</x:v>
      </x:c>
      <x:c r="C29" s="23" t="n">
        <x:v>7295</x:v>
      </x:c>
      <x:c r="D29" s="23" t="n">
        <x:v>7355</x:v>
      </x:c>
      <x:c r="E29" s="23" t="n">
        <x:v>7056.4</x:v>
      </x:c>
      <x:c r="F29" s="23" t="n">
        <x:v>7122.8</x:v>
      </x:c>
      <x:c r="G29" s="23"/>
      <x:c r="H29" s="24"/>
      <x:c r="I29" s="26" t="n">
        <x:f>ROUND(D29-E29,1)</x:f>
        <x:v>298.6</x:v>
      </x:c>
      <x:c r="J29" s="22" t="str">
        <x:v>IC2612</x:v>
      </x:c>
      <x:c r="K29" s="22" t="n">
        <x:v>1</x:v>
      </x:c>
    </x:row>
    <x:row r="30">
      <x:c r="A30" s="29" t="str">
        <x:v>合计</x:v>
      </x:c>
      <x:c r="B30" s="28" t="n">
        <x:v>1</x:v>
      </x:c>
      <x:c r="C30" s="28"/>
      <x:c r="D30" s="28"/>
      <x:c r="E30" s="28"/>
      <x:c r="F30" s="28"/>
      <x:c r="G30" s="28"/>
      <x:c r="H30" s="28"/>
      <x:c r="I30" s="30" t="n">
        <x:f>ROUND(SUM(I29:I29),1)</x:f>
        <x:v>298.6</x:v>
      </x:c>
      <x:c r="J30" s="28"/>
      <x:c r="K30" s="28"/>
    </x:row>
    <x:row r="31">
      <x:c r="A31" s="29" t="str">
        <x:v>均值</x:v>
      </x:c>
      <x:c r="B31" s="28"/>
      <x:c r="C31" s="28"/>
      <x:c r="D31" s="28"/>
      <x:c r="E31" s="28"/>
      <x:c r="F31" s="28"/>
      <x:c r="G31" s="28"/>
      <x:c r="H31" s="28"/>
      <x:c r="I31" s="32" t="n">
        <x:f>ROUND(IFERROR(AVERAGE(I29:I29),0),1)</x:f>
        <x:v>298.6</x:v>
      </x:c>
      <x:c r="J31" s="28"/>
      <x:c r="K31" s="28"/>
    </x:row>
    <x:row r="33">
      <x:c r="A33" s="17" t="str">
        <x:v>IF主力</x:v>
      </x:c>
      <x:c r="B33" s="17"/>
      <x:c r="C33" s="17"/>
      <x:c r="D33" s="17"/>
      <x:c r="E33" s="17"/>
      <x:c r="F33" s="17"/>
      <x:c r="G33" s="17"/>
      <x:c r="H33" s="17"/>
      <x:c r="I33" s="17"/>
      <x:c r="J33" s="17"/>
      <x:c r="K33" s="17"/>
    </x:row>
    <x:row r="34">
      <x:c r="A34" s="20" t="str">
        <x:v>序号</x:v>
      </x:c>
      <x:c r="B34" s="20" t="str">
        <x:v>周期</x:v>
      </x:c>
      <x:c r="C34" s="20" t="str">
        <x:v>开盘</x:v>
      </x:c>
      <x:c r="D34" s="20" t="str">
        <x:v>高点</x:v>
      </x:c>
      <x:c r="E34" s="20" t="str">
        <x:v>低点</x:v>
      </x:c>
      <x:c r="F34" s="20" t="str">
        <x:v>收盘</x:v>
      </x:c>
      <x:c r="G34" s="20" t="str">
        <x:v>涨跌点数</x:v>
      </x:c>
      <x:c r="H34" s="20" t="str">
        <x:v>涨幅</x:v>
      </x:c>
      <x:c r="I34" s="20" t="str">
        <x:v>振幅</x:v>
      </x:c>
      <x:c r="J34" s="20" t="str">
        <x:v>标的</x:v>
      </x:c>
      <x:c r="K34" s="20" t="str">
        <x:v>交易日</x:v>
      </x:c>
    </x:row>
    <x:row r="35">
      <x:c r="A35" s="22" t="n">
        <x:v>1</x:v>
      </x:c>
      <x:c r="B35" s="22" t="str">
        <x:v>10月8日</x:v>
      </x:c>
      <x:c r="C35" s="23" t="n">
        <x:v>4300.8</x:v>
      </x:c>
      <x:c r="D35" s="23" t="n">
        <x:v>4331.6</x:v>
      </x:c>
      <x:c r="E35" s="23" t="n">
        <x:v>4218.6</x:v>
      </x:c>
      <x:c r="F35" s="23" t="n">
        <x:v>4248</x:v>
      </x:c>
      <x:c r="G35" s="23"/>
      <x:c r="H35" s="24"/>
      <x:c r="I35" s="26" t="n">
        <x:f>ROUND(D35-E35,1)</x:f>
        <x:v>113</x:v>
      </x:c>
      <x:c r="J35" s="22" t="str">
        <x:v>IF2612</x:v>
      </x:c>
      <x:c r="K35" s="22" t="n">
        <x:v>1</x:v>
      </x:c>
    </x:row>
    <x:row r="36">
      <x:c r="A36" s="29" t="str">
        <x:v>合计</x:v>
      </x:c>
      <x:c r="B36" s="28" t="n">
        <x:v>1</x:v>
      </x:c>
      <x:c r="C36" s="28"/>
      <x:c r="D36" s="28"/>
      <x:c r="E36" s="28"/>
      <x:c r="F36" s="28"/>
      <x:c r="G36" s="28"/>
      <x:c r="H36" s="28"/>
      <x:c r="I36" s="30" t="n">
        <x:f>ROUND(SUM(I35:I35),1)</x:f>
        <x:v>113</x:v>
      </x:c>
      <x:c r="J36" s="28"/>
      <x:c r="K36" s="28"/>
    </x:row>
    <x:row r="37">
      <x:c r="A37" s="29" t="str">
        <x:v>均值</x:v>
      </x:c>
      <x:c r="B37" s="28"/>
      <x:c r="C37" s="28"/>
      <x:c r="D37" s="28"/>
      <x:c r="E37" s="28"/>
      <x:c r="F37" s="28"/>
      <x:c r="G37" s="28"/>
      <x:c r="H37" s="28"/>
      <x:c r="I37" s="32" t="n">
        <x:f>ROUND(IFERROR(AVERAGE(I35:I35),0),1)</x:f>
        <x:v>113</x:v>
      </x:c>
      <x:c r="J37" s="28"/>
      <x:c r="K37" s="28"/>
    </x:row>
    <x:row r="39">
      <x:c r="A39" s="17" t="str">
        <x:v>IH主力</x:v>
      </x:c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</x:row>
    <x:row r="40">
      <x:c r="A40" s="20" t="str">
        <x:v>序号</x:v>
      </x:c>
      <x:c r="B40" s="20" t="str">
        <x:v>周期</x:v>
      </x:c>
      <x:c r="C40" s="20" t="str">
        <x:v>开盘</x:v>
      </x:c>
      <x:c r="D40" s="20" t="str">
        <x:v>高点</x:v>
      </x:c>
      <x:c r="E40" s="20" t="str">
        <x:v>低点</x:v>
      </x:c>
      <x:c r="F40" s="20" t="str">
        <x:v>收盘</x:v>
      </x:c>
      <x:c r="G40" s="20" t="str">
        <x:v>涨跌点数</x:v>
      </x:c>
      <x:c r="H40" s="20" t="str">
        <x:v>涨幅</x:v>
      </x:c>
      <x:c r="I40" s="20" t="str">
        <x:v>振幅</x:v>
      </x:c>
      <x:c r="J40" s="20" t="str">
        <x:v>标的</x:v>
      </x:c>
      <x:c r="K40" s="20" t="str">
        <x:v>交易日</x:v>
      </x:c>
    </x:row>
    <x:row r="41">
      <x:c r="A41" s="22" t="n">
        <x:v>1</x:v>
      </x:c>
      <x:c r="B41" s="22" t="str">
        <x:v>10月8日</x:v>
      </x:c>
      <x:c r="C41" s="23" t="n">
        <x:v>2764</x:v>
      </x:c>
      <x:c r="D41" s="23" t="n">
        <x:v>2798.4</x:v>
      </x:c>
      <x:c r="E41" s="23" t="n">
        <x:v>2747.4</x:v>
      </x:c>
      <x:c r="F41" s="23" t="n">
        <x:v>2764.4</x:v>
      </x:c>
      <x:c r="G41" s="23"/>
      <x:c r="H41" s="24"/>
      <x:c r="I41" s="23" t="n">
        <x:f>ROUND(D41-E41,1)</x:f>
        <x:v>51</x:v>
      </x:c>
      <x:c r="J41" s="22" t="str">
        <x:v>IH2612</x:v>
      </x:c>
      <x:c r="K41" s="22" t="n">
        <x:v>1</x:v>
      </x:c>
    </x:row>
    <x:row r="42">
      <x:c r="A42" s="29" t="str">
        <x:v>合计</x:v>
      </x:c>
      <x:c r="B42" s="28" t="n">
        <x:v>1</x:v>
      </x:c>
      <x:c r="C42" s="28"/>
      <x:c r="D42" s="28"/>
      <x:c r="E42" s="28"/>
      <x:c r="F42" s="28"/>
      <x:c r="G42" s="28"/>
      <x:c r="H42" s="28"/>
      <x:c r="I42" s="30" t="n">
        <x:f>ROUND(SUM(I41:I41),1)</x:f>
        <x:v>51</x:v>
      </x:c>
      <x:c r="J42" s="28"/>
      <x:c r="K42" s="28"/>
    </x:row>
    <x:row r="43">
      <x:c r="A43" s="29" t="str">
        <x:v>均值</x:v>
      </x:c>
      <x:c r="B43" s="28"/>
      <x:c r="C43" s="28"/>
      <x:c r="D43" s="28"/>
      <x:c r="E43" s="28"/>
      <x:c r="F43" s="28"/>
      <x:c r="G43" s="28"/>
      <x:c r="H43" s="28"/>
      <x:c r="I43" s="32" t="n">
        <x:f>ROUND(IFERROR(AVERAGE(I41:I41),0),1)</x:f>
        <x:v>51</x:v>
      </x:c>
      <x:c r="J43" s="28"/>
      <x:c r="K43" s="28"/>
    </x:row>
    <x:row r="45">
      <x:c r="A45" s="17" t="str">
        <x:v>碳酸锂2610</x:v>
      </x:c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</x:row>
    <x:row r="46">
      <x:c r="A46" s="20" t="str">
        <x:v>序号</x:v>
      </x:c>
      <x:c r="B46" s="20" t="str">
        <x:v>周期</x:v>
      </x:c>
      <x:c r="C46" s="20" t="str">
        <x:v>开盘</x:v>
      </x:c>
      <x:c r="D46" s="20" t="str">
        <x:v>高点</x:v>
      </x:c>
      <x:c r="E46" s="20" t="str">
        <x:v>低点</x:v>
      </x:c>
      <x:c r="F46" s="20" t="str">
        <x:v>收盘</x:v>
      </x:c>
      <x:c r="G46" s="20" t="str">
        <x:v>涨跌点数</x:v>
      </x:c>
      <x:c r="H46" s="20" t="str">
        <x:v>涨幅</x:v>
      </x:c>
      <x:c r="I46" s="20" t="str">
        <x:v>振幅</x:v>
      </x:c>
      <x:c r="J46" s="20" t="str">
        <x:v>标的</x:v>
      </x:c>
      <x:c r="K46" s="20" t="str">
        <x:v>交易日</x:v>
      </x:c>
    </x:row>
    <x:row r="47">
      <x:c r="A47" s="22" t="n">
        <x:v>1</x:v>
      </x:c>
      <x:c r="B47" s="22" t="str">
        <x:v>10月8日</x:v>
      </x:c>
      <x:c r="C47" s="23" t="n">
        <x:v>120020</x:v>
      </x:c>
      <x:c r="D47" s="23" t="n">
        <x:v>126800</x:v>
      </x:c>
      <x:c r="E47" s="23" t="n">
        <x:v>120000</x:v>
      </x:c>
      <x:c r="F47" s="23" t="n">
        <x:v>120000</x:v>
      </x:c>
      <x:c r="G47" s="23"/>
      <x:c r="H47" s="24"/>
      <x:c r="I47" s="26" t="n">
        <x:f>ROUND(D47-E47,1)</x:f>
        <x:v>6800</x:v>
      </x:c>
      <x:c r="J47" s="22" t="str">
        <x:v>LC2610</x:v>
      </x:c>
      <x:c r="K47" s="22" t="n">
        <x:v>1</x:v>
      </x:c>
    </x:row>
    <x:row r="48">
      <x:c r="A48" s="29" t="str">
        <x:v>合计</x:v>
      </x:c>
      <x:c r="B48" s="28" t="n">
        <x:v>1</x:v>
      </x:c>
      <x:c r="C48" s="28"/>
      <x:c r="D48" s="28"/>
      <x:c r="E48" s="28"/>
      <x:c r="F48" s="28"/>
      <x:c r="G48" s="28"/>
      <x:c r="H48" s="28"/>
      <x:c r="I48" s="30" t="n">
        <x:f>ROUND(SUM(I47:I47),1)</x:f>
        <x:v>6800</x:v>
      </x:c>
      <x:c r="J48" s="28"/>
      <x:c r="K48" s="28"/>
    </x:row>
    <x:row r="49">
      <x:c r="A49" s="29" t="str">
        <x:v>均值</x:v>
      </x:c>
      <x:c r="B49" s="28"/>
      <x:c r="C49" s="28"/>
      <x:c r="D49" s="28"/>
      <x:c r="E49" s="28"/>
      <x:c r="F49" s="28"/>
      <x:c r="G49" s="28"/>
      <x:c r="H49" s="28"/>
      <x:c r="I49" s="32" t="n">
        <x:f>ROUND(IFERROR(AVERAGE(I47:I47),0),1)</x:f>
        <x:v>6800</x:v>
      </x:c>
      <x:c r="J49" s="28"/>
      <x:c r="K49" s="28"/>
    </x:row>
  </x:sheetData>
  <x:mergeCells>
    <x:mergeCell ref="A1:K1"/>
    <x:mergeCell ref="A3:K3"/>
    <x:mergeCell ref="A9:K9"/>
    <x:mergeCell ref="A15:K15"/>
    <x:mergeCell ref="A21:K21"/>
    <x:mergeCell ref="A27:K27"/>
    <x:mergeCell ref="A33:K33"/>
    <x:mergeCell ref="A39:K39"/>
    <x:mergeCell ref="A45:K45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7306.74</x:v>
      </x:c>
      <x:c r="E4" s="23" t="n">
        <x:v>7366.86</x:v>
      </x:c>
      <x:c r="F4" s="23" t="n">
        <x:v>7087.8</x:v>
      </x:c>
      <x:c r="G4" s="23" t="n">
        <x:v>7138.58</x:v>
      </x:c>
      <x:c r="H4" s="37" t="n">
        <x:v>-160.2</x:v>
      </x:c>
      <x:c r="I4" s="24" t="n">
        <x:v>-0.02195423369804983</x:v>
      </x:c>
      <x:c r="J4" s="26" t="n">
        <x:f>ROUND(E4-F4,1)</x:f>
        <x:v>279.1</x:v>
      </x:c>
      <x:c r="K4" s="22" t="str">
        <x:v>中证1000</x:v>
      </x:c>
    </x:row>
    <x:row r="7">
      <x:c r="A7" s="29" t="str">
        <x:v>合计</x:v>
      </x:c>
      <x:c r="B7" s="28" t="n">
        <x:v>1</x:v>
      </x:c>
      <x:c r="C7" s="28"/>
      <x:c r="D7" s="28"/>
      <x:c r="E7" s="28"/>
      <x:c r="F7" s="28"/>
      <x:c r="G7" s="28"/>
      <x:c r="H7" s="28"/>
      <x:c r="I7" s="28"/>
      <x:c r="J7" s="30" t="n">
        <x:f>SUM(J4:J4)</x:f>
        <x:v>279.1</x:v>
      </x:c>
      <x:c r="K7" s="28"/>
    </x:row>
    <x:row r="8">
      <x:c r="A8" s="29" t="str">
        <x:v>均值</x:v>
      </x:c>
      <x:c r="B8" s="28"/>
      <x:c r="C8" s="28"/>
      <x:c r="D8" s="28"/>
      <x:c r="E8" s="28"/>
      <x:c r="F8" s="28"/>
      <x:c r="G8" s="28"/>
      <x:c r="H8" s="28"/>
      <x:c r="I8" s="28"/>
      <x:c r="J8" s="32" t="n">
        <x:f>ROUND(IFERROR(AVERAGE(J4:J4),0),1)</x:f>
        <x:v>279.1</x:v>
      </x:c>
      <x:c r="K8" s="28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7420.44</x:v>
      </x:c>
      <x:c r="E4" s="23" t="n">
        <x:v>7461.24</x:v>
      </x:c>
      <x:c r="F4" s="23" t="n">
        <x:v>7206.06</x:v>
      </x:c>
      <x:c r="G4" s="23" t="n">
        <x:v>7248.43</x:v>
      </x:c>
      <x:c r="H4" s="37" t="n">
        <x:v>-186.7</x:v>
      </x:c>
      <x:c r="I4" s="24" t="n">
        <x:v>-0.025114456178481626</x:v>
      </x:c>
      <x:c r="J4" s="26" t="n">
        <x:f>ROUND(E4-F4,1)</x:f>
        <x:v>255.2</x:v>
      </x:c>
      <x:c r="K4" s="22" t="str">
        <x:v>中证500</x:v>
      </x:c>
    </x:row>
    <x:row r="7">
      <x:c r="A7" s="29" t="str">
        <x:v>合计</x:v>
      </x:c>
      <x:c r="B7" s="28" t="n">
        <x:v>1</x:v>
      </x:c>
      <x:c r="C7" s="28"/>
      <x:c r="D7" s="28"/>
      <x:c r="E7" s="28"/>
      <x:c r="F7" s="28"/>
      <x:c r="G7" s="28"/>
      <x:c r="H7" s="28"/>
      <x:c r="I7" s="28"/>
      <x:c r="J7" s="30" t="n">
        <x:f>SUM(J4:J4)</x:f>
        <x:v>255.2</x:v>
      </x:c>
      <x:c r="K7" s="28"/>
    </x:row>
    <x:row r="8">
      <x:c r="A8" s="29" t="str">
        <x:v>均值</x:v>
      </x:c>
      <x:c r="B8" s="28"/>
      <x:c r="C8" s="28"/>
      <x:c r="D8" s="28"/>
      <x:c r="E8" s="28"/>
      <x:c r="F8" s="28"/>
      <x:c r="G8" s="28"/>
      <x:c r="H8" s="28"/>
      <x:c r="I8" s="28"/>
      <x:c r="J8" s="32" t="n">
        <x:f>ROUND(IFERROR(AVERAGE(J4:J4),0),1)</x:f>
        <x:v>255.2</x:v>
      </x:c>
      <x:c r="K8" s="28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3838.98</x:v>
      </x:c>
      <x:c r="E4" s="23" t="n">
        <x:v>3864.12</x:v>
      </x:c>
      <x:c r="F4" s="23" t="n">
        <x:v>3795.37</x:v>
      </x:c>
      <x:c r="G4" s="23" t="n">
        <x:v>3811.9</x:v>
      </x:c>
      <x:c r="H4" s="23" t="n">
        <x:v>-30.3</x:v>
      </x:c>
      <x:c r="I4" s="24" t="n">
        <x:v>-0.007883524760618266</x:v>
      </x:c>
      <x:c r="J4" s="26" t="n">
        <x:f>ROUND(E4-F4,1)</x:f>
        <x:v>68.8</x:v>
      </x:c>
      <x:c r="K4" s="22" t="str">
        <x:v>上证指数</x:v>
      </x:c>
    </x:row>
    <x:row r="7">
      <x:c r="A7" s="29" t="str">
        <x:v>合计</x:v>
      </x:c>
      <x:c r="B7" s="28" t="n">
        <x:v>1</x:v>
      </x:c>
      <x:c r="C7" s="28"/>
      <x:c r="D7" s="28"/>
      <x:c r="E7" s="28"/>
      <x:c r="F7" s="28"/>
      <x:c r="G7" s="28"/>
      <x:c r="H7" s="28"/>
      <x:c r="I7" s="28"/>
      <x:c r="J7" s="30" t="n">
        <x:f>SUM(J4:J4)</x:f>
        <x:v>68.8</x:v>
      </x:c>
      <x:c r="K7" s="28"/>
    </x:row>
    <x:row r="8">
      <x:c r="A8" s="29" t="str">
        <x:v>均值</x:v>
      </x:c>
      <x:c r="B8" s="28"/>
      <x:c r="C8" s="28"/>
      <x:c r="D8" s="28"/>
      <x:c r="E8" s="28"/>
      <x:c r="F8" s="28"/>
      <x:c r="G8" s="28"/>
      <x:c r="H8" s="28"/>
      <x:c r="I8" s="28"/>
      <x:c r="J8" s="32" t="n">
        <x:f>ROUND(IFERROR(AVERAGE(J4:J4),0),1)</x:f>
        <x:v>68.8</x:v>
      </x:c>
      <x:c r="K8" s="28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7182.8</x:v>
      </x:c>
      <x:c r="E4" s="23" t="n">
        <x:v>7251.8</x:v>
      </x:c>
      <x:c r="F4" s="23" t="n">
        <x:v>6948.2</x:v>
      </x:c>
      <x:c r="G4" s="23" t="n">
        <x:v>7022.2</x:v>
      </x:c>
      <x:c r="H4" s="23" t="n">
        <x:v>-146.6</x:v>
      </x:c>
      <x:c r="I4" s="24" t="n">
        <x:v>-0.02044972659301425</x:v>
      </x:c>
      <x:c r="J4" s="26" t="n">
        <x:f>ROUND(E4-F4,1)</x:f>
        <x:v>303.6</x:v>
      </x:c>
      <x:c r="K4" s="22" t="str">
        <x:v>IM2612</x:v>
      </x:c>
    </x:row>
    <x:row r="7">
      <x:c r="A7" s="29" t="str">
        <x:v>合计</x:v>
      </x:c>
      <x:c r="B7" s="28" t="n">
        <x:v>1</x:v>
      </x:c>
      <x:c r="C7" s="28"/>
      <x:c r="D7" s="28"/>
      <x:c r="E7" s="28"/>
      <x:c r="F7" s="28"/>
      <x:c r="G7" s="28"/>
      <x:c r="H7" s="28"/>
      <x:c r="I7" s="28"/>
      <x:c r="J7" s="30" t="n">
        <x:f>SUM(J4:J4)</x:f>
        <x:v>303.6</x:v>
      </x:c>
      <x:c r="K7" s="28"/>
    </x:row>
    <x:row r="8">
      <x:c r="A8" s="29" t="str">
        <x:v>均值</x:v>
      </x:c>
      <x:c r="B8" s="28"/>
      <x:c r="C8" s="28"/>
      <x:c r="D8" s="28"/>
      <x:c r="E8" s="28"/>
      <x:c r="F8" s="28"/>
      <x:c r="G8" s="28"/>
      <x:c r="H8" s="28"/>
      <x:c r="I8" s="28"/>
      <x:c r="J8" s="32" t="n">
        <x:f>ROUND(IFERROR(AVERAGE(J4:J4),0),1)</x:f>
        <x:v>303.6</x:v>
      </x:c>
      <x:c r="K8" s="28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7295</x:v>
      </x:c>
      <x:c r="E4" s="23" t="n">
        <x:v>7355</x:v>
      </x:c>
      <x:c r="F4" s="23" t="n">
        <x:v>7056.4</x:v>
      </x:c>
      <x:c r="G4" s="23" t="n">
        <x:v>7122.8</x:v>
      </x:c>
      <x:c r="H4" s="37" t="n">
        <x:v>-187.4</x:v>
      </x:c>
      <x:c r="I4" s="24" t="n">
        <x:v>-0.02563541353177745</x:v>
      </x:c>
      <x:c r="J4" s="26" t="n">
        <x:f>ROUND(E4-F4,1)</x:f>
        <x:v>298.6</x:v>
      </x:c>
      <x:c r="K4" s="22" t="str">
        <x:v>IC2612</x:v>
      </x:c>
    </x:row>
    <x:row r="7">
      <x:c r="A7" s="29" t="str">
        <x:v>合计</x:v>
      </x:c>
      <x:c r="B7" s="28" t="n">
        <x:v>1</x:v>
      </x:c>
      <x:c r="C7" s="28"/>
      <x:c r="D7" s="28"/>
      <x:c r="E7" s="28"/>
      <x:c r="F7" s="28"/>
      <x:c r="G7" s="28"/>
      <x:c r="H7" s="28"/>
      <x:c r="I7" s="28"/>
      <x:c r="J7" s="30" t="n">
        <x:f>SUM(J4:J4)</x:f>
        <x:v>298.6</x:v>
      </x:c>
      <x:c r="K7" s="28"/>
    </x:row>
    <x:row r="8">
      <x:c r="A8" s="29" t="str">
        <x:v>均值</x:v>
      </x:c>
      <x:c r="B8" s="28"/>
      <x:c r="C8" s="28"/>
      <x:c r="D8" s="28"/>
      <x:c r="E8" s="28"/>
      <x:c r="F8" s="28"/>
      <x:c r="G8" s="28"/>
      <x:c r="H8" s="28"/>
      <x:c r="I8" s="28"/>
      <x:c r="J8" s="32" t="n">
        <x:f>ROUND(IFERROR(AVERAGE(J4:J4),0),1)</x:f>
        <x:v>298.6</x:v>
      </x:c>
      <x:c r="K8" s="28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4300.8</x:v>
      </x:c>
      <x:c r="E4" s="23" t="n">
        <x:v>4331.6</x:v>
      </x:c>
      <x:c r="F4" s="23" t="n">
        <x:v>4218.6</x:v>
      </x:c>
      <x:c r="G4" s="23" t="n">
        <x:v>4248</x:v>
      </x:c>
      <x:c r="H4" s="23" t="n">
        <x:v>-52.8</x:v>
      </x:c>
      <x:c r="I4" s="24" t="n">
        <x:v>-0.01227678571428581</x:v>
      </x:c>
      <x:c r="J4" s="26" t="n">
        <x:f>ROUND(E4-F4,1)</x:f>
        <x:v>113</x:v>
      </x:c>
      <x:c r="K4" s="22" t="str">
        <x:v>IF2612</x:v>
      </x:c>
    </x:row>
    <x:row r="7">
      <x:c r="A7" s="29" t="str">
        <x:v>合计</x:v>
      </x:c>
      <x:c r="B7" s="28" t="n">
        <x:v>1</x:v>
      </x:c>
      <x:c r="C7" s="28"/>
      <x:c r="D7" s="28"/>
      <x:c r="E7" s="28"/>
      <x:c r="F7" s="28"/>
      <x:c r="G7" s="28"/>
      <x:c r="H7" s="28"/>
      <x:c r="I7" s="28"/>
      <x:c r="J7" s="30" t="n">
        <x:f>SUM(J4:J4)</x:f>
        <x:v>113</x:v>
      </x:c>
      <x:c r="K7" s="28"/>
    </x:row>
    <x:row r="8">
      <x:c r="A8" s="29" t="str">
        <x:v>均值</x:v>
      </x:c>
      <x:c r="B8" s="28"/>
      <x:c r="C8" s="28"/>
      <x:c r="D8" s="28"/>
      <x:c r="E8" s="28"/>
      <x:c r="F8" s="28"/>
      <x:c r="G8" s="28"/>
      <x:c r="H8" s="28"/>
      <x:c r="I8" s="28"/>
      <x:c r="J8" s="32" t="n">
        <x:f>ROUND(IFERROR(AVERAGE(J4:J4),0),1)</x:f>
        <x:v>113</x:v>
      </x:c>
      <x:c r="K8" s="28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2764</x:v>
      </x:c>
      <x:c r="E4" s="23" t="n">
        <x:v>2798.4</x:v>
      </x:c>
      <x:c r="F4" s="23" t="n">
        <x:v>2747.4</x:v>
      </x:c>
      <x:c r="G4" s="23" t="n">
        <x:v>2764.4</x:v>
      </x:c>
      <x:c r="H4" s="23" t="n">
        <x:v>-14.4</x:v>
      </x:c>
      <x:c r="I4" s="24" t="n">
        <x:v>-0.005182092989779785</x:v>
      </x:c>
      <x:c r="J4" s="23" t="n">
        <x:f>ROUND(E4-F4,1)</x:f>
        <x:v>51</x:v>
      </x:c>
      <x:c r="K4" s="22" t="str">
        <x:v>IH2612</x:v>
      </x:c>
    </x:row>
    <x:row r="7">
      <x:c r="A7" s="29" t="str">
        <x:v>合计</x:v>
      </x:c>
      <x:c r="B7" s="28" t="n">
        <x:v>1</x:v>
      </x:c>
      <x:c r="C7" s="28"/>
      <x:c r="D7" s="28"/>
      <x:c r="E7" s="28"/>
      <x:c r="F7" s="28"/>
      <x:c r="G7" s="28"/>
      <x:c r="H7" s="28"/>
      <x:c r="I7" s="28"/>
      <x:c r="J7" s="30" t="n">
        <x:f>SUM(J4:J4)</x:f>
        <x:v>51</x:v>
      </x:c>
      <x:c r="K7" s="28"/>
    </x:row>
    <x:row r="8">
      <x:c r="A8" s="29" t="str">
        <x:v>均值</x:v>
      </x:c>
      <x:c r="B8" s="28"/>
      <x:c r="C8" s="28"/>
      <x:c r="D8" s="28"/>
      <x:c r="E8" s="28"/>
      <x:c r="F8" s="28"/>
      <x:c r="G8" s="28"/>
      <x:c r="H8" s="28"/>
      <x:c r="I8" s="28"/>
      <x:c r="J8" s="32" t="n">
        <x:f>ROUND(IFERROR(AVERAGE(J4:J4),0),1)</x:f>
        <x:v>51</x:v>
      </x:c>
      <x:c r="K8" s="28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碳酸锂2610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120020</x:v>
      </x:c>
      <x:c r="E4" s="23" t="n">
        <x:v>126800</x:v>
      </x:c>
      <x:c r="F4" s="23" t="n">
        <x:v>120000</x:v>
      </x:c>
      <x:c r="G4" s="23" t="n">
        <x:v>120000</x:v>
      </x:c>
      <x:c r="H4" s="37" t="n">
        <x:v>220</x:v>
      </x:c>
      <x:c r="I4" s="24" t="n">
        <x:v>0.0018367006177992806</x:v>
      </x:c>
      <x:c r="J4" s="26" t="n">
        <x:f>ROUND(E4-F4,1)</x:f>
        <x:v>6800</x:v>
      </x:c>
      <x:c r="K4" s="22" t="str">
        <x:v>LC2610</x:v>
      </x:c>
    </x:row>
    <x:row r="7">
      <x:c r="A7" s="29" t="str">
        <x:v>合计</x:v>
      </x:c>
      <x:c r="B7" s="28" t="n">
        <x:v>1</x:v>
      </x:c>
      <x:c r="C7" s="28"/>
      <x:c r="D7" s="28"/>
      <x:c r="E7" s="28"/>
      <x:c r="F7" s="28"/>
      <x:c r="G7" s="28"/>
      <x:c r="H7" s="28"/>
      <x:c r="I7" s="28"/>
      <x:c r="J7" s="30" t="n">
        <x:f>SUM(J4:J4)</x:f>
        <x:v>6800</x:v>
      </x:c>
      <x:c r="K7" s="28"/>
    </x:row>
    <x:row r="8">
      <x:c r="A8" s="29" t="str">
        <x:v>均值</x:v>
      </x:c>
      <x:c r="B8" s="28"/>
      <x:c r="C8" s="28"/>
      <x:c r="D8" s="28"/>
      <x:c r="E8" s="28"/>
      <x:c r="F8" s="28"/>
      <x:c r="G8" s="28"/>
      <x:c r="H8" s="28"/>
      <x:c r="I8" s="28"/>
      <x:c r="J8" s="32" t="n">
        <x:f>ROUND(IFERROR(AVERAGE(J4:J4),0),1)</x:f>
        <x:v>6800</x:v>
      </x:c>
      <x:c r="K8" s="28"/>
    </x:row>
  </x:sheetData>
  <x:mergeCells>
    <x:mergeCell ref="A1:K1"/>
  </x:mergeCells>
  <x:pageMargins left="0.7" right="0.7" top="0.75" bottom="0.75" header="0.3" footer="0.3"/>
</x:worksheet>
</file>