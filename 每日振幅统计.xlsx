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d727bceefa4d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317229e523c4888"/>
    <x:sheet xmlns:r="http://schemas.openxmlformats.org/officeDocument/2006/relationships" name="周振幅统计" sheetId="2" r:id="R6e8e898930624d1c"/>
    <x:sheet xmlns:r="http://schemas.openxmlformats.org/officeDocument/2006/relationships" name="中证1000" sheetId="3" r:id="Reb779522f1bc4f2c"/>
    <x:sheet xmlns:r="http://schemas.openxmlformats.org/officeDocument/2006/relationships" name="中证500" sheetId="4" r:id="R04bb01c5f804473d"/>
    <x:sheet xmlns:r="http://schemas.openxmlformats.org/officeDocument/2006/relationships" name="上证指数" sheetId="5" r:id="R032424ba5a7941de"/>
    <x:sheet xmlns:r="http://schemas.openxmlformats.org/officeDocument/2006/relationships" name="IM主力" sheetId="6" r:id="R6d50ea67166a4789"/>
    <x:sheet xmlns:r="http://schemas.openxmlformats.org/officeDocument/2006/relationships" name="IC主力" sheetId="7" r:id="Rec4225b24ea14707"/>
    <x:sheet xmlns:r="http://schemas.openxmlformats.org/officeDocument/2006/relationships" name="IF主力" sheetId="8" r:id="R90fbfc7a1c784b5c"/>
    <x:sheet xmlns:r="http://schemas.openxmlformats.org/officeDocument/2006/relationships" name="IH主力" sheetId="9" r:id="Radf3ed5b01744b4a"/>
    <x:sheet xmlns:r="http://schemas.openxmlformats.org/officeDocument/2006/relationships" name="碳酸锂2609" sheetId="10" r:id="Rb663e5ec84a24f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0762cb11774dd6" /><Relationship Type="http://schemas.openxmlformats.org/officeDocument/2006/relationships/theme" Target="/xl/theme/theme1.xml" Id="R2ec63ef97d054bfb" /><Relationship Type="http://schemas.openxmlformats.org/officeDocument/2006/relationships/sharedStrings" Target="/xl/sharedStrings.xml" Id="Rbc07b783527a470d" /><Relationship Type="http://schemas.openxmlformats.org/officeDocument/2006/relationships/worksheet" Target="/xl/worksheets/sheet1.xml" Id="Ra317229e523c4888" /><Relationship Type="http://schemas.openxmlformats.org/officeDocument/2006/relationships/worksheet" Target="/xl/worksheets/sheet2.xml" Id="R6e8e898930624d1c" /><Relationship Type="http://schemas.openxmlformats.org/officeDocument/2006/relationships/worksheet" Target="/xl/worksheets/sheet3.xml" Id="Reb779522f1bc4f2c" /><Relationship Type="http://schemas.openxmlformats.org/officeDocument/2006/relationships/worksheet" Target="/xl/worksheets/sheet4.xml" Id="R04bb01c5f804473d" /><Relationship Type="http://schemas.openxmlformats.org/officeDocument/2006/relationships/worksheet" Target="/xl/worksheets/sheet5.xml" Id="R032424ba5a7941de" /><Relationship Type="http://schemas.openxmlformats.org/officeDocument/2006/relationships/worksheet" Target="/xl/worksheets/sheet6.xml" Id="R6d50ea67166a4789" /><Relationship Type="http://schemas.openxmlformats.org/officeDocument/2006/relationships/worksheet" Target="/xl/worksheets/sheet7.xml" Id="Rec4225b24ea14707" /><Relationship Type="http://schemas.openxmlformats.org/officeDocument/2006/relationships/worksheet" Target="/xl/worksheets/sheet8.xml" Id="R90fbfc7a1c784b5c" /><Relationship Type="http://schemas.openxmlformats.org/officeDocument/2006/relationships/worksheet" Target="/xl/worksheets/sheet9.xml" Id="Radf3ed5b01744b4a" /><Relationship Type="http://schemas.openxmlformats.org/officeDocument/2006/relationships/worksheet" Target="/xl/worksheets/sheet10.xml" Id="Rb663e5ec84a24f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2026-08-25</x:v>
      </x:c>
      <x:c r="C4" s="10" t="n">
        <x:v>7556.07</x:v>
      </x:c>
      <x:c r="D4" s="10" t="n">
        <x:v>7347.95</x:v>
      </x:c>
      <x:c r="E4" s="12" t="n">
        <x:v>208.1</x:v>
      </x:c>
      <x:c r="F4" s="9" t="n">
        <x:v>17</x:v>
      </x:c>
      <x:c r="G4" s="10" t="n">
        <x:v>3011</x:v>
      </x:c>
      <x:c r="H4" s="10" t="n">
        <x:v>177.1</x:v>
      </x:c>
      <x:c r="I4" s="10" t="n">
        <x:v>180</x:v>
      </x:c>
    </x:row>
    <x:row r="5">
      <x:c r="A5" s="9" t="str">
        <x:v>中证500</x:v>
      </x:c>
      <x:c r="B5" s="9" t="str">
        <x:v>2026-08-25</x:v>
      </x:c>
      <x:c r="C5" s="10" t="n">
        <x:v>7755.72</x:v>
      </x:c>
      <x:c r="D5" s="10" t="n">
        <x:v>7572.86</x:v>
      </x:c>
      <x:c r="E5" s="12" t="n">
        <x:v>182.9</x:v>
      </x:c>
      <x:c r="F5" s="9" t="n">
        <x:v>17</x:v>
      </x:c>
      <x:c r="G5" s="10" t="n">
        <x:v>2883.5</x:v>
      </x:c>
      <x:c r="H5" s="10" t="n">
        <x:v>169.6</x:v>
      </x:c>
      <x:c r="I5" s="10" t="n">
        <x:v>160</x:v>
      </x:c>
    </x:row>
    <x:row r="6">
      <x:c r="A6" s="9" t="str">
        <x:v>上证指数</x:v>
      </x:c>
      <x:c r="B6" s="9" t="str">
        <x:v>2026-08-25</x:v>
      </x:c>
      <x:c r="C6" s="10" t="n">
        <x:v>3896.21</x:v>
      </x:c>
      <x:c r="D6" s="10" t="n">
        <x:v>3850.86</x:v>
      </x:c>
      <x:c r="E6" s="12" t="n">
        <x:v>45.3</x:v>
      </x:c>
      <x:c r="F6" s="9" t="n">
        <x:v>17</x:v>
      </x:c>
      <x:c r="G6" s="10" t="n">
        <x:v>730.1</x:v>
      </x:c>
      <x:c r="H6" s="10" t="n">
        <x:v>42.9</x:v>
      </x:c>
      <x:c r="I6" s="10" t="n">
        <x:v>50</x:v>
      </x:c>
    </x:row>
    <x:row r="7">
      <x:c r="A7" s="9" t="str">
        <x:v>IM主力</x:v>
      </x:c>
      <x:c r="B7" s="9" t="str">
        <x:v>2026-08-25</x:v>
      </x:c>
      <x:c r="C7" s="10" t="n">
        <x:v>7509.6</x:v>
      </x:c>
      <x:c r="D7" s="10" t="n">
        <x:v>7300.2</x:v>
      </x:c>
      <x:c r="E7" s="12" t="n">
        <x:v>209.4</x:v>
      </x:c>
      <x:c r="F7" s="9" t="n">
        <x:v>17</x:v>
      </x:c>
      <x:c r="G7" s="10" t="n">
        <x:v>2945</x:v>
      </x:c>
      <x:c r="H7" s="10" t="n">
        <x:v>173.2</x:v>
      </x:c>
      <x:c r="I7" s="10" t="n">
        <x:v>190</x:v>
      </x:c>
    </x:row>
    <x:row r="8">
      <x:c r="A8" s="9" t="str">
        <x:v>IC主力</x:v>
      </x:c>
      <x:c r="B8" s="9" t="str">
        <x:v>2026-08-25</x:v>
      </x:c>
      <x:c r="C8" s="10" t="n">
        <x:v>7687.8</x:v>
      </x:c>
      <x:c r="D8" s="10" t="n">
        <x:v>7496</x:v>
      </x:c>
      <x:c r="E8" s="12" t="n">
        <x:v>191.8</x:v>
      </x:c>
      <x:c r="F8" s="9" t="n">
        <x:v>17</x:v>
      </x:c>
      <x:c r="G8" s="10" t="n">
        <x:v>2876.4</x:v>
      </x:c>
      <x:c r="H8" s="10" t="n">
        <x:v>169.2</x:v>
      </x:c>
      <x:c r="I8" s="10" t="n">
        <x:v>150</x:v>
      </x:c>
    </x:row>
    <x:row r="9">
      <x:c r="A9" s="9" t="str">
        <x:v>IF主力</x:v>
      </x:c>
      <x:c r="B9" s="9" t="str">
        <x:v>2026-08-25</x:v>
      </x:c>
      <x:c r="C9" s="10" t="n">
        <x:v>4544.2</x:v>
      </x:c>
      <x:c r="D9" s="10" t="n">
        <x:v>4488</x:v>
      </x:c>
      <x:c r="E9" s="12" t="n">
        <x:v>56.2</x:v>
      </x:c>
      <x:c r="F9" s="9" t="n">
        <x:v>17</x:v>
      </x:c>
      <x:c r="G9" s="10" t="n">
        <x:v>1091.2</x:v>
      </x:c>
      <x:c r="H9" s="10" t="n">
        <x:v>64.2</x:v>
      </x:c>
      <x:c r="I9" s="10" t="n">
        <x:v>90</x:v>
      </x:c>
    </x:row>
    <x:row r="10">
      <x:c r="A10" s="9" t="str">
        <x:v>IH主力</x:v>
      </x:c>
      <x:c r="B10" s="9" t="str">
        <x:v>2026-08-25</x:v>
      </x:c>
      <x:c r="C10" s="10" t="n">
        <x:v>2864.4</x:v>
      </x:c>
      <x:c r="D10" s="10" t="n">
        <x:v>2840</x:v>
      </x:c>
      <x:c r="E10" s="12" t="n">
        <x:v>24.4</x:v>
      </x:c>
      <x:c r="F10" s="9" t="n">
        <x:v>17</x:v>
      </x:c>
      <x:c r="G10" s="10" t="n">
        <x:v>562.4</x:v>
      </x:c>
      <x:c r="H10" s="10" t="n">
        <x:v>33.1</x:v>
      </x:c>
      <x:c r="I10" s="10" t="n">
        <x:v>60</x:v>
      </x:c>
    </x:row>
    <x:row r="11">
      <x:c r="A11" s="9" t="str">
        <x:v>碳酸锂2609</x:v>
      </x:c>
      <x:c r="B11" s="9" t="str">
        <x:v>2026-08-25</x:v>
      </x:c>
      <x:c r="C11" s="10" t="n">
        <x:v>157980</x:v>
      </x:c>
      <x:c r="D11" s="10" t="n">
        <x:v>149300</x:v>
      </x:c>
      <x:c r="E11" s="12" t="n">
        <x:v>8680</x:v>
      </x:c>
      <x:c r="F11" s="9" t="n">
        <x:v>17</x:v>
      </x:c>
      <x:c r="G11" s="10" t="n">
        <x:v>88500</x:v>
      </x:c>
      <x:c r="H11" s="10" t="n">
        <x:v>5205.9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8月24日-8月25日</x:v>
      </x:c>
      <x:c r="C8" s="23" t="n">
        <x:v>7614.89</x:v>
      </x:c>
      <x:c r="D8" s="23" t="n">
        <x:v>7633.34</x:v>
      </x:c>
      <x:c r="E8" s="23" t="n">
        <x:v>7347.95</x:v>
      </x:c>
      <x:c r="F8" s="23" t="n">
        <x:v>7527.5</x:v>
      </x:c>
      <x:c r="G8" s="23" t="n">
        <x:f>ROUND(F8-F7,1)</x:f>
        <x:v>-74.3</x:v>
      </x:c>
      <x:c r="H8" s="24" t="n">
        <x:f>IFERROR(F8/F7-1,"")</x:f>
        <x:v>-0.009774000894524959</x:v>
      </x:c>
      <x:c r="I8" s="26" t="n">
        <x:f>ROUND(D8-E8,1)</x:f>
        <x:v>285.4</x:v>
      </x:c>
      <x:c r="J8" s="22" t="str">
        <x:v>中证1000</x:v>
      </x:c>
      <x:c r="K8" s="22" t="n">
        <x:v>2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1709.7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427.4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8月24日-8月25日</x:v>
      </x:c>
      <x:c r="C17" s="23" t="n">
        <x:v>7861.05</x:v>
      </x:c>
      <x:c r="D17" s="23" t="n">
        <x:v>7865.54</x:v>
      </x:c>
      <x:c r="E17" s="23" t="n">
        <x:v>7572.86</x:v>
      </x:c>
      <x:c r="F17" s="23" t="n">
        <x:v>7710.94</x:v>
      </x:c>
      <x:c r="G17" s="23" t="n">
        <x:f>ROUND(F17-F16,1)</x:f>
        <x:v>-143.4</x:v>
      </x:c>
      <x:c r="H17" s="24" t="n">
        <x:f>IFERROR(F17/F16-1,"")</x:f>
        <x:v>-0.018256172073238597</x:v>
      </x:c>
      <x:c r="I17" s="26" t="n">
        <x:f>ROUND(D17-E17,1)</x:f>
        <x:v>292.7</x:v>
      </x:c>
      <x:c r="J17" s="22" t="str">
        <x:v>中证500</x:v>
      </x:c>
      <x:c r="K17" s="22" t="n">
        <x:v>2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1578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394.5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8月24日-8月25日</x:v>
      </x:c>
      <x:c r="C26" s="23" t="n">
        <x:v>3902.7</x:v>
      </x:c>
      <x:c r="D26" s="23" t="n">
        <x:v>3910.24</x:v>
      </x:c>
      <x:c r="E26" s="23" t="n">
        <x:v>3850.86</x:v>
      </x:c>
      <x:c r="F26" s="23" t="n">
        <x:v>3889.44</x:v>
      </x:c>
      <x:c r="G26" s="23" t="n">
        <x:f>ROUND(F26-F25,1)</x:f>
        <x:v>-15.8</x:v>
      </x:c>
      <x:c r="H26" s="24" t="n">
        <x:f>IFERROR(F26/F25-1,"")</x:f>
        <x:v>-0.004035644781317127</x:v>
      </x:c>
      <x:c r="I26" s="26" t="n">
        <x:f>ROUND(D26-E26,1)</x:f>
        <x:v>59.4</x:v>
      </x:c>
      <x:c r="J26" s="22" t="str">
        <x:v>上证指数</x:v>
      </x:c>
      <x:c r="K26" s="22" t="n">
        <x:v>2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382.1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95.5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8月24日-8月25日</x:v>
      </x:c>
      <x:c r="C35" s="23" t="n">
        <x:v>7534.8</x:v>
      </x:c>
      <x:c r="D35" s="23" t="n">
        <x:v>7549</x:v>
      </x:c>
      <x:c r="E35" s="23" t="n">
        <x:v>7300.2</x:v>
      </x:c>
      <x:c r="F35" s="23" t="n">
        <x:v>7466.4</x:v>
      </x:c>
      <x:c r="G35" s="23" t="n">
        <x:f>ROUND(F35-F34,1)</x:f>
        <x:v>-60.6</x:v>
      </x:c>
      <x:c r="H35" s="24" t="n">
        <x:f>IFERROR(F35/F34-1,"")</x:f>
        <x:v>-0.00805101634117178</x:v>
      </x:c>
      <x:c r="I35" s="26" t="n">
        <x:f>ROUND(D35-E35,1)</x:f>
        <x:v>248.8</x:v>
      </x:c>
      <x:c r="J35" s="22" t="str">
        <x:v>IM2609</x:v>
      </x:c>
      <x:c r="K35" s="22" t="n">
        <x:v>2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1590.8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397.7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8月24日-8月25日</x:v>
      </x:c>
      <x:c r="C44" s="23" t="n">
        <x:v>7757</x:v>
      </x:c>
      <x:c r="D44" s="23" t="n">
        <x:v>7764.4</x:v>
      </x:c>
      <x:c r="E44" s="23" t="n">
        <x:v>7496</x:v>
      </x:c>
      <x:c r="F44" s="23" t="n">
        <x:v>7637</x:v>
      </x:c>
      <x:c r="G44" s="23" t="n">
        <x:f>ROUND(F44-F43,1)</x:f>
        <x:v>-125</x:v>
      </x:c>
      <x:c r="H44" s="24" t="n">
        <x:f>IFERROR(F44/F43-1,"")</x:f>
        <x:v>-0.0161040968822469</x:v>
      </x:c>
      <x:c r="I44" s="26" t="n">
        <x:f>ROUND(D44-E44,1)</x:f>
        <x:v>268.4</x:v>
      </x:c>
      <x:c r="J44" s="22" t="str">
        <x:v>IC2609</x:v>
      </x:c>
      <x:c r="K44" s="22" t="n">
        <x:v>2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1466.4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366.6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8月24日-8月25日</x:v>
      </x:c>
      <x:c r="C53" s="23" t="n">
        <x:v>4607.4</x:v>
      </x:c>
      <x:c r="D53" s="23" t="n">
        <x:v>4607.4</x:v>
      </x:c>
      <x:c r="E53" s="23" t="n">
        <x:v>4486.4</x:v>
      </x:c>
      <x:c r="F53" s="23" t="n">
        <x:v>4521.8</x:v>
      </x:c>
      <x:c r="G53" s="23" t="n">
        <x:f>ROUND(F53-F52,1)</x:f>
        <x:v>-54.2</x:v>
      </x:c>
      <x:c r="H53" s="24" t="n">
        <x:f>IFERROR(F53/F52-1,"")</x:f>
        <x:v>-0.011844405594405583</x:v>
      </x:c>
      <x:c r="I53" s="26" t="n">
        <x:f>ROUND(D53-E53,1)</x:f>
        <x:v>121</x:v>
      </x:c>
      <x:c r="J53" s="22" t="str">
        <x:v>IF2609</x:v>
      </x:c>
      <x:c r="K53" s="22" t="n">
        <x:v>2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534.8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133.7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8月24日-8月25日</x:v>
      </x:c>
      <x:c r="C62" s="23" t="n">
        <x:v>2856.4</x:v>
      </x:c>
      <x:c r="D62" s="23" t="n">
        <x:v>2866.8</x:v>
      </x:c>
      <x:c r="E62" s="23" t="n">
        <x:v>2837.4</x:v>
      </x:c>
      <x:c r="F62" s="23" t="n">
        <x:v>2855.2</x:v>
      </x:c>
      <x:c r="G62" s="23" t="n">
        <x:f>ROUND(F62-F61,1)</x:f>
        <x:v>-5.8</x:v>
      </x:c>
      <x:c r="H62" s="24" t="n">
        <x:f>IFERROR(F62/F61-1,"")</x:f>
        <x:v>-0.0020272631946872677</x:v>
      </x:c>
      <x:c r="I62" s="23" t="n">
        <x:f>ROUND(D62-E62,1)</x:f>
        <x:v>29.4</x:v>
      </x:c>
      <x:c r="J62" s="22" t="str">
        <x:v>IH2609</x:v>
      </x:c>
      <x:c r="K62" s="22" t="n">
        <x:v>2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265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66.2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8月24日-8月25日</x:v>
      </x:c>
      <x:c r="C71" s="23" t="n">
        <x:v>158500</x:v>
      </x:c>
      <x:c r="D71" s="23" t="n">
        <x:v>160000</x:v>
      </x:c>
      <x:c r="E71" s="23" t="n">
        <x:v>149300</x:v>
      </x:c>
      <x:c r="F71" s="23" t="n">
        <x:v>149300</x:v>
      </x:c>
      <x:c r="G71" s="28" t="n">
        <x:f>ROUND(F71-F70,1)</x:f>
        <x:v>-6840</x:v>
      </x:c>
      <x:c r="H71" s="24" t="n">
        <x:f>IFERROR(F71/F70-1,"")</x:f>
        <x:v>-0.04380684001537083</x:v>
      </x:c>
      <x:c r="I71" s="26" t="n">
        <x:f>ROUND(D71-E71,1)</x:f>
        <x:v>10700</x:v>
      </x:c>
      <x:c r="J71" s="22" t="str">
        <x:v>LC2609</x:v>
      </x:c>
      <x:c r="K71" s="22" t="n">
        <x:v>2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43760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10940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3011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177.1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2883.5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169.6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730.0999999999999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42.9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2945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173.2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2876.4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169.2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1091.2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64.2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562.4000000000001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33.1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88500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5205.9</x:v>
      </x:c>
      <x:c r="K24" s="30"/>
    </x:row>
  </x:sheetData>
  <x:mergeCells>
    <x:mergeCell ref="A1:K1"/>
  </x:mergeCells>
  <x:pageMargins left="0.7" right="0.7" top="0.75" bottom="0.75" header="0.3" footer="0.3"/>
</x:worksheet>
</file>