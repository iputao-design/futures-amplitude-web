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41b94b61f4b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9b07f83594149cb"/>
    <x:sheet xmlns:r="http://schemas.openxmlformats.org/officeDocument/2006/relationships" name="周振幅统计" sheetId="2" r:id="Rb1decc03c8414862"/>
    <x:sheet xmlns:r="http://schemas.openxmlformats.org/officeDocument/2006/relationships" name="中证1000" sheetId="3" r:id="R4e9578e14483456a"/>
    <x:sheet xmlns:r="http://schemas.openxmlformats.org/officeDocument/2006/relationships" name="中证500" sheetId="4" r:id="R28ebbe6ce1614944"/>
    <x:sheet xmlns:r="http://schemas.openxmlformats.org/officeDocument/2006/relationships" name="上证指数" sheetId="5" r:id="R8cbdde44896049f3"/>
    <x:sheet xmlns:r="http://schemas.openxmlformats.org/officeDocument/2006/relationships" name="IM主力" sheetId="6" r:id="Rb21d6bc8c6924477"/>
    <x:sheet xmlns:r="http://schemas.openxmlformats.org/officeDocument/2006/relationships" name="IC主力" sheetId="7" r:id="Rc1212e1a0bc04e91"/>
    <x:sheet xmlns:r="http://schemas.openxmlformats.org/officeDocument/2006/relationships" name="IF主力" sheetId="8" r:id="Re546fc2eab964429"/>
    <x:sheet xmlns:r="http://schemas.openxmlformats.org/officeDocument/2006/relationships" name="IH主力" sheetId="9" r:id="R9af04ea328184123"/>
    <x:sheet xmlns:r="http://schemas.openxmlformats.org/officeDocument/2006/relationships" name="碳酸锂2610" sheetId="10" r:id="R4b4bfd52efeb4a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e0b2dd7da4bbf" /><Relationship Type="http://schemas.openxmlformats.org/officeDocument/2006/relationships/theme" Target="/xl/theme/theme1.xml" Id="R3046984979984240" /><Relationship Type="http://schemas.openxmlformats.org/officeDocument/2006/relationships/sharedStrings" Target="/xl/sharedStrings.xml" Id="R6e3f6af528b24772" /><Relationship Type="http://schemas.openxmlformats.org/officeDocument/2006/relationships/worksheet" Target="/xl/worksheets/sheet1.xml" Id="R69b07f83594149cb" /><Relationship Type="http://schemas.openxmlformats.org/officeDocument/2006/relationships/worksheet" Target="/xl/worksheets/sheet2.xml" Id="Rb1decc03c8414862" /><Relationship Type="http://schemas.openxmlformats.org/officeDocument/2006/relationships/worksheet" Target="/xl/worksheets/sheet3.xml" Id="R4e9578e14483456a" /><Relationship Type="http://schemas.openxmlformats.org/officeDocument/2006/relationships/worksheet" Target="/xl/worksheets/sheet4.xml" Id="R28ebbe6ce1614944" /><Relationship Type="http://schemas.openxmlformats.org/officeDocument/2006/relationships/worksheet" Target="/xl/worksheets/sheet5.xml" Id="R8cbdde44896049f3" /><Relationship Type="http://schemas.openxmlformats.org/officeDocument/2006/relationships/worksheet" Target="/xl/worksheets/sheet6.xml" Id="Rb21d6bc8c6924477" /><Relationship Type="http://schemas.openxmlformats.org/officeDocument/2006/relationships/worksheet" Target="/xl/worksheets/sheet7.xml" Id="Rc1212e1a0bc04e91" /><Relationship Type="http://schemas.openxmlformats.org/officeDocument/2006/relationships/worksheet" Target="/xl/worksheets/sheet8.xml" Id="Re546fc2eab964429" /><Relationship Type="http://schemas.openxmlformats.org/officeDocument/2006/relationships/worksheet" Target="/xl/worksheets/sheet9.xml" Id="R9af04ea328184123" /><Relationship Type="http://schemas.openxmlformats.org/officeDocument/2006/relationships/worksheet" Target="/xl/worksheets/sheet10.xml" Id="R4b4bfd52efeb4a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2026-10-19</x:v>
      </x:c>
      <x:c r="C4" s="10" t="n">
        <x:v>6746.32</x:v>
      </x:c>
      <x:c r="D4" s="10" t="n">
        <x:v>6578.94</x:v>
      </x:c>
      <x:c r="E4" s="12" t="n">
        <x:v>167.4</x:v>
      </x:c>
      <x:c r="F4" s="9" t="n">
        <x:v>8</x:v>
      </x:c>
      <x:c r="G4" s="10" t="n">
        <x:v>1622.5</x:v>
      </x:c>
      <x:c r="H4" s="10" t="n">
        <x:v>202.8</x:v>
      </x:c>
      <x:c r="I4" s="10" t="n">
        <x:v>180</x:v>
      </x:c>
    </x:row>
    <x:row r="5">
      <x:c r="A5" s="9" t="str">
        <x:v>中证500</x:v>
      </x:c>
      <x:c r="B5" s="9" t="str">
        <x:v>2026-10-19</x:v>
      </x:c>
      <x:c r="C5" s="10" t="n">
        <x:v>6848</x:v>
      </x:c>
      <x:c r="D5" s="10" t="n">
        <x:v>6692.83</x:v>
      </x:c>
      <x:c r="E5" s="12" t="n">
        <x:v>155.2</x:v>
      </x:c>
      <x:c r="F5" s="9" t="n">
        <x:v>8</x:v>
      </x:c>
      <x:c r="G5" s="10" t="n">
        <x:v>1522.4</x:v>
      </x:c>
      <x:c r="H5" s="10" t="n">
        <x:v>190.3</x:v>
      </x:c>
      <x:c r="I5" s="10" t="n">
        <x:v>160</x:v>
      </x:c>
    </x:row>
    <x:row r="6">
      <x:c r="A6" s="9" t="str">
        <x:v>上证指数</x:v>
      </x:c>
      <x:c r="B6" s="9" t="str">
        <x:v>2026-10-19</x:v>
      </x:c>
      <x:c r="C6" s="10" t="n">
        <x:v>3743.8</x:v>
      </x:c>
      <x:c r="D6" s="10" t="n">
        <x:v>3692.29</x:v>
      </x:c>
      <x:c r="E6" s="12" t="n">
        <x:v>51.5</x:v>
      </x:c>
      <x:c r="F6" s="9" t="n">
        <x:v>8</x:v>
      </x:c>
      <x:c r="G6" s="10" t="n">
        <x:v>477.7</x:v>
      </x:c>
      <x:c r="H6" s="10" t="n">
        <x:v>59.7</x:v>
      </x:c>
      <x:c r="I6" s="10" t="n">
        <x:v>50</x:v>
      </x:c>
    </x:row>
    <x:row r="7">
      <x:c r="A7" s="9" t="str">
        <x:v>IM主力</x:v>
      </x:c>
      <x:c r="B7" s="9" t="str">
        <x:v>2026-10-19</x:v>
      </x:c>
      <x:c r="C7" s="10" t="n">
        <x:v>6680</x:v>
      </x:c>
      <x:c r="D7" s="10" t="n">
        <x:v>6505</x:v>
      </x:c>
      <x:c r="E7" s="12" t="n">
        <x:v>175</x:v>
      </x:c>
      <x:c r="F7" s="9" t="n">
        <x:v>8</x:v>
      </x:c>
      <x:c r="G7" s="10" t="n">
        <x:v>1711.4</x:v>
      </x:c>
      <x:c r="H7" s="10" t="n">
        <x:v>213.9</x:v>
      </x:c>
      <x:c r="I7" s="10" t="n">
        <x:v>190</x:v>
      </x:c>
    </x:row>
    <x:row r="8">
      <x:c r="A8" s="9" t="str">
        <x:v>IC主力</x:v>
      </x:c>
      <x:c r="B8" s="9" t="str">
        <x:v>2026-10-16</x:v>
      </x:c>
      <x:c r="C8" s="10" t="n">
        <x:v>6810</x:v>
      </x:c>
      <x:c r="D8" s="10" t="n">
        <x:v>6598.2</x:v>
      </x:c>
      <x:c r="E8" s="12" t="n">
        <x:v>211.8</x:v>
      </x:c>
      <x:c r="F8" s="9" t="n">
        <x:v>7</x:v>
      </x:c>
      <x:c r="G8" s="10" t="n">
        <x:v>1501.2</x:v>
      </x:c>
      <x:c r="H8" s="10" t="n">
        <x:v>214.5</x:v>
      </x:c>
      <x:c r="I8" s="10" t="n">
        <x:v>150</x:v>
      </x:c>
    </x:row>
    <x:row r="9">
      <x:c r="A9" s="9" t="str">
        <x:v>IF主力</x:v>
      </x:c>
      <x:c r="B9" s="9" t="str">
        <x:v>2026-10-16</x:v>
      </x:c>
      <x:c r="C9" s="10" t="n">
        <x:v>4147</x:v>
      </x:c>
      <x:c r="D9" s="10" t="n">
        <x:v>4052</x:v>
      </x:c>
      <x:c r="E9" s="12" t="n">
        <x:v>95</x:v>
      </x:c>
      <x:c r="F9" s="9" t="n">
        <x:v>7</x:v>
      </x:c>
      <x:c r="G9" s="10" t="n">
        <x:v>602.8</x:v>
      </x:c>
      <x:c r="H9" s="10" t="n">
        <x:v>86.1</x:v>
      </x:c>
      <x:c r="I9" s="10" t="n">
        <x:v>90</x:v>
      </x:c>
    </x:row>
    <x:row r="10">
      <x:c r="A10" s="9" t="str">
        <x:v>IH主力</x:v>
      </x:c>
      <x:c r="B10" s="9" t="str">
        <x:v>2026-10-16</x:v>
      </x:c>
      <x:c r="C10" s="10" t="n">
        <x:v>2738.6</x:v>
      </x:c>
      <x:c r="D10" s="10" t="n">
        <x:v>2686</x:v>
      </x:c>
      <x:c r="E10" s="12" t="n">
        <x:v>52.6</x:v>
      </x:c>
      <x:c r="F10" s="9" t="n">
        <x:v>7</x:v>
      </x:c>
      <x:c r="G10" s="10" t="n">
        <x:v>312.2</x:v>
      </x:c>
      <x:c r="H10" s="10" t="n">
        <x:v>44.6</x:v>
      </x:c>
      <x:c r="I10" s="10" t="n">
        <x:v>60</x:v>
      </x:c>
    </x:row>
    <x:row r="11">
      <x:c r="A11" s="9" t="str">
        <x:v>碳酸锂2610</x:v>
      </x:c>
      <x:c r="B11" s="9" t="str">
        <x:v>2026-10-19</x:v>
      </x:c>
      <x:c r="C11" s="10" t="n">
        <x:v>103280</x:v>
      </x:c>
      <x:c r="D11" s="10" t="n">
        <x:v>99600</x:v>
      </x:c>
      <x:c r="E11" s="12" t="n">
        <x:v>3680</x:v>
      </x:c>
      <x:c r="F11" s="9" t="n">
        <x:v>8</x:v>
      </x:c>
      <x:c r="G11" s="10" t="n">
        <x:v>53420</x:v>
      </x:c>
      <x:c r="H11" s="10" t="n">
        <x:v>6677.5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</x:v>
      </x:c>
      <x:c r="C7" s="23" t="n">
        <x:v>6639.94</x:v>
      </x:c>
      <x:c r="D7" s="23" t="n">
        <x:v>6746.32</x:v>
      </x:c>
      <x:c r="E7" s="23" t="n">
        <x:v>6578.94</x:v>
      </x:c>
      <x:c r="F7" s="23" t="n">
        <x:v>6698.3</x:v>
      </x:c>
      <x:c r="G7" s="23" t="n">
        <x:f>ROUND(F7-F6,1)</x:f>
        <x:v>16.4</x:v>
      </x:c>
      <x:c r="H7" s="24" t="n">
        <x:f>IFERROR(F7/F6-1,"")</x:f>
        <x:v>0.002448390736822015</x:v>
      </x:c>
      <x:c r="I7" s="23" t="n">
        <x:f>ROUND(D7-E7,1)</x:f>
        <x:v>167.4</x:v>
      </x:c>
      <x:c r="J7" s="22" t="str">
        <x:v>中证1000</x:v>
      </x:c>
      <x:c r="K7" s="22" t="n">
        <x:v>1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1127.3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375.8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</x:v>
      </x:c>
      <x:c r="C15" s="23" t="n">
        <x:v>6735.53</x:v>
      </x:c>
      <x:c r="D15" s="23" t="n">
        <x:v>6848</x:v>
      </x:c>
      <x:c r="E15" s="23" t="n">
        <x:v>6692.83</x:v>
      </x:c>
      <x:c r="F15" s="23" t="n">
        <x:v>6800.66</x:v>
      </x:c>
      <x:c r="G15" s="23" t="n">
        <x:f>ROUND(F15-F14,1)</x:f>
        <x:v>27.9</x:v>
      </x:c>
      <x:c r="H15" s="24" t="n">
        <x:f>IFERROR(F15/F14-1,"")</x:f>
        <x:v>0.004120925768705375</x:v>
      </x:c>
      <x:c r="I15" s="23" t="n">
        <x:f>ROUND(D15-E15,1)</x:f>
        <x:v>155.2</x:v>
      </x:c>
      <x:c r="J15" s="22" t="str">
        <x:v>中证500</x:v>
      </x:c>
      <x:c r="K15" s="22" t="n">
        <x:v>1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1085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361.7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3730.92</x:v>
      </x:c>
      <x:c r="G23" s="23" t="n">
        <x:f>ROUND(F23-F22,1)</x:f>
        <x:v>14.6</x:v>
      </x:c>
      <x:c r="H23" s="24" t="n">
        <x:f>IFERROR(F23/F22-1,"")</x:f>
        <x:v>0.003939423294262001</x:v>
      </x:c>
      <x:c r="I23" s="26" t="n">
        <x:f>ROUND(D23-E23,1)</x:f>
        <x:v>51.5</x:v>
      </x:c>
      <x:c r="J23" s="22" t="str">
        <x:v>上证指数</x:v>
      </x:c>
      <x:c r="K23" s="22" t="n">
        <x:v>1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</x:v>
      </x:c>
      <x:c r="C31" s="23" t="n">
        <x:v>6577.2</x:v>
      </x:c>
      <x:c r="D31" s="23" t="n">
        <x:v>6680</x:v>
      </x:c>
      <x:c r="E31" s="23" t="n">
        <x:v>6505</x:v>
      </x:c>
      <x:c r="F31" s="23" t="n">
        <x:v>6621.8</x:v>
      </x:c>
      <x:c r="G31" s="23" t="n">
        <x:f>ROUND(F31-F30,1)</x:f>
        <x:v>38.2</x:v>
      </x:c>
      <x:c r="H31" s="24" t="n">
        <x:f>IFERROR(F31/F30-1,"")</x:f>
        <x:v>0.005802296615833313</x:v>
      </x:c>
      <x:c r="I31" s="23" t="n">
        <x:f>ROUND(D31-E31,1)</x:f>
        <x:v>175</x:v>
      </x:c>
      <x:c r="J31" s="22" t="str">
        <x:v>IM2612</x:v>
      </x:c>
      <x:c r="K31" s="22" t="n">
        <x:v>1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1119.2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373.1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31" t="str">
        <x:v>合计</x:v>
      </x:c>
      <x:c r="B39" s="30" t="n">
        <x:v>2</x:v>
      </x:c>
      <x:c r="C39" s="30"/>
      <x:c r="D39" s="30"/>
      <x:c r="E39" s="30"/>
      <x:c r="F39" s="30"/>
      <x:c r="G39" s="30"/>
      <x:c r="H39" s="30"/>
      <x:c r="I39" s="32" t="n">
        <x:f>ROUND(SUM(I37:I38),1)</x:f>
        <x:v>955.4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ROUND(IFERROR(AVERAGE(I37:I38),0),1)</x:f>
        <x:v>477.7</x:v>
      </x:c>
      <x:c r="J40" s="30"/>
      <x:c r="K40" s="30"/>
    </x:row>
    <x:row r="42">
      <x:c r="A42" s="17" t="str">
        <x:v>IF主力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10月8日-10月9日</x:v>
      </x:c>
      <x:c r="C44" s="23" t="n">
        <x:v>4300.8</x:v>
      </x:c>
      <x:c r="D44" s="23" t="n">
        <x:v>4331.6</x:v>
      </x:c>
      <x:c r="E44" s="23" t="n">
        <x:v>4180.4</x:v>
      </x:c>
      <x:c r="F44" s="23" t="n">
        <x:v>4244.8</x:v>
      </x:c>
      <x:c r="G44" s="23"/>
      <x:c r="H44" s="24"/>
      <x:c r="I44" s="26" t="n">
        <x:f>ROUND(D44-E44,1)</x:f>
        <x:v>151.2</x:v>
      </x:c>
      <x:c r="J44" s="22" t="str">
        <x:v>IF2612</x:v>
      </x:c>
      <x:c r="K44" s="22" t="n">
        <x:v>2</x:v>
      </x:c>
    </x:row>
    <x:row r="45">
      <x:c r="A45" s="22" t="n">
        <x:v>2</x:v>
      </x:c>
      <x:c r="B45" s="22" t="str">
        <x:v>10月12日-10月16日</x:v>
      </x:c>
      <x:c r="C45" s="23" t="n">
        <x:v>4240.4</x:v>
      </x:c>
      <x:c r="D45" s="23" t="n">
        <x:v>4273.6</x:v>
      </x:c>
      <x:c r="E45" s="23" t="n">
        <x:v>4045.2</x:v>
      </x:c>
      <x:c r="F45" s="23" t="n">
        <x:v>4088.8</x:v>
      </x:c>
      <x:c r="G45" s="28" t="n">
        <x:f>ROUND(F45-F44,1)</x:f>
        <x:v>-156</x:v>
      </x:c>
      <x:c r="H45" s="24" t="n">
        <x:f>IFERROR(F45/F44-1,"")</x:f>
        <x:v>-0.03675084809649454</x:v>
      </x:c>
      <x:c r="I45" s="26" t="n">
        <x:f>ROUND(D45-E45,1)</x:f>
        <x:v>228.4</x:v>
      </x:c>
      <x:c r="J45" s="22" t="str">
        <x:v>IF2612</x:v>
      </x:c>
      <x:c r="K45" s="22" t="n">
        <x:v>5</x:v>
      </x:c>
    </x:row>
    <x:row r="46">
      <x:c r="A46" s="31" t="str">
        <x:v>合计</x:v>
      </x:c>
      <x:c r="B46" s="30" t="n">
        <x:v>2</x:v>
      </x:c>
      <x:c r="C46" s="30"/>
      <x:c r="D46" s="30"/>
      <x:c r="E46" s="30"/>
      <x:c r="F46" s="30"/>
      <x:c r="G46" s="30"/>
      <x:c r="H46" s="30"/>
      <x:c r="I46" s="32" t="n">
        <x:f>ROUND(SUM(I44:I45),1)</x:f>
        <x:v>379.6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ROUND(IFERROR(AVERAGE(I44:I45),0),1)</x:f>
        <x:v>189.8</x:v>
      </x:c>
      <x:c r="J47" s="30"/>
      <x:c r="K47" s="30"/>
    </x:row>
    <x:row r="49">
      <x:c r="A49" s="17" t="str">
        <x:v>IH主力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10月8日-10月9日</x:v>
      </x:c>
      <x:c r="C51" s="23" t="n">
        <x:v>2764</x:v>
      </x:c>
      <x:c r="D51" s="23" t="n">
        <x:v>2798.4</x:v>
      </x:c>
      <x:c r="E51" s="23" t="n">
        <x:v>2735</x:v>
      </x:c>
      <x:c r="F51" s="23" t="n">
        <x:v>2764</x:v>
      </x:c>
      <x:c r="G51" s="23"/>
      <x:c r="H51" s="24"/>
      <x:c r="I51" s="26" t="n">
        <x:f>ROUND(D51-E51,1)</x:f>
        <x:v>63.4</x:v>
      </x:c>
      <x:c r="J51" s="22" t="str">
        <x:v>IH2612</x:v>
      </x:c>
      <x:c r="K51" s="22" t="n">
        <x:v>2</x:v>
      </x:c>
    </x:row>
    <x:row r="52">
      <x:c r="A52" s="22" t="n">
        <x:v>2</x:v>
      </x:c>
      <x:c r="B52" s="22" t="str">
        <x:v>10月12日-10月16日</x:v>
      </x:c>
      <x:c r="C52" s="23" t="n">
        <x:v>2762</x:v>
      </x:c>
      <x:c r="D52" s="23" t="n">
        <x:v>2794</x:v>
      </x:c>
      <x:c r="E52" s="23" t="n">
        <x:v>2677.6</x:v>
      </x:c>
      <x:c r="F52" s="23" t="n">
        <x:v>2704.6</x:v>
      </x:c>
      <x:c r="G52" s="23" t="n">
        <x:f>ROUND(F52-F51,1)</x:f>
        <x:v>-59.4</x:v>
      </x:c>
      <x:c r="H52" s="24" t="n">
        <x:f>IFERROR(F52/F51-1,"")</x:f>
        <x:v>-0.0214905933429812</x:v>
      </x:c>
      <x:c r="I52" s="26" t="n">
        <x:f>ROUND(D52-E52,1)</x:f>
        <x:v>116.4</x:v>
      </x:c>
      <x:c r="J52" s="22" t="str">
        <x:v>IH2612</x:v>
      </x:c>
      <x:c r="K52" s="22" t="n">
        <x:v>5</x:v>
      </x:c>
    </x:row>
    <x:row r="53">
      <x:c r="A53" s="31" t="str">
        <x:v>合计</x:v>
      </x:c>
      <x:c r="B53" s="30" t="n">
        <x:v>2</x:v>
      </x:c>
      <x:c r="C53" s="30"/>
      <x:c r="D53" s="30"/>
      <x:c r="E53" s="30"/>
      <x:c r="F53" s="30"/>
      <x:c r="G53" s="30"/>
      <x:c r="H53" s="30"/>
      <x:c r="I53" s="32" t="n">
        <x:f>ROUND(SUM(I51:I52),1)</x:f>
        <x:v>179.8</x:v>
      </x:c>
      <x:c r="J53" s="30"/>
      <x:c r="K53" s="30"/>
    </x:row>
    <x:row r="54">
      <x:c r="A54" s="31" t="str">
        <x:v>均值</x:v>
      </x:c>
      <x:c r="B54" s="30"/>
      <x:c r="C54" s="30"/>
      <x:c r="D54" s="30"/>
      <x:c r="E54" s="30"/>
      <x:c r="F54" s="30"/>
      <x:c r="G54" s="30"/>
      <x:c r="H54" s="30"/>
      <x:c r="I54" s="34" t="n">
        <x:f>ROUND(IFERROR(AVERAGE(I51:I52),0),1)</x:f>
        <x:v>89.9</x:v>
      </x:c>
      <x:c r="J54" s="30"/>
      <x:c r="K54" s="30"/>
    </x:row>
    <x:row r="56">
      <x:c r="A56" s="17" t="str">
        <x:v>碳酸锂2610</x:v>
      </x:c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</x:row>
    <x:row r="57">
      <x:c r="A57" s="20" t="str">
        <x:v>序号</x:v>
      </x:c>
      <x:c r="B57" s="20" t="str">
        <x:v>周期</x:v>
      </x:c>
      <x:c r="C57" s="20" t="str">
        <x:v>开盘</x:v>
      </x:c>
      <x:c r="D57" s="20" t="str">
        <x:v>高点</x:v>
      </x:c>
      <x:c r="E57" s="20" t="str">
        <x:v>低点</x:v>
      </x:c>
      <x:c r="F57" s="20" t="str">
        <x:v>收盘</x:v>
      </x:c>
      <x:c r="G57" s="20" t="str">
        <x:v>涨跌点数</x:v>
      </x:c>
      <x:c r="H57" s="20" t="str">
        <x:v>涨幅</x:v>
      </x:c>
      <x:c r="I57" s="20" t="str">
        <x:v>振幅</x:v>
      </x:c>
      <x:c r="J57" s="20" t="str">
        <x:v>标的</x:v>
      </x:c>
      <x:c r="K57" s="20" t="str">
        <x:v>交易日</x:v>
      </x:c>
    </x:row>
    <x:row r="58">
      <x:c r="A58" s="22" t="n">
        <x:v>1</x:v>
      </x:c>
      <x:c r="B58" s="22" t="str">
        <x:v>10月8日-10月9日</x:v>
      </x:c>
      <x:c r="C58" s="23" t="n">
        <x:v>120020</x:v>
      </x:c>
      <x:c r="D58" s="23" t="n">
        <x:v>126800</x:v>
      </x:c>
      <x:c r="E58" s="23" t="n">
        <x:v>119000</x:v>
      </x:c>
      <x:c r="F58" s="23" t="n">
        <x:v>121000</x:v>
      </x:c>
      <x:c r="G58" s="23"/>
      <x:c r="H58" s="24"/>
      <x:c r="I58" s="26" t="n">
        <x:f>ROUND(D58-E58,1)</x:f>
        <x:v>7800</x:v>
      </x:c>
      <x:c r="J58" s="22" t="str">
        <x:v>LC2610</x:v>
      </x:c>
      <x:c r="K58" s="22" t="n">
        <x:v>2</x:v>
      </x:c>
    </x:row>
    <x:row r="59">
      <x:c r="A59" s="22" t="n">
        <x:v>2</x:v>
      </x:c>
      <x:c r="B59" s="22" t="str">
        <x:v>10月12日-10月16日</x:v>
      </x:c>
      <x:c r="C59" s="23" t="n">
        <x:v>125960</x:v>
      </x:c>
      <x:c r="D59" s="23" t="n">
        <x:v>125960</x:v>
      </x:c>
      <x:c r="E59" s="23" t="n">
        <x:v>99500</x:v>
      </x:c>
      <x:c r="F59" s="23" t="n">
        <x:v>99500</x:v>
      </x:c>
      <x:c r="G59" s="28" t="n">
        <x:f>ROUND(F59-F58,1)</x:f>
        <x:v>-21500</x:v>
      </x:c>
      <x:c r="H59" s="24" t="n">
        <x:f>IFERROR(F59/F58-1,"")</x:f>
        <x:v>-0.1776859504132231</x:v>
      </x:c>
      <x:c r="I59" s="26" t="n">
        <x:f>ROUND(D59-E59,1)</x:f>
        <x:v>26460</x:v>
      </x:c>
      <x:c r="J59" s="22" t="str">
        <x:v>LC2610</x:v>
      </x:c>
      <x:c r="K59" s="22" t="n">
        <x:v>5</x:v>
      </x:c>
    </x:row>
    <x:row r="60">
      <x:c r="A60" s="22" t="n">
        <x:v>3</x:v>
      </x:c>
      <x:c r="B60" s="22" t="str">
        <x:v>10月19日</x:v>
      </x:c>
      <x:c r="C60" s="23" t="n">
        <x:v>99600</x:v>
      </x:c>
      <x:c r="D60" s="23" t="n">
        <x:v>103280</x:v>
      </x:c>
      <x:c r="E60" s="23" t="n">
        <x:v>99600</x:v>
      </x:c>
      <x:c r="F60" s="23" t="n">
        <x:v>103180</x:v>
      </x:c>
      <x:c r="G60" s="28" t="n">
        <x:f>ROUND(F60-F59,1)</x:f>
        <x:v>3680</x:v>
      </x:c>
      <x:c r="H60" s="24" t="n">
        <x:f>IFERROR(F60/F59-1,"")</x:f>
        <x:v>0.036984924623115534</x:v>
      </x:c>
      <x:c r="I60" s="23" t="n">
        <x:f>ROUND(D60-E60,1)</x:f>
        <x:v>3680</x:v>
      </x:c>
      <x:c r="J60" s="22" t="str">
        <x:v>LC2610</x:v>
      </x:c>
      <x:c r="K60" s="22" t="n">
        <x:v>1</x:v>
      </x:c>
    </x:row>
    <x:row r="61">
      <x:c r="A61" s="31" t="str">
        <x:v>合计</x:v>
      </x:c>
      <x:c r="B61" s="30" t="n">
        <x:v>3</x:v>
      </x:c>
      <x:c r="C61" s="30"/>
      <x:c r="D61" s="30"/>
      <x:c r="E61" s="30"/>
      <x:c r="F61" s="30"/>
      <x:c r="G61" s="30"/>
      <x:c r="H61" s="30"/>
      <x:c r="I61" s="32" t="n">
        <x:f>ROUND(SUM(I58:I60),1)</x:f>
        <x:v>37940</x:v>
      </x:c>
      <x:c r="J61" s="30"/>
      <x:c r="K61" s="30"/>
    </x:row>
    <x:row r="62">
      <x:c r="A62" s="31" t="str">
        <x:v>均值</x:v>
      </x:c>
      <x:c r="B62" s="30"/>
      <x:c r="C62" s="30"/>
      <x:c r="D62" s="30"/>
      <x:c r="E62" s="30"/>
      <x:c r="F62" s="30"/>
      <x:c r="G62" s="30"/>
      <x:c r="H62" s="30"/>
      <x:c r="I62" s="34" t="n">
        <x:f>ROUND(IFERROR(AVERAGE(I58:I60),0),1)</x:f>
        <x:v>12646.7</x:v>
      </x:c>
      <x:c r="J62" s="30"/>
      <x:c r="K62" s="30"/>
    </x:row>
  </x:sheetData>
  <x:mergeCells>
    <x:mergeCell ref="A1:K1"/>
    <x:mergeCell ref="A3:K3"/>
    <x:mergeCell ref="A11:K11"/>
    <x:mergeCell ref="A19:K19"/>
    <x:mergeCell ref="A27:K27"/>
    <x:mergeCell ref="A35:K35"/>
    <x:mergeCell ref="A42:K42"/>
    <x:mergeCell ref="A49:K49"/>
    <x:mergeCell ref="A56:K5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1622.5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202.8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1522.3999999999999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190.3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477.69999999999993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59.7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1711.4000000000003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213.9</x:v>
      </x:c>
      <x:c r="K1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1501.2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214.5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602.8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86.1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312.20000000000005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44.6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4">
      <x:c r="A14" s="31" t="str">
        <x:v>合计</x:v>
      </x:c>
      <x:c r="B14" s="30" t="n">
        <x:v>8</x:v>
      </x:c>
      <x:c r="C14" s="30"/>
      <x:c r="D14" s="30"/>
      <x:c r="E14" s="30"/>
      <x:c r="F14" s="30"/>
      <x:c r="G14" s="30"/>
      <x:c r="H14" s="30"/>
      <x:c r="I14" s="30"/>
      <x:c r="J14" s="32" t="n">
        <x:f>SUM(J4:J11)</x:f>
        <x:v>53420</x:v>
      </x:c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0"/>
      <x:c r="J15" s="34" t="n">
        <x:f>ROUND(IFERROR(AVERAGE(J4:J11),0),1)</x:f>
        <x:v>6677.5</x:v>
      </x:c>
      <x:c r="K15" s="30"/>
    </x:row>
  </x:sheetData>
  <x:mergeCells>
    <x:mergeCell ref="A1:K1"/>
  </x:mergeCells>
  <x:pageMargins left="0.7" right="0.7" top="0.75" bottom="0.75" header="0.3" footer="0.3"/>
</x:worksheet>
</file>