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f5ebaa82684e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45153128f964a56"/>
    <x:sheet xmlns:r="http://schemas.openxmlformats.org/officeDocument/2006/relationships" name="中证1000" sheetId="2" r:id="R3be160698fb94f07"/>
    <x:sheet xmlns:r="http://schemas.openxmlformats.org/officeDocument/2006/relationships" name="中证500" sheetId="3" r:id="R45458a7ede114146"/>
    <x:sheet xmlns:r="http://schemas.openxmlformats.org/officeDocument/2006/relationships" name="上证指数" sheetId="4" r:id="R513f769d3f2b4fff"/>
    <x:sheet xmlns:r="http://schemas.openxmlformats.org/officeDocument/2006/relationships" name="IM主力" sheetId="5" r:id="R219e4e49eb054f15"/>
    <x:sheet xmlns:r="http://schemas.openxmlformats.org/officeDocument/2006/relationships" name="IC主力" sheetId="6" r:id="Refc394b5f785468a"/>
    <x:sheet xmlns:r="http://schemas.openxmlformats.org/officeDocument/2006/relationships" name="IF主力" sheetId="7" r:id="R15bb1f17c503427c"/>
    <x:sheet xmlns:r="http://schemas.openxmlformats.org/officeDocument/2006/relationships" name="IH主力" sheetId="8" r:id="Rc6268522859d42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0c069e1e1d4bc3" /><Relationship Type="http://schemas.openxmlformats.org/officeDocument/2006/relationships/theme" Target="/xl/theme/theme1.xml" Id="R3108e3b6f094466c" /><Relationship Type="http://schemas.openxmlformats.org/officeDocument/2006/relationships/sharedStrings" Target="/xl/sharedStrings.xml" Id="Rae7366391dcb460e" /><Relationship Type="http://schemas.openxmlformats.org/officeDocument/2006/relationships/worksheet" Target="/xl/worksheets/sheet1.xml" Id="Ra45153128f964a56" /><Relationship Type="http://schemas.openxmlformats.org/officeDocument/2006/relationships/worksheet" Target="/xl/worksheets/sheet2.xml" Id="R3be160698fb94f07" /><Relationship Type="http://schemas.openxmlformats.org/officeDocument/2006/relationships/worksheet" Target="/xl/worksheets/sheet3.xml" Id="R45458a7ede114146" /><Relationship Type="http://schemas.openxmlformats.org/officeDocument/2006/relationships/worksheet" Target="/xl/worksheets/sheet4.xml" Id="R513f769d3f2b4fff" /><Relationship Type="http://schemas.openxmlformats.org/officeDocument/2006/relationships/worksheet" Target="/xl/worksheets/sheet5.xml" Id="R219e4e49eb054f15" /><Relationship Type="http://schemas.openxmlformats.org/officeDocument/2006/relationships/worksheet" Target="/xl/worksheets/sheet6.xml" Id="Refc394b5f785468a" /><Relationship Type="http://schemas.openxmlformats.org/officeDocument/2006/relationships/worksheet" Target="/xl/worksheets/sheet7.xml" Id="R15bb1f17c503427c" /><Relationship Type="http://schemas.openxmlformats.org/officeDocument/2006/relationships/worksheet" Target="/xl/worksheets/sheet8.xml" Id="Rc6268522859d42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2026-07-21</x:v>
      </x:c>
      <x:c r="C4" s="10" t="n">
        <x:v>7264.338</x:v>
      </x:c>
      <x:c r="D4" s="10" t="n">
        <x:v>6714.187</x:v>
      </x:c>
      <x:c r="E4" s="12" t="n">
        <x:v>550.2</x:v>
      </x:c>
      <x:c r="F4" s="9" t="n">
        <x:v>15</x:v>
      </x:c>
      <x:c r="G4" s="10" t="n">
        <x:v>4446.8</x:v>
      </x:c>
      <x:c r="H4" s="10" t="n">
        <x:v>296.5</x:v>
      </x:c>
      <x:c r="I4" s="10" t="n">
        <x:v>180</x:v>
      </x:c>
    </x:row>
    <x:row r="5">
      <x:c r="A5" s="9" t="str">
        <x:v>中证500</x:v>
      </x:c>
      <x:c r="B5" s="9" t="str">
        <x:v>2026-07-21</x:v>
      </x:c>
      <x:c r="C5" s="10" t="n">
        <x:v>7802.755</x:v>
      </x:c>
      <x:c r="D5" s="10" t="n">
        <x:v>7270.954</x:v>
      </x:c>
      <x:c r="E5" s="12" t="n">
        <x:v>531.8</x:v>
      </x:c>
      <x:c r="F5" s="9" t="n">
        <x:v>15</x:v>
      </x:c>
      <x:c r="G5" s="10" t="n">
        <x:v>4464.7</x:v>
      </x:c>
      <x:c r="H5" s="10" t="n">
        <x:v>297.6</x:v>
      </x:c>
      <x:c r="I5" s="10" t="n">
        <x:v>160</x:v>
      </x:c>
    </x:row>
    <x:row r="6">
      <x:c r="A6" s="9" t="str">
        <x:v>上证指数</x:v>
      </x:c>
      <x:c r="B6" s="9" t="str">
        <x:v>2026-07-21</x:v>
      </x:c>
      <x:c r="C6" s="10" t="n">
        <x:v>3864.6</x:v>
      </x:c>
      <x:c r="D6" s="10" t="n">
        <x:v>3743.36</x:v>
      </x:c>
      <x:c r="E6" s="12" t="n">
        <x:v>121.2</x:v>
      </x:c>
      <x:c r="F6" s="9" t="n">
        <x:v>15</x:v>
      </x:c>
      <x:c r="G6" s="10" t="n">
        <x:v>1143.9</x:v>
      </x:c>
      <x:c r="H6" s="10" t="n">
        <x:v>76.3</x:v>
      </x:c>
      <x:c r="I6" s="10" t="n">
        <x:v>50</x:v>
      </x:c>
    </x:row>
    <x:row r="7">
      <x:c r="A7" s="9" t="str">
        <x:v>IM主力</x:v>
      </x:c>
      <x:c r="B7" s="9" t="str">
        <x:v>2026-07-21</x:v>
      </x:c>
      <x:c r="C7" s="10" t="n">
        <x:v>7175.8</x:v>
      </x:c>
      <x:c r="D7" s="10" t="n">
        <x:v>6641.8</x:v>
      </x:c>
      <x:c r="E7" s="12" t="n">
        <x:v>534</x:v>
      </x:c>
      <x:c r="F7" s="9" t="n">
        <x:v>15</x:v>
      </x:c>
      <x:c r="G7" s="10" t="n">
        <x:v>4263.8</x:v>
      </x:c>
      <x:c r="H7" s="10" t="n">
        <x:v>284.3</x:v>
      </x:c>
      <x:c r="I7" s="10" t="n">
        <x:v>190</x:v>
      </x:c>
    </x:row>
    <x:row r="8">
      <x:c r="A8" s="9" t="str">
        <x:v>IC主力</x:v>
      </x:c>
      <x:c r="B8" s="9" t="str">
        <x:v>2026-07-21</x:v>
      </x:c>
      <x:c r="C8" s="10" t="n">
        <x:v>7700.6</x:v>
      </x:c>
      <x:c r="D8" s="10" t="n">
        <x:v>7201.2</x:v>
      </x:c>
      <x:c r="E8" s="12" t="n">
        <x:v>499.4</x:v>
      </x:c>
      <x:c r="F8" s="9" t="n">
        <x:v>15</x:v>
      </x:c>
      <x:c r="G8" s="10" t="n">
        <x:v>4361</x:v>
      </x:c>
      <x:c r="H8" s="10" t="n">
        <x:v>290.7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15</x:v>
      </x:c>
      <x:c r="G9" s="10" t="n">
        <x:v>1600.6</x:v>
      </x:c>
      <x:c r="H9" s="10" t="n">
        <x:v>106.7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15</x:v>
      </x:c>
      <x:c r="G10" s="10" t="n">
        <x:v>853.6</x:v>
      </x:c>
      <x:c r="H10" s="10" t="n">
        <x:v>56.9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2026-07-21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7256.267</x:v>
      </x:c>
      <x:c r="E17" s="22" t="n">
        <x:v>7298.122</x:v>
      </x:c>
      <x:c r="F17" s="22" t="n">
        <x:v>6824.145</x:v>
      </x:c>
      <x:c r="G17" s="22" t="n">
        <x:v>6965.376</x:v>
      </x:c>
      <x:c r="H17" s="25" t="n">
        <x:v>-202.6</x:v>
      </x:c>
      <x:c r="I17" s="23" t="n">
        <x:v>-0.028267314881314065</x:v>
      </x:c>
      <x:c r="J17" s="27" t="n">
        <x:f>ROUND(E17-F17,1)</x:f>
        <x:v>474</x:v>
      </x:c>
      <x:c r="K17" s="21" t="str">
        <x:v>中证1000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6975.893</x:v>
      </x:c>
      <x:c r="E18" s="22" t="n">
        <x:v>7264.338</x:v>
      </x:c>
      <x:c r="F18" s="22" t="n">
        <x:v>6714.187</x:v>
      </x:c>
      <x:c r="G18" s="22" t="n">
        <x:v>7259.863</x:v>
      </x:c>
      <x:c r="H18" s="25" t="n">
        <x:v>294.5</x:v>
      </x:c>
      <x:c r="I18" s="23" t="n">
        <x:v>0.042278693928367916</x:v>
      </x:c>
      <x:c r="J18" s="27" t="n">
        <x:f>ROUND(E18-F18,1)</x:f>
        <x:v>550.2</x:v>
      </x:c>
      <x:c r="K18" s="21" t="str">
        <x:v>中证1000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4446.8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296.5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7597.769</x:v>
      </x:c>
      <x:c r="E17" s="22" t="n">
        <x:v>7626.489</x:v>
      </x:c>
      <x:c r="F17" s="22" t="n">
        <x:v>7253.518</x:v>
      </x:c>
      <x:c r="G17" s="22" t="n">
        <x:v>7411.313</x:v>
      </x:c>
      <x:c r="H17" s="22" t="n">
        <x:v>-102.4</x:v>
      </x:c>
      <x:c r="I17" s="23" t="n">
        <x:v>-0.013634978904711215</x:v>
      </x:c>
      <x:c r="J17" s="27" t="n">
        <x:f>ROUND(E17-F17,1)</x:f>
        <x:v>373</x:v>
      </x:c>
      <x:c r="K17" s="21" t="str">
        <x:v>中证500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7437.452</x:v>
      </x:c>
      <x:c r="E18" s="22" t="n">
        <x:v>7802.755</x:v>
      </x:c>
      <x:c r="F18" s="22" t="n">
        <x:v>7270.954</x:v>
      </x:c>
      <x:c r="G18" s="22" t="n">
        <x:v>7800.609</x:v>
      </x:c>
      <x:c r="H18" s="25" t="n">
        <x:v>389.3</x:v>
      </x:c>
      <x:c r="I18" s="23" t="n">
        <x:v>0.052527264737031176</x:v>
      </x:c>
      <x:c r="J18" s="27" t="n">
        <x:f>ROUND(E18-F18,1)</x:f>
        <x:v>531.8</x:v>
      </x:c>
      <x:c r="K18" s="21" t="str">
        <x:v>中证500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4464.7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297.6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3791.662</x:v>
      </x:c>
      <x:c r="E17" s="22" t="n">
        <x:v>3831.659</x:v>
      </x:c>
      <x:c r="F17" s="22" t="n">
        <x:v>3741.11</x:v>
      </x:c>
      <x:c r="G17" s="22" t="n">
        <x:v>3796.281</x:v>
      </x:c>
      <x:c r="H17" s="22" t="n">
        <x:v>32.1</x:v>
      </x:c>
      <x:c r="I17" s="23" t="n">
        <x:v>0.008534717619226528</x:v>
      </x:c>
      <x:c r="J17" s="27" t="n">
        <x:f>ROUND(E17-F17,1)</x:f>
        <x:v>90.5</x:v>
      </x:c>
      <x:c r="K17" s="21" t="str">
        <x:v>上证指数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3812.162</x:v>
      </x:c>
      <x:c r="E18" s="22" t="n">
        <x:v>3864.6</x:v>
      </x:c>
      <x:c r="F18" s="22" t="n">
        <x:v>3743.36</x:v>
      </x:c>
      <x:c r="G18" s="22" t="n">
        <x:v>3864.367</x:v>
      </x:c>
      <x:c r="H18" s="22" t="n">
        <x:v>68.1</x:v>
      </x:c>
      <x:c r="I18" s="23" t="n">
        <x:v>0.01793492104509653</x:v>
      </x:c>
      <x:c r="J18" s="27" t="n">
        <x:f>ROUND(E18-F18,1)</x:f>
        <x:v>121.2</x:v>
      </x:c>
      <x:c r="K18" s="21" t="str">
        <x:v>上证指数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1143.8999999999999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76.3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7165.2</x:v>
      </x:c>
      <x:c r="E17" s="22" t="n">
        <x:v>7237</x:v>
      </x:c>
      <x:c r="F17" s="22" t="n">
        <x:v>6652.2</x:v>
      </x:c>
      <x:c r="G17" s="22" t="n">
        <x:v>6849.8</x:v>
      </x:c>
      <x:c r="H17" s="25" t="n">
        <x:v>-215.4</x:v>
      </x:c>
      <x:c r="I17" s="23" t="n">
        <x:v>-0.030487459661439065</x:v>
      </x:c>
      <x:c r="J17" s="27" t="n">
        <x:f>ROUND(E17-F17,1)</x:f>
        <x:v>584.8</x:v>
      </x:c>
      <x:c r="K17" s="21" t="str">
        <x:v>IM2609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6920</x:v>
      </x:c>
      <x:c r="E18" s="22" t="n">
        <x:v>7175.8</x:v>
      </x:c>
      <x:c r="F18" s="22" t="n">
        <x:v>6641.8</x:v>
      </x:c>
      <x:c r="G18" s="22" t="n">
        <x:v>7164.4</x:v>
      </x:c>
      <x:c r="H18" s="25" t="n">
        <x:v>314.6</x:v>
      </x:c>
      <x:c r="I18" s="23" t="n">
        <x:v>0.04592834827294223</x:v>
      </x:c>
      <x:c r="J18" s="27" t="n">
        <x:f>ROUND(E18-F18,1)</x:f>
        <x:v>534</x:v>
      </x:c>
      <x:c r="K18" s="21" t="str">
        <x:v>IM2609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4263.8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284.3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7842</x:v>
      </x:c>
      <x:c r="E16" s="32" t="n">
        <x:v>7848.2</x:v>
      </x:c>
      <x:c r="F16" s="32" t="n">
        <x:v>7362.8</x:v>
      </x:c>
      <x:c r="G16" s="32" t="n">
        <x:v>7389</x:v>
      </x:c>
      <x:c r="H16" s="25" t="n">
        <x:v>-480.6</x:v>
      </x:c>
      <x:c r="I16" s="33" t="n">
        <x:v>-0.06107044830741082</x:v>
      </x:c>
      <x:c r="J16" s="27" t="n">
        <x:f>ROUND(E16-F16,1)</x:f>
        <x:v>485.4</x:v>
      </x:c>
      <x:c r="K16" s="31" t="str">
        <x:v>IC2609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7490</x:v>
      </x:c>
      <x:c r="E17" s="22" t="n">
        <x:v>7561.8</x:v>
      </x:c>
      <x:c r="F17" s="22" t="n">
        <x:v>7092</x:v>
      </x:c>
      <x:c r="G17" s="22" t="n">
        <x:v>7302.2</x:v>
      </x:c>
      <x:c r="H17" s="22" t="n">
        <x:v>-86.8</x:v>
      </x:c>
      <x:c r="I17" s="23" t="n">
        <x:v>-0.011747191771552368</x:v>
      </x:c>
      <x:c r="J17" s="27" t="n">
        <x:f>ROUND(E17-F17,1)</x:f>
        <x:v>469.8</x:v>
      </x:c>
      <x:c r="K17" s="21" t="str">
        <x:v>IC2609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7385</x:v>
      </x:c>
      <x:c r="E18" s="22" t="n">
        <x:v>7700.6</x:v>
      </x:c>
      <x:c r="F18" s="22" t="n">
        <x:v>7201.2</x:v>
      </x:c>
      <x:c r="G18" s="22" t="n">
        <x:v>7685.8</x:v>
      </x:c>
      <x:c r="H18" s="25" t="n">
        <x:v>383.6</x:v>
      </x:c>
      <x:c r="I18" s="23" t="n">
        <x:v>0.052532113609597086</x:v>
      </x:c>
      <x:c r="J18" s="27" t="n">
        <x:f>ROUND(E18-F18,1)</x:f>
        <x:v>499.4</x:v>
      </x:c>
      <x:c r="K18" s="21" t="str">
        <x:v>IC2609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4361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290.7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4615.8</x:v>
      </x:c>
      <x:c r="E16" s="32" t="n">
        <x:v>4633.8</x:v>
      </x:c>
      <x:c r="F16" s="32" t="n">
        <x:v>4441.4</x:v>
      </x:c>
      <x:c r="G16" s="32" t="n">
        <x:v>4473.8</x:v>
      </x:c>
      <x:c r="H16" s="25" t="n">
        <x:v>-171.8</x:v>
      </x:c>
      <x:c r="I16" s="33" t="n">
        <x:v>-0.036981229550542505</x:v>
      </x:c>
      <x:c r="J16" s="27" t="n">
        <x:f>ROUND(E16-F16,1)</x:f>
        <x:v>192.4</x:v>
      </x:c>
      <x:c r="K16" s="31" t="str">
        <x:v>IF2609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4530</x:v>
      </x:c>
      <x:c r="E17" s="22" t="n">
        <x:v>4590</x:v>
      </x:c>
      <x:c r="F17" s="22" t="n">
        <x:v>4465</x:v>
      </x:c>
      <x:c r="G17" s="22" t="n">
        <x:v>4545.8</x:v>
      </x:c>
      <x:c r="H17" s="22" t="n">
        <x:v>72</x:v>
      </x:c>
      <x:c r="I17" s="23" t="n">
        <x:v>0.016093701104206604</x:v>
      </x:c>
      <x:c r="J17" s="27" t="n">
        <x:f>ROUND(E17-F17,1)</x:f>
        <x:v>125</x:v>
      </x:c>
      <x:c r="K17" s="21" t="str">
        <x:v>IF2609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4563.8</x:v>
      </x:c>
      <x:c r="E18" s="22" t="n">
        <x:v>4673.8</x:v>
      </x:c>
      <x:c r="F18" s="22" t="n">
        <x:v>4524.4</x:v>
      </x:c>
      <x:c r="G18" s="22" t="n">
        <x:v>4662.4</x:v>
      </x:c>
      <x:c r="H18" s="22" t="n">
        <x:v>116.6</x:v>
      </x:c>
      <x:c r="I18" s="23" t="n">
        <x:v>0.02565005059615455</x:v>
      </x:c>
      <x:c r="J18" s="27" t="n">
        <x:f>ROUND(E18-F18,1)</x:f>
        <x:v>149.4</x:v>
      </x:c>
      <x:c r="K18" s="21" t="str">
        <x:v>IF2609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1600.6000000000001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106.7</x:v>
      </x:c>
      <x:c r="K22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2855</x:v>
      </x:c>
      <x:c r="E16" s="32" t="n">
        <x:v>2864.8</x:v>
      </x:c>
      <x:c r="F16" s="32" t="n">
        <x:v>2782.6</x:v>
      </x:c>
      <x:c r="G16" s="32" t="n">
        <x:v>2796.4</x:v>
      </x:c>
      <x:c r="H16" s="32" t="n">
        <x:v>-71.4</x:v>
      </x:c>
      <x:c r="I16" s="33" t="n">
        <x:v>-0.024897133691331397</x:v>
      </x:c>
      <x:c r="J16" s="27" t="n">
        <x:f>ROUND(E16-F16,1)</x:f>
        <x:v>82.2</x:v>
      </x:c>
      <x:c r="K16" s="31" t="str">
        <x:v>IH2609</x:v>
      </x:c>
    </x:row>
    <x:row r="17">
      <x:c r="A17" s="21" t="n">
        <x:v>14</x:v>
      </x:c>
      <x:c r="B17" s="21" t="str">
        <x:v>周一</x:v>
      </x:c>
      <x:c r="C17" s="21" t="str">
        <x:v>7月20日</x:v>
      </x:c>
      <x:c r="D17" s="22" t="n">
        <x:v>2820</x:v>
      </x:c>
      <x:c r="E17" s="22" t="n">
        <x:v>2884.6</x:v>
      </x:c>
      <x:c r="F17" s="22" t="n">
        <x:v>2820</x:v>
      </x:c>
      <x:c r="G17" s="22" t="n">
        <x:v>2874</x:v>
      </x:c>
      <x:c r="H17" s="22" t="n">
        <x:v>77.6</x:v>
      </x:c>
      <x:c r="I17" s="23" t="n">
        <x:v>0.027749964239736746</x:v>
      </x:c>
      <x:c r="J17" s="27" t="n">
        <x:f>ROUND(E17-F17,1)</x:f>
        <x:v>64.6</x:v>
      </x:c>
      <x:c r="K17" s="21" t="str">
        <x:v>IH2609</x:v>
      </x:c>
    </x:row>
    <x:row r="18">
      <x:c r="A18" s="21" t="n">
        <x:v>15</x:v>
      </x:c>
      <x:c r="B18" s="21" t="str">
        <x:v>周二</x:v>
      </x:c>
      <x:c r="C18" s="21" t="str">
        <x:v>7月21日</x:v>
      </x:c>
      <x:c r="D18" s="22" t="n">
        <x:v>2896</x:v>
      </x:c>
      <x:c r="E18" s="22" t="n">
        <x:v>2933</x:v>
      </x:c>
      <x:c r="F18" s="22" t="n">
        <x:v>2875.2</x:v>
      </x:c>
      <x:c r="G18" s="22" t="n">
        <x:v>2923.6</x:v>
      </x:c>
      <x:c r="H18" s="22" t="n">
        <x:v>49.6</x:v>
      </x:c>
      <x:c r="I18" s="23" t="n">
        <x:v>0.017258176757132926</x:v>
      </x:c>
      <x:c r="J18" s="22" t="n">
        <x:f>ROUND(E18-F18,1)</x:f>
        <x:v>57.8</x:v>
      </x:c>
      <x:c r="K18" s="21" t="str">
        <x:v>IH2609</x:v>
      </x:c>
    </x:row>
    <x:row r="21">
      <x:c r="A21" s="38" t="str">
        <x:v>合计</x:v>
      </x:c>
      <x:c r="B21" s="39" t="n">
        <x:v>15</x:v>
      </x:c>
      <x:c r="C21" s="39"/>
      <x:c r="D21" s="39"/>
      <x:c r="E21" s="39"/>
      <x:c r="F21" s="39"/>
      <x:c r="G21" s="39"/>
      <x:c r="H21" s="39"/>
      <x:c r="I21" s="39"/>
      <x:c r="J21" s="40" t="n">
        <x:f>SUM(J4:J18)</x:f>
        <x:v>853.6</x:v>
      </x:c>
      <x:c r="K21" s="39"/>
    </x:row>
    <x:row r="22">
      <x:c r="A22" s="38" t="str">
        <x:v>均值</x:v>
      </x:c>
      <x:c r="B22" s="39"/>
      <x:c r="C22" s="39"/>
      <x:c r="D22" s="39"/>
      <x:c r="E22" s="39"/>
      <x:c r="F22" s="39"/>
      <x:c r="G22" s="39"/>
      <x:c r="H22" s="39"/>
      <x:c r="I22" s="39"/>
      <x:c r="J22" s="42" t="n">
        <x:f>ROUND(IFERROR(AVERAGE(J4:J18),0),1)</x:f>
        <x:v>56.9</x:v>
      </x:c>
      <x:c r="K22" s="39"/>
    </x:row>
  </x:sheetData>
  <x:mergeCells>
    <x:mergeCell ref="A1:K1"/>
  </x:mergeCells>
  <x:pageMargins left="0.7" right="0.7" top="0.75" bottom="0.75" header="0.3" footer="0.3"/>
</x:worksheet>
</file>