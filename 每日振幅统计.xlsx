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915620ba9340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a5b12bc46554601"/>
    <x:sheet xmlns:r="http://schemas.openxmlformats.org/officeDocument/2006/relationships" name="周振幅统计" sheetId="2" r:id="R8d30350ffba349b6"/>
    <x:sheet xmlns:r="http://schemas.openxmlformats.org/officeDocument/2006/relationships" name="中证1000" sheetId="3" r:id="Rdbb833f7578b4100"/>
    <x:sheet xmlns:r="http://schemas.openxmlformats.org/officeDocument/2006/relationships" name="中证500" sheetId="4" r:id="Red5998c2fdfb4abf"/>
    <x:sheet xmlns:r="http://schemas.openxmlformats.org/officeDocument/2006/relationships" name="上证指数" sheetId="5" r:id="Rfb3ba3911ec048e9"/>
    <x:sheet xmlns:r="http://schemas.openxmlformats.org/officeDocument/2006/relationships" name="IM主力" sheetId="6" r:id="R207a5e7b00654af1"/>
    <x:sheet xmlns:r="http://schemas.openxmlformats.org/officeDocument/2006/relationships" name="IC主力" sheetId="7" r:id="Rb656bc74e13943f4"/>
    <x:sheet xmlns:r="http://schemas.openxmlformats.org/officeDocument/2006/relationships" name="IF主力" sheetId="8" r:id="R15a291394f8f4ea6"/>
    <x:sheet xmlns:r="http://schemas.openxmlformats.org/officeDocument/2006/relationships" name="IH主力" sheetId="9" r:id="Ra08391cdf3be40c2"/>
    <x:sheet xmlns:r="http://schemas.openxmlformats.org/officeDocument/2006/relationships" name="碳酸锂2609" sheetId="10" r:id="Rfb9112c03ccd47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ddaa03abaa45b0" /><Relationship Type="http://schemas.openxmlformats.org/officeDocument/2006/relationships/theme" Target="/xl/theme/theme1.xml" Id="Re73dbe2e457044ae" /><Relationship Type="http://schemas.openxmlformats.org/officeDocument/2006/relationships/sharedStrings" Target="/xl/sharedStrings.xml" Id="R1ae914933ff142d1" /><Relationship Type="http://schemas.openxmlformats.org/officeDocument/2006/relationships/worksheet" Target="/xl/worksheets/sheet1.xml" Id="R4a5b12bc46554601" /><Relationship Type="http://schemas.openxmlformats.org/officeDocument/2006/relationships/worksheet" Target="/xl/worksheets/sheet2.xml" Id="R8d30350ffba349b6" /><Relationship Type="http://schemas.openxmlformats.org/officeDocument/2006/relationships/worksheet" Target="/xl/worksheets/sheet3.xml" Id="Rdbb833f7578b4100" /><Relationship Type="http://schemas.openxmlformats.org/officeDocument/2006/relationships/worksheet" Target="/xl/worksheets/sheet4.xml" Id="Red5998c2fdfb4abf" /><Relationship Type="http://schemas.openxmlformats.org/officeDocument/2006/relationships/worksheet" Target="/xl/worksheets/sheet5.xml" Id="Rfb3ba3911ec048e9" /><Relationship Type="http://schemas.openxmlformats.org/officeDocument/2006/relationships/worksheet" Target="/xl/worksheets/sheet6.xml" Id="R207a5e7b00654af1" /><Relationship Type="http://schemas.openxmlformats.org/officeDocument/2006/relationships/worksheet" Target="/xl/worksheets/sheet7.xml" Id="Rb656bc74e13943f4" /><Relationship Type="http://schemas.openxmlformats.org/officeDocument/2006/relationships/worksheet" Target="/xl/worksheets/sheet8.xml" Id="R15a291394f8f4ea6" /><Relationship Type="http://schemas.openxmlformats.org/officeDocument/2006/relationships/worksheet" Target="/xl/worksheets/sheet9.xml" Id="Ra08391cdf3be40c2" /><Relationship Type="http://schemas.openxmlformats.org/officeDocument/2006/relationships/worksheet" Target="/xl/worksheets/sheet10.xml" Id="Rfb9112c03ccd47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2026-08-20</x:v>
      </x:c>
      <x:c r="C4" s="10" t="n">
        <x:v>7656.61</x:v>
      </x:c>
      <x:c r="D4" s="10" t="n">
        <x:v>7541.48</x:v>
      </x:c>
      <x:c r="E4" s="12" t="n">
        <x:v>115.1</x:v>
      </x:c>
      <x:c r="F4" s="9" t="n">
        <x:v>14</x:v>
      </x:c>
      <x:c r="G4" s="10" t="n">
        <x:v>2385.7</x:v>
      </x:c>
      <x:c r="H4" s="10" t="n">
        <x:v>170.4</x:v>
      </x:c>
      <x:c r="I4" s="10" t="n">
        <x:v>180</x:v>
      </x:c>
    </x:row>
    <x:row r="5">
      <x:c r="A5" s="9" t="str">
        <x:v>中证500</x:v>
      </x:c>
      <x:c r="B5" s="9" t="str">
        <x:v>2026-08-20</x:v>
      </x:c>
      <x:c r="C5" s="10" t="n">
        <x:v>7923.91</x:v>
      </x:c>
      <x:c r="D5" s="10" t="n">
        <x:v>7796.28</x:v>
      </x:c>
      <x:c r="E5" s="12" t="n">
        <x:v>127.6</x:v>
      </x:c>
      <x:c r="F5" s="9" t="n">
        <x:v>14</x:v>
      </x:c>
      <x:c r="G5" s="10" t="n">
        <x:v>2329.4</x:v>
      </x:c>
      <x:c r="H5" s="10" t="n">
        <x:v>166.4</x:v>
      </x:c>
      <x:c r="I5" s="10" t="n">
        <x:v>160</x:v>
      </x:c>
    </x:row>
    <x:row r="6">
      <x:c r="A6" s="9" t="str">
        <x:v>上证指数</x:v>
      </x:c>
      <x:c r="B6" s="9" t="str">
        <x:v>2026-08-20</x:v>
      </x:c>
      <x:c r="C6" s="10" t="n">
        <x:v>3925.06</x:v>
      </x:c>
      <x:c r="D6" s="10" t="n">
        <x:v>3888.1</x:v>
      </x:c>
      <x:c r="E6" s="12" t="n">
        <x:v>37</x:v>
      </x:c>
      <x:c r="F6" s="9" t="n">
        <x:v>14</x:v>
      </x:c>
      <x:c r="G6" s="10" t="n">
        <x:v>601.6</x:v>
      </x:c>
      <x:c r="H6" s="10" t="n">
        <x:v>43</x:v>
      </x:c>
      <x:c r="I6" s="10" t="n">
        <x:v>50</x:v>
      </x:c>
    </x:row>
    <x:row r="7">
      <x:c r="A7" s="9" t="str">
        <x:v>IM主力</x:v>
      </x:c>
      <x:c r="B7" s="9" t="str">
        <x:v>2026-08-19</x:v>
      </x:c>
      <x:c r="C7" s="10" t="n">
        <x:v>7734.6</x:v>
      </x:c>
      <x:c r="D7" s="10" t="n">
        <x:v>7430</x:v>
      </x:c>
      <x:c r="E7" s="12" t="n">
        <x:v>304.6</x:v>
      </x:c>
      <x:c r="F7" s="9" t="n">
        <x:v>13</x:v>
      </x:c>
      <x:c r="G7" s="10" t="n">
        <x:v>2231</x:v>
      </x:c>
      <x:c r="H7" s="10" t="n">
        <x:v>171.6</x:v>
      </x:c>
      <x:c r="I7" s="10" t="n">
        <x:v>190</x:v>
      </x:c>
    </x:row>
    <x:row r="8">
      <x:c r="A8" s="9" t="str">
        <x:v>IC主力</x:v>
      </x:c>
      <x:c r="B8" s="9" t="str">
        <x:v>2026-08-20</x:v>
      </x:c>
      <x:c r="C8" s="10" t="n">
        <x:v>7811</x:v>
      </x:c>
      <x:c r="D8" s="10" t="n">
        <x:v>7713</x:v>
      </x:c>
      <x:c r="E8" s="12" t="n">
        <x:v>98</x:v>
      </x:c>
      <x:c r="F8" s="9" t="n">
        <x:v>14</x:v>
      </x:c>
      <x:c r="G8" s="10" t="n">
        <x:v>2307</x:v>
      </x:c>
      <x:c r="H8" s="10" t="n">
        <x:v>164.8</x:v>
      </x:c>
      <x:c r="I8" s="10" t="n">
        <x:v>150</x:v>
      </x:c>
    </x:row>
    <x:row r="9">
      <x:c r="A9" s="9" t="str">
        <x:v>IF主力</x:v>
      </x:c>
      <x:c r="B9" s="9" t="str">
        <x:v>2026-08-20</x:v>
      </x:c>
      <x:c r="C9" s="10" t="n">
        <x:v>4585</x:v>
      </x:c>
      <x:c r="D9" s="10" t="n">
        <x:v>4532.4</x:v>
      </x:c>
      <x:c r="E9" s="12" t="n">
        <x:v>52.6</x:v>
      </x:c>
      <x:c r="F9" s="9" t="n">
        <x:v>14</x:v>
      </x:c>
      <x:c r="G9" s="10" t="n">
        <x:v>860.6</x:v>
      </x:c>
      <x:c r="H9" s="10" t="n">
        <x:v>61.5</x:v>
      </x:c>
      <x:c r="I9" s="10" t="n">
        <x:v>90</x:v>
      </x:c>
    </x:row>
    <x:row r="10">
      <x:c r="A10" s="9" t="str">
        <x:v>IH主力</x:v>
      </x:c>
      <x:c r="B10" s="9" t="str">
        <x:v>2026-08-19</x:v>
      </x:c>
      <x:c r="C10" s="10" t="n">
        <x:v>2892.8</x:v>
      </x:c>
      <x:c r="D10" s="10" t="n">
        <x:v>2843</x:v>
      </x:c>
      <x:c r="E10" s="12" t="n">
        <x:v>49.8</x:v>
      </x:c>
      <x:c r="F10" s="9" t="n">
        <x:v>13</x:v>
      </x:c>
      <x:c r="G10" s="10" t="n">
        <x:v>450</x:v>
      </x:c>
      <x:c r="H10" s="10" t="n">
        <x:v>34.6</x:v>
      </x:c>
      <x:c r="I10" s="10" t="n">
        <x:v>60</x:v>
      </x:c>
    </x:row>
    <x:row r="11">
      <x:c r="A11" s="9" t="str">
        <x:v>碳酸锂2609</x:v>
      </x:c>
      <x:c r="B11" s="9" t="str">
        <x:v>2026-08-20</x:v>
      </x:c>
      <x:c r="C11" s="10" t="n">
        <x:v>152600</x:v>
      </x:c>
      <x:c r="D11" s="10" t="n">
        <x:v>149800</x:v>
      </x:c>
      <x:c r="E11" s="12" t="n">
        <x:v>2800</x:v>
      </x:c>
      <x:c r="F11" s="9" t="n">
        <x:v>14</x:v>
      </x:c>
      <x:c r="G11" s="10" t="n">
        <x:v>67120</x:v>
      </x:c>
      <x:c r="H11" s="10" t="n">
        <x:v>4794.3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8月17日-8月20日</x:v>
      </x:c>
      <x:c r="C7" s="23" t="n">
        <x:v>7797.18</x:v>
      </x:c>
      <x:c r="D7" s="23" t="n">
        <x:v>7995.5</x:v>
      </x:c>
      <x:c r="E7" s="23" t="n">
        <x:v>7490.21</x:v>
      </x:c>
      <x:c r="F7" s="23" t="n">
        <x:v>7589.78</x:v>
      </x:c>
      <x:c r="G7" s="28" t="n">
        <x:f>ROUND(F7-F6,1)</x:f>
        <x:v>-180</x:v>
      </x:c>
      <x:c r="H7" s="24" t="n">
        <x:f>IFERROR(F7/F6-1,"")</x:f>
        <x:v>-0.023171707967494792</x:v>
      </x:c>
      <x:c r="I7" s="26" t="n">
        <x:f>ROUND(D7-E7,1)</x:f>
        <x:v>505.3</x:v>
      </x:c>
      <x:c r="J7" s="22" t="str">
        <x:v>中证1000</x:v>
      </x:c>
      <x:c r="K7" s="22" t="n">
        <x:v>4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1406.6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468.9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8月17日-8月20日</x:v>
      </x:c>
      <x:c r="C15" s="23" t="n">
        <x:v>8007.87</x:v>
      </x:c>
      <x:c r="D15" s="23" t="n">
        <x:v>8211.31</x:v>
      </x:c>
      <x:c r="E15" s="23" t="n">
        <x:v>7762.29</x:v>
      </x:c>
      <x:c r="F15" s="23" t="n">
        <x:v>7850.4</x:v>
      </x:c>
      <x:c r="G15" s="23" t="n">
        <x:f>ROUND(F15-F14,1)</x:f>
        <x:v>-139.9</x:v>
      </x:c>
      <x:c r="H15" s="24" t="n">
        <x:f>IFERROR(F15/F14-1,"")</x:f>
        <x:v>-0.01751241813542126</x:v>
      </x:c>
      <x:c r="I15" s="26" t="n">
        <x:f>ROUND(D15-E15,1)</x:f>
        <x:v>449</x:v>
      </x:c>
      <x:c r="J15" s="22" t="str">
        <x:v>中证500</x:v>
      </x:c>
      <x:c r="K15" s="22" t="n">
        <x:v>4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1279.3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426.4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8月17日-8月20日</x:v>
      </x:c>
      <x:c r="C23" s="23" t="n">
        <x:v>3930.1</x:v>
      </x:c>
      <x:c r="D23" s="23" t="n">
        <x:v>3994.18</x:v>
      </x:c>
      <x:c r="E23" s="23" t="n">
        <x:v>3879.58</x:v>
      </x:c>
      <x:c r="F23" s="23" t="n">
        <x:v>3903.72</x:v>
      </x:c>
      <x:c r="G23" s="23" t="n">
        <x:f>ROUND(F23-F22,1)</x:f>
        <x:v>-23.5</x:v>
      </x:c>
      <x:c r="H23" s="24" t="n">
        <x:f>IFERROR(F23/F22-1,"")</x:f>
        <x:v>-0.005973752158037082</x:v>
      </x:c>
      <x:c r="I23" s="26" t="n">
        <x:f>ROUND(D23-E23,1)</x:f>
        <x:v>114.6</x:v>
      </x:c>
      <x:c r="J23" s="22" t="str">
        <x:v>上证指数</x:v>
      </x:c>
      <x:c r="K23" s="22" t="n">
        <x:v>4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322.7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107.6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8月17日-8月19日</x:v>
      </x:c>
      <x:c r="C31" s="23" t="n">
        <x:v>7675</x:v>
      </x:c>
      <x:c r="D31" s="23" t="n">
        <x:v>7882.8</x:v>
      </x:c>
      <x:c r="E31" s="23" t="n">
        <x:v>7430</x:v>
      </x:c>
      <x:c r="F31" s="23" t="n">
        <x:v>7468.8</x:v>
      </x:c>
      <x:c r="G31" s="28" t="n">
        <x:f>ROUND(F31-F30,1)</x:f>
        <x:v>-181.4</x:v>
      </x:c>
      <x:c r="H31" s="24" t="n">
        <x:f>IFERROR(F31/F30-1,"")</x:f>
        <x:v>-0.023711798384355887</x:v>
      </x:c>
      <x:c r="I31" s="26" t="n">
        <x:f>ROUND(D31-E31,1)</x:f>
        <x:v>452.8</x:v>
      </x:c>
      <x:c r="J31" s="22" t="str">
        <x:v>IM2609</x:v>
      </x:c>
      <x:c r="K31" s="22" t="n">
        <x:v>3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1322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440.7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8月3日-8月7日</x:v>
      </x:c>
      <x:c r="C37" s="23" t="n">
        <x:v>7391</x:v>
      </x:c>
      <x:c r="D37" s="23" t="n">
        <x:v>7882.6</x:v>
      </x:c>
      <x:c r="E37" s="23" t="n">
        <x:v>7335</x:v>
      </x:c>
      <x:c r="F37" s="23" t="n">
        <x:v>7877.8</x:v>
      </x:c>
      <x:c r="G37" s="23"/>
      <x:c r="H37" s="24"/>
      <x:c r="I37" s="26" t="n">
        <x:f>ROUND(D37-E37,1)</x:f>
        <x:v>547.6</x:v>
      </x:c>
      <x:c r="J37" s="22" t="str">
        <x:v>IC2609</x:v>
      </x:c>
      <x:c r="K37" s="22" t="n">
        <x:v>5</x:v>
      </x:c>
    </x:row>
    <x:row r="38">
      <x:c r="A38" s="22" t="n">
        <x:v>2</x:v>
      </x:c>
      <x:c r="B38" s="22" t="str">
        <x:v>8月10日-8月14日</x:v>
      </x:c>
      <x:c r="C38" s="23" t="n">
        <x:v>7888</x:v>
      </x:c>
      <x:c r="D38" s="23" t="n">
        <x:v>8024</x:v>
      </x:c>
      <x:c r="E38" s="23" t="n">
        <x:v>7795.8</x:v>
      </x:c>
      <x:c r="F38" s="23" t="n">
        <x:v>7861.2</x:v>
      </x:c>
      <x:c r="G38" s="23" t="n">
        <x:f>ROUND(F38-F37,1)</x:f>
        <x:v>-16.6</x:v>
      </x:c>
      <x:c r="H38" s="24" t="n">
        <x:f>IFERROR(F38/F37-1,"")</x:f>
        <x:v>-0.0021071872857905127</x:v>
      </x:c>
      <x:c r="I38" s="26" t="n">
        <x:f>ROUND(D38-E38,1)</x:f>
        <x:v>228.2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8月17日-8月20日</x:v>
      </x:c>
      <x:c r="C39" s="23" t="n">
        <x:v>7885</x:v>
      </x:c>
      <x:c r="D39" s="23" t="n">
        <x:v>8091.8</x:v>
      </x:c>
      <x:c r="E39" s="23" t="n">
        <x:v>7680.2</x:v>
      </x:c>
      <x:c r="F39" s="23" t="n">
        <x:v>7761</x:v>
      </x:c>
      <x:c r="G39" s="23" t="n">
        <x:f>ROUND(F39-F38,1)</x:f>
        <x:v>-100.2</x:v>
      </x:c>
      <x:c r="H39" s="24" t="n">
        <x:f>IFERROR(F39/F38-1,"")</x:f>
        <x:v>-0.012746145626621908</x:v>
      </x:c>
      <x:c r="I39" s="26" t="n">
        <x:f>ROUND(D39-E39,1)</x:f>
        <x:v>411.6</x:v>
      </x:c>
      <x:c r="J39" s="22" t="str">
        <x:v>IC2609</x:v>
      </x:c>
      <x:c r="K39" s="22" t="n">
        <x:v>4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1187.4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395.8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4526.4</x:v>
      </x:c>
      <x:c r="D45" s="23" t="n">
        <x:v>4656.2</x:v>
      </x:c>
      <x:c r="E45" s="23" t="n">
        <x:v>4494.2</x:v>
      </x:c>
      <x:c r="F45" s="23" t="n">
        <x:v>4645.6</x:v>
      </x:c>
      <x:c r="G45" s="23"/>
      <x:c r="H45" s="24"/>
      <x:c r="I45" s="26" t="n">
        <x:f>ROUND(D45-E45,1)</x:f>
        <x:v>162</x:v>
      </x:c>
      <x:c r="J45" s="22" t="str">
        <x:v>IF2609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4656.8</x:v>
      </x:c>
      <x:c r="D46" s="23" t="n">
        <x:v>4681</x:v>
      </x:c>
      <x:c r="E46" s="23" t="n">
        <x:v>4598</x:v>
      </x:c>
      <x:c r="F46" s="23" t="n">
        <x:v>4620.4</x:v>
      </x:c>
      <x:c r="G46" s="23" t="n">
        <x:f>ROUND(F46-F45,1)</x:f>
        <x:v>-25.2</x:v>
      </x:c>
      <x:c r="H46" s="24" t="n">
        <x:f>IFERROR(F46/F45-1,"")</x:f>
        <x:v>-0.005424487687274104</x:v>
      </x:c>
      <x:c r="I46" s="23" t="n">
        <x:f>ROUND(D46-E46,1)</x:f>
        <x:v>83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8月17日-8月20日</x:v>
      </x:c>
      <x:c r="C47" s="23" t="n">
        <x:v>4624</x:v>
      </x:c>
      <x:c r="D47" s="23" t="n">
        <x:v>4700.6</x:v>
      </x:c>
      <x:c r="E47" s="23" t="n">
        <x:v>4531.8</x:v>
      </x:c>
      <x:c r="F47" s="23" t="n">
        <x:v>4554</x:v>
      </x:c>
      <x:c r="G47" s="23" t="n">
        <x:f>ROUND(F47-F46,1)</x:f>
        <x:v>-66.4</x:v>
      </x:c>
      <x:c r="H47" s="24" t="n">
        <x:f>IFERROR(F47/F46-1,"")</x:f>
        <x:v>-0.014371050125530194</x:v>
      </x:c>
      <x:c r="I47" s="26" t="n">
        <x:f>ROUND(D47-E47,1)</x:f>
        <x:v>168.8</x:v>
      </x:c>
      <x:c r="J47" s="22" t="str">
        <x:v>IF2609</x:v>
      </x:c>
      <x:c r="K47" s="22" t="n">
        <x:v>4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413.8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137.9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2882.4</x:v>
      </x:c>
      <x:c r="D53" s="23" t="n">
        <x:v>2930.6</x:v>
      </x:c>
      <x:c r="E53" s="23" t="n">
        <x:v>2845.8</x:v>
      </x:c>
      <x:c r="F53" s="23" t="n">
        <x:v>2930</x:v>
      </x:c>
      <x:c r="G53" s="23"/>
      <x:c r="H53" s="24"/>
      <x:c r="I53" s="26" t="n">
        <x:f>ROUND(D53-E53,1)</x:f>
        <x:v>84.8</x:v>
      </x:c>
      <x:c r="J53" s="22" t="str">
        <x:v>IH2609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2930</x:v>
      </x:c>
      <x:c r="D54" s="23" t="n">
        <x:v>2949.6</x:v>
      </x:c>
      <x:c r="E54" s="23" t="n">
        <x:v>2877</x:v>
      </x:c>
      <x:c r="F54" s="23" t="n">
        <x:v>2890</x:v>
      </x:c>
      <x:c r="G54" s="23" t="n">
        <x:f>ROUND(F54-F53,1)</x:f>
        <x:v>-40</x:v>
      </x:c>
      <x:c r="H54" s="24" t="n">
        <x:f>IFERROR(F54/F53-1,"")</x:f>
        <x:v>-0.013651877133105783</x:v>
      </x:c>
      <x:c r="I54" s="26" t="n">
        <x:f>ROUND(D54-E54,1)</x:f>
        <x:v>72.6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8月17日-8月19日</x:v>
      </x:c>
      <x:c r="C55" s="23" t="n">
        <x:v>2886</x:v>
      </x:c>
      <x:c r="D55" s="23" t="n">
        <x:v>2921.2</x:v>
      </x:c>
      <x:c r="E55" s="23" t="n">
        <x:v>2843</x:v>
      </x:c>
      <x:c r="F55" s="23" t="n">
        <x:v>2865</x:v>
      </x:c>
      <x:c r="G55" s="23" t="n">
        <x:f>ROUND(F55-F54,1)</x:f>
        <x:v>-25</x:v>
      </x:c>
      <x:c r="H55" s="24" t="n">
        <x:f>IFERROR(F55/F54-1,"")</x:f>
        <x:v>-0.00865051903114189</x:v>
      </x:c>
      <x:c r="I55" s="26" t="n">
        <x:f>ROUND(D55-E55,1)</x:f>
        <x:v>78.2</x:v>
      </x:c>
      <x:c r="J55" s="22" t="str">
        <x:v>IH2609</x:v>
      </x:c>
      <x:c r="K55" s="22" t="n">
        <x:v>3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235.6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78.5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8月3日-8月7日</x:v>
      </x:c>
      <x:c r="C61" s="23" t="n">
        <x:v>137500</x:v>
      </x:c>
      <x:c r="D61" s="23" t="n">
        <x:v>144800</x:v>
      </x:c>
      <x:c r="E61" s="23" t="n">
        <x:v>135560</x:v>
      </x:c>
      <x:c r="F61" s="23" t="n">
        <x:v>140000</x:v>
      </x:c>
      <x:c r="G61" s="23"/>
      <x:c r="H61" s="24"/>
      <x:c r="I61" s="26" t="n">
        <x:f>ROUND(D61-E61,1)</x:f>
        <x:v>9240</x:v>
      </x:c>
      <x:c r="J61" s="22" t="str">
        <x:v>LC2609</x:v>
      </x:c>
      <x:c r="K61" s="22" t="n">
        <x:v>5</x:v>
      </x:c>
    </x:row>
    <x:row r="62">
      <x:c r="A62" s="22" t="n">
        <x:v>2</x:v>
      </x:c>
      <x:c r="B62" s="22" t="str">
        <x:v>8月10日-8月14日</x:v>
      </x:c>
      <x:c r="C62" s="23" t="n">
        <x:v>140500</x:v>
      </x:c>
      <x:c r="D62" s="23" t="n">
        <x:v>154500</x:v>
      </x:c>
      <x:c r="E62" s="23" t="n">
        <x:v>139280</x:v>
      </x:c>
      <x:c r="F62" s="23" t="n">
        <x:v>153940</x:v>
      </x:c>
      <x:c r="G62" s="28" t="n">
        <x:f>ROUND(F62-F61,1)</x:f>
        <x:v>13940</x:v>
      </x:c>
      <x:c r="H62" s="24" t="n">
        <x:f>IFERROR(F62/F61-1,"")</x:f>
        <x:v>0.09957142857142864</x:v>
      </x:c>
      <x:c r="I62" s="26" t="n">
        <x:f>ROUND(D62-E62,1)</x:f>
        <x:v>15220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8月17日-8月20日</x:v>
      </x:c>
      <x:c r="C63" s="23" t="n">
        <x:v>154300</x:v>
      </x:c>
      <x:c r="D63" s="23" t="n">
        <x:v>155980</x:v>
      </x:c>
      <x:c r="E63" s="23" t="n">
        <x:v>148400</x:v>
      </x:c>
      <x:c r="F63" s="23" t="n">
        <x:v>151500</x:v>
      </x:c>
      <x:c r="G63" s="28" t="n">
        <x:f>ROUND(F63-F62,1)</x:f>
        <x:v>-2440</x:v>
      </x:c>
      <x:c r="H63" s="24" t="n">
        <x:f>IFERROR(F63/F62-1,"")</x:f>
        <x:v>-0.01585033129790825</x:v>
      </x:c>
      <x:c r="I63" s="26" t="n">
        <x:f>ROUND(D63-E63,1)</x:f>
        <x:v>7580</x:v>
      </x:c>
      <x:c r="J63" s="22" t="str">
        <x:v>LC2609</x:v>
      </x:c>
      <x:c r="K63" s="22" t="n">
        <x:v>4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32040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10680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2385.7000000000003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170.4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2329.4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166.4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601.6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43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2231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171.6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2307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164.8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860.6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61.5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450.00000000000006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34.6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67120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4794.3</x:v>
      </x:c>
      <x:c r="K21" s="30"/>
    </x:row>
  </x:sheetData>
  <x:mergeCells>
    <x:mergeCell ref="A1:K1"/>
  </x:mergeCells>
  <x:pageMargins left="0.7" right="0.7" top="0.75" bottom="0.75" header="0.3" footer="0.3"/>
</x:worksheet>
</file>