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01a0e94cea46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95fddeadd404999"/>
    <x:sheet xmlns:r="http://schemas.openxmlformats.org/officeDocument/2006/relationships" name="中证1000" sheetId="2" r:id="Re0b55415a2f849d0"/>
    <x:sheet xmlns:r="http://schemas.openxmlformats.org/officeDocument/2006/relationships" name="中证500" sheetId="3" r:id="Rbbbc0d8167664efc"/>
    <x:sheet xmlns:r="http://schemas.openxmlformats.org/officeDocument/2006/relationships" name="上证指数" sheetId="4" r:id="R91c32729d2df4353"/>
    <x:sheet xmlns:r="http://schemas.openxmlformats.org/officeDocument/2006/relationships" name="IM主力" sheetId="5" r:id="R7298744e8cd3401e"/>
    <x:sheet xmlns:r="http://schemas.openxmlformats.org/officeDocument/2006/relationships" name="IC主力" sheetId="6" r:id="Rfc6a73ef47c4453f"/>
    <x:sheet xmlns:r="http://schemas.openxmlformats.org/officeDocument/2006/relationships" name="IF主力" sheetId="7" r:id="Rccef4ad20afb4a23"/>
    <x:sheet xmlns:r="http://schemas.openxmlformats.org/officeDocument/2006/relationships" name="IH主力" sheetId="8" r:id="Rd929ab10a44147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b989274114ae4" /><Relationship Type="http://schemas.openxmlformats.org/officeDocument/2006/relationships/theme" Target="/xl/theme/theme1.xml" Id="R635703b3e1f94112" /><Relationship Type="http://schemas.openxmlformats.org/officeDocument/2006/relationships/sharedStrings" Target="/xl/sharedStrings.xml" Id="R56e60955b0684aa4" /><Relationship Type="http://schemas.openxmlformats.org/officeDocument/2006/relationships/worksheet" Target="/xl/worksheets/sheet1.xml" Id="R195fddeadd404999" /><Relationship Type="http://schemas.openxmlformats.org/officeDocument/2006/relationships/worksheet" Target="/xl/worksheets/sheet2.xml" Id="Re0b55415a2f849d0" /><Relationship Type="http://schemas.openxmlformats.org/officeDocument/2006/relationships/worksheet" Target="/xl/worksheets/sheet3.xml" Id="Rbbbc0d8167664efc" /><Relationship Type="http://schemas.openxmlformats.org/officeDocument/2006/relationships/worksheet" Target="/xl/worksheets/sheet4.xml" Id="R91c32729d2df4353" /><Relationship Type="http://schemas.openxmlformats.org/officeDocument/2006/relationships/worksheet" Target="/xl/worksheets/sheet5.xml" Id="R7298744e8cd3401e" /><Relationship Type="http://schemas.openxmlformats.org/officeDocument/2006/relationships/worksheet" Target="/xl/worksheets/sheet6.xml" Id="Rfc6a73ef47c4453f" /><Relationship Type="http://schemas.openxmlformats.org/officeDocument/2006/relationships/worksheet" Target="/xl/worksheets/sheet7.xml" Id="Rccef4ad20afb4a23" /><Relationship Type="http://schemas.openxmlformats.org/officeDocument/2006/relationships/worksheet" Target="/xl/worksheets/sheet8.xml" Id="Rd929ab10a44147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2026-07-23</x:v>
      </x:c>
      <x:c r="C4" s="10" t="n">
        <x:v>7247.141</x:v>
      </x:c>
      <x:c r="D4" s="10" t="n">
        <x:v>7113.498</x:v>
      </x:c>
      <x:c r="E4" s="12" t="n">
        <x:v>133.6</x:v>
      </x:c>
      <x:c r="F4" s="9" t="n">
        <x:v>17</x:v>
      </x:c>
      <x:c r="G4" s="10" t="n">
        <x:v>4764.2</x:v>
      </x:c>
      <x:c r="H4" s="10" t="n">
        <x:v>280.2</x:v>
      </x:c>
      <x:c r="I4" s="10" t="n">
        <x:v>180</x:v>
      </x:c>
    </x:row>
    <x:row r="5">
      <x:c r="A5" s="9" t="str">
        <x:v>中证500</x:v>
      </x:c>
      <x:c r="B5" s="9" t="str">
        <x:v>2026-07-23</x:v>
      </x:c>
      <x:c r="C5" s="10" t="n">
        <x:v>7795.35</x:v>
      </x:c>
      <x:c r="D5" s="10" t="n">
        <x:v>7658.999</x:v>
      </x:c>
      <x:c r="E5" s="12" t="n">
        <x:v>136.4</x:v>
      </x:c>
      <x:c r="F5" s="9" t="n">
        <x:v>17</x:v>
      </x:c>
      <x:c r="G5" s="10" t="n">
        <x:v>4789.3</x:v>
      </x:c>
      <x:c r="H5" s="10" t="n">
        <x:v>281.7</x:v>
      </x:c>
      <x:c r="I5" s="10" t="n">
        <x:v>160</x:v>
      </x:c>
    </x:row>
    <x:row r="6">
      <x:c r="A6" s="9" t="str">
        <x:v>上证指数</x:v>
      </x:c>
      <x:c r="B6" s="9" t="str">
        <x:v>2026-07-23</x:v>
      </x:c>
      <x:c r="C6" s="10" t="n">
        <x:v>3878.832</x:v>
      </x:c>
      <x:c r="D6" s="10" t="n">
        <x:v>3851.706</x:v>
      </x:c>
      <x:c r="E6" s="12" t="n">
        <x:v>27.1</x:v>
      </x:c>
      <x:c r="F6" s="9" t="n">
        <x:v>17</x:v>
      </x:c>
      <x:c r="G6" s="10" t="n">
        <x:v>1215.8</x:v>
      </x:c>
      <x:c r="H6" s="10" t="n">
        <x:v>71.5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16</x:v>
      </x:c>
      <x:c r="G7" s="10" t="n">
        <x:v>4472.6</x:v>
      </x:c>
      <x:c r="H7" s="10" t="n">
        <x:v>279.5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16</x:v>
      </x:c>
      <x:c r="G8" s="10" t="n">
        <x:v>4542.8</x:v>
      </x:c>
      <x:c r="H8" s="10" t="n">
        <x:v>283.9</x:v>
      </x:c>
      <x:c r="I8" s="10" t="n">
        <x:v>150</x:v>
      </x:c>
    </x:row>
    <x:row r="9">
      <x:c r="A9" s="9" t="str">
        <x:v>IF主力</x:v>
      </x:c>
      <x:c r="B9" s="9" t="str">
        <x:v>2026-07-22</x:v>
      </x:c>
      <x:c r="C9" s="10" t="n">
        <x:v>4707.8</x:v>
      </x:c>
      <x:c r="D9" s="10" t="n">
        <x:v>4634</x:v>
      </x:c>
      <x:c r="E9" s="12" t="n">
        <x:v>73.8</x:v>
      </x:c>
      <x:c r="F9" s="9" t="n">
        <x:v>16</x:v>
      </x:c>
      <x:c r="G9" s="10" t="n">
        <x:v>1674.4</x:v>
      </x:c>
      <x:c r="H9" s="10" t="n">
        <x:v>104.7</x:v>
      </x:c>
      <x:c r="I9" s="10" t="n">
        <x:v>90</x:v>
      </x:c>
    </x:row>
    <x:row r="10">
      <x:c r="A10" s="9" t="str">
        <x:v>IH主力</x:v>
      </x:c>
      <x:c r="B10" s="9" t="str">
        <x:v>2026-07-22</x:v>
      </x:c>
      <x:c r="C10" s="10" t="n">
        <x:v>2978</x:v>
      </x:c>
      <x:c r="D10" s="10" t="n">
        <x:v>2906</x:v>
      </x:c>
      <x:c r="E10" s="12" t="n">
        <x:v>72</x:v>
      </x:c>
      <x:c r="F10" s="9" t="n">
        <x:v>16</x:v>
      </x:c>
      <x:c r="G10" s="10" t="n">
        <x:v>925.6</x:v>
      </x:c>
      <x:c r="H10" s="10" t="n">
        <x:v>57.9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7196.863</x:v>
      </x:c>
      <x:c r="E19" s="22" t="n">
        <x:v>7302.454</x:v>
      </x:c>
      <x:c r="F19" s="22" t="n">
        <x:v>7118.66</x:v>
      </x:c>
      <x:c r="G19" s="22" t="n">
        <x:v>7158.762</x:v>
      </x:c>
      <x:c r="H19" s="22" t="n">
        <x:v>-101.1</x:v>
      </x:c>
      <x:c r="I19" s="23" t="n">
        <x:v>-0.01392602036705104</x:v>
      </x:c>
      <x:c r="J19" s="27" t="n">
        <x:f>ROUND(E19-F19,1)</x:f>
        <x:v>183.8</x:v>
      </x:c>
      <x:c r="K19" s="21" t="str">
        <x:v>中证1000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7169.543</x:v>
      </x:c>
      <x:c r="E20" s="22" t="n">
        <x:v>7247.141</x:v>
      </x:c>
      <x:c r="F20" s="22" t="n">
        <x:v>7113.498</x:v>
      </x:c>
      <x:c r="G20" s="22" t="n">
        <x:v>7195.5</x:v>
      </x:c>
      <x:c r="H20" s="22" t="n">
        <x:v>36.7</x:v>
      </x:c>
      <x:c r="I20" s="23" t="n">
        <x:v>0.0051318929166803695</x:v>
      </x:c>
      <x:c r="J20" s="22" t="n">
        <x:f>ROUND(E20-F20,1)</x:f>
        <x:v>133.6</x:v>
      </x:c>
      <x:c r="K20" s="21" t="str">
        <x:v>中证1000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4764.200000000001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280.2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7741.906</x:v>
      </x:c>
      <x:c r="E19" s="22" t="n">
        <x:v>7889.446</x:v>
      </x:c>
      <x:c r="F19" s="22" t="n">
        <x:v>7701.221</x:v>
      </x:c>
      <x:c r="G19" s="22" t="n">
        <x:v>7751.662</x:v>
      </x:c>
      <x:c r="H19" s="22" t="n">
        <x:v>-48.9</x:v>
      </x:c>
      <x:c r="I19" s="23" t="n">
        <x:v>-0.006274766495795392</x:v>
      </x:c>
      <x:c r="J19" s="27" t="n">
        <x:f>ROUND(E19-F19,1)</x:f>
        <x:v>188.2</x:v>
      </x:c>
      <x:c r="K19" s="21" t="str">
        <x:v>中证500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7750.852</x:v>
      </x:c>
      <x:c r="E20" s="22" t="n">
        <x:v>7795.35</x:v>
      </x:c>
      <x:c r="F20" s="22" t="n">
        <x:v>7658.999</x:v>
      </x:c>
      <x:c r="G20" s="22" t="n">
        <x:v>7734.31</x:v>
      </x:c>
      <x:c r="H20" s="22" t="n">
        <x:v>-17.4</x:v>
      </x:c>
      <x:c r="I20" s="23" t="n">
        <x:v>-0.0022384876946388577</x:v>
      </x:c>
      <x:c r="J20" s="22" t="n">
        <x:f>ROUND(E20-F20,1)</x:f>
        <x:v>136.4</x:v>
      </x:c>
      <x:c r="K20" s="21" t="str">
        <x:v>中证500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4789.299999999999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281.7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3839.665</x:v>
      </x:c>
      <x:c r="E19" s="22" t="n">
        <x:v>3884.435</x:v>
      </x:c>
      <x:c r="F19" s="22" t="n">
        <x:v>3839.665</x:v>
      </x:c>
      <x:c r="G19" s="22" t="n">
        <x:v>3867.034</x:v>
      </x:c>
      <x:c r="H19" s="22" t="n">
        <x:v>2.7</x:v>
      </x:c>
      <x:c r="I19" s="23" t="n">
        <x:v>0.0006901518411681629</x:v>
      </x:c>
      <x:c r="J19" s="22" t="n">
        <x:f>ROUND(E19-F19,1)</x:f>
        <x:v>44.8</x:v>
      </x:c>
      <x:c r="K19" s="21" t="str">
        <x:v>上证指数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3868.087</x:v>
      </x:c>
      <x:c r="E20" s="22" t="n">
        <x:v>3878.832</x:v>
      </x:c>
      <x:c r="F20" s="22" t="n">
        <x:v>3851.706</x:v>
      </x:c>
      <x:c r="G20" s="22" t="n">
        <x:v>3876.777</x:v>
      </x:c>
      <x:c r="H20" s="22" t="n">
        <x:v>9.7</x:v>
      </x:c>
      <x:c r="I20" s="23" t="n">
        <x:v>0.0025195020266177703</x:v>
      </x:c>
      <x:c r="J20" s="22" t="n">
        <x:f>ROUND(E20-F20,1)</x:f>
        <x:v>27.1</x:v>
      </x:c>
      <x:c r="K20" s="21" t="str">
        <x:v>上证指数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1215.7999999999997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71.5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7148</x:v>
      </x:c>
      <x:c r="E19" s="22" t="n">
        <x:v>7194.6</x:v>
      </x:c>
      <x:c r="F19" s="22" t="n">
        <x:v>6985.8</x:v>
      </x:c>
      <x:c r="G19" s="22" t="n">
        <x:v>7028.8</x:v>
      </x:c>
      <x:c r="H19" s="22" t="n">
        <x:v>-135.6</x:v>
      </x:c>
      <x:c r="I19" s="23" t="n">
        <x:v>-0.018926916420076934</x:v>
      </x:c>
      <x:c r="J19" s="27" t="n">
        <x:f>ROUND(E19-F19,1)</x:f>
        <x:v>208.8</x:v>
      </x:c>
      <x:c r="K19" s="21" t="str">
        <x:v>IM2609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4472.6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279.5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7674.8</x:v>
      </x:c>
      <x:c r="E19" s="22" t="n">
        <x:v>7765.6</x:v>
      </x:c>
      <x:c r="F19" s="22" t="n">
        <x:v>7583.8</x:v>
      </x:c>
      <x:c r="G19" s="22" t="n">
        <x:v>7611</x:v>
      </x:c>
      <x:c r="H19" s="22" t="n">
        <x:v>-74.8</x:v>
      </x:c>
      <x:c r="I19" s="23" t="n">
        <x:v>-0.009732233469515239</x:v>
      </x:c>
      <x:c r="J19" s="27" t="n">
        <x:f>ROUND(E19-F19,1)</x:f>
        <x:v>181.8</x:v>
      </x:c>
      <x:c r="K19" s="21" t="str">
        <x:v>IC2609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4542.8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283.9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4652</x:v>
      </x:c>
      <x:c r="E19" s="22" t="n">
        <x:v>4707.8</x:v>
      </x:c>
      <x:c r="F19" s="22" t="n">
        <x:v>4634</x:v>
      </x:c>
      <x:c r="G19" s="22" t="n">
        <x:v>4648</x:v>
      </x:c>
      <x:c r="H19" s="22" t="n">
        <x:v>-14.4</x:v>
      </x:c>
      <x:c r="I19" s="23" t="n">
        <x:v>-0.003088538091969739</x:v>
      </x:c>
      <x:c r="J19" s="22" t="n">
        <x:f>ROUND(E19-F19,1)</x:f>
        <x:v>73.8</x:v>
      </x:c>
      <x:c r="K19" s="21" t="str">
        <x:v>IF2609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1674.4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104.7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2906</x:v>
      </x:c>
      <x:c r="E19" s="22" t="n">
        <x:v>2978</x:v>
      </x:c>
      <x:c r="F19" s="22" t="n">
        <x:v>2906</x:v>
      </x:c>
      <x:c r="G19" s="22" t="n">
        <x:v>2946.2</x:v>
      </x:c>
      <x:c r="H19" s="22" t="n">
        <x:v>22.6</x:v>
      </x:c>
      <x:c r="I19" s="23" t="n">
        <x:v>0.007730195649199523</x:v>
      </x:c>
      <x:c r="J19" s="27" t="n">
        <x:f>ROUND(E19-F19,1)</x:f>
        <x:v>72</x:v>
      </x:c>
      <x:c r="K19" s="21" t="str">
        <x:v>IH2609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925.6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57.9</x:v>
      </x:c>
      <x:c r="K23" s="39"/>
    </x:row>
  </x:sheetData>
  <x:mergeCells>
    <x:mergeCell ref="A1:K1"/>
  </x:mergeCells>
  <x:pageMargins left="0.7" right="0.7" top="0.75" bottom="0.75" header="0.3" footer="0.3"/>
</x:worksheet>
</file>