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7d7b9dee1d42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eefbb8af0db4832"/>
    <x:sheet xmlns:r="http://schemas.openxmlformats.org/officeDocument/2006/relationships" name="周振幅统计" sheetId="2" r:id="Ra214988800514d64"/>
    <x:sheet xmlns:r="http://schemas.openxmlformats.org/officeDocument/2006/relationships" name="中证1000" sheetId="3" r:id="Rb64f1f4852254cf6"/>
    <x:sheet xmlns:r="http://schemas.openxmlformats.org/officeDocument/2006/relationships" name="中证500" sheetId="4" r:id="R4cfd520273514074"/>
    <x:sheet xmlns:r="http://schemas.openxmlformats.org/officeDocument/2006/relationships" name="上证指数" sheetId="5" r:id="R91ea1b9b801c4a1a"/>
    <x:sheet xmlns:r="http://schemas.openxmlformats.org/officeDocument/2006/relationships" name="IM主力" sheetId="6" r:id="Rec6a2ac136684ca4"/>
    <x:sheet xmlns:r="http://schemas.openxmlformats.org/officeDocument/2006/relationships" name="IC主力" sheetId="7" r:id="R8820b99811b94e28"/>
    <x:sheet xmlns:r="http://schemas.openxmlformats.org/officeDocument/2006/relationships" name="IF主力" sheetId="8" r:id="R6f5ef3ac4417458a"/>
    <x:sheet xmlns:r="http://schemas.openxmlformats.org/officeDocument/2006/relationships" name="IH主力" sheetId="9" r:id="R3586f63882574bb4"/>
    <x:sheet xmlns:r="http://schemas.openxmlformats.org/officeDocument/2006/relationships" name="碳酸锂2609" sheetId="10" r:id="R61f7afe4b5d14f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86e706b7f64aa9" /><Relationship Type="http://schemas.openxmlformats.org/officeDocument/2006/relationships/theme" Target="/xl/theme/theme1.xml" Id="R62538de81be74b99" /><Relationship Type="http://schemas.openxmlformats.org/officeDocument/2006/relationships/sharedStrings" Target="/xl/sharedStrings.xml" Id="Rffc75a52e3394391" /><Relationship Type="http://schemas.openxmlformats.org/officeDocument/2006/relationships/worksheet" Target="/xl/worksheets/sheet1.xml" Id="R5eefbb8af0db4832" /><Relationship Type="http://schemas.openxmlformats.org/officeDocument/2006/relationships/worksheet" Target="/xl/worksheets/sheet2.xml" Id="Ra214988800514d64" /><Relationship Type="http://schemas.openxmlformats.org/officeDocument/2006/relationships/worksheet" Target="/xl/worksheets/sheet3.xml" Id="Rb64f1f4852254cf6" /><Relationship Type="http://schemas.openxmlformats.org/officeDocument/2006/relationships/worksheet" Target="/xl/worksheets/sheet4.xml" Id="R4cfd520273514074" /><Relationship Type="http://schemas.openxmlformats.org/officeDocument/2006/relationships/worksheet" Target="/xl/worksheets/sheet5.xml" Id="R91ea1b9b801c4a1a" /><Relationship Type="http://schemas.openxmlformats.org/officeDocument/2006/relationships/worksheet" Target="/xl/worksheets/sheet6.xml" Id="Rec6a2ac136684ca4" /><Relationship Type="http://schemas.openxmlformats.org/officeDocument/2006/relationships/worksheet" Target="/xl/worksheets/sheet7.xml" Id="R8820b99811b94e28" /><Relationship Type="http://schemas.openxmlformats.org/officeDocument/2006/relationships/worksheet" Target="/xl/worksheets/sheet8.xml" Id="R6f5ef3ac4417458a" /><Relationship Type="http://schemas.openxmlformats.org/officeDocument/2006/relationships/worksheet" Target="/xl/worksheets/sheet9.xml" Id="R3586f63882574bb4" /><Relationship Type="http://schemas.openxmlformats.org/officeDocument/2006/relationships/worksheet" Target="/xl/worksheets/sheet10.xml" Id="R61f7afe4b5d14fe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2026-08-28</x:v>
      </x:c>
      <x:c r="C4" s="10" t="n">
        <x:v>7802.55</x:v>
      </x:c>
      <x:c r="D4" s="10" t="n">
        <x:v>7702.18</x:v>
      </x:c>
      <x:c r="E4" s="12" t="n">
        <x:v>100.4</x:v>
      </x:c>
      <x:c r="F4" s="9" t="n">
        <x:v>20</x:v>
      </x:c>
      <x:c r="G4" s="10" t="n">
        <x:v>3448.3</x:v>
      </x:c>
      <x:c r="H4" s="10" t="n">
        <x:v>172.4</x:v>
      </x:c>
      <x:c r="I4" s="10" t="n">
        <x:v>180</x:v>
      </x:c>
    </x:row>
    <x:row r="5">
      <x:c r="A5" s="9" t="str">
        <x:v>中证500</x:v>
      </x:c>
      <x:c r="B5" s="9" t="str">
        <x:v>2026-08-28</x:v>
      </x:c>
      <x:c r="C5" s="10" t="n">
        <x:v>7986.43</x:v>
      </x:c>
      <x:c r="D5" s="10" t="n">
        <x:v>7892.51</x:v>
      </x:c>
      <x:c r="E5" s="12" t="n">
        <x:v>93.9</x:v>
      </x:c>
      <x:c r="F5" s="9" t="n">
        <x:v>20</x:v>
      </x:c>
      <x:c r="G5" s="10" t="n">
        <x:v>3298.7</x:v>
      </x:c>
      <x:c r="H5" s="10" t="n">
        <x:v>164.9</x:v>
      </x:c>
      <x:c r="I5" s="10" t="n">
        <x:v>160</x:v>
      </x:c>
    </x:row>
    <x:row r="6">
      <x:c r="A6" s="9" t="str">
        <x:v>上证指数</x:v>
      </x:c>
      <x:c r="B6" s="9" t="str">
        <x:v>2026-08-28</x:v>
      </x:c>
      <x:c r="C6" s="10" t="n">
        <x:v>3970.31</x:v>
      </x:c>
      <x:c r="D6" s="10" t="n">
        <x:v>3947.8</x:v>
      </x:c>
      <x:c r="E6" s="12" t="n">
        <x:v>22.5</x:v>
      </x:c>
      <x:c r="F6" s="9" t="n">
        <x:v>20</x:v>
      </x:c>
      <x:c r="G6" s="10" t="n">
        <x:v>846</x:v>
      </x:c>
      <x:c r="H6" s="10" t="n">
        <x:v>42.3</x:v>
      </x:c>
      <x:c r="I6" s="10" t="n">
        <x:v>50</x:v>
      </x:c>
    </x:row>
    <x:row r="7">
      <x:c r="A7" s="9" t="str">
        <x:v>IM主力</x:v>
      </x:c>
      <x:c r="B7" s="9" t="str">
        <x:v>2026-08-27</x:v>
      </x:c>
      <x:c r="C7" s="10" t="n">
        <x:v>7696</x:v>
      </x:c>
      <x:c r="D7" s="10" t="n">
        <x:v>7472</x:v>
      </x:c>
      <x:c r="E7" s="12" t="n">
        <x:v>224</x:v>
      </x:c>
      <x:c r="F7" s="9" t="n">
        <x:v>19</x:v>
      </x:c>
      <x:c r="G7" s="10" t="n">
        <x:v>3332</x:v>
      </x:c>
      <x:c r="H7" s="10" t="n">
        <x:v>175.4</x:v>
      </x:c>
      <x:c r="I7" s="10" t="n">
        <x:v>190</x:v>
      </x:c>
    </x:row>
    <x:row r="8">
      <x:c r="A8" s="9" t="str">
        <x:v>IC主力</x:v>
      </x:c>
      <x:c r="B8" s="9" t="str">
        <x:v>2026-08-27</x:v>
      </x:c>
      <x:c r="C8" s="10" t="n">
        <x:v>7907</x:v>
      </x:c>
      <x:c r="D8" s="10" t="n">
        <x:v>7700</x:v>
      </x:c>
      <x:c r="E8" s="12" t="n">
        <x:v>207</x:v>
      </x:c>
      <x:c r="F8" s="9" t="n">
        <x:v>19</x:v>
      </x:c>
      <x:c r="G8" s="10" t="n">
        <x:v>3262.6</x:v>
      </x:c>
      <x:c r="H8" s="10" t="n">
        <x:v>171.7</x:v>
      </x:c>
      <x:c r="I8" s="10" t="n">
        <x:v>150</x:v>
      </x:c>
    </x:row>
    <x:row r="9">
      <x:c r="A9" s="9" t="str">
        <x:v>IF主力</x:v>
      </x:c>
      <x:c r="B9" s="9" t="str">
        <x:v>2026-08-27</x:v>
      </x:c>
      <x:c r="C9" s="10" t="n">
        <x:v>4608.2</x:v>
      </x:c>
      <x:c r="D9" s="10" t="n">
        <x:v>4561.8</x:v>
      </x:c>
      <x:c r="E9" s="12" t="n">
        <x:v>46.4</x:v>
      </x:c>
      <x:c r="F9" s="9" t="n">
        <x:v>19</x:v>
      </x:c>
      <x:c r="G9" s="10" t="n">
        <x:v>1215.6</x:v>
      </x:c>
      <x:c r="H9" s="10" t="n">
        <x:v>64</x:v>
      </x:c>
      <x:c r="I9" s="10" t="n">
        <x:v>90</x:v>
      </x:c>
    </x:row>
    <x:row r="10">
      <x:c r="A10" s="9" t="str">
        <x:v>IH主力</x:v>
      </x:c>
      <x:c r="B10" s="9" t="str">
        <x:v>2026-08-28</x:v>
      </x:c>
      <x:c r="C10" s="10" t="n">
        <x:v>2918.2</x:v>
      </x:c>
      <x:c r="D10" s="10" t="n">
        <x:v>2905.2</x:v>
      </x:c>
      <x:c r="E10" s="12" t="n">
        <x:v>13</x:v>
      </x:c>
      <x:c r="F10" s="9" t="n">
        <x:v>20</x:v>
      </x:c>
      <x:c r="G10" s="10" t="n">
        <x:v>655</x:v>
      </x:c>
      <x:c r="H10" s="10" t="n">
        <x:v>32.8</x:v>
      </x:c>
      <x:c r="I10" s="10" t="n">
        <x:v>60</x:v>
      </x:c>
    </x:row>
    <x:row r="11">
      <x:c r="A11" s="9" t="str">
        <x:v>碳酸锂2609</x:v>
      </x:c>
      <x:c r="B11" s="9" t="str">
        <x:v>2026-08-27</x:v>
      </x:c>
      <x:c r="C11" s="10" t="n">
        <x:v>153140</x:v>
      </x:c>
      <x:c r="D11" s="10" t="n">
        <x:v>149120</x:v>
      </x:c>
      <x:c r="E11" s="12" t="n">
        <x:v>4020</x:v>
      </x:c>
      <x:c r="F11" s="9" t="n">
        <x:v>19</x:v>
      </x:c>
      <x:c r="G11" s="10" t="n">
        <x:v>98900</x:v>
      </x:c>
      <x:c r="H11" s="10" t="n">
        <x:v>5205.3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2026-08-28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8月17日-8月21日</x:v>
      </x:c>
      <x:c r="C7" s="23" t="n">
        <x:v>7797.18</x:v>
      </x:c>
      <x:c r="D7" s="23" t="n">
        <x:v>7995.5</x:v>
      </x:c>
      <x:c r="E7" s="23" t="n">
        <x:v>7472.49</x:v>
      </x:c>
      <x:c r="F7" s="23" t="n">
        <x:v>7601.8</x:v>
      </x:c>
      <x:c r="G7" s="28" t="n">
        <x:f>ROUND(F7-F6,1)</x:f>
        <x:v>-168</x:v>
      </x:c>
      <x:c r="H7" s="24" t="n">
        <x:f>IFERROR(F7/F6-1,"")</x:f>
        <x:v>-0.021624696582417502</x:v>
      </x:c>
      <x:c r="I7" s="26" t="n">
        <x:f>ROUND(D7-E7,1)</x:f>
        <x:v>523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8月24日-8月28日</x:v>
      </x:c>
      <x:c r="C8" s="23" t="n">
        <x:v>7614.89</x:v>
      </x:c>
      <x:c r="D8" s="23" t="n">
        <x:v>7802.55</x:v>
      </x:c>
      <x:c r="E8" s="23" t="n">
        <x:v>7347.95</x:v>
      </x:c>
      <x:c r="F8" s="23" t="n">
        <x:v>7705.03</x:v>
      </x:c>
      <x:c r="G8" s="23" t="n">
        <x:f>ROUND(F8-F7,1)</x:f>
        <x:v>103.2</x:v>
      </x:c>
      <x:c r="H8" s="24" t="n">
        <x:f>IFERROR(F8/F7-1,"")</x:f>
        <x:v>0.013579678497197989</x:v>
      </x:c>
      <x:c r="I8" s="26" t="n">
        <x:f>ROUND(D8-E8,1)</x:f>
        <x:v>454.6</x:v>
      </x:c>
      <x:c r="J8" s="22" t="str">
        <x:v>中证1000</x:v>
      </x:c>
      <x:c r="K8" s="22" t="n">
        <x:v>5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1878.9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469.7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8月3日-8月7日</x:v>
      </x:c>
      <x:c r="C14" s="23" t="n">
        <x:v>7457.12</x:v>
      </x:c>
      <x:c r="D14" s="23" t="n">
        <x:v>7983.17</x:v>
      </x:c>
      <x:c r="E14" s="23" t="n">
        <x:v>7397.94</x:v>
      </x:c>
      <x:c r="F14" s="23" t="n">
        <x:v>7980.12</x:v>
      </x:c>
      <x:c r="G14" s="23"/>
      <x:c r="H14" s="24"/>
      <x:c r="I14" s="26" t="n">
        <x:f>ROUND(D14-E14,1)</x:f>
        <x:v>585.2</x:v>
      </x:c>
      <x:c r="J14" s="22" t="str">
        <x:v>中证500</x:v>
      </x:c>
      <x:c r="K14" s="22" t="n">
        <x:v>5</x:v>
      </x:c>
    </x:row>
    <x:row r="15">
      <x:c r="A15" s="22" t="n">
        <x:v>2</x:v>
      </x:c>
      <x:c r="B15" s="22" t="str">
        <x:v>8月10日-8月14日</x:v>
      </x:c>
      <x:c r="C15" s="23" t="n">
        <x:v>8003.92</x:v>
      </x:c>
      <x:c r="D15" s="23" t="n">
        <x:v>8142.33</x:v>
      </x:c>
      <x:c r="E15" s="23" t="n">
        <x:v>7897.24</x:v>
      </x:c>
      <x:c r="F15" s="23" t="n">
        <x:v>7990.33</x:v>
      </x:c>
      <x:c r="G15" s="23" t="n">
        <x:f>ROUND(F15-F14,1)</x:f>
        <x:v>10.2</x:v>
      </x:c>
      <x:c r="H15" s="24" t="n">
        <x:f>IFERROR(F15/F14-1,"")</x:f>
        <x:v>0.0012794293820144187</x:v>
      </x:c>
      <x:c r="I15" s="26" t="n">
        <x:f>ROUND(D15-E15,1)</x:f>
        <x:v>245.1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8月17日-8月21日</x:v>
      </x:c>
      <x:c r="C16" s="23" t="n">
        <x:v>8007.87</x:v>
      </x:c>
      <x:c r="D16" s="23" t="n">
        <x:v>8211.31</x:v>
      </x:c>
      <x:c r="E16" s="23" t="n">
        <x:v>7756.28</x:v>
      </x:c>
      <x:c r="F16" s="23" t="n">
        <x:v>7854.33</x:v>
      </x:c>
      <x:c r="G16" s="23" t="n">
        <x:f>ROUND(F16-F15,1)</x:f>
        <x:v>-136</x:v>
      </x:c>
      <x:c r="H16" s="24" t="n">
        <x:f>IFERROR(F16/F15-1,"")</x:f>
        <x:v>-0.01702057361836118</x:v>
      </x:c>
      <x:c r="I16" s="26" t="n">
        <x:f>ROUND(D16-E16,1)</x:f>
        <x:v>455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8月24日-8月28日</x:v>
      </x:c>
      <x:c r="C17" s="23" t="n">
        <x:v>7861.05</x:v>
      </x:c>
      <x:c r="D17" s="23" t="n">
        <x:v>7986.43</x:v>
      </x:c>
      <x:c r="E17" s="23" t="n">
        <x:v>7572.86</x:v>
      </x:c>
      <x:c r="F17" s="23" t="n">
        <x:v>7895.45</x:v>
      </x:c>
      <x:c r="G17" s="23" t="n">
        <x:f>ROUND(F17-F16,1)</x:f>
        <x:v>41.1</x:v>
      </x:c>
      <x:c r="H17" s="24" t="n">
        <x:f>IFERROR(F17/F16-1,"")</x:f>
        <x:v>0.005235328793162575</x:v>
      </x:c>
      <x:c r="I17" s="26" t="n">
        <x:f>ROUND(D17-E17,1)</x:f>
        <x:v>413.6</x:v>
      </x:c>
      <x:c r="J17" s="22" t="str">
        <x:v>中证500</x:v>
      </x:c>
      <x:c r="K17" s="22" t="n">
        <x:v>5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1698.9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424.7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8月3日-8月7日</x:v>
      </x:c>
      <x:c r="C23" s="23" t="n">
        <x:v>3812.61</x:v>
      </x:c>
      <x:c r="D23" s="23" t="n">
        <x:v>3940.93</x:v>
      </x:c>
      <x:c r="E23" s="23" t="n">
        <x:v>3797.64</x:v>
      </x:c>
      <x:c r="F23" s="23" t="n">
        <x:v>3940.04</x:v>
      </x:c>
      <x:c r="G23" s="23"/>
      <x:c r="H23" s="24"/>
      <x:c r="I23" s="26" t="n">
        <x:f>ROUND(D23-E23,1)</x:f>
        <x:v>143.3</x:v>
      </x:c>
      <x:c r="J23" s="22" t="str">
        <x:v>上证指数</x:v>
      </x:c>
      <x:c r="K23" s="22" t="n">
        <x:v>5</x:v>
      </x:c>
    </x:row>
    <x:row r="24">
      <x:c r="A24" s="22" t="n">
        <x:v>2</x:v>
      </x:c>
      <x:c r="B24" s="22" t="str">
        <x:v>8月10日-8月14日</x:v>
      </x:c>
      <x:c r="C24" s="23" t="n">
        <x:v>3943.82</x:v>
      </x:c>
      <x:c r="D24" s="23" t="n">
        <x:v>3968.48</x:v>
      </x:c>
      <x:c r="E24" s="23" t="n">
        <x:v>3903.7</x:v>
      </x:c>
      <x:c r="F24" s="23" t="n">
        <x:v>3927.18</x:v>
      </x:c>
      <x:c r="G24" s="23" t="n">
        <x:f>ROUND(F24-F23,1)</x:f>
        <x:v>-12.9</x:v>
      </x:c>
      <x:c r="H24" s="24" t="n">
        <x:f>IFERROR(F24/F23-1,"")</x:f>
        <x:v>-0.003263926254555849</x:v>
      </x:c>
      <x:c r="I24" s="26" t="n">
        <x:f>ROUND(D24-E24,1)</x:f>
        <x:v>64.8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8月17日-8月21日</x:v>
      </x:c>
      <x:c r="C25" s="23" t="n">
        <x:v>3930.1</x:v>
      </x:c>
      <x:c r="D25" s="23" t="n">
        <x:v>3994.18</x:v>
      </x:c>
      <x:c r="E25" s="23" t="n">
        <x:v>3879.58</x:v>
      </x:c>
      <x:c r="F25" s="23" t="n">
        <x:v>3905.2</x:v>
      </x:c>
      <x:c r="G25" s="23" t="n">
        <x:f>ROUND(F25-F24,1)</x:f>
        <x:v>-22</x:v>
      </x:c>
      <x:c r="H25" s="24" t="n">
        <x:f>IFERROR(F25/F24-1,"")</x:f>
        <x:v>-0.00559689140808417</x:v>
      </x:c>
      <x:c r="I25" s="26" t="n">
        <x:f>ROUND(D25-E25,1)</x:f>
        <x:v>114.6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8月24日-8月28日</x:v>
      </x:c>
      <x:c r="C26" s="23" t="n">
        <x:v>3902.7</x:v>
      </x:c>
      <x:c r="D26" s="23" t="n">
        <x:v>3970.31</x:v>
      </x:c>
      <x:c r="E26" s="23" t="n">
        <x:v>3850.86</x:v>
      </x:c>
      <x:c r="F26" s="23" t="n">
        <x:v>3952.18</x:v>
      </x:c>
      <x:c r="G26" s="23" t="n">
        <x:f>ROUND(F26-F25,1)</x:f>
        <x:v>47</x:v>
      </x:c>
      <x:c r="H26" s="24" t="n">
        <x:f>IFERROR(F26/F25-1,"")</x:f>
        <x:v>0.012030113694561084</x:v>
      </x:c>
      <x:c r="I26" s="26" t="n">
        <x:f>ROUND(D26-E26,1)</x:f>
        <x:v>119.4</x:v>
      </x:c>
      <x:c r="J26" s="22" t="str">
        <x:v>上证指数</x:v>
      </x:c>
      <x:c r="K26" s="22" t="n">
        <x:v>5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442.1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110.5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8月3日-8月7日</x:v>
      </x:c>
      <x:c r="C32" s="23" t="n">
        <x:v>7000</x:v>
      </x:c>
      <x:c r="D32" s="23" t="n">
        <x:v>7594.2</x:v>
      </x:c>
      <x:c r="E32" s="23" t="n">
        <x:v>6976</x:v>
      </x:c>
      <x:c r="F32" s="23" t="n">
        <x:v>7590.6</x:v>
      </x:c>
      <x:c r="G32" s="23"/>
      <x:c r="H32" s="24"/>
      <x:c r="I32" s="26" t="n">
        <x:f>ROUND(D32-E32,1)</x:f>
        <x:v>618.2</x:v>
      </x:c>
      <x:c r="J32" s="22" t="str">
        <x:v>IM2609</x:v>
      </x:c>
      <x:c r="K32" s="22" t="n">
        <x:v>5</x:v>
      </x:c>
    </x:row>
    <x:row r="33">
      <x:c r="A33" s="22" t="n">
        <x:v>2</x:v>
      </x:c>
      <x:c r="B33" s="22" t="str">
        <x:v>8月10日-8月14日</x:v>
      </x:c>
      <x:c r="C33" s="23" t="n">
        <x:v>7628.8</x:v>
      </x:c>
      <x:c r="D33" s="23" t="n">
        <x:v>7776</x:v>
      </x:c>
      <x:c r="E33" s="23" t="n">
        <x:v>7525</x:v>
      </x:c>
      <x:c r="F33" s="23" t="n">
        <x:v>7650.2</x:v>
      </x:c>
      <x:c r="G33" s="23" t="n">
        <x:f>ROUND(F33-F32,1)</x:f>
        <x:v>59.6</x:v>
      </x:c>
      <x:c r="H33" s="24" t="n">
        <x:f>IFERROR(F33/F32-1,"")</x:f>
        <x:v>0.007851816720680693</x:v>
      </x:c>
      <x:c r="I33" s="26" t="n">
        <x:f>ROUND(D33-E33,1)</x:f>
        <x:v>251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8月17日-8月21日</x:v>
      </x:c>
      <x:c r="C34" s="23" t="n">
        <x:v>7675</x:v>
      </x:c>
      <x:c r="D34" s="23" t="n">
        <x:v>7882.8</x:v>
      </x:c>
      <x:c r="E34" s="23" t="n">
        <x:v>7410</x:v>
      </x:c>
      <x:c r="F34" s="23" t="n">
        <x:v>7527</x:v>
      </x:c>
      <x:c r="G34" s="23" t="n">
        <x:f>ROUND(F34-F33,1)</x:f>
        <x:v>-123.2</x:v>
      </x:c>
      <x:c r="H34" s="24" t="n">
        <x:f>IFERROR(F34/F33-1,"")</x:f>
        <x:v>-0.016104154139761073</x:v>
      </x:c>
      <x:c r="I34" s="26" t="n">
        <x:f>ROUND(D34-E34,1)</x:f>
        <x:v>472.8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8月24日-8月27日</x:v>
      </x:c>
      <x:c r="C35" s="23" t="n">
        <x:v>7534.8</x:v>
      </x:c>
      <x:c r="D35" s="23" t="n">
        <x:v>7696</x:v>
      </x:c>
      <x:c r="E35" s="23" t="n">
        <x:v>7300.2</x:v>
      </x:c>
      <x:c r="F35" s="23" t="n">
        <x:v>7686.6</x:v>
      </x:c>
      <x:c r="G35" s="28" t="n">
        <x:f>ROUND(F35-F34,1)</x:f>
        <x:v>159.6</x:v>
      </x:c>
      <x:c r="H35" s="24" t="n">
        <x:f>IFERROR(F35/F34-1,"")</x:f>
        <x:v>0.02120366679952168</x:v>
      </x:c>
      <x:c r="I35" s="26" t="n">
        <x:f>ROUND(D35-E35,1)</x:f>
        <x:v>395.8</x:v>
      </x:c>
      <x:c r="J35" s="22" t="str">
        <x:v>IM2609</x:v>
      </x:c>
      <x:c r="K35" s="22" t="n">
        <x:v>4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1737.8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434.5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8月3日-8月7日</x:v>
      </x:c>
      <x:c r="C41" s="23" t="n">
        <x:v>7391</x:v>
      </x:c>
      <x:c r="D41" s="23" t="n">
        <x:v>7882.6</x:v>
      </x:c>
      <x:c r="E41" s="23" t="n">
        <x:v>7335</x:v>
      </x:c>
      <x:c r="F41" s="23" t="n">
        <x:v>7877.8</x:v>
      </x:c>
      <x:c r="G41" s="23"/>
      <x:c r="H41" s="24"/>
      <x:c r="I41" s="26" t="n">
        <x:f>ROUND(D41-E41,1)</x:f>
        <x:v>547.6</x:v>
      </x:c>
      <x:c r="J41" s="22" t="str">
        <x:v>IC2609</x:v>
      </x:c>
      <x:c r="K41" s="22" t="n">
        <x:v>5</x:v>
      </x:c>
    </x:row>
    <x:row r="42">
      <x:c r="A42" s="22" t="n">
        <x:v>2</x:v>
      </x:c>
      <x:c r="B42" s="22" t="str">
        <x:v>8月10日-8月14日</x:v>
      </x:c>
      <x:c r="C42" s="23" t="n">
        <x:v>7888</x:v>
      </x:c>
      <x:c r="D42" s="23" t="n">
        <x:v>8024</x:v>
      </x:c>
      <x:c r="E42" s="23" t="n">
        <x:v>7795.8</x:v>
      </x:c>
      <x:c r="F42" s="23" t="n">
        <x:v>7861.2</x:v>
      </x:c>
      <x:c r="G42" s="23" t="n">
        <x:f>ROUND(F42-F41,1)</x:f>
        <x:v>-16.6</x:v>
      </x:c>
      <x:c r="H42" s="24" t="n">
        <x:f>IFERROR(F42/F41-1,"")</x:f>
        <x:v>-0.0021071872857905127</x:v>
      </x:c>
      <x:c r="I42" s="26" t="n">
        <x:f>ROUND(D42-E42,1)</x:f>
        <x:v>228.2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8月17日-8月21日</x:v>
      </x:c>
      <x:c r="C43" s="23" t="n">
        <x:v>7885</x:v>
      </x:c>
      <x:c r="D43" s="23" t="n">
        <x:v>8091.8</x:v>
      </x:c>
      <x:c r="E43" s="23" t="n">
        <x:v>7669.6</x:v>
      </x:c>
      <x:c r="F43" s="23" t="n">
        <x:v>7762</x:v>
      </x:c>
      <x:c r="G43" s="23" t="n">
        <x:f>ROUND(F43-F42,1)</x:f>
        <x:v>-99.2</x:v>
      </x:c>
      <x:c r="H43" s="24" t="n">
        <x:f>IFERROR(F43/F42-1,"")</x:f>
        <x:v>-0.012618938584439965</x:v>
      </x:c>
      <x:c r="I43" s="26" t="n">
        <x:f>ROUND(D43-E43,1)</x:f>
        <x:v>422.2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8月24日-8月27日</x:v>
      </x:c>
      <x:c r="C44" s="23" t="n">
        <x:v>7757</x:v>
      </x:c>
      <x:c r="D44" s="23" t="n">
        <x:v>7907</x:v>
      </x:c>
      <x:c r="E44" s="23" t="n">
        <x:v>7496</x:v>
      </x:c>
      <x:c r="F44" s="23" t="n">
        <x:v>7903</x:v>
      </x:c>
      <x:c r="G44" s="23" t="n">
        <x:f>ROUND(F44-F43,1)</x:f>
        <x:v>141</x:v>
      </x:c>
      <x:c r="H44" s="24" t="n">
        <x:f>IFERROR(F44/F43-1,"")</x:f>
        <x:v>0.018165421283174332</x:v>
      </x:c>
      <x:c r="I44" s="26" t="n">
        <x:f>ROUND(D44-E44,1)</x:f>
        <x:v>411</x:v>
      </x:c>
      <x:c r="J44" s="22" t="str">
        <x:v>IC2609</x:v>
      </x:c>
      <x:c r="K44" s="22" t="n">
        <x:v>4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1609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402.3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8月3日-8月7日</x:v>
      </x:c>
      <x:c r="C50" s="23" t="n">
        <x:v>4526.4</x:v>
      </x:c>
      <x:c r="D50" s="23" t="n">
        <x:v>4656.2</x:v>
      </x:c>
      <x:c r="E50" s="23" t="n">
        <x:v>4494.2</x:v>
      </x:c>
      <x:c r="F50" s="23" t="n">
        <x:v>4645.6</x:v>
      </x:c>
      <x:c r="G50" s="23"/>
      <x:c r="H50" s="24"/>
      <x:c r="I50" s="26" t="n">
        <x:f>ROUND(D50-E50,1)</x:f>
        <x:v>162</x:v>
      </x:c>
      <x:c r="J50" s="22" t="str">
        <x:v>IF2609</x:v>
      </x:c>
      <x:c r="K50" s="22" t="n">
        <x:v>5</x:v>
      </x:c>
    </x:row>
    <x:row r="51">
      <x:c r="A51" s="22" t="n">
        <x:v>2</x:v>
      </x:c>
      <x:c r="B51" s="22" t="str">
        <x:v>8月10日-8月14日</x:v>
      </x:c>
      <x:c r="C51" s="23" t="n">
        <x:v>4656.8</x:v>
      </x:c>
      <x:c r="D51" s="23" t="n">
        <x:v>4681</x:v>
      </x:c>
      <x:c r="E51" s="23" t="n">
        <x:v>4598</x:v>
      </x:c>
      <x:c r="F51" s="23" t="n">
        <x:v>4620.4</x:v>
      </x:c>
      <x:c r="G51" s="23" t="n">
        <x:f>ROUND(F51-F50,1)</x:f>
        <x:v>-25.2</x:v>
      </x:c>
      <x:c r="H51" s="24" t="n">
        <x:f>IFERROR(F51/F50-1,"")</x:f>
        <x:v>-0.005424487687274104</x:v>
      </x:c>
      <x:c r="I51" s="23" t="n">
        <x:f>ROUND(D51-E51,1)</x:f>
        <x:v>83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8月17日-8月21日</x:v>
      </x:c>
      <x:c r="C52" s="23" t="n">
        <x:v>4624</x:v>
      </x:c>
      <x:c r="D52" s="23" t="n">
        <x:v>4700.6</x:v>
      </x:c>
      <x:c r="E52" s="23" t="n">
        <x:v>4531.8</x:v>
      </x:c>
      <x:c r="F52" s="23" t="n">
        <x:v>4576</x:v>
      </x:c>
      <x:c r="G52" s="23" t="n">
        <x:f>ROUND(F52-F51,1)</x:f>
        <x:v>-44.4</x:v>
      </x:c>
      <x:c r="H52" s="24" t="n">
        <x:f>IFERROR(F52/F51-1,"")</x:f>
        <x:v>-0.00960955761405935</x:v>
      </x:c>
      <x:c r="I52" s="26" t="n">
        <x:f>ROUND(D52-E52,1)</x:f>
        <x:v>168.8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8月24日-8月27日</x:v>
      </x:c>
      <x:c r="C53" s="23" t="n">
        <x:v>4607.4</x:v>
      </x:c>
      <x:c r="D53" s="23" t="n">
        <x:v>4608.2</x:v>
      </x:c>
      <x:c r="E53" s="23" t="n">
        <x:v>4486.4</x:v>
      </x:c>
      <x:c r="F53" s="23" t="n">
        <x:v>4604.8</x:v>
      </x:c>
      <x:c r="G53" s="23" t="n">
        <x:f>ROUND(F53-F52,1)</x:f>
        <x:v>28.8</x:v>
      </x:c>
      <x:c r="H53" s="24" t="n">
        <x:f>IFERROR(F53/F52-1,"")</x:f>
        <x:v>0.0062937062937062915</x:v>
      </x:c>
      <x:c r="I53" s="26" t="n">
        <x:f>ROUND(D53-E53,1)</x:f>
        <x:v>121.8</x:v>
      </x:c>
      <x:c r="J53" s="22" t="str">
        <x:v>IF2609</x:v>
      </x:c>
      <x:c r="K53" s="22" t="n">
        <x:v>4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535.6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133.9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8月3日-8月7日</x:v>
      </x:c>
      <x:c r="C59" s="23" t="n">
        <x:v>2882.4</x:v>
      </x:c>
      <x:c r="D59" s="23" t="n">
        <x:v>2930.6</x:v>
      </x:c>
      <x:c r="E59" s="23" t="n">
        <x:v>2845.8</x:v>
      </x:c>
      <x:c r="F59" s="23" t="n">
        <x:v>2930</x:v>
      </x:c>
      <x:c r="G59" s="23"/>
      <x:c r="H59" s="24"/>
      <x:c r="I59" s="26" t="n">
        <x:f>ROUND(D59-E59,1)</x:f>
        <x:v>84.8</x:v>
      </x:c>
      <x:c r="J59" s="22" t="str">
        <x:v>IH2609</x:v>
      </x:c>
      <x:c r="K59" s="22" t="n">
        <x:v>5</x:v>
      </x:c>
    </x:row>
    <x:row r="60">
      <x:c r="A60" s="22" t="n">
        <x:v>2</x:v>
      </x:c>
      <x:c r="B60" s="22" t="str">
        <x:v>8月10日-8月14日</x:v>
      </x:c>
      <x:c r="C60" s="23" t="n">
        <x:v>2930</x:v>
      </x:c>
      <x:c r="D60" s="23" t="n">
        <x:v>2949.6</x:v>
      </x:c>
      <x:c r="E60" s="23" t="n">
        <x:v>2877</x:v>
      </x:c>
      <x:c r="F60" s="23" t="n">
        <x:v>2890</x:v>
      </x:c>
      <x:c r="G60" s="23" t="n">
        <x:f>ROUND(F60-F59,1)</x:f>
        <x:v>-40</x:v>
      </x:c>
      <x:c r="H60" s="24" t="n">
        <x:f>IFERROR(F60/F59-1,"")</x:f>
        <x:v>-0.013651877133105783</x:v>
      </x:c>
      <x:c r="I60" s="26" t="n">
        <x:f>ROUND(D60-E60,1)</x:f>
        <x:v>72.6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8月17日-8月21日</x:v>
      </x:c>
      <x:c r="C61" s="23" t="n">
        <x:v>2886</x:v>
      </x:c>
      <x:c r="D61" s="23" t="n">
        <x:v>2921.2</x:v>
      </x:c>
      <x:c r="E61" s="23" t="n">
        <x:v>2843</x:v>
      </x:c>
      <x:c r="F61" s="23" t="n">
        <x:v>2861</x:v>
      </x:c>
      <x:c r="G61" s="23" t="n">
        <x:f>ROUND(F61-F60,1)</x:f>
        <x:v>-29</x:v>
      </x:c>
      <x:c r="H61" s="24" t="n">
        <x:f>IFERROR(F61/F60-1,"")</x:f>
        <x:v>-0.01003460207612461</x:v>
      </x:c>
      <x:c r="I61" s="26" t="n">
        <x:f>ROUND(D61-E61,1)</x:f>
        <x:v>78.2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8月24日-8月28日</x:v>
      </x:c>
      <x:c r="C62" s="23" t="n">
        <x:v>2856.4</x:v>
      </x:c>
      <x:c r="D62" s="23" t="n">
        <x:v>2918.2</x:v>
      </x:c>
      <x:c r="E62" s="23" t="n">
        <x:v>2837.4</x:v>
      </x:c>
      <x:c r="F62" s="23" t="n">
        <x:v>2911.4</x:v>
      </x:c>
      <x:c r="G62" s="23" t="n">
        <x:f>ROUND(F62-F61,1)</x:f>
        <x:v>50.4</x:v>
      </x:c>
      <x:c r="H62" s="24" t="n">
        <x:f>IFERROR(F62/F61-1,"")</x:f>
        <x:v>0.01761621810555747</x:v>
      </x:c>
      <x:c r="I62" s="26" t="n">
        <x:f>ROUND(D62-E62,1)</x:f>
        <x:v>80.8</x:v>
      </x:c>
      <x:c r="J62" s="22" t="str">
        <x:v>IH2609</x:v>
      </x:c>
      <x:c r="K62" s="22" t="n">
        <x:v>5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316.4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79.1</x:v>
      </x:c>
      <x:c r="J64" s="30"/>
      <x:c r="K64" s="30"/>
    </x:row>
    <x:row r="66">
      <x:c r="A66" s="17" t="str">
        <x:v>碳酸锂2609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8月3日-8月7日</x:v>
      </x:c>
      <x:c r="C68" s="23" t="n">
        <x:v>137500</x:v>
      </x:c>
      <x:c r="D68" s="23" t="n">
        <x:v>144800</x:v>
      </x:c>
      <x:c r="E68" s="23" t="n">
        <x:v>135560</x:v>
      </x:c>
      <x:c r="F68" s="23" t="n">
        <x:v>140000</x:v>
      </x:c>
      <x:c r="G68" s="23"/>
      <x:c r="H68" s="24"/>
      <x:c r="I68" s="26" t="n">
        <x:f>ROUND(D68-E68,1)</x:f>
        <x:v>9240</x:v>
      </x:c>
      <x:c r="J68" s="22" t="str">
        <x:v>LC2609</x:v>
      </x:c>
      <x:c r="K68" s="22" t="n">
        <x:v>5</x:v>
      </x:c>
    </x:row>
    <x:row r="69">
      <x:c r="A69" s="22" t="n">
        <x:v>2</x:v>
      </x:c>
      <x:c r="B69" s="22" t="str">
        <x:v>8月10日-8月14日</x:v>
      </x:c>
      <x:c r="C69" s="23" t="n">
        <x:v>140500</x:v>
      </x:c>
      <x:c r="D69" s="23" t="n">
        <x:v>154500</x:v>
      </x:c>
      <x:c r="E69" s="23" t="n">
        <x:v>139280</x:v>
      </x:c>
      <x:c r="F69" s="23" t="n">
        <x:v>153940</x:v>
      </x:c>
      <x:c r="G69" s="28" t="n">
        <x:f>ROUND(F69-F68,1)</x:f>
        <x:v>13940</x:v>
      </x:c>
      <x:c r="H69" s="24" t="n">
        <x:f>IFERROR(F69/F68-1,"")</x:f>
        <x:v>0.09957142857142864</x:v>
      </x:c>
      <x:c r="I69" s="26" t="n">
        <x:f>ROUND(D69-E69,1)</x:f>
        <x:v>15220</x:v>
      </x:c>
      <x:c r="J69" s="22" t="str">
        <x:v>LC2609</x:v>
      </x:c>
      <x:c r="K69" s="22" t="n">
        <x:v>5</x:v>
      </x:c>
    </x:row>
    <x:row r="70">
      <x:c r="A70" s="22" t="n">
        <x:v>3</x:v>
      </x:c>
      <x:c r="B70" s="22" t="str">
        <x:v>8月17日-8月21日</x:v>
      </x:c>
      <x:c r="C70" s="23" t="n">
        <x:v>154300</x:v>
      </x:c>
      <x:c r="D70" s="23" t="n">
        <x:v>157000</x:v>
      </x:c>
      <x:c r="E70" s="23" t="n">
        <x:v>148400</x:v>
      </x:c>
      <x:c r="F70" s="23" t="n">
        <x:v>156140</x:v>
      </x:c>
      <x:c r="G70" s="28" t="n">
        <x:f>ROUND(F70-F69,1)</x:f>
        <x:v>2200</x:v>
      </x:c>
      <x:c r="H70" s="24" t="n">
        <x:f>IFERROR(F70/F69-1,"")</x:f>
        <x:v>0.014291282317786091</x:v>
      </x:c>
      <x:c r="I70" s="26" t="n">
        <x:f>ROUND(D70-E70,1)</x:f>
        <x:v>8600</x:v>
      </x:c>
      <x:c r="J70" s="22" t="str">
        <x:v>LC2609</x:v>
      </x:c>
      <x:c r="K70" s="22" t="n">
        <x:v>5</x:v>
      </x:c>
    </x:row>
    <x:row r="71">
      <x:c r="A71" s="22" t="n">
        <x:v>4</x:v>
      </x:c>
      <x:c r="B71" s="22" t="str">
        <x:v>8月24日-8月27日</x:v>
      </x:c>
      <x:c r="C71" s="23" t="n">
        <x:v>158500</x:v>
      </x:c>
      <x:c r="D71" s="23" t="n">
        <x:v>160000</x:v>
      </x:c>
      <x:c r="E71" s="23" t="n">
        <x:v>147000</x:v>
      </x:c>
      <x:c r="F71" s="23" t="n">
        <x:v>150300</x:v>
      </x:c>
      <x:c r="G71" s="28" t="n">
        <x:f>ROUND(F71-F70,1)</x:f>
        <x:v>-5840</x:v>
      </x:c>
      <x:c r="H71" s="24" t="n">
        <x:f>IFERROR(F71/F70-1,"")</x:f>
        <x:v>-0.037402331241193854</x:v>
      </x:c>
      <x:c r="I71" s="26" t="n">
        <x:f>ROUND(D71-E71,1)</x:f>
        <x:v>13000</x:v>
      </x:c>
      <x:c r="J71" s="22" t="str">
        <x:v>LC2609</x:v>
      </x:c>
      <x:c r="K71" s="22" t="n">
        <x:v>4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46060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11515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7602.5</x:v>
      </x:c>
      <x:c r="E17" s="23" t="n">
        <x:v>7656.61</x:v>
      </x:c>
      <x:c r="F17" s="23" t="n">
        <x:v>7541.48</x:v>
      </x:c>
      <x:c r="G17" s="23" t="n">
        <x:v>7589.78</x:v>
      </x:c>
      <x:c r="H17" s="23" t="n">
        <x:v>72</x:v>
      </x:c>
      <x:c r="I17" s="24" t="n">
        <x:v>0.009578638346211532</x:v>
      </x:c>
      <x:c r="J17" s="23" t="n">
        <x:f>ROUND(E17-F17,1)</x:f>
        <x:v>115.1</x:v>
      </x:c>
      <x:c r="K17" s="22" t="str">
        <x:v>中证1000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7555.55</x:v>
      </x:c>
      <x:c r="E18" s="42" t="n">
        <x:v>7634.08</x:v>
      </x:c>
      <x:c r="F18" s="42" t="n">
        <x:v>7472.49</x:v>
      </x:c>
      <x:c r="G18" s="42" t="n">
        <x:v>7601.8</x:v>
      </x:c>
      <x:c r="H18" s="42" t="n">
        <x:v>12</x:v>
      </x:c>
      <x:c r="I18" s="43" t="n">
        <x:v>0.0015837086186951677</x:v>
      </x:c>
      <x:c r="J18" s="42" t="n">
        <x:f>ROUND(E18-F18,1)</x:f>
        <x:v>161.6</x:v>
      </x:c>
      <x:c r="K18" s="41" t="str">
        <x:v>中证1000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7614.89</x:v>
      </x:c>
      <x:c r="E19" s="23" t="n">
        <x:v>7633.34</x:v>
      </x:c>
      <x:c r="F19" s="23" t="n">
        <x:v>7377.72</x:v>
      </x:c>
      <x:c r="G19" s="23" t="n">
        <x:v>7491.49</x:v>
      </x:c>
      <x:c r="H19" s="23" t="n">
        <x:v>-110.3</x:v>
      </x:c>
      <x:c r="I19" s="24" t="n">
        <x:v>-0.014511036859691129</x:v>
      </x:c>
      <x:c r="J19" s="26" t="n">
        <x:f>ROUND(E19-F19,1)</x:f>
        <x:v>255.6</x:v>
      </x:c>
      <x:c r="K19" s="22" t="str">
        <x:v>中证1000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7420.77</x:v>
      </x:c>
      <x:c r="E20" s="23" t="n">
        <x:v>7556.07</x:v>
      </x:c>
      <x:c r="F20" s="23" t="n">
        <x:v>7347.95</x:v>
      </x:c>
      <x:c r="G20" s="23" t="n">
        <x:v>7527.5</x:v>
      </x:c>
      <x:c r="H20" s="23" t="n">
        <x:v>36</x:v>
      </x:c>
      <x:c r="I20" s="24" t="n">
        <x:v>0.004806787434809445</x:v>
      </x:c>
      <x:c r="J20" s="26" t="n">
        <x:f>ROUND(E20-F20,1)</x:f>
        <x:v>208.1</x:v>
      </x:c>
      <x:c r="K20" s="22" t="str">
        <x:v>中证1000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7536.37</x:v>
      </x:c>
      <x:c r="E21" s="23" t="n">
        <x:v>7601.84</x:v>
      </x:c>
      <x:c r="F21" s="23" t="n">
        <x:v>7467.41</x:v>
      </x:c>
      <x:c r="G21" s="23" t="n">
        <x:v>7544.67</x:v>
      </x:c>
      <x:c r="H21" s="23" t="n">
        <x:v>17.2</x:v>
      </x:c>
      <x:c r="I21" s="24" t="n">
        <x:v>0.0022809697774826</x:v>
      </x:c>
      <x:c r="J21" s="23" t="n">
        <x:f>ROUND(E21-F21,1)</x:f>
        <x:v>134.4</x:v>
      </x:c>
      <x:c r="K21" s="22" t="str">
        <x:v>中证1000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7551.44</x:v>
      </x:c>
      <x:c r="E22" s="23" t="n">
        <x:v>7734.31</x:v>
      </x:c>
      <x:c r="F22" s="23" t="n">
        <x:v>7531.78</x:v>
      </x:c>
      <x:c r="G22" s="23" t="n">
        <x:v>7732.95</x:v>
      </x:c>
      <x:c r="H22" s="28" t="n">
        <x:v>188.3</x:v>
      </x:c>
      <x:c r="I22" s="24" t="n">
        <x:v>0.024955365841050625</x:v>
      </x:c>
      <x:c r="J22" s="26" t="n">
        <x:f>ROUND(E22-F22,1)</x:f>
        <x:v>202.5</x:v>
      </x:c>
      <x:c r="K22" s="22" t="str">
        <x:v>中证1000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7734.19</x:v>
      </x:c>
      <x:c r="E23" s="23" t="n">
        <x:v>7802.55</x:v>
      </x:c>
      <x:c r="F23" s="23" t="n">
        <x:v>7702.18</x:v>
      </x:c>
      <x:c r="G23" s="23" t="n">
        <x:v>7705.03</x:v>
      </x:c>
      <x:c r="H23" s="23" t="n">
        <x:v>-27.9</x:v>
      </x:c>
      <x:c r="I23" s="24" t="n">
        <x:v>-0.0036105237975158078</x:v>
      </x:c>
      <x:c r="J23" s="23" t="n">
        <x:f>ROUND(E23-F23,1)</x:f>
        <x:v>100.4</x:v>
      </x:c>
      <x:c r="K23" s="22" t="str">
        <x:v>中证1000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3448.3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172.4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7864.68</x:v>
      </x:c>
      <x:c r="E17" s="23" t="n">
        <x:v>7923.91</x:v>
      </x:c>
      <x:c r="F17" s="23" t="n">
        <x:v>7796.28</x:v>
      </x:c>
      <x:c r="G17" s="23" t="n">
        <x:v>7850.4</x:v>
      </x:c>
      <x:c r="H17" s="23" t="n">
        <x:v>66.9</x:v>
      </x:c>
      <x:c r="I17" s="24" t="n">
        <x:v>0.008600288303659331</x:v>
      </x:c>
      <x:c r="J17" s="23" t="n">
        <x:f>ROUND(E17-F17,1)</x:f>
        <x:v>127.6</x:v>
      </x:c>
      <x:c r="K17" s="22" t="str">
        <x:v>中证500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7812.26</x:v>
      </x:c>
      <x:c r="E18" s="42" t="n">
        <x:v>7877.34</x:v>
      </x:c>
      <x:c r="F18" s="42" t="n">
        <x:v>7756.28</x:v>
      </x:c>
      <x:c r="G18" s="42" t="n">
        <x:v>7854.33</x:v>
      </x:c>
      <x:c r="H18" s="42" t="n">
        <x:v>3.9</x:v>
      </x:c>
      <x:c r="I18" s="43" t="n">
        <x:v>0.0005006114338124146</x:v>
      </x:c>
      <x:c r="J18" s="42" t="n">
        <x:f>ROUND(E18-F18,1)</x:f>
        <x:v>121.1</x:v>
      </x:c>
      <x:c r="K18" s="41" t="str">
        <x:v>中证500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7861.05</x:v>
      </x:c>
      <x:c r="E19" s="23" t="n">
        <x:v>7865.54</x:v>
      </x:c>
      <x:c r="F19" s="23" t="n">
        <x:v>7615.45</x:v>
      </x:c>
      <x:c r="G19" s="23" t="n">
        <x:v>7717.09</x:v>
      </x:c>
      <x:c r="H19" s="23" t="n">
        <x:v>-137.2</x:v>
      </x:c>
      <x:c r="I19" s="24" t="n">
        <x:v>-0.017473164483794212</x:v>
      </x:c>
      <x:c r="J19" s="26" t="n">
        <x:f>ROUND(E19-F19,1)</x:f>
        <x:v>250.1</x:v>
      </x:c>
      <x:c r="K19" s="22" t="str">
        <x:v>中证500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7644.2</x:v>
      </x:c>
      <x:c r="E20" s="23" t="n">
        <x:v>7755.72</x:v>
      </x:c>
      <x:c r="F20" s="23" t="n">
        <x:v>7572.86</x:v>
      </x:c>
      <x:c r="G20" s="23" t="n">
        <x:v>7710.94</x:v>
      </x:c>
      <x:c r="H20" s="23" t="n">
        <x:v>-6.2</x:v>
      </x:c>
      <x:c r="I20" s="24" t="n">
        <x:v>-0.0007969325224923551</x:v>
      </x:c>
      <x:c r="J20" s="26" t="n">
        <x:f>ROUND(E20-F20,1)</x:f>
        <x:v>182.9</x:v>
      </x:c>
      <x:c r="K20" s="22" t="str">
        <x:v>中证500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7714.84</x:v>
      </x:c>
      <x:c r="E21" s="23" t="n">
        <x:v>7833.6</x:v>
      </x:c>
      <x:c r="F21" s="23" t="n">
        <x:v>7699.42</x:v>
      </x:c>
      <x:c r="G21" s="23" t="n">
        <x:v>7770.53</x:v>
      </x:c>
      <x:c r="H21" s="23" t="n">
        <x:v>59.6</x:v>
      </x:c>
      <x:c r="I21" s="24" t="n">
        <x:v>0.007727981283734531</x:v>
      </x:c>
      <x:c r="J21" s="23" t="n">
        <x:f>ROUND(E21-F21,1)</x:f>
        <x:v>134.2</x:v>
      </x:c>
      <x:c r="K21" s="22" t="str">
        <x:v>中证500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7786.69</x:v>
      </x:c>
      <x:c r="E22" s="23" t="n">
        <x:v>7951.05</x:v>
      </x:c>
      <x:c r="F22" s="23" t="n">
        <x:v>7763.98</x:v>
      </x:c>
      <x:c r="G22" s="23" t="n">
        <x:v>7946.33</x:v>
      </x:c>
      <x:c r="H22" s="28" t="n">
        <x:v>175.8</x:v>
      </x:c>
      <x:c r="I22" s="24" t="n">
        <x:v>0.02262393942240748</x:v>
      </x:c>
      <x:c r="J22" s="26" t="n">
        <x:f>ROUND(E22-F22,1)</x:f>
        <x:v>187.1</x:v>
      </x:c>
      <x:c r="K22" s="22" t="str">
        <x:v>中证500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7939.45</x:v>
      </x:c>
      <x:c r="E23" s="23" t="n">
        <x:v>7986.43</x:v>
      </x:c>
      <x:c r="F23" s="23" t="n">
        <x:v>7892.51</x:v>
      </x:c>
      <x:c r="G23" s="23" t="n">
        <x:v>7895.45</x:v>
      </x:c>
      <x:c r="H23" s="23" t="n">
        <x:v>-50.9</x:v>
      </x:c>
      <x:c r="I23" s="24" t="n">
        <x:v>-0.006402955829924006</x:v>
      </x:c>
      <x:c r="J23" s="23" t="n">
        <x:f>ROUND(E23-F23,1)</x:f>
        <x:v>93.9</x:v>
      </x:c>
      <x:c r="K23" s="22" t="str">
        <x:v>中证500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3298.7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164.9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3907.21</x:v>
      </x:c>
      <x:c r="E17" s="23" t="n">
        <x:v>3925.06</x:v>
      </x:c>
      <x:c r="F17" s="23" t="n">
        <x:v>3888.1</x:v>
      </x:c>
      <x:c r="G17" s="23" t="n">
        <x:v>3903.72</x:v>
      </x:c>
      <x:c r="H17" s="23" t="n">
        <x:v>9.3</x:v>
      </x:c>
      <x:c r="I17" s="24" t="n">
        <x:v>0.002388032107476734</x:v>
      </x:c>
      <x:c r="J17" s="23" t="n">
        <x:f>ROUND(E17-F17,1)</x:f>
        <x:v>37</x:v>
      </x:c>
      <x:c r="K17" s="22" t="str">
        <x:v>上证指数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3891.18</x:v>
      </x:c>
      <x:c r="E18" s="42" t="n">
        <x:v>3912.13</x:v>
      </x:c>
      <x:c r="F18" s="42" t="n">
        <x:v>3883.79</x:v>
      </x:c>
      <x:c r="G18" s="42" t="n">
        <x:v>3905.2</x:v>
      </x:c>
      <x:c r="H18" s="42" t="n">
        <x:v>1.5</x:v>
      </x:c>
      <x:c r="I18" s="43" t="n">
        <x:v>0.0003791255520375625</x:v>
      </x:c>
      <x:c r="J18" s="42" t="n">
        <x:f>ROUND(E18-F18,1)</x:f>
        <x:v>28.3</x:v>
      </x:c>
      <x:c r="K18" s="41" t="str">
        <x:v>上证指数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3902.7</x:v>
      </x:c>
      <x:c r="E19" s="23" t="n">
        <x:v>3910.24</x:v>
      </x:c>
      <x:c r="F19" s="23" t="n">
        <x:v>3855.35</x:v>
      </x:c>
      <x:c r="G19" s="23" t="n">
        <x:v>3882.01</x:v>
      </x:c>
      <x:c r="H19" s="23" t="n">
        <x:v>-23.2</x:v>
      </x:c>
      <x:c r="I19" s="24" t="n">
        <x:v>-0.005938236197889912</x:v>
      </x:c>
      <x:c r="J19" s="26" t="n">
        <x:f>ROUND(E19-F19,1)</x:f>
        <x:v>54.9</x:v>
      </x:c>
      <x:c r="K19" s="22" t="str">
        <x:v>上证指数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3863.37</x:v>
      </x:c>
      <x:c r="E20" s="23" t="n">
        <x:v>3896.21</x:v>
      </x:c>
      <x:c r="F20" s="23" t="n">
        <x:v>3850.86</x:v>
      </x:c>
      <x:c r="G20" s="23" t="n">
        <x:v>3889.44</x:v>
      </x:c>
      <x:c r="H20" s="23" t="n">
        <x:v>7.4</x:v>
      </x:c>
      <x:c r="I20" s="24" t="n">
        <x:v>0.0019139569449846405</x:v>
      </x:c>
      <x:c r="J20" s="23" t="n">
        <x:f>ROUND(E20-F20,1)</x:f>
        <x:v>45.3</x:v>
      </x:c>
      <x:c r="K20" s="22" t="str">
        <x:v>上证指数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3881.74</x:v>
      </x:c>
      <x:c r="E21" s="23" t="n">
        <x:v>3926.44</x:v>
      </x:c>
      <x:c r="F21" s="23" t="n">
        <x:v>3881.74</x:v>
      </x:c>
      <x:c r="G21" s="23" t="n">
        <x:v>3912.52</x:v>
      </x:c>
      <x:c r="H21" s="23" t="n">
        <x:v>23.1</x:v>
      </x:c>
      <x:c r="I21" s="24" t="n">
        <x:v>0.005934016207988835</x:v>
      </x:c>
      <x:c r="J21" s="23" t="n">
        <x:f>ROUND(E21-F21,1)</x:f>
        <x:v>44.7</x:v>
      </x:c>
      <x:c r="K21" s="22" t="str">
        <x:v>上证指数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3911.89</x:v>
      </x:c>
      <x:c r="E22" s="23" t="n">
        <x:v>3958.03</x:v>
      </x:c>
      <x:c r="F22" s="23" t="n">
        <x:v>3909.31</x:v>
      </x:c>
      <x:c r="G22" s="23" t="n">
        <x:v>3956.57</x:v>
      </x:c>
      <x:c r="H22" s="23" t="n">
        <x:v>44.1</x:v>
      </x:c>
      <x:c r="I22" s="24" t="n">
        <x:v>0.01125872838988684</x:v>
      </x:c>
      <x:c r="J22" s="23" t="n">
        <x:f>ROUND(E22-F22,1)</x:f>
        <x:v>48.7</x:v>
      </x:c>
      <x:c r="K22" s="22" t="str">
        <x:v>上证指数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3950.24</x:v>
      </x:c>
      <x:c r="E23" s="23" t="n">
        <x:v>3970.31</x:v>
      </x:c>
      <x:c r="F23" s="23" t="n">
        <x:v>3947.8</x:v>
      </x:c>
      <x:c r="G23" s="23" t="n">
        <x:v>3952.18</x:v>
      </x:c>
      <x:c r="H23" s="23" t="n">
        <x:v>-4.4</x:v>
      </x:c>
      <x:c r="I23" s="24" t="n">
        <x:v>-0.0011095469055268925</x:v>
      </x:c>
      <x:c r="J23" s="23" t="n">
        <x:f>ROUND(E23-F23,1)</x:f>
        <x:v>22.5</x:v>
      </x:c>
      <x:c r="K23" s="22" t="str">
        <x:v>上证指数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846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42.3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7550</x:v>
      </x:c>
      <x:c r="E17" s="23" t="n">
        <x:v>7582.2</x:v>
      </x:c>
      <x:c r="F17" s="23" t="n">
        <x:v>7482.8</x:v>
      </x:c>
      <x:c r="G17" s="23" t="n">
        <x:v>7516.2</x:v>
      </x:c>
      <x:c r="H17" s="23" t="n">
        <x:v>47.4</x:v>
      </x:c>
      <x:c r="I17" s="24" t="n">
        <x:v>0.0063464010282776595</x:v>
      </x:c>
      <x:c r="J17" s="23" t="n">
        <x:f>ROUND(E17-F17,1)</x:f>
        <x:v>99.4</x:v>
      </x:c>
      <x:c r="K17" s="22" t="str">
        <x:v>IM2609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7500</x:v>
      </x:c>
      <x:c r="E18" s="42" t="n">
        <x:v>7575</x:v>
      </x:c>
      <x:c r="F18" s="42" t="n">
        <x:v>7410</x:v>
      </x:c>
      <x:c r="G18" s="42" t="n">
        <x:v>7527</x:v>
      </x:c>
      <x:c r="H18" s="42" t="n">
        <x:v>10.8</x:v>
      </x:c>
      <x:c r="I18" s="43" t="n">
        <x:v>0.0014368963039834703</x:v>
      </x:c>
      <x:c r="J18" s="42" t="n">
        <x:f>ROUND(E18-F18,1)</x:f>
        <x:v>165</x:v>
      </x:c>
      <x:c r="K18" s="41" t="str">
        <x:v>IM2609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7534.8</x:v>
      </x:c>
      <x:c r="E19" s="23" t="n">
        <x:v>7549</x:v>
      </x:c>
      <x:c r="F19" s="23" t="n">
        <x:v>7308.8</x:v>
      </x:c>
      <x:c r="G19" s="23" t="n">
        <x:v>7425.8</x:v>
      </x:c>
      <x:c r="H19" s="23" t="n">
        <x:v>-101.2</x:v>
      </x:c>
      <x:c r="I19" s="24" t="n">
        <x:v>-0.013444931579646546</x:v>
      </x:c>
      <x:c r="J19" s="26" t="n">
        <x:f>ROUND(E19-F19,1)</x:f>
        <x:v>240.2</x:v>
      </x:c>
      <x:c r="K19" s="22" t="str">
        <x:v>IM2609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7380</x:v>
      </x:c>
      <x:c r="E20" s="23" t="n">
        <x:v>7509.6</x:v>
      </x:c>
      <x:c r="F20" s="23" t="n">
        <x:v>7300.2</x:v>
      </x:c>
      <x:c r="G20" s="23" t="n">
        <x:v>7466.4</x:v>
      </x:c>
      <x:c r="H20" s="23" t="n">
        <x:v>40.6</x:v>
      </x:c>
      <x:c r="I20" s="24" t="n">
        <x:v>0.005467424385251274</x:v>
      </x:c>
      <x:c r="J20" s="26" t="n">
        <x:f>ROUND(E20-F20,1)</x:f>
        <x:v>209.4</x:v>
      </x:c>
      <x:c r="K20" s="22" t="str">
        <x:v>IM2609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7466</x:v>
      </x:c>
      <x:c r="E21" s="23" t="n">
        <x:v>7558</x:v>
      </x:c>
      <x:c r="F21" s="23" t="n">
        <x:v>7395</x:v>
      </x:c>
      <x:c r="G21" s="23" t="n">
        <x:v>7491.8</x:v>
      </x:c>
      <x:c r="H21" s="23" t="n">
        <x:v>25.4</x:v>
      </x:c>
      <x:c r="I21" s="24" t="n">
        <x:v>0.0034019072109718884</x:v>
      </x:c>
      <x:c r="J21" s="23" t="n">
        <x:f>ROUND(E21-F21,1)</x:f>
        <x:v>163</x:v>
      </x:c>
      <x:c r="K21" s="22" t="str">
        <x:v>IM2609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7511</x:v>
      </x:c>
      <x:c r="E22" s="23" t="n">
        <x:v>7696</x:v>
      </x:c>
      <x:c r="F22" s="23" t="n">
        <x:v>7472</x:v>
      </x:c>
      <x:c r="G22" s="23" t="n">
        <x:v>7686.6</x:v>
      </x:c>
      <x:c r="H22" s="28" t="n">
        <x:v>194.8</x:v>
      </x:c>
      <x:c r="I22" s="24" t="n">
        <x:v>0.026001761926372824</x:v>
      </x:c>
      <x:c r="J22" s="26" t="n">
        <x:f>ROUND(E22-F22,1)</x:f>
        <x:v>224</x:v>
      </x:c>
      <x:c r="K22" s="22" t="str">
        <x:v>IM2609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3332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175.4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7789.6</x:v>
      </x:c>
      <x:c r="E17" s="23" t="n">
        <x:v>7811</x:v>
      </x:c>
      <x:c r="F17" s="23" t="n">
        <x:v>7713</x:v>
      </x:c>
      <x:c r="G17" s="23" t="n">
        <x:v>7761</x:v>
      </x:c>
      <x:c r="H17" s="23" t="n">
        <x:v>49</x:v>
      </x:c>
      <x:c r="I17" s="24" t="n">
        <x:v>0.006353734439834113</x:v>
      </x:c>
      <x:c r="J17" s="23" t="n">
        <x:f>ROUND(E17-F17,1)</x:f>
        <x:v>98</x:v>
      </x:c>
      <x:c r="K17" s="22" t="str">
        <x:v>IC2609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7744</x:v>
      </x:c>
      <x:c r="E18" s="42" t="n">
        <x:v>7797.2</x:v>
      </x:c>
      <x:c r="F18" s="42" t="n">
        <x:v>7669.6</x:v>
      </x:c>
      <x:c r="G18" s="42" t="n">
        <x:v>7762</x:v>
      </x:c>
      <x:c r="H18" s="42" t="n">
        <x:v>1</x:v>
      </x:c>
      <x:c r="I18" s="43" t="n">
        <x:v>0.00012884937508061967</x:v>
      </x:c>
      <x:c r="J18" s="42" t="n">
        <x:f>ROUND(E18-F18,1)</x:f>
        <x:v>127.6</x:v>
      </x:c>
      <x:c r="K18" s="41" t="str">
        <x:v>IC2609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7757</x:v>
      </x:c>
      <x:c r="E19" s="23" t="n">
        <x:v>7764.4</x:v>
      </x:c>
      <x:c r="F19" s="23" t="n">
        <x:v>7514.4</x:v>
      </x:c>
      <x:c r="G19" s="23" t="n">
        <x:v>7628.4</x:v>
      </x:c>
      <x:c r="H19" s="23" t="n">
        <x:v>-133.6</x:v>
      </x:c>
      <x:c r="I19" s="24" t="n">
        <x:v>-0.01721205874774545</x:v>
      </x:c>
      <x:c r="J19" s="26" t="n">
        <x:f>ROUND(E19-F19,1)</x:f>
        <x:v>250</x:v>
      </x:c>
      <x:c r="K19" s="22" t="str">
        <x:v>IC2609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7593</x:v>
      </x:c>
      <x:c r="E20" s="23" t="n">
        <x:v>7687.8</x:v>
      </x:c>
      <x:c r="F20" s="23" t="n">
        <x:v>7496</x:v>
      </x:c>
      <x:c r="G20" s="23" t="n">
        <x:v>7637</x:v>
      </x:c>
      <x:c r="H20" s="23" t="n">
        <x:v>8.6</x:v>
      </x:c>
      <x:c r="I20" s="24" t="n">
        <x:v>0.0011273661580410987</x:v>
      </x:c>
      <x:c r="J20" s="26" t="n">
        <x:f>ROUND(E20-F20,1)</x:f>
        <x:v>191.8</x:v>
      </x:c>
      <x:c r="K20" s="22" t="str">
        <x:v>IC2609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7633.8</x:v>
      </x:c>
      <x:c r="E21" s="23" t="n">
        <x:v>7783.2</x:v>
      </x:c>
      <x:c r="F21" s="23" t="n">
        <x:v>7604</x:v>
      </x:c>
      <x:c r="G21" s="23" t="n">
        <x:v>7708.8</x:v>
      </x:c>
      <x:c r="H21" s="23" t="n">
        <x:v>71.8</x:v>
      </x:c>
      <x:c r="I21" s="24" t="n">
        <x:v>0.00940159748592384</x:v>
      </x:c>
      <x:c r="J21" s="26" t="n">
        <x:f>ROUND(E21-F21,1)</x:f>
        <x:v>179.2</x:v>
      </x:c>
      <x:c r="K21" s="22" t="str">
        <x:v>IC2609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7730.6</x:v>
      </x:c>
      <x:c r="E22" s="23" t="n">
        <x:v>7907</x:v>
      </x:c>
      <x:c r="F22" s="23" t="n">
        <x:v>7700</x:v>
      </x:c>
      <x:c r="G22" s="23" t="n">
        <x:v>7903</x:v>
      </x:c>
      <x:c r="H22" s="28" t="n">
        <x:v>194.2</x:v>
      </x:c>
      <x:c r="I22" s="24" t="n">
        <x:v>0.025191988376919827</x:v>
      </x:c>
      <x:c r="J22" s="26" t="n">
        <x:f>ROUND(E22-F22,1)</x:f>
        <x:v>207</x:v>
      </x:c>
      <x:c r="K22" s="22" t="str">
        <x:v>IC2609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3262.6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171.7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4580</x:v>
      </x:c>
      <x:c r="E17" s="23" t="n">
        <x:v>4585</x:v>
      </x:c>
      <x:c r="F17" s="23" t="n">
        <x:v>4532.4</x:v>
      </x:c>
      <x:c r="G17" s="23" t="n">
        <x:v>4554</x:v>
      </x:c>
      <x:c r="H17" s="23" t="n">
        <x:v>-0.2</x:v>
      </x:c>
      <x:c r="I17" s="24" t="n">
        <x:v>-0.000043915506565350704</x:v>
      </x:c>
      <x:c r="J17" s="23" t="n">
        <x:f>ROUND(E17-F17,1)</x:f>
        <x:v>52.6</x:v>
      </x:c>
      <x:c r="K17" s="22" t="str">
        <x:v>IF2609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4556</x:v>
      </x:c>
      <x:c r="E18" s="42" t="n">
        <x:v>4595.8</x:v>
      </x:c>
      <x:c r="F18" s="42" t="n">
        <x:v>4542.4</x:v>
      </x:c>
      <x:c r="G18" s="42" t="n">
        <x:v>4576</x:v>
      </x:c>
      <x:c r="H18" s="42" t="n">
        <x:v>22</x:v>
      </x:c>
      <x:c r="I18" s="43" t="n">
        <x:v>0.004830917874396157</x:v>
      </x:c>
      <x:c r="J18" s="42" t="n">
        <x:f>ROUND(E18-F18,1)</x:f>
        <x:v>53.4</x:v>
      </x:c>
      <x:c r="K18" s="41" t="str">
        <x:v>IF2609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4607.4</x:v>
      </x:c>
      <x:c r="E19" s="23" t="n">
        <x:v>4607.4</x:v>
      </x:c>
      <x:c r="F19" s="23" t="n">
        <x:v>4486.4</x:v>
      </x:c>
      <x:c r="G19" s="23" t="n">
        <x:v>4526.4</x:v>
      </x:c>
      <x:c r="H19" s="23" t="n">
        <x:v>-49.6</x:v>
      </x:c>
      <x:c r="I19" s="24" t="n">
        <x:v>-0.010839160839160922</x:v>
      </x:c>
      <x:c r="J19" s="26" t="n">
        <x:f>ROUND(E19-F19,1)</x:f>
        <x:v>121</x:v>
      </x:c>
      <x:c r="K19" s="22" t="str">
        <x:v>IF2609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4510</x:v>
      </x:c>
      <x:c r="E20" s="23" t="n">
        <x:v>4544.2</x:v>
      </x:c>
      <x:c r="F20" s="23" t="n">
        <x:v>4488</x:v>
      </x:c>
      <x:c r="G20" s="23" t="n">
        <x:v>4521.8</x:v>
      </x:c>
      <x:c r="H20" s="23" t="n">
        <x:v>-4.6</x:v>
      </x:c>
      <x:c r="I20" s="24" t="n">
        <x:v>-0.0010162601626014789</x:v>
      </x:c>
      <x:c r="J20" s="23" t="n">
        <x:f>ROUND(E20-F20,1)</x:f>
        <x:v>56.2</x:v>
      </x:c>
      <x:c r="K20" s="22" t="str">
        <x:v>IF2609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4515.6</x:v>
      </x:c>
      <x:c r="E21" s="23" t="n">
        <x:v>4593.6</x:v>
      </x:c>
      <x:c r="F21" s="23" t="n">
        <x:v>4515.6</x:v>
      </x:c>
      <x:c r="G21" s="23" t="n">
        <x:v>4566.8</x:v>
      </x:c>
      <x:c r="H21" s="23" t="n">
        <x:v>45</x:v>
      </x:c>
      <x:c r="I21" s="24" t="n">
        <x:v>0.009951789110531184</x:v>
      </x:c>
      <x:c r="J21" s="23" t="n">
        <x:f>ROUND(E21-F21,1)</x:f>
        <x:v>78</x:v>
      </x:c>
      <x:c r="K21" s="22" t="str">
        <x:v>IF2609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4577.2</x:v>
      </x:c>
      <x:c r="E22" s="23" t="n">
        <x:v>4608.2</x:v>
      </x:c>
      <x:c r="F22" s="23" t="n">
        <x:v>4561.8</x:v>
      </x:c>
      <x:c r="G22" s="23" t="n">
        <x:v>4604.8</x:v>
      </x:c>
      <x:c r="H22" s="23" t="n">
        <x:v>38</x:v>
      </x:c>
      <x:c r="I22" s="24" t="n">
        <x:v>0.008320924936498164</x:v>
      </x:c>
      <x:c r="J22" s="23" t="n">
        <x:f>ROUND(E22-F22,1)</x:f>
        <x:v>46.4</x:v>
      </x:c>
      <x:c r="K22" s="22" t="str">
        <x:v>IF2609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1215.6000000000001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64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2871.6</x:v>
      </x:c>
      <x:c r="E17" s="23" t="n">
        <x:v>2880.8</x:v>
      </x:c>
      <x:c r="F17" s="23" t="n">
        <x:v>2848</x:v>
      </x:c>
      <x:c r="G17" s="23" t="n">
        <x:v>2858.8</x:v>
      </x:c>
      <x:c r="H17" s="23" t="n">
        <x:v>-6.2</x:v>
      </x:c>
      <x:c r="I17" s="24" t="n">
        <x:v>-0.0021640488656194945</x:v>
      </x:c>
      <x:c r="J17" s="23" t="n">
        <x:f>ROUND(E17-F17,1)</x:f>
        <x:v>32.8</x:v>
      </x:c>
      <x:c r="K17" s="22" t="str">
        <x:v>IH2609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2854</x:v>
      </x:c>
      <x:c r="E18" s="42" t="n">
        <x:v>2873</x:v>
      </x:c>
      <x:c r="F18" s="42" t="n">
        <x:v>2847.2</x:v>
      </x:c>
      <x:c r="G18" s="42" t="n">
        <x:v>2861</x:v>
      </x:c>
      <x:c r="H18" s="42" t="n">
        <x:v>2.2</x:v>
      </x:c>
      <x:c r="I18" s="43" t="n">
        <x:v>0.0007695536588778751</x:v>
      </x:c>
      <x:c r="J18" s="42" t="n">
        <x:f>ROUND(E18-F18,1)</x:f>
        <x:v>25.8</x:v>
      </x:c>
      <x:c r="K18" s="41" t="str">
        <x:v>IH2609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2856.4</x:v>
      </x:c>
      <x:c r="E19" s="23" t="n">
        <x:v>2866.8</x:v>
      </x:c>
      <x:c r="F19" s="23" t="n">
        <x:v>2837.4</x:v>
      </x:c>
      <x:c r="G19" s="23" t="n">
        <x:v>2851</x:v>
      </x:c>
      <x:c r="H19" s="23" t="n">
        <x:v>-10</x:v>
      </x:c>
      <x:c r="I19" s="24" t="n">
        <x:v>-0.003495281370150316</x:v>
      </x:c>
      <x:c r="J19" s="23" t="n">
        <x:f>ROUND(E19-F19,1)</x:f>
        <x:v>29.4</x:v>
      </x:c>
      <x:c r="K19" s="22" t="str">
        <x:v>IH2609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2855.2</x:v>
      </x:c>
      <x:c r="E20" s="23" t="n">
        <x:v>2864.4</x:v>
      </x:c>
      <x:c r="F20" s="23" t="n">
        <x:v>2840</x:v>
      </x:c>
      <x:c r="G20" s="23" t="n">
        <x:v>2855.2</x:v>
      </x:c>
      <x:c r="H20" s="23" t="n">
        <x:v>4.2</x:v>
      </x:c>
      <x:c r="I20" s="24" t="n">
        <x:v>0.001473167309715917</x:v>
      </x:c>
      <x:c r="J20" s="23" t="n">
        <x:f>ROUND(E20-F20,1)</x:f>
        <x:v>24.4</x:v>
      </x:c>
      <x:c r="K20" s="22" t="str">
        <x:v>IH2609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2850</x:v>
      </x:c>
      <x:c r="E21" s="23" t="n">
        <x:v>2903.8</x:v>
      </x:c>
      <x:c r="F21" s="23" t="n">
        <x:v>2850</x:v>
      </x:c>
      <x:c r="G21" s="23" t="n">
        <x:v>2888.8</x:v>
      </x:c>
      <x:c r="H21" s="23" t="n">
        <x:v>33.6</x:v>
      </x:c>
      <x:c r="I21" s="24" t="n">
        <x:v>0.0117680022415243</x:v>
      </x:c>
      <x:c r="J21" s="23" t="n">
        <x:f>ROUND(E21-F21,1)</x:f>
        <x:v>53.8</x:v>
      </x:c>
      <x:c r="K21" s="22" t="str">
        <x:v>IH2609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2895</x:v>
      </x:c>
      <x:c r="E22" s="23" t="n">
        <x:v>2916.2</x:v>
      </x:c>
      <x:c r="F22" s="23" t="n">
        <x:v>2890.4</x:v>
      </x:c>
      <x:c r="G22" s="23" t="n">
        <x:v>2914</x:v>
      </x:c>
      <x:c r="H22" s="23" t="n">
        <x:v>25.2</x:v>
      </x:c>
      <x:c r="I22" s="24" t="n">
        <x:v>0.008723345333702559</x:v>
      </x:c>
      <x:c r="J22" s="23" t="n">
        <x:f>ROUND(E22-F22,1)</x:f>
        <x:v>25.8</x:v>
      </x:c>
      <x:c r="K22" s="22" t="str">
        <x:v>IH2609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2909</x:v>
      </x:c>
      <x:c r="E23" s="23" t="n">
        <x:v>2918.2</x:v>
      </x:c>
      <x:c r="F23" s="23" t="n">
        <x:v>2905.2</x:v>
      </x:c>
      <x:c r="G23" s="23" t="n">
        <x:v>2911.4</x:v>
      </x:c>
      <x:c r="H23" s="23" t="n">
        <x:v>-2.6</x:v>
      </x:c>
      <x:c r="I23" s="24" t="n">
        <x:v>-0.0008922443376800926</x:v>
      </x:c>
      <x:c r="J23" s="23" t="n">
        <x:f>ROUND(E23-F23,1)</x:f>
        <x:v>13</x:v>
      </x:c>
      <x:c r="K23" s="22" t="str">
        <x:v>IH2609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655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32.8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150800</x:v>
      </x:c>
      <x:c r="E17" s="23" t="n">
        <x:v>152600</x:v>
      </x:c>
      <x:c r="F17" s="23" t="n">
        <x:v>149800</x:v>
      </x:c>
      <x:c r="G17" s="23" t="n">
        <x:v>151500</x:v>
      </x:c>
      <x:c r="H17" s="28" t="n">
        <x:v>2020</x:v>
      </x:c>
      <x:c r="I17" s="24" t="n">
        <x:v>0.013513513513513598</x:v>
      </x:c>
      <x:c r="J17" s="23" t="n">
        <x:f>ROUND(E17-F17,1)</x:f>
        <x:v>2800</x:v>
      </x:c>
      <x:c r="K17" s="22" t="str">
        <x:v>LC2609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151500</x:v>
      </x:c>
      <x:c r="E18" s="42" t="n">
        <x:v>157000</x:v>
      </x:c>
      <x:c r="F18" s="42" t="n">
        <x:v>150020</x:v>
      </x:c>
      <x:c r="G18" s="42" t="n">
        <x:v>156140</x:v>
      </x:c>
      <x:c r="H18" s="28" t="n">
        <x:v>4640</x:v>
      </x:c>
      <x:c r="I18" s="43" t="n">
        <x:v>0.03062706270627058</x:v>
      </x:c>
      <x:c r="J18" s="26" t="n">
        <x:f>ROUND(E18-F18,1)</x:f>
        <x:v>6980</x:v>
      </x:c>
      <x:c r="K18" s="41" t="str">
        <x:v>LC2609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158500</x:v>
      </x:c>
      <x:c r="E19" s="23" t="n">
        <x:v>160000</x:v>
      </x:c>
      <x:c r="F19" s="23" t="n">
        <x:v>154280</x:v>
      </x:c>
      <x:c r="G19" s="23" t="n">
        <x:v>157000</x:v>
      </x:c>
      <x:c r="H19" s="28" t="n">
        <x:v>860</x:v>
      </x:c>
      <x:c r="I19" s="24" t="n">
        <x:v>0.005507877545792184</x:v>
      </x:c>
      <x:c r="J19" s="23" t="n">
        <x:f>ROUND(E19-F19,1)</x:f>
        <x:v>5720</x:v>
      </x:c>
      <x:c r="K19" s="22" t="str">
        <x:v>LC2609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156000</x:v>
      </x:c>
      <x:c r="E20" s="23" t="n">
        <x:v>157980</x:v>
      </x:c>
      <x:c r="F20" s="23" t="n">
        <x:v>149300</x:v>
      </x:c>
      <x:c r="G20" s="23" t="n">
        <x:v>149300</x:v>
      </x:c>
      <x:c r="H20" s="28" t="n">
        <x:v>-7700</x:v>
      </x:c>
      <x:c r="I20" s="24" t="n">
        <x:v>-0.049044585987261136</x:v>
      </x:c>
      <x:c r="J20" s="26" t="n">
        <x:f>ROUND(E20-F20,1)</x:f>
        <x:v>8680</x:v>
      </x:c>
      <x:c r="K20" s="22" t="str">
        <x:v>LC2609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147000</x:v>
      </x:c>
      <x:c r="E21" s="23" t="n">
        <x:v>153380</x:v>
      </x:c>
      <x:c r="F21" s="23" t="n">
        <x:v>147000</x:v>
      </x:c>
      <x:c r="G21" s="23" t="n">
        <x:v>150580</x:v>
      </x:c>
      <x:c r="H21" s="28" t="n">
        <x:v>1280</x:v>
      </x:c>
      <x:c r="I21" s="24" t="n">
        <x:v>0.008573342263898276</x:v>
      </x:c>
      <x:c r="J21" s="26" t="n">
        <x:f>ROUND(E21-F21,1)</x:f>
        <x:v>6380</x:v>
      </x:c>
      <x:c r="K21" s="22" t="str">
        <x:v>LC2609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149860</x:v>
      </x:c>
      <x:c r="E22" s="23" t="n">
        <x:v>153140</x:v>
      </x:c>
      <x:c r="F22" s="23" t="n">
        <x:v>149120</x:v>
      </x:c>
      <x:c r="G22" s="23" t="n">
        <x:v>150300</x:v>
      </x:c>
      <x:c r="H22" s="28" t="n">
        <x:v>-280</x:v>
      </x:c>
      <x:c r="I22" s="24" t="n">
        <x:v>-0.001859476690131534</x:v>
      </x:c>
      <x:c r="J22" s="23" t="n">
        <x:f>ROUND(E22-F22,1)</x:f>
        <x:v>4020</x:v>
      </x:c>
      <x:c r="K22" s="22" t="str">
        <x:v>LC2609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98900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5205.3</x:v>
      </x:c>
      <x:c r="K26" s="30"/>
    </x:row>
  </x:sheetData>
  <x:mergeCells>
    <x:mergeCell ref="A1:K1"/>
  </x:mergeCells>
  <x:pageMargins left="0.7" right="0.7" top="0.75" bottom="0.75" header="0.3" footer="0.3"/>
</x:worksheet>
</file>