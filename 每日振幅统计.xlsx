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0b49dbba7a40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c093119470d493b"/>
    <x:sheet xmlns:r="http://schemas.openxmlformats.org/officeDocument/2006/relationships" name="中证1000" sheetId="2" r:id="Rb16e6c46bad04a80"/>
    <x:sheet xmlns:r="http://schemas.openxmlformats.org/officeDocument/2006/relationships" name="中证500" sheetId="3" r:id="R26aabe8e4a414d51"/>
    <x:sheet xmlns:r="http://schemas.openxmlformats.org/officeDocument/2006/relationships" name="上证指数" sheetId="4" r:id="R6637b9b171c545ac"/>
    <x:sheet xmlns:r="http://schemas.openxmlformats.org/officeDocument/2006/relationships" name="IM主力" sheetId="5" r:id="R03bfe7d97db24c22"/>
    <x:sheet xmlns:r="http://schemas.openxmlformats.org/officeDocument/2006/relationships" name="IC主力" sheetId="6" r:id="R5dfa1056d0704c62"/>
    <x:sheet xmlns:r="http://schemas.openxmlformats.org/officeDocument/2006/relationships" name="IF主力" sheetId="7" r:id="R2ad8a6580f2248c4"/>
    <x:sheet xmlns:r="http://schemas.openxmlformats.org/officeDocument/2006/relationships" name="IH主力" sheetId="8" r:id="R8dab89f43d0141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04684254da4dbc" /><Relationship Type="http://schemas.openxmlformats.org/officeDocument/2006/relationships/theme" Target="/xl/theme/theme1.xml" Id="Ra9b2135dbb254cd0" /><Relationship Type="http://schemas.openxmlformats.org/officeDocument/2006/relationships/sharedStrings" Target="/xl/sharedStrings.xml" Id="R8342b2349a6541c8" /><Relationship Type="http://schemas.openxmlformats.org/officeDocument/2006/relationships/worksheet" Target="/xl/worksheets/sheet1.xml" Id="R5c093119470d493b" /><Relationship Type="http://schemas.openxmlformats.org/officeDocument/2006/relationships/worksheet" Target="/xl/worksheets/sheet2.xml" Id="Rb16e6c46bad04a80" /><Relationship Type="http://schemas.openxmlformats.org/officeDocument/2006/relationships/worksheet" Target="/xl/worksheets/sheet3.xml" Id="R26aabe8e4a414d51" /><Relationship Type="http://schemas.openxmlformats.org/officeDocument/2006/relationships/worksheet" Target="/xl/worksheets/sheet4.xml" Id="R6637b9b171c545ac" /><Relationship Type="http://schemas.openxmlformats.org/officeDocument/2006/relationships/worksheet" Target="/xl/worksheets/sheet5.xml" Id="R03bfe7d97db24c22" /><Relationship Type="http://schemas.openxmlformats.org/officeDocument/2006/relationships/worksheet" Target="/xl/worksheets/sheet6.xml" Id="R5dfa1056d0704c62" /><Relationship Type="http://schemas.openxmlformats.org/officeDocument/2006/relationships/worksheet" Target="/xl/worksheets/sheet7.xml" Id="R2ad8a6580f2248c4" /><Relationship Type="http://schemas.openxmlformats.org/officeDocument/2006/relationships/worksheet" Target="/xl/worksheets/sheet8.xml" Id="R8dab89f43d0141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2026-07-23</x:v>
      </x:c>
      <x:c r="C4" s="10" t="n">
        <x:v>7247.141</x:v>
      </x:c>
      <x:c r="D4" s="10" t="n">
        <x:v>7113.498</x:v>
      </x:c>
      <x:c r="E4" s="12" t="n">
        <x:v>133.6</x:v>
      </x:c>
      <x:c r="F4" s="9" t="n">
        <x:v>17</x:v>
      </x:c>
      <x:c r="G4" s="10" t="n">
        <x:v>4764.2</x:v>
      </x:c>
      <x:c r="H4" s="10" t="n">
        <x:v>280.2</x:v>
      </x:c>
      <x:c r="I4" s="10" t="n">
        <x:v>180</x:v>
      </x:c>
    </x:row>
    <x:row r="5">
      <x:c r="A5" s="9" t="str">
        <x:v>中证500</x:v>
      </x:c>
      <x:c r="B5" s="9" t="str">
        <x:v>2026-07-23</x:v>
      </x:c>
      <x:c r="C5" s="10" t="n">
        <x:v>7795.35</x:v>
      </x:c>
      <x:c r="D5" s="10" t="n">
        <x:v>7658.999</x:v>
      </x:c>
      <x:c r="E5" s="12" t="n">
        <x:v>136.4</x:v>
      </x:c>
      <x:c r="F5" s="9" t="n">
        <x:v>17</x:v>
      </x:c>
      <x:c r="G5" s="10" t="n">
        <x:v>4789.3</x:v>
      </x:c>
      <x:c r="H5" s="10" t="n">
        <x:v>281.7</x:v>
      </x:c>
      <x:c r="I5" s="10" t="n">
        <x:v>160</x:v>
      </x:c>
    </x:row>
    <x:row r="6">
      <x:c r="A6" s="9" t="str">
        <x:v>上证指数</x:v>
      </x:c>
      <x:c r="B6" s="9" t="str">
        <x:v>2026-07-23</x:v>
      </x:c>
      <x:c r="C6" s="10" t="n">
        <x:v>3878.832</x:v>
      </x:c>
      <x:c r="D6" s="10" t="n">
        <x:v>3851.706</x:v>
      </x:c>
      <x:c r="E6" s="12" t="n">
        <x:v>27.1</x:v>
      </x:c>
      <x:c r="F6" s="9" t="n">
        <x:v>17</x:v>
      </x:c>
      <x:c r="G6" s="10" t="n">
        <x:v>1215.8</x:v>
      </x:c>
      <x:c r="H6" s="10" t="n">
        <x:v>71.5</x:v>
      </x:c>
      <x:c r="I6" s="10" t="n">
        <x:v>50</x:v>
      </x:c>
    </x:row>
    <x:row r="7">
      <x:c r="A7" s="9" t="str">
        <x:v>IM主力</x:v>
      </x:c>
      <x:c r="B7" s="9" t="str">
        <x:v>2026-07-23</x:v>
      </x:c>
      <x:c r="C7" s="10" t="n">
        <x:v>7159.6</x:v>
      </x:c>
      <x:c r="D7" s="10" t="n">
        <x:v>7000.6</x:v>
      </x:c>
      <x:c r="E7" s="12" t="n">
        <x:v>159</x:v>
      </x:c>
      <x:c r="F7" s="9" t="n">
        <x:v>17</x:v>
      </x:c>
      <x:c r="G7" s="10" t="n">
        <x:v>4631.6</x:v>
      </x:c>
      <x:c r="H7" s="10" t="n">
        <x:v>272.4</x:v>
      </x:c>
      <x:c r="I7" s="10" t="n">
        <x:v>190</x:v>
      </x:c>
    </x:row>
    <x:row r="8">
      <x:c r="A8" s="9" t="str">
        <x:v>IC主力</x:v>
      </x:c>
      <x:c r="B8" s="9" t="str">
        <x:v>2026-07-23</x:v>
      </x:c>
      <x:c r="C8" s="10" t="n">
        <x:v>7693</x:v>
      </x:c>
      <x:c r="D8" s="10" t="n">
        <x:v>7538</x:v>
      </x:c>
      <x:c r="E8" s="12" t="n">
        <x:v>155</x:v>
      </x:c>
      <x:c r="F8" s="9" t="n">
        <x:v>17</x:v>
      </x:c>
      <x:c r="G8" s="10" t="n">
        <x:v>4697.8</x:v>
      </x:c>
      <x:c r="H8" s="10" t="n">
        <x:v>276.3</x:v>
      </x:c>
      <x:c r="I8" s="10" t="n">
        <x:v>150</x:v>
      </x:c>
    </x:row>
    <x:row r="9">
      <x:c r="A9" s="9" t="str">
        <x:v>IF主力</x:v>
      </x:c>
      <x:c r="B9" s="9" t="str">
        <x:v>2026-07-23</x:v>
      </x:c>
      <x:c r="C9" s="10" t="n">
        <x:v>4682.6</x:v>
      </x:c>
      <x:c r="D9" s="10" t="n">
        <x:v>4644</x:v>
      </x:c>
      <x:c r="E9" s="12" t="n">
        <x:v>38.6</x:v>
      </x:c>
      <x:c r="F9" s="9" t="n">
        <x:v>17</x:v>
      </x:c>
      <x:c r="G9" s="10" t="n">
        <x:v>1713</x:v>
      </x:c>
      <x:c r="H9" s="10" t="n">
        <x:v>100.8</x:v>
      </x:c>
      <x:c r="I9" s="10" t="n">
        <x:v>90</x:v>
      </x:c>
    </x:row>
    <x:row r="10">
      <x:c r="A10" s="9" t="str">
        <x:v>IH主力</x:v>
      </x:c>
      <x:c r="B10" s="9" t="str">
        <x:v>2026-07-23</x:v>
      </x:c>
      <x:c r="C10" s="10" t="n">
        <x:v>2969.6</x:v>
      </x:c>
      <x:c r="D10" s="10" t="n">
        <x:v>2938.8</x:v>
      </x:c>
      <x:c r="E10" s="12" t="n">
        <x:v>30.8</x:v>
      </x:c>
      <x:c r="F10" s="9" t="n">
        <x:v>17</x:v>
      </x:c>
      <x:c r="G10" s="10" t="n">
        <x:v>956.4</x:v>
      </x:c>
      <x:c r="H10" s="10" t="n">
        <x:v>56.3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2026-07-23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7599.388</x:v>
      </x:c>
      <x:c r="E16" s="32" t="n">
        <x:v>7605.613</x:v>
      </x:c>
      <x:c r="F16" s="32" t="n">
        <x:v>7163.309</x:v>
      </x:c>
      <x:c r="G16" s="32" t="n">
        <x:v>7167.996</x:v>
      </x:c>
      <x:c r="H16" s="25" t="n">
        <x:v>-463.8</x:v>
      </x:c>
      <x:c r="I16" s="33" t="n">
        <x:v>-0.06076788034008396</x:v>
      </x:c>
      <x:c r="J16" s="27" t="n">
        <x:f>ROUND(E16-F16,1)</x:f>
        <x:v>442.3</x:v>
      </x:c>
      <x:c r="K16" s="31" t="str">
        <x:v>中证1000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7256.267</x:v>
      </x:c>
      <x:c r="E17" s="22" t="n">
        <x:v>7298.122</x:v>
      </x:c>
      <x:c r="F17" s="22" t="n">
        <x:v>6824.145</x:v>
      </x:c>
      <x:c r="G17" s="22" t="n">
        <x:v>6965.376</x:v>
      </x:c>
      <x:c r="H17" s="25" t="n">
        <x:v>-202.6</x:v>
      </x:c>
      <x:c r="I17" s="23" t="n">
        <x:v>-0.028267314881314065</x:v>
      </x:c>
      <x:c r="J17" s="27" t="n">
        <x:f>ROUND(E17-F17,1)</x:f>
        <x:v>474</x:v>
      </x:c>
      <x:c r="K17" s="21" t="str">
        <x:v>中证1000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6975.893</x:v>
      </x:c>
      <x:c r="E18" s="22" t="n">
        <x:v>7264.338</x:v>
      </x:c>
      <x:c r="F18" s="22" t="n">
        <x:v>6714.187</x:v>
      </x:c>
      <x:c r="G18" s="22" t="n">
        <x:v>7259.863</x:v>
      </x:c>
      <x:c r="H18" s="25" t="n">
        <x:v>294.5</x:v>
      </x:c>
      <x:c r="I18" s="23" t="n">
        <x:v>0.042278693928367916</x:v>
      </x:c>
      <x:c r="J18" s="27" t="n">
        <x:f>ROUND(E18-F18,1)</x:f>
        <x:v>550.2</x:v>
      </x:c>
      <x:c r="K18" s="21" t="str">
        <x:v>中证1000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7196.863</x:v>
      </x:c>
      <x:c r="E19" s="22" t="n">
        <x:v>7302.454</x:v>
      </x:c>
      <x:c r="F19" s="22" t="n">
        <x:v>7118.66</x:v>
      </x:c>
      <x:c r="G19" s="22" t="n">
        <x:v>7158.762</x:v>
      </x:c>
      <x:c r="H19" s="22" t="n">
        <x:v>-101.1</x:v>
      </x:c>
      <x:c r="I19" s="23" t="n">
        <x:v>-0.01392602036705104</x:v>
      </x:c>
      <x:c r="J19" s="27" t="n">
        <x:f>ROUND(E19-F19,1)</x:f>
        <x:v>183.8</x:v>
      </x:c>
      <x:c r="K19" s="21" t="str">
        <x:v>中证1000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7169.543</x:v>
      </x:c>
      <x:c r="E20" s="22" t="n">
        <x:v>7247.141</x:v>
      </x:c>
      <x:c r="F20" s="22" t="n">
        <x:v>7113.498</x:v>
      </x:c>
      <x:c r="G20" s="22" t="n">
        <x:v>7195.5</x:v>
      </x:c>
      <x:c r="H20" s="22" t="n">
        <x:v>36.7</x:v>
      </x:c>
      <x:c r="I20" s="23" t="n">
        <x:v>0.0051318929166803695</x:v>
      </x:c>
      <x:c r="J20" s="22" t="n">
        <x:f>ROUND(E20-F20,1)</x:f>
        <x:v>133.6</x:v>
      </x:c>
      <x:c r="K20" s="21" t="str">
        <x:v>中证1000</x:v>
      </x:c>
    </x:row>
    <x:row r="23">
      <x:c r="A23" s="38" t="str">
        <x:v>合计</x:v>
      </x:c>
      <x:c r="B23" s="39" t="n">
        <x:v>17</x:v>
      </x:c>
      <x:c r="C23" s="39"/>
      <x:c r="D23" s="39"/>
      <x:c r="E23" s="39"/>
      <x:c r="F23" s="39"/>
      <x:c r="G23" s="39"/>
      <x:c r="H23" s="39"/>
      <x:c r="I23" s="39"/>
      <x:c r="J23" s="40" t="n">
        <x:f>SUM(J4:J20)</x:f>
        <x:v>4764.200000000001</x:v>
      </x:c>
      <x:c r="K23" s="39"/>
    </x:row>
    <x:row r="24">
      <x:c r="A24" s="38" t="str">
        <x:v>均值</x:v>
      </x:c>
      <x:c r="B24" s="39"/>
      <x:c r="C24" s="39"/>
      <x:c r="D24" s="39"/>
      <x:c r="E24" s="39"/>
      <x:c r="F24" s="39"/>
      <x:c r="G24" s="39"/>
      <x:c r="H24" s="39"/>
      <x:c r="I24" s="39"/>
      <x:c r="J24" s="42" t="n">
        <x:f>ROUND(IFERROR(AVERAGE(J4:J20),0),1)</x:f>
        <x:v>280.2</x:v>
      </x:c>
      <x:c r="K24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7900.097</x:v>
      </x:c>
      <x:c r="E16" s="32" t="n">
        <x:v>7908.739</x:v>
      </x:c>
      <x:c r="F16" s="32" t="n">
        <x:v>7474.151</x:v>
      </x:c>
      <x:c r="G16" s="32" t="n">
        <x:v>7513.763</x:v>
      </x:c>
      <x:c r="H16" s="25" t="n">
        <x:v>-441.9</x:v>
      </x:c>
      <x:c r="I16" s="33" t="n">
        <x:v>-0.05554545792783605</x:v>
      </x:c>
      <x:c r="J16" s="27" t="n">
        <x:f>ROUND(E16-F16,1)</x:f>
        <x:v>434.6</x:v>
      </x:c>
      <x:c r="K16" s="31" t="str">
        <x:v>中证500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7597.769</x:v>
      </x:c>
      <x:c r="E17" s="22" t="n">
        <x:v>7626.489</x:v>
      </x:c>
      <x:c r="F17" s="22" t="n">
        <x:v>7253.518</x:v>
      </x:c>
      <x:c r="G17" s="22" t="n">
        <x:v>7411.313</x:v>
      </x:c>
      <x:c r="H17" s="22" t="n">
        <x:v>-102.4</x:v>
      </x:c>
      <x:c r="I17" s="23" t="n">
        <x:v>-0.013634978904711215</x:v>
      </x:c>
      <x:c r="J17" s="27" t="n">
        <x:f>ROUND(E17-F17,1)</x:f>
        <x:v>373</x:v>
      </x:c>
      <x:c r="K17" s="21" t="str">
        <x:v>中证500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7437.452</x:v>
      </x:c>
      <x:c r="E18" s="22" t="n">
        <x:v>7802.755</x:v>
      </x:c>
      <x:c r="F18" s="22" t="n">
        <x:v>7270.954</x:v>
      </x:c>
      <x:c r="G18" s="22" t="n">
        <x:v>7800.609</x:v>
      </x:c>
      <x:c r="H18" s="25" t="n">
        <x:v>389.3</x:v>
      </x:c>
      <x:c r="I18" s="23" t="n">
        <x:v>0.052527264737031176</x:v>
      </x:c>
      <x:c r="J18" s="27" t="n">
        <x:f>ROUND(E18-F18,1)</x:f>
        <x:v>531.8</x:v>
      </x:c>
      <x:c r="K18" s="21" t="str">
        <x:v>中证500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7741.906</x:v>
      </x:c>
      <x:c r="E19" s="22" t="n">
        <x:v>7889.446</x:v>
      </x:c>
      <x:c r="F19" s="22" t="n">
        <x:v>7701.221</x:v>
      </x:c>
      <x:c r="G19" s="22" t="n">
        <x:v>7751.662</x:v>
      </x:c>
      <x:c r="H19" s="22" t="n">
        <x:v>-48.9</x:v>
      </x:c>
      <x:c r="I19" s="23" t="n">
        <x:v>-0.006274766495795392</x:v>
      </x:c>
      <x:c r="J19" s="27" t="n">
        <x:f>ROUND(E19-F19,1)</x:f>
        <x:v>188.2</x:v>
      </x:c>
      <x:c r="K19" s="21" t="str">
        <x:v>中证500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7750.852</x:v>
      </x:c>
      <x:c r="E20" s="22" t="n">
        <x:v>7795.35</x:v>
      </x:c>
      <x:c r="F20" s="22" t="n">
        <x:v>7658.999</x:v>
      </x:c>
      <x:c r="G20" s="22" t="n">
        <x:v>7734.31</x:v>
      </x:c>
      <x:c r="H20" s="22" t="n">
        <x:v>-17.4</x:v>
      </x:c>
      <x:c r="I20" s="23" t="n">
        <x:v>-0.0022384876946388577</x:v>
      </x:c>
      <x:c r="J20" s="22" t="n">
        <x:f>ROUND(E20-F20,1)</x:f>
        <x:v>136.4</x:v>
      </x:c>
      <x:c r="K20" s="21" t="str">
        <x:v>中证500</x:v>
      </x:c>
    </x:row>
    <x:row r="23">
      <x:c r="A23" s="38" t="str">
        <x:v>合计</x:v>
      </x:c>
      <x:c r="B23" s="39" t="n">
        <x:v>17</x:v>
      </x:c>
      <x:c r="C23" s="39"/>
      <x:c r="D23" s="39"/>
      <x:c r="E23" s="39"/>
      <x:c r="F23" s="39"/>
      <x:c r="G23" s="39"/>
      <x:c r="H23" s="39"/>
      <x:c r="I23" s="39"/>
      <x:c r="J23" s="40" t="n">
        <x:f>SUM(J4:J20)</x:f>
        <x:v>4789.299999999999</x:v>
      </x:c>
      <x:c r="K23" s="39"/>
    </x:row>
    <x:row r="24">
      <x:c r="A24" s="38" t="str">
        <x:v>均值</x:v>
      </x:c>
      <x:c r="B24" s="39"/>
      <x:c r="C24" s="39"/>
      <x:c r="D24" s="39"/>
      <x:c r="E24" s="39"/>
      <x:c r="F24" s="39"/>
      <x:c r="G24" s="39"/>
      <x:c r="H24" s="39"/>
      <x:c r="I24" s="39"/>
      <x:c r="J24" s="42" t="n">
        <x:f>ROUND(IFERROR(AVERAGE(J4:J20),0),1)</x:f>
        <x:v>281.7</x:v>
      </x:c>
      <x:c r="K24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3865.317</x:v>
      </x:c>
      <x:c r="E16" s="32" t="n">
        <x:v>3869.215</x:v>
      </x:c>
      <x:c r="F16" s="32" t="n">
        <x:v>3745.174</x:v>
      </x:c>
      <x:c r="G16" s="32" t="n">
        <x:v>3764.155</x:v>
      </x:c>
      <x:c r="H16" s="32" t="n">
        <x:v>-118.3</x:v>
      </x:c>
      <x:c r="I16" s="33" t="n">
        <x:v>-0.030459922733619527</x:v>
      </x:c>
      <x:c r="J16" s="27" t="n">
        <x:f>ROUND(E16-F16,1)</x:f>
        <x:v>124</x:v>
      </x:c>
      <x:c r="K16" s="31" t="str">
        <x:v>上证指数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3791.662</x:v>
      </x:c>
      <x:c r="E17" s="22" t="n">
        <x:v>3831.659</x:v>
      </x:c>
      <x:c r="F17" s="22" t="n">
        <x:v>3741.11</x:v>
      </x:c>
      <x:c r="G17" s="22" t="n">
        <x:v>3796.281</x:v>
      </x:c>
      <x:c r="H17" s="22" t="n">
        <x:v>32.1</x:v>
      </x:c>
      <x:c r="I17" s="23" t="n">
        <x:v>0.008534717619226528</x:v>
      </x:c>
      <x:c r="J17" s="27" t="n">
        <x:f>ROUND(E17-F17,1)</x:f>
        <x:v>90.5</x:v>
      </x:c>
      <x:c r="K17" s="21" t="str">
        <x:v>上证指数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3812.162</x:v>
      </x:c>
      <x:c r="E18" s="22" t="n">
        <x:v>3864.6</x:v>
      </x:c>
      <x:c r="F18" s="22" t="n">
        <x:v>3743.36</x:v>
      </x:c>
      <x:c r="G18" s="22" t="n">
        <x:v>3864.367</x:v>
      </x:c>
      <x:c r="H18" s="22" t="n">
        <x:v>68.1</x:v>
      </x:c>
      <x:c r="I18" s="23" t="n">
        <x:v>0.01793492104509653</x:v>
      </x:c>
      <x:c r="J18" s="27" t="n">
        <x:f>ROUND(E18-F18,1)</x:f>
        <x:v>121.2</x:v>
      </x:c>
      <x:c r="K18" s="21" t="str">
        <x:v>上证指数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3839.665</x:v>
      </x:c>
      <x:c r="E19" s="22" t="n">
        <x:v>3884.435</x:v>
      </x:c>
      <x:c r="F19" s="22" t="n">
        <x:v>3839.665</x:v>
      </x:c>
      <x:c r="G19" s="22" t="n">
        <x:v>3867.034</x:v>
      </x:c>
      <x:c r="H19" s="22" t="n">
        <x:v>2.7</x:v>
      </x:c>
      <x:c r="I19" s="23" t="n">
        <x:v>0.0006901518411681629</x:v>
      </x:c>
      <x:c r="J19" s="22" t="n">
        <x:f>ROUND(E19-F19,1)</x:f>
        <x:v>44.8</x:v>
      </x:c>
      <x:c r="K19" s="21" t="str">
        <x:v>上证指数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3868.087</x:v>
      </x:c>
      <x:c r="E20" s="22" t="n">
        <x:v>3878.832</x:v>
      </x:c>
      <x:c r="F20" s="22" t="n">
        <x:v>3851.706</x:v>
      </x:c>
      <x:c r="G20" s="22" t="n">
        <x:v>3876.777</x:v>
      </x:c>
      <x:c r="H20" s="22" t="n">
        <x:v>9.7</x:v>
      </x:c>
      <x:c r="I20" s="23" t="n">
        <x:v>0.0025195020266177703</x:v>
      </x:c>
      <x:c r="J20" s="22" t="n">
        <x:f>ROUND(E20-F20,1)</x:f>
        <x:v>27.1</x:v>
      </x:c>
      <x:c r="K20" s="21" t="str">
        <x:v>上证指数</x:v>
      </x:c>
    </x:row>
    <x:row r="23">
      <x:c r="A23" s="38" t="str">
        <x:v>合计</x:v>
      </x:c>
      <x:c r="B23" s="39" t="n">
        <x:v>17</x:v>
      </x:c>
      <x:c r="C23" s="39"/>
      <x:c r="D23" s="39"/>
      <x:c r="E23" s="39"/>
      <x:c r="F23" s="39"/>
      <x:c r="G23" s="39"/>
      <x:c r="H23" s="39"/>
      <x:c r="I23" s="39"/>
      <x:c r="J23" s="40" t="n">
        <x:f>SUM(J4:J20)</x:f>
        <x:v>1215.7999999999997</x:v>
      </x:c>
      <x:c r="K23" s="39"/>
    </x:row>
    <x:row r="24">
      <x:c r="A24" s="38" t="str">
        <x:v>均值</x:v>
      </x:c>
      <x:c r="B24" s="39"/>
      <x:c r="C24" s="39"/>
      <x:c r="D24" s="39"/>
      <x:c r="E24" s="39"/>
      <x:c r="F24" s="39"/>
      <x:c r="G24" s="39"/>
      <x:c r="H24" s="39"/>
      <x:c r="I24" s="39"/>
      <x:c r="J24" s="42" t="n">
        <x:f>ROUND(IFERROR(AVERAGE(J4:J20),0),1)</x:f>
        <x:v>71.5</x:v>
      </x:c>
      <x:c r="K24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7165.2</x:v>
      </x:c>
      <x:c r="E17" s="22" t="n">
        <x:v>7237</x:v>
      </x:c>
      <x:c r="F17" s="22" t="n">
        <x:v>6652.2</x:v>
      </x:c>
      <x:c r="G17" s="22" t="n">
        <x:v>6849.8</x:v>
      </x:c>
      <x:c r="H17" s="25" t="n">
        <x:v>-215.4</x:v>
      </x:c>
      <x:c r="I17" s="23" t="n">
        <x:v>-0.030487459661439065</x:v>
      </x:c>
      <x:c r="J17" s="27" t="n">
        <x:f>ROUND(E17-F17,1)</x:f>
        <x:v>584.8</x:v>
      </x:c>
      <x:c r="K17" s="21" t="str">
        <x:v>IM2609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6920</x:v>
      </x:c>
      <x:c r="E18" s="22" t="n">
        <x:v>7175.8</x:v>
      </x:c>
      <x:c r="F18" s="22" t="n">
        <x:v>6641.8</x:v>
      </x:c>
      <x:c r="G18" s="22" t="n">
        <x:v>7164.4</x:v>
      </x:c>
      <x:c r="H18" s="25" t="n">
        <x:v>314.6</x:v>
      </x:c>
      <x:c r="I18" s="23" t="n">
        <x:v>0.04592834827294223</x:v>
      </x:c>
      <x:c r="J18" s="27" t="n">
        <x:f>ROUND(E18-F18,1)</x:f>
        <x:v>534</x:v>
      </x:c>
      <x:c r="K18" s="21" t="str">
        <x:v>IM2609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7148</x:v>
      </x:c>
      <x:c r="E19" s="22" t="n">
        <x:v>7194.6</x:v>
      </x:c>
      <x:c r="F19" s="22" t="n">
        <x:v>6985.8</x:v>
      </x:c>
      <x:c r="G19" s="22" t="n">
        <x:v>7028.8</x:v>
      </x:c>
      <x:c r="H19" s="22" t="n">
        <x:v>-135.6</x:v>
      </x:c>
      <x:c r="I19" s="23" t="n">
        <x:v>-0.018926916420076934</x:v>
      </x:c>
      <x:c r="J19" s="27" t="n">
        <x:f>ROUND(E19-F19,1)</x:f>
        <x:v>208.8</x:v>
      </x:c>
      <x:c r="K19" s="21" t="str">
        <x:v>IM2609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7061</x:v>
      </x:c>
      <x:c r="E20" s="22" t="n">
        <x:v>7159.6</x:v>
      </x:c>
      <x:c r="F20" s="22" t="n">
        <x:v>7000.6</x:v>
      </x:c>
      <x:c r="G20" s="22" t="n">
        <x:v>7071.6</x:v>
      </x:c>
      <x:c r="H20" s="22" t="n">
        <x:v>42.8</x:v>
      </x:c>
      <x:c r="I20" s="23" t="n">
        <x:v>0.0060892328704758025</x:v>
      </x:c>
      <x:c r="J20" s="22" t="n">
        <x:f>ROUND(E20-F20,1)</x:f>
        <x:v>159</x:v>
      </x:c>
      <x:c r="K20" s="21" t="str">
        <x:v>IM2609</x:v>
      </x:c>
    </x:row>
    <x:row r="23">
      <x:c r="A23" s="38" t="str">
        <x:v>合计</x:v>
      </x:c>
      <x:c r="B23" s="39" t="n">
        <x:v>17</x:v>
      </x:c>
      <x:c r="C23" s="39"/>
      <x:c r="D23" s="39"/>
      <x:c r="E23" s="39"/>
      <x:c r="F23" s="39"/>
      <x:c r="G23" s="39"/>
      <x:c r="H23" s="39"/>
      <x:c r="I23" s="39"/>
      <x:c r="J23" s="40" t="n">
        <x:f>SUM(J4:J20)</x:f>
        <x:v>4631.6</x:v>
      </x:c>
      <x:c r="K23" s="39"/>
    </x:row>
    <x:row r="24">
      <x:c r="A24" s="38" t="str">
        <x:v>均值</x:v>
      </x:c>
      <x:c r="B24" s="39"/>
      <x:c r="C24" s="39"/>
      <x:c r="D24" s="39"/>
      <x:c r="E24" s="39"/>
      <x:c r="F24" s="39"/>
      <x:c r="G24" s="39"/>
      <x:c r="H24" s="39"/>
      <x:c r="I24" s="39"/>
      <x:c r="J24" s="42" t="n">
        <x:f>ROUND(IFERROR(AVERAGE(J4:J20),0),1)</x:f>
        <x:v>272.4</x:v>
      </x:c>
      <x:c r="K24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7842</x:v>
      </x:c>
      <x:c r="E16" s="32" t="n">
        <x:v>7848.2</x:v>
      </x:c>
      <x:c r="F16" s="32" t="n">
        <x:v>7362.8</x:v>
      </x:c>
      <x:c r="G16" s="32" t="n">
        <x:v>7389</x:v>
      </x:c>
      <x:c r="H16" s="25" t="n">
        <x:v>-480.6</x:v>
      </x:c>
      <x:c r="I16" s="33" t="n">
        <x:v>-0.06107044830741082</x:v>
      </x:c>
      <x:c r="J16" s="27" t="n">
        <x:f>ROUND(E16-F16,1)</x:f>
        <x:v>485.4</x:v>
      </x:c>
      <x:c r="K16" s="31" t="str">
        <x:v>IC2609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7490</x:v>
      </x:c>
      <x:c r="E17" s="22" t="n">
        <x:v>7561.8</x:v>
      </x:c>
      <x:c r="F17" s="22" t="n">
        <x:v>7092</x:v>
      </x:c>
      <x:c r="G17" s="22" t="n">
        <x:v>7302.2</x:v>
      </x:c>
      <x:c r="H17" s="22" t="n">
        <x:v>-86.8</x:v>
      </x:c>
      <x:c r="I17" s="23" t="n">
        <x:v>-0.011747191771552368</x:v>
      </x:c>
      <x:c r="J17" s="27" t="n">
        <x:f>ROUND(E17-F17,1)</x:f>
        <x:v>469.8</x:v>
      </x:c>
      <x:c r="K17" s="21" t="str">
        <x:v>IC2609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7385</x:v>
      </x:c>
      <x:c r="E18" s="22" t="n">
        <x:v>7700.6</x:v>
      </x:c>
      <x:c r="F18" s="22" t="n">
        <x:v>7201.2</x:v>
      </x:c>
      <x:c r="G18" s="22" t="n">
        <x:v>7685.8</x:v>
      </x:c>
      <x:c r="H18" s="25" t="n">
        <x:v>383.6</x:v>
      </x:c>
      <x:c r="I18" s="23" t="n">
        <x:v>0.052532113609597086</x:v>
      </x:c>
      <x:c r="J18" s="27" t="n">
        <x:f>ROUND(E18-F18,1)</x:f>
        <x:v>499.4</x:v>
      </x:c>
      <x:c r="K18" s="21" t="str">
        <x:v>IC2609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7674.8</x:v>
      </x:c>
      <x:c r="E19" s="22" t="n">
        <x:v>7765.6</x:v>
      </x:c>
      <x:c r="F19" s="22" t="n">
        <x:v>7583.8</x:v>
      </x:c>
      <x:c r="G19" s="22" t="n">
        <x:v>7611</x:v>
      </x:c>
      <x:c r="H19" s="22" t="n">
        <x:v>-74.8</x:v>
      </x:c>
      <x:c r="I19" s="23" t="n">
        <x:v>-0.009732233469515239</x:v>
      </x:c>
      <x:c r="J19" s="27" t="n">
        <x:f>ROUND(E19-F19,1)</x:f>
        <x:v>181.8</x:v>
      </x:c>
      <x:c r="K19" s="21" t="str">
        <x:v>IC2609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7675</x:v>
      </x:c>
      <x:c r="E20" s="22" t="n">
        <x:v>7693</x:v>
      </x:c>
      <x:c r="F20" s="22" t="n">
        <x:v>7538</x:v>
      </x:c>
      <x:c r="G20" s="22" t="n">
        <x:v>7602.6</x:v>
      </x:c>
      <x:c r="H20" s="22" t="n">
        <x:v>-8.4</x:v>
      </x:c>
      <x:c r="I20" s="23" t="n">
        <x:v>-0.0011036657469452038</x:v>
      </x:c>
      <x:c r="J20" s="27" t="n">
        <x:f>ROUND(E20-F20,1)</x:f>
        <x:v>155</x:v>
      </x:c>
      <x:c r="K20" s="21" t="str">
        <x:v>IC2609</x:v>
      </x:c>
    </x:row>
    <x:row r="23">
      <x:c r="A23" s="38" t="str">
        <x:v>合计</x:v>
      </x:c>
      <x:c r="B23" s="39" t="n">
        <x:v>17</x:v>
      </x:c>
      <x:c r="C23" s="39"/>
      <x:c r="D23" s="39"/>
      <x:c r="E23" s="39"/>
      <x:c r="F23" s="39"/>
      <x:c r="G23" s="39"/>
      <x:c r="H23" s="39"/>
      <x:c r="I23" s="39"/>
      <x:c r="J23" s="40" t="n">
        <x:f>SUM(J4:J20)</x:f>
        <x:v>4697.8</x:v>
      </x:c>
      <x:c r="K23" s="39"/>
    </x:row>
    <x:row r="24">
      <x:c r="A24" s="38" t="str">
        <x:v>均值</x:v>
      </x:c>
      <x:c r="B24" s="39"/>
      <x:c r="C24" s="39"/>
      <x:c r="D24" s="39"/>
      <x:c r="E24" s="39"/>
      <x:c r="F24" s="39"/>
      <x:c r="G24" s="39"/>
      <x:c r="H24" s="39"/>
      <x:c r="I24" s="39"/>
      <x:c r="J24" s="42" t="n">
        <x:f>ROUND(IFERROR(AVERAGE(J4:J20),0),1)</x:f>
        <x:v>276.3</x:v>
      </x:c>
      <x:c r="K24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4615.8</x:v>
      </x:c>
      <x:c r="E16" s="32" t="n">
        <x:v>4633.8</x:v>
      </x:c>
      <x:c r="F16" s="32" t="n">
        <x:v>4441.4</x:v>
      </x:c>
      <x:c r="G16" s="32" t="n">
        <x:v>4473.8</x:v>
      </x:c>
      <x:c r="H16" s="25" t="n">
        <x:v>-171.8</x:v>
      </x:c>
      <x:c r="I16" s="33" t="n">
        <x:v>-0.036981229550542505</x:v>
      </x:c>
      <x:c r="J16" s="27" t="n">
        <x:f>ROUND(E16-F16,1)</x:f>
        <x:v>192.4</x:v>
      </x:c>
      <x:c r="K16" s="31" t="str">
        <x:v>IF2609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4530</x:v>
      </x:c>
      <x:c r="E17" s="22" t="n">
        <x:v>4590</x:v>
      </x:c>
      <x:c r="F17" s="22" t="n">
        <x:v>4465</x:v>
      </x:c>
      <x:c r="G17" s="22" t="n">
        <x:v>4545.8</x:v>
      </x:c>
      <x:c r="H17" s="22" t="n">
        <x:v>72</x:v>
      </x:c>
      <x:c r="I17" s="23" t="n">
        <x:v>0.016093701104206604</x:v>
      </x:c>
      <x:c r="J17" s="27" t="n">
        <x:f>ROUND(E17-F17,1)</x:f>
        <x:v>125</x:v>
      </x:c>
      <x:c r="K17" s="21" t="str">
        <x:v>IF2609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4563.8</x:v>
      </x:c>
      <x:c r="E18" s="22" t="n">
        <x:v>4673.8</x:v>
      </x:c>
      <x:c r="F18" s="22" t="n">
        <x:v>4524.4</x:v>
      </x:c>
      <x:c r="G18" s="22" t="n">
        <x:v>4662.4</x:v>
      </x:c>
      <x:c r="H18" s="22" t="n">
        <x:v>116.6</x:v>
      </x:c>
      <x:c r="I18" s="23" t="n">
        <x:v>0.02565005059615455</x:v>
      </x:c>
      <x:c r="J18" s="27" t="n">
        <x:f>ROUND(E18-F18,1)</x:f>
        <x:v>149.4</x:v>
      </x:c>
      <x:c r="K18" s="21" t="str">
        <x:v>IF2609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4652</x:v>
      </x:c>
      <x:c r="E19" s="22" t="n">
        <x:v>4707.8</x:v>
      </x:c>
      <x:c r="F19" s="22" t="n">
        <x:v>4634</x:v>
      </x:c>
      <x:c r="G19" s="22" t="n">
        <x:v>4648</x:v>
      </x:c>
      <x:c r="H19" s="22" t="n">
        <x:v>-14.4</x:v>
      </x:c>
      <x:c r="I19" s="23" t="n">
        <x:v>-0.003088538091969739</x:v>
      </x:c>
      <x:c r="J19" s="22" t="n">
        <x:f>ROUND(E19-F19,1)</x:f>
        <x:v>73.8</x:v>
      </x:c>
      <x:c r="K19" s="21" t="str">
        <x:v>IF2609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4670</x:v>
      </x:c>
      <x:c r="E20" s="22" t="n">
        <x:v>4682.6</x:v>
      </x:c>
      <x:c r="F20" s="22" t="n">
        <x:v>4644</x:v>
      </x:c>
      <x:c r="G20" s="22" t="n">
        <x:v>4661.4</x:v>
      </x:c>
      <x:c r="H20" s="22" t="n">
        <x:v>13.4</x:v>
      </x:c>
      <x:c r="I20" s="23" t="n">
        <x:v>0.002882960413080893</x:v>
      </x:c>
      <x:c r="J20" s="22" t="n">
        <x:f>ROUND(E20-F20,1)</x:f>
        <x:v>38.6</x:v>
      </x:c>
      <x:c r="K20" s="21" t="str">
        <x:v>IF2609</x:v>
      </x:c>
    </x:row>
    <x:row r="23">
      <x:c r="A23" s="38" t="str">
        <x:v>合计</x:v>
      </x:c>
      <x:c r="B23" s="39" t="n">
        <x:v>17</x:v>
      </x:c>
      <x:c r="C23" s="39"/>
      <x:c r="D23" s="39"/>
      <x:c r="E23" s="39"/>
      <x:c r="F23" s="39"/>
      <x:c r="G23" s="39"/>
      <x:c r="H23" s="39"/>
      <x:c r="I23" s="39"/>
      <x:c r="J23" s="40" t="n">
        <x:f>SUM(J4:J20)</x:f>
        <x:v>1713</x:v>
      </x:c>
      <x:c r="K23" s="39"/>
    </x:row>
    <x:row r="24">
      <x:c r="A24" s="38" t="str">
        <x:v>均值</x:v>
      </x:c>
      <x:c r="B24" s="39"/>
      <x:c r="C24" s="39"/>
      <x:c r="D24" s="39"/>
      <x:c r="E24" s="39"/>
      <x:c r="F24" s="39"/>
      <x:c r="G24" s="39"/>
      <x:c r="H24" s="39"/>
      <x:c r="I24" s="39"/>
      <x:c r="J24" s="42" t="n">
        <x:f>ROUND(IFERROR(AVERAGE(J4:J20),0),1)</x:f>
        <x:v>100.8</x:v>
      </x:c>
      <x:c r="K24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2855</x:v>
      </x:c>
      <x:c r="E16" s="32" t="n">
        <x:v>2864.8</x:v>
      </x:c>
      <x:c r="F16" s="32" t="n">
        <x:v>2782.6</x:v>
      </x:c>
      <x:c r="G16" s="32" t="n">
        <x:v>2796.4</x:v>
      </x:c>
      <x:c r="H16" s="32" t="n">
        <x:v>-71.4</x:v>
      </x:c>
      <x:c r="I16" s="33" t="n">
        <x:v>-0.024897133691331397</x:v>
      </x:c>
      <x:c r="J16" s="27" t="n">
        <x:f>ROUND(E16-F16,1)</x:f>
        <x:v>82.2</x:v>
      </x:c>
      <x:c r="K16" s="31" t="str">
        <x:v>IH2609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2820</x:v>
      </x:c>
      <x:c r="E17" s="22" t="n">
        <x:v>2884.6</x:v>
      </x:c>
      <x:c r="F17" s="22" t="n">
        <x:v>2820</x:v>
      </x:c>
      <x:c r="G17" s="22" t="n">
        <x:v>2874</x:v>
      </x:c>
      <x:c r="H17" s="22" t="n">
        <x:v>77.6</x:v>
      </x:c>
      <x:c r="I17" s="23" t="n">
        <x:v>0.027749964239736746</x:v>
      </x:c>
      <x:c r="J17" s="27" t="n">
        <x:f>ROUND(E17-F17,1)</x:f>
        <x:v>64.6</x:v>
      </x:c>
      <x:c r="K17" s="21" t="str">
        <x:v>IH2609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2896</x:v>
      </x:c>
      <x:c r="E18" s="22" t="n">
        <x:v>2933</x:v>
      </x:c>
      <x:c r="F18" s="22" t="n">
        <x:v>2875.2</x:v>
      </x:c>
      <x:c r="G18" s="22" t="n">
        <x:v>2923.6</x:v>
      </x:c>
      <x:c r="H18" s="22" t="n">
        <x:v>49.6</x:v>
      </x:c>
      <x:c r="I18" s="23" t="n">
        <x:v>0.017258176757132926</x:v>
      </x:c>
      <x:c r="J18" s="22" t="n">
        <x:f>ROUND(E18-F18,1)</x:f>
        <x:v>57.8</x:v>
      </x:c>
      <x:c r="K18" s="21" t="str">
        <x:v>IH2609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2906</x:v>
      </x:c>
      <x:c r="E19" s="22" t="n">
        <x:v>2978</x:v>
      </x:c>
      <x:c r="F19" s="22" t="n">
        <x:v>2906</x:v>
      </x:c>
      <x:c r="G19" s="22" t="n">
        <x:v>2946.2</x:v>
      </x:c>
      <x:c r="H19" s="22" t="n">
        <x:v>22.6</x:v>
      </x:c>
      <x:c r="I19" s="23" t="n">
        <x:v>0.007730195649199523</x:v>
      </x:c>
      <x:c r="J19" s="27" t="n">
        <x:f>ROUND(E19-F19,1)</x:f>
        <x:v>72</x:v>
      </x:c>
      <x:c r="K19" s="21" t="str">
        <x:v>IH2609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2960</x:v>
      </x:c>
      <x:c r="E20" s="22" t="n">
        <x:v>2969.6</x:v>
      </x:c>
      <x:c r="F20" s="22" t="n">
        <x:v>2938.8</x:v>
      </x:c>
      <x:c r="G20" s="22" t="n">
        <x:v>2948.8</x:v>
      </x:c>
      <x:c r="H20" s="22" t="n">
        <x:v>2.6</x:v>
      </x:c>
      <x:c r="I20" s="23" t="n">
        <x:v>0.0008824927024642104</x:v>
      </x:c>
      <x:c r="J20" s="22" t="n">
        <x:f>ROUND(E20-F20,1)</x:f>
        <x:v>30.8</x:v>
      </x:c>
      <x:c r="K20" s="21" t="str">
        <x:v>IH2609</x:v>
      </x:c>
    </x:row>
    <x:row r="23">
      <x:c r="A23" s="38" t="str">
        <x:v>合计</x:v>
      </x:c>
      <x:c r="B23" s="39" t="n">
        <x:v>17</x:v>
      </x:c>
      <x:c r="C23" s="39"/>
      <x:c r="D23" s="39"/>
      <x:c r="E23" s="39"/>
      <x:c r="F23" s="39"/>
      <x:c r="G23" s="39"/>
      <x:c r="H23" s="39"/>
      <x:c r="I23" s="39"/>
      <x:c r="J23" s="40" t="n">
        <x:f>SUM(J4:J20)</x:f>
        <x:v>956.4</x:v>
      </x:c>
      <x:c r="K23" s="39"/>
    </x:row>
    <x:row r="24">
      <x:c r="A24" s="38" t="str">
        <x:v>均值</x:v>
      </x:c>
      <x:c r="B24" s="39"/>
      <x:c r="C24" s="39"/>
      <x:c r="D24" s="39"/>
      <x:c r="E24" s="39"/>
      <x:c r="F24" s="39"/>
      <x:c r="G24" s="39"/>
      <x:c r="H24" s="39"/>
      <x:c r="I24" s="39"/>
      <x:c r="J24" s="42" t="n">
        <x:f>ROUND(IFERROR(AVERAGE(J4:J20),0),1)</x:f>
        <x:v>56.3</x:v>
      </x:c>
      <x:c r="K24" s="39"/>
    </x:row>
  </x:sheetData>
  <x:mergeCells>
    <x:mergeCell ref="A1:K1"/>
  </x:mergeCells>
  <x:pageMargins left="0.7" right="0.7" top="0.75" bottom="0.75" header="0.3" footer="0.3"/>
</x:worksheet>
</file>