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be740dfa3ab441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汇总" sheetId="1" r:id="R2cf5cebb27ab4e28"/>
    <x:sheet xmlns:r="http://schemas.openxmlformats.org/officeDocument/2006/relationships" name="中证1000" sheetId="2" r:id="R60d95cb8c52149ab"/>
    <x:sheet xmlns:r="http://schemas.openxmlformats.org/officeDocument/2006/relationships" name="中证500" sheetId="3" r:id="Rb881b96f2fd14a82"/>
    <x:sheet xmlns:r="http://schemas.openxmlformats.org/officeDocument/2006/relationships" name="上证指数" sheetId="4" r:id="R8ed9804b104845d9"/>
    <x:sheet xmlns:r="http://schemas.openxmlformats.org/officeDocument/2006/relationships" name="IM主力" sheetId="5" r:id="Ra40c569daa604403"/>
    <x:sheet xmlns:r="http://schemas.openxmlformats.org/officeDocument/2006/relationships" name="IC主力" sheetId="6" r:id="Ref60e8e650624f60"/>
    <x:sheet xmlns:r="http://schemas.openxmlformats.org/officeDocument/2006/relationships" name="IF主力" sheetId="7" r:id="R4c577a5cc44a471e"/>
    <x:sheet xmlns:r="http://schemas.openxmlformats.org/officeDocument/2006/relationships" name="IH主力" sheetId="8" r:id="Rc5f11a3f1d1247b8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200" formatCode="General"/>
  </x:numFmts>
  <x:fonts count="7">
    <x:font>
      <x:sz val="11"/>
      <x:name val="Carlito"/>
    </x:font>
    <x:font>
      <x:b/>
      <x:sz val="18"/>
      <x:color rgb="FF7030A0"/>
      <x:name val="Carlito"/>
    </x:font>
    <x:font>
      <x:b/>
      <x:sz val="11"/>
      <x:name val="Carlito"/>
    </x:font>
    <x:font>
      <x:b/>
      <x:sz val="11"/>
      <x:color rgb="FFB91C1C"/>
      <x:name val="Carlito"/>
    </x:font>
    <x:font>
      <x:b/>
      <x:sz val="11"/>
      <x:color rgb="FF111827"/>
      <x:name val="Carlito"/>
    </x:font>
    <x:font>
      <x:sz val="11"/>
      <x:color rgb="FF1F2937"/>
      <x:name val="Carlito"/>
    </x:font>
    <x:font>
      <x:b/>
      <x:sz val="11"/>
      <x:color rgb="FFE11D48"/>
      <x:name val="Carlito"/>
    </x:font>
  </x:fonts>
  <x:fills count="6">
    <x:fill>
      <x:patternFill patternType="none"/>
    </x:fill>
    <x:fill>
      <x:patternFill patternType="gray125"/>
    </x:fill>
    <x:fill>
      <x:patternFill patternType="solid">
        <x:fgColor rgb="FFFFF2CC"/>
      </x:patternFill>
    </x:fill>
    <x:fill>
      <x:patternFill patternType="solid">
        <x:fgColor rgb="FFF3F4F6"/>
      </x:patternFill>
    </x:fill>
    <x:fill>
      <x:patternFill patternType="solid">
        <x:fgColor rgb="FFFEF9C3"/>
      </x:patternFill>
    </x:fill>
    <x:fill>
      <x:patternFill patternType="solid">
        <x:fgColor rgb="FFFFFF00"/>
      </x:patternFill>
    </x:fill>
  </x:fills>
  <x:borders count="3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  <x:border>
      <x:left style="thin">
        <x:color rgb="FFE5E7EB"/>
      </x:left>
      <x:right style="thin">
        <x:color rgb="FFE5E7EB"/>
      </x:right>
      <x:top style="thin">
        <x:color rgb="FFE5E7EB"/>
      </x:top>
      <x:bottom style="thin">
        <x:color rgb="FFE5E7EB"/>
      </x:bottom>
    </x:border>
  </x:borders>
  <x:cellStyleXfs count="1">
    <x:xf numFmtId="0" fontId="0" fillId="0" borderId="0"/>
  </x:cellStyleXfs>
  <x:cellXfs count="32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1" xfId="0" applyNumberFormat="1" applyFont="1" applyFill="1" applyBorder="1"/>
    <x:xf numFmtId="0" fontId="0" fillId="0" borderId="2" xfId="0" applyNumberFormat="1" applyFont="1" applyFill="1" applyBorder="1"/>
    <x:xf numFmtId="20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horizontal="center"/>
    </x:xf>
    <x:xf numFmtId="200" fontId="0" fillId="0" borderId="2" xfId="0" applyNumberFormat="1" applyFont="1" applyFill="1" applyBorder="1" applyAlignment="1">
      <x:alignment horizontal="center"/>
    </x:xf>
    <x:xf numFmtId="200" fontId="0" fillId="4" borderId="2" xfId="0" applyNumberFormat="1" applyFont="1" applyFill="1" applyBorder="1" applyAlignment="1">
      <x:alignment horizontal="center"/>
    </x:xf>
    <x:xf numFmtId="200" fontId="3" fillId="4" borderId="2" xfId="0" applyNumberFormat="1" applyFont="1" applyFill="1" applyBorder="1" applyAlignment="1">
      <x:alignment horizontal="center"/>
    </x:xf>
    <x:xf numFmtId="0" fontId="0" fillId="3" borderId="2" xfId="0" applyNumberFormat="1" applyFont="1" applyFill="1" applyBorder="1"/>
    <x:xf numFmtId="0" fontId="2" fillId="3" borderId="2" xfId="0" applyNumberFormat="1" applyFont="1" applyFill="1" applyBorder="1"/>
    <x:xf numFmtId="0" fontId="1" fillId="2" borderId="0" xfId="0" applyNumberFormat="1" applyFont="1" applyFill="1" applyBorder="1" applyAlignment="1">
      <x:alignment horizontal="center" vertical="center"/>
    </x:xf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horizontal="center"/>
    </x:xf>
    <x:xf numFmtId="0" fontId="4" fillId="3" borderId="1" xfId="0" applyNumberFormat="1" applyFont="1" applyFill="1" applyBorder="1" applyAlignment="1">
      <x:alignment horizontal="center"/>
    </x:xf>
    <x:xf numFmtId="0" fontId="0" fillId="0" borderId="2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horizontal="center" vertical="center"/>
    </x:xf>
    <x:xf numFmtId="200" fontId="5" fillId="0" borderId="2" xfId="0" applyNumberFormat="1" applyFont="1" applyFill="1" applyBorder="1" applyAlignment="1">
      <x:alignment horizontal="center" vertical="center"/>
    </x:xf>
    <x:xf numFmtId="200" fontId="5" fillId="5" borderId="2" xfId="0" applyNumberFormat="1" applyFont="1" applyFill="1" applyBorder="1" applyAlignment="1">
      <x:alignment horizontal="center" vertical="center"/>
    </x:xf>
    <x:xf numFmtId="200" fontId="6" fillId="5" borderId="2" xfId="0" applyNumberFormat="1" applyFont="1" applyFill="1" applyBorder="1" applyAlignment="1">
      <x:alignment horizontal="center" vertical="center"/>
    </x:xf>
    <x:xf numFmtId="0" fontId="0" fillId="0" borderId="1" xfId="0" applyNumberFormat="1" applyFont="1" applyFill="1" applyBorder="1"/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200" fontId="0" fillId="0" borderId="1" xfId="0" applyNumberFormat="1" applyFont="1" applyFill="1" applyBorder="1" applyAlignment="1">
      <x:alignment horizontal="center"/>
    </x:xf>
    <x:xf numFmtId="200" fontId="0" fillId="5" borderId="1" xfId="0" applyNumberFormat="1" applyFont="1" applyFill="1" applyBorder="1" applyAlignment="1">
      <x:alignment horizontal="center"/>
    </x:xf>
    <x:xf numFmtId="200" fontId="6" fillId="5" borderId="1" xfId="0" applyNumberFormat="1" applyFont="1" applyFill="1" applyBorder="1" applyAlignment="1">
      <x:alignment horizont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8d2b224adf14982" /><Relationship Type="http://schemas.openxmlformats.org/officeDocument/2006/relationships/theme" Target="/xl/theme/theme1.xml" Id="R3ee2f83accc940f1" /><Relationship Type="http://schemas.openxmlformats.org/officeDocument/2006/relationships/sharedStrings" Target="/xl/sharedStrings.xml" Id="Rfee3499e435042dd" /><Relationship Type="http://schemas.openxmlformats.org/officeDocument/2006/relationships/worksheet" Target="/xl/worksheets/sheet1.xml" Id="R2cf5cebb27ab4e28" /><Relationship Type="http://schemas.openxmlformats.org/officeDocument/2006/relationships/worksheet" Target="/xl/worksheets/sheet2.xml" Id="R60d95cb8c52149ab" /><Relationship Type="http://schemas.openxmlformats.org/officeDocument/2006/relationships/worksheet" Target="/xl/worksheets/sheet3.xml" Id="Rb881b96f2fd14a82" /><Relationship Type="http://schemas.openxmlformats.org/officeDocument/2006/relationships/worksheet" Target="/xl/worksheets/sheet4.xml" Id="R8ed9804b104845d9" /><Relationship Type="http://schemas.openxmlformats.org/officeDocument/2006/relationships/worksheet" Target="/xl/worksheets/sheet5.xml" Id="Ra40c569daa604403" /><Relationship Type="http://schemas.openxmlformats.org/officeDocument/2006/relationships/worksheet" Target="/xl/worksheets/sheet6.xml" Id="Ref60e8e650624f60" /><Relationship Type="http://schemas.openxmlformats.org/officeDocument/2006/relationships/worksheet" Target="/xl/worksheets/sheet7.xml" Id="R4c577a5cc44a471e" /><Relationship Type="http://schemas.openxmlformats.org/officeDocument/2006/relationships/worksheet" Target="/xl/worksheets/sheet8.xml" Id="Rc5f11a3f1d1247b8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" hidden="0" customWidth="1"/>
    <x:col min="2" max="2" width="13" hidden="0" customWidth="1"/>
    <x:col min="3" max="3" width="12" hidden="0" customWidth="1"/>
    <x:col min="4" max="4" width="42" hidden="0" customWidth="1"/>
    <x:col min="5" max="5" width="12" hidden="0" customWidth="1"/>
    <x:col min="6" max="6" width="12" hidden="0" customWidth="1"/>
    <x:col min="7" max="7" width="12" hidden="0" customWidth="1"/>
    <x:col min="8" max="8" width="12" hidden="0" customWidth="1"/>
    <x:col min="9" max="9" width="12" hidden="0" customWidth="1"/>
  </x:cols>
  <x:sheetData>
    <x:row r="1" ht="38" customHeight="1">
      <x:c r="A1" s="3" t="str">
        <x:v>2026年7月统计 - 每日振幅汇总</x:v>
      </x:c>
    </x:row>
    <x:row r="3">
      <x:c r="A3" s="6" t="str">
        <x:v>标的</x:v>
      </x:c>
      <x:c r="B3" s="6" t="str">
        <x:v>最新日期</x:v>
      </x:c>
      <x:c r="C3" s="6" t="str">
        <x:v>最新高点</x:v>
      </x:c>
      <x:c r="D3" s="6" t="str">
        <x:v>最新低点</x:v>
      </x:c>
      <x:c r="E3" s="6" t="str">
        <x:v>最新振幅</x:v>
      </x:c>
      <x:c r="F3" s="6" t="str">
        <x:v>交易日</x:v>
      </x:c>
      <x:c r="G3" s="6" t="str">
        <x:v>振幅合计</x:v>
      </x:c>
      <x:c r="H3" s="6" t="str">
        <x:v>振幅均值</x:v>
      </x:c>
      <x:c r="I3" s="6" t="str">
        <x:v>高振幅阈值</x:v>
      </x:c>
    </x:row>
    <x:row r="4">
      <x:c r="A4" s="9" t="str">
        <x:v>中证1000</x:v>
      </x:c>
      <x:c r="B4" s="9" t="str">
        <x:v>2026-07-07</x:v>
      </x:c>
      <x:c r="C4" s="10" t="n">
        <x:v>8489.476</x:v>
      </x:c>
      <x:c r="D4" s="10" t="n">
        <x:v>8261.398</x:v>
      </x:c>
      <x:c r="E4" s="12" t="n">
        <x:v>228.1</x:v>
      </x:c>
      <x:c r="F4" s="9" t="n">
        <x:v>5</x:v>
      </x:c>
      <x:c r="G4" s="10" t="n">
        <x:v>1076</x:v>
      </x:c>
      <x:c r="H4" s="10" t="n">
        <x:v>215.2</x:v>
      </x:c>
      <x:c r="I4" s="10" t="n">
        <x:v>180</x:v>
      </x:c>
    </x:row>
    <x:row r="5">
      <x:c r="A5" s="9" t="str">
        <x:v>中证500</x:v>
      </x:c>
      <x:c r="B5" s="9" t="str">
        <x:v>2026-07-07</x:v>
      </x:c>
      <x:c r="C5" s="10" t="n">
        <x:v>8663.665</x:v>
      </x:c>
      <x:c r="D5" s="10" t="n">
        <x:v>8457.576</x:v>
      </x:c>
      <x:c r="E5" s="12" t="n">
        <x:v>206.1</x:v>
      </x:c>
      <x:c r="F5" s="9" t="n">
        <x:v>5</x:v>
      </x:c>
      <x:c r="G5" s="10" t="n">
        <x:v>1139.2</x:v>
      </x:c>
      <x:c r="H5" s="10" t="n">
        <x:v>227.8</x:v>
      </x:c>
      <x:c r="I5" s="10" t="n">
        <x:v>160</x:v>
      </x:c>
    </x:row>
    <x:row r="6">
      <x:c r="A6" s="9" t="str">
        <x:v>上证指数</x:v>
      </x:c>
      <x:c r="B6" s="9" t="str">
        <x:v>2026-07-07</x:v>
      </x:c>
      <x:c r="C6" s="10" t="n">
        <x:v>4028.514</x:v>
      </x:c>
      <x:c r="D6" s="10" t="n">
        <x:v>3971.713</x:v>
      </x:c>
      <x:c r="E6" s="12" t="n">
        <x:v>56.8</x:v>
      </x:c>
      <x:c r="F6" s="9" t="n">
        <x:v>5</x:v>
      </x:c>
      <x:c r="G6" s="10" t="n">
        <x:v>288.4</x:v>
      </x:c>
      <x:c r="H6" s="10" t="n">
        <x:v>57.7</x:v>
      </x:c>
      <x:c r="I6" s="10" t="n">
        <x:v>50</x:v>
      </x:c>
    </x:row>
    <x:row r="7">
      <x:c r="A7" s="9" t="str">
        <x:v>IM主力</x:v>
      </x:c>
      <x:c r="B7" s="9" t="str">
        <x:v>2026-07-07</x:v>
      </x:c>
      <x:c r="C7" s="10" t="n">
        <x:v>8274.2</x:v>
      </x:c>
      <x:c r="D7" s="10" t="n">
        <x:v>8068.8</x:v>
      </x:c>
      <x:c r="E7" s="12" t="n">
        <x:v>205.4</x:v>
      </x:c>
      <x:c r="F7" s="9" t="n">
        <x:v>5</x:v>
      </x:c>
      <x:c r="G7" s="10" t="n">
        <x:v>910.4</x:v>
      </x:c>
      <x:c r="H7" s="10" t="n">
        <x:v>182.1</x:v>
      </x:c>
      <x:c r="I7" s="10" t="n">
        <x:v>190</x:v>
      </x:c>
    </x:row>
    <x:row r="8">
      <x:c r="A8" s="9" t="str">
        <x:v>IC主力</x:v>
      </x:c>
      <x:c r="B8" s="9" t="str">
        <x:v>2026-07-07</x:v>
      </x:c>
      <x:c r="C8" s="10" t="n">
        <x:v>8478.8</x:v>
      </x:c>
      <x:c r="D8" s="10" t="n">
        <x:v>8281</x:v>
      </x:c>
      <x:c r="E8" s="12" t="n">
        <x:v>197.8</x:v>
      </x:c>
      <x:c r="F8" s="9" t="n">
        <x:v>5</x:v>
      </x:c>
      <x:c r="G8" s="10" t="n">
        <x:v>1052.8</x:v>
      </x:c>
      <x:c r="H8" s="10" t="n">
        <x:v>210.6</x:v>
      </x:c>
      <x:c r="I8" s="10" t="n">
        <x:v>150</x:v>
      </x:c>
    </x:row>
    <x:row r="9">
      <x:c r="A9" s="9" t="str">
        <x:v>IF主力</x:v>
      </x:c>
      <x:c r="B9" s="9" t="str">
        <x:v>2026-07-07</x:v>
      </x:c>
      <x:c r="C9" s="10" t="n">
        <x:v>4752.6</x:v>
      </x:c>
      <x:c r="D9" s="10" t="n">
        <x:v>4671.4</x:v>
      </x:c>
      <x:c r="E9" s="12" t="n">
        <x:v>81.2</x:v>
      </x:c>
      <x:c r="F9" s="9" t="n">
        <x:v>5</x:v>
      </x:c>
      <x:c r="G9" s="10" t="n">
        <x:v>436.4</x:v>
      </x:c>
      <x:c r="H9" s="10" t="n">
        <x:v>87.3</x:v>
      </x:c>
      <x:c r="I9" s="10" t="n">
        <x:v>90</x:v>
      </x:c>
    </x:row>
    <x:row r="10">
      <x:c r="A10" s="9" t="str">
        <x:v>IH主力</x:v>
      </x:c>
      <x:c r="B10" s="9" t="str">
        <x:v>2026-07-07</x:v>
      </x:c>
      <x:c r="C10" s="10" t="n">
        <x:v>2908.4</x:v>
      </x:c>
      <x:c r="D10" s="10" t="n">
        <x:v>2862.4</x:v>
      </x:c>
      <x:c r="E10" s="12" t="n">
        <x:v>46</x:v>
      </x:c>
      <x:c r="F10" s="9" t="n">
        <x:v>5</x:v>
      </x:c>
      <x:c r="G10" s="10" t="n">
        <x:v>242.8</x:v>
      </x:c>
      <x:c r="H10" s="10" t="n">
        <x:v>48.6</x:v>
      </x:c>
      <x:c r="I10" s="10" t="n">
        <x:v>60</x:v>
      </x:c>
    </x:row>
    <x:row r="13">
      <x:c r="A13" s="14" t="str">
        <x:v>统计区间</x:v>
      </x:c>
      <x:c r="B13" s="14" t="str">
        <x:v>2026-07-01</x:v>
      </x:c>
      <x:c r="C13" s="14" t="str">
        <x:v>2026-07-07</x:v>
      </x:c>
      <x:c r="D13" s="14" t="str">
        <x:v>数据源</x:v>
      </x:c>
    </x:row>
    <x:row r="14">
      <x:c r="A14" s="7" t="str">
        <x:v>中证1000</x:v>
      </x:c>
      <x:c r="B14" s="7" t="str">
        <x:v>sh000852</x:v>
      </x:c>
      <x:c r="C14" s="7" t="str">
        <x:v>指数日线</x:v>
      </x:c>
      <x:c r="D14" s="7" t="str">
        <x:v>https://money.finance.sina.com.cn/quotes_service/api/json_v2.php/CN_MarketData.getKLineData?symbol=sh000852&amp;scale=240&amp;ma=no&amp;datalen=80</x:v>
      </x:c>
    </x:row>
    <x:row r="15">
      <x:c r="A15" s="7" t="str">
        <x:v>中证500</x:v>
      </x:c>
      <x:c r="B15" s="7" t="str">
        <x:v>sh000905</x:v>
      </x:c>
      <x:c r="C15" s="7" t="str">
        <x:v>指数日线</x:v>
      </x:c>
      <x:c r="D15" s="7" t="str">
        <x:v>https://money.finance.sina.com.cn/quotes_service/api/json_v2.php/CN_MarketData.getKLineData?symbol=sh000905&amp;scale=240&amp;ma=no&amp;datalen=80</x:v>
      </x:c>
    </x:row>
    <x:row r="16">
      <x:c r="A16" s="7" t="str">
        <x:v>上证指数</x:v>
      </x:c>
      <x:c r="B16" s="7" t="str">
        <x:v>sh000001</x:v>
      </x:c>
      <x:c r="C16" s="7" t="str">
        <x:v>指数日线</x:v>
      </x:c>
      <x:c r="D16" s="7" t="str">
        <x:v>https://money.finance.sina.com.cn/quotes_service/api/json_v2.php/CN_MarketData.getKLineData?symbol=sh000001&amp;scale=240&amp;ma=no&amp;datalen=80</x:v>
      </x:c>
    </x:row>
    <x:row r="17">
      <x:c r="A17" s="7" t="str">
        <x:v>IM主力</x:v>
      </x:c>
      <x:c r="B17" s="7" t="str">
        <x:v>IM0</x:v>
      </x:c>
      <x:c r="C17" s="7" t="str">
        <x:v>用主连确定交易日，再按标的列的具体合约取日线</x:v>
      </x:c>
      <x:c r="D17" s="7" t="str">
        <x:v>https://stock2.finance.sina.com.cn/futures/api/json.php/InnerFuturesNewService.getDailyKLine?symbol=IM0</x:v>
      </x:c>
    </x:row>
    <x:row r="18">
      <x:c r="A18" s="7" t="str">
        <x:v>IC主力</x:v>
      </x:c>
      <x:c r="B18" s="7" t="str">
        <x:v>IC0</x:v>
      </x:c>
      <x:c r="C18" s="7" t="str">
        <x:v>用主连确定交易日，再按标的列的具体合约取日线</x:v>
      </x:c>
      <x:c r="D18" s="7" t="str">
        <x:v>https://stock2.finance.sina.com.cn/futures/api/json.php/InnerFuturesNewService.getDailyKLine?symbol=IC0</x:v>
      </x:c>
    </x:row>
    <x:row r="19">
      <x:c r="A19" s="7" t="str">
        <x:v>IF主力</x:v>
      </x:c>
      <x:c r="B19" s="7" t="str">
        <x:v>IF0</x:v>
      </x:c>
      <x:c r="C19" s="7" t="str">
        <x:v>用主连确定交易日，再按标的列的具体合约取日线</x:v>
      </x:c>
      <x:c r="D19" s="7" t="str">
        <x:v>https://stock2.finance.sina.com.cn/futures/api/json.php/InnerFuturesNewService.getDailyKLine?symbol=IF0</x:v>
      </x:c>
    </x:row>
    <x:row r="20">
      <x:c r="A20" s="7" t="str">
        <x:v>IH主力</x:v>
      </x:c>
      <x:c r="B20" s="7" t="str">
        <x:v>IH0</x:v>
      </x:c>
      <x:c r="C20" s="7" t="str">
        <x:v>用主连确定交易日，再按标的列的具体合约取日线</x:v>
      </x:c>
      <x:c r="D20" s="7" t="str">
        <x:v>https://stock2.finance.sina.com.cn/futures/api/json.php/InnerFuturesNewService.getDailyKLine?symbol=IH0</x:v>
      </x:c>
    </x:row>
  </x:sheetData>
  <x:mergeCells>
    <x:mergeCell ref="A1:I1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4" hidden="0" customWidth="1"/>
  </x:cols>
  <x:sheetData>
    <x:row r="1" ht="38" customHeight="1">
      <x:c r="A1" s="15" t="str">
        <x:v>2026年7月统计 - 中证1000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高点</x:v>
      </x:c>
      <x:c r="E3" s="18" t="str">
        <x:v>低点</x:v>
      </x:c>
      <x:c r="F3" s="18" t="str">
        <x:v>振幅</x:v>
      </x:c>
      <x:c r="G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8944.195</x:v>
      </x:c>
      <x:c r="E4" s="22" t="n">
        <x:v>8806.646</x:v>
      </x:c>
      <x:c r="F4" s="22" t="n">
        <x:f>ROUND(D4-E4,1)</x:f>
        <x:v>137.5</x:v>
      </x:c>
      <x:c r="G4" s="21" t="str">
        <x:v>中证1000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8865.966</x:v>
      </x:c>
      <x:c r="E5" s="22" t="n">
        <x:v>8598.869</x:v>
      </x:c>
      <x:c r="F5" s="24" t="n">
        <x:f>ROUND(D5-E5,1)</x:f>
        <x:v>267.1</x:v>
      </x:c>
      <x:c r="G5" s="21" t="str">
        <x:v>中证1000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8740.668</x:v>
      </x:c>
      <x:c r="E6" s="22" t="n">
        <x:v>8559.285</x:v>
      </x:c>
      <x:c r="F6" s="24" t="n">
        <x:f>ROUND(D6-E6,1)</x:f>
        <x:v>181.4</x:v>
      </x:c>
      <x:c r="G6" s="21" t="str">
        <x:v>中证1000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8694.805</x:v>
      </x:c>
      <x:c r="E7" s="22" t="n">
        <x:v>8432.897</x:v>
      </x:c>
      <x:c r="F7" s="24" t="n">
        <x:f>ROUND(D7-E7,1)</x:f>
        <x:v>261.9</x:v>
      </x:c>
      <x:c r="G7" s="21" t="str">
        <x:v>中证1000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8489.476</x:v>
      </x:c>
      <x:c r="E8" s="22" t="n">
        <x:v>8261.398</x:v>
      </x:c>
      <x:c r="F8" s="24" t="n">
        <x:f>ROUND(D8-E8,1)</x:f>
        <x:v>228.1</x:v>
      </x:c>
      <x:c r="G8" s="21" t="str">
        <x:v>中证1000</x:v>
      </x:c>
    </x:row>
    <x:row r="11">
      <x:c r="A11" s="27" t="str">
        <x:v>合计</x:v>
      </x:c>
      <x:c r="B11" s="28" t="n">
        <x:v>5</x:v>
      </x:c>
      <x:c r="C11" s="28"/>
      <x:c r="D11" s="28"/>
      <x:c r="E11" s="28"/>
      <x:c r="F11" s="29" t="n">
        <x:f>SUM(F4:F8)</x:f>
        <x:v>1076</x:v>
      </x:c>
      <x:c r="G11" s="28"/>
    </x:row>
    <x:row r="12">
      <x:c r="A12" s="27" t="str">
        <x:v>均值</x:v>
      </x:c>
      <x:c r="B12" s="28"/>
      <x:c r="C12" s="28"/>
      <x:c r="D12" s="28"/>
      <x:c r="E12" s="28"/>
      <x:c r="F12" s="31" t="n">
        <x:f>ROUND(IFERROR(AVERAGE(F4:F8),0),1)</x:f>
        <x:v>215.2</x:v>
      </x:c>
      <x:c r="G12" s="28"/>
    </x:row>
  </x:sheetData>
  <x:mergeCells>
    <x:mergeCell ref="A1:G1"/>
  </x:mergeCell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4" hidden="0" customWidth="1"/>
  </x:cols>
  <x:sheetData>
    <x:row r="1" ht="38" customHeight="1">
      <x:c r="A1" s="15" t="str">
        <x:v>2026年7月统计 - 中证500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高点</x:v>
      </x:c>
      <x:c r="E3" s="18" t="str">
        <x:v>低点</x:v>
      </x:c>
      <x:c r="F3" s="18" t="str">
        <x:v>振幅</x:v>
      </x:c>
      <x:c r="G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9147.559</x:v>
      </x:c>
      <x:c r="E4" s="22" t="n">
        <x:v>8956.185</x:v>
      </x:c>
      <x:c r="F4" s="24" t="n">
        <x:f>ROUND(D4-E4,1)</x:f>
        <x:v>191.4</x:v>
      </x:c>
      <x:c r="G4" s="21" t="str">
        <x:v>中证500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8932.647</x:v>
      </x:c>
      <x:c r="E5" s="22" t="n">
        <x:v>8667.419</x:v>
      </x:c>
      <x:c r="F5" s="24" t="n">
        <x:f>ROUND(D5-E5,1)</x:f>
        <x:v>265.2</x:v>
      </x:c>
      <x:c r="G5" s="21" t="str">
        <x:v>中证500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8860.416</x:v>
      </x:c>
      <x:c r="E6" s="22" t="n">
        <x:v>8636.15</x:v>
      </x:c>
      <x:c r="F6" s="24" t="n">
        <x:f>ROUND(D6-E6,1)</x:f>
        <x:v>224.3</x:v>
      </x:c>
      <x:c r="G6" s="21" t="str">
        <x:v>中证500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8823.05</x:v>
      </x:c>
      <x:c r="E7" s="22" t="n">
        <x:v>8570.892</x:v>
      </x:c>
      <x:c r="F7" s="24" t="n">
        <x:f>ROUND(D7-E7,1)</x:f>
        <x:v>252.2</x:v>
      </x:c>
      <x:c r="G7" s="21" t="str">
        <x:v>中证500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8663.665</x:v>
      </x:c>
      <x:c r="E8" s="22" t="n">
        <x:v>8457.576</x:v>
      </x:c>
      <x:c r="F8" s="24" t="n">
        <x:f>ROUND(D8-E8,1)</x:f>
        <x:v>206.1</x:v>
      </x:c>
      <x:c r="G8" s="21" t="str">
        <x:v>中证500</x:v>
      </x:c>
    </x:row>
    <x:row r="11">
      <x:c r="A11" s="27" t="str">
        <x:v>合计</x:v>
      </x:c>
      <x:c r="B11" s="28" t="n">
        <x:v>5</x:v>
      </x:c>
      <x:c r="C11" s="28"/>
      <x:c r="D11" s="28"/>
      <x:c r="E11" s="28"/>
      <x:c r="F11" s="29" t="n">
        <x:f>SUM(F4:F8)</x:f>
        <x:v>1139.2</x:v>
      </x:c>
      <x:c r="G11" s="28"/>
    </x:row>
    <x:row r="12">
      <x:c r="A12" s="27" t="str">
        <x:v>均值</x:v>
      </x:c>
      <x:c r="B12" s="28"/>
      <x:c r="C12" s="28"/>
      <x:c r="D12" s="28"/>
      <x:c r="E12" s="28"/>
      <x:c r="F12" s="31" t="n">
        <x:f>ROUND(IFERROR(AVERAGE(F4:F8),0),1)</x:f>
        <x:v>227.8</x:v>
      </x:c>
      <x:c r="G12" s="28"/>
    </x:row>
  </x:sheetData>
  <x:mergeCells>
    <x:mergeCell ref="A1:G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4" hidden="0" customWidth="1"/>
  </x:cols>
  <x:sheetData>
    <x:row r="1" ht="38" customHeight="1">
      <x:c r="A1" s="15" t="str">
        <x:v>2026年7月统计 - 上证指数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高点</x:v>
      </x:c>
      <x:c r="E3" s="18" t="str">
        <x:v>低点</x:v>
      </x:c>
      <x:c r="F3" s="18" t="str">
        <x:v>振幅</x:v>
      </x:c>
      <x:c r="G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4143.314</x:v>
      </x:c>
      <x:c r="E4" s="22" t="n">
        <x:v>4087.535</x:v>
      </x:c>
      <x:c r="F4" s="24" t="n">
        <x:f>ROUND(D4-E4,1)</x:f>
        <x:v>55.8</x:v>
      </x:c>
      <x:c r="G4" s="21" t="str">
        <x:v>上证指数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4093.678</x:v>
      </x:c>
      <x:c r="E5" s="22" t="n">
        <x:v>4019.215</x:v>
      </x:c>
      <x:c r="F5" s="24" t="n">
        <x:f>ROUND(D5-E5,1)</x:f>
        <x:v>74.5</x:v>
      </x:c>
      <x:c r="G5" s="21" t="str">
        <x:v>上证指数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4073.88</x:v>
      </x:c>
      <x:c r="E6" s="22" t="n">
        <x:v>4027.255</x:v>
      </x:c>
      <x:c r="F6" s="22" t="n">
        <x:f>ROUND(D6-E6,1)</x:f>
        <x:v>46.6</x:v>
      </x:c>
      <x:c r="G6" s="21" t="str">
        <x:v>上证指数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4060.069</x:v>
      </x:c>
      <x:c r="E7" s="22" t="n">
        <x:v>4005.414</x:v>
      </x:c>
      <x:c r="F7" s="24" t="n">
        <x:f>ROUND(D7-E7,1)</x:f>
        <x:v>54.7</x:v>
      </x:c>
      <x:c r="G7" s="21" t="str">
        <x:v>上证指数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4028.514</x:v>
      </x:c>
      <x:c r="E8" s="22" t="n">
        <x:v>3971.713</x:v>
      </x:c>
      <x:c r="F8" s="24" t="n">
        <x:f>ROUND(D8-E8,1)</x:f>
        <x:v>56.8</x:v>
      </x:c>
      <x:c r="G8" s="21" t="str">
        <x:v>上证指数</x:v>
      </x:c>
    </x:row>
    <x:row r="11">
      <x:c r="A11" s="27" t="str">
        <x:v>合计</x:v>
      </x:c>
      <x:c r="B11" s="28" t="n">
        <x:v>5</x:v>
      </x:c>
      <x:c r="C11" s="28"/>
      <x:c r="D11" s="28"/>
      <x:c r="E11" s="28"/>
      <x:c r="F11" s="29" t="n">
        <x:f>SUM(F4:F8)</x:f>
        <x:v>288.40000000000003</x:v>
      </x:c>
      <x:c r="G11" s="28"/>
    </x:row>
    <x:row r="12">
      <x:c r="A12" s="27" t="str">
        <x:v>均值</x:v>
      </x:c>
      <x:c r="B12" s="28"/>
      <x:c r="C12" s="28"/>
      <x:c r="D12" s="28"/>
      <x:c r="E12" s="28"/>
      <x:c r="F12" s="31" t="n">
        <x:f>ROUND(IFERROR(AVERAGE(F4:F8),0),1)</x:f>
        <x:v>57.7</x:v>
      </x:c>
      <x:c r="G12" s="28"/>
    </x:row>
  </x:sheetData>
  <x:mergeCells>
    <x:mergeCell ref="A1:G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4" hidden="0" customWidth="1"/>
  </x:cols>
  <x:sheetData>
    <x:row r="1" ht="38" customHeight="1">
      <x:c r="A1" s="15" t="str">
        <x:v>2026年7月统计 - IM主力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高点</x:v>
      </x:c>
      <x:c r="E3" s="18" t="str">
        <x:v>低点</x:v>
      </x:c>
      <x:c r="F3" s="18" t="str">
        <x:v>振幅</x:v>
      </x:c>
      <x:c r="G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8629</x:v>
      </x:c>
      <x:c r="E4" s="22" t="n">
        <x:v>8480</x:v>
      </x:c>
      <x:c r="F4" s="22" t="n">
        <x:f>ROUND(D4-E4,1)</x:f>
        <x:v>149</x:v>
      </x:c>
      <x:c r="G4" s="21" t="str">
        <x:v>IM2609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8556</x:v>
      </x:c>
      <x:c r="E5" s="22" t="n">
        <x:v>8344</x:v>
      </x:c>
      <x:c r="F5" s="24" t="n">
        <x:f>ROUND(D5-E5,1)</x:f>
        <x:v>212</x:v>
      </x:c>
      <x:c r="G5" s="21" t="str">
        <x:v>IM2609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8475</x:v>
      </x:c>
      <x:c r="E6" s="22" t="n">
        <x:v>8337.8</x:v>
      </x:c>
      <x:c r="F6" s="22" t="n">
        <x:f>ROUND(D6-E6,1)</x:f>
        <x:v>137.2</x:v>
      </x:c>
      <x:c r="G6" s="21" t="str">
        <x:v>IM2609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8419.8</x:v>
      </x:c>
      <x:c r="E7" s="22" t="n">
        <x:v>8213</x:v>
      </x:c>
      <x:c r="F7" s="24" t="n">
        <x:f>ROUND(D7-E7,1)</x:f>
        <x:v>206.8</x:v>
      </x:c>
      <x:c r="G7" s="21" t="str">
        <x:v>IM2609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8274.2</x:v>
      </x:c>
      <x:c r="E8" s="22" t="n">
        <x:v>8068.8</x:v>
      </x:c>
      <x:c r="F8" s="24" t="n">
        <x:f>ROUND(D8-E8,1)</x:f>
        <x:v>205.4</x:v>
      </x:c>
      <x:c r="G8" s="21" t="str">
        <x:v>IM2609</x:v>
      </x:c>
    </x:row>
    <x:row r="11">
      <x:c r="A11" s="27" t="str">
        <x:v>合计</x:v>
      </x:c>
      <x:c r="B11" s="28" t="n">
        <x:v>5</x:v>
      </x:c>
      <x:c r="C11" s="28"/>
      <x:c r="D11" s="28"/>
      <x:c r="E11" s="28"/>
      <x:c r="F11" s="29" t="n">
        <x:f>SUM(F4:F8)</x:f>
        <x:v>910.4</x:v>
      </x:c>
      <x:c r="G11" s="28"/>
    </x:row>
    <x:row r="12">
      <x:c r="A12" s="27" t="str">
        <x:v>均值</x:v>
      </x:c>
      <x:c r="B12" s="28"/>
      <x:c r="C12" s="28"/>
      <x:c r="D12" s="28"/>
      <x:c r="E12" s="28"/>
      <x:c r="F12" s="31" t="n">
        <x:f>ROUND(IFERROR(AVERAGE(F4:F8),0),1)</x:f>
        <x:v>182.1</x:v>
      </x:c>
      <x:c r="G12" s="28"/>
    </x:row>
  </x:sheetData>
  <x:mergeCells>
    <x:mergeCell ref="A1:G1"/>
  </x:mergeCell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4" hidden="0" customWidth="1"/>
  </x:cols>
  <x:sheetData>
    <x:row r="1" ht="38" customHeight="1">
      <x:c r="A1" s="15" t="str">
        <x:v>2026年7月统计 - IC主力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高点</x:v>
      </x:c>
      <x:c r="E3" s="18" t="str">
        <x:v>低点</x:v>
      </x:c>
      <x:c r="F3" s="18" t="str">
        <x:v>振幅</x:v>
      </x:c>
      <x:c r="G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8873.8</x:v>
      </x:c>
      <x:c r="E4" s="22" t="n">
        <x:v>8656.8</x:v>
      </x:c>
      <x:c r="F4" s="24" t="n">
        <x:f>ROUND(D4-E4,1)</x:f>
        <x:v>217</x:v>
      </x:c>
      <x:c r="G4" s="21" t="str">
        <x:v>IC2609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8678.6</x:v>
      </x:c>
      <x:c r="E5" s="22" t="n">
        <x:v>8456.8</x:v>
      </x:c>
      <x:c r="F5" s="24" t="n">
        <x:f>ROUND(D5-E5,1)</x:f>
        <x:v>221.8</x:v>
      </x:c>
      <x:c r="G5" s="21" t="str">
        <x:v>IC2609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8650</x:v>
      </x:c>
      <x:c r="E6" s="22" t="n">
        <x:v>8442</x:v>
      </x:c>
      <x:c r="F6" s="24" t="n">
        <x:f>ROUND(D6-E6,1)</x:f>
        <x:v>208</x:v>
      </x:c>
      <x:c r="G6" s="21" t="str">
        <x:v>IC2609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8584.2</x:v>
      </x:c>
      <x:c r="E7" s="22" t="n">
        <x:v>8376</x:v>
      </x:c>
      <x:c r="F7" s="24" t="n">
        <x:f>ROUND(D7-E7,1)</x:f>
        <x:v>208.2</x:v>
      </x:c>
      <x:c r="G7" s="21" t="str">
        <x:v>IC2609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8478.8</x:v>
      </x:c>
      <x:c r="E8" s="22" t="n">
        <x:v>8281</x:v>
      </x:c>
      <x:c r="F8" s="24" t="n">
        <x:f>ROUND(D8-E8,1)</x:f>
        <x:v>197.8</x:v>
      </x:c>
      <x:c r="G8" s="21" t="str">
        <x:v>IC2609</x:v>
      </x:c>
    </x:row>
    <x:row r="11">
      <x:c r="A11" s="27" t="str">
        <x:v>合计</x:v>
      </x:c>
      <x:c r="B11" s="28" t="n">
        <x:v>5</x:v>
      </x:c>
      <x:c r="C11" s="28"/>
      <x:c r="D11" s="28"/>
      <x:c r="E11" s="28"/>
      <x:c r="F11" s="29" t="n">
        <x:f>SUM(F4:F8)</x:f>
        <x:v>1052.8</x:v>
      </x:c>
      <x:c r="G11" s="28"/>
    </x:row>
    <x:row r="12">
      <x:c r="A12" s="27" t="str">
        <x:v>均值</x:v>
      </x:c>
      <x:c r="B12" s="28"/>
      <x:c r="C12" s="28"/>
      <x:c r="D12" s="28"/>
      <x:c r="E12" s="28"/>
      <x:c r="F12" s="31" t="n">
        <x:f>ROUND(IFERROR(AVERAGE(F4:F8),0),1)</x:f>
        <x:v>210.6</x:v>
      </x:c>
      <x:c r="G12" s="28"/>
    </x:row>
  </x:sheetData>
  <x:mergeCells>
    <x:mergeCell ref="A1:G1"/>
  </x:mergeCell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4" hidden="0" customWidth="1"/>
  </x:cols>
  <x:sheetData>
    <x:row r="1" ht="38" customHeight="1">
      <x:c r="A1" s="15" t="str">
        <x:v>2026年7月统计 - IF主力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高点</x:v>
      </x:c>
      <x:c r="E3" s="18" t="str">
        <x:v>低点</x:v>
      </x:c>
      <x:c r="F3" s="18" t="str">
        <x:v>振幅</x:v>
      </x:c>
      <x:c r="G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4899.6</x:v>
      </x:c>
      <x:c r="E4" s="22" t="n">
        <x:v>4802.2</x:v>
      </x:c>
      <x:c r="F4" s="24" t="n">
        <x:f>ROUND(D4-E4,1)</x:f>
        <x:v>97.4</x:v>
      </x:c>
      <x:c r="G4" s="21" t="str">
        <x:v>IF2609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4800.2</x:v>
      </x:c>
      <x:c r="E5" s="22" t="n">
        <x:v>4705</x:v>
      </x:c>
      <x:c r="F5" s="24" t="n">
        <x:f>ROUND(D5-E5,1)</x:f>
        <x:v>95.2</x:v>
      </x:c>
      <x:c r="G5" s="21" t="str">
        <x:v>IF2609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4810.4</x:v>
      </x:c>
      <x:c r="E6" s="22" t="n">
        <x:v>4728</x:v>
      </x:c>
      <x:c r="F6" s="22" t="n">
        <x:f>ROUND(D6-E6,1)</x:f>
        <x:v>82.4</x:v>
      </x:c>
      <x:c r="G6" s="21" t="str">
        <x:v>IF2609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4781.2</x:v>
      </x:c>
      <x:c r="E7" s="22" t="n">
        <x:v>4701</x:v>
      </x:c>
      <x:c r="F7" s="22" t="n">
        <x:f>ROUND(D7-E7,1)</x:f>
        <x:v>80.2</x:v>
      </x:c>
      <x:c r="G7" s="21" t="str">
        <x:v>IF2609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4752.6</x:v>
      </x:c>
      <x:c r="E8" s="22" t="n">
        <x:v>4671.4</x:v>
      </x:c>
      <x:c r="F8" s="22" t="n">
        <x:f>ROUND(D8-E8,1)</x:f>
        <x:v>81.2</x:v>
      </x:c>
      <x:c r="G8" s="21" t="str">
        <x:v>IF2609</x:v>
      </x:c>
    </x:row>
    <x:row r="11">
      <x:c r="A11" s="27" t="str">
        <x:v>合计</x:v>
      </x:c>
      <x:c r="B11" s="28" t="n">
        <x:v>5</x:v>
      </x:c>
      <x:c r="C11" s="28"/>
      <x:c r="D11" s="28"/>
      <x:c r="E11" s="28"/>
      <x:c r="F11" s="29" t="n">
        <x:f>SUM(F4:F8)</x:f>
        <x:v>436.4</x:v>
      </x:c>
      <x:c r="G11" s="28"/>
    </x:row>
    <x:row r="12">
      <x:c r="A12" s="27" t="str">
        <x:v>均值</x:v>
      </x:c>
      <x:c r="B12" s="28"/>
      <x:c r="C12" s="28"/>
      <x:c r="D12" s="28"/>
      <x:c r="E12" s="28"/>
      <x:c r="F12" s="31" t="n">
        <x:f>ROUND(IFERROR(AVERAGE(F4:F8),0),1)</x:f>
        <x:v>87.3</x:v>
      </x:c>
      <x:c r="G12" s="28"/>
    </x:row>
  </x:sheetData>
  <x:mergeCells>
    <x:mergeCell ref="A1:G1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8" hidden="0" customWidth="1"/>
    <x:col min="2" max="2" width="10" hidden="0" customWidth="1"/>
    <x:col min="3" max="3" width="12" hidden="0" customWidth="1"/>
    <x:col min="4" max="4" width="12" hidden="0" customWidth="1"/>
    <x:col min="5" max="5" width="12" hidden="0" customWidth="1"/>
    <x:col min="6" max="6" width="12" hidden="0" customWidth="1"/>
    <x:col min="7" max="7" width="14" hidden="0" customWidth="1"/>
  </x:cols>
  <x:sheetData>
    <x:row r="1" ht="38" customHeight="1">
      <x:c r="A1" s="15" t="str">
        <x:v>2026年7月统计 - IH主力</x:v>
      </x:c>
    </x:row>
    <x:row r="3">
      <x:c r="A3" s="18" t="str">
        <x:v>序号</x:v>
      </x:c>
      <x:c r="B3" s="18" t="str">
        <x:v>星期</x:v>
      </x:c>
      <x:c r="C3" s="18" t="str">
        <x:v>日期</x:v>
      </x:c>
      <x:c r="D3" s="18" t="str">
        <x:v>高点</x:v>
      </x:c>
      <x:c r="E3" s="18" t="str">
        <x:v>低点</x:v>
      </x:c>
      <x:c r="F3" s="18" t="str">
        <x:v>振幅</x:v>
      </x:c>
      <x:c r="G3" s="18" t="str">
        <x:v>标的</x:v>
      </x:c>
    </x:row>
    <x:row r="4">
      <x:c r="A4" s="21" t="n">
        <x:v>1</x:v>
      </x:c>
      <x:c r="B4" s="21" t="str">
        <x:v>周三</x:v>
      </x:c>
      <x:c r="C4" s="21" t="str">
        <x:v>7月1日</x:v>
      </x:c>
      <x:c r="D4" s="22" t="n">
        <x:v>2976</x:v>
      </x:c>
      <x:c r="E4" s="22" t="n">
        <x:v>2918.2</x:v>
      </x:c>
      <x:c r="F4" s="22" t="n">
        <x:f>ROUND(D4-E4,1)</x:f>
        <x:v>57.8</x:v>
      </x:c>
      <x:c r="G4" s="21" t="str">
        <x:v>IH2609</x:v>
      </x:c>
    </x:row>
    <x:row r="5">
      <x:c r="A5" s="21" t="n">
        <x:v>2</x:v>
      </x:c>
      <x:c r="B5" s="21" t="str">
        <x:v>周四</x:v>
      </x:c>
      <x:c r="C5" s="21" t="str">
        <x:v>7月2日</x:v>
      </x:c>
      <x:c r="D5" s="22" t="n">
        <x:v>2924.8</x:v>
      </x:c>
      <x:c r="E5" s="22" t="n">
        <x:v>2861.8</x:v>
      </x:c>
      <x:c r="F5" s="24" t="n">
        <x:f>ROUND(D5-E5,1)</x:f>
        <x:v>63</x:v>
      </x:c>
      <x:c r="G5" s="21" t="str">
        <x:v>IH2609</x:v>
      </x:c>
    </x:row>
    <x:row r="6">
      <x:c r="A6" s="21" t="n">
        <x:v>3</x:v>
      </x:c>
      <x:c r="B6" s="21" t="str">
        <x:v>周五</x:v>
      </x:c>
      <x:c r="C6" s="21" t="str">
        <x:v>7月3日</x:v>
      </x:c>
      <x:c r="D6" s="22" t="n">
        <x:v>2912</x:v>
      </x:c>
      <x:c r="E6" s="22" t="n">
        <x:v>2873.6</x:v>
      </x:c>
      <x:c r="F6" s="22" t="n">
        <x:f>ROUND(D6-E6,1)</x:f>
        <x:v>38.4</x:v>
      </x:c>
      <x:c r="G6" s="21" t="str">
        <x:v>IH2609</x:v>
      </x:c>
    </x:row>
    <x:row r="7">
      <x:c r="A7" s="21" t="n">
        <x:v>4</x:v>
      </x:c>
      <x:c r="B7" s="21" t="str">
        <x:v>周一</x:v>
      </x:c>
      <x:c r="C7" s="21" t="str">
        <x:v>7月6日</x:v>
      </x:c>
      <x:c r="D7" s="22" t="n">
        <x:v>2915</x:v>
      </x:c>
      <x:c r="E7" s="22" t="n">
        <x:v>2877.4</x:v>
      </x:c>
      <x:c r="F7" s="22" t="n">
        <x:f>ROUND(D7-E7,1)</x:f>
        <x:v>37.6</x:v>
      </x:c>
      <x:c r="G7" s="21" t="str">
        <x:v>IH2609</x:v>
      </x:c>
    </x:row>
    <x:row r="8">
      <x:c r="A8" s="21" t="n">
        <x:v>5</x:v>
      </x:c>
      <x:c r="B8" s="21" t="str">
        <x:v>周二</x:v>
      </x:c>
      <x:c r="C8" s="21" t="str">
        <x:v>7月7日</x:v>
      </x:c>
      <x:c r="D8" s="22" t="n">
        <x:v>2908.4</x:v>
      </x:c>
      <x:c r="E8" s="22" t="n">
        <x:v>2862.4</x:v>
      </x:c>
      <x:c r="F8" s="22" t="n">
        <x:f>ROUND(D8-E8,1)</x:f>
        <x:v>46</x:v>
      </x:c>
      <x:c r="G8" s="21" t="str">
        <x:v>IH2609</x:v>
      </x:c>
    </x:row>
    <x:row r="11">
      <x:c r="A11" s="27" t="str">
        <x:v>合计</x:v>
      </x:c>
      <x:c r="B11" s="28" t="n">
        <x:v>5</x:v>
      </x:c>
      <x:c r="C11" s="28"/>
      <x:c r="D11" s="28"/>
      <x:c r="E11" s="28"/>
      <x:c r="F11" s="29" t="n">
        <x:f>SUM(F4:F8)</x:f>
        <x:v>242.79999999999998</x:v>
      </x:c>
      <x:c r="G11" s="28"/>
    </x:row>
    <x:row r="12">
      <x:c r="A12" s="27" t="str">
        <x:v>均值</x:v>
      </x:c>
      <x:c r="B12" s="28"/>
      <x:c r="C12" s="28"/>
      <x:c r="D12" s="28"/>
      <x:c r="E12" s="28"/>
      <x:c r="F12" s="31" t="n">
        <x:f>ROUND(IFERROR(AVERAGE(F4:F8),0),1)</x:f>
        <x:v>48.6</x:v>
      </x:c>
      <x:c r="G12" s="28"/>
    </x:row>
  </x:sheetData>
  <x:mergeCells>
    <x:mergeCell ref="A1:G1"/>
  </x:mergeCells>
  <x:pageMargins left="0.7" right="0.7" top="0.75" bottom="0.75" header="0.3" footer="0.3"/>
</x:worksheet>
</file>