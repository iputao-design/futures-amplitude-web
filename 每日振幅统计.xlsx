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b981ddd804b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f5eec1627ab40cd"/>
    <x:sheet xmlns:r="http://schemas.openxmlformats.org/officeDocument/2006/relationships" name="周振幅统计" sheetId="2" r:id="R0c38fb4191f24d70"/>
    <x:sheet xmlns:r="http://schemas.openxmlformats.org/officeDocument/2006/relationships" name="中证1000" sheetId="3" r:id="R466a218776224151"/>
    <x:sheet xmlns:r="http://schemas.openxmlformats.org/officeDocument/2006/relationships" name="中证500" sheetId="4" r:id="R072d8bedfb5e4dd7"/>
    <x:sheet xmlns:r="http://schemas.openxmlformats.org/officeDocument/2006/relationships" name="上证指数" sheetId="5" r:id="R04fbc5f5eeb14965"/>
    <x:sheet xmlns:r="http://schemas.openxmlformats.org/officeDocument/2006/relationships" name="IM主力" sheetId="6" r:id="R2f4aabc4a289433e"/>
    <x:sheet xmlns:r="http://schemas.openxmlformats.org/officeDocument/2006/relationships" name="IC主力" sheetId="7" r:id="R1d67f1acceab4a78"/>
    <x:sheet xmlns:r="http://schemas.openxmlformats.org/officeDocument/2006/relationships" name="IF主力" sheetId="8" r:id="R46b9ce609681449d"/>
    <x:sheet xmlns:r="http://schemas.openxmlformats.org/officeDocument/2006/relationships" name="IH主力" sheetId="9" r:id="Rf6508b3f6a0b4a6f"/>
    <x:sheet xmlns:r="http://schemas.openxmlformats.org/officeDocument/2006/relationships" name="碳酸锂2609" sheetId="10" r:id="R349c41ef922e47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0601e30242484e" /><Relationship Type="http://schemas.openxmlformats.org/officeDocument/2006/relationships/theme" Target="/xl/theme/theme1.xml" Id="R9fd3961df38f4c0b" /><Relationship Type="http://schemas.openxmlformats.org/officeDocument/2006/relationships/sharedStrings" Target="/xl/sharedStrings.xml" Id="R809f72e889344321" /><Relationship Type="http://schemas.openxmlformats.org/officeDocument/2006/relationships/worksheet" Target="/xl/worksheets/sheet1.xml" Id="R7f5eec1627ab40cd" /><Relationship Type="http://schemas.openxmlformats.org/officeDocument/2006/relationships/worksheet" Target="/xl/worksheets/sheet2.xml" Id="R0c38fb4191f24d70" /><Relationship Type="http://schemas.openxmlformats.org/officeDocument/2006/relationships/worksheet" Target="/xl/worksheets/sheet3.xml" Id="R466a218776224151" /><Relationship Type="http://schemas.openxmlformats.org/officeDocument/2006/relationships/worksheet" Target="/xl/worksheets/sheet4.xml" Id="R072d8bedfb5e4dd7" /><Relationship Type="http://schemas.openxmlformats.org/officeDocument/2006/relationships/worksheet" Target="/xl/worksheets/sheet5.xml" Id="R04fbc5f5eeb14965" /><Relationship Type="http://schemas.openxmlformats.org/officeDocument/2006/relationships/worksheet" Target="/xl/worksheets/sheet6.xml" Id="R2f4aabc4a289433e" /><Relationship Type="http://schemas.openxmlformats.org/officeDocument/2006/relationships/worksheet" Target="/xl/worksheets/sheet7.xml" Id="R1d67f1acceab4a78" /><Relationship Type="http://schemas.openxmlformats.org/officeDocument/2006/relationships/worksheet" Target="/xl/worksheets/sheet8.xml" Id="R46b9ce609681449d" /><Relationship Type="http://schemas.openxmlformats.org/officeDocument/2006/relationships/worksheet" Target="/xl/worksheets/sheet9.xml" Id="Rf6508b3f6a0b4a6f" /><Relationship Type="http://schemas.openxmlformats.org/officeDocument/2006/relationships/worksheet" Target="/xl/worksheets/sheet10.xml" Id="R349c41ef922e47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2026-08-19</x:v>
      </x:c>
      <x:c r="C4" s="10" t="n">
        <x:v>7821.18</x:v>
      </x:c>
      <x:c r="D4" s="10" t="n">
        <x:v>7490.21</x:v>
      </x:c>
      <x:c r="E4" s="12" t="n">
        <x:v>331</x:v>
      </x:c>
      <x:c r="F4" s="9" t="n">
        <x:v>13</x:v>
      </x:c>
      <x:c r="G4" s="10" t="n">
        <x:v>2270.6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2026-08-19</x:v>
      </x:c>
      <x:c r="C5" s="10" t="n">
        <x:v>8050.08</x:v>
      </x:c>
      <x:c r="D5" s="10" t="n">
        <x:v>7762.29</x:v>
      </x:c>
      <x:c r="E5" s="12" t="n">
        <x:v>287.8</x:v>
      </x:c>
      <x:c r="F5" s="9" t="n">
        <x:v>13</x:v>
      </x:c>
      <x:c r="G5" s="10" t="n">
        <x:v>2201.8</x:v>
      </x:c>
      <x:c r="H5" s="10" t="n">
        <x:v>169.4</x:v>
      </x:c>
      <x:c r="I5" s="10" t="n">
        <x:v>160</x:v>
      </x:c>
    </x:row>
    <x:row r="6">
      <x:c r="A6" s="9" t="str">
        <x:v>上证指数</x:v>
      </x:c>
      <x:c r="B6" s="9" t="str">
        <x:v>2026-08-19</x:v>
      </x:c>
      <x:c r="C6" s="10" t="n">
        <x:v>3961.14</x:v>
      </x:c>
      <x:c r="D6" s="10" t="n">
        <x:v>3879.58</x:v>
      </x:c>
      <x:c r="E6" s="12" t="n">
        <x:v>81.6</x:v>
      </x:c>
      <x:c r="F6" s="9" t="n">
        <x:v>13</x:v>
      </x:c>
      <x:c r="G6" s="10" t="n">
        <x:v>564.6</x:v>
      </x:c>
      <x:c r="H6" s="10" t="n">
        <x:v>43.4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13</x:v>
      </x:c>
      <x:c r="G7" s="10" t="n">
        <x:v>2231</x:v>
      </x:c>
      <x:c r="H7" s="10" t="n">
        <x:v>171.6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12</x:v>
      </x:c>
      <x:c r="G8" s="10" t="n">
        <x:v>1949.4</x:v>
      </x:c>
      <x:c r="H8" s="10" t="n">
        <x:v>162.5</x:v>
      </x:c>
      <x:c r="I8" s="10" t="n">
        <x:v>150</x:v>
      </x:c>
    </x:row>
    <x:row r="9">
      <x:c r="A9" s="9" t="str">
        <x:v>IF主力</x:v>
      </x:c>
      <x:c r="B9" s="9" t="str">
        <x:v>2026-08-19</x:v>
      </x:c>
      <x:c r="C9" s="10" t="n">
        <x:v>4624.2</x:v>
      </x:c>
      <x:c r="D9" s="10" t="n">
        <x:v>4531.8</x:v>
      </x:c>
      <x:c r="E9" s="12" t="n">
        <x:v>92.4</x:v>
      </x:c>
      <x:c r="F9" s="9" t="n">
        <x:v>13</x:v>
      </x:c>
      <x:c r="G9" s="10" t="n">
        <x:v>808</x:v>
      </x:c>
      <x:c r="H9" s="10" t="n">
        <x:v>62.2</x:v>
      </x:c>
      <x:c r="I9" s="10" t="n">
        <x:v>90</x:v>
      </x:c>
    </x:row>
    <x:row r="10">
      <x:c r="A10" s="9" t="str">
        <x:v>IH主力</x:v>
      </x:c>
      <x:c r="B10" s="9" t="str">
        <x:v>2026-08-18</x:v>
      </x:c>
      <x:c r="C10" s="10" t="n">
        <x:v>2920</x:v>
      </x:c>
      <x:c r="D10" s="10" t="n">
        <x:v>2886.4</x:v>
      </x:c>
      <x:c r="E10" s="12" t="n">
        <x:v>33.6</x:v>
      </x:c>
      <x:c r="F10" s="9" t="n">
        <x:v>12</x:v>
      </x:c>
      <x:c r="G10" s="10" t="n">
        <x:v>400.2</x:v>
      </x:c>
      <x:c r="H10" s="10" t="n">
        <x:v>33.4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12</x:v>
      </x:c>
      <x:c r="G11" s="10" t="n">
        <x:v>59500</x:v>
      </x:c>
      <x:c r="H11" s="10" t="n">
        <x:v>4958.3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8月17日-8月19日</x:v>
      </x:c>
      <x:c r="C7" s="23" t="n">
        <x:v>7797.18</x:v>
      </x:c>
      <x:c r="D7" s="23" t="n">
        <x:v>7995.5</x:v>
      </x:c>
      <x:c r="E7" s="23" t="n">
        <x:v>7490.21</x:v>
      </x:c>
      <x:c r="F7" s="23" t="n">
        <x:v>7517.77</x:v>
      </x:c>
      <x:c r="G7" s="28" t="n">
        <x:f>ROUND(F7-F6,1)</x:f>
        <x:v>-252</x:v>
      </x:c>
      <x:c r="H7" s="24" t="n">
        <x:f>IFERROR(F7/F6-1,"")</x:f>
        <x:v>-0.03243961893583114</x:v>
      </x:c>
      <x:c r="I7" s="26" t="n">
        <x:f>ROUND(D7-E7,1)</x:f>
        <x:v>505.3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1406.6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468.9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8月17日-8月19日</x:v>
      </x:c>
      <x:c r="C15" s="23" t="n">
        <x:v>8007.87</x:v>
      </x:c>
      <x:c r="D15" s="23" t="n">
        <x:v>8211.31</x:v>
      </x:c>
      <x:c r="E15" s="23" t="n">
        <x:v>7762.29</x:v>
      </x:c>
      <x:c r="F15" s="23" t="n">
        <x:v>7783.46</x:v>
      </x:c>
      <x:c r="G15" s="28" t="n">
        <x:f>ROUND(F15-F14,1)</x:f>
        <x:v>-206.9</x:v>
      </x:c>
      <x:c r="H15" s="24" t="n">
        <x:f>IFERROR(F15/F14-1,"")</x:f>
        <x:v>-0.025890044591399874</x:v>
      </x:c>
      <x:c r="I15" s="26" t="n">
        <x:f>ROUND(D15-E15,1)</x:f>
        <x:v>449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1279.3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426.4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8月17日-8月19日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3894.42</x:v>
      </x:c>
      <x:c r="G23" s="23" t="n">
        <x:f>ROUND(F23-F22,1)</x:f>
        <x:v>-32.8</x:v>
      </x:c>
      <x:c r="H23" s="24" t="n">
        <x:f>IFERROR(F23/F22-1,"")</x:f>
        <x:v>-0.008341863627335577</x:v>
      </x:c>
      <x:c r="I23" s="26" t="n">
        <x:f>ROUND(D23-E23,1)</x:f>
        <x:v>114.6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8月17日-8月19日</x:v>
      </x:c>
      <x:c r="C31" s="23" t="n">
        <x:v>7675</x:v>
      </x:c>
      <x:c r="D31" s="23" t="n">
        <x:v>7882.8</x:v>
      </x:c>
      <x:c r="E31" s="23" t="n">
        <x:v>7430</x:v>
      </x:c>
      <x:c r="F31" s="23" t="n">
        <x:v>7468.8</x:v>
      </x:c>
      <x:c r="G31" s="28" t="n">
        <x:f>ROUND(F31-F30,1)</x:f>
        <x:v>-181.4</x:v>
      </x:c>
      <x:c r="H31" s="24" t="n">
        <x:f>IFERROR(F31/F30-1,"")</x:f>
        <x:v>-0.023711798384355887</x:v>
      </x:c>
      <x:c r="I31" s="26" t="n">
        <x:f>ROUND(D31-E31,1)</x:f>
        <x:v>452.8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1322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440.7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8月17日-8月18日</x:v>
      </x:c>
      <x:c r="C39" s="23" t="n">
        <x:v>7885</x:v>
      </x:c>
      <x:c r="D39" s="23" t="n">
        <x:v>8091.8</x:v>
      </x:c>
      <x:c r="E39" s="23" t="n">
        <x:v>7869</x:v>
      </x:c>
      <x:c r="F39" s="23" t="n">
        <x:v>8022.6</x:v>
      </x:c>
      <x:c r="G39" s="28" t="n">
        <x:f>ROUND(F39-F38,1)</x:f>
        <x:v>161.4</x:v>
      </x:c>
      <x:c r="H39" s="24" t="n">
        <x:f>IFERROR(F39/F38-1,"")</x:f>
        <x:v>0.020531216608151492</x:v>
      </x:c>
      <x:c r="I39" s="26" t="n">
        <x:f>ROUND(D39-E39,1)</x:f>
        <x:v>222.8</x:v>
      </x:c>
      <x:c r="J39" s="22" t="str">
        <x:v>IC2609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998.6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332.9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8月17日-8月19日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4554.2</x:v>
      </x:c>
      <x:c r="G47" s="23" t="n">
        <x:f>ROUND(F47-F46,1)</x:f>
        <x:v>-66.2</x:v>
      </x:c>
      <x:c r="H47" s="24" t="n">
        <x:f>IFERROR(F47/F46-1,"")</x:f>
        <x:v>-0.014327763829971363</x:v>
      </x:c>
      <x:c r="I47" s="26" t="n">
        <x:f>ROUND(D47-E47,1)</x:f>
        <x:v>168.8</x:v>
      </x:c>
      <x:c r="J47" s="22" t="str">
        <x:v>IF2609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8月17日-8月18日</x:v>
      </x:c>
      <x:c r="C55" s="23" t="n">
        <x:v>2886</x:v>
      </x:c>
      <x:c r="D55" s="23" t="n">
        <x:v>2921.2</x:v>
      </x:c>
      <x:c r="E55" s="23" t="n">
        <x:v>2883.4</x:v>
      </x:c>
      <x:c r="F55" s="23" t="n">
        <x:v>2911.6</x:v>
      </x:c>
      <x:c r="G55" s="23" t="n">
        <x:f>ROUND(F55-F54,1)</x:f>
        <x:v>21.6</x:v>
      </x:c>
      <x:c r="H55" s="24" t="n">
        <x:f>IFERROR(F55/F54-1,"")</x:f>
        <x:v>0.007474048442906556</x:v>
      </x:c>
      <x:c r="I55" s="23" t="n">
        <x:f>ROUND(D55-E55,1)</x:f>
        <x:v>37.8</x:v>
      </x:c>
      <x:c r="J55" s="22" t="str">
        <x:v>IH2609</x:v>
      </x:c>
      <x:c r="K55" s="22" t="n">
        <x:v>2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195.2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65.1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8月17日-8月18日</x:v>
      </x:c>
      <x:c r="C63" s="23" t="n">
        <x:v>154300</x:v>
      </x:c>
      <x:c r="D63" s="23" t="n">
        <x:v>155980</x:v>
      </x:c>
      <x:c r="E63" s="23" t="n">
        <x:v>150520</x:v>
      </x:c>
      <x:c r="F63" s="23" t="n">
        <x:v>153940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5460</x:v>
      </x:c>
      <x:c r="J63" s="22" t="str">
        <x:v>LC2609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29920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9973.3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2270.6000000000004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174.7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2201.8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169.4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564.6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43.4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2231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171.6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1949.4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162.5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808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62.2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400.20000000000005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33.4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59500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4958.3</x:v>
      </x:c>
      <x:c r="K19" s="30"/>
    </x:row>
  </x:sheetData>
  <x:mergeCells>
    <x:mergeCell ref="A1:K1"/>
  </x:mergeCells>
  <x:pageMargins left="0.7" right="0.7" top="0.75" bottom="0.75" header="0.3" footer="0.3"/>
</x:worksheet>
</file>