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01429c259541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2f15c6de7a94162"/>
    <x:sheet xmlns:r="http://schemas.openxmlformats.org/officeDocument/2006/relationships" name="周振幅统计" sheetId="2" r:id="R2fa9e9c3ad3a4457"/>
    <x:sheet xmlns:r="http://schemas.openxmlformats.org/officeDocument/2006/relationships" name="中证1000" sheetId="3" r:id="Ra20c5a69122c4aa2"/>
    <x:sheet xmlns:r="http://schemas.openxmlformats.org/officeDocument/2006/relationships" name="中证500" sheetId="4" r:id="R14685a50f5954261"/>
    <x:sheet xmlns:r="http://schemas.openxmlformats.org/officeDocument/2006/relationships" name="上证指数" sheetId="5" r:id="R52b55768cc5644cc"/>
    <x:sheet xmlns:r="http://schemas.openxmlformats.org/officeDocument/2006/relationships" name="IM主力" sheetId="6" r:id="R5463e55e7bb74a93"/>
    <x:sheet xmlns:r="http://schemas.openxmlformats.org/officeDocument/2006/relationships" name="IC主力" sheetId="7" r:id="R4642f1f217db45c2"/>
    <x:sheet xmlns:r="http://schemas.openxmlformats.org/officeDocument/2006/relationships" name="IF主力" sheetId="8" r:id="R8466b126876b46b7"/>
    <x:sheet xmlns:r="http://schemas.openxmlformats.org/officeDocument/2006/relationships" name="IH主力" sheetId="9" r:id="R838d94a1107d4fc8"/>
    <x:sheet xmlns:r="http://schemas.openxmlformats.org/officeDocument/2006/relationships" name="碳酸锂2609" sheetId="10" r:id="Rd28a79bac6e74e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caf84aa384411e" /><Relationship Type="http://schemas.openxmlformats.org/officeDocument/2006/relationships/theme" Target="/xl/theme/theme1.xml" Id="R61dd8ad5aa0140f7" /><Relationship Type="http://schemas.openxmlformats.org/officeDocument/2006/relationships/sharedStrings" Target="/xl/sharedStrings.xml" Id="Re1a3aa7f49d64c48" /><Relationship Type="http://schemas.openxmlformats.org/officeDocument/2006/relationships/worksheet" Target="/xl/worksheets/sheet1.xml" Id="Re2f15c6de7a94162" /><Relationship Type="http://schemas.openxmlformats.org/officeDocument/2006/relationships/worksheet" Target="/xl/worksheets/sheet2.xml" Id="R2fa9e9c3ad3a4457" /><Relationship Type="http://schemas.openxmlformats.org/officeDocument/2006/relationships/worksheet" Target="/xl/worksheets/sheet3.xml" Id="Ra20c5a69122c4aa2" /><Relationship Type="http://schemas.openxmlformats.org/officeDocument/2006/relationships/worksheet" Target="/xl/worksheets/sheet4.xml" Id="R14685a50f5954261" /><Relationship Type="http://schemas.openxmlformats.org/officeDocument/2006/relationships/worksheet" Target="/xl/worksheets/sheet5.xml" Id="R52b55768cc5644cc" /><Relationship Type="http://schemas.openxmlformats.org/officeDocument/2006/relationships/worksheet" Target="/xl/worksheets/sheet6.xml" Id="R5463e55e7bb74a93" /><Relationship Type="http://schemas.openxmlformats.org/officeDocument/2006/relationships/worksheet" Target="/xl/worksheets/sheet7.xml" Id="R4642f1f217db45c2" /><Relationship Type="http://schemas.openxmlformats.org/officeDocument/2006/relationships/worksheet" Target="/xl/worksheets/sheet8.xml" Id="R8466b126876b46b7" /><Relationship Type="http://schemas.openxmlformats.org/officeDocument/2006/relationships/worksheet" Target="/xl/worksheets/sheet9.xml" Id="R838d94a1107d4fc8" /><Relationship Type="http://schemas.openxmlformats.org/officeDocument/2006/relationships/worksheet" Target="/xl/worksheets/sheet10.xml" Id="Rd28a79bac6e74e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2026-08-18</x:v>
      </x:c>
      <x:c r="C4" s="10" t="n">
        <x:v>7995.5</x:v>
      </x:c>
      <x:c r="D4" s="10" t="n">
        <x:v>7842.25</x:v>
      </x:c>
      <x:c r="E4" s="12" t="n">
        <x:v>153.3</x:v>
      </x:c>
      <x:c r="F4" s="9" t="n">
        <x:v>12</x:v>
      </x:c>
      <x:c r="G4" s="10" t="n">
        <x:v>1939.6</x:v>
      </x:c>
      <x:c r="H4" s="10" t="n">
        <x:v>161.6</x:v>
      </x:c>
      <x:c r="I4" s="10" t="n">
        <x:v>180</x:v>
      </x:c>
    </x:row>
    <x:row r="5">
      <x:c r="A5" s="9" t="str">
        <x:v>中证500</x:v>
      </x:c>
      <x:c r="B5" s="9" t="str">
        <x:v>2026-08-18</x:v>
      </x:c>
      <x:c r="C5" s="10" t="n">
        <x:v>8211.31</x:v>
      </x:c>
      <x:c r="D5" s="10" t="n">
        <x:v>8069.82</x:v>
      </x:c>
      <x:c r="E5" s="12" t="n">
        <x:v>141.5</x:v>
      </x:c>
      <x:c r="F5" s="9" t="n">
        <x:v>12</x:v>
      </x:c>
      <x:c r="G5" s="10" t="n">
        <x:v>1914</x:v>
      </x:c>
      <x:c r="H5" s="10" t="n">
        <x:v>159.5</x:v>
      </x:c>
      <x:c r="I5" s="10" t="n">
        <x:v>160</x:v>
      </x:c>
    </x:row>
    <x:row r="6">
      <x:c r="A6" s="9" t="str">
        <x:v>上证指数</x:v>
      </x:c>
      <x:c r="B6" s="9" t="str">
        <x:v>2026-08-18</x:v>
      </x:c>
      <x:c r="C6" s="10" t="n">
        <x:v>3994.18</x:v>
      </x:c>
      <x:c r="D6" s="10" t="n">
        <x:v>3955.6</x:v>
      </x:c>
      <x:c r="E6" s="12" t="n">
        <x:v>38.6</x:v>
      </x:c>
      <x:c r="F6" s="9" t="n">
        <x:v>12</x:v>
      </x:c>
      <x:c r="G6" s="10" t="n">
        <x:v>483</x:v>
      </x:c>
      <x:c r="H6" s="10" t="n">
        <x:v>40.3</x:v>
      </x:c>
      <x:c r="I6" s="10" t="n">
        <x:v>50</x:v>
      </x:c>
    </x:row>
    <x:row r="7">
      <x:c r="A7" s="9" t="str">
        <x:v>IM主力</x:v>
      </x:c>
      <x:c r="B7" s="9" t="str">
        <x:v>2026-08-17</x:v>
      </x:c>
      <x:c r="C7" s="10" t="n">
        <x:v>7875</x:v>
      </x:c>
      <x:c r="D7" s="10" t="n">
        <x:v>7631.4</x:v>
      </x:c>
      <x:c r="E7" s="12" t="n">
        <x:v>243.6</x:v>
      </x:c>
      <x:c r="F7" s="9" t="n">
        <x:v>11</x:v>
      </x:c>
      <x:c r="G7" s="10" t="n">
        <x:v>1768.6</x:v>
      </x:c>
      <x:c r="H7" s="10" t="n">
        <x:v>160.8</x:v>
      </x:c>
      <x:c r="I7" s="10" t="n">
        <x:v>190</x:v>
      </x:c>
    </x:row>
    <x:row r="8">
      <x:c r="A8" s="9" t="str">
        <x:v>IC主力</x:v>
      </x:c>
      <x:c r="B8" s="9" t="str">
        <x:v>2026-08-18</x:v>
      </x:c>
      <x:c r="C8" s="10" t="n">
        <x:v>8091.8</x:v>
      </x:c>
      <x:c r="D8" s="10" t="n">
        <x:v>7932.4</x:v>
      </x:c>
      <x:c r="E8" s="12" t="n">
        <x:v>159.4</x:v>
      </x:c>
      <x:c r="F8" s="9" t="n">
        <x:v>12</x:v>
      </x:c>
      <x:c r="G8" s="10" t="n">
        <x:v>1949.4</x:v>
      </x:c>
      <x:c r="H8" s="10" t="n">
        <x:v>162.5</x:v>
      </x:c>
      <x:c r="I8" s="10" t="n">
        <x:v>150</x:v>
      </x:c>
    </x:row>
    <x:row r="9">
      <x:c r="A9" s="9" t="str">
        <x:v>IF主力</x:v>
      </x:c>
      <x:c r="B9" s="9" t="str">
        <x:v>2026-08-17</x:v>
      </x:c>
      <x:c r="C9" s="10" t="n">
        <x:v>4700.6</x:v>
      </x:c>
      <x:c r="D9" s="10" t="n">
        <x:v>4619.8</x:v>
      </x:c>
      <x:c r="E9" s="12" t="n">
        <x:v>80.8</x:v>
      </x:c>
      <x:c r="F9" s="9" t="n">
        <x:v>11</x:v>
      </x:c>
      <x:c r="G9" s="10" t="n">
        <x:v>650.6</x:v>
      </x:c>
      <x:c r="H9" s="10" t="n">
        <x:v>59.1</x:v>
      </x:c>
      <x:c r="I9" s="10" t="n">
        <x:v>90</x:v>
      </x:c>
    </x:row>
    <x:row r="10">
      <x:c r="A10" s="9" t="str">
        <x:v>IH主力</x:v>
      </x:c>
      <x:c r="B10" s="9" t="str">
        <x:v>2026-08-17</x:v>
      </x:c>
      <x:c r="C10" s="10" t="n">
        <x:v>2921.2</x:v>
      </x:c>
      <x:c r="D10" s="10" t="n">
        <x:v>2883.4</x:v>
      </x:c>
      <x:c r="E10" s="12" t="n">
        <x:v>37.8</x:v>
      </x:c>
      <x:c r="F10" s="9" t="n">
        <x:v>11</x:v>
      </x:c>
      <x:c r="G10" s="10" t="n">
        <x:v>366.6</x:v>
      </x:c>
      <x:c r="H10" s="10" t="n">
        <x:v>33.3</x:v>
      </x:c>
      <x:c r="I10" s="10" t="n">
        <x:v>60</x:v>
      </x:c>
    </x:row>
    <x:row r="11">
      <x:c r="A11" s="9" t="str">
        <x:v>碳酸锂2609</x:v>
      </x:c>
      <x:c r="B11" s="9" t="str">
        <x:v>2026-08-18</x:v>
      </x:c>
      <x:c r="C11" s="10" t="n">
        <x:v>155980</x:v>
      </x:c>
      <x:c r="D11" s="10" t="n">
        <x:v>151520</x:v>
      </x:c>
      <x:c r="E11" s="12" t="n">
        <x:v>4460</x:v>
      </x:c>
      <x:c r="F11" s="9" t="n">
        <x:v>12</x:v>
      </x:c>
      <x:c r="G11" s="10" t="n">
        <x:v>59500</x:v>
      </x:c>
      <x:c r="H11" s="10" t="n">
        <x:v>4958.3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8月17日-8月18日</x:v>
      </x:c>
      <x:c r="C7" s="23" t="n">
        <x:v>7797.18</x:v>
      </x:c>
      <x:c r="D7" s="23" t="n">
        <x:v>7995.5</x:v>
      </x:c>
      <x:c r="E7" s="23" t="n">
        <x:v>7750.43</x:v>
      </x:c>
      <x:c r="F7" s="23" t="n">
        <x:v>7945.96</x:v>
      </x:c>
      <x:c r="G7" s="28" t="n">
        <x:f>ROUND(F7-F6,1)</x:f>
        <x:v>176.1</x:v>
      </x:c>
      <x:c r="H7" s="24" t="n">
        <x:f>IFERROR(F7/F6-1,"")</x:f>
        <x:v>0.022669765837561195</x:v>
      </x:c>
      <x:c r="I7" s="26" t="n">
        <x:f>ROUND(D7-E7,1)</x:f>
        <x:v>245.1</x:v>
      </x:c>
      <x:c r="J7" s="22" t="str">
        <x:v>中证1000</x:v>
      </x:c>
      <x:c r="K7" s="22" t="n">
        <x:v>2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1146.4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382.1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8月17日-8月18日</x:v>
      </x:c>
      <x:c r="C15" s="23" t="n">
        <x:v>8007.87</x:v>
      </x:c>
      <x:c r="D15" s="23" t="n">
        <x:v>8211.31</x:v>
      </x:c>
      <x:c r="E15" s="23" t="n">
        <x:v>7992.36</x:v>
      </x:c>
      <x:c r="F15" s="23" t="n">
        <x:v>8177.18</x:v>
      </x:c>
      <x:c r="G15" s="28" t="n">
        <x:f>ROUND(F15-F14,1)</x:f>
        <x:v>186.9</x:v>
      </x:c>
      <x:c r="H15" s="24" t="n">
        <x:f>IFERROR(F15/F14-1,"")</x:f>
        <x:v>0.023384516033755798</x:v>
      </x:c>
      <x:c r="I15" s="26" t="n">
        <x:f>ROUND(D15-E15,1)</x:f>
        <x:v>218.9</x:v>
      </x:c>
      <x:c r="J15" s="22" t="str">
        <x:v>中证500</x:v>
      </x:c>
      <x:c r="K15" s="22" t="n">
        <x:v>2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1049.2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349.7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8月17日-8月18日</x:v>
      </x:c>
      <x:c r="C23" s="23" t="n">
        <x:v>3930.1</x:v>
      </x:c>
      <x:c r="D23" s="23" t="n">
        <x:v>3994.18</x:v>
      </x:c>
      <x:c r="E23" s="23" t="n">
        <x:v>3924.47</x:v>
      </x:c>
      <x:c r="F23" s="23" t="n">
        <x:v>3990.3</x:v>
      </x:c>
      <x:c r="G23" s="23" t="n">
        <x:f>ROUND(F23-F22,1)</x:f>
        <x:v>63.1</x:v>
      </x:c>
      <x:c r="H23" s="24" t="n">
        <x:f>IFERROR(F23/F22-1,"")</x:f>
        <x:v>0.016072601714207213</x:v>
      </x:c>
      <x:c r="I23" s="26" t="n">
        <x:f>ROUND(D23-E23,1)</x:f>
        <x:v>69.7</x:v>
      </x:c>
      <x:c r="J23" s="22" t="str">
        <x:v>上证指数</x:v>
      </x:c>
      <x:c r="K23" s="22" t="n">
        <x:v>2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277.8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92.6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</x:v>
      </x:c>
      <x:c r="C31" s="23" t="n">
        <x:v>7675</x:v>
      </x:c>
      <x:c r="D31" s="23" t="n">
        <x:v>7875</x:v>
      </x:c>
      <x:c r="E31" s="23" t="n">
        <x:v>7631.4</x:v>
      </x:c>
      <x:c r="F31" s="23" t="n">
        <x:v>7875</x:v>
      </x:c>
      <x:c r="G31" s="28" t="n">
        <x:f>ROUND(F31-F30,1)</x:f>
        <x:v>224.8</x:v>
      </x:c>
      <x:c r="H31" s="24" t="n">
        <x:f>IFERROR(F31/F30-1,"")</x:f>
        <x:v>0.029384852683590035</x:v>
      </x:c>
      <x:c r="I31" s="26" t="n">
        <x:f>ROUND(D31-E31,1)</x:f>
        <x:v>243.6</x:v>
      </x:c>
      <x:c r="J31" s="22" t="str">
        <x:v>IM2609</x:v>
      </x:c>
      <x:c r="K31" s="22" t="n">
        <x:v>1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1112.8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370.9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8月17日-8月18日</x:v>
      </x:c>
      <x:c r="C39" s="23" t="n">
        <x:v>7885</x:v>
      </x:c>
      <x:c r="D39" s="23" t="n">
        <x:v>8091.8</x:v>
      </x:c>
      <x:c r="E39" s="23" t="n">
        <x:v>7869</x:v>
      </x:c>
      <x:c r="F39" s="23" t="n">
        <x:v>8022.6</x:v>
      </x:c>
      <x:c r="G39" s="28" t="n">
        <x:f>ROUND(F39-F38,1)</x:f>
        <x:v>161.4</x:v>
      </x:c>
      <x:c r="H39" s="24" t="n">
        <x:f>IFERROR(F39/F38-1,"")</x:f>
        <x:v>0.020531216608151492</x:v>
      </x:c>
      <x:c r="I39" s="26" t="n">
        <x:f>ROUND(D39-E39,1)</x:f>
        <x:v>222.8</x:v>
      </x:c>
      <x:c r="J39" s="22" t="str">
        <x:v>IC2609</x:v>
      </x:c>
      <x:c r="K39" s="22" t="n">
        <x:v>2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998.6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332.9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</x:v>
      </x:c>
      <x:c r="C47" s="23" t="n">
        <x:v>4624</x:v>
      </x:c>
      <x:c r="D47" s="23" t="n">
        <x:v>4700.6</x:v>
      </x:c>
      <x:c r="E47" s="23" t="n">
        <x:v>4619.8</x:v>
      </x:c>
      <x:c r="F47" s="23" t="n">
        <x:v>4699</x:v>
      </x:c>
      <x:c r="G47" s="23" t="n">
        <x:f>ROUND(F47-F46,1)</x:f>
        <x:v>78.6</x:v>
      </x:c>
      <x:c r="H47" s="24" t="n">
        <x:f>IFERROR(F47/F46-1,"")</x:f>
        <x:v>0.017011514154618768</x:v>
      </x:c>
      <x:c r="I47" s="23" t="n">
        <x:f>ROUND(D47-E47,1)</x:f>
        <x:v>80.8</x:v>
      </x:c>
      <x:c r="J47" s="22" t="str">
        <x:v>IF2609</x:v>
      </x:c>
      <x:c r="K47" s="22" t="n">
        <x:v>1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325.8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108.6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</x:v>
      </x:c>
      <x:c r="C55" s="23" t="n">
        <x:v>2886</x:v>
      </x:c>
      <x:c r="D55" s="23" t="n">
        <x:v>2921.2</x:v>
      </x:c>
      <x:c r="E55" s="23" t="n">
        <x:v>2883.4</x:v>
      </x:c>
      <x:c r="F55" s="23" t="n">
        <x:v>2919.2</x:v>
      </x:c>
      <x:c r="G55" s="23" t="n">
        <x:f>ROUND(F55-F54,1)</x:f>
        <x:v>29.2</x:v>
      </x:c>
      <x:c r="H55" s="24" t="n">
        <x:f>IFERROR(F55/F54-1,"")</x:f>
        <x:v>0.01010380622837359</x:v>
      </x:c>
      <x:c r="I55" s="23" t="n">
        <x:f>ROUND(D55-E55,1)</x:f>
        <x:v>37.8</x:v>
      </x:c>
      <x:c r="J55" s="22" t="str">
        <x:v>IH2609</x:v>
      </x:c>
      <x:c r="K55" s="22" t="n">
        <x:v>1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195.2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65.1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8月17日-8月18日</x:v>
      </x:c>
      <x:c r="C63" s="23" t="n">
        <x:v>154300</x:v>
      </x:c>
      <x:c r="D63" s="23" t="n">
        <x:v>155980</x:v>
      </x:c>
      <x:c r="E63" s="23" t="n">
        <x:v>150520</x:v>
      </x:c>
      <x:c r="F63" s="23" t="n">
        <x:v>153940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5460</x:v>
      </x:c>
      <x:c r="J63" s="22" t="str">
        <x:v>LC2609</x:v>
      </x:c>
      <x:c r="K63" s="22" t="n">
        <x:v>2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29920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9973.3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1939.6000000000001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161.6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1914.0000000000002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159.5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483.00000000000006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40.3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1768.6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160.8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1949.4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162.5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650.6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59.1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366.6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33.3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59500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4958.3</x:v>
      </x:c>
      <x:c r="K19" s="30"/>
    </x:row>
  </x:sheetData>
  <x:mergeCells>
    <x:mergeCell ref="A1:K1"/>
  </x:mergeCells>
  <x:pageMargins left="0.7" right="0.7" top="0.75" bottom="0.75" header="0.3" footer="0.3"/>
</x:worksheet>
</file>