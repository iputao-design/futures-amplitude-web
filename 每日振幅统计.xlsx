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b18464a01b41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82b53224a06439d"/>
    <x:sheet xmlns:r="http://schemas.openxmlformats.org/officeDocument/2006/relationships" name="周振幅统计" sheetId="2" r:id="R75b2bd7c38cf43a2"/>
    <x:sheet xmlns:r="http://schemas.openxmlformats.org/officeDocument/2006/relationships" name="中证1000" sheetId="3" r:id="R5d9db00902864404"/>
    <x:sheet xmlns:r="http://schemas.openxmlformats.org/officeDocument/2006/relationships" name="中证500" sheetId="4" r:id="Raf2dc2caa8b1496f"/>
    <x:sheet xmlns:r="http://schemas.openxmlformats.org/officeDocument/2006/relationships" name="上证指数" sheetId="5" r:id="R1ca740af0a134493"/>
    <x:sheet xmlns:r="http://schemas.openxmlformats.org/officeDocument/2006/relationships" name="IM主力" sheetId="6" r:id="R99133acb6ea6405d"/>
    <x:sheet xmlns:r="http://schemas.openxmlformats.org/officeDocument/2006/relationships" name="IC主力" sheetId="7" r:id="R4ce0120c03cf4e70"/>
    <x:sheet xmlns:r="http://schemas.openxmlformats.org/officeDocument/2006/relationships" name="IF主力" sheetId="8" r:id="R7d52bef6d82b4fe8"/>
    <x:sheet xmlns:r="http://schemas.openxmlformats.org/officeDocument/2006/relationships" name="IH主力" sheetId="9" r:id="R18f6b5832a8a4aeb"/>
    <x:sheet xmlns:r="http://schemas.openxmlformats.org/officeDocument/2006/relationships" name="碳酸锂2610" sheetId="10" r:id="R5c496969a70a47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29389e8a344e5a" /><Relationship Type="http://schemas.openxmlformats.org/officeDocument/2006/relationships/theme" Target="/xl/theme/theme1.xml" Id="Rf692c145d3144a81" /><Relationship Type="http://schemas.openxmlformats.org/officeDocument/2006/relationships/sharedStrings" Target="/xl/sharedStrings.xml" Id="R001c432b4c8b4b75" /><Relationship Type="http://schemas.openxmlformats.org/officeDocument/2006/relationships/worksheet" Target="/xl/worksheets/sheet1.xml" Id="Rb82b53224a06439d" /><Relationship Type="http://schemas.openxmlformats.org/officeDocument/2006/relationships/worksheet" Target="/xl/worksheets/sheet2.xml" Id="R75b2bd7c38cf43a2" /><Relationship Type="http://schemas.openxmlformats.org/officeDocument/2006/relationships/worksheet" Target="/xl/worksheets/sheet3.xml" Id="R5d9db00902864404" /><Relationship Type="http://schemas.openxmlformats.org/officeDocument/2006/relationships/worksheet" Target="/xl/worksheets/sheet4.xml" Id="Raf2dc2caa8b1496f" /><Relationship Type="http://schemas.openxmlformats.org/officeDocument/2006/relationships/worksheet" Target="/xl/worksheets/sheet5.xml" Id="R1ca740af0a134493" /><Relationship Type="http://schemas.openxmlformats.org/officeDocument/2006/relationships/worksheet" Target="/xl/worksheets/sheet6.xml" Id="R99133acb6ea6405d" /><Relationship Type="http://schemas.openxmlformats.org/officeDocument/2006/relationships/worksheet" Target="/xl/worksheets/sheet7.xml" Id="R4ce0120c03cf4e70" /><Relationship Type="http://schemas.openxmlformats.org/officeDocument/2006/relationships/worksheet" Target="/xl/worksheets/sheet8.xml" Id="R7d52bef6d82b4fe8" /><Relationship Type="http://schemas.openxmlformats.org/officeDocument/2006/relationships/worksheet" Target="/xl/worksheets/sheet9.xml" Id="R18f6b5832a8a4aeb" /><Relationship Type="http://schemas.openxmlformats.org/officeDocument/2006/relationships/worksheet" Target="/xl/worksheets/sheet10.xml" Id="R5c496969a70a47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2026-10-21</x:v>
      </x:c>
      <x:c r="C4" s="10" t="n">
        <x:v>6880.55</x:v>
      </x:c>
      <x:c r="D4" s="10" t="n">
        <x:v>6763.45</x:v>
      </x:c>
      <x:c r="E4" s="12" t="n">
        <x:v>117.1</x:v>
      </x:c>
      <x:c r="F4" s="9" t="n">
        <x:v>10</x:v>
      </x:c>
      <x:c r="G4" s="10" t="n">
        <x:v>1914.7</x:v>
      </x:c>
      <x:c r="H4" s="10" t="n">
        <x:v>191.5</x:v>
      </x:c>
      <x:c r="I4" s="10" t="n">
        <x:v>180</x:v>
      </x:c>
    </x:row>
    <x:row r="5">
      <x:c r="A5" s="9" t="str">
        <x:v>中证500</x:v>
      </x:c>
      <x:c r="B5" s="9" t="str">
        <x:v>2026-10-21</x:v>
      </x:c>
      <x:c r="C5" s="10" t="n">
        <x:v>6941.51</x:v>
      </x:c>
      <x:c r="D5" s="10" t="n">
        <x:v>6821.39</x:v>
      </x:c>
      <x:c r="E5" s="12" t="n">
        <x:v>120.1</x:v>
      </x:c>
      <x:c r="F5" s="9" t="n">
        <x:v>10</x:v>
      </x:c>
      <x:c r="G5" s="10" t="n">
        <x:v>1799.4</x:v>
      </x:c>
      <x:c r="H5" s="10" t="n">
        <x:v>179.9</x:v>
      </x:c>
      <x:c r="I5" s="10" t="n">
        <x:v>160</x:v>
      </x:c>
    </x:row>
    <x:row r="6">
      <x:c r="A6" s="9" t="str">
        <x:v>上证指数</x:v>
      </x:c>
      <x:c r="B6" s="9" t="str">
        <x:v>2026-10-21</x:v>
      </x:c>
      <x:c r="C6" s="10" t="n">
        <x:v>3743.08</x:v>
      </x:c>
      <x:c r="D6" s="10" t="n">
        <x:v>3703.12</x:v>
      </x:c>
      <x:c r="E6" s="12" t="n">
        <x:v>40</x:v>
      </x:c>
      <x:c r="F6" s="9" t="n">
        <x:v>10</x:v>
      </x:c>
      <x:c r="G6" s="10" t="n">
        <x:v>555.3</x:v>
      </x:c>
      <x:c r="H6" s="10" t="n">
        <x:v>55.5</x:v>
      </x:c>
      <x:c r="I6" s="10" t="n">
        <x:v>50</x:v>
      </x:c>
    </x:row>
    <x:row r="7">
      <x:c r="A7" s="9" t="str">
        <x:v>IM主力</x:v>
      </x:c>
      <x:c r="B7" s="9" t="str">
        <x:v>2026-10-21</x:v>
      </x:c>
      <x:c r="C7" s="10" t="n">
        <x:v>6799.6</x:v>
      </x:c>
      <x:c r="D7" s="10" t="n">
        <x:v>6658.2</x:v>
      </x:c>
      <x:c r="E7" s="12" t="n">
        <x:v>141.4</x:v>
      </x:c>
      <x:c r="F7" s="9" t="n">
        <x:v>10</x:v>
      </x:c>
      <x:c r="G7" s="10" t="n">
        <x:v>2045.4</x:v>
      </x:c>
      <x:c r="H7" s="10" t="n">
        <x:v>204.5</x:v>
      </x:c>
      <x:c r="I7" s="10" t="n">
        <x:v>190</x:v>
      </x:c>
    </x:row>
    <x:row r="8">
      <x:c r="A8" s="9" t="str">
        <x:v>IC主力</x:v>
      </x:c>
      <x:c r="B8" s="9" t="str">
        <x:v>2026-10-21</x:v>
      </x:c>
      <x:c r="C8" s="10" t="n">
        <x:v>6864</x:v>
      </x:c>
      <x:c r="D8" s="10" t="n">
        <x:v>6726</x:v>
      </x:c>
      <x:c r="E8" s="12" t="n">
        <x:v>138</x:v>
      </x:c>
      <x:c r="F8" s="9" t="n">
        <x:v>10</x:v>
      </x:c>
      <x:c r="G8" s="10" t="n">
        <x:v>1993.4</x:v>
      </x:c>
      <x:c r="H8" s="10" t="n">
        <x:v>199.3</x:v>
      </x:c>
      <x:c r="I8" s="10" t="n">
        <x:v>150</x:v>
      </x:c>
    </x:row>
    <x:row r="9">
      <x:c r="A9" s="9" t="str">
        <x:v>IF主力</x:v>
      </x:c>
      <x:c r="B9" s="9" t="str">
        <x:v>2026-10-21</x:v>
      </x:c>
      <x:c r="C9" s="10" t="n">
        <x:v>4107</x:v>
      </x:c>
      <x:c r="D9" s="10" t="n">
        <x:v>4038</x:v>
      </x:c>
      <x:c r="E9" s="12" t="n">
        <x:v>69</x:v>
      </x:c>
      <x:c r="F9" s="9" t="n">
        <x:v>10</x:v>
      </x:c>
      <x:c r="G9" s="10" t="n">
        <x:v>804.2</x:v>
      </x:c>
      <x:c r="H9" s="10" t="n">
        <x:v>80.4</x:v>
      </x:c>
      <x:c r="I9" s="10" t="n">
        <x:v>90</x:v>
      </x:c>
    </x:row>
    <x:row r="10">
      <x:c r="A10" s="9" t="str">
        <x:v>IH主力</x:v>
      </x:c>
      <x:c r="B10" s="9" t="str">
        <x:v>2026-10-21</x:v>
      </x:c>
      <x:c r="C10" s="10" t="n">
        <x:v>2732</x:v>
      </x:c>
      <x:c r="D10" s="10" t="n">
        <x:v>2697</x:v>
      </x:c>
      <x:c r="E10" s="12" t="n">
        <x:v>35</x:v>
      </x:c>
      <x:c r="F10" s="9" t="n">
        <x:v>10</x:v>
      </x:c>
      <x:c r="G10" s="10" t="n">
        <x:v>458.4</x:v>
      </x:c>
      <x:c r="H10" s="10" t="n">
        <x:v>45.8</x:v>
      </x:c>
      <x:c r="I10" s="10" t="n">
        <x:v>60</x:v>
      </x:c>
    </x:row>
    <x:row r="11">
      <x:c r="A11" s="9" t="str">
        <x:v>碳酸锂2610</x:v>
      </x:c>
      <x:c r="B11" s="9" t="str">
        <x:v>2026-10-21</x:v>
      </x:c>
      <x:c r="C11" s="10" t="n">
        <x:v>101660</x:v>
      </x:c>
      <x:c r="D11" s="10" t="n">
        <x:v>98000</x:v>
      </x:c>
      <x:c r="E11" s="12" t="n">
        <x:v>3660</x:v>
      </x:c>
      <x:c r="F11" s="9" t="n">
        <x:v>10</x:v>
      </x:c>
      <x:c r="G11" s="10" t="n">
        <x:v>58980</x:v>
      </x:c>
      <x:c r="H11" s="10" t="n">
        <x:v>5898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2026-10-21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2" t="n">
        <x:v>2</x:v>
      </x:c>
      <x:c r="B6" s="22" t="str">
        <x:v>10月12日-10月16日</x:v>
      </x:c>
      <x:c r="C6" s="23" t="n">
        <x:v>7132.68</x:v>
      </x:c>
      <x:c r="D6" s="23" t="n">
        <x:v>7145.06</x:v>
      </x:c>
      <x:c r="E6" s="23" t="n">
        <x:v>6626.52</x:v>
      </x:c>
      <x:c r="F6" s="23" t="n">
        <x:v>6681.94</x:v>
      </x:c>
      <x:c r="G6" s="28" t="n">
        <x:f>ROUND(F6-F5,1)</x:f>
        <x:v>-474</x:v>
      </x:c>
      <x:c r="H6" s="24" t="n">
        <x:f>IFERROR(F6/F5-1,"")</x:f>
        <x:v>-0.06623476259483418</x:v>
      </x:c>
      <x:c r="I6" s="26" t="n">
        <x:f>ROUND(D6-E6,1)</x:f>
        <x:v>518.5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10月19日-10月21日</x:v>
      </x:c>
      <x:c r="C7" s="23" t="n">
        <x:v>6639.94</x:v>
      </x:c>
      <x:c r="D7" s="23" t="n">
        <x:v>6880.55</x:v>
      </x:c>
      <x:c r="E7" s="23" t="n">
        <x:v>6578.94</x:v>
      </x:c>
      <x:c r="F7" s="23" t="n">
        <x:v>6780.26</x:v>
      </x:c>
      <x:c r="G7" s="23" t="n">
        <x:f>ROUND(F7-F6,1)</x:f>
        <x:v>98.3</x:v>
      </x:c>
      <x:c r="H7" s="24" t="n">
        <x:f>IFERROR(F7/F6-1,"")</x:f>
        <x:v>0.014714289562612226</x:v>
      </x:c>
      <x:c r="I7" s="26" t="n">
        <x:f>ROUND(D7-E7,1)</x:f>
        <x:v>301.6</x:v>
      </x:c>
      <x:c r="J7" s="22" t="str">
        <x:v>中证1000</x:v>
      </x:c>
      <x:c r="K7" s="22" t="n">
        <x:v>3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1261.5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420.5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10月8日-10月9日</x:v>
      </x:c>
      <x:c r="C13" s="23" t="n">
        <x:v>7420.44</x:v>
      </x:c>
      <x:c r="D13" s="23" t="n">
        <x:v>7461.24</x:v>
      </x:c>
      <x:c r="E13" s="23" t="n">
        <x:v>7048.45</x:v>
      </x:c>
      <x:c r="F13" s="23" t="n">
        <x:v>7251.01</x:v>
      </x:c>
      <x:c r="G13" s="23"/>
      <x:c r="H13" s="24"/>
      <x:c r="I13" s="26" t="n">
        <x:f>ROUND(D13-E13,1)</x:f>
        <x:v>412.8</x:v>
      </x:c>
      <x:c r="J13" s="22" t="str">
        <x:v>中证500</x:v>
      </x:c>
      <x:c r="K13" s="22" t="n">
        <x:v>2</x:v>
      </x:c>
    </x:row>
    <x:row r="14">
      <x:c r="A14" s="22" t="n">
        <x:v>2</x:v>
      </x:c>
      <x:c r="B14" s="22" t="str">
        <x:v>10月12日-10月16日</x:v>
      </x:c>
      <x:c r="C14" s="23" t="n">
        <x:v>7226.07</x:v>
      </x:c>
      <x:c r="D14" s="23" t="n">
        <x:v>7236.78</x:v>
      </x:c>
      <x:c r="E14" s="23" t="n">
        <x:v>6719.82</x:v>
      </x:c>
      <x:c r="F14" s="23" t="n">
        <x:v>6772.75</x:v>
      </x:c>
      <x:c r="G14" s="28" t="n">
        <x:f>ROUND(F14-F13,1)</x:f>
        <x:v>-478.3</x:v>
      </x:c>
      <x:c r="H14" s="24" t="n">
        <x:f>IFERROR(F14/F13-1,"")</x:f>
        <x:v>-0.06595770796068412</x:v>
      </x:c>
      <x:c r="I14" s="26" t="n">
        <x:f>ROUND(D14-E14,1)</x:f>
        <x:v>517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10月19日-10月21日</x:v>
      </x:c>
      <x:c r="C15" s="23" t="n">
        <x:v>6735.53</x:v>
      </x:c>
      <x:c r="D15" s="23" t="n">
        <x:v>6941.51</x:v>
      </x:c>
      <x:c r="E15" s="23" t="n">
        <x:v>6692.83</x:v>
      </x:c>
      <x:c r="F15" s="23" t="n">
        <x:v>6840.56</x:v>
      </x:c>
      <x:c r="G15" s="23" t="n">
        <x:f>ROUND(F15-F14,1)</x:f>
        <x:v>67.8</x:v>
      </x:c>
      <x:c r="H15" s="24" t="n">
        <x:f>IFERROR(F15/F14-1,"")</x:f>
        <x:v>0.010012181167177392</x:v>
      </x:c>
      <x:c r="I15" s="26" t="n">
        <x:f>ROUND(D15-E15,1)</x:f>
        <x:v>248.7</x:v>
      </x:c>
      <x:c r="J15" s="22" t="str">
        <x:v>中证500</x:v>
      </x:c>
      <x:c r="K15" s="22" t="n">
        <x:v>3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1178.5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392.8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10月8日-10月9日</x:v>
      </x:c>
      <x:c r="C21" s="23" t="n">
        <x:v>3838.98</x:v>
      </x:c>
      <x:c r="D21" s="23" t="n">
        <x:v>3864.12</x:v>
      </x:c>
      <x:c r="E21" s="23" t="n">
        <x:v>3754.14</x:v>
      </x:c>
      <x:c r="F21" s="23" t="n">
        <x:v>3813.79</x:v>
      </x:c>
      <x:c r="G21" s="23"/>
      <x:c r="H21" s="24"/>
      <x:c r="I21" s="26" t="n">
        <x:f>ROUND(D21-E21,1)</x:f>
        <x:v>110</x:v>
      </x:c>
      <x:c r="J21" s="22" t="str">
        <x:v>上证指数</x:v>
      </x:c>
      <x:c r="K21" s="22" t="n">
        <x:v>2</x:v>
      </x:c>
    </x:row>
    <x:row r="22">
      <x:c r="A22" s="22" t="n">
        <x:v>2</x:v>
      </x:c>
      <x:c r="B22" s="22" t="str">
        <x:v>10月12日-10月16日</x:v>
      </x:c>
      <x:c r="C22" s="23" t="n">
        <x:v>3806.98</x:v>
      </x:c>
      <x:c r="D22" s="23" t="n">
        <x:v>3828.22</x:v>
      </x:c>
      <x:c r="E22" s="23" t="n">
        <x:v>3674.82</x:v>
      </x:c>
      <x:c r="F22" s="23" t="n">
        <x:v>3716.28</x:v>
      </x:c>
      <x:c r="G22" s="23" t="n">
        <x:f>ROUND(F22-F21,1)</x:f>
        <x:v>-97.5</x:v>
      </x:c>
      <x:c r="H22" s="24" t="n">
        <x:f>IFERROR(F22/F21-1,"")</x:f>
        <x:v>-0.02556774232456427</x:v>
      </x:c>
      <x:c r="I22" s="26" t="n">
        <x:f>ROUND(D22-E22,1)</x:f>
        <x:v>153.4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10月19日-10月21日</x:v>
      </x:c>
      <x:c r="C23" s="23" t="n">
        <x:v>3694.12</x:v>
      </x:c>
      <x:c r="D23" s="23" t="n">
        <x:v>3743.8</x:v>
      </x:c>
      <x:c r="E23" s="23" t="n">
        <x:v>3692.29</x:v>
      </x:c>
      <x:c r="F23" s="23" t="n">
        <x:v>3713.03</x:v>
      </x:c>
      <x:c r="G23" s="23" t="n">
        <x:f>ROUND(F23-F22,1)</x:f>
        <x:v>-3.2</x:v>
      </x:c>
      <x:c r="H23" s="24" t="n">
        <x:f>IFERROR(F23/F22-1,"")</x:f>
        <x:v>-0.0008745304444228719</x:v>
      </x:c>
      <x:c r="I23" s="26" t="n">
        <x:f>ROUND(D23-E23,1)</x:f>
        <x:v>51.5</x:v>
      </x:c>
      <x:c r="J23" s="22" t="str">
        <x:v>上证指数</x:v>
      </x:c>
      <x:c r="K23" s="22" t="n">
        <x:v>3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314.9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105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10月8日-10月9日</x:v>
      </x:c>
      <x:c r="C29" s="23" t="n">
        <x:v>7182.8</x:v>
      </x:c>
      <x:c r="D29" s="23" t="n">
        <x:v>7251.8</x:v>
      </x:c>
      <x:c r="E29" s="23" t="n">
        <x:v>6819.2</x:v>
      </x:c>
      <x:c r="F29" s="23" t="n">
        <x:v>7015.8</x:v>
      </x:c>
      <x:c r="G29" s="23"/>
      <x:c r="H29" s="24"/>
      <x:c r="I29" s="26" t="n">
        <x:f>ROUND(D29-E29,1)</x:f>
        <x:v>432.6</x:v>
      </x:c>
      <x:c r="J29" s="22" t="str">
        <x:v>IM2612</x:v>
      </x:c>
      <x:c r="K29" s="22" t="n">
        <x:v>2</x:v>
      </x:c>
    </x:row>
    <x:row r="30">
      <x:c r="A30" s="22" t="n">
        <x:v>2</x:v>
      </x:c>
      <x:c r="B30" s="22" t="str">
        <x:v>10月12日-10月16日</x:v>
      </x:c>
      <x:c r="C30" s="23" t="n">
        <x:v>7000</x:v>
      </x:c>
      <x:c r="D30" s="23" t="n">
        <x:v>7031.2</x:v>
      </x:c>
      <x:c r="E30" s="23" t="n">
        <x:v>6519.6</x:v>
      </x:c>
      <x:c r="F30" s="23" t="n">
        <x:v>6583.6</x:v>
      </x:c>
      <x:c r="G30" s="28" t="n">
        <x:f>ROUND(F30-F29,1)</x:f>
        <x:v>-432.2</x:v>
      </x:c>
      <x:c r="H30" s="24" t="n">
        <x:f>IFERROR(F30/F29-1,"")</x:f>
        <x:v>-0.06160380854642378</x:v>
      </x:c>
      <x:c r="I30" s="26" t="n">
        <x:f>ROUND(D30-E30,1)</x:f>
        <x:v>511.6</x:v>
      </x:c>
      <x:c r="J30" s="22" t="str">
        <x:v>IM2612</x:v>
      </x:c>
      <x:c r="K30" s="22" t="n">
        <x:v>5</x:v>
      </x:c>
    </x:row>
    <x:row r="31">
      <x:c r="A31" s="22" t="n">
        <x:v>3</x:v>
      </x:c>
      <x:c r="B31" s="22" t="str">
        <x:v>10月19日-10月21日</x:v>
      </x:c>
      <x:c r="C31" s="23" t="n">
        <x:v>6577.2</x:v>
      </x:c>
      <x:c r="D31" s="23" t="n">
        <x:v>6799.6</x:v>
      </x:c>
      <x:c r="E31" s="23" t="n">
        <x:v>6505</x:v>
      </x:c>
      <x:c r="F31" s="23" t="n">
        <x:v>6659.2</x:v>
      </x:c>
      <x:c r="G31" s="23" t="n">
        <x:f>ROUND(F31-F30,1)</x:f>
        <x:v>75.6</x:v>
      </x:c>
      <x:c r="H31" s="24" t="n">
        <x:f>IFERROR(F31/F30-1,"")</x:f>
        <x:v>0.011483079166413335</x:v>
      </x:c>
      <x:c r="I31" s="26" t="n">
        <x:f>ROUND(D31-E31,1)</x:f>
        <x:v>294.6</x:v>
      </x:c>
      <x:c r="J31" s="22" t="str">
        <x:v>IM2612</x:v>
      </x:c>
      <x:c r="K31" s="22" t="n">
        <x:v>3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1238.8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412.9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10月8日-10月9日</x:v>
      </x:c>
      <x:c r="C37" s="23" t="n">
        <x:v>7295</x:v>
      </x:c>
      <x:c r="D37" s="23" t="n">
        <x:v>7355</x:v>
      </x:c>
      <x:c r="E37" s="23" t="n">
        <x:v>6932</x:v>
      </x:c>
      <x:c r="F37" s="23" t="n">
        <x:v>7111</x:v>
      </x:c>
      <x:c r="G37" s="23"/>
      <x:c r="H37" s="24"/>
      <x:c r="I37" s="26" t="n">
        <x:f>ROUND(D37-E37,1)</x:f>
        <x:v>423</x:v>
      </x:c>
      <x:c r="J37" s="22" t="str">
        <x:v>IC2612</x:v>
      </x:c>
      <x:c r="K37" s="22" t="n">
        <x:v>2</x:v>
      </x:c>
    </x:row>
    <x:row r="38">
      <x:c r="A38" s="22" t="n">
        <x:v>2</x:v>
      </x:c>
      <x:c r="B38" s="22" t="str">
        <x:v>10月12日-10月16日</x:v>
      </x:c>
      <x:c r="C38" s="23" t="n">
        <x:v>7076.6</x:v>
      </x:c>
      <x:c r="D38" s="23" t="n">
        <x:v>7115.6</x:v>
      </x:c>
      <x:c r="E38" s="23" t="n">
        <x:v>6583.2</x:v>
      </x:c>
      <x:c r="F38" s="23" t="n">
        <x:v>6667.8</x:v>
      </x:c>
      <x:c r="G38" s="28" t="n">
        <x:f>ROUND(F38-F37,1)</x:f>
        <x:v>-443.2</x:v>
      </x:c>
      <x:c r="H38" s="24" t="n">
        <x:f>IFERROR(F38/F37-1,"")</x:f>
        <x:v>-0.062325973843341265</x:v>
      </x:c>
      <x:c r="I38" s="26" t="n">
        <x:f>ROUND(D38-E38,1)</x:f>
        <x:v>532.4</x:v>
      </x:c>
      <x:c r="J38" s="22" t="str">
        <x:v>IC2612</x:v>
      </x:c>
      <x:c r="K38" s="22" t="n">
        <x:v>5</x:v>
      </x:c>
    </x:row>
    <x:row r="39">
      <x:c r="A39" s="22" t="n">
        <x:v>3</x:v>
      </x:c>
      <x:c r="B39" s="22" t="str">
        <x:v>10月19日-10月21日</x:v>
      </x:c>
      <x:c r="C39" s="23" t="n">
        <x:v>6670.2</x:v>
      </x:c>
      <x:c r="D39" s="23" t="n">
        <x:v>6864</x:v>
      </x:c>
      <x:c r="E39" s="23" t="n">
        <x:v>6608.2</x:v>
      </x:c>
      <x:c r="F39" s="23" t="n">
        <x:v>6735</x:v>
      </x:c>
      <x:c r="G39" s="23" t="n">
        <x:f>ROUND(F39-F38,1)</x:f>
        <x:v>67.2</x:v>
      </x:c>
      <x:c r="H39" s="24" t="n">
        <x:f>IFERROR(F39/F38-1,"")</x:f>
        <x:v>0.010078286691262539</x:v>
      </x:c>
      <x:c r="I39" s="26" t="n">
        <x:f>ROUND(D39-E39,1)</x:f>
        <x:v>255.8</x:v>
      </x:c>
      <x:c r="J39" s="22" t="str">
        <x:v>IC2612</x:v>
      </x:c>
      <x:c r="K39" s="22" t="n">
        <x:v>3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1211.2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403.7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10月8日-10月9日</x:v>
      </x:c>
      <x:c r="C45" s="23" t="n">
        <x:v>4300.8</x:v>
      </x:c>
      <x:c r="D45" s="23" t="n">
        <x:v>4331.6</x:v>
      </x:c>
      <x:c r="E45" s="23" t="n">
        <x:v>4180.4</x:v>
      </x:c>
      <x:c r="F45" s="23" t="n">
        <x:v>4244.8</x:v>
      </x:c>
      <x:c r="G45" s="23"/>
      <x:c r="H45" s="24"/>
      <x:c r="I45" s="26" t="n">
        <x:f>ROUND(D45-E45,1)</x:f>
        <x:v>151.2</x:v>
      </x:c>
      <x:c r="J45" s="22" t="str">
        <x:v>IF2612</x:v>
      </x:c>
      <x:c r="K45" s="22" t="n">
        <x:v>2</x:v>
      </x:c>
    </x:row>
    <x:row r="46">
      <x:c r="A46" s="22" t="n">
        <x:v>2</x:v>
      </x:c>
      <x:c r="B46" s="22" t="str">
        <x:v>10月12日-10月16日</x:v>
      </x:c>
      <x:c r="C46" s="23" t="n">
        <x:v>4240.4</x:v>
      </x:c>
      <x:c r="D46" s="23" t="n">
        <x:v>4273.6</x:v>
      </x:c>
      <x:c r="E46" s="23" t="n">
        <x:v>4045.2</x:v>
      </x:c>
      <x:c r="F46" s="23" t="n">
        <x:v>4088.8</x:v>
      </x:c>
      <x:c r="G46" s="28" t="n">
        <x:f>ROUND(F46-F45,1)</x:f>
        <x:v>-156</x:v>
      </x:c>
      <x:c r="H46" s="24" t="n">
        <x:f>IFERROR(F46/F45-1,"")</x:f>
        <x:v>-0.03675084809649454</x:v>
      </x:c>
      <x:c r="I46" s="26" t="n">
        <x:f>ROUND(D46-E46,1)</x:f>
        <x:v>228.4</x:v>
      </x:c>
      <x:c r="J46" s="22" t="str">
        <x:v>IF2612</x:v>
      </x:c>
      <x:c r="K46" s="22" t="n">
        <x:v>5</x:v>
      </x:c>
    </x:row>
    <x:row r="47">
      <x:c r="A47" s="22" t="n">
        <x:v>3</x:v>
      </x:c>
      <x:c r="B47" s="22" t="str">
        <x:v>10月19日-10月21日</x:v>
      </x:c>
      <x:c r="C47" s="23" t="n">
        <x:v>4086.4</x:v>
      </x:c>
      <x:c r="D47" s="23" t="n">
        <x:v>4140.2</x:v>
      </x:c>
      <x:c r="E47" s="23" t="n">
        <x:v>4038</x:v>
      </x:c>
      <x:c r="F47" s="23" t="n">
        <x:v>4047.6</x:v>
      </x:c>
      <x:c r="G47" s="23" t="n">
        <x:f>ROUND(F47-F46,1)</x:f>
        <x:v>-41.2</x:v>
      </x:c>
      <x:c r="H47" s="24" t="n">
        <x:f>IFERROR(F47/F46-1,"")</x:f>
        <x:v>-0.010076306006652436</x:v>
      </x:c>
      <x:c r="I47" s="26" t="n">
        <x:f>ROUND(D47-E47,1)</x:f>
        <x:v>102.2</x:v>
      </x:c>
      <x:c r="J47" s="22" t="str">
        <x:v>IF2612</x:v>
      </x:c>
      <x:c r="K47" s="22" t="n">
        <x:v>3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481.8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160.6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10月8日-10月9日</x:v>
      </x:c>
      <x:c r="C53" s="23" t="n">
        <x:v>2764</x:v>
      </x:c>
      <x:c r="D53" s="23" t="n">
        <x:v>2798.4</x:v>
      </x:c>
      <x:c r="E53" s="23" t="n">
        <x:v>2735</x:v>
      </x:c>
      <x:c r="F53" s="23" t="n">
        <x:v>2764</x:v>
      </x:c>
      <x:c r="G53" s="23"/>
      <x:c r="H53" s="24"/>
      <x:c r="I53" s="26" t="n">
        <x:f>ROUND(D53-E53,1)</x:f>
        <x:v>63.4</x:v>
      </x:c>
      <x:c r="J53" s="22" t="str">
        <x:v>IH2612</x:v>
      </x:c>
      <x:c r="K53" s="22" t="n">
        <x:v>2</x:v>
      </x:c>
    </x:row>
    <x:row r="54">
      <x:c r="A54" s="22" t="n">
        <x:v>2</x:v>
      </x:c>
      <x:c r="B54" s="22" t="str">
        <x:v>10月12日-10月16日</x:v>
      </x:c>
      <x:c r="C54" s="23" t="n">
        <x:v>2762</x:v>
      </x:c>
      <x:c r="D54" s="23" t="n">
        <x:v>2794</x:v>
      </x:c>
      <x:c r="E54" s="23" t="n">
        <x:v>2677.6</x:v>
      </x:c>
      <x:c r="F54" s="23" t="n">
        <x:v>2704.6</x:v>
      </x:c>
      <x:c r="G54" s="23" t="n">
        <x:f>ROUND(F54-F53,1)</x:f>
        <x:v>-59.4</x:v>
      </x:c>
      <x:c r="H54" s="24" t="n">
        <x:f>IFERROR(F54/F53-1,"")</x:f>
        <x:v>-0.0214905933429812</x:v>
      </x:c>
      <x:c r="I54" s="26" t="n">
        <x:f>ROUND(D54-E54,1)</x:f>
        <x:v>116.4</x:v>
      </x:c>
      <x:c r="J54" s="22" t="str">
        <x:v>IH2612</x:v>
      </x:c>
      <x:c r="K54" s="22" t="n">
        <x:v>5</x:v>
      </x:c>
    </x:row>
    <x:row r="55">
      <x:c r="A55" s="22" t="n">
        <x:v>3</x:v>
      </x:c>
      <x:c r="B55" s="22" t="str">
        <x:v>10月19日-10月21日</x:v>
      </x:c>
      <x:c r="C55" s="23" t="n">
        <x:v>2690</x:v>
      </x:c>
      <x:c r="D55" s="23" t="n">
        <x:v>2754.6</x:v>
      </x:c>
      <x:c r="E55" s="23" t="n">
        <x:v>2690</x:v>
      </x:c>
      <x:c r="F55" s="23" t="n">
        <x:v>2701</x:v>
      </x:c>
      <x:c r="G55" s="23" t="n">
        <x:f>ROUND(F55-F54,1)</x:f>
        <x:v>-3.6</x:v>
      </x:c>
      <x:c r="H55" s="24" t="n">
        <x:f>IFERROR(F55/F54-1,"")</x:f>
        <x:v>-0.0013310655919543946</x:v>
      </x:c>
      <x:c r="I55" s="26" t="n">
        <x:f>ROUND(D55-E55,1)</x:f>
        <x:v>64.6</x:v>
      </x:c>
      <x:c r="J55" s="22" t="str">
        <x:v>IH2612</x:v>
      </x:c>
      <x:c r="K55" s="22" t="n">
        <x:v>3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244.4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81.5</x:v>
      </x:c>
      <x:c r="J57" s="30"/>
      <x:c r="K57" s="30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10月8日-10月9日</x:v>
      </x:c>
      <x:c r="C61" s="23" t="n">
        <x:v>120020</x:v>
      </x:c>
      <x:c r="D61" s="23" t="n">
        <x:v>126800</x:v>
      </x:c>
      <x:c r="E61" s="23" t="n">
        <x:v>119000</x:v>
      </x:c>
      <x:c r="F61" s="23" t="n">
        <x:v>121000</x:v>
      </x:c>
      <x:c r="G61" s="23"/>
      <x:c r="H61" s="24"/>
      <x:c r="I61" s="26" t="n">
        <x:f>ROUND(D61-E61,1)</x:f>
        <x:v>7800</x:v>
      </x:c>
      <x:c r="J61" s="22" t="str">
        <x:v>LC2610</x:v>
      </x:c>
      <x:c r="K61" s="22" t="n">
        <x:v>2</x:v>
      </x:c>
    </x:row>
    <x:row r="62">
      <x:c r="A62" s="22" t="n">
        <x:v>2</x:v>
      </x:c>
      <x:c r="B62" s="22" t="str">
        <x:v>10月12日-10月16日</x:v>
      </x:c>
      <x:c r="C62" s="23" t="n">
        <x:v>125960</x:v>
      </x:c>
      <x:c r="D62" s="23" t="n">
        <x:v>125960</x:v>
      </x:c>
      <x:c r="E62" s="23" t="n">
        <x:v>99500</x:v>
      </x:c>
      <x:c r="F62" s="23" t="n">
        <x:v>99500</x:v>
      </x:c>
      <x:c r="G62" s="28" t="n">
        <x:f>ROUND(F62-F61,1)</x:f>
        <x:v>-21500</x:v>
      </x:c>
      <x:c r="H62" s="24" t="n">
        <x:f>IFERROR(F62/F61-1,"")</x:f>
        <x:v>-0.1776859504132231</x:v>
      </x:c>
      <x:c r="I62" s="26" t="n">
        <x:f>ROUND(D62-E62,1)</x:f>
        <x:v>26460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10月19日-10月21日</x:v>
      </x:c>
      <x:c r="C63" s="23" t="n">
        <x:v>99600</x:v>
      </x:c>
      <x:c r="D63" s="23" t="n">
        <x:v>103420</x:v>
      </x:c>
      <x:c r="E63" s="23" t="n">
        <x:v>98000</x:v>
      </x:c>
      <x:c r="F63" s="23" t="n">
        <x:v>98540</x:v>
      </x:c>
      <x:c r="G63" s="28" t="n">
        <x:f>ROUND(F63-F62,1)</x:f>
        <x:v>-960</x:v>
      </x:c>
      <x:c r="H63" s="24" t="n">
        <x:f>IFERROR(F63/F62-1,"")</x:f>
        <x:v>-0.00964824120603014</x:v>
      </x:c>
      <x:c r="I63" s="23" t="n">
        <x:f>ROUND(D63-E63,1)</x:f>
        <x:v>5420</x:v>
      </x:c>
      <x:c r="J63" s="22" t="str">
        <x:v>LC2610</x:v>
      </x:c>
      <x:c r="K63" s="22" t="n">
        <x:v>3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39680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13226.7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28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7132.68</x:v>
      </x:c>
      <x:c r="E6" s="23" t="n">
        <x:v>7145.06</x:v>
      </x:c>
      <x:c r="F6" s="23" t="n">
        <x:v>7014.37</x:v>
      </x:c>
      <x:c r="G6" s="23" t="n">
        <x:v>7021.47</x:v>
      </x:c>
      <x:c r="H6" s="23" t="n">
        <x:v>-134.4</x:v>
      </x:c>
      <x:c r="I6" s="24" t="n">
        <x:v>-0.018787268146189584</x:v>
      </x:c>
      <x:c r="J6" s="23" t="n">
        <x:f>ROUND(E6-F6,1)</x:f>
        <x:v>130.7</x:v>
      </x:c>
      <x:c r="K6" s="22" t="str">
        <x:v>中证1000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6894.6</x:v>
      </x:c>
      <x:c r="E7" s="23" t="n">
        <x:v>7087.89</x:v>
      </x:c>
      <x:c r="F7" s="23" t="n">
        <x:v>6796.58</x:v>
      </x:c>
      <x:c r="G7" s="23" t="n">
        <x:v>7023.22</x:v>
      </x:c>
      <x:c r="H7" s="23" t="n">
        <x:v>1.8</x:v>
      </x:c>
      <x:c r="I7" s="24" t="n">
        <x:v>0.0002492355589356343</x:v>
      </x:c>
      <x:c r="J7" s="26" t="n">
        <x:f>ROUND(E7-F7,1)</x:f>
        <x:v>291.3</x:v>
      </x:c>
      <x:c r="K7" s="22" t="str">
        <x:v>中证1000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7001.91</x:v>
      </x:c>
      <x:c r="E8" s="23" t="n">
        <x:v>7035.18</x:v>
      </x:c>
      <x:c r="F8" s="23" t="n">
        <x:v>6891.6</x:v>
      </x:c>
      <x:c r="G8" s="23" t="n">
        <x:v>6905.17</x:v>
      </x:c>
      <x:c r="H8" s="23" t="n">
        <x:v>-118.1</x:v>
      </x:c>
      <x:c r="I8" s="24" t="n">
        <x:v>-0.01680852942097788</x:v>
      </x:c>
      <x:c r="J8" s="23" t="n">
        <x:f>ROUND(E8-F8,1)</x:f>
        <x:v>143.6</x:v>
      </x:c>
      <x:c r="K8" s="22" t="str">
        <x:v>中证1000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6734.31</x:v>
      </x:c>
      <x:c r="E9" s="23" t="n">
        <x:v>6805.19</x:v>
      </x:c>
      <x:c r="F9" s="23" t="n">
        <x:v>6652.55</x:v>
      </x:c>
      <x:c r="G9" s="23" t="n">
        <x:v>6678.65</x:v>
      </x:c>
      <x:c r="H9" s="28" t="n">
        <x:v>-226.5</x:v>
      </x:c>
      <x:c r="I9" s="24" t="n">
        <x:v>-0.032804405974074524</x:v>
      </x:c>
      <x:c r="J9" s="23" t="n">
        <x:f>ROUND(E9-F9,1)</x:f>
        <x:v>152.6</x:v>
      </x:c>
      <x:c r="K9" s="22" t="str">
        <x:v>中证1000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6777.39</x:v>
      </x:c>
      <x:c r="E10" s="42" t="n">
        <x:v>6834.45</x:v>
      </x:c>
      <x:c r="F10" s="42" t="n">
        <x:v>6626.52</x:v>
      </x:c>
      <x:c r="G10" s="42" t="n">
        <x:v>6681.94</x:v>
      </x:c>
      <x:c r="H10" s="42" t="n">
        <x:v>3.3</x:v>
      </x:c>
      <x:c r="I10" s="43" t="n">
        <x:v>0.0004926145253905112</x:v>
      </x:c>
      <x:c r="J10" s="26" t="n">
        <x:f>ROUND(E10-F10,1)</x:f>
        <x:v>207.9</x:v>
      </x:c>
      <x:c r="K10" s="41" t="str">
        <x:v>中证1000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6639.94</x:v>
      </x:c>
      <x:c r="E11" s="23" t="n">
        <x:v>6746.32</x:v>
      </x:c>
      <x:c r="F11" s="23" t="n">
        <x:v>6578.94</x:v>
      </x:c>
      <x:c r="G11" s="23" t="n">
        <x:v>6698.3</x:v>
      </x:c>
      <x:c r="H11" s="23" t="n">
        <x:v>16.4</x:v>
      </x:c>
      <x:c r="I11" s="24" t="n">
        <x:v>0.002448390736822015</x:v>
      </x:c>
      <x:c r="J11" s="23" t="n">
        <x:f>ROUND(E11-F11,1)</x:f>
        <x:v>167.4</x:v>
      </x:c>
      <x:c r="K11" s="22" t="str">
        <x:v>中证1000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6678.64</x:v>
      </x:c>
      <x:c r="E12" s="23" t="n">
        <x:v>6817.38</x:v>
      </x:c>
      <x:c r="F12" s="23" t="n">
        <x:v>6642.3</x:v>
      </x:c>
      <x:c r="G12" s="23" t="n">
        <x:v>6766.9</x:v>
      </x:c>
      <x:c r="H12" s="23" t="n">
        <x:v>68.6</x:v>
      </x:c>
      <x:c r="I12" s="24" t="n">
        <x:v>0.01024140453547906</x:v>
      </x:c>
      <x:c r="J12" s="23" t="n">
        <x:f>ROUND(E12-F12,1)</x:f>
        <x:v>175.1</x:v>
      </x:c>
      <x:c r="K12" s="22" t="str">
        <x:v>中证1000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6798.97</x:v>
      </x:c>
      <x:c r="E13" s="23" t="n">
        <x:v>6880.55</x:v>
      </x:c>
      <x:c r="F13" s="23" t="n">
        <x:v>6763.45</x:v>
      </x:c>
      <x:c r="G13" s="23" t="n">
        <x:v>6780.26</x:v>
      </x:c>
      <x:c r="H13" s="23" t="n">
        <x:v>13.4</x:v>
      </x:c>
      <x:c r="I13" s="24" t="n">
        <x:v>0.0019743161565857203</x:v>
      </x:c>
      <x:c r="J13" s="23" t="n">
        <x:f>ROUND(E13-F13,1)</x:f>
        <x:v>117.1</x:v>
      </x:c>
      <x:c r="K13" s="22" t="str">
        <x:v>中证1000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1914.6999999999998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191.5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28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7226.07</x:v>
      </x:c>
      <x:c r="E6" s="23" t="n">
        <x:v>7236.78</x:v>
      </x:c>
      <x:c r="F6" s="23" t="n">
        <x:v>7085.92</x:v>
      </x:c>
      <x:c r="G6" s="23" t="n">
        <x:v>7093.02</x:v>
      </x:c>
      <x:c r="H6" s="28" t="n">
        <x:v>-158</x:v>
      </x:c>
      <x:c r="I6" s="24" t="n">
        <x:v>-0.02178868874818818</x:v>
      </x:c>
      <x:c r="J6" s="23" t="n">
        <x:f>ROUND(E6-F6,1)</x:f>
        <x:v>150.9</x:v>
      </x:c>
      <x:c r="K6" s="22" t="str">
        <x:v>中证500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6976.63</x:v>
      </x:c>
      <x:c r="E7" s="23" t="n">
        <x:v>7152.45</x:v>
      </x:c>
      <x:c r="F7" s="23" t="n">
        <x:v>6904.6</x:v>
      </x:c>
      <x:c r="G7" s="23" t="n">
        <x:v>7085.09</x:v>
      </x:c>
      <x:c r="H7" s="23" t="n">
        <x:v>-7.9</x:v>
      </x:c>
      <x:c r="I7" s="24" t="n">
        <x:v>-0.0011180005131805615</x:v>
      </x:c>
      <x:c r="J7" s="26" t="n">
        <x:f>ROUND(E7-F7,1)</x:f>
        <x:v>247.8</x:v>
      </x:c>
      <x:c r="K7" s="22" t="str">
        <x:v>中证500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7066.73</x:v>
      </x:c>
      <x:c r="E8" s="23" t="n">
        <x:v>7120.11</x:v>
      </x:c>
      <x:c r="F8" s="23" t="n">
        <x:v>6969.02</x:v>
      </x:c>
      <x:c r="G8" s="23" t="n">
        <x:v>6980.11</x:v>
      </x:c>
      <x:c r="H8" s="23" t="n">
        <x:v>-105</x:v>
      </x:c>
      <x:c r="I8" s="24" t="n">
        <x:v>-0.014817031258600899</x:v>
      </x:c>
      <x:c r="J8" s="23" t="n">
        <x:f>ROUND(E8-F8,1)</x:f>
        <x:v>151.1</x:v>
      </x:c>
      <x:c r="K8" s="22" t="str">
        <x:v>中证500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6809.83</x:v>
      </x:c>
      <x:c r="E9" s="23" t="n">
        <x:v>6870.95</x:v>
      </x:c>
      <x:c r="F9" s="23" t="n">
        <x:v>6725.59</x:v>
      </x:c>
      <x:c r="G9" s="23" t="n">
        <x:v>6769.25</x:v>
      </x:c>
      <x:c r="H9" s="28" t="n">
        <x:v>-210.9</x:v>
      </x:c>
      <x:c r="I9" s="24" t="n">
        <x:v>-0.030208692986213648</x:v>
      </x:c>
      <x:c r="J9" s="23" t="n">
        <x:f>ROUND(E9-F9,1)</x:f>
        <x:v>145.4</x:v>
      </x:c>
      <x:c r="K9" s="22" t="str">
        <x:v>中证500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6863.19</x:v>
      </x:c>
      <x:c r="E10" s="42" t="n">
        <x:v>6907.9</x:v>
      </x:c>
      <x:c r="F10" s="42" t="n">
        <x:v>6719.82</x:v>
      </x:c>
      <x:c r="G10" s="42" t="n">
        <x:v>6772.75</x:v>
      </x:c>
      <x:c r="H10" s="42" t="n">
        <x:v>3.5</x:v>
      </x:c>
      <x:c r="I10" s="43" t="n">
        <x:v>0.00051704398567054</x:v>
      </x:c>
      <x:c r="J10" s="26" t="n">
        <x:f>ROUND(E10-F10,1)</x:f>
        <x:v>188.1</x:v>
      </x:c>
      <x:c r="K10" s="41" t="str">
        <x:v>中证500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6735.53</x:v>
      </x:c>
      <x:c r="E11" s="23" t="n">
        <x:v>6848</x:v>
      </x:c>
      <x:c r="F11" s="23" t="n">
        <x:v>6692.83</x:v>
      </x:c>
      <x:c r="G11" s="23" t="n">
        <x:v>6800.66</x:v>
      </x:c>
      <x:c r="H11" s="23" t="n">
        <x:v>27.9</x:v>
      </x:c>
      <x:c r="I11" s="24" t="n">
        <x:v>0.004120925768705375</x:v>
      </x:c>
      <x:c r="J11" s="23" t="n">
        <x:f>ROUND(E11-F11,1)</x:f>
        <x:v>155.2</x:v>
      </x:c>
      <x:c r="K11" s="22" t="str">
        <x:v>中证500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6773.45</x:v>
      </x:c>
      <x:c r="E12" s="23" t="n">
        <x:v>6902.09</x:v>
      </x:c>
      <x:c r="F12" s="23" t="n">
        <x:v>6745.14</x:v>
      </x:c>
      <x:c r="G12" s="23" t="n">
        <x:v>6841.44</x:v>
      </x:c>
      <x:c r="H12" s="23" t="n">
        <x:v>40.8</x:v>
      </x:c>
      <x:c r="I12" s="24" t="n">
        <x:v>0.005996476812544671</x:v>
      </x:c>
      <x:c r="J12" s="23" t="n">
        <x:f>ROUND(E12-F12,1)</x:f>
        <x:v>156.9</x:v>
      </x:c>
      <x:c r="K12" s="22" t="str">
        <x:v>中证500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6875.71</x:v>
      </x:c>
      <x:c r="E13" s="23" t="n">
        <x:v>6941.51</x:v>
      </x:c>
      <x:c r="F13" s="23" t="n">
        <x:v>6821.39</x:v>
      </x:c>
      <x:c r="G13" s="23" t="n">
        <x:v>6840.56</x:v>
      </x:c>
      <x:c r="H13" s="23" t="n">
        <x:v>-0.9</x:v>
      </x:c>
      <x:c r="I13" s="24" t="n">
        <x:v>-0.00012862789120404727</x:v>
      </x:c>
      <x:c r="J13" s="23" t="n">
        <x:f>ROUND(E13-F13,1)</x:f>
        <x:v>120.1</x:v>
      </x:c>
      <x:c r="K13" s="22" t="str">
        <x:v>中证500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1799.3999999999999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179.9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3806.98</x:v>
      </x:c>
      <x:c r="E6" s="23" t="n">
        <x:v>3828.22</x:v>
      </x:c>
      <x:c r="F6" s="23" t="n">
        <x:v>3791</x:v>
      </x:c>
      <x:c r="G6" s="23" t="n">
        <x:v>3797.24</x:v>
      </x:c>
      <x:c r="H6" s="23" t="n">
        <x:v>-16.6</x:v>
      </x:c>
      <x:c r="I6" s="24" t="n">
        <x:v>-0.00433951528531995</x:v>
      </x:c>
      <x:c r="J6" s="23" t="n">
        <x:f>ROUND(E6-F6,1)</x:f>
        <x:v>37.2</x:v>
      </x:c>
      <x:c r="K6" s="22" t="str">
        <x:v>上证指数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3760.8</x:v>
      </x:c>
      <x:c r="E7" s="23" t="n">
        <x:v>3822.11</x:v>
      </x:c>
      <x:c r="F7" s="23" t="n">
        <x:v>3741.53</x:v>
      </x:c>
      <x:c r="G7" s="23" t="n">
        <x:v>3800.86</x:v>
      </x:c>
      <x:c r="H7" s="23" t="n">
        <x:v>3.6</x:v>
      </x:c>
      <x:c r="I7" s="24" t="n">
        <x:v>0.0009533239932162374</x:v>
      </x:c>
      <x:c r="J7" s="26" t="n">
        <x:f>ROUND(E7-F7,1)</x:f>
        <x:v>80.6</x:v>
      </x:c>
      <x:c r="K7" s="22" t="str">
        <x:v>上证指数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3790.63</x:v>
      </x:c>
      <x:c r="E8" s="23" t="n">
        <x:v>3811.81</x:v>
      </x:c>
      <x:c r="F8" s="23" t="n">
        <x:v>3761.96</x:v>
      </x:c>
      <x:c r="G8" s="23" t="n">
        <x:v>3767.23</x:v>
      </x:c>
      <x:c r="H8" s="23" t="n">
        <x:v>-33.6</x:v>
      </x:c>
      <x:c r="I8" s="24" t="n">
        <x:v>-0.00884799755844734</x:v>
      </x:c>
      <x:c r="J8" s="23" t="n">
        <x:f>ROUND(E8-F8,1)</x:f>
        <x:v>49.8</x:v>
      </x:c>
      <x:c r="K8" s="22" t="str">
        <x:v>上证指数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3710.7</x:v>
      </x:c>
      <x:c r="E9" s="23" t="n">
        <x:v>3724.56</x:v>
      </x:c>
      <x:c r="F9" s="23" t="n">
        <x:v>3674.82</x:v>
      </x:c>
      <x:c r="G9" s="23" t="n">
        <x:v>3707.48</x:v>
      </x:c>
      <x:c r="H9" s="23" t="n">
        <x:v>-59.7</x:v>
      </x:c>
      <x:c r="I9" s="24" t="n">
        <x:v>-0.015860459807338523</x:v>
      </x:c>
      <x:c r="J9" s="23" t="n">
        <x:f>ROUND(E9-F9,1)</x:f>
        <x:v>49.7</x:v>
      </x:c>
      <x:c r="K9" s="22" t="str">
        <x:v>上证指数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3723.8</x:v>
      </x:c>
      <x:c r="E10" s="42" t="n">
        <x:v>3750.77</x:v>
      </x:c>
      <x:c r="F10" s="42" t="n">
        <x:v>3681.28</x:v>
      </x:c>
      <x:c r="G10" s="42" t="n">
        <x:v>3716.28</x:v>
      </x:c>
      <x:c r="H10" s="42" t="n">
        <x:v>8.8</x:v>
      </x:c>
      <x:c r="I10" s="43" t="n">
        <x:v>0.0023735798979360734</x:v>
      </x:c>
      <x:c r="J10" s="26" t="n">
        <x:f>ROUND(E10-F10,1)</x:f>
        <x:v>69.5</x:v>
      </x:c>
      <x:c r="K10" s="41" t="str">
        <x:v>上证指数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3694.12</x:v>
      </x:c>
      <x:c r="E11" s="23" t="n">
        <x:v>3743.8</x:v>
      </x:c>
      <x:c r="F11" s="23" t="n">
        <x:v>3692.29</x:v>
      </x:c>
      <x:c r="G11" s="23" t="n">
        <x:v>3730.92</x:v>
      </x:c>
      <x:c r="H11" s="23" t="n">
        <x:v>14.6</x:v>
      </x:c>
      <x:c r="I11" s="24" t="n">
        <x:v>0.003939423294262001</x:v>
      </x:c>
      <x:c r="J11" s="26" t="n">
        <x:f>ROUND(E11-F11,1)</x:f>
        <x:v>51.5</x:v>
      </x:c>
      <x:c r="K11" s="22" t="str">
        <x:v>上证指数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3718.44</x:v>
      </x:c>
      <x:c r="E12" s="23" t="n">
        <x:v>3740.07</x:v>
      </x:c>
      <x:c r="F12" s="23" t="n">
        <x:v>3702.44</x:v>
      </x:c>
      <x:c r="G12" s="23" t="n">
        <x:v>3735.37</x:v>
      </x:c>
      <x:c r="H12" s="23" t="n">
        <x:v>4.4</x:v>
      </x:c>
      <x:c r="I12" s="24" t="n">
        <x:v>0.0011927353038927446</x:v>
      </x:c>
      <x:c r="J12" s="23" t="n">
        <x:f>ROUND(E12-F12,1)</x:f>
        <x:v>37.6</x:v>
      </x:c>
      <x:c r="K12" s="22" t="str">
        <x:v>上证指数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3740.57</x:v>
      </x:c>
      <x:c r="E13" s="23" t="n">
        <x:v>3743.08</x:v>
      </x:c>
      <x:c r="F13" s="23" t="n">
        <x:v>3703.12</x:v>
      </x:c>
      <x:c r="G13" s="23" t="n">
        <x:v>3713.03</x:v>
      </x:c>
      <x:c r="H13" s="23" t="n">
        <x:v>-22.3</x:v>
      </x:c>
      <x:c r="I13" s="24" t="n">
        <x:v>-0.00598066590458235</x:v>
      </x:c>
      <x:c r="J13" s="23" t="n">
        <x:f>ROUND(E13-F13,1)</x:f>
        <x:v>40</x:v>
      </x:c>
      <x:c r="K13" s="22" t="str">
        <x:v>上证指数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555.3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55.5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7000</x:v>
      </x:c>
      <x:c r="E6" s="23" t="n">
        <x:v>7031.2</x:v>
      </x:c>
      <x:c r="F6" s="23" t="n">
        <x:v>6886.6</x:v>
      </x:c>
      <x:c r="G6" s="23" t="n">
        <x:v>6921</x:v>
      </x:c>
      <x:c r="H6" s="23" t="n">
        <x:v>-94.8</x:v>
      </x:c>
      <x:c r="I6" s="24" t="n">
        <x:v>-0.01351235782091853</x:v>
      </x:c>
      <x:c r="J6" s="23" t="n">
        <x:f>ROUND(E6-F6,1)</x:f>
        <x:v>144.6</x:v>
      </x:c>
      <x:c r="K6" s="22" t="str">
        <x:v>IM2612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6800</x:v>
      </x:c>
      <x:c r="E7" s="23" t="n">
        <x:v>6971.6</x:v>
      </x:c>
      <x:c r="F7" s="23" t="n">
        <x:v>6680</x:v>
      </x:c>
      <x:c r="G7" s="23" t="n">
        <x:v>6901.8</x:v>
      </x:c>
      <x:c r="H7" s="23" t="n">
        <x:v>-19.2</x:v>
      </x:c>
      <x:c r="I7" s="24" t="n">
        <x:v>-0.002774165583008248</x:v>
      </x:c>
      <x:c r="J7" s="26" t="n">
        <x:f>ROUND(E7-F7,1)</x:f>
        <x:v>291.6</x:v>
      </x:c>
      <x:c r="K7" s="22" t="str">
        <x:v>IM2612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6895</x:v>
      </x:c>
      <x:c r="E8" s="23" t="n">
        <x:v>6925.2</x:v>
      </x:c>
      <x:c r="F8" s="23" t="n">
        <x:v>6761</x:v>
      </x:c>
      <x:c r="G8" s="23" t="n">
        <x:v>6805.8</x:v>
      </x:c>
      <x:c r="H8" s="23" t="n">
        <x:v>-96</x:v>
      </x:c>
      <x:c r="I8" s="24" t="n">
        <x:v>-0.013909414935234232</x:v>
      </x:c>
      <x:c r="J8" s="23" t="n">
        <x:f>ROUND(E8-F8,1)</x:f>
        <x:v>164.2</x:v>
      </x:c>
      <x:c r="K8" s="22" t="str">
        <x:v>IM2612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6627</x:v>
      </x:c>
      <x:c r="E9" s="23" t="n">
        <x:v>6706.6</x:v>
      </x:c>
      <x:c r="F9" s="23" t="n">
        <x:v>6532.4</x:v>
      </x:c>
      <x:c r="G9" s="23" t="n">
        <x:v>6553.6</x:v>
      </x:c>
      <x:c r="H9" s="28" t="n">
        <x:v>-252.2</x:v>
      </x:c>
      <x:c r="I9" s="24" t="n">
        <x:v>-0.037056628170090145</x:v>
      </x:c>
      <x:c r="J9" s="23" t="n">
        <x:f>ROUND(E9-F9,1)</x:f>
        <x:v>174.2</x:v>
      </x:c>
      <x:c r="K9" s="22" t="str">
        <x:v>IM2612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6652</x:v>
      </x:c>
      <x:c r="E10" s="42" t="n">
        <x:v>6748</x:v>
      </x:c>
      <x:c r="F10" s="42" t="n">
        <x:v>6519.6</x:v>
      </x:c>
      <x:c r="G10" s="42" t="n">
        <x:v>6583.6</x:v>
      </x:c>
      <x:c r="H10" s="42" t="n">
        <x:v>30</x:v>
      </x:c>
      <x:c r="I10" s="43" t="n">
        <x:v>0.00457763671875</x:v>
      </x:c>
      <x:c r="J10" s="26" t="n">
        <x:f>ROUND(E10-F10,1)</x:f>
        <x:v>228.4</x:v>
      </x:c>
      <x:c r="K10" s="41" t="str">
        <x:v>IM2612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6577.2</x:v>
      </x:c>
      <x:c r="E11" s="23" t="n">
        <x:v>6680</x:v>
      </x:c>
      <x:c r="F11" s="23" t="n">
        <x:v>6505</x:v>
      </x:c>
      <x:c r="G11" s="23" t="n">
        <x:v>6621.8</x:v>
      </x:c>
      <x:c r="H11" s="23" t="n">
        <x:v>38.2</x:v>
      </x:c>
      <x:c r="I11" s="24" t="n">
        <x:v>0.005802296615833313</x:v>
      </x:c>
      <x:c r="J11" s="23" t="n">
        <x:f>ROUND(E11-F11,1)</x:f>
        <x:v>175</x:v>
      </x:c>
      <x:c r="K11" s="22" t="str">
        <x:v>IM2612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6590</x:v>
      </x:c>
      <x:c r="E12" s="23" t="n">
        <x:v>6735.6</x:v>
      </x:c>
      <x:c r="F12" s="23" t="n">
        <x:v>6543</x:v>
      </x:c>
      <x:c r="G12" s="23" t="n">
        <x:v>6663.8</x:v>
      </x:c>
      <x:c r="H12" s="23" t="n">
        <x:v>42</x:v>
      </x:c>
      <x:c r="I12" s="24" t="n">
        <x:v>0.006342686278655307</x:v>
      </x:c>
      <x:c r="J12" s="26" t="n">
        <x:f>ROUND(E12-F12,1)</x:f>
        <x:v>192.6</x:v>
      </x:c>
      <x:c r="K12" s="22" t="str">
        <x:v>IM2612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6722</x:v>
      </x:c>
      <x:c r="E13" s="23" t="n">
        <x:v>6799.6</x:v>
      </x:c>
      <x:c r="F13" s="23" t="n">
        <x:v>6658.2</x:v>
      </x:c>
      <x:c r="G13" s="23" t="n">
        <x:v>6659.2</x:v>
      </x:c>
      <x:c r="H13" s="23" t="n">
        <x:v>-4.6</x:v>
      </x:c>
      <x:c r="I13" s="24" t="n">
        <x:v>-0.0006902968276358834</x:v>
      </x:c>
      <x:c r="J13" s="23" t="n">
        <x:f>ROUND(E13-F13,1)</x:f>
        <x:v>141.4</x:v>
      </x:c>
      <x:c r="K13" s="22" t="str">
        <x:v>IM2612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2045.4000000000003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204.5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28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7110</x:v>
      </x:c>
      <x:c r="E5" s="23" t="n">
        <x:v>7148</x:v>
      </x:c>
      <x:c r="F5" s="23" t="n">
        <x:v>6932</x:v>
      </x:c>
      <x:c r="G5" s="23" t="n">
        <x:v>7111</x:v>
      </x:c>
      <x:c r="H5" s="23" t="n">
        <x:v>-11.8</x:v>
      </x:c>
      <x:c r="I5" s="24" t="n">
        <x:v>-0.0016566518784747464</x:v>
      </x:c>
      <x:c r="J5" s="26" t="n">
        <x:f>ROUND(E5-F5,1)</x:f>
        <x:v>216</x:v>
      </x:c>
      <x:c r="K5" s="22" t="str">
        <x:v>IC2612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7076.6</x:v>
      </x:c>
      <x:c r="E6" s="23" t="n">
        <x:v>7115.6</x:v>
      </x:c>
      <x:c r="F6" s="23" t="n">
        <x:v>6943.6</x:v>
      </x:c>
      <x:c r="G6" s="23" t="n">
        <x:v>6986</x:v>
      </x:c>
      <x:c r="H6" s="23" t="n">
        <x:v>-125</x:v>
      </x:c>
      <x:c r="I6" s="24" t="n">
        <x:v>-0.017578399662494748</x:v>
      </x:c>
      <x:c r="J6" s="26" t="n">
        <x:f>ROUND(E6-F6,1)</x:f>
        <x:v>172</x:v>
      </x:c>
      <x:c r="K6" s="22" t="str">
        <x:v>IC2612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6830</x:v>
      </x:c>
      <x:c r="E7" s="23" t="n">
        <x:v>7029.2</x:v>
      </x:c>
      <x:c r="F7" s="23" t="n">
        <x:v>6778.4</x:v>
      </x:c>
      <x:c r="G7" s="23" t="n">
        <x:v>6962.2</x:v>
      </x:c>
      <x:c r="H7" s="23" t="n">
        <x:v>-23.8</x:v>
      </x:c>
      <x:c r="I7" s="24" t="n">
        <x:v>-0.00340681362725459</x:v>
      </x:c>
      <x:c r="J7" s="26" t="n">
        <x:f>ROUND(E7-F7,1)</x:f>
        <x:v>250.8</x:v>
      </x:c>
      <x:c r="K7" s="22" t="str">
        <x:v>IC2612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6952</x:v>
      </x:c>
      <x:c r="E8" s="23" t="n">
        <x:v>6994.8</x:v>
      </x:c>
      <x:c r="F8" s="23" t="n">
        <x:v>6828.6</x:v>
      </x:c>
      <x:c r="G8" s="23" t="n">
        <x:v>6874.6</x:v>
      </x:c>
      <x:c r="H8" s="23" t="n">
        <x:v>-87.6</x:v>
      </x:c>
      <x:c r="I8" s="24" t="n">
        <x:v>-0.012582229754962482</x:v>
      </x:c>
      <x:c r="J8" s="26" t="n">
        <x:f>ROUND(E8-F8,1)</x:f>
        <x:v>166.2</x:v>
      </x:c>
      <x:c r="K8" s="22" t="str">
        <x:v>IC2612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6700</x:v>
      </x:c>
      <x:c r="E9" s="23" t="n">
        <x:v>6769</x:v>
      </x:c>
      <x:c r="F9" s="23" t="n">
        <x:v>6583.2</x:v>
      </x:c>
      <x:c r="G9" s="23" t="n">
        <x:v>6638.2</x:v>
      </x:c>
      <x:c r="H9" s="28" t="n">
        <x:v>-236.4</x:v>
      </x:c>
      <x:c r="I9" s="24" t="n">
        <x:v>-0.03438745527012488</x:v>
      </x:c>
      <x:c r="J9" s="26" t="n">
        <x:f>ROUND(E9-F9,1)</x:f>
        <x:v>185.8</x:v>
      </x:c>
      <x:c r="K9" s="22" t="str">
        <x:v>IC2612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6738</x:v>
      </x:c>
      <x:c r="E10" s="42" t="n">
        <x:v>6810</x:v>
      </x:c>
      <x:c r="F10" s="42" t="n">
        <x:v>6598.2</x:v>
      </x:c>
      <x:c r="G10" s="42" t="n">
        <x:v>6667.8</x:v>
      </x:c>
      <x:c r="H10" s="42" t="n">
        <x:v>29.6</x:v>
      </x:c>
      <x:c r="I10" s="43" t="n">
        <x:v>0.0044590401012323255</x:v>
      </x:c>
      <x:c r="J10" s="26" t="n">
        <x:f>ROUND(E10-F10,1)</x:f>
        <x:v>211.8</x:v>
      </x:c>
      <x:c r="K10" s="41" t="str">
        <x:v>IC2612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6670.2</x:v>
      </x:c>
      <x:c r="E11" s="23" t="n">
        <x:v>6779.4</x:v>
      </x:c>
      <x:c r="F11" s="23" t="n">
        <x:v>6608.2</x:v>
      </x:c>
      <x:c r="G11" s="23" t="n">
        <x:v>6719.8</x:v>
      </x:c>
      <x:c r="H11" s="23" t="n">
        <x:v>52</x:v>
      </x:c>
      <x:c r="I11" s="24" t="n">
        <x:v>0.007798674225381719</x:v>
      </x:c>
      <x:c r="J11" s="26" t="n">
        <x:f>ROUND(E11-F11,1)</x:f>
        <x:v>171.2</x:v>
      </x:c>
      <x:c r="K11" s="22" t="str">
        <x:v>IC2612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6666</x:v>
      </x:c>
      <x:c r="E12" s="23" t="n">
        <x:v>6828</x:v>
      </x:c>
      <x:c r="F12" s="23" t="n">
        <x:v>6645</x:v>
      </x:c>
      <x:c r="G12" s="23" t="n">
        <x:v>6737.8</x:v>
      </x:c>
      <x:c r="H12" s="23" t="n">
        <x:v>18</x:v>
      </x:c>
      <x:c r="I12" s="24" t="n">
        <x:v>0.0026786511503318344</x:v>
      </x:c>
      <x:c r="J12" s="26" t="n">
        <x:f>ROUND(E12-F12,1)</x:f>
        <x:v>183</x:v>
      </x:c>
      <x:c r="K12" s="22" t="str">
        <x:v>IC2612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6800</x:v>
      </x:c>
      <x:c r="E13" s="23" t="n">
        <x:v>6864</x:v>
      </x:c>
      <x:c r="F13" s="23" t="n">
        <x:v>6726</x:v>
      </x:c>
      <x:c r="G13" s="23" t="n">
        <x:v>6735</x:v>
      </x:c>
      <x:c r="H13" s="23" t="n">
        <x:v>-2.8</x:v>
      </x:c>
      <x:c r="I13" s="24" t="n">
        <x:v>-0.0004155659117219823</x:v>
      </x:c>
      <x:c r="J13" s="23" t="n">
        <x:f>ROUND(E13-F13,1)</x:f>
        <x:v>138</x:v>
      </x:c>
      <x:c r="K13" s="22" t="str">
        <x:v>IC2612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1993.4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199.3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4237.6</x:v>
      </x:c>
      <x:c r="E5" s="23" t="n">
        <x:v>4264.6</x:v>
      </x:c>
      <x:c r="F5" s="23" t="n">
        <x:v>4180.4</x:v>
      </x:c>
      <x:c r="G5" s="23" t="n">
        <x:v>4244.8</x:v>
      </x:c>
      <x:c r="H5" s="23" t="n">
        <x:v>-3.2</x:v>
      </x:c>
      <x:c r="I5" s="24" t="n">
        <x:v>-0.0007532956685498693</x:v>
      </x:c>
      <x:c r="J5" s="23" t="n">
        <x:f>ROUND(E5-F5,1)</x:f>
        <x:v>84.2</x:v>
      </x:c>
      <x:c r="K5" s="22" t="str">
        <x:v>IF2612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4240.4</x:v>
      </x:c>
      <x:c r="E6" s="23" t="n">
        <x:v>4273.6</x:v>
      </x:c>
      <x:c r="F6" s="23" t="n">
        <x:v>4213.8</x:v>
      </x:c>
      <x:c r="G6" s="23" t="n">
        <x:v>4233.6</x:v>
      </x:c>
      <x:c r="H6" s="23" t="n">
        <x:v>-11.2</x:v>
      </x:c>
      <x:c r="I6" s="24" t="n">
        <x:v>-0.0026385224274405594</x:v>
      </x:c>
      <x:c r="J6" s="23" t="n">
        <x:f>ROUND(E6-F6,1)</x:f>
        <x:v>59.8</x:v>
      </x:c>
      <x:c r="K6" s="22" t="str">
        <x:v>IF2612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4183.2</x:v>
      </x:c>
      <x:c r="E7" s="23" t="n">
        <x:v>4257.4</x:v>
      </x:c>
      <x:c r="F7" s="23" t="n">
        <x:v>4151</x:v>
      </x:c>
      <x:c r="G7" s="23" t="n">
        <x:v>4217.6</x:v>
      </x:c>
      <x:c r="H7" s="23" t="n">
        <x:v>-16</x:v>
      </x:c>
      <x:c r="I7" s="24" t="n">
        <x:v>-0.0037792894935751997</x:v>
      </x:c>
      <x:c r="J7" s="26" t="n">
        <x:f>ROUND(E7-F7,1)</x:f>
        <x:v>106.4</x:v>
      </x:c>
      <x:c r="K7" s="22" t="str">
        <x:v>IF2612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4203</x:v>
      </x:c>
      <x:c r="E8" s="23" t="n">
        <x:v>4217.6</x:v>
      </x:c>
      <x:c r="F8" s="23" t="n">
        <x:v>4141</x:v>
      </x:c>
      <x:c r="G8" s="23" t="n">
        <x:v>4160.6</x:v>
      </x:c>
      <x:c r="H8" s="23" t="n">
        <x:v>-57</x:v>
      </x:c>
      <x:c r="I8" s="24" t="n">
        <x:v>-0.013514795144157765</x:v>
      </x:c>
      <x:c r="J8" s="23" t="n">
        <x:f>ROUND(E8-F8,1)</x:f>
        <x:v>76.6</x:v>
      </x:c>
      <x:c r="K8" s="22" t="str">
        <x:v>IF2612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4100</x:v>
      </x:c>
      <x:c r="E9" s="23" t="n">
        <x:v>4113</x:v>
      </x:c>
      <x:c r="F9" s="23" t="n">
        <x:v>4045.2</x:v>
      </x:c>
      <x:c r="G9" s="23" t="n">
        <x:v>4092.6</x:v>
      </x:c>
      <x:c r="H9" s="23" t="n">
        <x:v>-68</x:v>
      </x:c>
      <x:c r="I9" s="24" t="n">
        <x:v>-0.016343796567802826</x:v>
      </x:c>
      <x:c r="J9" s="23" t="n">
        <x:f>ROUND(E9-F9,1)</x:f>
        <x:v>67.8</x:v>
      </x:c>
      <x:c r="K9" s="22" t="str">
        <x:v>IF2612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4127</x:v>
      </x:c>
      <x:c r="E10" s="42" t="n">
        <x:v>4147</x:v>
      </x:c>
      <x:c r="F10" s="42" t="n">
        <x:v>4052</x:v>
      </x:c>
      <x:c r="G10" s="42" t="n">
        <x:v>4088.8</x:v>
      </x:c>
      <x:c r="H10" s="42" t="n">
        <x:v>-3.8</x:v>
      </x:c>
      <x:c r="I10" s="43" t="n">
        <x:v>-0.0009285051067779992</x:v>
      </x:c>
      <x:c r="J10" s="26" t="n">
        <x:f>ROUND(E10-F10,1)</x:f>
        <x:v>95</x:v>
      </x:c>
      <x:c r="K10" s="41" t="str">
        <x:v>IF2612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4086.4</x:v>
      </x:c>
      <x:c r="E11" s="23" t="n">
        <x:v>4140.2</x:v>
      </x:c>
      <x:c r="F11" s="23" t="n">
        <x:v>4082</x:v>
      </x:c>
      <x:c r="G11" s="23" t="n">
        <x:v>4110.4</x:v>
      </x:c>
      <x:c r="H11" s="23" t="n">
        <x:v>21.6</x:v>
      </x:c>
      <x:c r="I11" s="24" t="n">
        <x:v>0.00528272353746817</x:v>
      </x:c>
      <x:c r="J11" s="23" t="n">
        <x:f>ROUND(E11-F11,1)</x:f>
        <x:v>58.2</x:v>
      </x:c>
      <x:c r="K11" s="22" t="str">
        <x:v>IF2612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4104</x:v>
      </x:c>
      <x:c r="E12" s="23" t="n">
        <x:v>4123.2</x:v>
      </x:c>
      <x:c r="F12" s="23" t="n">
        <x:v>4049</x:v>
      </x:c>
      <x:c r="G12" s="23" t="n">
        <x:v>4082.8</x:v>
      </x:c>
      <x:c r="H12" s="23" t="n">
        <x:v>-27.6</x:v>
      </x:c>
      <x:c r="I12" s="24" t="n">
        <x:v>-0.006714674970805579</x:v>
      </x:c>
      <x:c r="J12" s="23" t="n">
        <x:f>ROUND(E12-F12,1)</x:f>
        <x:v>74.2</x:v>
      </x:c>
      <x:c r="K12" s="22" t="str">
        <x:v>IF2612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4100</x:v>
      </x:c>
      <x:c r="E13" s="23" t="n">
        <x:v>4107</x:v>
      </x:c>
      <x:c r="F13" s="23" t="n">
        <x:v>4038</x:v>
      </x:c>
      <x:c r="G13" s="23" t="n">
        <x:v>4047.6</x:v>
      </x:c>
      <x:c r="H13" s="23" t="n">
        <x:v>-35.2</x:v>
      </x:c>
      <x:c r="I13" s="24" t="n">
        <x:v>-0.00862153424120704</x:v>
      </x:c>
      <x:c r="J13" s="23" t="n">
        <x:f>ROUND(E13-F13,1)</x:f>
        <x:v>69</x:v>
      </x:c>
      <x:c r="K13" s="22" t="str">
        <x:v>IF2612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804.2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80.4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2759</x:v>
      </x:c>
      <x:c r="E5" s="23" t="n">
        <x:v>2778.6</x:v>
      </x:c>
      <x:c r="F5" s="23" t="n">
        <x:v>2735</x:v>
      </x:c>
      <x:c r="G5" s="23" t="n">
        <x:v>2764</x:v>
      </x:c>
      <x:c r="H5" s="23" t="n">
        <x:v>-0.4</x:v>
      </x:c>
      <x:c r="I5" s="24" t="n">
        <x:v>-0.00014469686007811955</x:v>
      </x:c>
      <x:c r="J5" s="23" t="n">
        <x:f>ROUND(E5-F5,1)</x:f>
        <x:v>43.6</x:v>
      </x:c>
      <x:c r="K5" s="22" t="str">
        <x:v>IH2612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2762</x:v>
      </x:c>
      <x:c r="E6" s="23" t="n">
        <x:v>2794</x:v>
      </x:c>
      <x:c r="F6" s="23" t="n">
        <x:v>2761.2</x:v>
      </x:c>
      <x:c r="G6" s="23" t="n">
        <x:v>2779</x:v>
      </x:c>
      <x:c r="H6" s="23" t="n">
        <x:v>15</x:v>
      </x:c>
      <x:c r="I6" s="24" t="n">
        <x:v>0.00542691751085389</x:v>
      </x:c>
      <x:c r="J6" s="23" t="n">
        <x:f>ROUND(E6-F6,1)</x:f>
        <x:v>32.8</x:v>
      </x:c>
      <x:c r="K6" s="22" t="str">
        <x:v>IH2612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2752.2</x:v>
      </x:c>
      <x:c r="E7" s="23" t="n">
        <x:v>2785.4</x:v>
      </x:c>
      <x:c r="F7" s="23" t="n">
        <x:v>2733.8</x:v>
      </x:c>
      <x:c r="G7" s="23" t="n">
        <x:v>2762</x:v>
      </x:c>
      <x:c r="H7" s="23" t="n">
        <x:v>-17</x:v>
      </x:c>
      <x:c r="I7" s="24" t="n">
        <x:v>-0.006117308384310904</x:v>
      </x:c>
      <x:c r="J7" s="23" t="n">
        <x:f>ROUND(E7-F7,1)</x:f>
        <x:v>51.6</x:v>
      </x:c>
      <x:c r="K7" s="22" t="str">
        <x:v>IH2612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2757.2</x:v>
      </x:c>
      <x:c r="E8" s="23" t="n">
        <x:v>2760.8</x:v>
      </x:c>
      <x:c r="F8" s="23" t="n">
        <x:v>2722.4</x:v>
      </x:c>
      <x:c r="G8" s="23" t="n">
        <x:v>2733.8</x:v>
      </x:c>
      <x:c r="H8" s="23" t="n">
        <x:v>-28.2</x:v>
      </x:c>
      <x:c r="I8" s="24" t="n">
        <x:v>-0.010209992758870357</x:v>
      </x:c>
      <x:c r="J8" s="23" t="n">
        <x:f>ROUND(E8-F8,1)</x:f>
        <x:v>38.4</x:v>
      </x:c>
      <x:c r="K8" s="22" t="str">
        <x:v>IH2612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2695.6</x:v>
      </x:c>
      <x:c r="E9" s="23" t="n">
        <x:v>2719.8</x:v>
      </x:c>
      <x:c r="F9" s="23" t="n">
        <x:v>2677.6</x:v>
      </x:c>
      <x:c r="G9" s="23" t="n">
        <x:v>2718.6</x:v>
      </x:c>
      <x:c r="H9" s="23" t="n">
        <x:v>-15.2</x:v>
      </x:c>
      <x:c r="I9" s="24" t="n">
        <x:v>-0.00556002633696695</x:v>
      </x:c>
      <x:c r="J9" s="23" t="n">
        <x:f>ROUND(E9-F9,1)</x:f>
        <x:v>42.2</x:v>
      </x:c>
      <x:c r="K9" s="22" t="str">
        <x:v>IH2612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2722.2</x:v>
      </x:c>
      <x:c r="E10" s="42" t="n">
        <x:v>2738.6</x:v>
      </x:c>
      <x:c r="F10" s="42" t="n">
        <x:v>2686</x:v>
      </x:c>
      <x:c r="G10" s="42" t="n">
        <x:v>2704.6</x:v>
      </x:c>
      <x:c r="H10" s="42" t="n">
        <x:v>-14</x:v>
      </x:c>
      <x:c r="I10" s="43" t="n">
        <x:v>-0.0051497094092547435</x:v>
      </x:c>
      <x:c r="J10" s="42" t="n">
        <x:f>ROUND(E10-F10,1)</x:f>
        <x:v>52.6</x:v>
      </x:c>
      <x:c r="K10" s="41" t="str">
        <x:v>IH2612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2690</x:v>
      </x:c>
      <x:c r="E11" s="23" t="n">
        <x:v>2754.6</x:v>
      </x:c>
      <x:c r="F11" s="23" t="n">
        <x:v>2690</x:v>
      </x:c>
      <x:c r="G11" s="23" t="n">
        <x:v>2737.2</x:v>
      </x:c>
      <x:c r="H11" s="23" t="n">
        <x:v>32.6</x:v>
      </x:c>
      <x:c r="I11" s="24" t="n">
        <x:v>0.01205353841603185</x:v>
      </x:c>
      <x:c r="J11" s="26" t="n">
        <x:f>ROUND(E11-F11,1)</x:f>
        <x:v>64.6</x:v>
      </x:c>
      <x:c r="K11" s="22" t="str">
        <x:v>IH2612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2730.8</x:v>
      </x:c>
      <x:c r="E12" s="23" t="n">
        <x:v>2737.4</x:v>
      </x:c>
      <x:c r="F12" s="23" t="n">
        <x:v>2690.8</x:v>
      </x:c>
      <x:c r="G12" s="23" t="n">
        <x:v>2717.6</x:v>
      </x:c>
      <x:c r="H12" s="23" t="n">
        <x:v>-19.6</x:v>
      </x:c>
      <x:c r="I12" s="24" t="n">
        <x:v>-0.007160602075113265</x:v>
      </x:c>
      <x:c r="J12" s="23" t="n">
        <x:f>ROUND(E12-F12,1)</x:f>
        <x:v>46.6</x:v>
      </x:c>
      <x:c r="K12" s="22" t="str">
        <x:v>IH2612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2730</x:v>
      </x:c>
      <x:c r="E13" s="23" t="n">
        <x:v>2732</x:v>
      </x:c>
      <x:c r="F13" s="23" t="n">
        <x:v>2697</x:v>
      </x:c>
      <x:c r="G13" s="23" t="n">
        <x:v>2701</x:v>
      </x:c>
      <x:c r="H13" s="23" t="n">
        <x:v>-16.6</x:v>
      </x:c>
      <x:c r="I13" s="24" t="n">
        <x:v>-0.006108330880188362</x:v>
      </x:c>
      <x:c r="J13" s="23" t="n">
        <x:f>ROUND(E13-F13,1)</x:f>
        <x:v>35</x:v>
      </x:c>
      <x:c r="K13" s="22" t="str">
        <x:v>IH2612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458.4000000000001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45.8</x:v>
      </x:c>
      <x:c r="K17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28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28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6">
      <x:c r="A6" s="22" t="n">
        <x:v>3</x:v>
      </x:c>
      <x:c r="B6" s="22" t="str">
        <x:v>周一</x:v>
      </x:c>
      <x:c r="C6" s="22" t="str">
        <x:v>10月12日</x:v>
      </x:c>
      <x:c r="D6" s="23" t="n">
        <x:v>125960</x:v>
      </x:c>
      <x:c r="E6" s="23" t="n">
        <x:v>125960</x:v>
      </x:c>
      <x:c r="F6" s="23" t="n">
        <x:v>107100</x:v>
      </x:c>
      <x:c r="G6" s="23" t="n">
        <x:v>107100</x:v>
      </x:c>
      <x:c r="H6" s="28" t="n">
        <x:v>-13900</x:v>
      </x:c>
      <x:c r="I6" s="24" t="n">
        <x:v>-0.11487603305785121</x:v>
      </x:c>
      <x:c r="J6" s="26" t="n">
        <x:f>ROUND(E6-F6,1)</x:f>
        <x:v>18860</x:v>
      </x:c>
      <x:c r="K6" s="22" t="str">
        <x:v>LC2610</x:v>
      </x:c>
    </x:row>
    <x:row r="7">
      <x:c r="A7" s="22" t="n">
        <x:v>4</x:v>
      </x:c>
      <x:c r="B7" s="22" t="str">
        <x:v>周二</x:v>
      </x:c>
      <x:c r="C7" s="22" t="str">
        <x:v>10月13日</x:v>
      </x:c>
      <x:c r="D7" s="23" t="n">
        <x:v>101000</x:v>
      </x:c>
      <x:c r="E7" s="23" t="n">
        <x:v>111320</x:v>
      </x:c>
      <x:c r="F7" s="23" t="n">
        <x:v>101000</x:v>
      </x:c>
      <x:c r="G7" s="23" t="n">
        <x:v>109500</x:v>
      </x:c>
      <x:c r="H7" s="28" t="n">
        <x:v>2400</x:v>
      </x:c>
      <x:c r="I7" s="24" t="n">
        <x:v>0.022408963585434094</x:v>
      </x:c>
      <x:c r="J7" s="26" t="n">
        <x:f>ROUND(E7-F7,1)</x:f>
        <x:v>10320</x:v>
      </x:c>
      <x:c r="K7" s="22" t="str">
        <x:v>LC2610</x:v>
      </x:c>
    </x:row>
    <x:row r="8">
      <x:c r="A8" s="22" t="n">
        <x:v>5</x:v>
      </x:c>
      <x:c r="B8" s="22" t="str">
        <x:v>周三</x:v>
      </x:c>
      <x:c r="C8" s="22" t="str">
        <x:v>10月14日</x:v>
      </x:c>
      <x:c r="D8" s="23" t="n">
        <x:v>108380</x:v>
      </x:c>
      <x:c r="E8" s="23" t="n">
        <x:v>108380</x:v>
      </x:c>
      <x:c r="F8" s="23" t="n">
        <x:v>103000</x:v>
      </x:c>
      <x:c r="G8" s="23" t="n">
        <x:v>103000</x:v>
      </x:c>
      <x:c r="H8" s="28" t="n">
        <x:v>-6500</x:v>
      </x:c>
      <x:c r="I8" s="24" t="n">
        <x:v>-0.05936073059360736</x:v>
      </x:c>
      <x:c r="J8" s="23" t="n">
        <x:f>ROUND(E8-F8,1)</x:f>
        <x:v>5380</x:v>
      </x:c>
      <x:c r="K8" s="22" t="str">
        <x:v>LC2610</x:v>
      </x:c>
    </x:row>
    <x:row r="9">
      <x:c r="A9" s="22" t="n">
        <x:v>6</x:v>
      </x:c>
      <x:c r="B9" s="22" t="str">
        <x:v>周四</x:v>
      </x:c>
      <x:c r="C9" s="22" t="str">
        <x:v>10月15日</x:v>
      </x:c>
      <x:c r="D9" s="23" t="n">
        <x:v>103000</x:v>
      </x:c>
      <x:c r="E9" s="23" t="n">
        <x:v>103400</x:v>
      </x:c>
      <x:c r="F9" s="23" t="n">
        <x:v>102000</x:v>
      </x:c>
      <x:c r="G9" s="23" t="n">
        <x:v>102000</x:v>
      </x:c>
      <x:c r="H9" s="28" t="n">
        <x:v>-1000</x:v>
      </x:c>
      <x:c r="I9" s="24" t="n">
        <x:v>-0.009708737864077666</x:v>
      </x:c>
      <x:c r="J9" s="23" t="n">
        <x:f>ROUND(E9-F9,1)</x:f>
        <x:v>1400</x:v>
      </x:c>
      <x:c r="K9" s="22" t="str">
        <x:v>LC2610</x:v>
      </x:c>
    </x:row>
    <x:row r="10">
      <x:c r="A10" s="41" t="n">
        <x:v>7</x:v>
      </x:c>
      <x:c r="B10" s="41" t="str">
        <x:v>周五</x:v>
      </x:c>
      <x:c r="C10" s="41" t="str">
        <x:v>10月16日</x:v>
      </x:c>
      <x:c r="D10" s="42" t="n">
        <x:v>102280</x:v>
      </x:c>
      <x:c r="E10" s="42" t="n">
        <x:v>102280</x:v>
      </x:c>
      <x:c r="F10" s="42" t="n">
        <x:v>99500</x:v>
      </x:c>
      <x:c r="G10" s="42" t="n">
        <x:v>99500</x:v>
      </x:c>
      <x:c r="H10" s="28" t="n">
        <x:v>-2500</x:v>
      </x:c>
      <x:c r="I10" s="43" t="n">
        <x:v>-0.02450980392156865</x:v>
      </x:c>
      <x:c r="J10" s="42" t="n">
        <x:f>ROUND(E10-F10,1)</x:f>
        <x:v>2780</x:v>
      </x:c>
      <x:c r="K10" s="41" t="str">
        <x:v>LC2610</x:v>
      </x:c>
    </x:row>
    <x:row r="11">
      <x:c r="A11" s="22" t="n">
        <x:v>8</x:v>
      </x:c>
      <x:c r="B11" s="22" t="str">
        <x:v>周一</x:v>
      </x:c>
      <x:c r="C11" s="22" t="str">
        <x:v>10月19日</x:v>
      </x:c>
      <x:c r="D11" s="23" t="n">
        <x:v>99600</x:v>
      </x:c>
      <x:c r="E11" s="23" t="n">
        <x:v>103280</x:v>
      </x:c>
      <x:c r="F11" s="23" t="n">
        <x:v>99600</x:v>
      </x:c>
      <x:c r="G11" s="23" t="n">
        <x:v>103180</x:v>
      </x:c>
      <x:c r="H11" s="28" t="n">
        <x:v>3680</x:v>
      </x:c>
      <x:c r="I11" s="24" t="n">
        <x:v>0.036984924623115534</x:v>
      </x:c>
      <x:c r="J11" s="23" t="n">
        <x:f>ROUND(E11-F11,1)</x:f>
        <x:v>3680</x:v>
      </x:c>
      <x:c r="K11" s="22" t="str">
        <x:v>LC2610</x:v>
      </x:c>
    </x:row>
    <x:row r="12">
      <x:c r="A12" s="22" t="n">
        <x:v>9</x:v>
      </x:c>
      <x:c r="B12" s="22" t="str">
        <x:v>周二</x:v>
      </x:c>
      <x:c r="C12" s="22" t="str">
        <x:v>10月20日</x:v>
      </x:c>
      <x:c r="D12" s="23" t="n">
        <x:v>101540</x:v>
      </x:c>
      <x:c r="E12" s="23" t="n">
        <x:v>103420</x:v>
      </x:c>
      <x:c r="F12" s="23" t="n">
        <x:v>101520</x:v>
      </x:c>
      <x:c r="G12" s="23" t="n">
        <x:v>103400</x:v>
      </x:c>
      <x:c r="H12" s="28" t="n">
        <x:v>220</x:v>
      </x:c>
      <x:c r="I12" s="24" t="n">
        <x:v>0.002132196162046851</x:v>
      </x:c>
      <x:c r="J12" s="23" t="n">
        <x:f>ROUND(E12-F12,1)</x:f>
        <x:v>1900</x:v>
      </x:c>
      <x:c r="K12" s="22" t="str">
        <x:v>LC2610</x:v>
      </x:c>
    </x:row>
    <x:row r="13">
      <x:c r="A13" s="22" t="n">
        <x:v>10</x:v>
      </x:c>
      <x:c r="B13" s="22" t="str">
        <x:v>周三</x:v>
      </x:c>
      <x:c r="C13" s="22" t="str">
        <x:v>10月21日</x:v>
      </x:c>
      <x:c r="D13" s="23" t="n">
        <x:v>101600</x:v>
      </x:c>
      <x:c r="E13" s="23" t="n">
        <x:v>101660</x:v>
      </x:c>
      <x:c r="F13" s="23" t="n">
        <x:v>98000</x:v>
      </x:c>
      <x:c r="G13" s="23" t="n">
        <x:v>98540</x:v>
      </x:c>
      <x:c r="H13" s="28" t="n">
        <x:v>-4860</x:v>
      </x:c>
      <x:c r="I13" s="24" t="n">
        <x:v>-0.04700193423597676</x:v>
      </x:c>
      <x:c r="J13" s="23" t="n">
        <x:f>ROUND(E13-F13,1)</x:f>
        <x:v>3660</x:v>
      </x:c>
      <x:c r="K13" s="22" t="str">
        <x:v>LC2610</x:v>
      </x:c>
    </x:row>
    <x:row r="16">
      <x:c r="A16" s="31" t="str">
        <x:v>合计</x:v>
      </x:c>
      <x:c r="B16" s="30" t="n">
        <x:v>10</x:v>
      </x:c>
      <x:c r="C16" s="30"/>
      <x:c r="D16" s="30"/>
      <x:c r="E16" s="30"/>
      <x:c r="F16" s="30"/>
      <x:c r="G16" s="30"/>
      <x:c r="H16" s="30"/>
      <x:c r="I16" s="30"/>
      <x:c r="J16" s="32" t="n">
        <x:f>SUM(J4:J13)</x:f>
        <x:v>58980</x:v>
      </x:c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0"/>
      <x:c r="J17" s="34" t="n">
        <x:f>ROUND(IFERROR(AVERAGE(J4:J13),0),1)</x:f>
        <x:v>5898</x:v>
      </x:c>
      <x:c r="K17" s="30"/>
    </x:row>
  </x:sheetData>
  <x:mergeCells>
    <x:mergeCell ref="A1:K1"/>
  </x:mergeCells>
  <x:pageMargins left="0.7" right="0.7" top="0.75" bottom="0.75" header="0.3" footer="0.3"/>
</x:worksheet>
</file>