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8205f9d0d443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8f9fba8c3bf468f"/>
    <x:sheet xmlns:r="http://schemas.openxmlformats.org/officeDocument/2006/relationships" name="周振幅统计" sheetId="2" r:id="R011e076b2fdf42ea"/>
    <x:sheet xmlns:r="http://schemas.openxmlformats.org/officeDocument/2006/relationships" name="中证1000" sheetId="3" r:id="Rd8db927f29b942c1"/>
    <x:sheet xmlns:r="http://schemas.openxmlformats.org/officeDocument/2006/relationships" name="中证500" sheetId="4" r:id="R44f25684fc8b4073"/>
    <x:sheet xmlns:r="http://schemas.openxmlformats.org/officeDocument/2006/relationships" name="上证指数" sheetId="5" r:id="Re4f98c5183f74387"/>
    <x:sheet xmlns:r="http://schemas.openxmlformats.org/officeDocument/2006/relationships" name="IM主力" sheetId="6" r:id="Rbb6df191ad744946"/>
    <x:sheet xmlns:r="http://schemas.openxmlformats.org/officeDocument/2006/relationships" name="IC主力" sheetId="7" r:id="Rbd3abe2343ff429a"/>
    <x:sheet xmlns:r="http://schemas.openxmlformats.org/officeDocument/2006/relationships" name="IF主力" sheetId="8" r:id="Rbefbf2a21ad7467e"/>
    <x:sheet xmlns:r="http://schemas.openxmlformats.org/officeDocument/2006/relationships" name="IH主力" sheetId="9" r:id="Rf3078214d0514d4e"/>
    <x:sheet xmlns:r="http://schemas.openxmlformats.org/officeDocument/2006/relationships" name="碳酸锂2610" sheetId="10" r:id="R9f04f3a02bc143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3083e96b824e65" /><Relationship Type="http://schemas.openxmlformats.org/officeDocument/2006/relationships/theme" Target="/xl/theme/theme1.xml" Id="R5cdac6200146480e" /><Relationship Type="http://schemas.openxmlformats.org/officeDocument/2006/relationships/sharedStrings" Target="/xl/sharedStrings.xml" Id="R2c5dd724dd2d4b46" /><Relationship Type="http://schemas.openxmlformats.org/officeDocument/2006/relationships/worksheet" Target="/xl/worksheets/sheet1.xml" Id="R68f9fba8c3bf468f" /><Relationship Type="http://schemas.openxmlformats.org/officeDocument/2006/relationships/worksheet" Target="/xl/worksheets/sheet2.xml" Id="R011e076b2fdf42ea" /><Relationship Type="http://schemas.openxmlformats.org/officeDocument/2006/relationships/worksheet" Target="/xl/worksheets/sheet3.xml" Id="Rd8db927f29b942c1" /><Relationship Type="http://schemas.openxmlformats.org/officeDocument/2006/relationships/worksheet" Target="/xl/worksheets/sheet4.xml" Id="R44f25684fc8b4073" /><Relationship Type="http://schemas.openxmlformats.org/officeDocument/2006/relationships/worksheet" Target="/xl/worksheets/sheet5.xml" Id="Re4f98c5183f74387" /><Relationship Type="http://schemas.openxmlformats.org/officeDocument/2006/relationships/worksheet" Target="/xl/worksheets/sheet6.xml" Id="Rbb6df191ad744946" /><Relationship Type="http://schemas.openxmlformats.org/officeDocument/2006/relationships/worksheet" Target="/xl/worksheets/sheet7.xml" Id="Rbd3abe2343ff429a" /><Relationship Type="http://schemas.openxmlformats.org/officeDocument/2006/relationships/worksheet" Target="/xl/worksheets/sheet8.xml" Id="Rbefbf2a21ad7467e" /><Relationship Type="http://schemas.openxmlformats.org/officeDocument/2006/relationships/worksheet" Target="/xl/worksheets/sheet9.xml" Id="Rf3078214d0514d4e" /><Relationship Type="http://schemas.openxmlformats.org/officeDocument/2006/relationships/worksheet" Target="/xl/worksheets/sheet10.xml" Id="R9f04f3a02bc143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2026-10-19</x:v>
      </x:c>
      <x:c r="C4" s="10" t="n">
        <x:v>6746.32</x:v>
      </x:c>
      <x:c r="D4" s="10" t="n">
        <x:v>6578.94</x:v>
      </x:c>
      <x:c r="E4" s="12" t="n">
        <x:v>167.4</x:v>
      </x:c>
      <x:c r="F4" s="9" t="n">
        <x:v>8</x:v>
      </x:c>
      <x:c r="G4" s="10" t="n">
        <x:v>1622.5</x:v>
      </x:c>
      <x:c r="H4" s="10" t="n">
        <x:v>202.8</x:v>
      </x:c>
      <x:c r="I4" s="10" t="n">
        <x:v>180</x:v>
      </x:c>
    </x:row>
    <x:row r="5">
      <x:c r="A5" s="9" t="str">
        <x:v>中证500</x:v>
      </x:c>
      <x:c r="B5" s="9" t="str">
        <x:v>2026-10-19</x:v>
      </x:c>
      <x:c r="C5" s="10" t="n">
        <x:v>6848</x:v>
      </x:c>
      <x:c r="D5" s="10" t="n">
        <x:v>6692.83</x:v>
      </x:c>
      <x:c r="E5" s="12" t="n">
        <x:v>155.2</x:v>
      </x:c>
      <x:c r="F5" s="9" t="n">
        <x:v>8</x:v>
      </x:c>
      <x:c r="G5" s="10" t="n">
        <x:v>1522.4</x:v>
      </x:c>
      <x:c r="H5" s="10" t="n">
        <x:v>190.3</x:v>
      </x:c>
      <x:c r="I5" s="10" t="n">
        <x:v>160</x:v>
      </x:c>
    </x:row>
    <x:row r="6">
      <x:c r="A6" s="9" t="str">
        <x:v>上证指数</x:v>
      </x:c>
      <x:c r="B6" s="9" t="str">
        <x:v>2026-10-19</x:v>
      </x:c>
      <x:c r="C6" s="10" t="n">
        <x:v>3743.8</x:v>
      </x:c>
      <x:c r="D6" s="10" t="n">
        <x:v>3692.29</x:v>
      </x:c>
      <x:c r="E6" s="12" t="n">
        <x:v>51.5</x:v>
      </x:c>
      <x:c r="F6" s="9" t="n">
        <x:v>8</x:v>
      </x:c>
      <x:c r="G6" s="10" t="n">
        <x:v>477.7</x:v>
      </x:c>
      <x:c r="H6" s="10" t="n">
        <x:v>59.7</x:v>
      </x:c>
      <x:c r="I6" s="10" t="n">
        <x:v>50</x:v>
      </x:c>
    </x:row>
    <x:row r="7">
      <x:c r="A7" s="9" t="str">
        <x:v>IM主力</x:v>
      </x:c>
      <x:c r="B7" s="9" t="str">
        <x:v>2026-10-19</x:v>
      </x:c>
      <x:c r="C7" s="10" t="n">
        <x:v>6680</x:v>
      </x:c>
      <x:c r="D7" s="10" t="n">
        <x:v>6505</x:v>
      </x:c>
      <x:c r="E7" s="12" t="n">
        <x:v>175</x:v>
      </x:c>
      <x:c r="F7" s="9" t="n">
        <x:v>8</x:v>
      </x:c>
      <x:c r="G7" s="10" t="n">
        <x:v>1711.4</x:v>
      </x:c>
      <x:c r="H7" s="10" t="n">
        <x:v>213.9</x:v>
      </x:c>
      <x:c r="I7" s="10" t="n">
        <x:v>190</x:v>
      </x:c>
    </x:row>
    <x:row r="8">
      <x:c r="A8" s="9" t="str">
        <x:v>IC主力</x:v>
      </x:c>
      <x:c r="B8" s="9" t="str">
        <x:v>2026-10-19</x:v>
      </x:c>
      <x:c r="C8" s="10" t="n">
        <x:v>6779.4</x:v>
      </x:c>
      <x:c r="D8" s="10" t="n">
        <x:v>6608.2</x:v>
      </x:c>
      <x:c r="E8" s="12" t="n">
        <x:v>171.2</x:v>
      </x:c>
      <x:c r="F8" s="9" t="n">
        <x:v>8</x:v>
      </x:c>
      <x:c r="G8" s="10" t="n">
        <x:v>1672.4</x:v>
      </x:c>
      <x:c r="H8" s="10" t="n">
        <x:v>209.1</x:v>
      </x:c>
      <x:c r="I8" s="10" t="n">
        <x:v>150</x:v>
      </x:c>
    </x:row>
    <x:row r="9">
      <x:c r="A9" s="9" t="str">
        <x:v>IF主力</x:v>
      </x:c>
      <x:c r="B9" s="9" t="str">
        <x:v>2026-10-19</x:v>
      </x:c>
      <x:c r="C9" s="10" t="n">
        <x:v>4140.2</x:v>
      </x:c>
      <x:c r="D9" s="10" t="n">
        <x:v>4082</x:v>
      </x:c>
      <x:c r="E9" s="12" t="n">
        <x:v>58.2</x:v>
      </x:c>
      <x:c r="F9" s="9" t="n">
        <x:v>8</x:v>
      </x:c>
      <x:c r="G9" s="10" t="n">
        <x:v>661</x:v>
      </x:c>
      <x:c r="H9" s="10" t="n">
        <x:v>82.6</x:v>
      </x:c>
      <x:c r="I9" s="10" t="n">
        <x:v>90</x:v>
      </x:c>
    </x:row>
    <x:row r="10">
      <x:c r="A10" s="9" t="str">
        <x:v>IH主力</x:v>
      </x:c>
      <x:c r="B10" s="9" t="str">
        <x:v>2026-10-19</x:v>
      </x:c>
      <x:c r="C10" s="10" t="n">
        <x:v>2754.6</x:v>
      </x:c>
      <x:c r="D10" s="10" t="n">
        <x:v>2690</x:v>
      </x:c>
      <x:c r="E10" s="12" t="n">
        <x:v>64.6</x:v>
      </x:c>
      <x:c r="F10" s="9" t="n">
        <x:v>8</x:v>
      </x:c>
      <x:c r="G10" s="10" t="n">
        <x:v>376.8</x:v>
      </x:c>
      <x:c r="H10" s="10" t="n">
        <x:v>47.1</x:v>
      </x:c>
      <x:c r="I10" s="10" t="n">
        <x:v>60</x:v>
      </x:c>
    </x:row>
    <x:row r="11">
      <x:c r="A11" s="9" t="str">
        <x:v>碳酸锂2610</x:v>
      </x:c>
      <x:c r="B11" s="9" t="str">
        <x:v>2026-10-19</x:v>
      </x:c>
      <x:c r="C11" s="10" t="n">
        <x:v>103280</x:v>
      </x:c>
      <x:c r="D11" s="10" t="n">
        <x:v>99600</x:v>
      </x:c>
      <x:c r="E11" s="12" t="n">
        <x:v>3680</x:v>
      </x:c>
      <x:c r="F11" s="9" t="n">
        <x:v>8</x:v>
      </x:c>
      <x:c r="G11" s="10" t="n">
        <x:v>53420</x:v>
      </x:c>
      <x:c r="H11" s="10" t="n">
        <x:v>6677.5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</x:v>
      </x:c>
      <x:c r="C7" s="23" t="n">
        <x:v>6639.94</x:v>
      </x:c>
      <x:c r="D7" s="23" t="n">
        <x:v>6746.32</x:v>
      </x:c>
      <x:c r="E7" s="23" t="n">
        <x:v>6578.94</x:v>
      </x:c>
      <x:c r="F7" s="23" t="n">
        <x:v>6698.3</x:v>
      </x:c>
      <x:c r="G7" s="23" t="n">
        <x:f>ROUND(F7-F6,1)</x:f>
        <x:v>16.4</x:v>
      </x:c>
      <x:c r="H7" s="24" t="n">
        <x:f>IFERROR(F7/F6-1,"")</x:f>
        <x:v>0.002448390736822015</x:v>
      </x:c>
      <x:c r="I7" s="23" t="n">
        <x:f>ROUND(D7-E7,1)</x:f>
        <x:v>167.4</x:v>
      </x:c>
      <x:c r="J7" s="22" t="str">
        <x:v>中证1000</x:v>
      </x:c>
      <x:c r="K7" s="22" t="n">
        <x:v>1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1127.3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375.8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</x:v>
      </x:c>
      <x:c r="C15" s="23" t="n">
        <x:v>6735.53</x:v>
      </x:c>
      <x:c r="D15" s="23" t="n">
        <x:v>6848</x:v>
      </x:c>
      <x:c r="E15" s="23" t="n">
        <x:v>6692.83</x:v>
      </x:c>
      <x:c r="F15" s="23" t="n">
        <x:v>6800.66</x:v>
      </x:c>
      <x:c r="G15" s="23" t="n">
        <x:f>ROUND(F15-F14,1)</x:f>
        <x:v>27.9</x:v>
      </x:c>
      <x:c r="H15" s="24" t="n">
        <x:f>IFERROR(F15/F14-1,"")</x:f>
        <x:v>0.004120925768705375</x:v>
      </x:c>
      <x:c r="I15" s="23" t="n">
        <x:f>ROUND(D15-E15,1)</x:f>
        <x:v>155.2</x:v>
      </x:c>
      <x:c r="J15" s="22" t="str">
        <x:v>中证500</x:v>
      </x:c>
      <x:c r="K15" s="22" t="n">
        <x:v>1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1085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361.7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</x:v>
      </x:c>
      <x:c r="C23" s="23" t="n">
        <x:v>3694.12</x:v>
      </x:c>
      <x:c r="D23" s="23" t="n">
        <x:v>3743.8</x:v>
      </x:c>
      <x:c r="E23" s="23" t="n">
        <x:v>3692.29</x:v>
      </x:c>
      <x:c r="F23" s="23" t="n">
        <x:v>3730.92</x:v>
      </x:c>
      <x:c r="G23" s="23" t="n">
        <x:f>ROUND(F23-F22,1)</x:f>
        <x:v>14.6</x:v>
      </x:c>
      <x:c r="H23" s="24" t="n">
        <x:f>IFERROR(F23/F22-1,"")</x:f>
        <x:v>0.003939423294262001</x:v>
      </x:c>
      <x:c r="I23" s="26" t="n">
        <x:f>ROUND(D23-E23,1)</x:f>
        <x:v>51.5</x:v>
      </x:c>
      <x:c r="J23" s="22" t="str">
        <x:v>上证指数</x:v>
      </x:c>
      <x:c r="K23" s="22" t="n">
        <x:v>1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314.9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105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</x:v>
      </x:c>
      <x:c r="C31" s="23" t="n">
        <x:v>6577.2</x:v>
      </x:c>
      <x:c r="D31" s="23" t="n">
        <x:v>6680</x:v>
      </x:c>
      <x:c r="E31" s="23" t="n">
        <x:v>6505</x:v>
      </x:c>
      <x:c r="F31" s="23" t="n">
        <x:v>6621.8</x:v>
      </x:c>
      <x:c r="G31" s="23" t="n">
        <x:f>ROUND(F31-F30,1)</x:f>
        <x:v>38.2</x:v>
      </x:c>
      <x:c r="H31" s="24" t="n">
        <x:f>IFERROR(F31/F30-1,"")</x:f>
        <x:v>0.005802296615833313</x:v>
      </x:c>
      <x:c r="I31" s="23" t="n">
        <x:f>ROUND(D31-E31,1)</x:f>
        <x:v>175</x:v>
      </x:c>
      <x:c r="J31" s="22" t="str">
        <x:v>IM2612</x:v>
      </x:c>
      <x:c r="K31" s="22" t="n">
        <x:v>1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1119.2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373.1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</x:v>
      </x:c>
      <x:c r="C39" s="23" t="n">
        <x:v>6670.2</x:v>
      </x:c>
      <x:c r="D39" s="23" t="n">
        <x:v>6779.4</x:v>
      </x:c>
      <x:c r="E39" s="23" t="n">
        <x:v>6608.2</x:v>
      </x:c>
      <x:c r="F39" s="23" t="n">
        <x:v>6719.8</x:v>
      </x:c>
      <x:c r="G39" s="23" t="n">
        <x:f>ROUND(F39-F38,1)</x:f>
        <x:v>52</x:v>
      </x:c>
      <x:c r="H39" s="24" t="n">
        <x:f>IFERROR(F39/F38-1,"")</x:f>
        <x:v>0.007798674225381719</x:v>
      </x:c>
      <x:c r="I39" s="26" t="n">
        <x:f>ROUND(D39-E39,1)</x:f>
        <x:v>171.2</x:v>
      </x:c>
      <x:c r="J39" s="22" t="str">
        <x:v>IC2612</x:v>
      </x:c>
      <x:c r="K39" s="22" t="n">
        <x:v>1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1126.6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375.5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</x:v>
      </x:c>
      <x:c r="C47" s="23" t="n">
        <x:v>4086.4</x:v>
      </x:c>
      <x:c r="D47" s="23" t="n">
        <x:v>4140.2</x:v>
      </x:c>
      <x:c r="E47" s="23" t="n">
        <x:v>4082</x:v>
      </x:c>
      <x:c r="F47" s="23" t="n">
        <x:v>4110.4</x:v>
      </x:c>
      <x:c r="G47" s="23" t="n">
        <x:f>ROUND(F47-F46,1)</x:f>
        <x:v>21.6</x:v>
      </x:c>
      <x:c r="H47" s="24" t="n">
        <x:f>IFERROR(F47/F46-1,"")</x:f>
        <x:v>0.00528272353746817</x:v>
      </x:c>
      <x:c r="I47" s="23" t="n">
        <x:f>ROUND(D47-E47,1)</x:f>
        <x:v>58.2</x:v>
      </x:c>
      <x:c r="J47" s="22" t="str">
        <x:v>IF2612</x:v>
      </x:c>
      <x:c r="K47" s="22" t="n">
        <x:v>1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437.8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145.9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</x:v>
      </x:c>
      <x:c r="C55" s="23" t="n">
        <x:v>2690</x:v>
      </x:c>
      <x:c r="D55" s="23" t="n">
        <x:v>2754.6</x:v>
      </x:c>
      <x:c r="E55" s="23" t="n">
        <x:v>2690</x:v>
      </x:c>
      <x:c r="F55" s="23" t="n">
        <x:v>2737.2</x:v>
      </x:c>
      <x:c r="G55" s="23" t="n">
        <x:f>ROUND(F55-F54,1)</x:f>
        <x:v>32.6</x:v>
      </x:c>
      <x:c r="H55" s="24" t="n">
        <x:f>IFERROR(F55/F54-1,"")</x:f>
        <x:v>0.01205353841603185</x:v>
      </x:c>
      <x:c r="I55" s="26" t="n">
        <x:f>ROUND(D55-E55,1)</x:f>
        <x:v>64.6</x:v>
      </x:c>
      <x:c r="J55" s="22" t="str">
        <x:v>IH2612</x:v>
      </x:c>
      <x:c r="K55" s="22" t="n">
        <x:v>1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244.4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81.5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</x:v>
      </x:c>
      <x:c r="C63" s="23" t="n">
        <x:v>99600</x:v>
      </x:c>
      <x:c r="D63" s="23" t="n">
        <x:v>103280</x:v>
      </x:c>
      <x:c r="E63" s="23" t="n">
        <x:v>99600</x:v>
      </x:c>
      <x:c r="F63" s="23" t="n">
        <x:v>103180</x:v>
      </x:c>
      <x:c r="G63" s="28" t="n">
        <x:f>ROUND(F63-F62,1)</x:f>
        <x:v>3680</x:v>
      </x:c>
      <x:c r="H63" s="24" t="n">
        <x:f>IFERROR(F63/F62-1,"")</x:f>
        <x:v>0.036984924623115534</x:v>
      </x:c>
      <x:c r="I63" s="23" t="n">
        <x:f>ROUND(D63-E63,1)</x:f>
        <x:v>3680</x:v>
      </x:c>
      <x:c r="J63" s="22" t="str">
        <x:v>LC2610</x:v>
      </x:c>
      <x:c r="K63" s="22" t="n">
        <x:v>1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37940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12646.7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1622.5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202.8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1522.3999999999999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190.3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477.69999999999993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59.7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1711.4000000000003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213.9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1672.4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209.1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661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82.6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376.80000000000007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47.1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53420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6677.5</x:v>
      </x:c>
      <x:c r="K15" s="30"/>
    </x:row>
  </x:sheetData>
  <x:mergeCells>
    <x:mergeCell ref="A1:K1"/>
  </x:mergeCells>
  <x:pageMargins left="0.7" right="0.7" top="0.75" bottom="0.75" header="0.3" footer="0.3"/>
</x:worksheet>
</file>