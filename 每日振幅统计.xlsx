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a900ebd2c4d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15739b2fec741ae"/>
    <x:sheet xmlns:r="http://schemas.openxmlformats.org/officeDocument/2006/relationships" name="周振幅统计" sheetId="2" r:id="R6d8620e9ce8a46ad"/>
    <x:sheet xmlns:r="http://schemas.openxmlformats.org/officeDocument/2006/relationships" name="中证1000" sheetId="3" r:id="R957e9d613ed947b6"/>
    <x:sheet xmlns:r="http://schemas.openxmlformats.org/officeDocument/2006/relationships" name="中证500" sheetId="4" r:id="Re96c78c61ac44551"/>
    <x:sheet xmlns:r="http://schemas.openxmlformats.org/officeDocument/2006/relationships" name="上证指数" sheetId="5" r:id="R9040bd18b34c4dcf"/>
    <x:sheet xmlns:r="http://schemas.openxmlformats.org/officeDocument/2006/relationships" name="IM主力" sheetId="6" r:id="Rd548f891c00f4665"/>
    <x:sheet xmlns:r="http://schemas.openxmlformats.org/officeDocument/2006/relationships" name="IC主力" sheetId="7" r:id="Ra878f45ac8f9431e"/>
    <x:sheet xmlns:r="http://schemas.openxmlformats.org/officeDocument/2006/relationships" name="IF主力" sheetId="8" r:id="R5b5b9ea2fac940d6"/>
    <x:sheet xmlns:r="http://schemas.openxmlformats.org/officeDocument/2006/relationships" name="IH主力" sheetId="9" r:id="R05c4132095ec4f5e"/>
    <x:sheet xmlns:r="http://schemas.openxmlformats.org/officeDocument/2006/relationships" name="碳酸锂2610" sheetId="10" r:id="Rbede1135f15b41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9eddb4297b4124" /><Relationship Type="http://schemas.openxmlformats.org/officeDocument/2006/relationships/theme" Target="/xl/theme/theme1.xml" Id="Rf6c91171ac21490d" /><Relationship Type="http://schemas.openxmlformats.org/officeDocument/2006/relationships/sharedStrings" Target="/xl/sharedStrings.xml" Id="Rc78ba6c93c55425b" /><Relationship Type="http://schemas.openxmlformats.org/officeDocument/2006/relationships/worksheet" Target="/xl/worksheets/sheet1.xml" Id="R315739b2fec741ae" /><Relationship Type="http://schemas.openxmlformats.org/officeDocument/2006/relationships/worksheet" Target="/xl/worksheets/sheet2.xml" Id="R6d8620e9ce8a46ad" /><Relationship Type="http://schemas.openxmlformats.org/officeDocument/2006/relationships/worksheet" Target="/xl/worksheets/sheet3.xml" Id="R957e9d613ed947b6" /><Relationship Type="http://schemas.openxmlformats.org/officeDocument/2006/relationships/worksheet" Target="/xl/worksheets/sheet4.xml" Id="Re96c78c61ac44551" /><Relationship Type="http://schemas.openxmlformats.org/officeDocument/2006/relationships/worksheet" Target="/xl/worksheets/sheet5.xml" Id="R9040bd18b34c4dcf" /><Relationship Type="http://schemas.openxmlformats.org/officeDocument/2006/relationships/worksheet" Target="/xl/worksheets/sheet6.xml" Id="Rd548f891c00f4665" /><Relationship Type="http://schemas.openxmlformats.org/officeDocument/2006/relationships/worksheet" Target="/xl/worksheets/sheet7.xml" Id="Ra878f45ac8f9431e" /><Relationship Type="http://schemas.openxmlformats.org/officeDocument/2006/relationships/worksheet" Target="/xl/worksheets/sheet8.xml" Id="R5b5b9ea2fac940d6" /><Relationship Type="http://schemas.openxmlformats.org/officeDocument/2006/relationships/worksheet" Target="/xl/worksheets/sheet9.xml" Id="R05c4132095ec4f5e" /><Relationship Type="http://schemas.openxmlformats.org/officeDocument/2006/relationships/worksheet" Target="/xl/worksheets/sheet10.xml" Id="Rbede1135f15b41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2026-09-16</x:v>
      </x:c>
      <x:c r="C4" s="10" t="n">
        <x:v>7607.89</x:v>
      </x:c>
      <x:c r="D4" s="10" t="n">
        <x:v>7402.37</x:v>
      </x:c>
      <x:c r="E4" s="12" t="n">
        <x:v>205.5</x:v>
      </x:c>
      <x:c r="F4" s="9" t="n">
        <x:v>12</x:v>
      </x:c>
      <x:c r="G4" s="10" t="n">
        <x:v>1687.3</x:v>
      </x:c>
      <x:c r="H4" s="10" t="n">
        <x:v>140.6</x:v>
      </x:c>
      <x:c r="I4" s="10" t="n">
        <x:v>180</x:v>
      </x:c>
    </x:row>
    <x:row r="5">
      <x:c r="A5" s="9" t="str">
        <x:v>中证500</x:v>
      </x:c>
      <x:c r="B5" s="9" t="str">
        <x:v>2026-09-16</x:v>
      </x:c>
      <x:c r="C5" s="10" t="n">
        <x:v>7696.47</x:v>
      </x:c>
      <x:c r="D5" s="10" t="n">
        <x:v>7523.82</x:v>
      </x:c>
      <x:c r="E5" s="12" t="n">
        <x:v>172.7</x:v>
      </x:c>
      <x:c r="F5" s="9" t="n">
        <x:v>12</x:v>
      </x:c>
      <x:c r="G5" s="10" t="n">
        <x:v>1502.1</x:v>
      </x:c>
      <x:c r="H5" s="10" t="n">
        <x:v>125.2</x:v>
      </x:c>
      <x:c r="I5" s="10" t="n">
        <x:v>160</x:v>
      </x:c>
    </x:row>
    <x:row r="6">
      <x:c r="A6" s="9" t="str">
        <x:v>上证指数</x:v>
      </x:c>
      <x:c r="B6" s="9" t="str">
        <x:v>2026-09-16</x:v>
      </x:c>
      <x:c r="C6" s="10" t="n">
        <x:v>3894.66</x:v>
      </x:c>
      <x:c r="D6" s="10" t="n">
        <x:v>3842.72</x:v>
      </x:c>
      <x:c r="E6" s="12" t="n">
        <x:v>51.9</x:v>
      </x:c>
      <x:c r="F6" s="9" t="n">
        <x:v>12</x:v>
      </x:c>
      <x:c r="G6" s="10" t="n">
        <x:v>433.3</x:v>
      </x:c>
      <x:c r="H6" s="10" t="n">
        <x:v>36.1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12</x:v>
      </x:c>
      <x:c r="G7" s="10" t="n">
        <x:v>1888.6</x:v>
      </x:c>
      <x:c r="H7" s="10" t="n">
        <x:v>157.4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12</x:v>
      </x:c>
      <x:c r="G8" s="10" t="n">
        <x:v>1774.4</x:v>
      </x:c>
      <x:c r="H8" s="10" t="n">
        <x:v>147.9</x:v>
      </x:c>
      <x:c r="I8" s="10" t="n">
        <x:v>150</x:v>
      </x:c>
    </x:row>
    <x:row r="9">
      <x:c r="A9" s="9" t="str">
        <x:v>IF主力</x:v>
      </x:c>
      <x:c r="B9" s="9" t="str">
        <x:v>2026-09-16</x:v>
      </x:c>
      <x:c r="C9" s="10" t="n">
        <x:v>4487</x:v>
      </x:c>
      <x:c r="D9" s="10" t="n">
        <x:v>4412.2</x:v>
      </x:c>
      <x:c r="E9" s="12" t="n">
        <x:v>74.8</x:v>
      </x:c>
      <x:c r="F9" s="9" t="n">
        <x:v>12</x:v>
      </x:c>
      <x:c r="G9" s="10" t="n">
        <x:v>649</x:v>
      </x:c>
      <x:c r="H9" s="10" t="n">
        <x:v>54.1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12</x:v>
      </x:c>
      <x:c r="G10" s="10" t="n">
        <x:v>381</x:v>
      </x:c>
      <x:c r="H10" s="10" t="n">
        <x:v>31.8</x:v>
      </x:c>
      <x:c r="I10" s="10" t="n">
        <x:v>60</x:v>
      </x:c>
    </x:row>
    <x:row r="11">
      <x:c r="A11" s="9" t="str">
        <x:v>碳酸锂2610</x:v>
      </x:c>
      <x:c r="B11" s="9" t="str">
        <x:v>2026-09-16</x:v>
      </x:c>
      <x:c r="C11" s="10" t="n">
        <x:v>130660</x:v>
      </x:c>
      <x:c r="D11" s="10" t="n">
        <x:v>126200</x:v>
      </x:c>
      <x:c r="E11" s="12" t="n">
        <x:v>4460</x:v>
      </x:c>
      <x:c r="F11" s="9" t="n">
        <x:v>12</x:v>
      </x:c>
      <x:c r="G11" s="10" t="n">
        <x:v>67360</x:v>
      </x:c>
      <x:c r="H11" s="10" t="n">
        <x:v>5613.3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9月14日-9月16日</x:v>
      </x:c>
      <x:c r="C7" s="23" t="n">
        <x:v>7363.42</x:v>
      </x:c>
      <x:c r="D7" s="23" t="n">
        <x:v>7607.89</x:v>
      </x:c>
      <x:c r="E7" s="23" t="n">
        <x:v>7329.6</x:v>
      </x:c>
      <x:c r="F7" s="23" t="n">
        <x:v>7587.43</x:v>
      </x:c>
      <x:c r="G7" s="28" t="n">
        <x:f>ROUND(F7-F6,1)</x:f>
        <x:v>160.2</x:v>
      </x:c>
      <x:c r="H7" s="24" t="n">
        <x:f>IFERROR(F7/F6-1,"")</x:f>
        <x:v>0.021567904093579893</x:v>
      </x:c>
      <x:c r="I7" s="26" t="n">
        <x:f>ROUND(D7-E7,1)</x:f>
        <x:v>278.3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1026.8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342.3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9月14日-9月16日</x:v>
      </x:c>
      <x:c r="C15" s="23" t="n">
        <x:v>7511.04</x:v>
      </x:c>
      <x:c r="D15" s="23" t="n">
        <x:v>7696.47</x:v>
      </x:c>
      <x:c r="E15" s="23" t="n">
        <x:v>7487.46</x:v>
      </x:c>
      <x:c r="F15" s="23" t="n">
        <x:v>7683.47</x:v>
      </x:c>
      <x:c r="G15" s="23" t="n">
        <x:f>ROUND(F15-F14,1)</x:f>
        <x:v>102.9</x:v>
      </x:c>
      <x:c r="H15" s="24" t="n">
        <x:f>IFERROR(F15/F14-1,"")</x:f>
        <x:v>0.013578188361251353</x:v>
      </x:c>
      <x:c r="I15" s="26" t="n">
        <x:f>ROUND(D15-E15,1)</x:f>
        <x:v>209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933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311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9月14日-9月16日</x:v>
      </x:c>
      <x:c r="C23" s="23" t="n">
        <x:v>3867.02</x:v>
      </x:c>
      <x:c r="D23" s="23" t="n">
        <x:v>3895.51</x:v>
      </x:c>
      <x:c r="E23" s="23" t="n">
        <x:v>3842.72</x:v>
      </x:c>
      <x:c r="F23" s="23" t="n">
        <x:v>3891.6</x:v>
      </x:c>
      <x:c r="G23" s="23" t="n">
        <x:f>ROUND(F23-F22,1)</x:f>
        <x:v>3.5</x:v>
      </x:c>
      <x:c r="H23" s="24" t="n">
        <x:f>IFERROR(F23/F22-1,"")</x:f>
        <x:v>0.0008976083495579879</x:v>
      </x:c>
      <x:c r="I23" s="26" t="n">
        <x:f>ROUND(D23-E23,1)</x:f>
        <x:v>52.8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238.9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79.6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9月14日-9月16日</x:v>
      </x:c>
      <x:c r="C31" s="23" t="n">
        <x:v>7312</x:v>
      </x:c>
      <x:c r="D31" s="23" t="n">
        <x:v>7623.6</x:v>
      </x:c>
      <x:c r="E31" s="23" t="n">
        <x:v>7283.4</x:v>
      </x:c>
      <x:c r="F31" s="23" t="n">
        <x:v>7593</x:v>
      </x:c>
      <x:c r="G31" s="28" t="n">
        <x:f>ROUND(F31-F30,1)</x:f>
        <x:v>177.8</x:v>
      </x:c>
      <x:c r="H31" s="24" t="n">
        <x:f>IFERROR(F31/F30-1,"")</x:f>
        <x:v>0.02397777538029988</x:v>
      </x:c>
      <x:c r="I31" s="26" t="n">
        <x:f>ROUND(D31-E31,1)</x:f>
        <x:v>340.2</x:v>
      </x:c>
      <x:c r="J31" s="22" t="str">
        <x:v>IM2609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1084.4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361.5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9月14日-9月16日</x:v>
      </x:c>
      <x:c r="C39" s="23" t="n">
        <x:v>7482.2</x:v>
      </x:c>
      <x:c r="D39" s="23" t="n">
        <x:v>7710</x:v>
      </x:c>
      <x:c r="E39" s="23" t="n">
        <x:v>7452.2</x:v>
      </x:c>
      <x:c r="F39" s="23" t="n">
        <x:v>7689.6</x:v>
      </x:c>
      <x:c r="G39" s="23" t="n">
        <x:f>ROUND(F39-F38,1)</x:f>
        <x:v>120.6</x:v>
      </x:c>
      <x:c r="H39" s="24" t="n">
        <x:f>IFERROR(F39/F38-1,"")</x:f>
        <x:v>0.015933412604042907</x:v>
      </x:c>
      <x:c r="I39" s="26" t="n">
        <x:f>ROUND(D39-E39,1)</x:f>
        <x:v>257.8</x:v>
      </x:c>
      <x:c r="J39" s="22" t="str">
        <x:v>IC2609</x:v>
      </x:c>
      <x:c r="K39" s="22" t="n">
        <x:v>3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991.2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330.4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9月14日-9月16日</x:v>
      </x:c>
      <x:c r="C47" s="23" t="n">
        <x:v>4468</x:v>
      </x:c>
      <x:c r="D47" s="23" t="n">
        <x:v>4500.6</x:v>
      </x:c>
      <x:c r="E47" s="23" t="n">
        <x:v>4412.2</x:v>
      </x:c>
      <x:c r="F47" s="23" t="n">
        <x:v>4478</x:v>
      </x:c>
      <x:c r="G47" s="23" t="n">
        <x:f>ROUND(F47-F46,1)</x:f>
        <x:v>-25.4</x:v>
      </x:c>
      <x:c r="H47" s="24" t="n">
        <x:f>IFERROR(F47/F46-1,"")</x:f>
        <x:v>-0.005640182972864838</x:v>
      </x:c>
      <x:c r="I47" s="23" t="n">
        <x:f>ROUND(D47-E47,1)</x:f>
        <x:v>88.4</x:v>
      </x:c>
      <x:c r="J47" s="22" t="str">
        <x:v>IF2609</x:v>
      </x:c>
      <x:c r="K47" s="22" t="n">
        <x:v>3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341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113.7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9月14日-9月16日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2865</x:v>
      </x:c>
      <x:c r="G55" s="23" t="n">
        <x:f>ROUND(F55-F54,1)</x:f>
        <x:v>-2</x:v>
      </x:c>
      <x:c r="H55" s="24" t="n">
        <x:f>IFERROR(F55/F54-1,"")</x:f>
        <x:v>-0.0006975933031042603</x:v>
      </x:c>
      <x:c r="I55" s="23" t="n">
        <x:f>ROUND(D55-E55,1)</x:f>
        <x:v>43.8</x:v>
      </x:c>
      <x:c r="J55" s="22" t="str">
        <x:v>IH2609</x:v>
      </x:c>
      <x:c r="K55" s="22" t="n">
        <x:v>3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206.4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68.8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159280</x:v>
      </x:c>
      <x:c r="D61" s="23" t="n">
        <x:v>161280</x:v>
      </x:c>
      <x:c r="E61" s="23" t="n">
        <x:v>140220</x:v>
      </x:c>
      <x:c r="F61" s="23" t="n">
        <x:v>142000</x:v>
      </x:c>
      <x:c r="G61" s="23"/>
      <x:c r="H61" s="24"/>
      <x:c r="I61" s="26" t="n">
        <x:f>ROUND(D61-E61,1)</x:f>
        <x:v>21060</x:v>
      </x:c>
      <x:c r="J61" s="22" t="str">
        <x:v>LC2610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141000</x:v>
      </x:c>
      <x:c r="D62" s="23" t="n">
        <x:v>143540</x:v>
      </x:c>
      <x:c r="E62" s="23" t="n">
        <x:v>127120</x:v>
      </x:c>
      <x:c r="F62" s="23" t="n">
        <x:v>134340</x:v>
      </x:c>
      <x:c r="G62" s="28" t="n">
        <x:f>ROUND(F62-F61,1)</x:f>
        <x:v>-7660</x:v>
      </x:c>
      <x:c r="H62" s="24" t="n">
        <x:f>IFERROR(F62/F61-1,"")</x:f>
        <x:v>-0.05394366197183098</x:v>
      </x:c>
      <x:c r="I62" s="26" t="n">
        <x:f>ROUND(D62-E62,1)</x:f>
        <x:v>16420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9月14日-9月16日</x:v>
      </x:c>
      <x:c r="C63" s="23" t="n">
        <x:v>133600</x:v>
      </x:c>
      <x:c r="D63" s="23" t="n">
        <x:v>134840</x:v>
      </x:c>
      <x:c r="E63" s="23" t="n">
        <x:v>126200</x:v>
      </x:c>
      <x:c r="F63" s="23" t="n">
        <x:v>127460</x:v>
      </x:c>
      <x:c r="G63" s="28" t="n">
        <x:f>ROUND(F63-F62,1)</x:f>
        <x:v>-6880</x:v>
      </x:c>
      <x:c r="H63" s="24" t="n">
        <x:f>IFERROR(F63/F62-1,"")</x:f>
        <x:v>-0.051213339288372794</x:v>
      </x:c>
      <x:c r="I63" s="26" t="n">
        <x:f>ROUND(D63-E63,1)</x:f>
        <x:v>8640</x:v>
      </x:c>
      <x:c r="J63" s="22" t="str">
        <x:v>LC2610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46120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15373.3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1687.3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140.6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1502.0999999999997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125.2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433.29999999999995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36.1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1888.6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157.4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1774.3999999999999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147.9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648.9999999999999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54.1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381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31.8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67360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5613.3</x:v>
      </x:c>
      <x:c r="K19" s="30"/>
    </x:row>
  </x:sheetData>
  <x:mergeCells>
    <x:mergeCell ref="A1:K1"/>
  </x:mergeCells>
  <x:pageMargins left="0.7" right="0.7" top="0.75" bottom="0.75" header="0.3" footer="0.3"/>
</x:worksheet>
</file>