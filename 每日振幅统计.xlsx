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84c99d6d8241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a8ff22e8dc94244"/>
    <x:sheet xmlns:r="http://schemas.openxmlformats.org/officeDocument/2006/relationships" name="周振幅统计" sheetId="2" r:id="R0cf001af684548fc"/>
    <x:sheet xmlns:r="http://schemas.openxmlformats.org/officeDocument/2006/relationships" name="中证1000" sheetId="3" r:id="R3e93012ee91347d1"/>
    <x:sheet xmlns:r="http://schemas.openxmlformats.org/officeDocument/2006/relationships" name="中证500" sheetId="4" r:id="Rb539a8b5a9424e5b"/>
    <x:sheet xmlns:r="http://schemas.openxmlformats.org/officeDocument/2006/relationships" name="上证指数" sheetId="5" r:id="Rb3e515278ddd487d"/>
    <x:sheet xmlns:r="http://schemas.openxmlformats.org/officeDocument/2006/relationships" name="IM主力" sheetId="6" r:id="R5f97c2299580417e"/>
    <x:sheet xmlns:r="http://schemas.openxmlformats.org/officeDocument/2006/relationships" name="IC主力" sheetId="7" r:id="Ra1897964a0c44123"/>
    <x:sheet xmlns:r="http://schemas.openxmlformats.org/officeDocument/2006/relationships" name="IF主力" sheetId="8" r:id="R4dc47a7850184cbd"/>
    <x:sheet xmlns:r="http://schemas.openxmlformats.org/officeDocument/2006/relationships" name="IH主力" sheetId="9" r:id="R3b2f575769984c12"/>
    <x:sheet xmlns:r="http://schemas.openxmlformats.org/officeDocument/2006/relationships" name="碳酸锂2609" sheetId="10" r:id="Rf6655e10dca74c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0ae0b0c14e4a70" /><Relationship Type="http://schemas.openxmlformats.org/officeDocument/2006/relationships/theme" Target="/xl/theme/theme1.xml" Id="R6071f3856435413f" /><Relationship Type="http://schemas.openxmlformats.org/officeDocument/2006/relationships/sharedStrings" Target="/xl/sharedStrings.xml" Id="Rc3f6340c494749da" /><Relationship Type="http://schemas.openxmlformats.org/officeDocument/2006/relationships/worksheet" Target="/xl/worksheets/sheet1.xml" Id="R9a8ff22e8dc94244" /><Relationship Type="http://schemas.openxmlformats.org/officeDocument/2006/relationships/worksheet" Target="/xl/worksheets/sheet2.xml" Id="R0cf001af684548fc" /><Relationship Type="http://schemas.openxmlformats.org/officeDocument/2006/relationships/worksheet" Target="/xl/worksheets/sheet3.xml" Id="R3e93012ee91347d1" /><Relationship Type="http://schemas.openxmlformats.org/officeDocument/2006/relationships/worksheet" Target="/xl/worksheets/sheet4.xml" Id="Rb539a8b5a9424e5b" /><Relationship Type="http://schemas.openxmlformats.org/officeDocument/2006/relationships/worksheet" Target="/xl/worksheets/sheet5.xml" Id="Rb3e515278ddd487d" /><Relationship Type="http://schemas.openxmlformats.org/officeDocument/2006/relationships/worksheet" Target="/xl/worksheets/sheet6.xml" Id="R5f97c2299580417e" /><Relationship Type="http://schemas.openxmlformats.org/officeDocument/2006/relationships/worksheet" Target="/xl/worksheets/sheet7.xml" Id="Ra1897964a0c44123" /><Relationship Type="http://schemas.openxmlformats.org/officeDocument/2006/relationships/worksheet" Target="/xl/worksheets/sheet8.xml" Id="R4dc47a7850184cbd" /><Relationship Type="http://schemas.openxmlformats.org/officeDocument/2006/relationships/worksheet" Target="/xl/worksheets/sheet9.xml" Id="R3b2f575769984c12" /><Relationship Type="http://schemas.openxmlformats.org/officeDocument/2006/relationships/worksheet" Target="/xl/worksheets/sheet10.xml" Id="Rf6655e10dca74c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2026-08-12</x:v>
      </x:c>
      <x:c r="C4" s="10" t="n">
        <x:v>7805.27</x:v>
      </x:c>
      <x:c r="D4" s="10" t="n">
        <x:v>7692.44</x:v>
      </x:c>
      <x:c r="E4" s="12" t="n">
        <x:v>112.8</x:v>
      </x:c>
      <x:c r="F4" s="9" t="n">
        <x:v>8</x:v>
      </x:c>
      <x:c r="G4" s="10" t="n">
        <x:v>1291.6</x:v>
      </x:c>
      <x:c r="H4" s="10" t="n">
        <x:v>161.5</x:v>
      </x:c>
      <x:c r="I4" s="10" t="n">
        <x:v>180</x:v>
      </x:c>
    </x:row>
    <x:row r="5">
      <x:c r="A5" s="9" t="str">
        <x:v>中证500</x:v>
      </x:c>
      <x:c r="B5" s="9" t="str">
        <x:v>2026-08-12</x:v>
      </x:c>
      <x:c r="C5" s="10" t="n">
        <x:v>8067.53</x:v>
      </x:c>
      <x:c r="D5" s="10" t="n">
        <x:v>7961.83</x:v>
      </x:c>
      <x:c r="E5" s="12" t="n">
        <x:v>105.7</x:v>
      </x:c>
      <x:c r="F5" s="9" t="n">
        <x:v>8</x:v>
      </x:c>
      <x:c r="G5" s="10" t="n">
        <x:v>1296.8</x:v>
      </x:c>
      <x:c r="H5" s="10" t="n">
        <x:v>162.1</x:v>
      </x:c>
      <x:c r="I5" s="10" t="n">
        <x:v>160</x:v>
      </x:c>
    </x:row>
    <x:row r="6">
      <x:c r="A6" s="9" t="str">
        <x:v>上证指数</x:v>
      </x:c>
      <x:c r="B6" s="9" t="str">
        <x:v>2026-08-12</x:v>
      </x:c>
      <x:c r="C6" s="10" t="n">
        <x:v>3950.62</x:v>
      </x:c>
      <x:c r="D6" s="10" t="n">
        <x:v>3927.55</x:v>
      </x:c>
      <x:c r="E6" s="12" t="n">
        <x:v>23.1</x:v>
      </x:c>
      <x:c r="F6" s="9" t="n">
        <x:v>8</x:v>
      </x:c>
      <x:c r="G6" s="10" t="n">
        <x:v>312.7</x:v>
      </x:c>
      <x:c r="H6" s="10" t="n">
        <x:v>39.1</x:v>
      </x:c>
      <x:c r="I6" s="10" t="n">
        <x:v>50</x:v>
      </x:c>
    </x:row>
    <x:row r="7">
      <x:c r="A7" s="9" t="str">
        <x:v>IM主力</x:v>
      </x:c>
      <x:c r="B7" s="9" t="str">
        <x:v>2026-08-12</x:v>
      </x:c>
      <x:c r="C7" s="10" t="n">
        <x:v>7712.8</x:v>
      </x:c>
      <x:c r="D7" s="10" t="n">
        <x:v>7600</x:v>
      </x:c>
      <x:c r="E7" s="12" t="n">
        <x:v>112.8</x:v>
      </x:c>
      <x:c r="F7" s="9" t="n">
        <x:v>8</x:v>
      </x:c>
      <x:c r="G7" s="10" t="n">
        <x:v>1278.6</x:v>
      </x:c>
      <x:c r="H7" s="10" t="n">
        <x:v>159.8</x:v>
      </x:c>
      <x:c r="I7" s="10" t="n">
        <x:v>190</x:v>
      </x:c>
    </x:row>
    <x:row r="8">
      <x:c r="A8" s="9" t="str">
        <x:v>IC主力</x:v>
      </x:c>
      <x:c r="B8" s="9" t="str">
        <x:v>2026-08-12</x:v>
      </x:c>
      <x:c r="C8" s="10" t="n">
        <x:v>7971.8</x:v>
      </x:c>
      <x:c r="D8" s="10" t="n">
        <x:v>7859</x:v>
      </x:c>
      <x:c r="E8" s="12" t="n">
        <x:v>112.8</x:v>
      </x:c>
      <x:c r="F8" s="9" t="n">
        <x:v>8</x:v>
      </x:c>
      <x:c r="G8" s="10" t="n">
        <x:v>1297.8</x:v>
      </x:c>
      <x:c r="H8" s="10" t="n">
        <x:v>162.2</x:v>
      </x:c>
      <x:c r="I8" s="10" t="n">
        <x:v>150</x:v>
      </x:c>
    </x:row>
    <x:row r="9">
      <x:c r="A9" s="9" t="str">
        <x:v>IF主力</x:v>
      </x:c>
      <x:c r="B9" s="9" t="str">
        <x:v>2026-08-12</x:v>
      </x:c>
      <x:c r="C9" s="10" t="n">
        <x:v>4657.2</x:v>
      </x:c>
      <x:c r="D9" s="10" t="n">
        <x:v>4616.8</x:v>
      </x:c>
      <x:c r="E9" s="12" t="n">
        <x:v>40.4</x:v>
      </x:c>
      <x:c r="F9" s="9" t="n">
        <x:v>8</x:v>
      </x:c>
      <x:c r="G9" s="10" t="n">
        <x:v>468.6</x:v>
      </x:c>
      <x:c r="H9" s="10" t="n">
        <x:v>58.6</x:v>
      </x:c>
      <x:c r="I9" s="10" t="n">
        <x:v>90</x:v>
      </x:c>
    </x:row>
    <x:row r="10">
      <x:c r="A10" s="9" t="str">
        <x:v>IH主力</x:v>
      </x:c>
      <x:c r="B10" s="9" t="str">
        <x:v>2026-08-12</x:v>
      </x:c>
      <x:c r="C10" s="10" t="n">
        <x:v>2917.8</x:v>
      </x:c>
      <x:c r="D10" s="10" t="n">
        <x:v>2902</x:v>
      </x:c>
      <x:c r="E10" s="12" t="n">
        <x:v>15.8</x:v>
      </x:c>
      <x:c r="F10" s="9" t="n">
        <x:v>8</x:v>
      </x:c>
      <x:c r="G10" s="10" t="n">
        <x:v>262.6</x:v>
      </x:c>
      <x:c r="H10" s="10" t="n">
        <x:v>32.8</x:v>
      </x:c>
      <x:c r="I10" s="10" t="n">
        <x:v>60</x:v>
      </x:c>
    </x:row>
    <x:row r="11">
      <x:c r="A11" s="9" t="str">
        <x:v>碳酸锂2609</x:v>
      </x:c>
      <x:c r="B11" s="9" t="str">
        <x:v>2026-08-12</x:v>
      </x:c>
      <x:c r="C11" s="10" t="n">
        <x:v>150880</x:v>
      </x:c>
      <x:c r="D11" s="10" t="n">
        <x:v>146060</x:v>
      </x:c>
      <x:c r="E11" s="12" t="n">
        <x:v>4820</x:v>
      </x:c>
      <x:c r="F11" s="9" t="n">
        <x:v>8</x:v>
      </x:c>
      <x:c r="G11" s="10" t="n">
        <x:v>40200</x:v>
      </x:c>
      <x:c r="H11" s="10" t="n">
        <x:v>5025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8月10日-8月12日</x:v>
      </x:c>
      <x:c r="C6" s="23" t="n">
        <x:v>7723.38</x:v>
      </x:c>
      <x:c r="D6" s="23" t="n">
        <x:v>7805.27</x:v>
      </x:c>
      <x:c r="E6" s="23" t="n">
        <x:v>7621.65</x:v>
      </x:c>
      <x:c r="F6" s="23" t="n">
        <x:v>7793.72</x:v>
      </x:c>
      <x:c r="G6" s="23" t="n">
        <x:f>ROUND(F6-F5,1)</x:f>
        <x:v>114.2</x:v>
      </x:c>
      <x:c r="H6" s="24" t="n">
        <x:f>IFERROR(F6/F5-1,"")</x:f>
        <x:v>0.014869399559608532</x:v>
      </x:c>
      <x:c r="I6" s="26" t="n">
        <x:f>ROUND(D6-E6,1)</x:f>
        <x:v>183.6</x:v>
      </x:c>
      <x:c r="J6" s="22" t="str">
        <x:v>中证1000</x:v>
      </x:c>
      <x:c r="K6" s="22" t="n">
        <x:v>3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826.3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413.2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8月10日-8月12日</x:v>
      </x:c>
      <x:c r="C13" s="23" t="n">
        <x:v>8003.92</x:v>
      </x:c>
      <x:c r="D13" s="23" t="n">
        <x:v>8078.36</x:v>
      </x:c>
      <x:c r="E13" s="23" t="n">
        <x:v>7910.84</x:v>
      </x:c>
      <x:c r="F13" s="23" t="n">
        <x:v>8045.31</x:v>
      </x:c>
      <x:c r="G13" s="23" t="n">
        <x:f>ROUND(F13-F12,1)</x:f>
        <x:v>65.2</x:v>
      </x:c>
      <x:c r="H13" s="24" t="n">
        <x:f>IFERROR(F13/F12-1,"")</x:f>
        <x:v>0.00816905008947244</x:v>
      </x:c>
      <x:c r="I13" s="26" t="n">
        <x:f>ROUND(D13-E13,1)</x:f>
        <x:v>167.5</x:v>
      </x:c>
      <x:c r="J13" s="22" t="str">
        <x:v>中证500</x:v>
      </x:c>
      <x:c r="K13" s="22" t="n">
        <x:v>3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752.7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376.4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8月10日-8月12日</x:v>
      </x:c>
      <x:c r="C20" s="23" t="n">
        <x:v>3943.82</x:v>
      </x:c>
      <x:c r="D20" s="23" t="n">
        <x:v>3967.59</x:v>
      </x:c>
      <x:c r="E20" s="23" t="n">
        <x:v>3927.55</x:v>
      </x:c>
      <x:c r="F20" s="23" t="n">
        <x:v>3946.68</x:v>
      </x:c>
      <x:c r="G20" s="23" t="n">
        <x:f>ROUND(F20-F19,1)</x:f>
        <x:v>6.6</x:v>
      </x:c>
      <x:c r="H20" s="24" t="n">
        <x:f>IFERROR(F20/F19-1,"")</x:f>
        <x:v>0.001685262078557459</x:v>
      </x:c>
      <x:c r="I20" s="23" t="n">
        <x:f>ROUND(D20-E20,1)</x:f>
        <x:v>40</x:v>
      </x:c>
      <x:c r="J20" s="22" t="str">
        <x:v>上证指数</x:v>
      </x:c>
      <x:c r="K20" s="22" t="n">
        <x:v>3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183.3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91.7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8月10日-8月12日</x:v>
      </x:c>
      <x:c r="C27" s="23" t="n">
        <x:v>7628.8</x:v>
      </x:c>
      <x:c r="D27" s="23" t="n">
        <x:v>7712.8</x:v>
      </x:c>
      <x:c r="E27" s="23" t="n">
        <x:v>7525</x:v>
      </x:c>
      <x:c r="F27" s="23" t="n">
        <x:v>7677.4</x:v>
      </x:c>
      <x:c r="G27" s="23" t="n">
        <x:f>ROUND(F27-F26,1)</x:f>
        <x:v>86.8</x:v>
      </x:c>
      <x:c r="H27" s="24" t="n">
        <x:f>IFERROR(F27/F26-1,"")</x:f>
        <x:v>0.011435196163676054</x:v>
      </x:c>
      <x:c r="I27" s="23" t="n">
        <x:f>ROUND(D27-E27,1)</x:f>
        <x:v>187.8</x:v>
      </x:c>
      <x:c r="J27" s="22" t="str">
        <x:v>IM2609</x:v>
      </x:c>
      <x:c r="K27" s="22" t="n">
        <x:v>3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806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403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2" t="n">
        <x:v>2</x:v>
      </x:c>
      <x:c r="B34" s="22" t="str">
        <x:v>8月10日-8月12日</x:v>
      </x:c>
      <x:c r="C34" s="23" t="n">
        <x:v>7888</x:v>
      </x:c>
      <x:c r="D34" s="23" t="n">
        <x:v>7971.8</x:v>
      </x:c>
      <x:c r="E34" s="23" t="n">
        <x:v>7795.8</x:v>
      </x:c>
      <x:c r="F34" s="23" t="n">
        <x:v>7914.2</x:v>
      </x:c>
      <x:c r="G34" s="23" t="n">
        <x:f>ROUND(F34-F33,1)</x:f>
        <x:v>36.4</x:v>
      </x:c>
      <x:c r="H34" s="24" t="n">
        <x:f>IFERROR(F34/F33-1,"")</x:f>
        <x:v>0.004620579349564613</x:v>
      </x:c>
      <x:c r="I34" s="26" t="n">
        <x:f>ROUND(D34-E34,1)</x:f>
        <x:v>176</x:v>
      </x:c>
      <x:c r="J34" s="22" t="str">
        <x:v>IC2609</x:v>
      </x:c>
      <x:c r="K34" s="22" t="n">
        <x:v>3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723.6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361.8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4526.4</x:v>
      </x:c>
      <x:c r="D40" s="23" t="n">
        <x:v>4656.2</x:v>
      </x:c>
      <x:c r="E40" s="23" t="n">
        <x:v>4494.2</x:v>
      </x:c>
      <x:c r="F40" s="23" t="n">
        <x:v>4645.6</x:v>
      </x:c>
      <x:c r="G40" s="23"/>
      <x:c r="H40" s="24"/>
      <x:c r="I40" s="26" t="n">
        <x:f>ROUND(D40-E40,1)</x:f>
        <x:v>162</x:v>
      </x:c>
      <x:c r="J40" s="22" t="str">
        <x:v>IF2609</x:v>
      </x:c>
      <x:c r="K40" s="22" t="n">
        <x:v>5</x:v>
      </x:c>
    </x:row>
    <x:row r="41">
      <x:c r="A41" s="22" t="n">
        <x:v>2</x:v>
      </x:c>
      <x:c r="B41" s="22" t="str">
        <x:v>8月10日-8月12日</x:v>
      </x:c>
      <x:c r="C41" s="23" t="n">
        <x:v>4656.8</x:v>
      </x:c>
      <x:c r="D41" s="23" t="n">
        <x:v>4665</x:v>
      </x:c>
      <x:c r="E41" s="23" t="n">
        <x:v>4611</x:v>
      </x:c>
      <x:c r="F41" s="23" t="n">
        <x:v>4641</x:v>
      </x:c>
      <x:c r="G41" s="23" t="n">
        <x:f>ROUND(F41-F40,1)</x:f>
        <x:v>-4.6</x:v>
      </x:c>
      <x:c r="H41" s="24" t="n">
        <x:f>IFERROR(F41/F40-1,"")</x:f>
        <x:v>-0.0009901842603754485</x:v>
      </x:c>
      <x:c r="I41" s="23" t="n">
        <x:f>ROUND(D41-E41,1)</x:f>
        <x:v>54</x:v>
      </x:c>
      <x:c r="J41" s="22" t="str">
        <x:v>IF2609</x:v>
      </x:c>
      <x:c r="K41" s="22" t="n">
        <x:v>3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216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108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2882.4</x:v>
      </x:c>
      <x:c r="D47" s="23" t="n">
        <x:v>2930.6</x:v>
      </x:c>
      <x:c r="E47" s="23" t="n">
        <x:v>2845.8</x:v>
      </x:c>
      <x:c r="F47" s="23" t="n">
        <x:v>2930</x:v>
      </x:c>
      <x:c r="G47" s="23"/>
      <x:c r="H47" s="24"/>
      <x:c r="I47" s="26" t="n">
        <x:f>ROUND(D47-E47,1)</x:f>
        <x:v>84.8</x:v>
      </x:c>
      <x:c r="J47" s="22" t="str">
        <x:v>IH2609</x:v>
      </x:c>
      <x:c r="K47" s="22" t="n">
        <x:v>5</x:v>
      </x:c>
    </x:row>
    <x:row r="48">
      <x:c r="A48" s="22" t="n">
        <x:v>2</x:v>
      </x:c>
      <x:c r="B48" s="22" t="str">
        <x:v>8月10日-8月12日</x:v>
      </x:c>
      <x:c r="C48" s="23" t="n">
        <x:v>2930</x:v>
      </x:c>
      <x:c r="D48" s="23" t="n">
        <x:v>2949.6</x:v>
      </x:c>
      <x:c r="E48" s="23" t="n">
        <x:v>2902</x:v>
      </x:c>
      <x:c r="F48" s="23" t="n">
        <x:v>2910</x:v>
      </x:c>
      <x:c r="G48" s="23" t="n">
        <x:f>ROUND(F48-F47,1)</x:f>
        <x:v>-20</x:v>
      </x:c>
      <x:c r="H48" s="24" t="n">
        <x:f>IFERROR(F48/F47-1,"")</x:f>
        <x:v>-0.0068259385665528916</x:v>
      </x:c>
      <x:c r="I48" s="23" t="n">
        <x:f>ROUND(D48-E48,1)</x:f>
        <x:v>47.6</x:v>
      </x:c>
      <x:c r="J48" s="22" t="str">
        <x:v>IH2609</x:v>
      </x:c>
      <x:c r="K48" s="22" t="n">
        <x:v>3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132.4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66.2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8月3日-8月7日</x:v>
      </x:c>
      <x:c r="C54" s="23" t="n">
        <x:v>137500</x:v>
      </x:c>
      <x:c r="D54" s="23" t="n">
        <x:v>144800</x:v>
      </x:c>
      <x:c r="E54" s="23" t="n">
        <x:v>135560</x:v>
      </x:c>
      <x:c r="F54" s="23" t="n">
        <x:v>140000</x:v>
      </x:c>
      <x:c r="G54" s="23"/>
      <x:c r="H54" s="24"/>
      <x:c r="I54" s="26" t="n">
        <x:f>ROUND(D54-E54,1)</x:f>
        <x:v>9240</x:v>
      </x:c>
      <x:c r="J54" s="22" t="str">
        <x:v>LC2609</x:v>
      </x:c>
      <x:c r="K54" s="22" t="n">
        <x:v>5</x:v>
      </x:c>
    </x:row>
    <x:row r="55">
      <x:c r="A55" s="22" t="n">
        <x:v>2</x:v>
      </x:c>
      <x:c r="B55" s="22" t="str">
        <x:v>8月10日-8月12日</x:v>
      </x:c>
      <x:c r="C55" s="23" t="n">
        <x:v>140500</x:v>
      </x:c>
      <x:c r="D55" s="23" t="n">
        <x:v>150880</x:v>
      </x:c>
      <x:c r="E55" s="23" t="n">
        <x:v>139280</x:v>
      </x:c>
      <x:c r="F55" s="23" t="n">
        <x:v>149700</x:v>
      </x:c>
      <x:c r="G55" s="34" t="n">
        <x:f>ROUND(F55-F54,1)</x:f>
        <x:v>9700</x:v>
      </x:c>
      <x:c r="H55" s="24" t="n">
        <x:f>IFERROR(F55/F54-1,"")</x:f>
        <x:v>0.0692857142857144</x:v>
      </x:c>
      <x:c r="I55" s="26" t="n">
        <x:f>ROUND(D55-E55,1)</x:f>
        <x:v>11600</x:v>
      </x:c>
      <x:c r="J55" s="22" t="str">
        <x:v>LC2609</x:v>
      </x:c>
      <x:c r="K55" s="22" t="n">
        <x:v>3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20840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10420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4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4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1291.6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161.5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4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4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4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1296.8000000000002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162.1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312.70000000000005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39.1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4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4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1278.6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159.8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4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4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1297.8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162.2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468.6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58.6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262.6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32.8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4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4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4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4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4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34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34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34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40200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5025</x:v>
      </x:c>
      <x:c r="K15" s="28"/>
    </x:row>
  </x:sheetData>
  <x:mergeCells>
    <x:mergeCell ref="A1:K1"/>
  </x:mergeCells>
  <x:pageMargins left="0.7" right="0.7" top="0.75" bottom="0.75" header="0.3" footer="0.3"/>
</x:worksheet>
</file>