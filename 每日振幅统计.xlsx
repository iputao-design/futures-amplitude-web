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725c567dea544d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37e217b39da94260"/>
    <x:sheet xmlns:r="http://schemas.openxmlformats.org/officeDocument/2006/relationships" name="周振幅统计" sheetId="2" r:id="R5239e188f9e8483f"/>
    <x:sheet xmlns:r="http://schemas.openxmlformats.org/officeDocument/2006/relationships" name="中证1000" sheetId="3" r:id="R71658e28c3dd4ff8"/>
    <x:sheet xmlns:r="http://schemas.openxmlformats.org/officeDocument/2006/relationships" name="中证500" sheetId="4" r:id="Re4e73ae44ed34db5"/>
    <x:sheet xmlns:r="http://schemas.openxmlformats.org/officeDocument/2006/relationships" name="上证指数" sheetId="5" r:id="Re6d214f3b9c345b6"/>
    <x:sheet xmlns:r="http://schemas.openxmlformats.org/officeDocument/2006/relationships" name="IM主力" sheetId="6" r:id="Rb2984efd1d524edd"/>
    <x:sheet xmlns:r="http://schemas.openxmlformats.org/officeDocument/2006/relationships" name="IC主力" sheetId="7" r:id="Rd60ae79767674939"/>
    <x:sheet xmlns:r="http://schemas.openxmlformats.org/officeDocument/2006/relationships" name="IF主力" sheetId="8" r:id="R6e33dce0b8834083"/>
    <x:sheet xmlns:r="http://schemas.openxmlformats.org/officeDocument/2006/relationships" name="IH主力" sheetId="9" r:id="R9b2dfe13664c4c63"/>
    <x:sheet xmlns:r="http://schemas.openxmlformats.org/officeDocument/2006/relationships" name="碳酸锂2609" sheetId="10" r:id="R7c99fe8ab28b494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0" fontId="2" fillId="0" borderId="1" xfId="0" applyNumberFormat="1" applyFont="1" applyFill="1" applyBorder="1"/>
    <x:xf numFmtId="200" fontId="9" fillId="6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16c57d325324864" /><Relationship Type="http://schemas.openxmlformats.org/officeDocument/2006/relationships/theme" Target="/xl/theme/theme1.xml" Id="R8a99c65d12f24620" /><Relationship Type="http://schemas.openxmlformats.org/officeDocument/2006/relationships/sharedStrings" Target="/xl/sharedStrings.xml" Id="Ra7c68716ea8843c6" /><Relationship Type="http://schemas.openxmlformats.org/officeDocument/2006/relationships/worksheet" Target="/xl/worksheets/sheet1.xml" Id="R37e217b39da94260" /><Relationship Type="http://schemas.openxmlformats.org/officeDocument/2006/relationships/worksheet" Target="/xl/worksheets/sheet2.xml" Id="R5239e188f9e8483f" /><Relationship Type="http://schemas.openxmlformats.org/officeDocument/2006/relationships/worksheet" Target="/xl/worksheets/sheet3.xml" Id="R71658e28c3dd4ff8" /><Relationship Type="http://schemas.openxmlformats.org/officeDocument/2006/relationships/worksheet" Target="/xl/worksheets/sheet4.xml" Id="Re4e73ae44ed34db5" /><Relationship Type="http://schemas.openxmlformats.org/officeDocument/2006/relationships/worksheet" Target="/xl/worksheets/sheet5.xml" Id="Re6d214f3b9c345b6" /><Relationship Type="http://schemas.openxmlformats.org/officeDocument/2006/relationships/worksheet" Target="/xl/worksheets/sheet6.xml" Id="Rb2984efd1d524edd" /><Relationship Type="http://schemas.openxmlformats.org/officeDocument/2006/relationships/worksheet" Target="/xl/worksheets/sheet7.xml" Id="Rd60ae79767674939" /><Relationship Type="http://schemas.openxmlformats.org/officeDocument/2006/relationships/worksheet" Target="/xl/worksheets/sheet8.xml" Id="R6e33dce0b8834083" /><Relationship Type="http://schemas.openxmlformats.org/officeDocument/2006/relationships/worksheet" Target="/xl/worksheets/sheet9.xml" Id="R9b2dfe13664c4c63" /><Relationship Type="http://schemas.openxmlformats.org/officeDocument/2006/relationships/worksheet" Target="/xl/worksheets/sheet10.xml" Id="R7c99fe8ab28b494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2026年8月统计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2026-08-26</x:v>
      </x:c>
      <x:c r="C4" s="10" t="n">
        <x:v>7601.84</x:v>
      </x:c>
      <x:c r="D4" s="10" t="n">
        <x:v>7467.41</x:v>
      </x:c>
      <x:c r="E4" s="12" t="n">
        <x:v>134.4</x:v>
      </x:c>
      <x:c r="F4" s="9" t="n">
        <x:v>18</x:v>
      </x:c>
      <x:c r="G4" s="10" t="n">
        <x:v>3145.4</x:v>
      </x:c>
      <x:c r="H4" s="10" t="n">
        <x:v>174.7</x:v>
      </x:c>
      <x:c r="I4" s="10" t="n">
        <x:v>180</x:v>
      </x:c>
    </x:row>
    <x:row r="5">
      <x:c r="A5" s="9" t="str">
        <x:v>中证500</x:v>
      </x:c>
      <x:c r="B5" s="9" t="str">
        <x:v>2026-08-26</x:v>
      </x:c>
      <x:c r="C5" s="10" t="n">
        <x:v>7833.6</x:v>
      </x:c>
      <x:c r="D5" s="10" t="n">
        <x:v>7699.42</x:v>
      </x:c>
      <x:c r="E5" s="12" t="n">
        <x:v>134.2</x:v>
      </x:c>
      <x:c r="F5" s="9" t="n">
        <x:v>18</x:v>
      </x:c>
      <x:c r="G5" s="10" t="n">
        <x:v>3017.7</x:v>
      </x:c>
      <x:c r="H5" s="10" t="n">
        <x:v>167.6</x:v>
      </x:c>
      <x:c r="I5" s="10" t="n">
        <x:v>160</x:v>
      </x:c>
    </x:row>
    <x:row r="6">
      <x:c r="A6" s="9" t="str">
        <x:v>上证指数</x:v>
      </x:c>
      <x:c r="B6" s="9" t="str">
        <x:v>2026-08-26</x:v>
      </x:c>
      <x:c r="C6" s="10" t="n">
        <x:v>3926.44</x:v>
      </x:c>
      <x:c r="D6" s="10" t="n">
        <x:v>3881.74</x:v>
      </x:c>
      <x:c r="E6" s="12" t="n">
        <x:v>44.7</x:v>
      </x:c>
      <x:c r="F6" s="9" t="n">
        <x:v>18</x:v>
      </x:c>
      <x:c r="G6" s="10" t="n">
        <x:v>774.8</x:v>
      </x:c>
      <x:c r="H6" s="10" t="n">
        <x:v>43</x:v>
      </x:c>
      <x:c r="I6" s="10" t="n">
        <x:v>50</x:v>
      </x:c>
    </x:row>
    <x:row r="7">
      <x:c r="A7" s="9" t="str">
        <x:v>IM主力</x:v>
      </x:c>
      <x:c r="B7" s="9" t="str">
        <x:v>2026-08-26</x:v>
      </x:c>
      <x:c r="C7" s="10" t="n">
        <x:v>7558</x:v>
      </x:c>
      <x:c r="D7" s="10" t="n">
        <x:v>7395</x:v>
      </x:c>
      <x:c r="E7" s="12" t="n">
        <x:v>163</x:v>
      </x:c>
      <x:c r="F7" s="9" t="n">
        <x:v>18</x:v>
      </x:c>
      <x:c r="G7" s="10" t="n">
        <x:v>3108</x:v>
      </x:c>
      <x:c r="H7" s="10" t="n">
        <x:v>172.7</x:v>
      </x:c>
      <x:c r="I7" s="10" t="n">
        <x:v>190</x:v>
      </x:c>
    </x:row>
    <x:row r="8">
      <x:c r="A8" s="9" t="str">
        <x:v>IC主力</x:v>
      </x:c>
      <x:c r="B8" s="9" t="str">
        <x:v>2026-08-26</x:v>
      </x:c>
      <x:c r="C8" s="10" t="n">
        <x:v>7783.2</x:v>
      </x:c>
      <x:c r="D8" s="10" t="n">
        <x:v>7604</x:v>
      </x:c>
      <x:c r="E8" s="12" t="n">
        <x:v>179.2</x:v>
      </x:c>
      <x:c r="F8" s="9" t="n">
        <x:v>18</x:v>
      </x:c>
      <x:c r="G8" s="10" t="n">
        <x:v>3055.6</x:v>
      </x:c>
      <x:c r="H8" s="10" t="n">
        <x:v>169.8</x:v>
      </x:c>
      <x:c r="I8" s="10" t="n">
        <x:v>150</x:v>
      </x:c>
    </x:row>
    <x:row r="9">
      <x:c r="A9" s="9" t="str">
        <x:v>IF主力</x:v>
      </x:c>
      <x:c r="B9" s="9" t="str">
        <x:v>2026-08-26</x:v>
      </x:c>
      <x:c r="C9" s="10" t="n">
        <x:v>4593.6</x:v>
      </x:c>
      <x:c r="D9" s="10" t="n">
        <x:v>4515.6</x:v>
      </x:c>
      <x:c r="E9" s="12" t="n">
        <x:v>78</x:v>
      </x:c>
      <x:c r="F9" s="9" t="n">
        <x:v>18</x:v>
      </x:c>
      <x:c r="G9" s="10" t="n">
        <x:v>1169.2</x:v>
      </x:c>
      <x:c r="H9" s="10" t="n">
        <x:v>65</x:v>
      </x:c>
      <x:c r="I9" s="10" t="n">
        <x:v>90</x:v>
      </x:c>
    </x:row>
    <x:row r="10">
      <x:c r="A10" s="9" t="str">
        <x:v>IH主力</x:v>
      </x:c>
      <x:c r="B10" s="9" t="str">
        <x:v>2026-08-26</x:v>
      </x:c>
      <x:c r="C10" s="10" t="n">
        <x:v>2903.8</x:v>
      </x:c>
      <x:c r="D10" s="10" t="n">
        <x:v>2850</x:v>
      </x:c>
      <x:c r="E10" s="12" t="n">
        <x:v>53.8</x:v>
      </x:c>
      <x:c r="F10" s="9" t="n">
        <x:v>18</x:v>
      </x:c>
      <x:c r="G10" s="10" t="n">
        <x:v>616.2</x:v>
      </x:c>
      <x:c r="H10" s="10" t="n">
        <x:v>34.2</x:v>
      </x:c>
      <x:c r="I10" s="10" t="n">
        <x:v>60</x:v>
      </x:c>
    </x:row>
    <x:row r="11">
      <x:c r="A11" s="9" t="str">
        <x:v>碳酸锂2609</x:v>
      </x:c>
      <x:c r="B11" s="9" t="str">
        <x:v>2026-08-26</x:v>
      </x:c>
      <x:c r="C11" s="10" t="n">
        <x:v>153380</x:v>
      </x:c>
      <x:c r="D11" s="10" t="n">
        <x:v>147000</x:v>
      </x:c>
      <x:c r="E11" s="12" t="n">
        <x:v>6380</x:v>
      </x:c>
      <x:c r="F11" s="9" t="n">
        <x:v>18</x:v>
      </x:c>
      <x:c r="G11" s="10" t="n">
        <x:v>94880</x:v>
      </x:c>
      <x:c r="H11" s="10" t="n">
        <x:v>5271.1</x:v>
      </x:c>
      <x:c r="I11" s="10" t="n">
        <x:v>6000</x:v>
      </x:c>
    </x:row>
    <x:row r="14">
      <x:c r="A14" s="14" t="str">
        <x:v>统计区间</x:v>
      </x:c>
      <x:c r="B14" s="14" t="str">
        <x:v>2026-08-01</x:v>
      </x:c>
      <x:c r="C14" s="14" t="str">
        <x:v>2026-08-26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2026年8月统计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8月3日-8月7日</x:v>
      </x:c>
      <x:c r="C5" s="23" t="n">
        <x:v>7055.27</x:v>
      </x:c>
      <x:c r="D5" s="23" t="n">
        <x:v>7685.57</x:v>
      </x:c>
      <x:c r="E5" s="23" t="n">
        <x:v>7042.89</x:v>
      </x:c>
      <x:c r="F5" s="23" t="n">
        <x:v>7679.53</x:v>
      </x:c>
      <x:c r="G5" s="23"/>
      <x:c r="H5" s="24"/>
      <x:c r="I5" s="26" t="n">
        <x:f>ROUND(D5-E5,1)</x:f>
        <x:v>642.7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8月10日-8月14日</x:v>
      </x:c>
      <x:c r="C6" s="23" t="n">
        <x:v>7723.38</x:v>
      </x:c>
      <x:c r="D6" s="23" t="n">
        <x:v>7880.22</x:v>
      </x:c>
      <x:c r="E6" s="23" t="n">
        <x:v>7621.65</x:v>
      </x:c>
      <x:c r="F6" s="23" t="n">
        <x:v>7769.82</x:v>
      </x:c>
      <x:c r="G6" s="23" t="n">
        <x:f>ROUND(F6-F5,1)</x:f>
        <x:v>90.3</x:v>
      </x:c>
      <x:c r="H6" s="24" t="n">
        <x:f>IFERROR(F6/F5-1,"")</x:f>
        <x:v>0.011757229934644453</x:v>
      </x:c>
      <x:c r="I6" s="26" t="n">
        <x:f>ROUND(D6-E6,1)</x:f>
        <x:v>258.6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8月17日-8月21日</x:v>
      </x:c>
      <x:c r="C7" s="23" t="n">
        <x:v>7797.18</x:v>
      </x:c>
      <x:c r="D7" s="23" t="n">
        <x:v>7995.5</x:v>
      </x:c>
      <x:c r="E7" s="23" t="n">
        <x:v>7472.49</x:v>
      </x:c>
      <x:c r="F7" s="23" t="n">
        <x:v>7601.8</x:v>
      </x:c>
      <x:c r="G7" s="28" t="n">
        <x:f>ROUND(F7-F6,1)</x:f>
        <x:v>-168</x:v>
      </x:c>
      <x:c r="H7" s="24" t="n">
        <x:f>IFERROR(F7/F6-1,"")</x:f>
        <x:v>-0.021624696582417502</x:v>
      </x:c>
      <x:c r="I7" s="26" t="n">
        <x:f>ROUND(D7-E7,1)</x:f>
        <x:v>523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8月24日-8月26日</x:v>
      </x:c>
      <x:c r="C8" s="23" t="n">
        <x:v>7614.89</x:v>
      </x:c>
      <x:c r="D8" s="23" t="n">
        <x:v>7633.34</x:v>
      </x:c>
      <x:c r="E8" s="23" t="n">
        <x:v>7347.95</x:v>
      </x:c>
      <x:c r="F8" s="23" t="n">
        <x:v>7544.67</x:v>
      </x:c>
      <x:c r="G8" s="23" t="n">
        <x:f>ROUND(F8-F7,1)</x:f>
        <x:v>-57.1</x:v>
      </x:c>
      <x:c r="H8" s="24" t="n">
        <x:f>IFERROR(F8/F7-1,"")</x:f>
        <x:v>-0.007515325317687949</x:v>
      </x:c>
      <x:c r="I8" s="26" t="n">
        <x:f>ROUND(D8-E8,1)</x:f>
        <x:v>285.4</x:v>
      </x:c>
      <x:c r="J8" s="22" t="str">
        <x:v>中证1000</x:v>
      </x:c>
      <x:c r="K8" s="22" t="n">
        <x:v>3</x:v>
      </x:c>
    </x:row>
    <x:row r="9">
      <x:c r="A9" s="31" t="str">
        <x:v>合计</x:v>
      </x:c>
      <x:c r="B9" s="30" t="n">
        <x:v>4</x:v>
      </x:c>
      <x:c r="C9" s="30"/>
      <x:c r="D9" s="30"/>
      <x:c r="E9" s="30"/>
      <x:c r="F9" s="30"/>
      <x:c r="G9" s="30"/>
      <x:c r="H9" s="30"/>
      <x:c r="I9" s="32" t="n">
        <x:f>ROUND(SUM(I5:I8),1)</x:f>
        <x:v>1709.7</x:v>
      </x:c>
      <x:c r="J9" s="30"/>
      <x:c r="K9" s="30"/>
    </x:row>
    <x:row r="10">
      <x:c r="A10" s="31" t="str">
        <x:v>均值</x:v>
      </x:c>
      <x:c r="B10" s="30"/>
      <x:c r="C10" s="30"/>
      <x:c r="D10" s="30"/>
      <x:c r="E10" s="30"/>
      <x:c r="F10" s="30"/>
      <x:c r="G10" s="30"/>
      <x:c r="H10" s="30"/>
      <x:c r="I10" s="34" t="n">
        <x:f>ROUND(IFERROR(AVERAGE(I5:I8),0),1)</x:f>
        <x:v>427.4</x:v>
      </x:c>
      <x:c r="J10" s="30"/>
      <x:c r="K10" s="30"/>
    </x:row>
    <x:row r="12">
      <x:c r="A12" s="17" t="str">
        <x:v>中证500</x:v>
      </x:c>
      <x:c r="B12" s="17"/>
      <x:c r="C12" s="17"/>
      <x:c r="D12" s="17"/>
      <x:c r="E12" s="17"/>
      <x:c r="F12" s="17"/>
      <x:c r="G12" s="17"/>
      <x:c r="H12" s="17"/>
      <x:c r="I12" s="17"/>
      <x:c r="J12" s="17"/>
      <x:c r="K12" s="17"/>
    </x:row>
    <x:row r="13">
      <x:c r="A13" s="20" t="str">
        <x:v>序号</x:v>
      </x:c>
      <x:c r="B13" s="20" t="str">
        <x:v>周期</x:v>
      </x:c>
      <x:c r="C13" s="20" t="str">
        <x:v>开盘</x:v>
      </x:c>
      <x:c r="D13" s="20" t="str">
        <x:v>高点</x:v>
      </x:c>
      <x:c r="E13" s="20" t="str">
        <x:v>低点</x:v>
      </x:c>
      <x:c r="F13" s="20" t="str">
        <x:v>收盘</x:v>
      </x:c>
      <x:c r="G13" s="20" t="str">
        <x:v>涨跌点数</x:v>
      </x:c>
      <x:c r="H13" s="20" t="str">
        <x:v>涨幅</x:v>
      </x:c>
      <x:c r="I13" s="20" t="str">
        <x:v>振幅</x:v>
      </x:c>
      <x:c r="J13" s="20" t="str">
        <x:v>标的</x:v>
      </x:c>
      <x:c r="K13" s="20" t="str">
        <x:v>交易日</x:v>
      </x:c>
    </x:row>
    <x:row r="14">
      <x:c r="A14" s="22" t="n">
        <x:v>1</x:v>
      </x:c>
      <x:c r="B14" s="22" t="str">
        <x:v>8月3日-8月7日</x:v>
      </x:c>
      <x:c r="C14" s="23" t="n">
        <x:v>7457.12</x:v>
      </x:c>
      <x:c r="D14" s="23" t="n">
        <x:v>7983.17</x:v>
      </x:c>
      <x:c r="E14" s="23" t="n">
        <x:v>7397.94</x:v>
      </x:c>
      <x:c r="F14" s="23" t="n">
        <x:v>7980.12</x:v>
      </x:c>
      <x:c r="G14" s="23"/>
      <x:c r="H14" s="24"/>
      <x:c r="I14" s="26" t="n">
        <x:f>ROUND(D14-E14,1)</x:f>
        <x:v>585.2</x:v>
      </x:c>
      <x:c r="J14" s="22" t="str">
        <x:v>中证500</x:v>
      </x:c>
      <x:c r="K14" s="22" t="n">
        <x:v>5</x:v>
      </x:c>
    </x:row>
    <x:row r="15">
      <x:c r="A15" s="22" t="n">
        <x:v>2</x:v>
      </x:c>
      <x:c r="B15" s="22" t="str">
        <x:v>8月10日-8月14日</x:v>
      </x:c>
      <x:c r="C15" s="23" t="n">
        <x:v>8003.92</x:v>
      </x:c>
      <x:c r="D15" s="23" t="n">
        <x:v>8142.33</x:v>
      </x:c>
      <x:c r="E15" s="23" t="n">
        <x:v>7897.24</x:v>
      </x:c>
      <x:c r="F15" s="23" t="n">
        <x:v>7990.33</x:v>
      </x:c>
      <x:c r="G15" s="23" t="n">
        <x:f>ROUND(F15-F14,1)</x:f>
        <x:v>10.2</x:v>
      </x:c>
      <x:c r="H15" s="24" t="n">
        <x:f>IFERROR(F15/F14-1,"")</x:f>
        <x:v>0.0012794293820144187</x:v>
      </x:c>
      <x:c r="I15" s="26" t="n">
        <x:f>ROUND(D15-E15,1)</x:f>
        <x:v>245.1</x:v>
      </x:c>
      <x:c r="J15" s="22" t="str">
        <x:v>中证500</x:v>
      </x:c>
      <x:c r="K15" s="22" t="n">
        <x:v>5</x:v>
      </x:c>
    </x:row>
    <x:row r="16">
      <x:c r="A16" s="22" t="n">
        <x:v>3</x:v>
      </x:c>
      <x:c r="B16" s="22" t="str">
        <x:v>8月17日-8月21日</x:v>
      </x:c>
      <x:c r="C16" s="23" t="n">
        <x:v>8007.87</x:v>
      </x:c>
      <x:c r="D16" s="23" t="n">
        <x:v>8211.31</x:v>
      </x:c>
      <x:c r="E16" s="23" t="n">
        <x:v>7756.28</x:v>
      </x:c>
      <x:c r="F16" s="23" t="n">
        <x:v>7854.33</x:v>
      </x:c>
      <x:c r="G16" s="23" t="n">
        <x:f>ROUND(F16-F15,1)</x:f>
        <x:v>-136</x:v>
      </x:c>
      <x:c r="H16" s="24" t="n">
        <x:f>IFERROR(F16/F15-1,"")</x:f>
        <x:v>-0.01702057361836118</x:v>
      </x:c>
      <x:c r="I16" s="26" t="n">
        <x:f>ROUND(D16-E16,1)</x:f>
        <x:v>455</x:v>
      </x:c>
      <x:c r="J16" s="22" t="str">
        <x:v>中证500</x:v>
      </x:c>
      <x:c r="K16" s="22" t="n">
        <x:v>5</x:v>
      </x:c>
    </x:row>
    <x:row r="17">
      <x:c r="A17" s="22" t="n">
        <x:v>4</x:v>
      </x:c>
      <x:c r="B17" s="22" t="str">
        <x:v>8月24日-8月26日</x:v>
      </x:c>
      <x:c r="C17" s="23" t="n">
        <x:v>7861.05</x:v>
      </x:c>
      <x:c r="D17" s="23" t="n">
        <x:v>7865.54</x:v>
      </x:c>
      <x:c r="E17" s="23" t="n">
        <x:v>7572.86</x:v>
      </x:c>
      <x:c r="F17" s="23" t="n">
        <x:v>7770.53</x:v>
      </x:c>
      <x:c r="G17" s="23" t="n">
        <x:f>ROUND(F17-F16,1)</x:f>
        <x:v>-83.8</x:v>
      </x:c>
      <x:c r="H17" s="24" t="n">
        <x:f>IFERROR(F17/F16-1,"")</x:f>
        <x:v>-0.010669274145598706</x:v>
      </x:c>
      <x:c r="I17" s="26" t="n">
        <x:f>ROUND(D17-E17,1)</x:f>
        <x:v>292.7</x:v>
      </x:c>
      <x:c r="J17" s="22" t="str">
        <x:v>中证500</x:v>
      </x:c>
      <x:c r="K17" s="22" t="n">
        <x:v>3</x:v>
      </x:c>
    </x:row>
    <x:row r="18">
      <x:c r="A18" s="31" t="str">
        <x:v>合计</x:v>
      </x:c>
      <x:c r="B18" s="30" t="n">
        <x:v>4</x:v>
      </x:c>
      <x:c r="C18" s="30"/>
      <x:c r="D18" s="30"/>
      <x:c r="E18" s="30"/>
      <x:c r="F18" s="30"/>
      <x:c r="G18" s="30"/>
      <x:c r="H18" s="30"/>
      <x:c r="I18" s="32" t="n">
        <x:f>ROUND(SUM(I14:I17),1)</x:f>
        <x:v>1578</x:v>
      </x:c>
      <x:c r="J18" s="30"/>
      <x:c r="K18" s="30"/>
    </x:row>
    <x:row r="19">
      <x:c r="A19" s="31" t="str">
        <x:v>均值</x:v>
      </x:c>
      <x:c r="B19" s="30"/>
      <x:c r="C19" s="30"/>
      <x:c r="D19" s="30"/>
      <x:c r="E19" s="30"/>
      <x:c r="F19" s="30"/>
      <x:c r="G19" s="30"/>
      <x:c r="H19" s="30"/>
      <x:c r="I19" s="34" t="n">
        <x:f>ROUND(IFERROR(AVERAGE(I14:I17),0),1)</x:f>
        <x:v>394.5</x:v>
      </x:c>
      <x:c r="J19" s="30"/>
      <x:c r="K19" s="30"/>
    </x:row>
    <x:row r="21">
      <x:c r="A21" s="17" t="str">
        <x:v>上证指数</x:v>
      </x:c>
      <x:c r="B21" s="17"/>
      <x:c r="C21" s="17"/>
      <x:c r="D21" s="17"/>
      <x:c r="E21" s="17"/>
      <x:c r="F21" s="17"/>
      <x:c r="G21" s="17"/>
      <x:c r="H21" s="17"/>
      <x:c r="I21" s="17"/>
      <x:c r="J21" s="17"/>
      <x:c r="K21" s="17"/>
    </x:row>
    <x:row r="22">
      <x:c r="A22" s="20" t="str">
        <x:v>序号</x:v>
      </x:c>
      <x:c r="B22" s="20" t="str">
        <x:v>周期</x:v>
      </x:c>
      <x:c r="C22" s="20" t="str">
        <x:v>开盘</x:v>
      </x:c>
      <x:c r="D22" s="20" t="str">
        <x:v>高点</x:v>
      </x:c>
      <x:c r="E22" s="20" t="str">
        <x:v>低点</x:v>
      </x:c>
      <x:c r="F22" s="20" t="str">
        <x:v>收盘</x:v>
      </x:c>
      <x:c r="G22" s="20" t="str">
        <x:v>涨跌点数</x:v>
      </x:c>
      <x:c r="H22" s="20" t="str">
        <x:v>涨幅</x:v>
      </x:c>
      <x:c r="I22" s="20" t="str">
        <x:v>振幅</x:v>
      </x:c>
      <x:c r="J22" s="20" t="str">
        <x:v>标的</x:v>
      </x:c>
      <x:c r="K22" s="20" t="str">
        <x:v>交易日</x:v>
      </x:c>
    </x:row>
    <x:row r="23">
      <x:c r="A23" s="22" t="n">
        <x:v>1</x:v>
      </x:c>
      <x:c r="B23" s="22" t="str">
        <x:v>8月3日-8月7日</x:v>
      </x:c>
      <x:c r="C23" s="23" t="n">
        <x:v>3812.61</x:v>
      </x:c>
      <x:c r="D23" s="23" t="n">
        <x:v>3940.93</x:v>
      </x:c>
      <x:c r="E23" s="23" t="n">
        <x:v>3797.64</x:v>
      </x:c>
      <x:c r="F23" s="23" t="n">
        <x:v>3940.04</x:v>
      </x:c>
      <x:c r="G23" s="23"/>
      <x:c r="H23" s="24"/>
      <x:c r="I23" s="26" t="n">
        <x:f>ROUND(D23-E23,1)</x:f>
        <x:v>143.3</x:v>
      </x:c>
      <x:c r="J23" s="22" t="str">
        <x:v>上证指数</x:v>
      </x:c>
      <x:c r="K23" s="22" t="n">
        <x:v>5</x:v>
      </x:c>
    </x:row>
    <x:row r="24">
      <x:c r="A24" s="22" t="n">
        <x:v>2</x:v>
      </x:c>
      <x:c r="B24" s="22" t="str">
        <x:v>8月10日-8月14日</x:v>
      </x:c>
      <x:c r="C24" s="23" t="n">
        <x:v>3943.82</x:v>
      </x:c>
      <x:c r="D24" s="23" t="n">
        <x:v>3968.48</x:v>
      </x:c>
      <x:c r="E24" s="23" t="n">
        <x:v>3903.7</x:v>
      </x:c>
      <x:c r="F24" s="23" t="n">
        <x:v>3927.18</x:v>
      </x:c>
      <x:c r="G24" s="23" t="n">
        <x:f>ROUND(F24-F23,1)</x:f>
        <x:v>-12.9</x:v>
      </x:c>
      <x:c r="H24" s="24" t="n">
        <x:f>IFERROR(F24/F23-1,"")</x:f>
        <x:v>-0.003263926254555849</x:v>
      </x:c>
      <x:c r="I24" s="26" t="n">
        <x:f>ROUND(D24-E24,1)</x:f>
        <x:v>64.8</x:v>
      </x:c>
      <x:c r="J24" s="22" t="str">
        <x:v>上证指数</x:v>
      </x:c>
      <x:c r="K24" s="22" t="n">
        <x:v>5</x:v>
      </x:c>
    </x:row>
    <x:row r="25">
      <x:c r="A25" s="22" t="n">
        <x:v>3</x:v>
      </x:c>
      <x:c r="B25" s="22" t="str">
        <x:v>8月17日-8月21日</x:v>
      </x:c>
      <x:c r="C25" s="23" t="n">
        <x:v>3930.1</x:v>
      </x:c>
      <x:c r="D25" s="23" t="n">
        <x:v>3994.18</x:v>
      </x:c>
      <x:c r="E25" s="23" t="n">
        <x:v>3879.58</x:v>
      </x:c>
      <x:c r="F25" s="23" t="n">
        <x:v>3905.2</x:v>
      </x:c>
      <x:c r="G25" s="23" t="n">
        <x:f>ROUND(F25-F24,1)</x:f>
        <x:v>-22</x:v>
      </x:c>
      <x:c r="H25" s="24" t="n">
        <x:f>IFERROR(F25/F24-1,"")</x:f>
        <x:v>-0.00559689140808417</x:v>
      </x:c>
      <x:c r="I25" s="26" t="n">
        <x:f>ROUND(D25-E25,1)</x:f>
        <x:v>114.6</x:v>
      </x:c>
      <x:c r="J25" s="22" t="str">
        <x:v>上证指数</x:v>
      </x:c>
      <x:c r="K25" s="22" t="n">
        <x:v>5</x:v>
      </x:c>
    </x:row>
    <x:row r="26">
      <x:c r="A26" s="22" t="n">
        <x:v>4</x:v>
      </x:c>
      <x:c r="B26" s="22" t="str">
        <x:v>8月24日-8月26日</x:v>
      </x:c>
      <x:c r="C26" s="23" t="n">
        <x:v>3902.7</x:v>
      </x:c>
      <x:c r="D26" s="23" t="n">
        <x:v>3926.44</x:v>
      </x:c>
      <x:c r="E26" s="23" t="n">
        <x:v>3850.86</x:v>
      </x:c>
      <x:c r="F26" s="23" t="n">
        <x:v>3912.52</x:v>
      </x:c>
      <x:c r="G26" s="23" t="n">
        <x:f>ROUND(F26-F25,1)</x:f>
        <x:v>7.3</x:v>
      </x:c>
      <x:c r="H26" s="24" t="n">
        <x:f>IFERROR(F26/F25-1,"")</x:f>
        <x:v>0.0018744238451295914</x:v>
      </x:c>
      <x:c r="I26" s="26" t="n">
        <x:f>ROUND(D26-E26,1)</x:f>
        <x:v>75.6</x:v>
      </x:c>
      <x:c r="J26" s="22" t="str">
        <x:v>上证指数</x:v>
      </x:c>
      <x:c r="K26" s="22" t="n">
        <x:v>3</x:v>
      </x:c>
    </x:row>
    <x:row r="27">
      <x:c r="A27" s="31" t="str">
        <x:v>合计</x:v>
      </x:c>
      <x:c r="B27" s="30" t="n">
        <x:v>4</x:v>
      </x:c>
      <x:c r="C27" s="30"/>
      <x:c r="D27" s="30"/>
      <x:c r="E27" s="30"/>
      <x:c r="F27" s="30"/>
      <x:c r="G27" s="30"/>
      <x:c r="H27" s="30"/>
      <x:c r="I27" s="32" t="n">
        <x:f>ROUND(SUM(I23:I26),1)</x:f>
        <x:v>398.3</x:v>
      </x:c>
      <x:c r="J27" s="30"/>
      <x:c r="K27" s="30"/>
    </x:row>
    <x:row r="28">
      <x:c r="A28" s="31" t="str">
        <x:v>均值</x:v>
      </x:c>
      <x:c r="B28" s="30"/>
      <x:c r="C28" s="30"/>
      <x:c r="D28" s="30"/>
      <x:c r="E28" s="30"/>
      <x:c r="F28" s="30"/>
      <x:c r="G28" s="30"/>
      <x:c r="H28" s="30"/>
      <x:c r="I28" s="34" t="n">
        <x:f>ROUND(IFERROR(AVERAGE(I23:I26),0),1)</x:f>
        <x:v>99.6</x:v>
      </x:c>
      <x:c r="J28" s="30"/>
      <x:c r="K28" s="30"/>
    </x:row>
    <x:row r="30">
      <x:c r="A30" s="17" t="str">
        <x:v>IM主力</x:v>
      </x:c>
      <x:c r="B30" s="17"/>
      <x:c r="C30" s="17"/>
      <x:c r="D30" s="17"/>
      <x:c r="E30" s="17"/>
      <x:c r="F30" s="17"/>
      <x:c r="G30" s="17"/>
      <x:c r="H30" s="17"/>
      <x:c r="I30" s="17"/>
      <x:c r="J30" s="17"/>
      <x:c r="K30" s="17"/>
    </x:row>
    <x:row r="31">
      <x:c r="A31" s="20" t="str">
        <x:v>序号</x:v>
      </x:c>
      <x:c r="B31" s="20" t="str">
        <x:v>周期</x:v>
      </x:c>
      <x:c r="C31" s="20" t="str">
        <x:v>开盘</x:v>
      </x:c>
      <x:c r="D31" s="20" t="str">
        <x:v>高点</x:v>
      </x:c>
      <x:c r="E31" s="20" t="str">
        <x:v>低点</x:v>
      </x:c>
      <x:c r="F31" s="20" t="str">
        <x:v>收盘</x:v>
      </x:c>
      <x:c r="G31" s="20" t="str">
        <x:v>涨跌点数</x:v>
      </x:c>
      <x:c r="H31" s="20" t="str">
        <x:v>涨幅</x:v>
      </x:c>
      <x:c r="I31" s="20" t="str">
        <x:v>振幅</x:v>
      </x:c>
      <x:c r="J31" s="20" t="str">
        <x:v>标的</x:v>
      </x:c>
      <x:c r="K31" s="20" t="str">
        <x:v>交易日</x:v>
      </x:c>
    </x:row>
    <x:row r="32">
      <x:c r="A32" s="22" t="n">
        <x:v>1</x:v>
      </x:c>
      <x:c r="B32" s="22" t="str">
        <x:v>8月3日-8月7日</x:v>
      </x:c>
      <x:c r="C32" s="23" t="n">
        <x:v>7000</x:v>
      </x:c>
      <x:c r="D32" s="23" t="n">
        <x:v>7594.2</x:v>
      </x:c>
      <x:c r="E32" s="23" t="n">
        <x:v>6976</x:v>
      </x:c>
      <x:c r="F32" s="23" t="n">
        <x:v>7590.6</x:v>
      </x:c>
      <x:c r="G32" s="23"/>
      <x:c r="H32" s="24"/>
      <x:c r="I32" s="26" t="n">
        <x:f>ROUND(D32-E32,1)</x:f>
        <x:v>618.2</x:v>
      </x:c>
      <x:c r="J32" s="22" t="str">
        <x:v>IM2609</x:v>
      </x:c>
      <x:c r="K32" s="22" t="n">
        <x:v>5</x:v>
      </x:c>
    </x:row>
    <x:row r="33">
      <x:c r="A33" s="22" t="n">
        <x:v>2</x:v>
      </x:c>
      <x:c r="B33" s="22" t="str">
        <x:v>8月10日-8月14日</x:v>
      </x:c>
      <x:c r="C33" s="23" t="n">
        <x:v>7628.8</x:v>
      </x:c>
      <x:c r="D33" s="23" t="n">
        <x:v>7776</x:v>
      </x:c>
      <x:c r="E33" s="23" t="n">
        <x:v>7525</x:v>
      </x:c>
      <x:c r="F33" s="23" t="n">
        <x:v>7650.2</x:v>
      </x:c>
      <x:c r="G33" s="23" t="n">
        <x:f>ROUND(F33-F32,1)</x:f>
        <x:v>59.6</x:v>
      </x:c>
      <x:c r="H33" s="24" t="n">
        <x:f>IFERROR(F33/F32-1,"")</x:f>
        <x:v>0.007851816720680693</x:v>
      </x:c>
      <x:c r="I33" s="26" t="n">
        <x:f>ROUND(D33-E33,1)</x:f>
        <x:v>251</x:v>
      </x:c>
      <x:c r="J33" s="22" t="str">
        <x:v>IM2609</x:v>
      </x:c>
      <x:c r="K33" s="22" t="n">
        <x:v>5</x:v>
      </x:c>
    </x:row>
    <x:row r="34">
      <x:c r="A34" s="22" t="n">
        <x:v>3</x:v>
      </x:c>
      <x:c r="B34" s="22" t="str">
        <x:v>8月17日-8月21日</x:v>
      </x:c>
      <x:c r="C34" s="23" t="n">
        <x:v>7675</x:v>
      </x:c>
      <x:c r="D34" s="23" t="n">
        <x:v>7882.8</x:v>
      </x:c>
      <x:c r="E34" s="23" t="n">
        <x:v>7410</x:v>
      </x:c>
      <x:c r="F34" s="23" t="n">
        <x:v>7527</x:v>
      </x:c>
      <x:c r="G34" s="23" t="n">
        <x:f>ROUND(F34-F33,1)</x:f>
        <x:v>-123.2</x:v>
      </x:c>
      <x:c r="H34" s="24" t="n">
        <x:f>IFERROR(F34/F33-1,"")</x:f>
        <x:v>-0.016104154139761073</x:v>
      </x:c>
      <x:c r="I34" s="26" t="n">
        <x:f>ROUND(D34-E34,1)</x:f>
        <x:v>472.8</x:v>
      </x:c>
      <x:c r="J34" s="22" t="str">
        <x:v>IM2609</x:v>
      </x:c>
      <x:c r="K34" s="22" t="n">
        <x:v>5</x:v>
      </x:c>
    </x:row>
    <x:row r="35">
      <x:c r="A35" s="22" t="n">
        <x:v>4</x:v>
      </x:c>
      <x:c r="B35" s="22" t="str">
        <x:v>8月24日-8月26日</x:v>
      </x:c>
      <x:c r="C35" s="23" t="n">
        <x:v>7534.8</x:v>
      </x:c>
      <x:c r="D35" s="23" t="n">
        <x:v>7558</x:v>
      </x:c>
      <x:c r="E35" s="23" t="n">
        <x:v>7300.2</x:v>
      </x:c>
      <x:c r="F35" s="23" t="n">
        <x:v>7491.8</x:v>
      </x:c>
      <x:c r="G35" s="23" t="n">
        <x:f>ROUND(F35-F34,1)</x:f>
        <x:v>-35.2</x:v>
      </x:c>
      <x:c r="H35" s="24" t="n">
        <x:f>IFERROR(F35/F34-1,"")</x:f>
        <x:v>-0.004676497940746649</x:v>
      </x:c>
      <x:c r="I35" s="26" t="n">
        <x:f>ROUND(D35-E35,1)</x:f>
        <x:v>257.8</x:v>
      </x:c>
      <x:c r="J35" s="22" t="str">
        <x:v>IM2609</x:v>
      </x:c>
      <x:c r="K35" s="22" t="n">
        <x:v>3</x:v>
      </x:c>
    </x:row>
    <x:row r="36">
      <x:c r="A36" s="31" t="str">
        <x:v>合计</x:v>
      </x:c>
      <x:c r="B36" s="30" t="n">
        <x:v>4</x:v>
      </x:c>
      <x:c r="C36" s="30"/>
      <x:c r="D36" s="30"/>
      <x:c r="E36" s="30"/>
      <x:c r="F36" s="30"/>
      <x:c r="G36" s="30"/>
      <x:c r="H36" s="30"/>
      <x:c r="I36" s="32" t="n">
        <x:f>ROUND(SUM(I32:I35),1)</x:f>
        <x:v>1599.8</x:v>
      </x:c>
      <x:c r="J36" s="30"/>
      <x:c r="K36" s="30"/>
    </x:row>
    <x:row r="37">
      <x:c r="A37" s="31" t="str">
        <x:v>均值</x:v>
      </x:c>
      <x:c r="B37" s="30"/>
      <x:c r="C37" s="30"/>
      <x:c r="D37" s="30"/>
      <x:c r="E37" s="30"/>
      <x:c r="F37" s="30"/>
      <x:c r="G37" s="30"/>
      <x:c r="H37" s="30"/>
      <x:c r="I37" s="34" t="n">
        <x:f>ROUND(IFERROR(AVERAGE(I32:I35),0),1)</x:f>
        <x:v>400</x:v>
      </x:c>
      <x:c r="J37" s="30"/>
      <x:c r="K37" s="30"/>
    </x:row>
    <x:row r="39">
      <x:c r="A39" s="17" t="str">
        <x:v>IC主力</x:v>
      </x:c>
      <x:c r="B39" s="17"/>
      <x:c r="C39" s="17"/>
      <x:c r="D39" s="17"/>
      <x:c r="E39" s="17"/>
      <x:c r="F39" s="17"/>
      <x:c r="G39" s="17"/>
      <x:c r="H39" s="17"/>
      <x:c r="I39" s="17"/>
      <x:c r="J39" s="17"/>
      <x:c r="K39" s="17"/>
    </x:row>
    <x:row r="40">
      <x:c r="A40" s="20" t="str">
        <x:v>序号</x:v>
      </x:c>
      <x:c r="B40" s="20" t="str">
        <x:v>周期</x:v>
      </x:c>
      <x:c r="C40" s="20" t="str">
        <x:v>开盘</x:v>
      </x:c>
      <x:c r="D40" s="20" t="str">
        <x:v>高点</x:v>
      </x:c>
      <x:c r="E40" s="20" t="str">
        <x:v>低点</x:v>
      </x:c>
      <x:c r="F40" s="20" t="str">
        <x:v>收盘</x:v>
      </x:c>
      <x:c r="G40" s="20" t="str">
        <x:v>涨跌点数</x:v>
      </x:c>
      <x:c r="H40" s="20" t="str">
        <x:v>涨幅</x:v>
      </x:c>
      <x:c r="I40" s="20" t="str">
        <x:v>振幅</x:v>
      </x:c>
      <x:c r="J40" s="20" t="str">
        <x:v>标的</x:v>
      </x:c>
      <x:c r="K40" s="20" t="str">
        <x:v>交易日</x:v>
      </x:c>
    </x:row>
    <x:row r="41">
      <x:c r="A41" s="22" t="n">
        <x:v>1</x:v>
      </x:c>
      <x:c r="B41" s="22" t="str">
        <x:v>8月3日-8月7日</x:v>
      </x:c>
      <x:c r="C41" s="23" t="n">
        <x:v>7391</x:v>
      </x:c>
      <x:c r="D41" s="23" t="n">
        <x:v>7882.6</x:v>
      </x:c>
      <x:c r="E41" s="23" t="n">
        <x:v>7335</x:v>
      </x:c>
      <x:c r="F41" s="23" t="n">
        <x:v>7877.8</x:v>
      </x:c>
      <x:c r="G41" s="23"/>
      <x:c r="H41" s="24"/>
      <x:c r="I41" s="26" t="n">
        <x:f>ROUND(D41-E41,1)</x:f>
        <x:v>547.6</x:v>
      </x:c>
      <x:c r="J41" s="22" t="str">
        <x:v>IC2609</x:v>
      </x:c>
      <x:c r="K41" s="22" t="n">
        <x:v>5</x:v>
      </x:c>
    </x:row>
    <x:row r="42">
      <x:c r="A42" s="22" t="n">
        <x:v>2</x:v>
      </x:c>
      <x:c r="B42" s="22" t="str">
        <x:v>8月10日-8月14日</x:v>
      </x:c>
      <x:c r="C42" s="23" t="n">
        <x:v>7888</x:v>
      </x:c>
      <x:c r="D42" s="23" t="n">
        <x:v>8024</x:v>
      </x:c>
      <x:c r="E42" s="23" t="n">
        <x:v>7795.8</x:v>
      </x:c>
      <x:c r="F42" s="23" t="n">
        <x:v>7861.2</x:v>
      </x:c>
      <x:c r="G42" s="23" t="n">
        <x:f>ROUND(F42-F41,1)</x:f>
        <x:v>-16.6</x:v>
      </x:c>
      <x:c r="H42" s="24" t="n">
        <x:f>IFERROR(F42/F41-1,"")</x:f>
        <x:v>-0.0021071872857905127</x:v>
      </x:c>
      <x:c r="I42" s="26" t="n">
        <x:f>ROUND(D42-E42,1)</x:f>
        <x:v>228.2</x:v>
      </x:c>
      <x:c r="J42" s="22" t="str">
        <x:v>IC2609</x:v>
      </x:c>
      <x:c r="K42" s="22" t="n">
        <x:v>5</x:v>
      </x:c>
    </x:row>
    <x:row r="43">
      <x:c r="A43" s="22" t="n">
        <x:v>3</x:v>
      </x:c>
      <x:c r="B43" s="22" t="str">
        <x:v>8月17日-8月21日</x:v>
      </x:c>
      <x:c r="C43" s="23" t="n">
        <x:v>7885</x:v>
      </x:c>
      <x:c r="D43" s="23" t="n">
        <x:v>8091.8</x:v>
      </x:c>
      <x:c r="E43" s="23" t="n">
        <x:v>7669.6</x:v>
      </x:c>
      <x:c r="F43" s="23" t="n">
        <x:v>7762</x:v>
      </x:c>
      <x:c r="G43" s="23" t="n">
        <x:f>ROUND(F43-F42,1)</x:f>
        <x:v>-99.2</x:v>
      </x:c>
      <x:c r="H43" s="24" t="n">
        <x:f>IFERROR(F43/F42-1,"")</x:f>
        <x:v>-0.012618938584439965</x:v>
      </x:c>
      <x:c r="I43" s="26" t="n">
        <x:f>ROUND(D43-E43,1)</x:f>
        <x:v>422.2</x:v>
      </x:c>
      <x:c r="J43" s="22" t="str">
        <x:v>IC2609</x:v>
      </x:c>
      <x:c r="K43" s="22" t="n">
        <x:v>5</x:v>
      </x:c>
    </x:row>
    <x:row r="44">
      <x:c r="A44" s="22" t="n">
        <x:v>4</x:v>
      </x:c>
      <x:c r="B44" s="22" t="str">
        <x:v>8月24日-8月26日</x:v>
      </x:c>
      <x:c r="C44" s="23" t="n">
        <x:v>7757</x:v>
      </x:c>
      <x:c r="D44" s="23" t="n">
        <x:v>7783.2</x:v>
      </x:c>
      <x:c r="E44" s="23" t="n">
        <x:v>7496</x:v>
      </x:c>
      <x:c r="F44" s="23" t="n">
        <x:v>7708.8</x:v>
      </x:c>
      <x:c r="G44" s="23" t="n">
        <x:f>ROUND(F44-F43,1)</x:f>
        <x:v>-53.2</x:v>
      </x:c>
      <x:c r="H44" s="24" t="n">
        <x:f>IFERROR(F44/F43-1,"")</x:f>
        <x:v>-0.006853903633084246</x:v>
      </x:c>
      <x:c r="I44" s="26" t="n">
        <x:f>ROUND(D44-E44,1)</x:f>
        <x:v>287.2</x:v>
      </x:c>
      <x:c r="J44" s="22" t="str">
        <x:v>IC2609</x:v>
      </x:c>
      <x:c r="K44" s="22" t="n">
        <x:v>3</x:v>
      </x:c>
    </x:row>
    <x:row r="45">
      <x:c r="A45" s="31" t="str">
        <x:v>合计</x:v>
      </x:c>
      <x:c r="B45" s="30" t="n">
        <x:v>4</x:v>
      </x:c>
      <x:c r="C45" s="30"/>
      <x:c r="D45" s="30"/>
      <x:c r="E45" s="30"/>
      <x:c r="F45" s="30"/>
      <x:c r="G45" s="30"/>
      <x:c r="H45" s="30"/>
      <x:c r="I45" s="32" t="n">
        <x:f>ROUND(SUM(I41:I44),1)</x:f>
        <x:v>1485.2</x:v>
      </x:c>
      <x:c r="J45" s="30"/>
      <x:c r="K45" s="30"/>
    </x:row>
    <x:row r="46">
      <x:c r="A46" s="31" t="str">
        <x:v>均值</x:v>
      </x:c>
      <x:c r="B46" s="30"/>
      <x:c r="C46" s="30"/>
      <x:c r="D46" s="30"/>
      <x:c r="E46" s="30"/>
      <x:c r="F46" s="30"/>
      <x:c r="G46" s="30"/>
      <x:c r="H46" s="30"/>
      <x:c r="I46" s="34" t="n">
        <x:f>ROUND(IFERROR(AVERAGE(I41:I44),0),1)</x:f>
        <x:v>371.3</x:v>
      </x:c>
      <x:c r="J46" s="30"/>
      <x:c r="K46" s="30"/>
    </x:row>
    <x:row r="48">
      <x:c r="A48" s="17" t="str">
        <x:v>IF主力</x:v>
      </x:c>
      <x:c r="B48" s="17"/>
      <x:c r="C48" s="17"/>
      <x:c r="D48" s="17"/>
      <x:c r="E48" s="17"/>
      <x:c r="F48" s="17"/>
      <x:c r="G48" s="17"/>
      <x:c r="H48" s="17"/>
      <x:c r="I48" s="17"/>
      <x:c r="J48" s="17"/>
      <x:c r="K48" s="17"/>
    </x:row>
    <x:row r="49">
      <x:c r="A49" s="20" t="str">
        <x:v>序号</x:v>
      </x:c>
      <x:c r="B49" s="20" t="str">
        <x:v>周期</x:v>
      </x:c>
      <x:c r="C49" s="20" t="str">
        <x:v>开盘</x:v>
      </x:c>
      <x:c r="D49" s="20" t="str">
        <x:v>高点</x:v>
      </x:c>
      <x:c r="E49" s="20" t="str">
        <x:v>低点</x:v>
      </x:c>
      <x:c r="F49" s="20" t="str">
        <x:v>收盘</x:v>
      </x:c>
      <x:c r="G49" s="20" t="str">
        <x:v>涨跌点数</x:v>
      </x:c>
      <x:c r="H49" s="20" t="str">
        <x:v>涨幅</x:v>
      </x:c>
      <x:c r="I49" s="20" t="str">
        <x:v>振幅</x:v>
      </x:c>
      <x:c r="J49" s="20" t="str">
        <x:v>标的</x:v>
      </x:c>
      <x:c r="K49" s="20" t="str">
        <x:v>交易日</x:v>
      </x:c>
    </x:row>
    <x:row r="50">
      <x:c r="A50" s="22" t="n">
        <x:v>1</x:v>
      </x:c>
      <x:c r="B50" s="22" t="str">
        <x:v>8月3日-8月7日</x:v>
      </x:c>
      <x:c r="C50" s="23" t="n">
        <x:v>4526.4</x:v>
      </x:c>
      <x:c r="D50" s="23" t="n">
        <x:v>4656.2</x:v>
      </x:c>
      <x:c r="E50" s="23" t="n">
        <x:v>4494.2</x:v>
      </x:c>
      <x:c r="F50" s="23" t="n">
        <x:v>4645.6</x:v>
      </x:c>
      <x:c r="G50" s="23"/>
      <x:c r="H50" s="24"/>
      <x:c r="I50" s="26" t="n">
        <x:f>ROUND(D50-E50,1)</x:f>
        <x:v>162</x:v>
      </x:c>
      <x:c r="J50" s="22" t="str">
        <x:v>IF2609</x:v>
      </x:c>
      <x:c r="K50" s="22" t="n">
        <x:v>5</x:v>
      </x:c>
    </x:row>
    <x:row r="51">
      <x:c r="A51" s="22" t="n">
        <x:v>2</x:v>
      </x:c>
      <x:c r="B51" s="22" t="str">
        <x:v>8月10日-8月14日</x:v>
      </x:c>
      <x:c r="C51" s="23" t="n">
        <x:v>4656.8</x:v>
      </x:c>
      <x:c r="D51" s="23" t="n">
        <x:v>4681</x:v>
      </x:c>
      <x:c r="E51" s="23" t="n">
        <x:v>4598</x:v>
      </x:c>
      <x:c r="F51" s="23" t="n">
        <x:v>4620.4</x:v>
      </x:c>
      <x:c r="G51" s="23" t="n">
        <x:f>ROUND(F51-F50,1)</x:f>
        <x:v>-25.2</x:v>
      </x:c>
      <x:c r="H51" s="24" t="n">
        <x:f>IFERROR(F51/F50-1,"")</x:f>
        <x:v>-0.005424487687274104</x:v>
      </x:c>
      <x:c r="I51" s="23" t="n">
        <x:f>ROUND(D51-E51,1)</x:f>
        <x:v>83</x:v>
      </x:c>
      <x:c r="J51" s="22" t="str">
        <x:v>IF2609</x:v>
      </x:c>
      <x:c r="K51" s="22" t="n">
        <x:v>5</x:v>
      </x:c>
    </x:row>
    <x:row r="52">
      <x:c r="A52" s="22" t="n">
        <x:v>3</x:v>
      </x:c>
      <x:c r="B52" s="22" t="str">
        <x:v>8月17日-8月21日</x:v>
      </x:c>
      <x:c r="C52" s="23" t="n">
        <x:v>4624</x:v>
      </x:c>
      <x:c r="D52" s="23" t="n">
        <x:v>4700.6</x:v>
      </x:c>
      <x:c r="E52" s="23" t="n">
        <x:v>4531.8</x:v>
      </x:c>
      <x:c r="F52" s="23" t="n">
        <x:v>4576</x:v>
      </x:c>
      <x:c r="G52" s="23" t="n">
        <x:f>ROUND(F52-F51,1)</x:f>
        <x:v>-44.4</x:v>
      </x:c>
      <x:c r="H52" s="24" t="n">
        <x:f>IFERROR(F52/F51-1,"")</x:f>
        <x:v>-0.00960955761405935</x:v>
      </x:c>
      <x:c r="I52" s="26" t="n">
        <x:f>ROUND(D52-E52,1)</x:f>
        <x:v>168.8</x:v>
      </x:c>
      <x:c r="J52" s="22" t="str">
        <x:v>IF2609</x:v>
      </x:c>
      <x:c r="K52" s="22" t="n">
        <x:v>5</x:v>
      </x:c>
    </x:row>
    <x:row r="53">
      <x:c r="A53" s="22" t="n">
        <x:v>4</x:v>
      </x:c>
      <x:c r="B53" s="22" t="str">
        <x:v>8月24日-8月26日</x:v>
      </x:c>
      <x:c r="C53" s="23" t="n">
        <x:v>4607.4</x:v>
      </x:c>
      <x:c r="D53" s="23" t="n">
        <x:v>4607.4</x:v>
      </x:c>
      <x:c r="E53" s="23" t="n">
        <x:v>4486.4</x:v>
      </x:c>
      <x:c r="F53" s="23" t="n">
        <x:v>4566.8</x:v>
      </x:c>
      <x:c r="G53" s="23" t="n">
        <x:f>ROUND(F53-F52,1)</x:f>
        <x:v>-9.2</x:v>
      </x:c>
      <x:c r="H53" s="24" t="n">
        <x:f>IFERROR(F53/F52-1,"")</x:f>
        <x:v>-0.0020104895104894327</x:v>
      </x:c>
      <x:c r="I53" s="26" t="n">
        <x:f>ROUND(D53-E53,1)</x:f>
        <x:v>121</x:v>
      </x:c>
      <x:c r="J53" s="22" t="str">
        <x:v>IF2609</x:v>
      </x:c>
      <x:c r="K53" s="22" t="n">
        <x:v>3</x:v>
      </x:c>
    </x:row>
    <x:row r="54">
      <x:c r="A54" s="31" t="str">
        <x:v>合计</x:v>
      </x:c>
      <x:c r="B54" s="30" t="n">
        <x:v>4</x:v>
      </x:c>
      <x:c r="C54" s="30"/>
      <x:c r="D54" s="30"/>
      <x:c r="E54" s="30"/>
      <x:c r="F54" s="30"/>
      <x:c r="G54" s="30"/>
      <x:c r="H54" s="30"/>
      <x:c r="I54" s="32" t="n">
        <x:f>ROUND(SUM(I50:I53),1)</x:f>
        <x:v>534.8</x:v>
      </x:c>
      <x:c r="J54" s="30"/>
      <x:c r="K54" s="30"/>
    </x:row>
    <x:row r="55">
      <x:c r="A55" s="31" t="str">
        <x:v>均值</x:v>
      </x:c>
      <x:c r="B55" s="30"/>
      <x:c r="C55" s="30"/>
      <x:c r="D55" s="30"/>
      <x:c r="E55" s="30"/>
      <x:c r="F55" s="30"/>
      <x:c r="G55" s="30"/>
      <x:c r="H55" s="30"/>
      <x:c r="I55" s="34" t="n">
        <x:f>ROUND(IFERROR(AVERAGE(I50:I53),0),1)</x:f>
        <x:v>133.7</x:v>
      </x:c>
      <x:c r="J55" s="30"/>
      <x:c r="K55" s="30"/>
    </x:row>
    <x:row r="57">
      <x:c r="A57" s="17" t="str">
        <x:v>IH主力</x:v>
      </x:c>
      <x:c r="B57" s="17"/>
      <x:c r="C57" s="17"/>
      <x:c r="D57" s="17"/>
      <x:c r="E57" s="17"/>
      <x:c r="F57" s="17"/>
      <x:c r="G57" s="17"/>
      <x:c r="H57" s="17"/>
      <x:c r="I57" s="17"/>
      <x:c r="J57" s="17"/>
      <x:c r="K57" s="17"/>
    </x:row>
    <x:row r="58">
      <x:c r="A58" s="20" t="str">
        <x:v>序号</x:v>
      </x:c>
      <x:c r="B58" s="20" t="str">
        <x:v>周期</x:v>
      </x:c>
      <x:c r="C58" s="20" t="str">
        <x:v>开盘</x:v>
      </x:c>
      <x:c r="D58" s="20" t="str">
        <x:v>高点</x:v>
      </x:c>
      <x:c r="E58" s="20" t="str">
        <x:v>低点</x:v>
      </x:c>
      <x:c r="F58" s="20" t="str">
        <x:v>收盘</x:v>
      </x:c>
      <x:c r="G58" s="20" t="str">
        <x:v>涨跌点数</x:v>
      </x:c>
      <x:c r="H58" s="20" t="str">
        <x:v>涨幅</x:v>
      </x:c>
      <x:c r="I58" s="20" t="str">
        <x:v>振幅</x:v>
      </x:c>
      <x:c r="J58" s="20" t="str">
        <x:v>标的</x:v>
      </x:c>
      <x:c r="K58" s="20" t="str">
        <x:v>交易日</x:v>
      </x:c>
    </x:row>
    <x:row r="59">
      <x:c r="A59" s="22" t="n">
        <x:v>1</x:v>
      </x:c>
      <x:c r="B59" s="22" t="str">
        <x:v>8月3日-8月7日</x:v>
      </x:c>
      <x:c r="C59" s="23" t="n">
        <x:v>2882.4</x:v>
      </x:c>
      <x:c r="D59" s="23" t="n">
        <x:v>2930.6</x:v>
      </x:c>
      <x:c r="E59" s="23" t="n">
        <x:v>2845.8</x:v>
      </x:c>
      <x:c r="F59" s="23" t="n">
        <x:v>2930</x:v>
      </x:c>
      <x:c r="G59" s="23"/>
      <x:c r="H59" s="24"/>
      <x:c r="I59" s="26" t="n">
        <x:f>ROUND(D59-E59,1)</x:f>
        <x:v>84.8</x:v>
      </x:c>
      <x:c r="J59" s="22" t="str">
        <x:v>IH2609</x:v>
      </x:c>
      <x:c r="K59" s="22" t="n">
        <x:v>5</x:v>
      </x:c>
    </x:row>
    <x:row r="60">
      <x:c r="A60" s="22" t="n">
        <x:v>2</x:v>
      </x:c>
      <x:c r="B60" s="22" t="str">
        <x:v>8月10日-8月14日</x:v>
      </x:c>
      <x:c r="C60" s="23" t="n">
        <x:v>2930</x:v>
      </x:c>
      <x:c r="D60" s="23" t="n">
        <x:v>2949.6</x:v>
      </x:c>
      <x:c r="E60" s="23" t="n">
        <x:v>2877</x:v>
      </x:c>
      <x:c r="F60" s="23" t="n">
        <x:v>2890</x:v>
      </x:c>
      <x:c r="G60" s="23" t="n">
        <x:f>ROUND(F60-F59,1)</x:f>
        <x:v>-40</x:v>
      </x:c>
      <x:c r="H60" s="24" t="n">
        <x:f>IFERROR(F60/F59-1,"")</x:f>
        <x:v>-0.013651877133105783</x:v>
      </x:c>
      <x:c r="I60" s="26" t="n">
        <x:f>ROUND(D60-E60,1)</x:f>
        <x:v>72.6</x:v>
      </x:c>
      <x:c r="J60" s="22" t="str">
        <x:v>IH2609</x:v>
      </x:c>
      <x:c r="K60" s="22" t="n">
        <x:v>5</x:v>
      </x:c>
    </x:row>
    <x:row r="61">
      <x:c r="A61" s="22" t="n">
        <x:v>3</x:v>
      </x:c>
      <x:c r="B61" s="22" t="str">
        <x:v>8月17日-8月21日</x:v>
      </x:c>
      <x:c r="C61" s="23" t="n">
        <x:v>2886</x:v>
      </x:c>
      <x:c r="D61" s="23" t="n">
        <x:v>2921.2</x:v>
      </x:c>
      <x:c r="E61" s="23" t="n">
        <x:v>2843</x:v>
      </x:c>
      <x:c r="F61" s="23" t="n">
        <x:v>2861</x:v>
      </x:c>
      <x:c r="G61" s="23" t="n">
        <x:f>ROUND(F61-F60,1)</x:f>
        <x:v>-29</x:v>
      </x:c>
      <x:c r="H61" s="24" t="n">
        <x:f>IFERROR(F61/F60-1,"")</x:f>
        <x:v>-0.01003460207612461</x:v>
      </x:c>
      <x:c r="I61" s="26" t="n">
        <x:f>ROUND(D61-E61,1)</x:f>
        <x:v>78.2</x:v>
      </x:c>
      <x:c r="J61" s="22" t="str">
        <x:v>IH2609</x:v>
      </x:c>
      <x:c r="K61" s="22" t="n">
        <x:v>5</x:v>
      </x:c>
    </x:row>
    <x:row r="62">
      <x:c r="A62" s="22" t="n">
        <x:v>4</x:v>
      </x:c>
      <x:c r="B62" s="22" t="str">
        <x:v>8月24日-8月26日</x:v>
      </x:c>
      <x:c r="C62" s="23" t="n">
        <x:v>2856.4</x:v>
      </x:c>
      <x:c r="D62" s="23" t="n">
        <x:v>2903.8</x:v>
      </x:c>
      <x:c r="E62" s="23" t="n">
        <x:v>2837.4</x:v>
      </x:c>
      <x:c r="F62" s="23" t="n">
        <x:v>2888.8</x:v>
      </x:c>
      <x:c r="G62" s="23" t="n">
        <x:f>ROUND(F62-F61,1)</x:f>
        <x:v>27.8</x:v>
      </x:c>
      <x:c r="H62" s="24" t="n">
        <x:f>IFERROR(F62/F61-1,"")</x:f>
        <x:v>0.009716882209017896</x:v>
      </x:c>
      <x:c r="I62" s="26" t="n">
        <x:f>ROUND(D62-E62,1)</x:f>
        <x:v>66.4</x:v>
      </x:c>
      <x:c r="J62" s="22" t="str">
        <x:v>IH2609</x:v>
      </x:c>
      <x:c r="K62" s="22" t="n">
        <x:v>3</x:v>
      </x:c>
    </x:row>
    <x:row r="63">
      <x:c r="A63" s="31" t="str">
        <x:v>合计</x:v>
      </x:c>
      <x:c r="B63" s="30" t="n">
        <x:v>4</x:v>
      </x:c>
      <x:c r="C63" s="30"/>
      <x:c r="D63" s="30"/>
      <x:c r="E63" s="30"/>
      <x:c r="F63" s="30"/>
      <x:c r="G63" s="30"/>
      <x:c r="H63" s="30"/>
      <x:c r="I63" s="32" t="n">
        <x:f>ROUND(SUM(I59:I62),1)</x:f>
        <x:v>302</x:v>
      </x:c>
      <x:c r="J63" s="30"/>
      <x:c r="K63" s="30"/>
    </x:row>
    <x:row r="64">
      <x:c r="A64" s="31" t="str">
        <x:v>均值</x:v>
      </x:c>
      <x:c r="B64" s="30"/>
      <x:c r="C64" s="30"/>
      <x:c r="D64" s="30"/>
      <x:c r="E64" s="30"/>
      <x:c r="F64" s="30"/>
      <x:c r="G64" s="30"/>
      <x:c r="H64" s="30"/>
      <x:c r="I64" s="34" t="n">
        <x:f>ROUND(IFERROR(AVERAGE(I59:I62),0),1)</x:f>
        <x:v>75.5</x:v>
      </x:c>
      <x:c r="J64" s="30"/>
      <x:c r="K64" s="30"/>
    </x:row>
    <x:row r="66">
      <x:c r="A66" s="17" t="str">
        <x:v>碳酸锂2609</x:v>
      </x:c>
      <x:c r="B66" s="17"/>
      <x:c r="C66" s="17"/>
      <x:c r="D66" s="17"/>
      <x:c r="E66" s="17"/>
      <x:c r="F66" s="17"/>
      <x:c r="G66" s="17"/>
      <x:c r="H66" s="17"/>
      <x:c r="I66" s="17"/>
      <x:c r="J66" s="17"/>
      <x:c r="K66" s="17"/>
    </x:row>
    <x:row r="67">
      <x:c r="A67" s="20" t="str">
        <x:v>序号</x:v>
      </x:c>
      <x:c r="B67" s="20" t="str">
        <x:v>周期</x:v>
      </x:c>
      <x:c r="C67" s="20" t="str">
        <x:v>开盘</x:v>
      </x:c>
      <x:c r="D67" s="20" t="str">
        <x:v>高点</x:v>
      </x:c>
      <x:c r="E67" s="20" t="str">
        <x:v>低点</x:v>
      </x:c>
      <x:c r="F67" s="20" t="str">
        <x:v>收盘</x:v>
      </x:c>
      <x:c r="G67" s="20" t="str">
        <x:v>涨跌点数</x:v>
      </x:c>
      <x:c r="H67" s="20" t="str">
        <x:v>涨幅</x:v>
      </x:c>
      <x:c r="I67" s="20" t="str">
        <x:v>振幅</x:v>
      </x:c>
      <x:c r="J67" s="20" t="str">
        <x:v>标的</x:v>
      </x:c>
      <x:c r="K67" s="20" t="str">
        <x:v>交易日</x:v>
      </x:c>
    </x:row>
    <x:row r="68">
      <x:c r="A68" s="22" t="n">
        <x:v>1</x:v>
      </x:c>
      <x:c r="B68" s="22" t="str">
        <x:v>8月3日-8月7日</x:v>
      </x:c>
      <x:c r="C68" s="23" t="n">
        <x:v>137500</x:v>
      </x:c>
      <x:c r="D68" s="23" t="n">
        <x:v>144800</x:v>
      </x:c>
      <x:c r="E68" s="23" t="n">
        <x:v>135560</x:v>
      </x:c>
      <x:c r="F68" s="23" t="n">
        <x:v>140000</x:v>
      </x:c>
      <x:c r="G68" s="23"/>
      <x:c r="H68" s="24"/>
      <x:c r="I68" s="26" t="n">
        <x:f>ROUND(D68-E68,1)</x:f>
        <x:v>9240</x:v>
      </x:c>
      <x:c r="J68" s="22" t="str">
        <x:v>LC2609</x:v>
      </x:c>
      <x:c r="K68" s="22" t="n">
        <x:v>5</x:v>
      </x:c>
    </x:row>
    <x:row r="69">
      <x:c r="A69" s="22" t="n">
        <x:v>2</x:v>
      </x:c>
      <x:c r="B69" s="22" t="str">
        <x:v>8月10日-8月14日</x:v>
      </x:c>
      <x:c r="C69" s="23" t="n">
        <x:v>140500</x:v>
      </x:c>
      <x:c r="D69" s="23" t="n">
        <x:v>154500</x:v>
      </x:c>
      <x:c r="E69" s="23" t="n">
        <x:v>139280</x:v>
      </x:c>
      <x:c r="F69" s="23" t="n">
        <x:v>153940</x:v>
      </x:c>
      <x:c r="G69" s="28" t="n">
        <x:f>ROUND(F69-F68,1)</x:f>
        <x:v>13940</x:v>
      </x:c>
      <x:c r="H69" s="24" t="n">
        <x:f>IFERROR(F69/F68-1,"")</x:f>
        <x:v>0.09957142857142864</x:v>
      </x:c>
      <x:c r="I69" s="26" t="n">
        <x:f>ROUND(D69-E69,1)</x:f>
        <x:v>15220</x:v>
      </x:c>
      <x:c r="J69" s="22" t="str">
        <x:v>LC2609</x:v>
      </x:c>
      <x:c r="K69" s="22" t="n">
        <x:v>5</x:v>
      </x:c>
    </x:row>
    <x:row r="70">
      <x:c r="A70" s="22" t="n">
        <x:v>3</x:v>
      </x:c>
      <x:c r="B70" s="22" t="str">
        <x:v>8月17日-8月21日</x:v>
      </x:c>
      <x:c r="C70" s="23" t="n">
        <x:v>154300</x:v>
      </x:c>
      <x:c r="D70" s="23" t="n">
        <x:v>157000</x:v>
      </x:c>
      <x:c r="E70" s="23" t="n">
        <x:v>148400</x:v>
      </x:c>
      <x:c r="F70" s="23" t="n">
        <x:v>156140</x:v>
      </x:c>
      <x:c r="G70" s="28" t="n">
        <x:f>ROUND(F70-F69,1)</x:f>
        <x:v>2200</x:v>
      </x:c>
      <x:c r="H70" s="24" t="n">
        <x:f>IFERROR(F70/F69-1,"")</x:f>
        <x:v>0.014291282317786091</x:v>
      </x:c>
      <x:c r="I70" s="26" t="n">
        <x:f>ROUND(D70-E70,1)</x:f>
        <x:v>8600</x:v>
      </x:c>
      <x:c r="J70" s="22" t="str">
        <x:v>LC2609</x:v>
      </x:c>
      <x:c r="K70" s="22" t="n">
        <x:v>5</x:v>
      </x:c>
    </x:row>
    <x:row r="71">
      <x:c r="A71" s="22" t="n">
        <x:v>4</x:v>
      </x:c>
      <x:c r="B71" s="22" t="str">
        <x:v>8月24日-8月26日</x:v>
      </x:c>
      <x:c r="C71" s="23" t="n">
        <x:v>158500</x:v>
      </x:c>
      <x:c r="D71" s="23" t="n">
        <x:v>160000</x:v>
      </x:c>
      <x:c r="E71" s="23" t="n">
        <x:v>147000</x:v>
      </x:c>
      <x:c r="F71" s="23" t="n">
        <x:v>150580</x:v>
      </x:c>
      <x:c r="G71" s="28" t="n">
        <x:f>ROUND(F71-F70,1)</x:f>
        <x:v>-5560</x:v>
      </x:c>
      <x:c r="H71" s="24" t="n">
        <x:f>IFERROR(F71/F70-1,"")</x:f>
        <x:v>-0.03560906878442427</x:v>
      </x:c>
      <x:c r="I71" s="26" t="n">
        <x:f>ROUND(D71-E71,1)</x:f>
        <x:v>13000</x:v>
      </x:c>
      <x:c r="J71" s="22" t="str">
        <x:v>LC2609</x:v>
      </x:c>
      <x:c r="K71" s="22" t="n">
        <x:v>3</x:v>
      </x:c>
    </x:row>
    <x:row r="72">
      <x:c r="A72" s="31" t="str">
        <x:v>合计</x:v>
      </x:c>
      <x:c r="B72" s="30" t="n">
        <x:v>4</x:v>
      </x:c>
      <x:c r="C72" s="30"/>
      <x:c r="D72" s="30"/>
      <x:c r="E72" s="30"/>
      <x:c r="F72" s="30"/>
      <x:c r="G72" s="30"/>
      <x:c r="H72" s="30"/>
      <x:c r="I72" s="32" t="n">
        <x:f>ROUND(SUM(I68:I71),1)</x:f>
        <x:v>46060</x:v>
      </x:c>
      <x:c r="J72" s="30"/>
      <x:c r="K72" s="30"/>
    </x:row>
    <x:row r="73">
      <x:c r="A73" s="31" t="str">
        <x:v>均值</x:v>
      </x:c>
      <x:c r="B73" s="30"/>
      <x:c r="C73" s="30"/>
      <x:c r="D73" s="30"/>
      <x:c r="E73" s="30"/>
      <x:c r="F73" s="30"/>
      <x:c r="G73" s="30"/>
      <x:c r="H73" s="30"/>
      <x:c r="I73" s="34" t="n">
        <x:f>ROUND(IFERROR(AVERAGE(I68:I71),0),1)</x:f>
        <x:v>11515</x:v>
      </x:c>
      <x:c r="J73" s="30"/>
      <x:c r="K73" s="30"/>
    </x:row>
  </x:sheetData>
  <x:mergeCells>
    <x:mergeCell ref="A1:K1"/>
    <x:mergeCell ref="A3:K3"/>
    <x:mergeCell ref="A12:K12"/>
    <x:mergeCell ref="A21:K21"/>
    <x:mergeCell ref="A30:K30"/>
    <x:mergeCell ref="A39:K39"/>
    <x:mergeCell ref="A48:K48"/>
    <x:mergeCell ref="A57:K57"/>
    <x:mergeCell ref="A66:K6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7055.27</x:v>
      </x:c>
      <x:c r="E4" s="23" t="n">
        <x:v>7118.1</x:v>
      </x:c>
      <x:c r="F4" s="23" t="n">
        <x:v>7042.89</x:v>
      </x:c>
      <x:c r="G4" s="23" t="n">
        <x:v>7079.78</x:v>
      </x:c>
      <x:c r="H4" s="23" t="n">
        <x:v>4.3</x:v>
      </x:c>
      <x:c r="I4" s="24" t="n">
        <x:v>0.0006034900664404486</x:v>
      </x:c>
      <x:c r="J4" s="23" t="n">
        <x:f>ROUND(E4-F4,1)</x:f>
        <x:v>75.2</x:v>
      </x:c>
      <x:c r="K4" s="22" t="str">
        <x:v>中证1000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7128.49</x:v>
      </x:c>
      <x:c r="E5" s="23" t="n">
        <x:v>7307.17</x:v>
      </x:c>
      <x:c r="F5" s="23" t="n">
        <x:v>7102.46</x:v>
      </x:c>
      <x:c r="G5" s="23" t="n">
        <x:v>7279.19</x:v>
      </x:c>
      <x:c r="H5" s="28" t="n">
        <x:v>199.4</x:v>
      </x:c>
      <x:c r="I5" s="24" t="n">
        <x:v>0.028166129456000055</x:v>
      </x:c>
      <x:c r="J5" s="26" t="n">
        <x:f>ROUND(E5-F5,1)</x:f>
        <x:v>204.7</x:v>
      </x:c>
      <x:c r="K5" s="22" t="str">
        <x:v>中证1000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7253.22</x:v>
      </x:c>
      <x:c r="E6" s="23" t="n">
        <x:v>7523.5</x:v>
      </x:c>
      <x:c r="F6" s="23" t="n">
        <x:v>7253.22</x:v>
      </x:c>
      <x:c r="G6" s="23" t="n">
        <x:v>7493.05</x:v>
      </x:c>
      <x:c r="H6" s="28" t="n">
        <x:v>213.9</x:v>
      </x:c>
      <x:c r="I6" s="24" t="n">
        <x:v>0.02937964251517</x:v>
      </x:c>
      <x:c r="J6" s="26" t="n">
        <x:f>ROUND(E6-F6,1)</x:f>
        <x:v>270.3</x:v>
      </x:c>
      <x:c r="K6" s="22" t="str">
        <x:v>中证1000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7440.01</x:v>
      </x:c>
      <x:c r="E7" s="23" t="n">
        <x:v>7564.69</x:v>
      </x:c>
      <x:c r="F7" s="23" t="n">
        <x:v>7434.49</x:v>
      </x:c>
      <x:c r="G7" s="23" t="n">
        <x:v>7530.43</x:v>
      </x:c>
      <x:c r="H7" s="23" t="n">
        <x:v>37.4</x:v>
      </x:c>
      <x:c r="I7" s="24" t="n">
        <x:v>0.004988622790452535</x:v>
      </x:c>
      <x:c r="J7" s="23" t="n">
        <x:f>ROUND(E7-F7,1)</x:f>
        <x:v>130.2</x:v>
      </x:c>
      <x:c r="K7" s="22" t="str">
        <x:v>中证1000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7534.24</x:v>
      </x:c>
      <x:c r="E8" s="23" t="n">
        <x:v>7685.57</x:v>
      </x:c>
      <x:c r="F8" s="23" t="n">
        <x:v>7448.46</x:v>
      </x:c>
      <x:c r="G8" s="23" t="n">
        <x:v>7679.53</x:v>
      </x:c>
      <x:c r="H8" s="23" t="n">
        <x:v>149.1</x:v>
      </x:c>
      <x:c r="I8" s="24" t="n">
        <x:v>0.019799666154522333</x:v>
      </x:c>
      <x:c r="J8" s="26" t="n">
        <x:f>ROUND(E8-F8,1)</x:f>
        <x:v>237.1</x:v>
      </x:c>
      <x:c r="K8" s="22" t="str">
        <x:v>中证1000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7723.38</x:v>
      </x:c>
      <x:c r="E9" s="23" t="n">
        <x:v>7736.1</x:v>
      </x:c>
      <x:c r="F9" s="23" t="n">
        <x:v>7621.65</x:v>
      </x:c>
      <x:c r="G9" s="23" t="n">
        <x:v>7733.9</x:v>
      </x:c>
      <x:c r="H9" s="23" t="n">
        <x:v>54.4</x:v>
      </x:c>
      <x:c r="I9" s="24" t="n">
        <x:v>0.00707986035603736</x:v>
      </x:c>
      <x:c r="J9" s="23" t="n">
        <x:f>ROUND(E9-F9,1)</x:f>
        <x:v>114.5</x:v>
      </x:c>
      <x:c r="K9" s="22" t="str">
        <x:v>中证1000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7686.04</x:v>
      </x:c>
      <x:c r="E10" s="23" t="n">
        <x:v>7789.21</x:v>
      </x:c>
      <x:c r="F10" s="23" t="n">
        <x:v>7642.44</x:v>
      </x:c>
      <x:c r="G10" s="23" t="n">
        <x:v>7698.05</x:v>
      </x:c>
      <x:c r="H10" s="23" t="n">
        <x:v>-35.8</x:v>
      </x:c>
      <x:c r="I10" s="24" t="n">
        <x:v>-0.004635436196485543</x:v>
      </x:c>
      <x:c r="J10" s="23" t="n">
        <x:f>ROUND(E10-F10,1)</x:f>
        <x:v>146.8</x:v>
      </x:c>
      <x:c r="K10" s="22" t="str">
        <x:v>中证1000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7704.96</x:v>
      </x:c>
      <x:c r="E11" s="23" t="n">
        <x:v>7805.27</x:v>
      </x:c>
      <x:c r="F11" s="23" t="n">
        <x:v>7692.44</x:v>
      </x:c>
      <x:c r="G11" s="23" t="n">
        <x:v>7793.72</x:v>
      </x:c>
      <x:c r="H11" s="23" t="n">
        <x:v>95.7</x:v>
      </x:c>
      <x:c r="I11" s="24" t="n">
        <x:v>0.012427822630406427</x:v>
      </x:c>
      <x:c r="J11" s="23" t="n">
        <x:f>ROUND(E11-F11,1)</x:f>
        <x:v>112.8</x:v>
      </x:c>
      <x:c r="K11" s="22" t="str">
        <x:v>中证1000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7847.24</x:v>
      </x:c>
      <x:c r="E12" s="23" t="n">
        <x:v>7880.22</x:v>
      </x:c>
      <x:c r="F12" s="23" t="n">
        <x:v>7714.37</x:v>
      </x:c>
      <x:c r="G12" s="23" t="n">
        <x:v>7715.89</x:v>
      </x:c>
      <x:c r="H12" s="23" t="n">
        <x:v>-77.8</x:v>
      </x:c>
      <x:c r="I12" s="24" t="n">
        <x:v>-0.009986245335988464</x:v>
      </x:c>
      <x:c r="J12" s="23" t="n">
        <x:f>ROUND(E12-F12,1)</x:f>
        <x:v>165.9</x:v>
      </x:c>
      <x:c r="K12" s="22" t="str">
        <x:v>中证1000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7750.99</x:v>
      </x:c>
      <x:c r="E13" s="23" t="n">
        <x:v>7784.38</x:v>
      </x:c>
      <x:c r="F13" s="23" t="n">
        <x:v>7673.44</x:v>
      </x:c>
      <x:c r="G13" s="23" t="n">
        <x:v>7769.82</x:v>
      </x:c>
      <x:c r="H13" s="23" t="n">
        <x:v>53.9</x:v>
      </x:c>
      <x:c r="I13" s="24" t="n">
        <x:v>0.0069894723745413945</x:v>
      </x:c>
      <x:c r="J13" s="23" t="n">
        <x:f>ROUND(E13-F13,1)</x:f>
        <x:v>110.9</x:v>
      </x:c>
      <x:c r="K13" s="22" t="str">
        <x:v>中证1000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7797.18</x:v>
      </x:c>
      <x:c r="E14" s="23" t="n">
        <x:v>7968.38</x:v>
      </x:c>
      <x:c r="F14" s="23" t="n">
        <x:v>7750.43</x:v>
      </x:c>
      <x:c r="G14" s="23" t="n">
        <x:v>7968.38</x:v>
      </x:c>
      <x:c r="H14" s="28" t="n">
        <x:v>198.6</x:v>
      </x:c>
      <x:c r="I14" s="24" t="n">
        <x:v>0.02555528956912778</x:v>
      </x:c>
      <x:c r="J14" s="26" t="n">
        <x:f>ROUND(E14-F14,1)</x:f>
        <x:v>217.9</x:v>
      </x:c>
      <x:c r="K14" s="22" t="str">
        <x:v>中证1000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7969.37</x:v>
      </x:c>
      <x:c r="E15" s="23" t="n">
        <x:v>7995.5</x:v>
      </x:c>
      <x:c r="F15" s="23" t="n">
        <x:v>7842.25</x:v>
      </x:c>
      <x:c r="G15" s="23" t="n">
        <x:v>7945.96</x:v>
      </x:c>
      <x:c r="H15" s="23" t="n">
        <x:v>-22.4</x:v>
      </x:c>
      <x:c r="I15" s="24" t="n">
        <x:v>-0.0028136208363557236</x:v>
      </x:c>
      <x:c r="J15" s="23" t="n">
        <x:f>ROUND(E15-F15,1)</x:f>
        <x:v>153.3</x:v>
      </x:c>
      <x:c r="K15" s="22" t="str">
        <x:v>中证1000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7795.26</x:v>
      </x:c>
      <x:c r="E16" s="23" t="n">
        <x:v>7821.18</x:v>
      </x:c>
      <x:c r="F16" s="23" t="n">
        <x:v>7490.21</x:v>
      </x:c>
      <x:c r="G16" s="23" t="n">
        <x:v>7517.77</x:v>
      </x:c>
      <x:c r="H16" s="28" t="n">
        <x:v>-428.2</x:v>
      </x:c>
      <x:c r="I16" s="24" t="n">
        <x:v>-0.0538877618311695</x:v>
      </x:c>
      <x:c r="J16" s="26" t="n">
        <x:f>ROUND(E16-F16,1)</x:f>
        <x:v>331</x:v>
      </x:c>
      <x:c r="K16" s="22" t="str">
        <x:v>中证1000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7602.5</x:v>
      </x:c>
      <x:c r="E17" s="23" t="n">
        <x:v>7656.61</x:v>
      </x:c>
      <x:c r="F17" s="23" t="n">
        <x:v>7541.48</x:v>
      </x:c>
      <x:c r="G17" s="23" t="n">
        <x:v>7589.78</x:v>
      </x:c>
      <x:c r="H17" s="23" t="n">
        <x:v>72</x:v>
      </x:c>
      <x:c r="I17" s="24" t="n">
        <x:v>0.009578638346211532</x:v>
      </x:c>
      <x:c r="J17" s="23" t="n">
        <x:f>ROUND(E17-F17,1)</x:f>
        <x:v>115.1</x:v>
      </x:c>
      <x:c r="K17" s="22" t="str">
        <x:v>中证1000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7555.55</x:v>
      </x:c>
      <x:c r="E18" s="42" t="n">
        <x:v>7634.08</x:v>
      </x:c>
      <x:c r="F18" s="42" t="n">
        <x:v>7472.49</x:v>
      </x:c>
      <x:c r="G18" s="42" t="n">
        <x:v>7601.8</x:v>
      </x:c>
      <x:c r="H18" s="42" t="n">
        <x:v>12</x:v>
      </x:c>
      <x:c r="I18" s="43" t="n">
        <x:v>0.0015837086186951677</x:v>
      </x:c>
      <x:c r="J18" s="42" t="n">
        <x:f>ROUND(E18-F18,1)</x:f>
        <x:v>161.6</x:v>
      </x:c>
      <x:c r="K18" s="41" t="str">
        <x:v>中证1000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7614.89</x:v>
      </x:c>
      <x:c r="E19" s="23" t="n">
        <x:v>7633.34</x:v>
      </x:c>
      <x:c r="F19" s="23" t="n">
        <x:v>7377.72</x:v>
      </x:c>
      <x:c r="G19" s="23" t="n">
        <x:v>7491.49</x:v>
      </x:c>
      <x:c r="H19" s="23" t="n">
        <x:v>-110.3</x:v>
      </x:c>
      <x:c r="I19" s="24" t="n">
        <x:v>-0.014511036859691129</x:v>
      </x:c>
      <x:c r="J19" s="26" t="n">
        <x:f>ROUND(E19-F19,1)</x:f>
        <x:v>255.6</x:v>
      </x:c>
      <x:c r="K19" s="22" t="str">
        <x:v>中证1000</x:v>
      </x:c>
    </x:row>
    <x:row r="20">
      <x:c r="A20" s="22" t="n">
        <x:v>17</x:v>
      </x:c>
      <x:c r="B20" s="22" t="str">
        <x:v>周二</x:v>
      </x:c>
      <x:c r="C20" s="22" t="str">
        <x:v>8月25日</x:v>
      </x:c>
      <x:c r="D20" s="23" t="n">
        <x:v>7420.77</x:v>
      </x:c>
      <x:c r="E20" s="23" t="n">
        <x:v>7556.07</x:v>
      </x:c>
      <x:c r="F20" s="23" t="n">
        <x:v>7347.95</x:v>
      </x:c>
      <x:c r="G20" s="23" t="n">
        <x:v>7527.5</x:v>
      </x:c>
      <x:c r="H20" s="23" t="n">
        <x:v>36</x:v>
      </x:c>
      <x:c r="I20" s="24" t="n">
        <x:v>0.004806787434809445</x:v>
      </x:c>
      <x:c r="J20" s="26" t="n">
        <x:f>ROUND(E20-F20,1)</x:f>
        <x:v>208.1</x:v>
      </x:c>
      <x:c r="K20" s="22" t="str">
        <x:v>中证1000</x:v>
      </x:c>
    </x:row>
    <x:row r="21">
      <x:c r="A21" s="22" t="n">
        <x:v>18</x:v>
      </x:c>
      <x:c r="B21" s="22" t="str">
        <x:v>周三</x:v>
      </x:c>
      <x:c r="C21" s="22" t="str">
        <x:v>8月26日</x:v>
      </x:c>
      <x:c r="D21" s="23" t="n">
        <x:v>7536.37</x:v>
      </x:c>
      <x:c r="E21" s="23" t="n">
        <x:v>7601.84</x:v>
      </x:c>
      <x:c r="F21" s="23" t="n">
        <x:v>7467.41</x:v>
      </x:c>
      <x:c r="G21" s="23" t="n">
        <x:v>7544.67</x:v>
      </x:c>
      <x:c r="H21" s="23" t="n">
        <x:v>17.2</x:v>
      </x:c>
      <x:c r="I21" s="24" t="n">
        <x:v>0.0022809697774826</x:v>
      </x:c>
      <x:c r="J21" s="23" t="n">
        <x:f>ROUND(E21-F21,1)</x:f>
        <x:v>134.4</x:v>
      </x:c>
      <x:c r="K21" s="22" t="str">
        <x:v>中证1000</x:v>
      </x:c>
    </x:row>
    <x:row r="24">
      <x:c r="A24" s="31" t="str">
        <x:v>合计</x:v>
      </x:c>
      <x:c r="B24" s="30" t="n">
        <x:v>18</x:v>
      </x:c>
      <x:c r="C24" s="30"/>
      <x:c r="D24" s="30"/>
      <x:c r="E24" s="30"/>
      <x:c r="F24" s="30"/>
      <x:c r="G24" s="30"/>
      <x:c r="H24" s="30"/>
      <x:c r="I24" s="30"/>
      <x:c r="J24" s="32" t="n">
        <x:f>SUM(J4:J21)</x:f>
        <x:v>3145.4</x:v>
      </x:c>
      <x:c r="K24" s="30"/>
    </x:row>
    <x:row r="25">
      <x:c r="A25" s="31" t="str">
        <x:v>均值</x:v>
      </x:c>
      <x:c r="B25" s="30"/>
      <x:c r="C25" s="30"/>
      <x:c r="D25" s="30"/>
      <x:c r="E25" s="30"/>
      <x:c r="F25" s="30"/>
      <x:c r="G25" s="30"/>
      <x:c r="H25" s="30"/>
      <x:c r="I25" s="30"/>
      <x:c r="J25" s="34" t="n">
        <x:f>ROUND(IFERROR(AVERAGE(J4:J21),0),1)</x:f>
        <x:v>174.7</x:v>
      </x:c>
      <x:c r="K25" s="30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7457.12</x:v>
      </x:c>
      <x:c r="E4" s="23" t="n">
        <x:v>7499.58</x:v>
      </x:c>
      <x:c r="F4" s="23" t="n">
        <x:v>7397.94</x:v>
      </x:c>
      <x:c r="G4" s="23" t="n">
        <x:v>7414.52</x:v>
      </x:c>
      <x:c r="H4" s="23" t="n">
        <x:v>-79.5</x:v>
      </x:c>
      <x:c r="I4" s="24" t="n">
        <x:v>-0.010604497737520258</x:v>
      </x:c>
      <x:c r="J4" s="23" t="n">
        <x:f>ROUND(E4-F4,1)</x:f>
        <x:v>101.6</x:v>
      </x:c>
      <x:c r="K4" s="22" t="str">
        <x:v>中证500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7467.08</x:v>
      </x:c>
      <x:c r="E5" s="23" t="n">
        <x:v>7645.48</x:v>
      </x:c>
      <x:c r="F5" s="23" t="n">
        <x:v>7450.32</x:v>
      </x:c>
      <x:c r="G5" s="23" t="n">
        <x:v>7607.49</x:v>
      </x:c>
      <x:c r="H5" s="28" t="n">
        <x:v>193</x:v>
      </x:c>
      <x:c r="I5" s="24" t="n">
        <x:v>0.02602595987332945</x:v>
      </x:c>
      <x:c r="J5" s="26" t="n">
        <x:f>ROUND(E5-F5,1)</x:f>
        <x:v>195.2</x:v>
      </x:c>
      <x:c r="K5" s="22" t="str">
        <x:v>中证500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7567.96</x:v>
      </x:c>
      <x:c r="E6" s="23" t="n">
        <x:v>7845.39</x:v>
      </x:c>
      <x:c r="F6" s="23" t="n">
        <x:v>7567.96</x:v>
      </x:c>
      <x:c r="G6" s="23" t="n">
        <x:v>7809.21</x:v>
      </x:c>
      <x:c r="H6" s="28" t="n">
        <x:v>201.7</x:v>
      </x:c>
      <x:c r="I6" s="24" t="n">
        <x:v>0.026515973073904853</x:v>
      </x:c>
      <x:c r="J6" s="26" t="n">
        <x:f>ROUND(E6-F6,1)</x:f>
        <x:v>277.4</x:v>
      </x:c>
      <x:c r="K6" s="22" t="str">
        <x:v>中证500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7737.59</x:v>
      </x:c>
      <x:c r="E7" s="23" t="n">
        <x:v>7868.85</x:v>
      </x:c>
      <x:c r="F7" s="23" t="n">
        <x:v>7722.57</x:v>
      </x:c>
      <x:c r="G7" s="23" t="n">
        <x:v>7829.36</x:v>
      </x:c>
      <x:c r="H7" s="23" t="n">
        <x:v>20.1</x:v>
      </x:c>
      <x:c r="I7" s="24" t="n">
        <x:v>0.0025802866102973</x:v>
      </x:c>
      <x:c r="J7" s="23" t="n">
        <x:f>ROUND(E7-F7,1)</x:f>
        <x:v>146.3</x:v>
      </x:c>
      <x:c r="K7" s="22" t="str">
        <x:v>中证500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7828.79</x:v>
      </x:c>
      <x:c r="E8" s="23" t="n">
        <x:v>7983.17</x:v>
      </x:c>
      <x:c r="F8" s="23" t="n">
        <x:v>7763.53</x:v>
      </x:c>
      <x:c r="G8" s="23" t="n">
        <x:v>7980.12</x:v>
      </x:c>
      <x:c r="H8" s="28" t="n">
        <x:v>150.8</x:v>
      </x:c>
      <x:c r="I8" s="24" t="n">
        <x:v>0.019255724605842683</x:v>
      </x:c>
      <x:c r="J8" s="26" t="n">
        <x:f>ROUND(E8-F8,1)</x:f>
        <x:v>219.6</x:v>
      </x:c>
      <x:c r="K8" s="22" t="str">
        <x:v>中证500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8003.92</x:v>
      </x:c>
      <x:c r="E9" s="23" t="n">
        <x:v>8031.16</x:v>
      </x:c>
      <x:c r="F9" s="23" t="n">
        <x:v>7910.84</x:v>
      </x:c>
      <x:c r="G9" s="23" t="n">
        <x:v>8030.95</x:v>
      </x:c>
      <x:c r="H9" s="23" t="n">
        <x:v>50.8</x:v>
      </x:c>
      <x:c r="I9" s="24" t="n">
        <x:v>0.0063695784023298785</x:v>
      </x:c>
      <x:c r="J9" s="23" t="n">
        <x:f>ROUND(E9-F9,1)</x:f>
        <x:v>120.3</x:v>
      </x:c>
      <x:c r="K9" s="22" t="str">
        <x:v>中证500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7979.28</x:v>
      </x:c>
      <x:c r="E10" s="23" t="n">
        <x:v>8078.36</x:v>
      </x:c>
      <x:c r="F10" s="23" t="n">
        <x:v>7947.67</x:v>
      </x:c>
      <x:c r="G10" s="23" t="n">
        <x:v>7967.54</x:v>
      </x:c>
      <x:c r="H10" s="23" t="n">
        <x:v>-63.4</x:v>
      </x:c>
      <x:c r="I10" s="24" t="n">
        <x:v>-0.007895703497095563</x:v>
      </x:c>
      <x:c r="J10" s="23" t="n">
        <x:f>ROUND(E10-F10,1)</x:f>
        <x:v>130.7</x:v>
      </x:c>
      <x:c r="K10" s="22" t="str">
        <x:v>中证500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7978.04</x:v>
      </x:c>
      <x:c r="E11" s="23" t="n">
        <x:v>8067.53</x:v>
      </x:c>
      <x:c r="F11" s="23" t="n">
        <x:v>7961.83</x:v>
      </x:c>
      <x:c r="G11" s="23" t="n">
        <x:v>8045.31</x:v>
      </x:c>
      <x:c r="H11" s="23" t="n">
        <x:v>77.8</x:v>
      </x:c>
      <x:c r="I11" s="24" t="n">
        <x:v>0.009760854667814733</x:v>
      </x:c>
      <x:c r="J11" s="23" t="n">
        <x:f>ROUND(E11-F11,1)</x:f>
        <x:v>105.7</x:v>
      </x:c>
      <x:c r="K11" s="22" t="str">
        <x:v>中证500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8096.85</x:v>
      </x:c>
      <x:c r="E12" s="23" t="n">
        <x:v>8142.33</x:v>
      </x:c>
      <x:c r="F12" s="23" t="n">
        <x:v>7966.87</x:v>
      </x:c>
      <x:c r="G12" s="23" t="n">
        <x:v>7968.38</x:v>
      </x:c>
      <x:c r="H12" s="23" t="n">
        <x:v>-76.9</x:v>
      </x:c>
      <x:c r="I12" s="24" t="n">
        <x:v>-0.009562092697484648</x:v>
      </x:c>
      <x:c r="J12" s="26" t="n">
        <x:f>ROUND(E12-F12,1)</x:f>
        <x:v>175.5</x:v>
      </x:c>
      <x:c r="K12" s="22" t="str">
        <x:v>中证500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7989.65</x:v>
      </x:c>
      <x:c r="E13" s="23" t="n">
        <x:v>8005.15</x:v>
      </x:c>
      <x:c r="F13" s="23" t="n">
        <x:v>7897.24</x:v>
      </x:c>
      <x:c r="G13" s="23" t="n">
        <x:v>7990.33</x:v>
      </x:c>
      <x:c r="H13" s="23" t="n">
        <x:v>21.9</x:v>
      </x:c>
      <x:c r="I13" s="24" t="n">
        <x:v>0.0027546377055311932</x:v>
      </x:c>
      <x:c r="J13" s="23" t="n">
        <x:f>ROUND(E13-F13,1)</x:f>
        <x:v>107.9</x:v>
      </x:c>
      <x:c r="K13" s="22" t="str">
        <x:v>中证500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8007.87</x:v>
      </x:c>
      <x:c r="E14" s="23" t="n">
        <x:v>8184.64</x:v>
      </x:c>
      <x:c r="F14" s="23" t="n">
        <x:v>7992.36</x:v>
      </x:c>
      <x:c r="G14" s="23" t="n">
        <x:v>8184.64</x:v>
      </x:c>
      <x:c r="H14" s="28" t="n">
        <x:v>194.3</x:v>
      </x:c>
      <x:c r="I14" s="24" t="n">
        <x:v>0.02431814455723358</x:v>
      </x:c>
      <x:c r="J14" s="26" t="n">
        <x:f>ROUND(E14-F14,1)</x:f>
        <x:v>192.3</x:v>
      </x:c>
      <x:c r="K14" s="22" t="str">
        <x:v>中证500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8178.84</x:v>
      </x:c>
      <x:c r="E15" s="23" t="n">
        <x:v>8211.31</x:v>
      </x:c>
      <x:c r="F15" s="23" t="n">
        <x:v>8069.82</x:v>
      </x:c>
      <x:c r="G15" s="23" t="n">
        <x:v>8177.18</x:v>
      </x:c>
      <x:c r="H15" s="23" t="n">
        <x:v>-7.5</x:v>
      </x:c>
      <x:c r="I15" s="24" t="n">
        <x:v>-0.0009114634241701447</x:v>
      </x:c>
      <x:c r="J15" s="23" t="n">
        <x:f>ROUND(E15-F15,1)</x:f>
        <x:v>141.5</x:v>
      </x:c>
      <x:c r="K15" s="22" t="str">
        <x:v>中证500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8029.52</x:v>
      </x:c>
      <x:c r="E16" s="23" t="n">
        <x:v>8050.08</x:v>
      </x:c>
      <x:c r="F16" s="23" t="n">
        <x:v>7762.29</x:v>
      </x:c>
      <x:c r="G16" s="23" t="n">
        <x:v>7783.46</x:v>
      </x:c>
      <x:c r="H16" s="28" t="n">
        <x:v>-393.7</x:v>
      </x:c>
      <x:c r="I16" s="24" t="n">
        <x:v>-0.04814862825570676</x:v>
      </x:c>
      <x:c r="J16" s="26" t="n">
        <x:f>ROUND(E16-F16,1)</x:f>
        <x:v>287.8</x:v>
      </x:c>
      <x:c r="K16" s="22" t="str">
        <x:v>中证500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7864.68</x:v>
      </x:c>
      <x:c r="E17" s="23" t="n">
        <x:v>7923.91</x:v>
      </x:c>
      <x:c r="F17" s="23" t="n">
        <x:v>7796.28</x:v>
      </x:c>
      <x:c r="G17" s="23" t="n">
        <x:v>7850.4</x:v>
      </x:c>
      <x:c r="H17" s="23" t="n">
        <x:v>66.9</x:v>
      </x:c>
      <x:c r="I17" s="24" t="n">
        <x:v>0.008600288303659331</x:v>
      </x:c>
      <x:c r="J17" s="23" t="n">
        <x:f>ROUND(E17-F17,1)</x:f>
        <x:v>127.6</x:v>
      </x:c>
      <x:c r="K17" s="22" t="str">
        <x:v>中证500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7812.26</x:v>
      </x:c>
      <x:c r="E18" s="42" t="n">
        <x:v>7877.34</x:v>
      </x:c>
      <x:c r="F18" s="42" t="n">
        <x:v>7756.28</x:v>
      </x:c>
      <x:c r="G18" s="42" t="n">
        <x:v>7854.33</x:v>
      </x:c>
      <x:c r="H18" s="42" t="n">
        <x:v>3.9</x:v>
      </x:c>
      <x:c r="I18" s="43" t="n">
        <x:v>0.0005006114338124146</x:v>
      </x:c>
      <x:c r="J18" s="42" t="n">
        <x:f>ROUND(E18-F18,1)</x:f>
        <x:v>121.1</x:v>
      </x:c>
      <x:c r="K18" s="41" t="str">
        <x:v>中证500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7861.05</x:v>
      </x:c>
      <x:c r="E19" s="23" t="n">
        <x:v>7865.54</x:v>
      </x:c>
      <x:c r="F19" s="23" t="n">
        <x:v>7615.45</x:v>
      </x:c>
      <x:c r="G19" s="23" t="n">
        <x:v>7717.09</x:v>
      </x:c>
      <x:c r="H19" s="23" t="n">
        <x:v>-137.2</x:v>
      </x:c>
      <x:c r="I19" s="24" t="n">
        <x:v>-0.017473164483794212</x:v>
      </x:c>
      <x:c r="J19" s="26" t="n">
        <x:f>ROUND(E19-F19,1)</x:f>
        <x:v>250.1</x:v>
      </x:c>
      <x:c r="K19" s="22" t="str">
        <x:v>中证500</x:v>
      </x:c>
    </x:row>
    <x:row r="20">
      <x:c r="A20" s="22" t="n">
        <x:v>17</x:v>
      </x:c>
      <x:c r="B20" s="22" t="str">
        <x:v>周二</x:v>
      </x:c>
      <x:c r="C20" s="22" t="str">
        <x:v>8月25日</x:v>
      </x:c>
      <x:c r="D20" s="23" t="n">
        <x:v>7644.2</x:v>
      </x:c>
      <x:c r="E20" s="23" t="n">
        <x:v>7755.72</x:v>
      </x:c>
      <x:c r="F20" s="23" t="n">
        <x:v>7572.86</x:v>
      </x:c>
      <x:c r="G20" s="23" t="n">
        <x:v>7710.94</x:v>
      </x:c>
      <x:c r="H20" s="23" t="n">
        <x:v>-6.2</x:v>
      </x:c>
      <x:c r="I20" s="24" t="n">
        <x:v>-0.0007969325224923551</x:v>
      </x:c>
      <x:c r="J20" s="26" t="n">
        <x:f>ROUND(E20-F20,1)</x:f>
        <x:v>182.9</x:v>
      </x:c>
      <x:c r="K20" s="22" t="str">
        <x:v>中证500</x:v>
      </x:c>
    </x:row>
    <x:row r="21">
      <x:c r="A21" s="22" t="n">
        <x:v>18</x:v>
      </x:c>
      <x:c r="B21" s="22" t="str">
        <x:v>周三</x:v>
      </x:c>
      <x:c r="C21" s="22" t="str">
        <x:v>8月26日</x:v>
      </x:c>
      <x:c r="D21" s="23" t="n">
        <x:v>7714.84</x:v>
      </x:c>
      <x:c r="E21" s="23" t="n">
        <x:v>7833.6</x:v>
      </x:c>
      <x:c r="F21" s="23" t="n">
        <x:v>7699.42</x:v>
      </x:c>
      <x:c r="G21" s="23" t="n">
        <x:v>7770.53</x:v>
      </x:c>
      <x:c r="H21" s="23" t="n">
        <x:v>59.6</x:v>
      </x:c>
      <x:c r="I21" s="24" t="n">
        <x:v>0.007727981283734531</x:v>
      </x:c>
      <x:c r="J21" s="23" t="n">
        <x:f>ROUND(E21-F21,1)</x:f>
        <x:v>134.2</x:v>
      </x:c>
      <x:c r="K21" s="22" t="str">
        <x:v>中证500</x:v>
      </x:c>
    </x:row>
    <x:row r="24">
      <x:c r="A24" s="31" t="str">
        <x:v>合计</x:v>
      </x:c>
      <x:c r="B24" s="30" t="n">
        <x:v>18</x:v>
      </x:c>
      <x:c r="C24" s="30"/>
      <x:c r="D24" s="30"/>
      <x:c r="E24" s="30"/>
      <x:c r="F24" s="30"/>
      <x:c r="G24" s="30"/>
      <x:c r="H24" s="30"/>
      <x:c r="I24" s="30"/>
      <x:c r="J24" s="32" t="n">
        <x:f>SUM(J4:J21)</x:f>
        <x:v>3017.7</x:v>
      </x:c>
      <x:c r="K24" s="30"/>
    </x:row>
    <x:row r="25">
      <x:c r="A25" s="31" t="str">
        <x:v>均值</x:v>
      </x:c>
      <x:c r="B25" s="30"/>
      <x:c r="C25" s="30"/>
      <x:c r="D25" s="30"/>
      <x:c r="E25" s="30"/>
      <x:c r="F25" s="30"/>
      <x:c r="G25" s="30"/>
      <x:c r="H25" s="30"/>
      <x:c r="I25" s="30"/>
      <x:c r="J25" s="34" t="n">
        <x:f>ROUND(IFERROR(AVERAGE(J4:J21),0),1)</x:f>
        <x:v>167.6</x:v>
      </x:c>
      <x:c r="K25" s="30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3812.61</x:v>
      </x:c>
      <x:c r="E4" s="23" t="n">
        <x:v>3827.64</x:v>
      </x:c>
      <x:c r="F4" s="23" t="n">
        <x:v>3797.64</x:v>
      </x:c>
      <x:c r="G4" s="23" t="n">
        <x:v>3809.66</x:v>
      </x:c>
      <x:c r="H4" s="23" t="n">
        <x:v>-22.6</x:v>
      </x:c>
      <x:c r="I4" s="24" t="n">
        <x:v>-0.005897303418870403</x:v>
      </x:c>
      <x:c r="J4" s="23" t="n">
        <x:f>ROUND(E4-F4,1)</x:f>
        <x:v>30</x:v>
      </x:c>
      <x:c r="K4" s="22" t="str">
        <x:v>上证指数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3816.37</x:v>
      </x:c>
      <x:c r="E5" s="23" t="n">
        <x:v>3831.94</x:v>
      </x:c>
      <x:c r="F5" s="23" t="n">
        <x:v>3799.52</x:v>
      </x:c>
      <x:c r="G5" s="23" t="n">
        <x:v>3822.28</x:v>
      </x:c>
      <x:c r="H5" s="23" t="n">
        <x:v>12.6</x:v>
      </x:c>
      <x:c r="I5" s="24" t="n">
        <x:v>0.0033126315734213208</x:v>
      </x:c>
      <x:c r="J5" s="23" t="n">
        <x:f>ROUND(E5-F5,1)</x:f>
        <x:v>32.4</x:v>
      </x:c>
      <x:c r="K5" s="22" t="str">
        <x:v>上证指数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3815.12</x:v>
      </x:c>
      <x:c r="E6" s="23" t="n">
        <x:v>3884.4</x:v>
      </x:c>
      <x:c r="F6" s="23" t="n">
        <x:v>3815.12</x:v>
      </x:c>
      <x:c r="G6" s="23" t="n">
        <x:v>3878.43</x:v>
      </x:c>
      <x:c r="H6" s="23" t="n">
        <x:v>56.1</x:v>
      </x:c>
      <x:c r="I6" s="24" t="n">
        <x:v>0.014690184915809423</x:v>
      </x:c>
      <x:c r="J6" s="26" t="n">
        <x:f>ROUND(E6-F6,1)</x:f>
        <x:v>69.3</x:v>
      </x:c>
      <x:c r="K6" s="22" t="str">
        <x:v>上证指数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3864.27</x:v>
      </x:c>
      <x:c r="E7" s="23" t="n">
        <x:v>3902.05</x:v>
      </x:c>
      <x:c r="F7" s="23" t="n">
        <x:v>3864.27</x:v>
      </x:c>
      <x:c r="G7" s="23" t="n">
        <x:v>3900.35</x:v>
      </x:c>
      <x:c r="H7" s="23" t="n">
        <x:v>21.9</x:v>
      </x:c>
      <x:c r="I7" s="24" t="n">
        <x:v>0.005651771464226574</x:v>
      </x:c>
      <x:c r="J7" s="23" t="n">
        <x:f>ROUND(E7-F7,1)</x:f>
        <x:v>37.8</x:v>
      </x:c>
      <x:c r="K7" s="22" t="str">
        <x:v>上证指数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3896.49</x:v>
      </x:c>
      <x:c r="E8" s="23" t="n">
        <x:v>3940.93</x:v>
      </x:c>
      <x:c r="F8" s="23" t="n">
        <x:v>3885.62</x:v>
      </x:c>
      <x:c r="G8" s="23" t="n">
        <x:v>3940.04</x:v>
      </x:c>
      <x:c r="H8" s="23" t="n">
        <x:v>39.7</x:v>
      </x:c>
      <x:c r="I8" s="24" t="n">
        <x:v>0.01017600984527034</x:v>
      </x:c>
      <x:c r="J8" s="26" t="n">
        <x:f>ROUND(E8-F8,1)</x:f>
        <x:v>55.3</x:v>
      </x:c>
      <x:c r="K8" s="22" t="str">
        <x:v>上证指数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3943.82</x:v>
      </x:c>
      <x:c r="E9" s="23" t="n">
        <x:v>3967.59</x:v>
      </x:c>
      <x:c r="F9" s="23" t="n">
        <x:v>3938.63</x:v>
      </x:c>
      <x:c r="G9" s="23" t="n">
        <x:v>3966.59</x:v>
      </x:c>
      <x:c r="H9" s="23" t="n">
        <x:v>26.6</x:v>
      </x:c>
      <x:c r="I9" s="24" t="n">
        <x:v>0.0067385102689312415</x:v>
      </x:c>
      <x:c r="J9" s="23" t="n">
        <x:f>ROUND(E9-F9,1)</x:f>
        <x:v>29</x:v>
      </x:c>
      <x:c r="K9" s="22" t="str">
        <x:v>上证指数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3950.71</x:v>
      </x:c>
      <x:c r="E10" s="23" t="n">
        <x:v>3966.39</x:v>
      </x:c>
      <x:c r="F10" s="23" t="n">
        <x:v>3930.64</x:v>
      </x:c>
      <x:c r="G10" s="23" t="n">
        <x:v>3934.09</x:v>
      </x:c>
      <x:c r="H10" s="23" t="n">
        <x:v>-32.5</x:v>
      </x:c>
      <x:c r="I10" s="24" t="n">
        <x:v>-0.008193435671445704</x:v>
      </x:c>
      <x:c r="J10" s="23" t="n">
        <x:f>ROUND(E10-F10,1)</x:f>
        <x:v>35.8</x:v>
      </x:c>
      <x:c r="K10" s="22" t="str">
        <x:v>上证指数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3933.55</x:v>
      </x:c>
      <x:c r="E11" s="23" t="n">
        <x:v>3950.62</x:v>
      </x:c>
      <x:c r="F11" s="23" t="n">
        <x:v>3927.55</x:v>
      </x:c>
      <x:c r="G11" s="23" t="n">
        <x:v>3946.68</x:v>
      </x:c>
      <x:c r="H11" s="23" t="n">
        <x:v>12.6</x:v>
      </x:c>
      <x:c r="I11" s="24" t="n">
        <x:v>0.0032002318198107726</x:v>
      </x:c>
      <x:c r="J11" s="23" t="n">
        <x:f>ROUND(E11-F11,1)</x:f>
        <x:v>23.1</x:v>
      </x:c>
      <x:c r="K11" s="22" t="str">
        <x:v>上证指数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3957.16</x:v>
      </x:c>
      <x:c r="E12" s="23" t="n">
        <x:v>3968.48</x:v>
      </x:c>
      <x:c r="F12" s="23" t="n">
        <x:v>3924.64</x:v>
      </x:c>
      <x:c r="G12" s="23" t="n">
        <x:v>3926.96</x:v>
      </x:c>
      <x:c r="H12" s="23" t="n">
        <x:v>-19.7</x:v>
      </x:c>
      <x:c r="I12" s="24" t="n">
        <x:v>-0.004996604741200117</x:v>
      </x:c>
      <x:c r="J12" s="23" t="n">
        <x:f>ROUND(E12-F12,1)</x:f>
        <x:v>43.8</x:v>
      </x:c>
      <x:c r="K12" s="22" t="str">
        <x:v>上证指数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3930.02</x:v>
      </x:c>
      <x:c r="E13" s="23" t="n">
        <x:v>3932.64</x:v>
      </x:c>
      <x:c r="F13" s="23" t="n">
        <x:v>3903.7</x:v>
      </x:c>
      <x:c r="G13" s="23" t="n">
        <x:v>3927.18</x:v>
      </x:c>
      <x:c r="H13" s="23" t="n">
        <x:v>0.2</x:v>
      </x:c>
      <x:c r="I13" s="24" t="n">
        <x:v>0.00005602297960760616</x:v>
      </x:c>
      <x:c r="J13" s="23" t="n">
        <x:f>ROUND(E13-F13,1)</x:f>
        <x:v>28.9</x:v>
      </x:c>
      <x:c r="K13" s="22" t="str">
        <x:v>上证指数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3930.1</x:v>
      </x:c>
      <x:c r="E14" s="23" t="n">
        <x:v>3983.51</x:v>
      </x:c>
      <x:c r="F14" s="23" t="n">
        <x:v>3924.47</x:v>
      </x:c>
      <x:c r="G14" s="23" t="n">
        <x:v>3982.65</x:v>
      </x:c>
      <x:c r="H14" s="23" t="n">
        <x:v>55.5</x:v>
      </x:c>
      <x:c r="I14" s="24" t="n">
        <x:v>0.014124639053977761</x:v>
      </x:c>
      <x:c r="J14" s="26" t="n">
        <x:f>ROUND(E14-F14,1)</x:f>
        <x:v>59</x:v>
      </x:c>
      <x:c r="K14" s="22" t="str">
        <x:v>上证指数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3979.49</x:v>
      </x:c>
      <x:c r="E15" s="23" t="n">
        <x:v>3994.18</x:v>
      </x:c>
      <x:c r="F15" s="23" t="n">
        <x:v>3955.6</x:v>
      </x:c>
      <x:c r="G15" s="23" t="n">
        <x:v>3990.3</x:v>
      </x:c>
      <x:c r="H15" s="23" t="n">
        <x:v>7.7</x:v>
      </x:c>
      <x:c r="I15" s="24" t="n">
        <x:v>0.0019208316070957743</x:v>
      </x:c>
      <x:c r="J15" s="23" t="n">
        <x:f>ROUND(E15-F15,1)</x:f>
        <x:v>38.6</x:v>
      </x:c>
      <x:c r="K15" s="22" t="str">
        <x:v>上证指数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3952.12</x:v>
      </x:c>
      <x:c r="E16" s="23" t="n">
        <x:v>3961.14</x:v>
      </x:c>
      <x:c r="F16" s="23" t="n">
        <x:v>3879.58</x:v>
      </x:c>
      <x:c r="G16" s="23" t="n">
        <x:v>3894.42</x:v>
      </x:c>
      <x:c r="H16" s="23" t="n">
        <x:v>-95.9</x:v>
      </x:c>
      <x:c r="I16" s="24" t="n">
        <x:v>-0.024028268551236742</x:v>
      </x:c>
      <x:c r="J16" s="26" t="n">
        <x:f>ROUND(E16-F16,1)</x:f>
        <x:v>81.6</x:v>
      </x:c>
      <x:c r="K16" s="22" t="str">
        <x:v>上证指数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3907.21</x:v>
      </x:c>
      <x:c r="E17" s="23" t="n">
        <x:v>3925.06</x:v>
      </x:c>
      <x:c r="F17" s="23" t="n">
        <x:v>3888.1</x:v>
      </x:c>
      <x:c r="G17" s="23" t="n">
        <x:v>3903.72</x:v>
      </x:c>
      <x:c r="H17" s="23" t="n">
        <x:v>9.3</x:v>
      </x:c>
      <x:c r="I17" s="24" t="n">
        <x:v>0.002388032107476734</x:v>
      </x:c>
      <x:c r="J17" s="23" t="n">
        <x:f>ROUND(E17-F17,1)</x:f>
        <x:v>37</x:v>
      </x:c>
      <x:c r="K17" s="22" t="str">
        <x:v>上证指数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3891.18</x:v>
      </x:c>
      <x:c r="E18" s="42" t="n">
        <x:v>3912.13</x:v>
      </x:c>
      <x:c r="F18" s="42" t="n">
        <x:v>3883.79</x:v>
      </x:c>
      <x:c r="G18" s="42" t="n">
        <x:v>3905.2</x:v>
      </x:c>
      <x:c r="H18" s="42" t="n">
        <x:v>1.5</x:v>
      </x:c>
      <x:c r="I18" s="43" t="n">
        <x:v>0.0003791255520375625</x:v>
      </x:c>
      <x:c r="J18" s="42" t="n">
        <x:f>ROUND(E18-F18,1)</x:f>
        <x:v>28.3</x:v>
      </x:c>
      <x:c r="K18" s="41" t="str">
        <x:v>上证指数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3902.7</x:v>
      </x:c>
      <x:c r="E19" s="23" t="n">
        <x:v>3910.24</x:v>
      </x:c>
      <x:c r="F19" s="23" t="n">
        <x:v>3855.35</x:v>
      </x:c>
      <x:c r="G19" s="23" t="n">
        <x:v>3882.01</x:v>
      </x:c>
      <x:c r="H19" s="23" t="n">
        <x:v>-23.2</x:v>
      </x:c>
      <x:c r="I19" s="24" t="n">
        <x:v>-0.005938236197889912</x:v>
      </x:c>
      <x:c r="J19" s="26" t="n">
        <x:f>ROUND(E19-F19,1)</x:f>
        <x:v>54.9</x:v>
      </x:c>
      <x:c r="K19" s="22" t="str">
        <x:v>上证指数</x:v>
      </x:c>
    </x:row>
    <x:row r="20">
      <x:c r="A20" s="22" t="n">
        <x:v>17</x:v>
      </x:c>
      <x:c r="B20" s="22" t="str">
        <x:v>周二</x:v>
      </x:c>
      <x:c r="C20" s="22" t="str">
        <x:v>8月25日</x:v>
      </x:c>
      <x:c r="D20" s="23" t="n">
        <x:v>3863.37</x:v>
      </x:c>
      <x:c r="E20" s="23" t="n">
        <x:v>3896.21</x:v>
      </x:c>
      <x:c r="F20" s="23" t="n">
        <x:v>3850.86</x:v>
      </x:c>
      <x:c r="G20" s="23" t="n">
        <x:v>3889.44</x:v>
      </x:c>
      <x:c r="H20" s="23" t="n">
        <x:v>7.4</x:v>
      </x:c>
      <x:c r="I20" s="24" t="n">
        <x:v>0.0019139569449846405</x:v>
      </x:c>
      <x:c r="J20" s="23" t="n">
        <x:f>ROUND(E20-F20,1)</x:f>
        <x:v>45.3</x:v>
      </x:c>
      <x:c r="K20" s="22" t="str">
        <x:v>上证指数</x:v>
      </x:c>
    </x:row>
    <x:row r="21">
      <x:c r="A21" s="22" t="n">
        <x:v>18</x:v>
      </x:c>
      <x:c r="B21" s="22" t="str">
        <x:v>周三</x:v>
      </x:c>
      <x:c r="C21" s="22" t="str">
        <x:v>8月26日</x:v>
      </x:c>
      <x:c r="D21" s="23" t="n">
        <x:v>3881.74</x:v>
      </x:c>
      <x:c r="E21" s="23" t="n">
        <x:v>3926.44</x:v>
      </x:c>
      <x:c r="F21" s="23" t="n">
        <x:v>3881.74</x:v>
      </x:c>
      <x:c r="G21" s="23" t="n">
        <x:v>3912.52</x:v>
      </x:c>
      <x:c r="H21" s="23" t="n">
        <x:v>23.1</x:v>
      </x:c>
      <x:c r="I21" s="24" t="n">
        <x:v>0.005934016207988835</x:v>
      </x:c>
      <x:c r="J21" s="23" t="n">
        <x:f>ROUND(E21-F21,1)</x:f>
        <x:v>44.7</x:v>
      </x:c>
      <x:c r="K21" s="22" t="str">
        <x:v>上证指数</x:v>
      </x:c>
    </x:row>
    <x:row r="24">
      <x:c r="A24" s="31" t="str">
        <x:v>合计</x:v>
      </x:c>
      <x:c r="B24" s="30" t="n">
        <x:v>18</x:v>
      </x:c>
      <x:c r="C24" s="30"/>
      <x:c r="D24" s="30"/>
      <x:c r="E24" s="30"/>
      <x:c r="F24" s="30"/>
      <x:c r="G24" s="30"/>
      <x:c r="H24" s="30"/>
      <x:c r="I24" s="30"/>
      <x:c r="J24" s="32" t="n">
        <x:f>SUM(J4:J21)</x:f>
        <x:v>774.8</x:v>
      </x:c>
      <x:c r="K24" s="30"/>
    </x:row>
    <x:row r="25">
      <x:c r="A25" s="31" t="str">
        <x:v>均值</x:v>
      </x:c>
      <x:c r="B25" s="30"/>
      <x:c r="C25" s="30"/>
      <x:c r="D25" s="30"/>
      <x:c r="E25" s="30"/>
      <x:c r="F25" s="30"/>
      <x:c r="G25" s="30"/>
      <x:c r="H25" s="30"/>
      <x:c r="I25" s="30"/>
      <x:c r="J25" s="34" t="n">
        <x:f>ROUND(IFERROR(AVERAGE(J4:J21),0),1)</x:f>
        <x:v>43</x:v>
      </x:c>
      <x:c r="K25" s="30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7000</x:v>
      </x:c>
      <x:c r="E4" s="23" t="n">
        <x:v>7064.2</x:v>
      </x:c>
      <x:c r="F4" s="23" t="n">
        <x:v>6976</x:v>
      </x:c>
      <x:c r="G4" s="23" t="n">
        <x:v>7023.4</x:v>
      </x:c>
      <x:c r="H4" s="23" t="n">
        <x:v>35.6</x:v>
      </x:c>
      <x:c r="I4" s="24" t="n">
        <x:v>0.005094593434270989</x:v>
      </x:c>
      <x:c r="J4" s="23" t="n">
        <x:f>ROUND(E4-F4,1)</x:f>
        <x:v>88.2</x:v>
      </x:c>
      <x:c r="K4" s="22" t="str">
        <x:v>IM2609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7073.2</x:v>
      </x:c>
      <x:c r="E5" s="23" t="n">
        <x:v>7269.8</x:v>
      </x:c>
      <x:c r="F5" s="23" t="n">
        <x:v>7057.8</x:v>
      </x:c>
      <x:c r="G5" s="23" t="n">
        <x:v>7211.4</x:v>
      </x:c>
      <x:c r="H5" s="28" t="n">
        <x:v>188</x:v>
      </x:c>
      <x:c r="I5" s="24" t="n">
        <x:v>0.026767662385739133</x:v>
      </x:c>
      <x:c r="J5" s="26" t="n">
        <x:f>ROUND(E5-F5,1)</x:f>
        <x:v>212</x:v>
      </x:c>
      <x:c r="K5" s="22" t="str">
        <x:v>IM2609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7206.4</x:v>
      </x:c>
      <x:c r="E6" s="23" t="n">
        <x:v>7466</x:v>
      </x:c>
      <x:c r="F6" s="23" t="n">
        <x:v>7201.6</x:v>
      </x:c>
      <x:c r="G6" s="23" t="n">
        <x:v>7433.8</x:v>
      </x:c>
      <x:c r="H6" s="28" t="n">
        <x:v>222.4</x:v>
      </x:c>
      <x:c r="I6" s="24" t="n">
        <x:v>0.030840058795795544</x:v>
      </x:c>
      <x:c r="J6" s="26" t="n">
        <x:f>ROUND(E6-F6,1)</x:f>
        <x:v>264.4</x:v>
      </x:c>
      <x:c r="K6" s="22" t="str">
        <x:v>IM2609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7377</x:v>
      </x:c>
      <x:c r="E7" s="23" t="n">
        <x:v>7477</x:v>
      </x:c>
      <x:c r="F7" s="23" t="n">
        <x:v>7352</x:v>
      </x:c>
      <x:c r="G7" s="23" t="n">
        <x:v>7451.8</x:v>
      </x:c>
      <x:c r="H7" s="23" t="n">
        <x:v>18</x:v>
      </x:c>
      <x:c r="I7" s="24" t="n">
        <x:v>0.002421372649250797</x:v>
      </x:c>
      <x:c r="J7" s="23" t="n">
        <x:f>ROUND(E7-F7,1)</x:f>
        <x:v>125</x:v>
      </x:c>
      <x:c r="K7" s="22" t="str">
        <x:v>IM2609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7450</x:v>
      </x:c>
      <x:c r="E8" s="23" t="n">
        <x:v>7594.2</x:v>
      </x:c>
      <x:c r="F8" s="23" t="n">
        <x:v>7369</x:v>
      </x:c>
      <x:c r="G8" s="23" t="n">
        <x:v>7590.6</x:v>
      </x:c>
      <x:c r="H8" s="23" t="n">
        <x:v>138.8</x:v>
      </x:c>
      <x:c r="I8" s="24" t="n">
        <x:v>0.018626372151694826</x:v>
      </x:c>
      <x:c r="J8" s="26" t="n">
        <x:f>ROUND(E8-F8,1)</x:f>
        <x:v>225.2</x:v>
      </x:c>
      <x:c r="K8" s="22" t="str">
        <x:v>IM2609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7628.8</x:v>
      </x:c>
      <x:c r="E9" s="23" t="n">
        <x:v>7631.2</x:v>
      </x:c>
      <x:c r="F9" s="23" t="n">
        <x:v>7525</x:v>
      </x:c>
      <x:c r="G9" s="23" t="n">
        <x:v>7607.2</x:v>
      </x:c>
      <x:c r="H9" s="23" t="n">
        <x:v>16.6</x:v>
      </x:c>
      <x:c r="I9" s="24" t="n">
        <x:v>0.002186915395357314</x:v>
      </x:c>
      <x:c r="J9" s="23" t="n">
        <x:f>ROUND(E9-F9,1)</x:f>
        <x:v>106.2</x:v>
      </x:c>
      <x:c r="K9" s="22" t="str">
        <x:v>IM2609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7588</x:v>
      </x:c>
      <x:c r="E10" s="23" t="n">
        <x:v>7692</x:v>
      </x:c>
      <x:c r="F10" s="23" t="n">
        <x:v>7547.2</x:v>
      </x:c>
      <x:c r="G10" s="23" t="n">
        <x:v>7613.2</x:v>
      </x:c>
      <x:c r="H10" s="23" t="n">
        <x:v>6</x:v>
      </x:c>
      <x:c r="I10" s="24" t="n">
        <x:v>0.000788726469660217</x:v>
      </x:c>
      <x:c r="J10" s="23" t="n">
        <x:f>ROUND(E10-F10,1)</x:f>
        <x:v>144.8</x:v>
      </x:c>
      <x:c r="K10" s="22" t="str">
        <x:v>IM2609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7633.2</x:v>
      </x:c>
      <x:c r="E11" s="23" t="n">
        <x:v>7712.8</x:v>
      </x:c>
      <x:c r="F11" s="23" t="n">
        <x:v>7600</x:v>
      </x:c>
      <x:c r="G11" s="23" t="n">
        <x:v>7677.4</x:v>
      </x:c>
      <x:c r="H11" s="23" t="n">
        <x:v>64.2</x:v>
      </x:c>
      <x:c r="I11" s="24" t="n">
        <x:v>0.008432722114222635</x:v>
      </x:c>
      <x:c r="J11" s="23" t="n">
        <x:f>ROUND(E11-F11,1)</x:f>
        <x:v>112.8</x:v>
      </x:c>
      <x:c r="K11" s="22" t="str">
        <x:v>IM2609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7723</x:v>
      </x:c>
      <x:c r="E12" s="23" t="n">
        <x:v>7776</x:v>
      </x:c>
      <x:c r="F12" s="23" t="n">
        <x:v>7627</x:v>
      </x:c>
      <x:c r="G12" s="23" t="n">
        <x:v>7634.2</x:v>
      </x:c>
      <x:c r="H12" s="23" t="n">
        <x:v>-43.2</x:v>
      </x:c>
      <x:c r="I12" s="24" t="n">
        <x:v>-0.005626904941777089</x:v>
      </x:c>
      <x:c r="J12" s="23" t="n">
        <x:f>ROUND(E12-F12,1)</x:f>
        <x:v>149</x:v>
      </x:c>
      <x:c r="K12" s="22" t="str">
        <x:v>IM2609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7670</x:v>
      </x:c>
      <x:c r="E13" s="23" t="n">
        <x:v>7695</x:v>
      </x:c>
      <x:c r="F13" s="23" t="n">
        <x:v>7597.6</x:v>
      </x:c>
      <x:c r="G13" s="23" t="n">
        <x:v>7650.2</x:v>
      </x:c>
      <x:c r="H13" s="23" t="n">
        <x:v>16</x:v>
      </x:c>
      <x:c r="I13" s="24" t="n">
        <x:v>0.0020958319142805326</x:v>
      </x:c>
      <x:c r="J13" s="23" t="n">
        <x:f>ROUND(E13-F13,1)</x:f>
        <x:v>97.4</x:v>
      </x:c>
      <x:c r="K13" s="22" t="str">
        <x:v>IM2609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7675</x:v>
      </x:c>
      <x:c r="E14" s="23" t="n">
        <x:v>7875</x:v>
      </x:c>
      <x:c r="F14" s="23" t="n">
        <x:v>7631.4</x:v>
      </x:c>
      <x:c r="G14" s="23" t="n">
        <x:v>7875</x:v>
      </x:c>
      <x:c r="H14" s="28" t="n">
        <x:v>224.8</x:v>
      </x:c>
      <x:c r="I14" s="24" t="n">
        <x:v>0.029384852683590035</x:v>
      </x:c>
      <x:c r="J14" s="26" t="n">
        <x:f>ROUND(E14-F14,1)</x:f>
        <x:v>243.6</x:v>
      </x:c>
      <x:c r="K14" s="22" t="str">
        <x:v>IM2609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7861</x:v>
      </x:c>
      <x:c r="E15" s="23" t="n">
        <x:v>7882.8</x:v>
      </x:c>
      <x:c r="F15" s="23" t="n">
        <x:v>7725</x:v>
      </x:c>
      <x:c r="G15" s="23" t="n">
        <x:v>7807</x:v>
      </x:c>
      <x:c r="H15" s="23" t="n">
        <x:v>-68</x:v>
      </x:c>
      <x:c r="I15" s="24" t="n">
        <x:v>-0.008634920634920662</x:v>
      </x:c>
      <x:c r="J15" s="23" t="n">
        <x:f>ROUND(E15-F15,1)</x:f>
        <x:v>157.8</x:v>
      </x:c>
      <x:c r="K15" s="22" t="str">
        <x:v>IM2609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7711</x:v>
      </x:c>
      <x:c r="E16" s="23" t="n">
        <x:v>7734.6</x:v>
      </x:c>
      <x:c r="F16" s="23" t="n">
        <x:v>7430</x:v>
      </x:c>
      <x:c r="G16" s="23" t="n">
        <x:v>7468.8</x:v>
      </x:c>
      <x:c r="H16" s="28" t="n">
        <x:v>-338.2</x:v>
      </x:c>
      <x:c r="I16" s="24" t="n">
        <x:v>-0.04332009734853337</x:v>
      </x:c>
      <x:c r="J16" s="26" t="n">
        <x:f>ROUND(E16-F16,1)</x:f>
        <x:v>304.6</x:v>
      </x:c>
      <x:c r="K16" s="22" t="str">
        <x:v>IM2609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7550</x:v>
      </x:c>
      <x:c r="E17" s="23" t="n">
        <x:v>7582.2</x:v>
      </x:c>
      <x:c r="F17" s="23" t="n">
        <x:v>7482.8</x:v>
      </x:c>
      <x:c r="G17" s="23" t="n">
        <x:v>7516.2</x:v>
      </x:c>
      <x:c r="H17" s="23" t="n">
        <x:v>47.4</x:v>
      </x:c>
      <x:c r="I17" s="24" t="n">
        <x:v>0.0063464010282776595</x:v>
      </x:c>
      <x:c r="J17" s="23" t="n">
        <x:f>ROUND(E17-F17,1)</x:f>
        <x:v>99.4</x:v>
      </x:c>
      <x:c r="K17" s="22" t="str">
        <x:v>IM2609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7500</x:v>
      </x:c>
      <x:c r="E18" s="42" t="n">
        <x:v>7575</x:v>
      </x:c>
      <x:c r="F18" s="42" t="n">
        <x:v>7410</x:v>
      </x:c>
      <x:c r="G18" s="42" t="n">
        <x:v>7527</x:v>
      </x:c>
      <x:c r="H18" s="42" t="n">
        <x:v>10.8</x:v>
      </x:c>
      <x:c r="I18" s="43" t="n">
        <x:v>0.0014368963039834703</x:v>
      </x:c>
      <x:c r="J18" s="42" t="n">
        <x:f>ROUND(E18-F18,1)</x:f>
        <x:v>165</x:v>
      </x:c>
      <x:c r="K18" s="41" t="str">
        <x:v>IM2609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7534.8</x:v>
      </x:c>
      <x:c r="E19" s="23" t="n">
        <x:v>7549</x:v>
      </x:c>
      <x:c r="F19" s="23" t="n">
        <x:v>7308.8</x:v>
      </x:c>
      <x:c r="G19" s="23" t="n">
        <x:v>7425.8</x:v>
      </x:c>
      <x:c r="H19" s="23" t="n">
        <x:v>-101.2</x:v>
      </x:c>
      <x:c r="I19" s="24" t="n">
        <x:v>-0.013444931579646546</x:v>
      </x:c>
      <x:c r="J19" s="26" t="n">
        <x:f>ROUND(E19-F19,1)</x:f>
        <x:v>240.2</x:v>
      </x:c>
      <x:c r="K19" s="22" t="str">
        <x:v>IM2609</x:v>
      </x:c>
    </x:row>
    <x:row r="20">
      <x:c r="A20" s="22" t="n">
        <x:v>17</x:v>
      </x:c>
      <x:c r="B20" s="22" t="str">
        <x:v>周二</x:v>
      </x:c>
      <x:c r="C20" s="22" t="str">
        <x:v>8月25日</x:v>
      </x:c>
      <x:c r="D20" s="23" t="n">
        <x:v>7380</x:v>
      </x:c>
      <x:c r="E20" s="23" t="n">
        <x:v>7509.6</x:v>
      </x:c>
      <x:c r="F20" s="23" t="n">
        <x:v>7300.2</x:v>
      </x:c>
      <x:c r="G20" s="23" t="n">
        <x:v>7466.4</x:v>
      </x:c>
      <x:c r="H20" s="23" t="n">
        <x:v>40.6</x:v>
      </x:c>
      <x:c r="I20" s="24" t="n">
        <x:v>0.005467424385251274</x:v>
      </x:c>
      <x:c r="J20" s="26" t="n">
        <x:f>ROUND(E20-F20,1)</x:f>
        <x:v>209.4</x:v>
      </x:c>
      <x:c r="K20" s="22" t="str">
        <x:v>IM2609</x:v>
      </x:c>
    </x:row>
    <x:row r="21">
      <x:c r="A21" s="22" t="n">
        <x:v>18</x:v>
      </x:c>
      <x:c r="B21" s="22" t="str">
        <x:v>周三</x:v>
      </x:c>
      <x:c r="C21" s="22" t="str">
        <x:v>8月26日</x:v>
      </x:c>
      <x:c r="D21" s="23" t="n">
        <x:v>7466</x:v>
      </x:c>
      <x:c r="E21" s="23" t="n">
        <x:v>7558</x:v>
      </x:c>
      <x:c r="F21" s="23" t="n">
        <x:v>7395</x:v>
      </x:c>
      <x:c r="G21" s="23" t="n">
        <x:v>7491.8</x:v>
      </x:c>
      <x:c r="H21" s="23" t="n">
        <x:v>25.4</x:v>
      </x:c>
      <x:c r="I21" s="24" t="n">
        <x:v>0.0034019072109718884</x:v>
      </x:c>
      <x:c r="J21" s="23" t="n">
        <x:f>ROUND(E21-F21,1)</x:f>
        <x:v>163</x:v>
      </x:c>
      <x:c r="K21" s="22" t="str">
        <x:v>IM2609</x:v>
      </x:c>
    </x:row>
    <x:row r="24">
      <x:c r="A24" s="31" t="str">
        <x:v>合计</x:v>
      </x:c>
      <x:c r="B24" s="30" t="n">
        <x:v>18</x:v>
      </x:c>
      <x:c r="C24" s="30"/>
      <x:c r="D24" s="30"/>
      <x:c r="E24" s="30"/>
      <x:c r="F24" s="30"/>
      <x:c r="G24" s="30"/>
      <x:c r="H24" s="30"/>
      <x:c r="I24" s="30"/>
      <x:c r="J24" s="32" t="n">
        <x:f>SUM(J4:J21)</x:f>
        <x:v>3108</x:v>
      </x:c>
      <x:c r="K24" s="30"/>
    </x:row>
    <x:row r="25">
      <x:c r="A25" s="31" t="str">
        <x:v>均值</x:v>
      </x:c>
      <x:c r="B25" s="30"/>
      <x:c r="C25" s="30"/>
      <x:c r="D25" s="30"/>
      <x:c r="E25" s="30"/>
      <x:c r="F25" s="30"/>
      <x:c r="G25" s="30"/>
      <x:c r="H25" s="30"/>
      <x:c r="I25" s="30"/>
      <x:c r="J25" s="34" t="n">
        <x:f>ROUND(IFERROR(AVERAGE(J4:J21),0),1)</x:f>
        <x:v>172.7</x:v>
      </x:c>
      <x:c r="K25" s="30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7391</x:v>
      </x:c>
      <x:c r="E4" s="23" t="n">
        <x:v>7440</x:v>
      </x:c>
      <x:c r="F4" s="23" t="n">
        <x:v>7335</x:v>
      </x:c>
      <x:c r="G4" s="23" t="n">
        <x:v>7356</x:v>
      </x:c>
      <x:c r="H4" s="23" t="n">
        <x:v>-39</x:v>
      </x:c>
      <x:c r="I4" s="24" t="n">
        <x:v>-0.005273833671399553</x:v>
      </x:c>
      <x:c r="J4" s="23" t="n">
        <x:f>ROUND(E4-F4,1)</x:f>
        <x:v>105</x:v>
      </x:c>
      <x:c r="K4" s="22" t="str">
        <x:v>IC2609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7406</x:v>
      </x:c>
      <x:c r="E5" s="23" t="n">
        <x:v>7599</x:v>
      </x:c>
      <x:c r="F5" s="23" t="n">
        <x:v>7392.8</x:v>
      </x:c>
      <x:c r="G5" s="23" t="n">
        <x:v>7529</x:v>
      </x:c>
      <x:c r="H5" s="28" t="n">
        <x:v>173</x:v>
      </x:c>
      <x:c r="I5" s="24" t="n">
        <x:v>0.023518216421968496</x:v>
      </x:c>
      <x:c r="J5" s="26" t="n">
        <x:f>ROUND(E5-F5,1)</x:f>
        <x:v>206.2</x:v>
      </x:c>
      <x:c r="K5" s="22" t="str">
        <x:v>IC2609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7510.6</x:v>
      </x:c>
      <x:c r="E6" s="23" t="n">
        <x:v>7775.6</x:v>
      </x:c>
      <x:c r="F6" s="23" t="n">
        <x:v>7501</x:v>
      </x:c>
      <x:c r="G6" s="23" t="n">
        <x:v>7744.4</x:v>
      </x:c>
      <x:c r="H6" s="28" t="n">
        <x:v>215.4</x:v>
      </x:c>
      <x:c r="I6" s="24" t="n">
        <x:v>0.02860937707530886</x:v>
      </x:c>
      <x:c r="J6" s="26" t="n">
        <x:f>ROUND(E6-F6,1)</x:f>
        <x:v>274.6</x:v>
      </x:c>
      <x:c r="K6" s="22" t="str">
        <x:v>IC2609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7680</x:v>
      </x:c>
      <x:c r="E7" s="23" t="n">
        <x:v>7768</x:v>
      </x:c>
      <x:c r="F7" s="23" t="n">
        <x:v>7640</x:v>
      </x:c>
      <x:c r="G7" s="23" t="n">
        <x:v>7730</x:v>
      </x:c>
      <x:c r="H7" s="23" t="n">
        <x:v>-14.4</x:v>
      </x:c>
      <x:c r="I7" s="24" t="n">
        <x:v>-0.0018594080884251074</x:v>
      </x:c>
      <x:c r="J7" s="23" t="n">
        <x:f>ROUND(E7-F7,1)</x:f>
        <x:v>128</x:v>
      </x:c>
      <x:c r="K7" s="22" t="str">
        <x:v>IC2609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7725</x:v>
      </x:c>
      <x:c r="E8" s="23" t="n">
        <x:v>7882.6</x:v>
      </x:c>
      <x:c r="F8" s="23" t="n">
        <x:v>7667.4</x:v>
      </x:c>
      <x:c r="G8" s="23" t="n">
        <x:v>7877.8</x:v>
      </x:c>
      <x:c r="H8" s="23" t="n">
        <x:v>147.8</x:v>
      </x:c>
      <x:c r="I8" s="24" t="n">
        <x:v>0.01912031047865459</x:v>
      </x:c>
      <x:c r="J8" s="26" t="n">
        <x:f>ROUND(E8-F8,1)</x:f>
        <x:v>215.2</x:v>
      </x:c>
      <x:c r="K8" s="22" t="str">
        <x:v>IC2609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7888</x:v>
      </x:c>
      <x:c r="E9" s="23" t="n">
        <x:v>7918</x:v>
      </x:c>
      <x:c r="F9" s="23" t="n">
        <x:v>7795.8</x:v>
      </x:c>
      <x:c r="G9" s="23" t="n">
        <x:v>7881.4</x:v>
      </x:c>
      <x:c r="H9" s="23" t="n">
        <x:v>3.6</x:v>
      </x:c>
      <x:c r="I9" s="24" t="n">
        <x:v>0.0004569803752316748</x:v>
      </x:c>
      <x:c r="J9" s="23" t="n">
        <x:f>ROUND(E9-F9,1)</x:f>
        <x:v>122.2</x:v>
      </x:c>
      <x:c r="K9" s="22" t="str">
        <x:v>IC2609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7864.2</x:v>
      </x:c>
      <x:c r="E10" s="23" t="n">
        <x:v>7963.8</x:v>
      </x:c>
      <x:c r="F10" s="23" t="n">
        <x:v>7830</x:v>
      </x:c>
      <x:c r="G10" s="23" t="n">
        <x:v>7872</x:v>
      </x:c>
      <x:c r="H10" s="23" t="n">
        <x:v>-9.4</x:v>
      </x:c>
      <x:c r="I10" s="24" t="n">
        <x:v>-0.0011926815032862192</x:v>
      </x:c>
      <x:c r="J10" s="23" t="n">
        <x:f>ROUND(E10-F10,1)</x:f>
        <x:v>133.8</x:v>
      </x:c>
      <x:c r="K10" s="22" t="str">
        <x:v>IC2609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7890</x:v>
      </x:c>
      <x:c r="E11" s="23" t="n">
        <x:v>7971.8</x:v>
      </x:c>
      <x:c r="F11" s="23" t="n">
        <x:v>7859</x:v>
      </x:c>
      <x:c r="G11" s="23" t="n">
        <x:v>7914.2</x:v>
      </x:c>
      <x:c r="H11" s="23" t="n">
        <x:v>42.2</x:v>
      </x:c>
      <x:c r="I11" s="24" t="n">
        <x:v>0.005360772357723587</x:v>
      </x:c>
      <x:c r="J11" s="23" t="n">
        <x:f>ROUND(E11-F11,1)</x:f>
        <x:v>112.8</x:v>
      </x:c>
      <x:c r="K11" s="22" t="str">
        <x:v>IC2609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7971</x:v>
      </x:c>
      <x:c r="E12" s="23" t="n">
        <x:v>8024</x:v>
      </x:c>
      <x:c r="F12" s="23" t="n">
        <x:v>7860.8</x:v>
      </x:c>
      <x:c r="G12" s="23" t="n">
        <x:v>7866.2</x:v>
      </x:c>
      <x:c r="H12" s="23" t="n">
        <x:v>-48</x:v>
      </x:c>
      <x:c r="I12" s="24" t="n">
        <x:v>-0.006065047635894993</x:v>
      </x:c>
      <x:c r="J12" s="26" t="n">
        <x:f>ROUND(E12-F12,1)</x:f>
        <x:v>163.2</x:v>
      </x:c>
      <x:c r="K12" s="22" t="str">
        <x:v>IC2609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7905</x:v>
      </x:c>
      <x:c r="E13" s="23" t="n">
        <x:v>7914</x:v>
      </x:c>
      <x:c r="F13" s="23" t="n">
        <x:v>7802</x:v>
      </x:c>
      <x:c r="G13" s="23" t="n">
        <x:v>7861.2</x:v>
      </x:c>
      <x:c r="H13" s="23" t="n">
        <x:v>-5</x:v>
      </x:c>
      <x:c r="I13" s="24" t="n">
        <x:v>-0.0006356309272583793</x:v>
      </x:c>
      <x:c r="J13" s="23" t="n">
        <x:f>ROUND(E13-F13,1)</x:f>
        <x:v>112</x:v>
      </x:c>
      <x:c r="K13" s="22" t="str">
        <x:v>IC2609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7885</x:v>
      </x:c>
      <x:c r="E14" s="23" t="n">
        <x:v>8086</x:v>
      </x:c>
      <x:c r="F14" s="23" t="n">
        <x:v>7869</x:v>
      </x:c>
      <x:c r="G14" s="23" t="n">
        <x:v>8082</x:v>
      </x:c>
      <x:c r="H14" s="28" t="n">
        <x:v>220.8</x:v>
      </x:c>
      <x:c r="I14" s="24" t="n">
        <x:v>0.028087314913753714</x:v>
      </x:c>
      <x:c r="J14" s="26" t="n">
        <x:f>ROUND(E14-F14,1)</x:f>
        <x:v>217</x:v>
      </x:c>
      <x:c r="K14" s="22" t="str">
        <x:v>IC2609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8078</x:v>
      </x:c>
      <x:c r="E15" s="23" t="n">
        <x:v>8091.8</x:v>
      </x:c>
      <x:c r="F15" s="23" t="n">
        <x:v>7932.4</x:v>
      </x:c>
      <x:c r="G15" s="23" t="n">
        <x:v>8022.6</x:v>
      </x:c>
      <x:c r="H15" s="23" t="n">
        <x:v>-59.4</x:v>
      </x:c>
      <x:c r="I15" s="24" t="n">
        <x:v>-0.007349665924276105</x:v>
      </x:c>
      <x:c r="J15" s="26" t="n">
        <x:f>ROUND(E15-F15,1)</x:f>
        <x:v>159.4</x:v>
      </x:c>
      <x:c r="K15" s="22" t="str">
        <x:v>IC2609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7927.8</x:v>
      </x:c>
      <x:c r="E16" s="23" t="n">
        <x:v>7939.8</x:v>
      </x:c>
      <x:c r="F16" s="23" t="n">
        <x:v>7680.2</x:v>
      </x:c>
      <x:c r="G16" s="23" t="n">
        <x:v>7712</x:v>
      </x:c>
      <x:c r="H16" s="28" t="n">
        <x:v>-310.6</x:v>
      </x:c>
      <x:c r="I16" s="24" t="n">
        <x:v>-0.03871562834991149</x:v>
      </x:c>
      <x:c r="J16" s="26" t="n">
        <x:f>ROUND(E16-F16,1)</x:f>
        <x:v>259.6</x:v>
      </x:c>
      <x:c r="K16" s="22" t="str">
        <x:v>IC2609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7789.6</x:v>
      </x:c>
      <x:c r="E17" s="23" t="n">
        <x:v>7811</x:v>
      </x:c>
      <x:c r="F17" s="23" t="n">
        <x:v>7713</x:v>
      </x:c>
      <x:c r="G17" s="23" t="n">
        <x:v>7761</x:v>
      </x:c>
      <x:c r="H17" s="23" t="n">
        <x:v>49</x:v>
      </x:c>
      <x:c r="I17" s="24" t="n">
        <x:v>0.006353734439834113</x:v>
      </x:c>
      <x:c r="J17" s="23" t="n">
        <x:f>ROUND(E17-F17,1)</x:f>
        <x:v>98</x:v>
      </x:c>
      <x:c r="K17" s="22" t="str">
        <x:v>IC2609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7744</x:v>
      </x:c>
      <x:c r="E18" s="42" t="n">
        <x:v>7797.2</x:v>
      </x:c>
      <x:c r="F18" s="42" t="n">
        <x:v>7669.6</x:v>
      </x:c>
      <x:c r="G18" s="42" t="n">
        <x:v>7762</x:v>
      </x:c>
      <x:c r="H18" s="42" t="n">
        <x:v>1</x:v>
      </x:c>
      <x:c r="I18" s="43" t="n">
        <x:v>0.00012884937508061967</x:v>
      </x:c>
      <x:c r="J18" s="42" t="n">
        <x:f>ROUND(E18-F18,1)</x:f>
        <x:v>127.6</x:v>
      </x:c>
      <x:c r="K18" s="41" t="str">
        <x:v>IC2609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7757</x:v>
      </x:c>
      <x:c r="E19" s="23" t="n">
        <x:v>7764.4</x:v>
      </x:c>
      <x:c r="F19" s="23" t="n">
        <x:v>7514.4</x:v>
      </x:c>
      <x:c r="G19" s="23" t="n">
        <x:v>7628.4</x:v>
      </x:c>
      <x:c r="H19" s="23" t="n">
        <x:v>-133.6</x:v>
      </x:c>
      <x:c r="I19" s="24" t="n">
        <x:v>-0.01721205874774545</x:v>
      </x:c>
      <x:c r="J19" s="26" t="n">
        <x:f>ROUND(E19-F19,1)</x:f>
        <x:v>250</x:v>
      </x:c>
      <x:c r="K19" s="22" t="str">
        <x:v>IC2609</x:v>
      </x:c>
    </x:row>
    <x:row r="20">
      <x:c r="A20" s="22" t="n">
        <x:v>17</x:v>
      </x:c>
      <x:c r="B20" s="22" t="str">
        <x:v>周二</x:v>
      </x:c>
      <x:c r="C20" s="22" t="str">
        <x:v>8月25日</x:v>
      </x:c>
      <x:c r="D20" s="23" t="n">
        <x:v>7593</x:v>
      </x:c>
      <x:c r="E20" s="23" t="n">
        <x:v>7687.8</x:v>
      </x:c>
      <x:c r="F20" s="23" t="n">
        <x:v>7496</x:v>
      </x:c>
      <x:c r="G20" s="23" t="n">
        <x:v>7637</x:v>
      </x:c>
      <x:c r="H20" s="23" t="n">
        <x:v>8.6</x:v>
      </x:c>
      <x:c r="I20" s="24" t="n">
        <x:v>0.0011273661580410987</x:v>
      </x:c>
      <x:c r="J20" s="26" t="n">
        <x:f>ROUND(E20-F20,1)</x:f>
        <x:v>191.8</x:v>
      </x:c>
      <x:c r="K20" s="22" t="str">
        <x:v>IC2609</x:v>
      </x:c>
    </x:row>
    <x:row r="21">
      <x:c r="A21" s="22" t="n">
        <x:v>18</x:v>
      </x:c>
      <x:c r="B21" s="22" t="str">
        <x:v>周三</x:v>
      </x:c>
      <x:c r="C21" s="22" t="str">
        <x:v>8月26日</x:v>
      </x:c>
      <x:c r="D21" s="23" t="n">
        <x:v>7633.8</x:v>
      </x:c>
      <x:c r="E21" s="23" t="n">
        <x:v>7783.2</x:v>
      </x:c>
      <x:c r="F21" s="23" t="n">
        <x:v>7604</x:v>
      </x:c>
      <x:c r="G21" s="23" t="n">
        <x:v>7708.8</x:v>
      </x:c>
      <x:c r="H21" s="23" t="n">
        <x:v>71.8</x:v>
      </x:c>
      <x:c r="I21" s="24" t="n">
        <x:v>0.00940159748592384</x:v>
      </x:c>
      <x:c r="J21" s="26" t="n">
        <x:f>ROUND(E21-F21,1)</x:f>
        <x:v>179.2</x:v>
      </x:c>
      <x:c r="K21" s="22" t="str">
        <x:v>IC2609</x:v>
      </x:c>
    </x:row>
    <x:row r="24">
      <x:c r="A24" s="31" t="str">
        <x:v>合计</x:v>
      </x:c>
      <x:c r="B24" s="30" t="n">
        <x:v>18</x:v>
      </x:c>
      <x:c r="C24" s="30"/>
      <x:c r="D24" s="30"/>
      <x:c r="E24" s="30"/>
      <x:c r="F24" s="30"/>
      <x:c r="G24" s="30"/>
      <x:c r="H24" s="30"/>
      <x:c r="I24" s="30"/>
      <x:c r="J24" s="32" t="n">
        <x:f>SUM(J4:J21)</x:f>
        <x:v>3055.6</x:v>
      </x:c>
      <x:c r="K24" s="30"/>
    </x:row>
    <x:row r="25">
      <x:c r="A25" s="31" t="str">
        <x:v>均值</x:v>
      </x:c>
      <x:c r="B25" s="30"/>
      <x:c r="C25" s="30"/>
      <x:c r="D25" s="30"/>
      <x:c r="E25" s="30"/>
      <x:c r="F25" s="30"/>
      <x:c r="G25" s="30"/>
      <x:c r="H25" s="30"/>
      <x:c r="I25" s="30"/>
      <x:c r="J25" s="34" t="n">
        <x:f>ROUND(IFERROR(AVERAGE(J4:J21),0),1)</x:f>
        <x:v>169.8</x:v>
      </x:c>
      <x:c r="K25" s="30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4526.4</x:v>
      </x:c>
      <x:c r="E4" s="23" t="n">
        <x:v>4538</x:v>
      </x:c>
      <x:c r="F4" s="23" t="n">
        <x:v>4494.2</x:v>
      </x:c>
      <x:c r="G4" s="23" t="n">
        <x:v>4512.2</x:v>
      </x:c>
      <x:c r="H4" s="23" t="n">
        <x:v>-25.8</x:v>
      </x:c>
      <x:c r="I4" s="24" t="n">
        <x:v>-0.005685323931247321</x:v>
      </x:c>
      <x:c r="J4" s="23" t="n">
        <x:f>ROUND(E4-F4,1)</x:f>
        <x:v>43.8</x:v>
      </x:c>
      <x:c r="K4" s="22" t="str">
        <x:v>IF2609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4538</x:v>
      </x:c>
      <x:c r="E5" s="23" t="n">
        <x:v>4580.8</x:v>
      </x:c>
      <x:c r="F5" s="23" t="n">
        <x:v>4524.2</x:v>
      </x:c>
      <x:c r="G5" s="23" t="n">
        <x:v>4552.8</x:v>
      </x:c>
      <x:c r="H5" s="23" t="n">
        <x:v>40.6</x:v>
      </x:c>
      <x:c r="I5" s="24" t="n">
        <x:v>0.00899782811045613</x:v>
      </x:c>
      <x:c r="J5" s="23" t="n">
        <x:f>ROUND(E5-F5,1)</x:f>
        <x:v>56.6</x:v>
      </x:c>
      <x:c r="K5" s="22" t="str">
        <x:v>IF2609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4520.6</x:v>
      </x:c>
      <x:c r="E6" s="23" t="n">
        <x:v>4641.2</x:v>
      </x:c>
      <x:c r="F6" s="23" t="n">
        <x:v>4520</x:v>
      </x:c>
      <x:c r="G6" s="23" t="n">
        <x:v>4621</x:v>
      </x:c>
      <x:c r="H6" s="23" t="n">
        <x:v>68.2</x:v>
      </x:c>
      <x:c r="I6" s="24" t="n">
        <x:v>0.014979792655069435</x:v>
      </x:c>
      <x:c r="J6" s="26" t="n">
        <x:f>ROUND(E6-F6,1)</x:f>
        <x:v>121.2</x:v>
      </x:c>
      <x:c r="K6" s="22" t="str">
        <x:v>IF2609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4585.2</x:v>
      </x:c>
      <x:c r="E7" s="23" t="n">
        <x:v>4626</x:v>
      </x:c>
      <x:c r="F7" s="23" t="n">
        <x:v>4570.8</x:v>
      </x:c>
      <x:c r="G7" s="23" t="n">
        <x:v>4612</x:v>
      </x:c>
      <x:c r="H7" s="23" t="n">
        <x:v>-9</x:v>
      </x:c>
      <x:c r="I7" s="24" t="n">
        <x:v>-0.001947630383034027</x:v>
      </x:c>
      <x:c r="J7" s="23" t="n">
        <x:f>ROUND(E7-F7,1)</x:f>
        <x:v>55.2</x:v>
      </x:c>
      <x:c r="K7" s="22" t="str">
        <x:v>IF2609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4620</x:v>
      </x:c>
      <x:c r="E8" s="23" t="n">
        <x:v>4656.2</x:v>
      </x:c>
      <x:c r="F8" s="23" t="n">
        <x:v>4604.6</x:v>
      </x:c>
      <x:c r="G8" s="23" t="n">
        <x:v>4645.6</x:v>
      </x:c>
      <x:c r="H8" s="23" t="n">
        <x:v>33.6</x:v>
      </x:c>
      <x:c r="I8" s="24" t="n">
        <x:v>0.007285342584562038</x:v>
      </x:c>
      <x:c r="J8" s="23" t="n">
        <x:f>ROUND(E8-F8,1)</x:f>
        <x:v>51.6</x:v>
      </x:c>
      <x:c r="K8" s="22" t="str">
        <x:v>IF2609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4656.8</x:v>
      </x:c>
      <x:c r="E9" s="23" t="n">
        <x:v>4663</x:v>
      </x:c>
      <x:c r="F9" s="23" t="n">
        <x:v>4611</x:v>
      </x:c>
      <x:c r="G9" s="23" t="n">
        <x:v>4644.6</x:v>
      </x:c>
      <x:c r="H9" s="23" t="n">
        <x:v>-1</x:v>
      </x:c>
      <x:c r="I9" s="24" t="n">
        <x:v>-0.00021525744790773516</x:v>
      </x:c>
      <x:c r="J9" s="23" t="n">
        <x:f>ROUND(E9-F9,1)</x:f>
        <x:v>52</x:v>
      </x:c>
      <x:c r="K9" s="22" t="str">
        <x:v>IF2609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4642.8</x:v>
      </x:c>
      <x:c r="E10" s="23" t="n">
        <x:v>4665</x:v>
      </x:c>
      <x:c r="F10" s="23" t="n">
        <x:v>4617.2</x:v>
      </x:c>
      <x:c r="G10" s="23" t="n">
        <x:v>4625</x:v>
      </x:c>
      <x:c r="H10" s="23" t="n">
        <x:v>-19.6</x:v>
      </x:c>
      <x:c r="I10" s="24" t="n">
        <x:v>-0.004219954355595856</x:v>
      </x:c>
      <x:c r="J10" s="23" t="n">
        <x:f>ROUND(E10-F10,1)</x:f>
        <x:v>47.8</x:v>
      </x:c>
      <x:c r="K10" s="22" t="str">
        <x:v>IF2609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4627</x:v>
      </x:c>
      <x:c r="E11" s="23" t="n">
        <x:v>4657.2</x:v>
      </x:c>
      <x:c r="F11" s="23" t="n">
        <x:v>4616.8</x:v>
      </x:c>
      <x:c r="G11" s="23" t="n">
        <x:v>4641</x:v>
      </x:c>
      <x:c r="H11" s="23" t="n">
        <x:v>16</x:v>
      </x:c>
      <x:c r="I11" s="24" t="n">
        <x:v>0.0034594594594594685</x:v>
      </x:c>
      <x:c r="J11" s="23" t="n">
        <x:f>ROUND(E11-F11,1)</x:f>
        <x:v>40.4</x:v>
      </x:c>
      <x:c r="K11" s="22" t="str">
        <x:v>IF2609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4657.8</x:v>
      </x:c>
      <x:c r="E12" s="23" t="n">
        <x:v>4681</x:v>
      </x:c>
      <x:c r="F12" s="23" t="n">
        <x:v>4621.4</x:v>
      </x:c>
      <x:c r="G12" s="23" t="n">
        <x:v>4624</x:v>
      </x:c>
      <x:c r="H12" s="23" t="n">
        <x:v>-17</x:v>
      </x:c>
      <x:c r="I12" s="24" t="n">
        <x:v>-0.00366300366300365</x:v>
      </x:c>
      <x:c r="J12" s="23" t="n">
        <x:f>ROUND(E12-F12,1)</x:f>
        <x:v>59.6</x:v>
      </x:c>
      <x:c r="K12" s="22" t="str">
        <x:v>IF2609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4635</x:v>
      </x:c>
      <x:c r="E13" s="23" t="n">
        <x:v>4639.6</x:v>
      </x:c>
      <x:c r="F13" s="23" t="n">
        <x:v>4598</x:v>
      </x:c>
      <x:c r="G13" s="23" t="n">
        <x:v>4620.4</x:v>
      </x:c>
      <x:c r="H13" s="23" t="n">
        <x:v>-3.6</x:v>
      </x:c>
      <x:c r="I13" s="24" t="n">
        <x:v>-0.0007785467128028634</x:v>
      </x:c>
      <x:c r="J13" s="23" t="n">
        <x:f>ROUND(E13-F13,1)</x:f>
        <x:v>41.6</x:v>
      </x:c>
      <x:c r="K13" s="22" t="str">
        <x:v>IF2609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4624</x:v>
      </x:c>
      <x:c r="E14" s="23" t="n">
        <x:v>4700.6</x:v>
      </x:c>
      <x:c r="F14" s="23" t="n">
        <x:v>4619.8</x:v>
      </x:c>
      <x:c r="G14" s="23" t="n">
        <x:v>4699</x:v>
      </x:c>
      <x:c r="H14" s="23" t="n">
        <x:v>78.6</x:v>
      </x:c>
      <x:c r="I14" s="24" t="n">
        <x:v>0.017011514154618768</x:v>
      </x:c>
      <x:c r="J14" s="23" t="n">
        <x:f>ROUND(E14-F14,1)</x:f>
        <x:v>80.8</x:v>
      </x:c>
      <x:c r="K14" s="22" t="str">
        <x:v>IF2609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4688.2</x:v>
      </x:c>
      <x:c r="E15" s="23" t="n">
        <x:v>4698.2</x:v>
      </x:c>
      <x:c r="F15" s="23" t="n">
        <x:v>4633.2</x:v>
      </x:c>
      <x:c r="G15" s="23" t="n">
        <x:v>4670.2</x:v>
      </x:c>
      <x:c r="H15" s="23" t="n">
        <x:v>-28.8</x:v>
      </x:c>
      <x:c r="I15" s="24" t="n">
        <x:v>-0.006128963609278615</x:v>
      </x:c>
      <x:c r="J15" s="23" t="n">
        <x:f>ROUND(E15-F15,1)</x:f>
        <x:v>65</x:v>
      </x:c>
      <x:c r="K15" s="22" t="str">
        <x:v>IF2609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4605.2</x:v>
      </x:c>
      <x:c r="E16" s="23" t="n">
        <x:v>4624.2</x:v>
      </x:c>
      <x:c r="F16" s="23" t="n">
        <x:v>4531.8</x:v>
      </x:c>
      <x:c r="G16" s="23" t="n">
        <x:v>4554.2</x:v>
      </x:c>
      <x:c r="H16" s="23" t="n">
        <x:v>-116</x:v>
      </x:c>
      <x:c r="I16" s="24" t="n">
        <x:v>-0.024838336687936224</x:v>
      </x:c>
      <x:c r="J16" s="26" t="n">
        <x:f>ROUND(E16-F16,1)</x:f>
        <x:v>92.4</x:v>
      </x:c>
      <x:c r="K16" s="22" t="str">
        <x:v>IF2609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4580</x:v>
      </x:c>
      <x:c r="E17" s="23" t="n">
        <x:v>4585</x:v>
      </x:c>
      <x:c r="F17" s="23" t="n">
        <x:v>4532.4</x:v>
      </x:c>
      <x:c r="G17" s="23" t="n">
        <x:v>4554</x:v>
      </x:c>
      <x:c r="H17" s="23" t="n">
        <x:v>-0.2</x:v>
      </x:c>
      <x:c r="I17" s="24" t="n">
        <x:v>-0.000043915506565350704</x:v>
      </x:c>
      <x:c r="J17" s="23" t="n">
        <x:f>ROUND(E17-F17,1)</x:f>
        <x:v>52.6</x:v>
      </x:c>
      <x:c r="K17" s="22" t="str">
        <x:v>IF2609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4556</x:v>
      </x:c>
      <x:c r="E18" s="42" t="n">
        <x:v>4595.8</x:v>
      </x:c>
      <x:c r="F18" s="42" t="n">
        <x:v>4542.4</x:v>
      </x:c>
      <x:c r="G18" s="42" t="n">
        <x:v>4576</x:v>
      </x:c>
      <x:c r="H18" s="42" t="n">
        <x:v>22</x:v>
      </x:c>
      <x:c r="I18" s="43" t="n">
        <x:v>0.004830917874396157</x:v>
      </x:c>
      <x:c r="J18" s="42" t="n">
        <x:f>ROUND(E18-F18,1)</x:f>
        <x:v>53.4</x:v>
      </x:c>
      <x:c r="K18" s="41" t="str">
        <x:v>IF2609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4607.4</x:v>
      </x:c>
      <x:c r="E19" s="23" t="n">
        <x:v>4607.4</x:v>
      </x:c>
      <x:c r="F19" s="23" t="n">
        <x:v>4486.4</x:v>
      </x:c>
      <x:c r="G19" s="23" t="n">
        <x:v>4526.4</x:v>
      </x:c>
      <x:c r="H19" s="23" t="n">
        <x:v>-49.6</x:v>
      </x:c>
      <x:c r="I19" s="24" t="n">
        <x:v>-0.010839160839160922</x:v>
      </x:c>
      <x:c r="J19" s="26" t="n">
        <x:f>ROUND(E19-F19,1)</x:f>
        <x:v>121</x:v>
      </x:c>
      <x:c r="K19" s="22" t="str">
        <x:v>IF2609</x:v>
      </x:c>
    </x:row>
    <x:row r="20">
      <x:c r="A20" s="22" t="n">
        <x:v>17</x:v>
      </x:c>
      <x:c r="B20" s="22" t="str">
        <x:v>周二</x:v>
      </x:c>
      <x:c r="C20" s="22" t="str">
        <x:v>8月25日</x:v>
      </x:c>
      <x:c r="D20" s="23" t="n">
        <x:v>4510</x:v>
      </x:c>
      <x:c r="E20" s="23" t="n">
        <x:v>4544.2</x:v>
      </x:c>
      <x:c r="F20" s="23" t="n">
        <x:v>4488</x:v>
      </x:c>
      <x:c r="G20" s="23" t="n">
        <x:v>4521.8</x:v>
      </x:c>
      <x:c r="H20" s="23" t="n">
        <x:v>-4.6</x:v>
      </x:c>
      <x:c r="I20" s="24" t="n">
        <x:v>-0.0010162601626014789</x:v>
      </x:c>
      <x:c r="J20" s="23" t="n">
        <x:f>ROUND(E20-F20,1)</x:f>
        <x:v>56.2</x:v>
      </x:c>
      <x:c r="K20" s="22" t="str">
        <x:v>IF2609</x:v>
      </x:c>
    </x:row>
    <x:row r="21">
      <x:c r="A21" s="22" t="n">
        <x:v>18</x:v>
      </x:c>
      <x:c r="B21" s="22" t="str">
        <x:v>周三</x:v>
      </x:c>
      <x:c r="C21" s="22" t="str">
        <x:v>8月26日</x:v>
      </x:c>
      <x:c r="D21" s="23" t="n">
        <x:v>4515.6</x:v>
      </x:c>
      <x:c r="E21" s="23" t="n">
        <x:v>4593.6</x:v>
      </x:c>
      <x:c r="F21" s="23" t="n">
        <x:v>4515.6</x:v>
      </x:c>
      <x:c r="G21" s="23" t="n">
        <x:v>4566.8</x:v>
      </x:c>
      <x:c r="H21" s="23" t="n">
        <x:v>45</x:v>
      </x:c>
      <x:c r="I21" s="24" t="n">
        <x:v>0.009951789110531184</x:v>
      </x:c>
      <x:c r="J21" s="23" t="n">
        <x:f>ROUND(E21-F21,1)</x:f>
        <x:v>78</x:v>
      </x:c>
      <x:c r="K21" s="22" t="str">
        <x:v>IF2609</x:v>
      </x:c>
    </x:row>
    <x:row r="24">
      <x:c r="A24" s="31" t="str">
        <x:v>合计</x:v>
      </x:c>
      <x:c r="B24" s="30" t="n">
        <x:v>18</x:v>
      </x:c>
      <x:c r="C24" s="30"/>
      <x:c r="D24" s="30"/>
      <x:c r="E24" s="30"/>
      <x:c r="F24" s="30"/>
      <x:c r="G24" s="30"/>
      <x:c r="H24" s="30"/>
      <x:c r="I24" s="30"/>
      <x:c r="J24" s="32" t="n">
        <x:f>SUM(J4:J21)</x:f>
        <x:v>1169.2</x:v>
      </x:c>
      <x:c r="K24" s="30"/>
    </x:row>
    <x:row r="25">
      <x:c r="A25" s="31" t="str">
        <x:v>均值</x:v>
      </x:c>
      <x:c r="B25" s="30"/>
      <x:c r="C25" s="30"/>
      <x:c r="D25" s="30"/>
      <x:c r="E25" s="30"/>
      <x:c r="F25" s="30"/>
      <x:c r="G25" s="30"/>
      <x:c r="H25" s="30"/>
      <x:c r="I25" s="30"/>
      <x:c r="J25" s="34" t="n">
        <x:f>ROUND(IFERROR(AVERAGE(J4:J21),0),1)</x:f>
        <x:v>65</x:v>
      </x:c>
      <x:c r="K25" s="30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2882.4</x:v>
      </x:c>
      <x:c r="E4" s="23" t="n">
        <x:v>2890</x:v>
      </x:c>
      <x:c r="F4" s="23" t="n">
        <x:v>2845.8</x:v>
      </x:c>
      <x:c r="G4" s="23" t="n">
        <x:v>2860</x:v>
      </x:c>
      <x:c r="H4" s="23" t="n">
        <x:v>-31.8</x:v>
      </x:c>
      <x:c r="I4" s="24" t="n">
        <x:v>-0.010996611107268905</x:v>
      </x:c>
      <x:c r="J4" s="23" t="n">
        <x:f>ROUND(E4-F4,1)</x:f>
        <x:v>44.2</x:v>
      </x:c>
      <x:c r="K4" s="22" t="str">
        <x:v>IH2609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2872</x:v>
      </x:c>
      <x:c r="E5" s="23" t="n">
        <x:v>2872</x:v>
      </x:c>
      <x:c r="F5" s="23" t="n">
        <x:v>2846.6</x:v>
      </x:c>
      <x:c r="G5" s="23" t="n">
        <x:v>2852.4</x:v>
      </x:c>
      <x:c r="H5" s="23" t="n">
        <x:v>-7.6</x:v>
      </x:c>
      <x:c r="I5" s="24" t="n">
        <x:v>-0.0026573426573426318</x:v>
      </x:c>
      <x:c r="J5" s="23" t="n">
        <x:f>ROUND(E5-F5,1)</x:f>
        <x:v>25.4</x:v>
      </x:c>
      <x:c r="K5" s="22" t="str">
        <x:v>IH2609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2858.8</x:v>
      </x:c>
      <x:c r="E6" s="23" t="n">
        <x:v>2907.6</x:v>
      </x:c>
      <x:c r="F6" s="23" t="n">
        <x:v>2855</x:v>
      </x:c>
      <x:c r="G6" s="23" t="n">
        <x:v>2893.4</x:v>
      </x:c>
      <x:c r="H6" s="23" t="n">
        <x:v>41</x:v>
      </x:c>
      <x:c r="I6" s="24" t="n">
        <x:v>0.014373860608610345</x:v>
      </x:c>
      <x:c r="J6" s="23" t="n">
        <x:f>ROUND(E6-F6,1)</x:f>
        <x:v>52.6</x:v>
      </x:c>
      <x:c r="K6" s="22" t="str">
        <x:v>IH2609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2885</x:v>
      </x:c>
      <x:c r="E7" s="23" t="n">
        <x:v>2897.8</x:v>
      </x:c>
      <x:c r="F7" s="23" t="n">
        <x:v>2879.8</x:v>
      </x:c>
      <x:c r="G7" s="23" t="n">
        <x:v>2897.2</x:v>
      </x:c>
      <x:c r="H7" s="23" t="n">
        <x:v>3.8</x:v>
      </x:c>
      <x:c r="I7" s="24" t="n">
        <x:v>0.001313333794152216</x:v>
      </x:c>
      <x:c r="J7" s="23" t="n">
        <x:f>ROUND(E7-F7,1)</x:f>
        <x:v>18</x:v>
      </x:c>
      <x:c r="K7" s="22" t="str">
        <x:v>IH2609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2892.2</x:v>
      </x:c>
      <x:c r="E8" s="23" t="n">
        <x:v>2930.6</x:v>
      </x:c>
      <x:c r="F8" s="23" t="n">
        <x:v>2884</x:v>
      </x:c>
      <x:c r="G8" s="23" t="n">
        <x:v>2930</x:v>
      </x:c>
      <x:c r="H8" s="23" t="n">
        <x:v>32.8</x:v>
      </x:c>
      <x:c r="I8" s="24" t="n">
        <x:v>0.011321275714482937</x:v>
      </x:c>
      <x:c r="J8" s="23" t="n">
        <x:f>ROUND(E8-F8,1)</x:f>
        <x:v>46.6</x:v>
      </x:c>
      <x:c r="K8" s="22" t="str">
        <x:v>IH2609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2930</x:v>
      </x:c>
      <x:c r="E9" s="23" t="n">
        <x:v>2949.6</x:v>
      </x:c>
      <x:c r="F9" s="23" t="n">
        <x:v>2927.8</x:v>
      </x:c>
      <x:c r="G9" s="23" t="n">
        <x:v>2936</x:v>
      </x:c>
      <x:c r="H9" s="23" t="n">
        <x:v>6</x:v>
      </x:c>
      <x:c r="I9" s="24" t="n">
        <x:v>0.0020477815699657675</x:v>
      </x:c>
      <x:c r="J9" s="23" t="n">
        <x:f>ROUND(E9-F9,1)</x:f>
        <x:v>21.8</x:v>
      </x:c>
      <x:c r="K9" s="22" t="str">
        <x:v>IH2609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2931.8</x:v>
      </x:c>
      <x:c r="E10" s="23" t="n">
        <x:v>2942.8</x:v>
      </x:c>
      <x:c r="F10" s="23" t="n">
        <x:v>2904.6</x:v>
      </x:c>
      <x:c r="G10" s="23" t="n">
        <x:v>2909</x:v>
      </x:c>
      <x:c r="H10" s="23" t="n">
        <x:v>-27</x:v>
      </x:c>
      <x:c r="I10" s="24" t="n">
        <x:v>-0.009196185286103553</x:v>
      </x:c>
      <x:c r="J10" s="23" t="n">
        <x:f>ROUND(E10-F10,1)</x:f>
        <x:v>38.2</x:v>
      </x:c>
      <x:c r="K10" s="22" t="str">
        <x:v>IH2609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2911.2</x:v>
      </x:c>
      <x:c r="E11" s="23" t="n">
        <x:v>2917.8</x:v>
      </x:c>
      <x:c r="F11" s="23" t="n">
        <x:v>2902</x:v>
      </x:c>
      <x:c r="G11" s="23" t="n">
        <x:v>2910</x:v>
      </x:c>
      <x:c r="H11" s="23" t="n">
        <x:v>1</x:v>
      </x:c>
      <x:c r="I11" s="24" t="n">
        <x:v>0.00034376074252318034</x:v>
      </x:c>
      <x:c r="J11" s="23" t="n">
        <x:f>ROUND(E11-F11,1)</x:f>
        <x:v>15.8</x:v>
      </x:c>
      <x:c r="K11" s="22" t="str">
        <x:v>IH2609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2915.2</x:v>
      </x:c>
      <x:c r="E12" s="23" t="n">
        <x:v>2933.6</x:v>
      </x:c>
      <x:c r="F12" s="23" t="n">
        <x:v>2900.6</x:v>
      </x:c>
      <x:c r="G12" s="23" t="n">
        <x:v>2902.6</x:v>
      </x:c>
      <x:c r="H12" s="23" t="n">
        <x:v>-7.4</x:v>
      </x:c>
      <x:c r="I12" s="24" t="n">
        <x:v>-0.0025429553264605387</x:v>
      </x:c>
      <x:c r="J12" s="23" t="n">
        <x:f>ROUND(E12-F12,1)</x:f>
        <x:v>33</x:v>
      </x:c>
      <x:c r="K12" s="22" t="str">
        <x:v>IH2609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2905.6</x:v>
      </x:c>
      <x:c r="E13" s="23" t="n">
        <x:v>2910.2</x:v>
      </x:c>
      <x:c r="F13" s="23" t="n">
        <x:v>2877</x:v>
      </x:c>
      <x:c r="G13" s="23" t="n">
        <x:v>2890</x:v>
      </x:c>
      <x:c r="H13" s="23" t="n">
        <x:v>-12.6</x:v>
      </x:c>
      <x:c r="I13" s="24" t="n">
        <x:v>-0.004340935712809135</x:v>
      </x:c>
      <x:c r="J13" s="23" t="n">
        <x:f>ROUND(E13-F13,1)</x:f>
        <x:v>33.2</x:v>
      </x:c>
      <x:c r="K13" s="22" t="str">
        <x:v>IH2609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2886</x:v>
      </x:c>
      <x:c r="E14" s="23" t="n">
        <x:v>2921.2</x:v>
      </x:c>
      <x:c r="F14" s="23" t="n">
        <x:v>2883.4</x:v>
      </x:c>
      <x:c r="G14" s="23" t="n">
        <x:v>2919.2</x:v>
      </x:c>
      <x:c r="H14" s="23" t="n">
        <x:v>29.2</x:v>
      </x:c>
      <x:c r="I14" s="24" t="n">
        <x:v>0.01010380622837359</x:v>
      </x:c>
      <x:c r="J14" s="23" t="n">
        <x:f>ROUND(E14-F14,1)</x:f>
        <x:v>37.8</x:v>
      </x:c>
      <x:c r="K14" s="22" t="str">
        <x:v>IH2609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2920</x:v>
      </x:c>
      <x:c r="E15" s="23" t="n">
        <x:v>2920</x:v>
      </x:c>
      <x:c r="F15" s="23" t="n">
        <x:v>2886.4</x:v>
      </x:c>
      <x:c r="G15" s="23" t="n">
        <x:v>2911.6</x:v>
      </x:c>
      <x:c r="H15" s="23" t="n">
        <x:v>-7.6</x:v>
      </x:c>
      <x:c r="I15" s="24" t="n">
        <x:v>-0.002603453000822098</x:v>
      </x:c>
      <x:c r="J15" s="23" t="n">
        <x:f>ROUND(E15-F15,1)</x:f>
        <x:v>33.6</x:v>
      </x:c>
      <x:c r="K15" s="22" t="str">
        <x:v>IH2609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2885</x:v>
      </x:c>
      <x:c r="E16" s="23" t="n">
        <x:v>2892.8</x:v>
      </x:c>
      <x:c r="F16" s="23" t="n">
        <x:v>2843</x:v>
      </x:c>
      <x:c r="G16" s="23" t="n">
        <x:v>2865</x:v>
      </x:c>
      <x:c r="H16" s="23" t="n">
        <x:v>-46.6</x:v>
      </x:c>
      <x:c r="I16" s="24" t="n">
        <x:v>-0.01600494573430411</x:v>
      </x:c>
      <x:c r="J16" s="23" t="n">
        <x:f>ROUND(E16-F16,1)</x:f>
        <x:v>49.8</x:v>
      </x:c>
      <x:c r="K16" s="22" t="str">
        <x:v>IH2609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2871.6</x:v>
      </x:c>
      <x:c r="E17" s="23" t="n">
        <x:v>2880.8</x:v>
      </x:c>
      <x:c r="F17" s="23" t="n">
        <x:v>2848</x:v>
      </x:c>
      <x:c r="G17" s="23" t="n">
        <x:v>2858.8</x:v>
      </x:c>
      <x:c r="H17" s="23" t="n">
        <x:v>-6.2</x:v>
      </x:c>
      <x:c r="I17" s="24" t="n">
        <x:v>-0.0021640488656194945</x:v>
      </x:c>
      <x:c r="J17" s="23" t="n">
        <x:f>ROUND(E17-F17,1)</x:f>
        <x:v>32.8</x:v>
      </x:c>
      <x:c r="K17" s="22" t="str">
        <x:v>IH2609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2854</x:v>
      </x:c>
      <x:c r="E18" s="42" t="n">
        <x:v>2873</x:v>
      </x:c>
      <x:c r="F18" s="42" t="n">
        <x:v>2847.2</x:v>
      </x:c>
      <x:c r="G18" s="42" t="n">
        <x:v>2861</x:v>
      </x:c>
      <x:c r="H18" s="42" t="n">
        <x:v>2.2</x:v>
      </x:c>
      <x:c r="I18" s="43" t="n">
        <x:v>0.0007695536588778751</x:v>
      </x:c>
      <x:c r="J18" s="42" t="n">
        <x:f>ROUND(E18-F18,1)</x:f>
        <x:v>25.8</x:v>
      </x:c>
      <x:c r="K18" s="41" t="str">
        <x:v>IH2609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2856.4</x:v>
      </x:c>
      <x:c r="E19" s="23" t="n">
        <x:v>2866.8</x:v>
      </x:c>
      <x:c r="F19" s="23" t="n">
        <x:v>2837.4</x:v>
      </x:c>
      <x:c r="G19" s="23" t="n">
        <x:v>2851</x:v>
      </x:c>
      <x:c r="H19" s="23" t="n">
        <x:v>-10</x:v>
      </x:c>
      <x:c r="I19" s="24" t="n">
        <x:v>-0.003495281370150316</x:v>
      </x:c>
      <x:c r="J19" s="23" t="n">
        <x:f>ROUND(E19-F19,1)</x:f>
        <x:v>29.4</x:v>
      </x:c>
      <x:c r="K19" s="22" t="str">
        <x:v>IH2609</x:v>
      </x:c>
    </x:row>
    <x:row r="20">
      <x:c r="A20" s="22" t="n">
        <x:v>17</x:v>
      </x:c>
      <x:c r="B20" s="22" t="str">
        <x:v>周二</x:v>
      </x:c>
      <x:c r="C20" s="22" t="str">
        <x:v>8月25日</x:v>
      </x:c>
      <x:c r="D20" s="23" t="n">
        <x:v>2855.2</x:v>
      </x:c>
      <x:c r="E20" s="23" t="n">
        <x:v>2864.4</x:v>
      </x:c>
      <x:c r="F20" s="23" t="n">
        <x:v>2840</x:v>
      </x:c>
      <x:c r="G20" s="23" t="n">
        <x:v>2855.2</x:v>
      </x:c>
      <x:c r="H20" s="23" t="n">
        <x:v>4.2</x:v>
      </x:c>
      <x:c r="I20" s="24" t="n">
        <x:v>0.001473167309715917</x:v>
      </x:c>
      <x:c r="J20" s="23" t="n">
        <x:f>ROUND(E20-F20,1)</x:f>
        <x:v>24.4</x:v>
      </x:c>
      <x:c r="K20" s="22" t="str">
        <x:v>IH2609</x:v>
      </x:c>
    </x:row>
    <x:row r="21">
      <x:c r="A21" s="22" t="n">
        <x:v>18</x:v>
      </x:c>
      <x:c r="B21" s="22" t="str">
        <x:v>周三</x:v>
      </x:c>
      <x:c r="C21" s="22" t="str">
        <x:v>8月26日</x:v>
      </x:c>
      <x:c r="D21" s="23" t="n">
        <x:v>2850</x:v>
      </x:c>
      <x:c r="E21" s="23" t="n">
        <x:v>2903.8</x:v>
      </x:c>
      <x:c r="F21" s="23" t="n">
        <x:v>2850</x:v>
      </x:c>
      <x:c r="G21" s="23" t="n">
        <x:v>2888.8</x:v>
      </x:c>
      <x:c r="H21" s="23" t="n">
        <x:v>33.6</x:v>
      </x:c>
      <x:c r="I21" s="24" t="n">
        <x:v>0.0117680022415243</x:v>
      </x:c>
      <x:c r="J21" s="23" t="n">
        <x:f>ROUND(E21-F21,1)</x:f>
        <x:v>53.8</x:v>
      </x:c>
      <x:c r="K21" s="22" t="str">
        <x:v>IH2609</x:v>
      </x:c>
    </x:row>
    <x:row r="24">
      <x:c r="A24" s="31" t="str">
        <x:v>合计</x:v>
      </x:c>
      <x:c r="B24" s="30" t="n">
        <x:v>18</x:v>
      </x:c>
      <x:c r="C24" s="30"/>
      <x:c r="D24" s="30"/>
      <x:c r="E24" s="30"/>
      <x:c r="F24" s="30"/>
      <x:c r="G24" s="30"/>
      <x:c r="H24" s="30"/>
      <x:c r="I24" s="30"/>
      <x:c r="J24" s="32" t="n">
        <x:f>SUM(J4:J21)</x:f>
        <x:v>616.2</x:v>
      </x:c>
      <x:c r="K24" s="30"/>
    </x:row>
    <x:row r="25">
      <x:c r="A25" s="31" t="str">
        <x:v>均值</x:v>
      </x:c>
      <x:c r="B25" s="30"/>
      <x:c r="C25" s="30"/>
      <x:c r="D25" s="30"/>
      <x:c r="E25" s="30"/>
      <x:c r="F25" s="30"/>
      <x:c r="G25" s="30"/>
      <x:c r="H25" s="30"/>
      <x:c r="I25" s="30"/>
      <x:c r="J25" s="34" t="n">
        <x:f>ROUND(IFERROR(AVERAGE(J4:J21),0),1)</x:f>
        <x:v>34.2</x:v>
      </x:c>
      <x:c r="K25" s="30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碳酸锂2609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137500</x:v>
      </x:c>
      <x:c r="E4" s="23" t="n">
        <x:v>140840</x:v>
      </x:c>
      <x:c r="F4" s="23" t="n">
        <x:v>135560</x:v>
      </x:c>
      <x:c r="G4" s="23" t="n">
        <x:v>138900</x:v>
      </x:c>
      <x:c r="H4" s="28" t="n">
        <x:v>1140</x:v>
      </x:c>
      <x:c r="I4" s="24" t="n">
        <x:v>0.008275261324041772</x:v>
      </x:c>
      <x:c r="J4" s="23" t="n">
        <x:f>ROUND(E4-F4,1)</x:f>
        <x:v>5280</x:v>
      </x:c>
      <x:c r="K4" s="22" t="str">
        <x:v>LC2609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138780</x:v>
      </x:c>
      <x:c r="E5" s="23" t="n">
        <x:v>141360</x:v>
      </x:c>
      <x:c r="F5" s="23" t="n">
        <x:v>137340</x:v>
      </x:c>
      <x:c r="G5" s="23" t="n">
        <x:v>139380</x:v>
      </x:c>
      <x:c r="H5" s="28" t="n">
        <x:v>480</x:v>
      </x:c>
      <x:c r="I5" s="24" t="n">
        <x:v>0.003455723542116651</x:v>
      </x:c>
      <x:c r="J5" s="23" t="n">
        <x:f>ROUND(E5-F5,1)</x:f>
        <x:v>4020</x:v>
      </x:c>
      <x:c r="K5" s="22" t="str">
        <x:v>LC2609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139720</x:v>
      </x:c>
      <x:c r="E6" s="23" t="n">
        <x:v>144300</x:v>
      </x:c>
      <x:c r="F6" s="23" t="n">
        <x:v>138320</x:v>
      </x:c>
      <x:c r="G6" s="23" t="n">
        <x:v>143220</x:v>
      </x:c>
      <x:c r="H6" s="28" t="n">
        <x:v>3840</x:v>
      </x:c>
      <x:c r="I6" s="24" t="n">
        <x:v>0.027550581145070918</x:v>
      </x:c>
      <x:c r="J6" s="23" t="n">
        <x:f>ROUND(E6-F6,1)</x:f>
        <x:v>5980</x:v>
      </x:c>
      <x:c r="K6" s="22" t="str">
        <x:v>LC2609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143200</x:v>
      </x:c>
      <x:c r="E7" s="23" t="n">
        <x:v>143860</x:v>
      </x:c>
      <x:c r="F7" s="23" t="n">
        <x:v>139240</x:v>
      </x:c>
      <x:c r="G7" s="23" t="n">
        <x:v>141460</x:v>
      </x:c>
      <x:c r="H7" s="28" t="n">
        <x:v>-1760</x:v>
      </x:c>
      <x:c r="I7" s="24" t="n">
        <x:v>-0.01228878648233489</x:v>
      </x:c>
      <x:c r="J7" s="23" t="n">
        <x:f>ROUND(E7-F7,1)</x:f>
        <x:v>4620</x:v>
      </x:c>
      <x:c r="K7" s="22" t="str">
        <x:v>LC2609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142920</x:v>
      </x:c>
      <x:c r="E8" s="23" t="n">
        <x:v>144800</x:v>
      </x:c>
      <x:c r="F8" s="23" t="n">
        <x:v>139600</x:v>
      </x:c>
      <x:c r="G8" s="23" t="n">
        <x:v>140000</x:v>
      </x:c>
      <x:c r="H8" s="28" t="n">
        <x:v>-1460</x:v>
      </x:c>
      <x:c r="I8" s="24" t="n">
        <x:v>-0.01032093878128093</x:v>
      </x:c>
      <x:c r="J8" s="23" t="n">
        <x:f>ROUND(E8-F8,1)</x:f>
        <x:v>5200</x:v>
      </x:c>
      <x:c r="K8" s="22" t="str">
        <x:v>LC2609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140500</x:v>
      </x:c>
      <x:c r="E9" s="23" t="n">
        <x:v>146380</x:v>
      </x:c>
      <x:c r="F9" s="23" t="n">
        <x:v>139280</x:v>
      </x:c>
      <x:c r="G9" s="23" t="n">
        <x:v>146360</x:v>
      </x:c>
      <x:c r="H9" s="28" t="n">
        <x:v>6360</x:v>
      </x:c>
      <x:c r="I9" s="24" t="n">
        <x:v>0.045428571428571374</x:v>
      </x:c>
      <x:c r="J9" s="26" t="n">
        <x:f>ROUND(E9-F9,1)</x:f>
        <x:v>7100</x:v>
      </x:c>
      <x:c r="K9" s="22" t="str">
        <x:v>LC2609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146500</x:v>
      </x:c>
      <x:c r="E10" s="23" t="n">
        <x:v>146680</x:v>
      </x:c>
      <x:c r="F10" s="23" t="n">
        <x:v>143500</x:v>
      </x:c>
      <x:c r="G10" s="23" t="n">
        <x:v>145860</x:v>
      </x:c>
      <x:c r="H10" s="28" t="n">
        <x:v>-500</x:v>
      </x:c>
      <x:c r="I10" s="24" t="n">
        <x:v>-0.0034162339437004974</x:v>
      </x:c>
      <x:c r="J10" s="23" t="n">
        <x:f>ROUND(E10-F10,1)</x:f>
        <x:v>3180</x:v>
      </x:c>
      <x:c r="K10" s="22" t="str">
        <x:v>LC2609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146200</x:v>
      </x:c>
      <x:c r="E11" s="23" t="n">
        <x:v>150880</x:v>
      </x:c>
      <x:c r="F11" s="23" t="n">
        <x:v>146060</x:v>
      </x:c>
      <x:c r="G11" s="23" t="n">
        <x:v>149700</x:v>
      </x:c>
      <x:c r="H11" s="28" t="n">
        <x:v>3840</x:v>
      </x:c>
      <x:c r="I11" s="24" t="n">
        <x:v>0.026326614561908768</x:v>
      </x:c>
      <x:c r="J11" s="23" t="n">
        <x:f>ROUND(E11-F11,1)</x:f>
        <x:v>4820</x:v>
      </x:c>
      <x:c r="K11" s="22" t="str">
        <x:v>LC2609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150100</x:v>
      </x:c>
      <x:c r="E12" s="23" t="n">
        <x:v>152440</x:v>
      </x:c>
      <x:c r="F12" s="23" t="n">
        <x:v>147100</x:v>
      </x:c>
      <x:c r="G12" s="23" t="n">
        <x:v>151420</x:v>
      </x:c>
      <x:c r="H12" s="28" t="n">
        <x:v>1720</x:v>
      </x:c>
      <x:c r="I12" s="24" t="n">
        <x:v>0.011489645958583816</x:v>
      </x:c>
      <x:c r="J12" s="23" t="n">
        <x:f>ROUND(E12-F12,1)</x:f>
        <x:v>5340</x:v>
      </x:c>
      <x:c r="K12" s="22" t="str">
        <x:v>LC2609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149700</x:v>
      </x:c>
      <x:c r="E13" s="23" t="n">
        <x:v>154500</x:v>
      </x:c>
      <x:c r="F13" s="23" t="n">
        <x:v>149700</x:v>
      </x:c>
      <x:c r="G13" s="23" t="n">
        <x:v>153940</x:v>
      </x:c>
      <x:c r="H13" s="28" t="n">
        <x:v>2520</x:v>
      </x:c>
      <x:c r="I13" s="24" t="n">
        <x:v>0.016642451459516483</x:v>
      </x:c>
      <x:c r="J13" s="23" t="n">
        <x:f>ROUND(E13-F13,1)</x:f>
        <x:v>4800</x:v>
      </x:c>
      <x:c r="K13" s="22" t="str">
        <x:v>LC2609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154300</x:v>
      </x:c>
      <x:c r="E14" s="23" t="n">
        <x:v>155220</x:v>
      </x:c>
      <x:c r="F14" s="23" t="n">
        <x:v>150520</x:v>
      </x:c>
      <x:c r="G14" s="23" t="n">
        <x:v>152860</x:v>
      </x:c>
      <x:c r="H14" s="28" t="n">
        <x:v>-1080</x:v>
      </x:c>
      <x:c r="I14" s="24" t="n">
        <x:v>-0.007015720410549542</x:v>
      </x:c>
      <x:c r="J14" s="23" t="n">
        <x:f>ROUND(E14-F14,1)</x:f>
        <x:v>4700</x:v>
      </x:c>
      <x:c r="K14" s="22" t="str">
        <x:v>LC2609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153500</x:v>
      </x:c>
      <x:c r="E15" s="23" t="n">
        <x:v>155980</x:v>
      </x:c>
      <x:c r="F15" s="23" t="n">
        <x:v>151520</x:v>
      </x:c>
      <x:c r="G15" s="23" t="n">
        <x:v>153940</x:v>
      </x:c>
      <x:c r="H15" s="28" t="n">
        <x:v>1080</x:v>
      </x:c>
      <x:c r="I15" s="24" t="n">
        <x:v>0.007065288499280342</x:v>
      </x:c>
      <x:c r="J15" s="23" t="n">
        <x:f>ROUND(E15-F15,1)</x:f>
        <x:v>4460</x:v>
      </x:c>
      <x:c r="K15" s="22" t="str">
        <x:v>LC2609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152260</x:v>
      </x:c>
      <x:c r="E16" s="23" t="n">
        <x:v>153220</x:v>
      </x:c>
      <x:c r="F16" s="23" t="n">
        <x:v>148400</x:v>
      </x:c>
      <x:c r="G16" s="23" t="n">
        <x:v>149480</x:v>
      </x:c>
      <x:c r="H16" s="28" t="n">
        <x:v>-4460</x:v>
      </x:c>
      <x:c r="I16" s="24" t="n">
        <x:v>-0.028972326880602806</x:v>
      </x:c>
      <x:c r="J16" s="23" t="n">
        <x:f>ROUND(E16-F16,1)</x:f>
        <x:v>4820</x:v>
      </x:c>
      <x:c r="K16" s="22" t="str">
        <x:v>LC2609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150800</x:v>
      </x:c>
      <x:c r="E17" s="23" t="n">
        <x:v>152600</x:v>
      </x:c>
      <x:c r="F17" s="23" t="n">
        <x:v>149800</x:v>
      </x:c>
      <x:c r="G17" s="23" t="n">
        <x:v>151500</x:v>
      </x:c>
      <x:c r="H17" s="28" t="n">
        <x:v>2020</x:v>
      </x:c>
      <x:c r="I17" s="24" t="n">
        <x:v>0.013513513513513598</x:v>
      </x:c>
      <x:c r="J17" s="23" t="n">
        <x:f>ROUND(E17-F17,1)</x:f>
        <x:v>2800</x:v>
      </x:c>
      <x:c r="K17" s="22" t="str">
        <x:v>LC2609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151500</x:v>
      </x:c>
      <x:c r="E18" s="42" t="n">
        <x:v>157000</x:v>
      </x:c>
      <x:c r="F18" s="42" t="n">
        <x:v>150020</x:v>
      </x:c>
      <x:c r="G18" s="42" t="n">
        <x:v>156140</x:v>
      </x:c>
      <x:c r="H18" s="28" t="n">
        <x:v>4640</x:v>
      </x:c>
      <x:c r="I18" s="43" t="n">
        <x:v>0.03062706270627058</x:v>
      </x:c>
      <x:c r="J18" s="26" t="n">
        <x:f>ROUND(E18-F18,1)</x:f>
        <x:v>6980</x:v>
      </x:c>
      <x:c r="K18" s="41" t="str">
        <x:v>LC2609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158500</x:v>
      </x:c>
      <x:c r="E19" s="23" t="n">
        <x:v>160000</x:v>
      </x:c>
      <x:c r="F19" s="23" t="n">
        <x:v>154280</x:v>
      </x:c>
      <x:c r="G19" s="23" t="n">
        <x:v>157000</x:v>
      </x:c>
      <x:c r="H19" s="28" t="n">
        <x:v>860</x:v>
      </x:c>
      <x:c r="I19" s="24" t="n">
        <x:v>0.005507877545792184</x:v>
      </x:c>
      <x:c r="J19" s="23" t="n">
        <x:f>ROUND(E19-F19,1)</x:f>
        <x:v>5720</x:v>
      </x:c>
      <x:c r="K19" s="22" t="str">
        <x:v>LC2609</x:v>
      </x:c>
    </x:row>
    <x:row r="20">
      <x:c r="A20" s="22" t="n">
        <x:v>17</x:v>
      </x:c>
      <x:c r="B20" s="22" t="str">
        <x:v>周二</x:v>
      </x:c>
      <x:c r="C20" s="22" t="str">
        <x:v>8月25日</x:v>
      </x:c>
      <x:c r="D20" s="23" t="n">
        <x:v>156000</x:v>
      </x:c>
      <x:c r="E20" s="23" t="n">
        <x:v>157980</x:v>
      </x:c>
      <x:c r="F20" s="23" t="n">
        <x:v>149300</x:v>
      </x:c>
      <x:c r="G20" s="23" t="n">
        <x:v>149300</x:v>
      </x:c>
      <x:c r="H20" s="28" t="n">
        <x:v>-7700</x:v>
      </x:c>
      <x:c r="I20" s="24" t="n">
        <x:v>-0.049044585987261136</x:v>
      </x:c>
      <x:c r="J20" s="26" t="n">
        <x:f>ROUND(E20-F20,1)</x:f>
        <x:v>8680</x:v>
      </x:c>
      <x:c r="K20" s="22" t="str">
        <x:v>LC2609</x:v>
      </x:c>
    </x:row>
    <x:row r="21">
      <x:c r="A21" s="22" t="n">
        <x:v>18</x:v>
      </x:c>
      <x:c r="B21" s="22" t="str">
        <x:v>周三</x:v>
      </x:c>
      <x:c r="C21" s="22" t="str">
        <x:v>8月26日</x:v>
      </x:c>
      <x:c r="D21" s="23" t="n">
        <x:v>147000</x:v>
      </x:c>
      <x:c r="E21" s="23" t="n">
        <x:v>153380</x:v>
      </x:c>
      <x:c r="F21" s="23" t="n">
        <x:v>147000</x:v>
      </x:c>
      <x:c r="G21" s="23" t="n">
        <x:v>150580</x:v>
      </x:c>
      <x:c r="H21" s="28" t="n">
        <x:v>1280</x:v>
      </x:c>
      <x:c r="I21" s="24" t="n">
        <x:v>0.008573342263898276</x:v>
      </x:c>
      <x:c r="J21" s="26" t="n">
        <x:f>ROUND(E21-F21,1)</x:f>
        <x:v>6380</x:v>
      </x:c>
      <x:c r="K21" s="22" t="str">
        <x:v>LC2609</x:v>
      </x:c>
    </x:row>
    <x:row r="24">
      <x:c r="A24" s="31" t="str">
        <x:v>合计</x:v>
      </x:c>
      <x:c r="B24" s="30" t="n">
        <x:v>18</x:v>
      </x:c>
      <x:c r="C24" s="30"/>
      <x:c r="D24" s="30"/>
      <x:c r="E24" s="30"/>
      <x:c r="F24" s="30"/>
      <x:c r="G24" s="30"/>
      <x:c r="H24" s="30"/>
      <x:c r="I24" s="30"/>
      <x:c r="J24" s="32" t="n">
        <x:f>SUM(J4:J21)</x:f>
        <x:v>94880</x:v>
      </x:c>
      <x:c r="K24" s="30"/>
    </x:row>
    <x:row r="25">
      <x:c r="A25" s="31" t="str">
        <x:v>均值</x:v>
      </x:c>
      <x:c r="B25" s="30"/>
      <x:c r="C25" s="30"/>
      <x:c r="D25" s="30"/>
      <x:c r="E25" s="30"/>
      <x:c r="F25" s="30"/>
      <x:c r="G25" s="30"/>
      <x:c r="H25" s="30"/>
      <x:c r="I25" s="30"/>
      <x:c r="J25" s="34" t="n">
        <x:f>ROUND(IFERROR(AVERAGE(J4:J21),0),1)</x:f>
        <x:v>5271.1</x:v>
      </x:c>
      <x:c r="K25" s="30"/>
    </x:row>
  </x:sheetData>
  <x:mergeCells>
    <x:mergeCell ref="A1:K1"/>
  </x:mergeCells>
  <x:pageMargins left="0.7" right="0.7" top="0.75" bottom="0.75" header="0.3" footer="0.3"/>
</x:worksheet>
</file>