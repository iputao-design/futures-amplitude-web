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3bb0c0b6394a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79635d2925904f25"/>
    <x:sheet xmlns:r="http://schemas.openxmlformats.org/officeDocument/2006/relationships" name="周振幅统计" sheetId="2" r:id="Rfb83d253b0834d82"/>
    <x:sheet xmlns:r="http://schemas.openxmlformats.org/officeDocument/2006/relationships" name="中证1000" sheetId="3" r:id="R2ae3c79ca5ec49b5"/>
    <x:sheet xmlns:r="http://schemas.openxmlformats.org/officeDocument/2006/relationships" name="中证500" sheetId="4" r:id="R196fbcc2f3134630"/>
    <x:sheet xmlns:r="http://schemas.openxmlformats.org/officeDocument/2006/relationships" name="上证指数" sheetId="5" r:id="Rccd843930b584fc5"/>
    <x:sheet xmlns:r="http://schemas.openxmlformats.org/officeDocument/2006/relationships" name="IM主力" sheetId="6" r:id="Re82673bb0c804cfe"/>
    <x:sheet xmlns:r="http://schemas.openxmlformats.org/officeDocument/2006/relationships" name="IC主力" sheetId="7" r:id="Redb925ade6494f62"/>
    <x:sheet xmlns:r="http://schemas.openxmlformats.org/officeDocument/2006/relationships" name="IF主力" sheetId="8" r:id="R88ecdf527d9040f0"/>
    <x:sheet xmlns:r="http://schemas.openxmlformats.org/officeDocument/2006/relationships" name="IH主力" sheetId="9" r:id="Rc495cd896d894730"/>
    <x:sheet xmlns:r="http://schemas.openxmlformats.org/officeDocument/2006/relationships" name="碳酸锂2609" sheetId="10" r:id="Rf06841941ea44f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eedb786f3ad456e" /><Relationship Type="http://schemas.openxmlformats.org/officeDocument/2006/relationships/theme" Target="/xl/theme/theme1.xml" Id="Rec80b4722ef64872" /><Relationship Type="http://schemas.openxmlformats.org/officeDocument/2006/relationships/sharedStrings" Target="/xl/sharedStrings.xml" Id="R1283d42e1de34202" /><Relationship Type="http://schemas.openxmlformats.org/officeDocument/2006/relationships/worksheet" Target="/xl/worksheets/sheet1.xml" Id="R79635d2925904f25" /><Relationship Type="http://schemas.openxmlformats.org/officeDocument/2006/relationships/worksheet" Target="/xl/worksheets/sheet2.xml" Id="Rfb83d253b0834d82" /><Relationship Type="http://schemas.openxmlformats.org/officeDocument/2006/relationships/worksheet" Target="/xl/worksheets/sheet3.xml" Id="R2ae3c79ca5ec49b5" /><Relationship Type="http://schemas.openxmlformats.org/officeDocument/2006/relationships/worksheet" Target="/xl/worksheets/sheet4.xml" Id="R196fbcc2f3134630" /><Relationship Type="http://schemas.openxmlformats.org/officeDocument/2006/relationships/worksheet" Target="/xl/worksheets/sheet5.xml" Id="Rccd843930b584fc5" /><Relationship Type="http://schemas.openxmlformats.org/officeDocument/2006/relationships/worksheet" Target="/xl/worksheets/sheet6.xml" Id="Re82673bb0c804cfe" /><Relationship Type="http://schemas.openxmlformats.org/officeDocument/2006/relationships/worksheet" Target="/xl/worksheets/sheet7.xml" Id="Redb925ade6494f62" /><Relationship Type="http://schemas.openxmlformats.org/officeDocument/2006/relationships/worksheet" Target="/xl/worksheets/sheet8.xml" Id="R88ecdf527d9040f0" /><Relationship Type="http://schemas.openxmlformats.org/officeDocument/2006/relationships/worksheet" Target="/xl/worksheets/sheet9.xml" Id="Rc495cd896d894730" /><Relationship Type="http://schemas.openxmlformats.org/officeDocument/2006/relationships/worksheet" Target="/xl/worksheets/sheet10.xml" Id="Rf06841941ea44f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2026-09-11</x:v>
      </x:c>
      <x:c r="C4" s="10" t="n">
        <x:v>7506.24</x:v>
      </x:c>
      <x:c r="D4" s="10" t="n">
        <x:v>7284.53</x:v>
      </x:c>
      <x:c r="E4" s="12" t="n">
        <x:v>221.7</x:v>
      </x:c>
      <x:c r="F4" s="9" t="n">
        <x:v>9</x:v>
      </x:c>
      <x:c r="G4" s="10" t="n">
        <x:v>1212.6</x:v>
      </x:c>
      <x:c r="H4" s="10" t="n">
        <x:v>134.7</x:v>
      </x:c>
      <x:c r="I4" s="10" t="n">
        <x:v>180</x:v>
      </x:c>
    </x:row>
    <x:row r="5">
      <x:c r="A5" s="9" t="str">
        <x:v>中证500</x:v>
      </x:c>
      <x:c r="B5" s="9" t="str">
        <x:v>2026-09-11</x:v>
      </x:c>
      <x:c r="C5" s="10" t="n">
        <x:v>7638.63</x:v>
      </x:c>
      <x:c r="D5" s="10" t="n">
        <x:v>7451.12</x:v>
      </x:c>
      <x:c r="E5" s="12" t="n">
        <x:v>187.5</x:v>
      </x:c>
      <x:c r="F5" s="9" t="n">
        <x:v>9</x:v>
      </x:c>
      <x:c r="G5" s="10" t="n">
        <x:v>1109.2</x:v>
      </x:c>
      <x:c r="H5" s="10" t="n">
        <x:v>123.2</x:v>
      </x:c>
      <x:c r="I5" s="10" t="n">
        <x:v>160</x:v>
      </x:c>
    </x:row>
    <x:row r="6">
      <x:c r="A6" s="9" t="str">
        <x:v>上证指数</x:v>
      </x:c>
      <x:c r="B6" s="9" t="str">
        <x:v>2026-09-11</x:v>
      </x:c>
      <x:c r="C6" s="10" t="n">
        <x:v>3912.32</x:v>
      </x:c>
      <x:c r="D6" s="10" t="n">
        <x:v>3852.03</x:v>
      </x:c>
      <x:c r="E6" s="12" t="n">
        <x:v>60.3</x:v>
      </x:c>
      <x:c r="F6" s="9" t="n">
        <x:v>9</x:v>
      </x:c>
      <x:c r="G6" s="10" t="n">
        <x:v>319.4</x:v>
      </x:c>
      <x:c r="H6" s="10" t="n">
        <x:v>35.5</x:v>
      </x:c>
      <x:c r="I6" s="10" t="n">
        <x:v>50</x:v>
      </x:c>
    </x:row>
    <x:row r="7">
      <x:c r="A7" s="9" t="str">
        <x:v>IM主力</x:v>
      </x:c>
      <x:c r="B7" s="9" t="str">
        <x:v>2026-09-11</x:v>
      </x:c>
      <x:c r="C7" s="10" t="n">
        <x:v>7488.8</x:v>
      </x:c>
      <x:c r="D7" s="10" t="n">
        <x:v>7259.4</x:v>
      </x:c>
      <x:c r="E7" s="12" t="n">
        <x:v>229.4</x:v>
      </x:c>
      <x:c r="F7" s="9" t="n">
        <x:v>9</x:v>
      </x:c>
      <x:c r="G7" s="10" t="n">
        <x:v>1356.4</x:v>
      </x:c>
      <x:c r="H7" s="10" t="n">
        <x:v>150.7</x:v>
      </x:c>
      <x:c r="I7" s="10" t="n">
        <x:v>190</x:v>
      </x:c>
    </x:row>
    <x:row r="8">
      <x:c r="A8" s="9" t="str">
        <x:v>IC主力</x:v>
      </x:c>
      <x:c r="B8" s="9" t="str">
        <x:v>2026-09-11</x:v>
      </x:c>
      <x:c r="C8" s="10" t="n">
        <x:v>7626</x:v>
      </x:c>
      <x:c r="D8" s="10" t="n">
        <x:v>7418.8</x:v>
      </x:c>
      <x:c r="E8" s="12" t="n">
        <x:v>207.2</x:v>
      </x:c>
      <x:c r="F8" s="9" t="n">
        <x:v>9</x:v>
      </x:c>
      <x:c r="G8" s="10" t="n">
        <x:v>1326.8</x:v>
      </x:c>
      <x:c r="H8" s="10" t="n">
        <x:v>147.4</x:v>
      </x:c>
      <x:c r="I8" s="10" t="n">
        <x:v>150</x:v>
      </x:c>
    </x:row>
    <x:row r="9">
      <x:c r="A9" s="9" t="str">
        <x:v>IF主力</x:v>
      </x:c>
      <x:c r="B9" s="9" t="str">
        <x:v>2026-09-11</x:v>
      </x:c>
      <x:c r="C9" s="10" t="n">
        <x:v>4514</x:v>
      </x:c>
      <x:c r="D9" s="10" t="n">
        <x:v>4451.6</x:v>
      </x:c>
      <x:c r="E9" s="12" t="n">
        <x:v>62.4</x:v>
      </x:c>
      <x:c r="F9" s="9" t="n">
        <x:v>9</x:v>
      </x:c>
      <x:c r="G9" s="10" t="n">
        <x:v>476.8</x:v>
      </x:c>
      <x:c r="H9" s="10" t="n">
        <x:v>53</x:v>
      </x:c>
      <x:c r="I9" s="10" t="n">
        <x:v>90</x:v>
      </x:c>
    </x:row>
    <x:row r="10">
      <x:c r="A10" s="9" t="str">
        <x:v>IH主力</x:v>
      </x:c>
      <x:c r="B10" s="9" t="str">
        <x:v>2026-09-11</x:v>
      </x:c>
      <x:c r="C10" s="10" t="n">
        <x:v>2876.6</x:v>
      </x:c>
      <x:c r="D10" s="10" t="n">
        <x:v>2836.8</x:v>
      </x:c>
      <x:c r="E10" s="12" t="n">
        <x:v>39.8</x:v>
      </x:c>
      <x:c r="F10" s="9" t="n">
        <x:v>9</x:v>
      </x:c>
      <x:c r="G10" s="10" t="n">
        <x:v>289.4</x:v>
      </x:c>
      <x:c r="H10" s="10" t="n">
        <x:v>32.2</x:v>
      </x:c>
      <x:c r="I10" s="10" t="n">
        <x:v>60</x:v>
      </x:c>
    </x:row>
    <x:row r="11">
      <x:c r="A11" s="9" t="str">
        <x:v>碳酸锂2609</x:v>
      </x:c>
      <x:c r="B11" s="9" t="str">
        <x:v>2026-09-11</x:v>
      </x:c>
      <x:c r="C11" s="10" t="n">
        <x:v>135500</x:v>
      </x:c>
      <x:c r="D11" s="10" t="n">
        <x:v>131900</x:v>
      </x:c>
      <x:c r="E11" s="12" t="n">
        <x:v>3600</x:v>
      </x:c>
      <x:c r="F11" s="9" t="n">
        <x:v>9</x:v>
      </x:c>
      <x:c r="G11" s="10" t="n">
        <x:v>41200</x:v>
      </x:c>
      <x:c r="H11" s="10" t="n">
        <x:v>4577.8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2026-09-11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9" t="str">
        <x:v>合计</x:v>
      </x:c>
      <x:c r="B7" s="28" t="n">
        <x:v>2</x:v>
      </x:c>
      <x:c r="C7" s="28"/>
      <x:c r="D7" s="28"/>
      <x:c r="E7" s="28"/>
      <x:c r="F7" s="28"/>
      <x:c r="G7" s="28"/>
      <x:c r="H7" s="28"/>
      <x:c r="I7" s="30" t="n">
        <x:f>ROUND(SUM(I5:I6),1)</x:f>
        <x:v>748.5</x:v>
      </x:c>
      <x:c r="J7" s="28"/>
      <x:c r="K7" s="28"/>
    </x:row>
    <x:row r="8">
      <x:c r="A8" s="29" t="str">
        <x:v>均值</x:v>
      </x:c>
      <x:c r="B8" s="28"/>
      <x:c r="C8" s="28"/>
      <x:c r="D8" s="28"/>
      <x:c r="E8" s="28"/>
      <x:c r="F8" s="28"/>
      <x:c r="G8" s="28"/>
      <x:c r="H8" s="28"/>
      <x:c r="I8" s="32" t="n">
        <x:f>ROUND(IFERROR(AVERAGE(I5:I6),0),1)</x:f>
        <x:v>374.3</x:v>
      </x:c>
      <x:c r="J8" s="28"/>
      <x:c r="K8" s="28"/>
    </x:row>
    <x:row r="10">
      <x:c r="A10" s="17" t="str">
        <x:v>中证500</x:v>
      </x:c>
      <x:c r="B10" s="17"/>
      <x:c r="C10" s="17"/>
      <x:c r="D10" s="17"/>
      <x:c r="E10" s="17"/>
      <x:c r="F10" s="17"/>
      <x:c r="G10" s="17"/>
      <x:c r="H10" s="17"/>
      <x:c r="I10" s="17"/>
      <x:c r="J10" s="17"/>
      <x:c r="K10" s="17"/>
    </x:row>
    <x:row r="11">
      <x:c r="A11" s="20" t="str">
        <x:v>序号</x:v>
      </x:c>
      <x:c r="B11" s="20" t="str">
        <x:v>周期</x:v>
      </x:c>
      <x:c r="C11" s="20" t="str">
        <x:v>开盘</x:v>
      </x:c>
      <x:c r="D11" s="20" t="str">
        <x:v>高点</x:v>
      </x:c>
      <x:c r="E11" s="20" t="str">
        <x:v>低点</x:v>
      </x:c>
      <x:c r="F11" s="20" t="str">
        <x:v>收盘</x:v>
      </x:c>
      <x:c r="G11" s="20" t="str">
        <x:v>涨跌点数</x:v>
      </x:c>
      <x:c r="H11" s="20" t="str">
        <x:v>涨幅</x:v>
      </x:c>
      <x:c r="I11" s="20" t="str">
        <x:v>振幅</x:v>
      </x:c>
      <x:c r="J11" s="20" t="str">
        <x:v>标的</x:v>
      </x:c>
      <x:c r="K11" s="20" t="str">
        <x:v>交易日</x:v>
      </x:c>
    </x:row>
    <x:row r="12">
      <x:c r="A12" s="22" t="n">
        <x:v>1</x:v>
      </x:c>
      <x:c r="B12" s="22" t="str">
        <x:v>9月1日-9月4日</x:v>
      </x:c>
      <x:c r="C12" s="23" t="n">
        <x:v>7944.29</x:v>
      </x:c>
      <x:c r="D12" s="23" t="n">
        <x:v>7955.57</x:v>
      </x:c>
      <x:c r="E12" s="23" t="n">
        <x:v>7610.58</x:v>
      </x:c>
      <x:c r="F12" s="23" t="n">
        <x:v>7652.69</x:v>
      </x:c>
      <x:c r="G12" s="23"/>
      <x:c r="H12" s="24"/>
      <x:c r="I12" s="26" t="n">
        <x:f>ROUND(D12-E12,1)</x:f>
        <x:v>345</x:v>
      </x:c>
      <x:c r="J12" s="22" t="str">
        <x:v>中证500</x:v>
      </x:c>
      <x:c r="K12" s="22" t="n">
        <x:v>4</x:v>
      </x:c>
    </x:row>
    <x:row r="13">
      <x:c r="A13" s="22" t="n">
        <x:v>2</x:v>
      </x:c>
      <x:c r="B13" s="22" t="str">
        <x:v>9月7日-9月11日</x:v>
      </x:c>
      <x:c r="C13" s="23" t="n">
        <x:v>7687.47</x:v>
      </x:c>
      <x:c r="D13" s="23" t="n">
        <x:v>7830.16</x:v>
      </x:c>
      <x:c r="E13" s="23" t="n">
        <x:v>7451.12</x:v>
      </x:c>
      <x:c r="F13" s="23" t="n">
        <x:v>7580.54</x:v>
      </x:c>
      <x:c r="G13" s="23" t="n">
        <x:f>ROUND(F13-F12,1)</x:f>
        <x:v>-72.1</x:v>
      </x:c>
      <x:c r="H13" s="24" t="n">
        <x:f>IFERROR(F13/F12-1,"")</x:f>
        <x:v>-0.009428057323633832</x:v>
      </x:c>
      <x:c r="I13" s="26" t="n">
        <x:f>ROUND(D13-E13,1)</x:f>
        <x:v>379</x:v>
      </x:c>
      <x:c r="J13" s="22" t="str">
        <x:v>中证500</x:v>
      </x:c>
      <x:c r="K13" s="22" t="n">
        <x:v>5</x:v>
      </x:c>
    </x:row>
    <x:row r="14">
      <x:c r="A14" s="29" t="str">
        <x:v>合计</x:v>
      </x:c>
      <x:c r="B14" s="28" t="n">
        <x:v>2</x:v>
      </x:c>
      <x:c r="C14" s="28"/>
      <x:c r="D14" s="28"/>
      <x:c r="E14" s="28"/>
      <x:c r="F14" s="28"/>
      <x:c r="G14" s="28"/>
      <x:c r="H14" s="28"/>
      <x:c r="I14" s="30" t="n">
        <x:f>ROUND(SUM(I12:I13),1)</x:f>
        <x:v>724</x:v>
      </x:c>
      <x:c r="J14" s="28"/>
      <x:c r="K14" s="28"/>
    </x:row>
    <x:row r="15">
      <x:c r="A15" s="29" t="str">
        <x:v>均值</x:v>
      </x:c>
      <x:c r="B15" s="28"/>
      <x:c r="C15" s="28"/>
      <x:c r="D15" s="28"/>
      <x:c r="E15" s="28"/>
      <x:c r="F15" s="28"/>
      <x:c r="G15" s="28"/>
      <x:c r="H15" s="28"/>
      <x:c r="I15" s="32" t="n">
        <x:f>ROUND(IFERROR(AVERAGE(I12:I13),0),1)</x:f>
        <x:v>362</x:v>
      </x:c>
      <x:c r="J15" s="28"/>
      <x:c r="K15" s="28"/>
    </x:row>
    <x:row r="17">
      <x:c r="A17" s="17" t="str">
        <x:v>上证指数</x:v>
      </x:c>
      <x:c r="B17" s="17"/>
      <x:c r="C17" s="17"/>
      <x:c r="D17" s="17"/>
      <x:c r="E17" s="17"/>
      <x:c r="F17" s="17"/>
      <x:c r="G17" s="17"/>
      <x:c r="H17" s="17"/>
      <x:c r="I17" s="17"/>
      <x:c r="J17" s="17"/>
      <x:c r="K17" s="17"/>
    </x:row>
    <x:row r="18">
      <x:c r="A18" s="20" t="str">
        <x:v>序号</x:v>
      </x:c>
      <x:c r="B18" s="20" t="str">
        <x:v>周期</x:v>
      </x:c>
      <x:c r="C18" s="20" t="str">
        <x:v>开盘</x:v>
      </x:c>
      <x:c r="D18" s="20" t="str">
        <x:v>高点</x:v>
      </x:c>
      <x:c r="E18" s="20" t="str">
        <x:v>低点</x:v>
      </x:c>
      <x:c r="F18" s="20" t="str">
        <x:v>收盘</x:v>
      </x:c>
      <x:c r="G18" s="20" t="str">
        <x:v>涨跌点数</x:v>
      </x:c>
      <x:c r="H18" s="20" t="str">
        <x:v>涨幅</x:v>
      </x:c>
      <x:c r="I18" s="20" t="str">
        <x:v>振幅</x:v>
      </x:c>
      <x:c r="J18" s="20" t="str">
        <x:v>标的</x:v>
      </x:c>
      <x:c r="K18" s="20" t="str">
        <x:v>交易日</x:v>
      </x:c>
    </x:row>
    <x:row r="19">
      <x:c r="A19" s="22" t="n">
        <x:v>1</x:v>
      </x:c>
      <x:c r="B19" s="22" t="str">
        <x:v>9月1日-9月4日</x:v>
      </x:c>
      <x:c r="C19" s="23" t="n">
        <x:v>3979.88</x:v>
      </x:c>
      <x:c r="D19" s="23" t="n">
        <x:v>3995.18</x:v>
      </x:c>
      <x:c r="E19" s="23" t="n">
        <x:v>3915.22</x:v>
      </x:c>
      <x:c r="F19" s="23" t="n">
        <x:v>3930.12</x:v>
      </x:c>
      <x:c r="G19" s="23"/>
      <x:c r="H19" s="24"/>
      <x:c r="I19" s="26" t="n">
        <x:f>ROUND(D19-E19,1)</x:f>
        <x:v>80</x:v>
      </x:c>
      <x:c r="J19" s="22" t="str">
        <x:v>上证指数</x:v>
      </x:c>
      <x:c r="K19" s="22" t="n">
        <x:v>4</x:v>
      </x:c>
    </x:row>
    <x:row r="20">
      <x:c r="A20" s="22" t="n">
        <x:v>2</x:v>
      </x:c>
      <x:c r="B20" s="22" t="str">
        <x:v>9月7日-9月11日</x:v>
      </x:c>
      <x:c r="C20" s="23" t="n">
        <x:v>3942.51</x:v>
      </x:c>
      <x:c r="D20" s="23" t="n">
        <x:v>3958.12</x:v>
      </x:c>
      <x:c r="E20" s="23" t="n">
        <x:v>3852.03</x:v>
      </x:c>
      <x:c r="F20" s="23" t="n">
        <x:v>3888.11</x:v>
      </x:c>
      <x:c r="G20" s="23" t="n">
        <x:f>ROUND(F20-F19,1)</x:f>
        <x:v>-42</x:v>
      </x:c>
      <x:c r="H20" s="24" t="n">
        <x:f>IFERROR(F20/F19-1,"")</x:f>
        <x:v>-0.010689241040986008</x:v>
      </x:c>
      <x:c r="I20" s="26" t="n">
        <x:f>ROUND(D20-E20,1)</x:f>
        <x:v>106.1</x:v>
      </x:c>
      <x:c r="J20" s="22" t="str">
        <x:v>上证指数</x:v>
      </x:c>
      <x:c r="K20" s="22" t="n">
        <x:v>5</x:v>
      </x:c>
    </x:row>
    <x:row r="21">
      <x:c r="A21" s="29" t="str">
        <x:v>合计</x:v>
      </x:c>
      <x:c r="B21" s="28" t="n">
        <x:v>2</x:v>
      </x:c>
      <x:c r="C21" s="28"/>
      <x:c r="D21" s="28"/>
      <x:c r="E21" s="28"/>
      <x:c r="F21" s="28"/>
      <x:c r="G21" s="28"/>
      <x:c r="H21" s="28"/>
      <x:c r="I21" s="30" t="n">
        <x:f>ROUND(SUM(I19:I20),1)</x:f>
        <x:v>186.1</x:v>
      </x:c>
      <x:c r="J21" s="28"/>
      <x:c r="K21" s="28"/>
    </x:row>
    <x:row r="22">
      <x:c r="A22" s="29" t="str">
        <x:v>均值</x:v>
      </x:c>
      <x:c r="B22" s="28"/>
      <x:c r="C22" s="28"/>
      <x:c r="D22" s="28"/>
      <x:c r="E22" s="28"/>
      <x:c r="F22" s="28"/>
      <x:c r="G22" s="28"/>
      <x:c r="H22" s="28"/>
      <x:c r="I22" s="32" t="n">
        <x:f>ROUND(IFERROR(AVERAGE(I19:I20),0),1)</x:f>
        <x:v>93.1</x:v>
      </x:c>
      <x:c r="J22" s="28"/>
      <x:c r="K22" s="28"/>
    </x:row>
    <x:row r="24">
      <x:c r="A24" s="17" t="str">
        <x:v>IM主力</x:v>
      </x:c>
      <x:c r="B24" s="17"/>
      <x:c r="C24" s="17"/>
      <x:c r="D24" s="17"/>
      <x:c r="E24" s="17"/>
      <x:c r="F24" s="17"/>
      <x:c r="G24" s="17"/>
      <x:c r="H24" s="17"/>
      <x:c r="I24" s="17"/>
      <x:c r="J24" s="17"/>
      <x:c r="K24" s="17"/>
    </x:row>
    <x:row r="25">
      <x:c r="A25" s="20" t="str">
        <x:v>序号</x:v>
      </x:c>
      <x:c r="B25" s="20" t="str">
        <x:v>周期</x:v>
      </x:c>
      <x:c r="C25" s="20" t="str">
        <x:v>开盘</x:v>
      </x:c>
      <x:c r="D25" s="20" t="str">
        <x:v>高点</x:v>
      </x:c>
      <x:c r="E25" s="20" t="str">
        <x:v>低点</x:v>
      </x:c>
      <x:c r="F25" s="20" t="str">
        <x:v>收盘</x:v>
      </x:c>
      <x:c r="G25" s="20" t="str">
        <x:v>涨跌点数</x:v>
      </x:c>
      <x:c r="H25" s="20" t="str">
        <x:v>涨幅</x:v>
      </x:c>
      <x:c r="I25" s="20" t="str">
        <x:v>振幅</x:v>
      </x:c>
      <x:c r="J25" s="20" t="str">
        <x:v>标的</x:v>
      </x:c>
      <x:c r="K25" s="20" t="str">
        <x:v>交易日</x:v>
      </x:c>
    </x:row>
    <x:row r="26">
      <x:c r="A26" s="22" t="n">
        <x:v>1</x:v>
      </x:c>
      <x:c r="B26" s="22" t="str">
        <x:v>9月1日-9月4日</x:v>
      </x:c>
      <x:c r="C26" s="23" t="n">
        <x:v>7713.4</x:v>
      </x:c>
      <x:c r="D26" s="23" t="n">
        <x:v>7721</x:v>
      </x:c>
      <x:c r="E26" s="23" t="n">
        <x:v>7432</x:v>
      </x:c>
      <x:c r="F26" s="23" t="n">
        <x:v>7468.2</x:v>
      </x:c>
      <x:c r="G26" s="23"/>
      <x:c r="H26" s="24"/>
      <x:c r="I26" s="26" t="n">
        <x:f>ROUND(D26-E26,1)</x:f>
        <x:v>289</x:v>
      </x:c>
      <x:c r="J26" s="22" t="str">
        <x:v>IM2609</x:v>
      </x:c>
      <x:c r="K26" s="22" t="n">
        <x:v>4</x:v>
      </x:c>
    </x:row>
    <x:row r="27">
      <x:c r="A27" s="22" t="n">
        <x:v>2</x:v>
      </x:c>
      <x:c r="B27" s="22" t="str">
        <x:v>9月7日-9月11日</x:v>
      </x:c>
      <x:c r="C27" s="23" t="n">
        <x:v>7527.2</x:v>
      </x:c>
      <x:c r="D27" s="23" t="n">
        <x:v>7714.6</x:v>
      </x:c>
      <x:c r="E27" s="23" t="n">
        <x:v>7259.4</x:v>
      </x:c>
      <x:c r="F27" s="23" t="n">
        <x:v>7415.2</x:v>
      </x:c>
      <x:c r="G27" s="23" t="n">
        <x:f>ROUND(F27-F26,1)</x:f>
        <x:v>-53</x:v>
      </x:c>
      <x:c r="H27" s="24" t="n">
        <x:f>IFERROR(F27/F26-1,"")</x:f>
        <x:v>-0.007096756915990432</x:v>
      </x:c>
      <x:c r="I27" s="26" t="n">
        <x:f>ROUND(D27-E27,1)</x:f>
        <x:v>455.2</x:v>
      </x:c>
      <x:c r="J27" s="22" t="str">
        <x:v>IM2609</x:v>
      </x:c>
      <x:c r="K27" s="22" t="n">
        <x:v>5</x:v>
      </x:c>
    </x:row>
    <x:row r="28">
      <x:c r="A28" s="29" t="str">
        <x:v>合计</x:v>
      </x:c>
      <x:c r="B28" s="28" t="n">
        <x:v>2</x:v>
      </x:c>
      <x:c r="C28" s="28"/>
      <x:c r="D28" s="28"/>
      <x:c r="E28" s="28"/>
      <x:c r="F28" s="28"/>
      <x:c r="G28" s="28"/>
      <x:c r="H28" s="28"/>
      <x:c r="I28" s="30" t="n">
        <x:f>ROUND(SUM(I26:I27),1)</x:f>
        <x:v>744.2</x:v>
      </x:c>
      <x:c r="J28" s="28"/>
      <x:c r="K28" s="28"/>
    </x:row>
    <x:row r="29">
      <x:c r="A29" s="29" t="str">
        <x:v>均值</x:v>
      </x:c>
      <x:c r="B29" s="28"/>
      <x:c r="C29" s="28"/>
      <x:c r="D29" s="28"/>
      <x:c r="E29" s="28"/>
      <x:c r="F29" s="28"/>
      <x:c r="G29" s="28"/>
      <x:c r="H29" s="28"/>
      <x:c r="I29" s="32" t="n">
        <x:f>ROUND(IFERROR(AVERAGE(I26:I27),0),1)</x:f>
        <x:v>372.1</x:v>
      </x:c>
      <x:c r="J29" s="28"/>
      <x:c r="K29" s="28"/>
    </x:row>
    <x:row r="31">
      <x:c r="A31" s="17" t="str">
        <x:v>IC主力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2" t="n">
        <x:v>1</x:v>
      </x:c>
      <x:c r="B33" s="22" t="str">
        <x:v>9月1日-9月4日</x:v>
      </x:c>
      <x:c r="C33" s="23" t="n">
        <x:v>7880.8</x:v>
      </x:c>
      <x:c r="D33" s="23" t="n">
        <x:v>7903</x:v>
      </x:c>
      <x:c r="E33" s="23" t="n">
        <x:v>7568</x:v>
      </x:c>
      <x:c r="F33" s="23" t="n">
        <x:v>7608</x:v>
      </x:c>
      <x:c r="G33" s="23"/>
      <x:c r="H33" s="24"/>
      <x:c r="I33" s="26" t="n">
        <x:f>ROUND(D33-E33,1)</x:f>
        <x:v>335</x:v>
      </x:c>
      <x:c r="J33" s="22" t="str">
        <x:v>IC2609</x:v>
      </x:c>
      <x:c r="K33" s="22" t="n">
        <x:v>4</x:v>
      </x:c>
    </x:row>
    <x:row r="34">
      <x:c r="A34" s="22" t="n">
        <x:v>2</x:v>
      </x:c>
      <x:c r="B34" s="22" t="str">
        <x:v>9月7日-9月11日</x:v>
      </x:c>
      <x:c r="C34" s="23" t="n">
        <x:v>7665.6</x:v>
      </x:c>
      <x:c r="D34" s="23" t="n">
        <x:v>7817.2</x:v>
      </x:c>
      <x:c r="E34" s="23" t="n">
        <x:v>7418.8</x:v>
      </x:c>
      <x:c r="F34" s="23" t="n">
        <x:v>7569</x:v>
      </x:c>
      <x:c r="G34" s="23" t="n">
        <x:f>ROUND(F34-F33,1)</x:f>
        <x:v>-39</x:v>
      </x:c>
      <x:c r="H34" s="24" t="n">
        <x:f>IFERROR(F34/F33-1,"")</x:f>
        <x:v>-0.005126182965299653</x:v>
      </x:c>
      <x:c r="I34" s="26" t="n">
        <x:f>ROUND(D34-E34,1)</x:f>
        <x:v>398.4</x:v>
      </x:c>
      <x:c r="J34" s="22" t="str">
        <x:v>IC2609</x:v>
      </x:c>
      <x:c r="K34" s="22" t="n">
        <x:v>5</x:v>
      </x:c>
    </x:row>
    <x:row r="35">
      <x:c r="A35" s="29" t="str">
        <x:v>合计</x:v>
      </x:c>
      <x:c r="B35" s="28" t="n">
        <x:v>2</x:v>
      </x:c>
      <x:c r="C35" s="28"/>
      <x:c r="D35" s="28"/>
      <x:c r="E35" s="28"/>
      <x:c r="F35" s="28"/>
      <x:c r="G35" s="28"/>
      <x:c r="H35" s="28"/>
      <x:c r="I35" s="30" t="n">
        <x:f>ROUND(SUM(I33:I34),1)</x:f>
        <x:v>733.4</x:v>
      </x:c>
      <x:c r="J35" s="28"/>
      <x:c r="K35" s="28"/>
    </x:row>
    <x:row r="36">
      <x:c r="A36" s="29" t="str">
        <x:v>均值</x:v>
      </x:c>
      <x:c r="B36" s="28"/>
      <x:c r="C36" s="28"/>
      <x:c r="D36" s="28"/>
      <x:c r="E36" s="28"/>
      <x:c r="F36" s="28"/>
      <x:c r="G36" s="28"/>
      <x:c r="H36" s="28"/>
      <x:c r="I36" s="32" t="n">
        <x:f>ROUND(IFERROR(AVERAGE(I33:I34),0),1)</x:f>
        <x:v>366.7</x:v>
      </x:c>
      <x:c r="J36" s="28"/>
      <x:c r="K36" s="28"/>
    </x:row>
    <x:row r="38">
      <x:c r="A38" s="17" t="str">
        <x:v>IF主力</x:v>
      </x:c>
      <x:c r="B38" s="17"/>
      <x:c r="C38" s="17"/>
      <x:c r="D38" s="17"/>
      <x:c r="E38" s="17"/>
      <x:c r="F38" s="17"/>
      <x:c r="G38" s="17"/>
      <x:c r="H38" s="17"/>
      <x:c r="I38" s="17"/>
      <x:c r="J38" s="17"/>
      <x:c r="K38" s="17"/>
    </x:row>
    <x:row r="39">
      <x:c r="A39" s="20" t="str">
        <x:v>序号</x:v>
      </x:c>
      <x:c r="B39" s="20" t="str">
        <x:v>周期</x:v>
      </x:c>
      <x:c r="C39" s="20" t="str">
        <x:v>开盘</x:v>
      </x:c>
      <x:c r="D39" s="20" t="str">
        <x:v>高点</x:v>
      </x:c>
      <x:c r="E39" s="20" t="str">
        <x:v>低点</x:v>
      </x:c>
      <x:c r="F39" s="20" t="str">
        <x:v>收盘</x:v>
      </x:c>
      <x:c r="G39" s="20" t="str">
        <x:v>涨跌点数</x:v>
      </x:c>
      <x:c r="H39" s="20" t="str">
        <x:v>涨幅</x:v>
      </x:c>
      <x:c r="I39" s="20" t="str">
        <x:v>振幅</x:v>
      </x:c>
      <x:c r="J39" s="20" t="str">
        <x:v>标的</x:v>
      </x:c>
      <x:c r="K39" s="20" t="str">
        <x:v>交易日</x:v>
      </x:c>
    </x:row>
    <x:row r="40">
      <x:c r="A40" s="22" t="n">
        <x:v>1</x:v>
      </x:c>
      <x:c r="B40" s="22" t="str">
        <x:v>9月1日-9月4日</x:v>
      </x:c>
      <x:c r="C40" s="23" t="n">
        <x:v>4602</x:v>
      </x:c>
      <x:c r="D40" s="23" t="n">
        <x:v>4617.8</x:v>
      </x:c>
      <x:c r="E40" s="23" t="n">
        <x:v>4497.6</x:v>
      </x:c>
      <x:c r="F40" s="23" t="n">
        <x:v>4537.4</x:v>
      </x:c>
      <x:c r="G40" s="23"/>
      <x:c r="H40" s="24"/>
      <x:c r="I40" s="26" t="n">
        <x:f>ROUND(D40-E40,1)</x:f>
        <x:v>120.2</x:v>
      </x:c>
      <x:c r="J40" s="22" t="str">
        <x:v>IF2609</x:v>
      </x:c>
      <x:c r="K40" s="22" t="n">
        <x:v>4</x:v>
      </x:c>
    </x:row>
    <x:row r="41">
      <x:c r="A41" s="22" t="n">
        <x:v>2</x:v>
      </x:c>
      <x:c r="B41" s="22" t="str">
        <x:v>9月7日-9月11日</x:v>
      </x:c>
      <x:c r="C41" s="23" t="n">
        <x:v>4562</x:v>
      </x:c>
      <x:c r="D41" s="23" t="n">
        <x:v>4584</x:v>
      </x:c>
      <x:c r="E41" s="23" t="n">
        <x:v>4451.6</x:v>
      </x:c>
      <x:c r="F41" s="23" t="n">
        <x:v>4503.4</x:v>
      </x:c>
      <x:c r="G41" s="23" t="n">
        <x:f>ROUND(F41-F40,1)</x:f>
        <x:v>-34</x:v>
      </x:c>
      <x:c r="H41" s="24" t="n">
        <x:f>IFERROR(F41/F40-1,"")</x:f>
        <x:v>-0.007493278088773314</x:v>
      </x:c>
      <x:c r="I41" s="26" t="n">
        <x:f>ROUND(D41-E41,1)</x:f>
        <x:v>132.4</x:v>
      </x:c>
      <x:c r="J41" s="22" t="str">
        <x:v>IF2609</x:v>
      </x:c>
      <x:c r="K41" s="22" t="n">
        <x:v>5</x:v>
      </x:c>
    </x:row>
    <x:row r="42">
      <x:c r="A42" s="29" t="str">
        <x:v>合计</x:v>
      </x:c>
      <x:c r="B42" s="28" t="n">
        <x:v>2</x:v>
      </x:c>
      <x:c r="C42" s="28"/>
      <x:c r="D42" s="28"/>
      <x:c r="E42" s="28"/>
      <x:c r="F42" s="28"/>
      <x:c r="G42" s="28"/>
      <x:c r="H42" s="28"/>
      <x:c r="I42" s="30" t="n">
        <x:f>ROUND(SUM(I40:I41),1)</x:f>
        <x:v>252.6</x:v>
      </x:c>
      <x:c r="J42" s="28"/>
      <x:c r="K42" s="28"/>
    </x:row>
    <x:row r="43">
      <x:c r="A43" s="29" t="str">
        <x:v>均值</x:v>
      </x:c>
      <x:c r="B43" s="28"/>
      <x:c r="C43" s="28"/>
      <x:c r="D43" s="28"/>
      <x:c r="E43" s="28"/>
      <x:c r="F43" s="28"/>
      <x:c r="G43" s="28"/>
      <x:c r="H43" s="28"/>
      <x:c r="I43" s="32" t="n">
        <x:f>ROUND(IFERROR(AVERAGE(I40:I41),0),1)</x:f>
        <x:v>126.3</x:v>
      </x:c>
      <x:c r="J43" s="28"/>
      <x:c r="K43" s="28"/>
    </x:row>
    <x:row r="45">
      <x:c r="A45" s="17" t="str">
        <x:v>IH主力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9月1日-9月4日</x:v>
      </x:c>
      <x:c r="C47" s="23" t="n">
        <x:v>2913</x:v>
      </x:c>
      <x:c r="D47" s="23" t="n">
        <x:v>2949.4</x:v>
      </x:c>
      <x:c r="E47" s="23" t="n">
        <x:v>2881.4</x:v>
      </x:c>
      <x:c r="F47" s="23" t="n">
        <x:v>2915.8</x:v>
      </x:c>
      <x:c r="G47" s="23"/>
      <x:c r="H47" s="24"/>
      <x:c r="I47" s="26" t="n">
        <x:f>ROUND(D47-E47,1)</x:f>
        <x:v>68</x:v>
      </x:c>
      <x:c r="J47" s="22" t="str">
        <x:v>IH2609</x:v>
      </x:c>
      <x:c r="K47" s="22" t="n">
        <x:v>4</x:v>
      </x:c>
    </x:row>
    <x:row r="48">
      <x:c r="A48" s="22" t="n">
        <x:v>2</x:v>
      </x:c>
      <x:c r="B48" s="22" t="str">
        <x:v>9月7日-9月11日</x:v>
      </x:c>
      <x:c r="C48" s="23" t="n">
        <x:v>2923.2</x:v>
      </x:c>
      <x:c r="D48" s="23" t="n">
        <x:v>2931.4</x:v>
      </x:c>
      <x:c r="E48" s="23" t="n">
        <x:v>2836.8</x:v>
      </x:c>
      <x:c r="F48" s="23" t="n">
        <x:v>2867</x:v>
      </x:c>
      <x:c r="G48" s="23" t="n">
        <x:f>ROUND(F48-F47,1)</x:f>
        <x:v>-48.8</x:v>
      </x:c>
      <x:c r="H48" s="24" t="n">
        <x:f>IFERROR(F48/F47-1,"")</x:f>
        <x:v>-0.01673640167364021</x:v>
      </x:c>
      <x:c r="I48" s="26" t="n">
        <x:f>ROUND(D48-E48,1)</x:f>
        <x:v>94.6</x:v>
      </x:c>
      <x:c r="J48" s="22" t="str">
        <x:v>IH2609</x:v>
      </x:c>
      <x:c r="K48" s="22" t="n">
        <x:v>5</x:v>
      </x:c>
    </x:row>
    <x:row r="49">
      <x:c r="A49" s="29" t="str">
        <x:v>合计</x:v>
      </x:c>
      <x:c r="B49" s="28" t="n">
        <x:v>2</x:v>
      </x:c>
      <x:c r="C49" s="28"/>
      <x:c r="D49" s="28"/>
      <x:c r="E49" s="28"/>
      <x:c r="F49" s="28"/>
      <x:c r="G49" s="28"/>
      <x:c r="H49" s="28"/>
      <x:c r="I49" s="30" t="n">
        <x:f>ROUND(SUM(I47:I48),1)</x:f>
        <x:v>162.6</x:v>
      </x:c>
      <x:c r="J49" s="28"/>
      <x:c r="K49" s="28"/>
    </x:row>
    <x:row r="50">
      <x:c r="A50" s="29" t="str">
        <x:v>均值</x:v>
      </x:c>
      <x:c r="B50" s="28"/>
      <x:c r="C50" s="28"/>
      <x:c r="D50" s="28"/>
      <x:c r="E50" s="28"/>
      <x:c r="F50" s="28"/>
      <x:c r="G50" s="28"/>
      <x:c r="H50" s="28"/>
      <x:c r="I50" s="32" t="n">
        <x:f>ROUND(IFERROR(AVERAGE(I47:I48),0),1)</x:f>
        <x:v>81.3</x:v>
      </x:c>
      <x:c r="J50" s="28"/>
      <x:c r="K50" s="28"/>
    </x:row>
    <x:row r="52">
      <x:c r="A52" s="17" t="str">
        <x:v>碳酸锂2609</x:v>
      </x:c>
      <x:c r="B52" s="17"/>
      <x:c r="C52" s="17"/>
      <x:c r="D52" s="17"/>
      <x:c r="E52" s="17"/>
      <x:c r="F52" s="17"/>
      <x:c r="G52" s="17"/>
      <x:c r="H52" s="17"/>
      <x:c r="I52" s="17"/>
      <x:c r="J52" s="17"/>
      <x:c r="K52" s="17"/>
    </x:row>
    <x:row r="53">
      <x:c r="A53" s="20" t="str">
        <x:v>序号</x:v>
      </x:c>
      <x:c r="B53" s="20" t="str">
        <x:v>周期</x:v>
      </x:c>
      <x:c r="C53" s="20" t="str">
        <x:v>开盘</x:v>
      </x:c>
      <x:c r="D53" s="20" t="str">
        <x:v>高点</x:v>
      </x:c>
      <x:c r="E53" s="20" t="str">
        <x:v>低点</x:v>
      </x:c>
      <x:c r="F53" s="20" t="str">
        <x:v>收盘</x:v>
      </x:c>
      <x:c r="G53" s="20" t="str">
        <x:v>涨跌点数</x:v>
      </x:c>
      <x:c r="H53" s="20" t="str">
        <x:v>涨幅</x:v>
      </x:c>
      <x:c r="I53" s="20" t="str">
        <x:v>振幅</x:v>
      </x:c>
      <x:c r="J53" s="20" t="str">
        <x:v>标的</x:v>
      </x:c>
      <x:c r="K53" s="20" t="str">
        <x:v>交易日</x:v>
      </x:c>
    </x:row>
    <x:row r="54">
      <x:c r="A54" s="22" t="n">
        <x:v>1</x:v>
      </x:c>
      <x:c r="B54" s="22" t="str">
        <x:v>9月1日-9月4日</x:v>
      </x:c>
      <x:c r="C54" s="23" t="n">
        <x:v>159000</x:v>
      </x:c>
      <x:c r="D54" s="23" t="n">
        <x:v>160480</x:v>
      </x:c>
      <x:c r="E54" s="23" t="n">
        <x:v>140940</x:v>
      </x:c>
      <x:c r="F54" s="23" t="n">
        <x:v>140980</x:v>
      </x:c>
      <x:c r="G54" s="23"/>
      <x:c r="H54" s="24"/>
      <x:c r="I54" s="26" t="n">
        <x:f>ROUND(D54-E54,1)</x:f>
        <x:v>19540</x:v>
      </x:c>
      <x:c r="J54" s="22" t="str">
        <x:v>LC2609</x:v>
      </x:c>
      <x:c r="K54" s="22" t="n">
        <x:v>4</x:v>
      </x:c>
    </x:row>
    <x:row r="55">
      <x:c r="A55" s="22" t="n">
        <x:v>2</x:v>
      </x:c>
      <x:c r="B55" s="22" t="str">
        <x:v>9月7日-9月11日</x:v>
      </x:c>
      <x:c r="C55" s="23" t="n">
        <x:v>142120</x:v>
      </x:c>
      <x:c r="D55" s="23" t="n">
        <x:v>143200</x:v>
      </x:c>
      <x:c r="E55" s="23" t="n">
        <x:v>131900</x:v>
      </x:c>
      <x:c r="F55" s="23" t="n">
        <x:v>135500</x:v>
      </x:c>
      <x:c r="G55" s="34" t="n">
        <x:f>ROUND(F55-F54,1)</x:f>
        <x:v>-5480</x:v>
      </x:c>
      <x:c r="H55" s="24" t="n">
        <x:f>IFERROR(F55/F54-1,"")</x:f>
        <x:v>-0.038870761810185894</x:v>
      </x:c>
      <x:c r="I55" s="26" t="n">
        <x:f>ROUND(D55-E55,1)</x:f>
        <x:v>11300</x:v>
      </x:c>
      <x:c r="J55" s="22" t="str">
        <x:v>LC2609</x:v>
      </x:c>
      <x:c r="K55" s="22" t="n">
        <x:v>5</x:v>
      </x:c>
    </x:row>
    <x:row r="56">
      <x:c r="A56" s="29" t="str">
        <x:v>合计</x:v>
      </x:c>
      <x:c r="B56" s="28" t="n">
        <x:v>2</x:v>
      </x:c>
      <x:c r="C56" s="28"/>
      <x:c r="D56" s="28"/>
      <x:c r="E56" s="28"/>
      <x:c r="F56" s="28"/>
      <x:c r="G56" s="28"/>
      <x:c r="H56" s="28"/>
      <x:c r="I56" s="30" t="n">
        <x:f>ROUND(SUM(I54:I55),1)</x:f>
        <x:v>30840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ROUND(IFERROR(AVERAGE(I54:I55),0),1)</x:f>
        <x:v>15420</x:v>
      </x:c>
      <x:c r="J57" s="28"/>
      <x:c r="K57" s="28"/>
    </x:row>
  </x:sheetData>
  <x:mergeCells>
    <x:mergeCell ref="A1:K1"/>
    <x:mergeCell ref="A3:K3"/>
    <x:mergeCell ref="A10:K10"/>
    <x:mergeCell ref="A17:K17"/>
    <x:mergeCell ref="A24:K24"/>
    <x:mergeCell ref="A31:K31"/>
    <x:mergeCell ref="A38:K38"/>
    <x:mergeCell ref="A45:K45"/>
    <x:mergeCell ref="A52:K5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34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1212.6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134.7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1109.1999999999998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123.2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319.4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35.5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34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1356.4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150.7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1326.8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147.4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476.79999999999995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53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289.4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32.2</x:v>
      </x:c>
      <x:c r="K16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碳酸锂2609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159000</x:v>
      </x:c>
      <x:c r="E4" s="23" t="n">
        <x:v>160480</x:v>
      </x:c>
      <x:c r="F4" s="23" t="n">
        <x:v>155800</x:v>
      </x:c>
      <x:c r="G4" s="23" t="n">
        <x:v>155820</x:v>
      </x:c>
      <x:c r="H4" s="34" t="n">
        <x:v>-3180</x:v>
      </x:c>
      <x:c r="I4" s="24" t="n">
        <x:v>-0.020000000000000018</x:v>
      </x:c>
      <x:c r="J4" s="23" t="n">
        <x:f>ROUND(E4-F4,1)</x:f>
        <x:v>4680</x:v>
      </x:c>
      <x:c r="K4" s="22" t="str">
        <x:v>LC2609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156200</x:v>
      </x:c>
      <x:c r="E5" s="23" t="n">
        <x:v>156200</x:v>
      </x:c>
      <x:c r="F5" s="23" t="n">
        <x:v>152840</x:v>
      </x:c>
      <x:c r="G5" s="23" t="n">
        <x:v>155000</x:v>
      </x:c>
      <x:c r="H5" s="34" t="n">
        <x:v>-820</x:v>
      </x:c>
      <x:c r="I5" s="24" t="n">
        <x:v>-0.005262482351431119</x:v>
      </x:c>
      <x:c r="J5" s="23" t="n">
        <x:f>ROUND(E5-F5,1)</x:f>
        <x:v>3360</x:v>
      </x:c>
      <x:c r="K5" s="22" t="str">
        <x:v>LC2609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154860</x:v>
      </x:c>
      <x:c r="E6" s="23" t="n">
        <x:v>155600</x:v>
      </x:c>
      <x:c r="F6" s="23" t="n">
        <x:v>148880</x:v>
      </x:c>
      <x:c r="G6" s="23" t="n">
        <x:v>148900</x:v>
      </x:c>
      <x:c r="H6" s="34" t="n">
        <x:v>-6100</x:v>
      </x:c>
      <x:c r="I6" s="24" t="n">
        <x:v>-0.039354838709677376</x:v>
      </x:c>
      <x:c r="J6" s="26" t="n">
        <x:f>ROUND(E6-F6,1)</x:f>
        <x:v>6720</x:v>
      </x:c>
      <x:c r="K6" s="22" t="str">
        <x:v>LC2609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152400</x:v>
      </x:c>
      <x:c r="E7" s="23" t="n">
        <x:v>152400</x:v>
      </x:c>
      <x:c r="F7" s="23" t="n">
        <x:v>140940</x:v>
      </x:c>
      <x:c r="G7" s="23" t="n">
        <x:v>140980</x:v>
      </x:c>
      <x:c r="H7" s="34" t="n">
        <x:v>-7920</x:v>
      </x:c>
      <x:c r="I7" s="24" t="n">
        <x:v>-0.053190060443250475</x:v>
      </x:c>
      <x:c r="J7" s="26" t="n">
        <x:f>ROUND(E7-F7,1)</x:f>
        <x:v>11460</x:v>
      </x:c>
      <x:c r="K7" s="22" t="str">
        <x:v>LC2609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142120</x:v>
      </x:c>
      <x:c r="E8" s="23" t="n">
        <x:v>142800</x:v>
      </x:c>
      <x:c r="F8" s="23" t="n">
        <x:v>139880</x:v>
      </x:c>
      <x:c r="G8" s="23" t="n">
        <x:v>140500</x:v>
      </x:c>
      <x:c r="H8" s="34" t="n">
        <x:v>-480</x:v>
      </x:c>
      <x:c r="I8" s="24" t="n">
        <x:v>-0.003404738260746165</x:v>
      </x:c>
      <x:c r="J8" s="23" t="n">
        <x:f>ROUND(E8-F8,1)</x:f>
        <x:v>2920</x:v>
      </x:c>
      <x:c r="K8" s="22" t="str">
        <x:v>LC2609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143200</x:v>
      </x:c>
      <x:c r="E9" s="23" t="n">
        <x:v>143200</x:v>
      </x:c>
      <x:c r="F9" s="23" t="n">
        <x:v>141320</x:v>
      </x:c>
      <x:c r="G9" s="23" t="n">
        <x:v>141320</x:v>
      </x:c>
      <x:c r="H9" s="34" t="n">
        <x:v>820</x:v>
      </x:c>
      <x:c r="I9" s="24" t="n">
        <x:v>0.005836298932384354</x:v>
      </x:c>
      <x:c r="J9" s="23" t="n">
        <x:f>ROUND(E9-F9,1)</x:f>
        <x:v>1880</x:v>
      </x:c>
      <x:c r="K9" s="22" t="str">
        <x:v>LC2609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140000</x:v>
      </x:c>
      <x:c r="E10" s="23" t="n">
        <x:v>142880</x:v>
      </x:c>
      <x:c r="F10" s="23" t="n">
        <x:v>139800</x:v>
      </x:c>
      <x:c r="G10" s="23" t="n">
        <x:v>141260</x:v>
      </x:c>
      <x:c r="H10" s="23" t="n">
        <x:v>-60</x:v>
      </x:c>
      <x:c r="I10" s="24" t="n">
        <x:v>-0.0004245683555051949</x:v>
      </x:c>
      <x:c r="J10" s="23" t="n">
        <x:f>ROUND(E10-F10,1)</x:f>
        <x:v>3080</x:v>
      </x:c>
      <x:c r="K10" s="22" t="str">
        <x:v>LC2609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141220</x:v>
      </x:c>
      <x:c r="E11" s="23" t="n">
        <x:v>142500</x:v>
      </x:c>
      <x:c r="F11" s="23" t="n">
        <x:v>139000</x:v>
      </x:c>
      <x:c r="G11" s="23" t="n">
        <x:v>140520</x:v>
      </x:c>
      <x:c r="H11" s="34" t="n">
        <x:v>-740</x:v>
      </x:c>
      <x:c r="I11" s="24" t="n">
        <x:v>-0.005238567181084508</x:v>
      </x:c>
      <x:c r="J11" s="23" t="n">
        <x:f>ROUND(E11-F11,1)</x:f>
        <x:v>3500</x:v>
      </x:c>
      <x:c r="K11" s="22" t="str">
        <x:v>LC2609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134480</x:v>
      </x:c>
      <x:c r="E12" s="23" t="n">
        <x:v>135500</x:v>
      </x:c>
      <x:c r="F12" s="23" t="n">
        <x:v>131900</x:v>
      </x:c>
      <x:c r="G12" s="23" t="n">
        <x:v>135500</x:v>
      </x:c>
      <x:c r="H12" s="34" t="n">
        <x:v>-5020</x:v>
      </x:c>
      <x:c r="I12" s="24" t="n">
        <x:v>-0.035724452035297505</x:v>
      </x:c>
      <x:c r="J12" s="23" t="n">
        <x:f>ROUND(E12-F12,1)</x:f>
        <x:v>3600</x:v>
      </x:c>
      <x:c r="K12" s="22" t="str">
        <x:v>LC2609</x:v>
      </x:c>
    </x:row>
    <x:row r="15">
      <x:c r="A15" s="29" t="str">
        <x:v>合计</x:v>
      </x:c>
      <x:c r="B15" s="28" t="n">
        <x:v>9</x:v>
      </x:c>
      <x:c r="C15" s="28"/>
      <x:c r="D15" s="28"/>
      <x:c r="E15" s="28"/>
      <x:c r="F15" s="28"/>
      <x:c r="G15" s="28"/>
      <x:c r="H15" s="28"/>
      <x:c r="I15" s="28"/>
      <x:c r="J15" s="30" t="n">
        <x:f>SUM(J4:J12)</x:f>
        <x:v>41200</x:v>
      </x:c>
      <x:c r="K15" s="28"/>
    </x:row>
    <x:row r="16">
      <x:c r="A16" s="29" t="str">
        <x:v>均值</x:v>
      </x:c>
      <x:c r="B16" s="28"/>
      <x:c r="C16" s="28"/>
      <x:c r="D16" s="28"/>
      <x:c r="E16" s="28"/>
      <x:c r="F16" s="28"/>
      <x:c r="G16" s="28"/>
      <x:c r="H16" s="28"/>
      <x:c r="I16" s="28"/>
      <x:c r="J16" s="32" t="n">
        <x:f>ROUND(IFERROR(AVERAGE(J4:J12),0),1)</x:f>
        <x:v>4577.8</x:v>
      </x:c>
      <x:c r="K16" s="28"/>
    </x:row>
  </x:sheetData>
  <x:mergeCells>
    <x:mergeCell ref="A1:K1"/>
  </x:mergeCells>
  <x:pageMargins left="0.7" right="0.7" top="0.75" bottom="0.75" header="0.3" footer="0.3"/>
</x:worksheet>
</file>