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77f23fcedd43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d68833dcead400b"/>
    <x:sheet xmlns:r="http://schemas.openxmlformats.org/officeDocument/2006/relationships" name="周振幅统计" sheetId="2" r:id="R4be66a6724924229"/>
    <x:sheet xmlns:r="http://schemas.openxmlformats.org/officeDocument/2006/relationships" name="中证1000" sheetId="3" r:id="R6cc88e75e51d4d0f"/>
    <x:sheet xmlns:r="http://schemas.openxmlformats.org/officeDocument/2006/relationships" name="中证500" sheetId="4" r:id="R1bfc0802906e4fec"/>
    <x:sheet xmlns:r="http://schemas.openxmlformats.org/officeDocument/2006/relationships" name="上证指数" sheetId="5" r:id="Rc3f0a913fcdb4e70"/>
    <x:sheet xmlns:r="http://schemas.openxmlformats.org/officeDocument/2006/relationships" name="IM主力" sheetId="6" r:id="R5d582af0203f42bf"/>
    <x:sheet xmlns:r="http://schemas.openxmlformats.org/officeDocument/2006/relationships" name="IC主力" sheetId="7" r:id="Re99dc128ec384947"/>
    <x:sheet xmlns:r="http://schemas.openxmlformats.org/officeDocument/2006/relationships" name="IF主力" sheetId="8" r:id="Rc76cadcb6fb34e97"/>
    <x:sheet xmlns:r="http://schemas.openxmlformats.org/officeDocument/2006/relationships" name="IH主力" sheetId="9" r:id="R340f0cb8d58f4d46"/>
    <x:sheet xmlns:r="http://schemas.openxmlformats.org/officeDocument/2006/relationships" name="碳酸锂2609" sheetId="10" r:id="R5994bd1c9a1545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648b09ff2a48d3" /><Relationship Type="http://schemas.openxmlformats.org/officeDocument/2006/relationships/theme" Target="/xl/theme/theme1.xml" Id="R15ac01deeb184b06" /><Relationship Type="http://schemas.openxmlformats.org/officeDocument/2006/relationships/sharedStrings" Target="/xl/sharedStrings.xml" Id="R1920f90fa6fa4c93" /><Relationship Type="http://schemas.openxmlformats.org/officeDocument/2006/relationships/worksheet" Target="/xl/worksheets/sheet1.xml" Id="R4d68833dcead400b" /><Relationship Type="http://schemas.openxmlformats.org/officeDocument/2006/relationships/worksheet" Target="/xl/worksheets/sheet2.xml" Id="R4be66a6724924229" /><Relationship Type="http://schemas.openxmlformats.org/officeDocument/2006/relationships/worksheet" Target="/xl/worksheets/sheet3.xml" Id="R6cc88e75e51d4d0f" /><Relationship Type="http://schemas.openxmlformats.org/officeDocument/2006/relationships/worksheet" Target="/xl/worksheets/sheet4.xml" Id="R1bfc0802906e4fec" /><Relationship Type="http://schemas.openxmlformats.org/officeDocument/2006/relationships/worksheet" Target="/xl/worksheets/sheet5.xml" Id="Rc3f0a913fcdb4e70" /><Relationship Type="http://schemas.openxmlformats.org/officeDocument/2006/relationships/worksheet" Target="/xl/worksheets/sheet6.xml" Id="R5d582af0203f42bf" /><Relationship Type="http://schemas.openxmlformats.org/officeDocument/2006/relationships/worksheet" Target="/xl/worksheets/sheet7.xml" Id="Re99dc128ec384947" /><Relationship Type="http://schemas.openxmlformats.org/officeDocument/2006/relationships/worksheet" Target="/xl/worksheets/sheet8.xml" Id="Rc76cadcb6fb34e97" /><Relationship Type="http://schemas.openxmlformats.org/officeDocument/2006/relationships/worksheet" Target="/xl/worksheets/sheet9.xml" Id="R340f0cb8d58f4d46" /><Relationship Type="http://schemas.openxmlformats.org/officeDocument/2006/relationships/worksheet" Target="/xl/worksheets/sheet10.xml" Id="R5994bd1c9a1545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2026-09-07</x:v>
      </x:c>
      <x:c r="C4" s="10" t="n">
        <x:v>7669.84</x:v>
      </x:c>
      <x:c r="D4" s="10" t="n">
        <x:v>7541.14</x:v>
      </x:c>
      <x:c r="E4" s="12" t="n">
        <x:v>128.7</x:v>
      </x:c>
      <x:c r="F4" s="9" t="n">
        <x:v>5</x:v>
      </x:c>
      <x:c r="G4" s="10" t="n">
        <x:v>699.1</x:v>
      </x:c>
      <x:c r="H4" s="10" t="n">
        <x:v>139.8</x:v>
      </x:c>
      <x:c r="I4" s="10" t="n">
        <x:v>180</x:v>
      </x:c>
    </x:row>
    <x:row r="5">
      <x:c r="A5" s="9" t="str">
        <x:v>中证500</x:v>
      </x:c>
      <x:c r="B5" s="9" t="str">
        <x:v>2026-09-07</x:v>
      </x:c>
      <x:c r="C5" s="10" t="n">
        <x:v>7791.79</x:v>
      </x:c>
      <x:c r="D5" s="10" t="n">
        <x:v>7672.99</x:v>
      </x:c>
      <x:c r="E5" s="12" t="n">
        <x:v>118.8</x:v>
      </x:c>
      <x:c r="F5" s="9" t="n">
        <x:v>5</x:v>
      </x:c>
      <x:c r="G5" s="10" t="n">
        <x:v>665.4</x:v>
      </x:c>
      <x:c r="H5" s="10" t="n">
        <x:v>133.1</x:v>
      </x:c>
      <x:c r="I5" s="10" t="n">
        <x:v>160</x:v>
      </x:c>
    </x:row>
    <x:row r="6">
      <x:c r="A6" s="9" t="str">
        <x:v>上证指数</x:v>
      </x:c>
      <x:c r="B6" s="9" t="str">
        <x:v>2026-09-07</x:v>
      </x:c>
      <x:c r="C6" s="10" t="n">
        <x:v>3948.42</x:v>
      </x:c>
      <x:c r="D6" s="10" t="n">
        <x:v>3916.49</x:v>
      </x:c>
      <x:c r="E6" s="12" t="n">
        <x:v>31.9</x:v>
      </x:c>
      <x:c r="F6" s="9" t="n">
        <x:v>5</x:v>
      </x:c>
      <x:c r="G6" s="10" t="n">
        <x:v>186.9</x:v>
      </x:c>
      <x:c r="H6" s="10" t="n">
        <x:v>37.4</x:v>
      </x:c>
      <x:c r="I6" s="10" t="n">
        <x:v>50</x:v>
      </x:c>
    </x:row>
    <x:row r="7">
      <x:c r="A7" s="9" t="str">
        <x:v>IM主力</x:v>
      </x:c>
      <x:c r="B7" s="9" t="str">
        <x:v>2026-09-07</x:v>
      </x:c>
      <x:c r="C7" s="10" t="n">
        <x:v>7662.2</x:v>
      </x:c>
      <x:c r="D7" s="10" t="n">
        <x:v>7512.6</x:v>
      </x:c>
      <x:c r="E7" s="12" t="n">
        <x:v>149.6</x:v>
      </x:c>
      <x:c r="F7" s="9" t="n">
        <x:v>5</x:v>
      </x:c>
      <x:c r="G7" s="10" t="n">
        <x:v>781</x:v>
      </x:c>
      <x:c r="H7" s="10" t="n">
        <x:v>156.2</x:v>
      </x:c>
      <x:c r="I7" s="10" t="n">
        <x:v>190</x:v>
      </x:c>
    </x:row>
    <x:row r="8">
      <x:c r="A8" s="9" t="str">
        <x:v>IC主力</x:v>
      </x:c>
      <x:c r="B8" s="9" t="str">
        <x:v>2026-09-07</x:v>
      </x:c>
      <x:c r="C8" s="10" t="n">
        <x:v>7784.2</x:v>
      </x:c>
      <x:c r="D8" s="10" t="n">
        <x:v>7651.2</x:v>
      </x:c>
      <x:c r="E8" s="12" t="n">
        <x:v>133</x:v>
      </x:c>
      <x:c r="F8" s="9" t="n">
        <x:v>5</x:v>
      </x:c>
      <x:c r="G8" s="10" t="n">
        <x:v>805.4</x:v>
      </x:c>
      <x:c r="H8" s="10" t="n">
        <x:v>161.1</x:v>
      </x:c>
      <x:c r="I8" s="10" t="n">
        <x:v>150</x:v>
      </x:c>
    </x:row>
    <x:row r="9">
      <x:c r="A9" s="9" t="str">
        <x:v>IF主力</x:v>
      </x:c>
      <x:c r="B9" s="9" t="str">
        <x:v>2026-09-07</x:v>
      </x:c>
      <x:c r="C9" s="10" t="n">
        <x:v>4576.8</x:v>
      </x:c>
      <x:c r="D9" s="10" t="n">
        <x:v>4537.4</x:v>
      </x:c>
      <x:c r="E9" s="12" t="n">
        <x:v>39.4</x:v>
      </x:c>
      <x:c r="F9" s="9" t="n">
        <x:v>5</x:v>
      </x:c>
      <x:c r="G9" s="10" t="n">
        <x:v>276.4</x:v>
      </x:c>
      <x:c r="H9" s="10" t="n">
        <x:v>55.3</x:v>
      </x:c>
      <x:c r="I9" s="10" t="n">
        <x:v>90</x:v>
      </x:c>
    </x:row>
    <x:row r="10">
      <x:c r="A10" s="9" t="str">
        <x:v>IH主力</x:v>
      </x:c>
      <x:c r="B10" s="9" t="str">
        <x:v>2026-09-07</x:v>
      </x:c>
      <x:c r="C10" s="10" t="n">
        <x:v>2931.4</x:v>
      </x:c>
      <x:c r="D10" s="10" t="n">
        <x:v>2892.2</x:v>
      </x:c>
      <x:c r="E10" s="12" t="n">
        <x:v>39.2</x:v>
      </x:c>
      <x:c r="F10" s="9" t="n">
        <x:v>5</x:v>
      </x:c>
      <x:c r="G10" s="10" t="n">
        <x:v>171.8</x:v>
      </x:c>
      <x:c r="H10" s="10" t="n">
        <x:v>34.4</x:v>
      </x:c>
      <x:c r="I10" s="10" t="n">
        <x:v>60</x:v>
      </x:c>
    </x:row>
    <x:row r="11">
      <x:c r="A11" s="9" t="str">
        <x:v>碳酸锂2609</x:v>
      </x:c>
      <x:c r="B11" s="9" t="str">
        <x:v>2026-09-07</x:v>
      </x:c>
      <x:c r="C11" s="10" t="n">
        <x:v>142800</x:v>
      </x:c>
      <x:c r="D11" s="10" t="n">
        <x:v>139880</x:v>
      </x:c>
      <x:c r="E11" s="12" t="n">
        <x:v>2920</x:v>
      </x:c>
      <x:c r="F11" s="9" t="n">
        <x:v>5</x:v>
      </x:c>
      <x:c r="G11" s="10" t="n">
        <x:v>29140</x:v>
      </x:c>
      <x:c r="H11" s="10" t="n">
        <x:v>5828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</x:v>
      </x:c>
      <x:c r="C6" s="23" t="n">
        <x:v>7551.02</x:v>
      </x:c>
      <x:c r="D6" s="23" t="n">
        <x:v>7669.84</x:v>
      </x:c>
      <x:c r="E6" s="23" t="n">
        <x:v>7541.14</x:v>
      </x:c>
      <x:c r="F6" s="23" t="n">
        <x:v>7639.36</x:v>
      </x:c>
      <x:c r="G6" s="23" t="n">
        <x:f>ROUND(F6-F5,1)</x:f>
        <x:v>131.3</x:v>
      </x:c>
      <x:c r="H6" s="24" t="n">
        <x:f>IFERROR(F6/F5-1,"")</x:f>
        <x:v>0.017483807466346146</x:v>
      </x:c>
      <x:c r="I6" s="23" t="n">
        <x:f>ROUND(D6-E6,1)</x:f>
        <x:v>128.7</x:v>
      </x:c>
      <x:c r="J6" s="22" t="str">
        <x:v>中证1000</x:v>
      </x:c>
      <x:c r="K6" s="22" t="n">
        <x:v>1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436.8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218.4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</x:v>
      </x:c>
      <x:c r="C13" s="23" t="n">
        <x:v>7687.47</x:v>
      </x:c>
      <x:c r="D13" s="23" t="n">
        <x:v>7791.79</x:v>
      </x:c>
      <x:c r="E13" s="23" t="n">
        <x:v>7672.99</x:v>
      </x:c>
      <x:c r="F13" s="23" t="n">
        <x:v>7759.37</x:v>
      </x:c>
      <x:c r="G13" s="23" t="n">
        <x:f>ROUND(F13-F12,1)</x:f>
        <x:v>106.7</x:v>
      </x:c>
      <x:c r="H13" s="24" t="n">
        <x:f>IFERROR(F13/F12-1,"")</x:f>
        <x:v>0.013940196192449905</x:v>
      </x:c>
      <x:c r="I13" s="23" t="n">
        <x:f>ROUND(D13-E13,1)</x:f>
        <x:v>118.8</x:v>
      </x:c>
      <x:c r="J13" s="22" t="str">
        <x:v>中证500</x:v>
      </x:c>
      <x:c r="K13" s="22" t="n">
        <x:v>1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463.8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231.9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</x:v>
      </x:c>
      <x:c r="C20" s="23" t="n">
        <x:v>3942.51</x:v>
      </x:c>
      <x:c r="D20" s="23" t="n">
        <x:v>3948.42</x:v>
      </x:c>
      <x:c r="E20" s="23" t="n">
        <x:v>3916.49</x:v>
      </x:c>
      <x:c r="F20" s="23" t="n">
        <x:v>3932.7</x:v>
      </x:c>
      <x:c r="G20" s="23" t="n">
        <x:f>ROUND(F20-F19,1)</x:f>
        <x:v>2.6</x:v>
      </x:c>
      <x:c r="H20" s="24" t="n">
        <x:f>IFERROR(F20/F19-1,"")</x:f>
        <x:v>0.0006564685047785179</x:v>
      </x:c>
      <x:c r="I20" s="23" t="n">
        <x:f>ROUND(D20-E20,1)</x:f>
        <x:v>31.9</x:v>
      </x:c>
      <x:c r="J20" s="22" t="str">
        <x:v>上证指数</x:v>
      </x:c>
      <x:c r="K20" s="22" t="n">
        <x:v>1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111.9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56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</x:v>
      </x:c>
      <x:c r="C27" s="23" t="n">
        <x:v>7527.2</x:v>
      </x:c>
      <x:c r="D27" s="23" t="n">
        <x:v>7662.2</x:v>
      </x:c>
      <x:c r="E27" s="23" t="n">
        <x:v>7512.6</x:v>
      </x:c>
      <x:c r="F27" s="23" t="n">
        <x:v>7604</x:v>
      </x:c>
      <x:c r="G27" s="23" t="n">
        <x:f>ROUND(F27-F26,1)</x:f>
        <x:v>135.8</x:v>
      </x:c>
      <x:c r="H27" s="24" t="n">
        <x:f>IFERROR(F27/F26-1,"")</x:f>
        <x:v>0.01818376583380199</x:v>
      </x:c>
      <x:c r="I27" s="23" t="n">
        <x:f>ROUND(D27-E27,1)</x:f>
        <x:v>149.6</x:v>
      </x:c>
      <x:c r="J27" s="22" t="str">
        <x:v>IM2609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438.6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219.3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</x:v>
      </x:c>
      <x:c r="C34" s="23" t="n">
        <x:v>7665.6</x:v>
      </x:c>
      <x:c r="D34" s="23" t="n">
        <x:v>7784.2</x:v>
      </x:c>
      <x:c r="E34" s="23" t="n">
        <x:v>7651.2</x:v>
      </x:c>
      <x:c r="F34" s="23" t="n">
        <x:v>7716.2</x:v>
      </x:c>
      <x:c r="G34" s="23" t="n">
        <x:f>ROUND(F34-F33,1)</x:f>
        <x:v>108.2</x:v>
      </x:c>
      <x:c r="H34" s="24" t="n">
        <x:f>IFERROR(F34/F33-1,"")</x:f>
        <x:v>0.014221871713985257</x:v>
      </x:c>
      <x:c r="I34" s="23" t="n">
        <x:f>ROUND(D34-E34,1)</x:f>
        <x:v>133</x:v>
      </x:c>
      <x:c r="J34" s="22" t="str">
        <x:v>IC2609</x:v>
      </x:c>
      <x:c r="K34" s="22" t="n">
        <x:v>1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468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234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</x:v>
      </x:c>
      <x:c r="C41" s="23" t="n">
        <x:v>4562</x:v>
      </x:c>
      <x:c r="D41" s="23" t="n">
        <x:v>4576.8</x:v>
      </x:c>
      <x:c r="E41" s="23" t="n">
        <x:v>4537.4</x:v>
      </x:c>
      <x:c r="F41" s="23" t="n">
        <x:v>4555.6</x:v>
      </x:c>
      <x:c r="G41" s="23" t="n">
        <x:f>ROUND(F41-F40,1)</x:f>
        <x:v>18.2</x:v>
      </x:c>
      <x:c r="H41" s="24" t="n">
        <x:f>IFERROR(F41/F40-1,"")</x:f>
        <x:v>0.004011107682814208</x:v>
      </x:c>
      <x:c r="I41" s="23" t="n">
        <x:f>ROUND(D41-E41,1)</x:f>
        <x:v>39.4</x:v>
      </x:c>
      <x:c r="J41" s="22" t="str">
        <x:v>IF2609</x:v>
      </x:c>
      <x:c r="K41" s="22" t="n">
        <x:v>1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159.6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79.8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</x:v>
      </x:c>
      <x:c r="C48" s="23" t="n">
        <x:v>2923.2</x:v>
      </x:c>
      <x:c r="D48" s="23" t="n">
        <x:v>2931.4</x:v>
      </x:c>
      <x:c r="E48" s="23" t="n">
        <x:v>2892.2</x:v>
      </x:c>
      <x:c r="F48" s="23" t="n">
        <x:v>2898.8</x:v>
      </x:c>
      <x:c r="G48" s="23" t="n">
        <x:f>ROUND(F48-F47,1)</x:f>
        <x:v>-17</x:v>
      </x:c>
      <x:c r="H48" s="24" t="n">
        <x:f>IFERROR(F48/F47-1,"")</x:f>
        <x:v>-0.0058303038617189</x:v>
      </x:c>
      <x:c r="I48" s="23" t="n">
        <x:f>ROUND(D48-E48,1)</x:f>
        <x:v>39.2</x:v>
      </x:c>
      <x:c r="J48" s="22" t="str">
        <x:v>IH2609</x:v>
      </x:c>
      <x:c r="K48" s="22" t="n">
        <x:v>1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107.2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53.6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</x:v>
      </x:c>
      <x:c r="C55" s="23" t="n">
        <x:v>142120</x:v>
      </x:c>
      <x:c r="D55" s="23" t="n">
        <x:v>142800</x:v>
      </x:c>
      <x:c r="E55" s="23" t="n">
        <x:v>139880</x:v>
      </x:c>
      <x:c r="F55" s="23" t="n">
        <x:v>140500</x:v>
      </x:c>
      <x:c r="G55" s="34" t="n">
        <x:f>ROUND(F55-F54,1)</x:f>
        <x:v>-480</x:v>
      </x:c>
      <x:c r="H55" s="24" t="n">
        <x:f>IFERROR(F55/F54-1,"")</x:f>
        <x:v>-0.003404738260746165</x:v>
      </x:c>
      <x:c r="I55" s="23" t="n">
        <x:f>ROUND(D55-E55,1)</x:f>
        <x:v>2920</x:v>
      </x:c>
      <x:c r="J55" s="22" t="str">
        <x:v>LC2609</x:v>
      </x:c>
      <x:c r="K55" s="22" t="n">
        <x:v>1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22460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11230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699.0999999999999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139.8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665.4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133.1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186.9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37.4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781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156.2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805.4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161.1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276.4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55.3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171.8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34.4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29140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5828</x:v>
      </x:c>
      <x:c r="K12" s="28"/>
    </x:row>
  </x:sheetData>
  <x:mergeCells>
    <x:mergeCell ref="A1:K1"/>
  </x:mergeCells>
  <x:pageMargins left="0.7" right="0.7" top="0.75" bottom="0.75" header="0.3" footer="0.3"/>
</x:worksheet>
</file>