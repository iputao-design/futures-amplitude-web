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5d1058adb541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汇总" sheetId="1" r:id="R222e76c3a43947c6"/>
    <x:sheet xmlns:r="http://schemas.openxmlformats.org/officeDocument/2006/relationships" name="周振幅统计" sheetId="2" r:id="R83396736878943ba"/>
    <x:sheet xmlns:r="http://schemas.openxmlformats.org/officeDocument/2006/relationships" name="中证1000" sheetId="3" r:id="R5bda2cc2985b4b8b"/>
    <x:sheet xmlns:r="http://schemas.openxmlformats.org/officeDocument/2006/relationships" name="中证500" sheetId="4" r:id="R23a3efc57e804185"/>
    <x:sheet xmlns:r="http://schemas.openxmlformats.org/officeDocument/2006/relationships" name="上证指数" sheetId="5" r:id="R38bc15203e9d4ccf"/>
    <x:sheet xmlns:r="http://schemas.openxmlformats.org/officeDocument/2006/relationships" name="IM主力" sheetId="6" r:id="R9fd2f6e157a24849"/>
    <x:sheet xmlns:r="http://schemas.openxmlformats.org/officeDocument/2006/relationships" name="IC主力" sheetId="7" r:id="Rc0656cbc880442c3"/>
    <x:sheet xmlns:r="http://schemas.openxmlformats.org/officeDocument/2006/relationships" name="IF主力" sheetId="8" r:id="R7bf36d414cea4355"/>
    <x:sheet xmlns:r="http://schemas.openxmlformats.org/officeDocument/2006/relationships" name="IH主力" sheetId="9" r:id="Rf389d15dac36421e"/>
    <x:sheet xmlns:r="http://schemas.openxmlformats.org/officeDocument/2006/relationships" name="碳酸锂2610" sheetId="10" r:id="R5ee38834540640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General"/>
    <x:numFmt numFmtId="201" formatCode="0.0%"/>
  </x:numFmts>
  <x:fonts count="10">
    <x:font>
      <x:sz val="11"/>
      <x:name val="Carlito"/>
    </x:font>
    <x:font>
      <x:b/>
      <x:sz val="18"/>
      <x:color rgb="FF7030A0"/>
      <x:name val="Carlito"/>
    </x:font>
    <x:font>
      <x:b/>
      <x:sz val="11"/>
      <x:name val="Carlito"/>
    </x:font>
    <x:font>
      <x:b/>
      <x:sz val="11"/>
      <x:color rgb="FFB91C1C"/>
      <x:name val="Carlito"/>
    </x:font>
    <x:font>
      <x:b/>
      <x:sz val="14"/>
      <x:color rgb="FF7030A0"/>
      <x:name val="Carlito"/>
    </x:font>
    <x:font>
      <x:b/>
      <x:sz val="11"/>
      <x:color rgb="FF111827"/>
      <x:name val="Carlito"/>
    </x:font>
    <x:font>
      <x:sz val="11"/>
      <x:color rgb="FF1F2937"/>
      <x:name val="Carlito"/>
    </x:font>
    <x:font>
      <x:b/>
      <x:sz val="11"/>
      <x:color rgb="FFE11D48"/>
      <x:name val="Carlito"/>
    </x:font>
    <x:font>
      <x:b/>
      <x:sz val="11"/>
      <x:color rgb="FF1D4ED8"/>
      <x:name val="Carlito"/>
    </x:font>
    <x:font>
      <x:b/>
      <x:sz val="11"/>
      <x:color rgb="FF1E3A8A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F3F4F6"/>
      </x:patternFill>
    </x:fill>
    <x:fill>
      <x:patternFill patternType="solid">
        <x:fgColor rgb="FFFEF9C3"/>
      </x:patternFill>
    </x:fill>
    <x:fill>
      <x:patternFill patternType="solid">
        <x:fgColor rgb="FFFFFF00"/>
      </x:patternFill>
    </x:fill>
    <x:fill>
      <x:patternFill patternType="solid">
        <x:fgColor rgb="FFBFDBFE"/>
      </x:patternFill>
    </x:fill>
    <x:fill>
      <x:patternFill patternType="solid">
        <x:fgColor rgb="FFDBEAFE"/>
      </x:patternFill>
    </x:fill>
  </x:fills>
  <x:borders count="3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</x:borders>
  <x:cellStyleXfs count="1">
    <x:xf numFmtId="0" fontId="0" fillId="0" borderId="0"/>
  </x:cellStyleXfs>
  <x:cellXfs count="4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2" xfId="0" applyNumberFormat="1" applyFont="1" applyFill="1" applyBorder="1"/>
    <x:xf numFmtId="20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horizontal="center"/>
    </x:xf>
    <x:xf numFmtId="200" fontId="0" fillId="0" borderId="2" xfId="0" applyNumberFormat="1" applyFont="1" applyFill="1" applyBorder="1" applyAlignment="1">
      <x:alignment horizontal="center"/>
    </x:xf>
    <x:xf numFmtId="200" fontId="0" fillId="4" borderId="2" xfId="0" applyNumberFormat="1" applyFont="1" applyFill="1" applyBorder="1" applyAlignment="1">
      <x:alignment horizontal="center"/>
    </x:xf>
    <x:xf numFmtId="200" fontId="3" fillId="4" borderId="2" xfId="0" applyNumberFormat="1" applyFont="1" applyFill="1" applyBorder="1" applyAlignment="1">
      <x:alignment horizontal="center"/>
    </x:xf>
    <x:xf numFmtId="0" fontId="0" fillId="3" borderId="2" xfId="0" applyNumberFormat="1" applyFont="1" applyFill="1" applyBorder="1"/>
    <x:xf numFmtId="0" fontId="2" fillId="3" borderId="2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5" fillId="3" borderId="0" xfId="0" applyNumberFormat="1" applyFont="1" applyFill="1" applyBorder="1"/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 applyAlignment="1">
      <x:alignment horizontal="center" vertical="center"/>
    </x:xf>
    <x:xf numFmtId="0" fontId="6" fillId="0" borderId="2" xfId="0" applyNumberFormat="1" applyFont="1" applyFill="1" applyBorder="1" applyAlignment="1">
      <x:alignment horizontal="center" vertical="center"/>
    </x:xf>
    <x:xf numFmtId="200" fontId="6" fillId="0" borderId="2" xfId="0" applyNumberFormat="1" applyFont="1" applyFill="1" applyBorder="1" applyAlignment="1">
      <x:alignment horizontal="center" vertical="center"/>
    </x:xf>
    <x:xf numFmtId="201" fontId="6" fillId="0" borderId="2" xfId="0" applyNumberFormat="1" applyFont="1" applyFill="1" applyBorder="1" applyAlignment="1">
      <x:alignment horizontal="center" vertical="center"/>
    </x:xf>
    <x:xf numFmtId="200" fontId="6" fillId="5" borderId="2" xfId="0" applyNumberFormat="1" applyFont="1" applyFill="1" applyBorder="1" applyAlignment="1">
      <x:alignment horizontal="center" vertical="center"/>
    </x:xf>
    <x:xf numFmtId="200" fontId="7" fillId="5" borderId="2" xfId="0" applyNumberFormat="1" applyFont="1" applyFill="1" applyBorder="1" applyAlignment="1">
      <x:alignment horizontal="center" vertical="center"/>
    </x:xf>
    <x:xf numFmtId="200" fontId="6" fillId="6" borderId="2" xfId="0" applyNumberFormat="1" applyFont="1" applyFill="1" applyBorder="1" applyAlignment="1">
      <x:alignment horizontal="center" vertical="center"/>
    </x:xf>
    <x:xf numFmtId="200" fontId="8" fillId="6" borderId="2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horizontal="center"/>
    </x:xf>
    <x:xf numFmtId="0" fontId="2" fillId="0" borderId="1" xfId="0" applyNumberFormat="1" applyFont="1" applyFill="1" applyBorder="1" applyAlignment="1">
      <x:alignment horizontal="center"/>
    </x:xf>
    <x:xf numFmtId="200" fontId="0" fillId="0" borderId="1" xfId="0" applyNumberFormat="1" applyFont="1" applyFill="1" applyBorder="1" applyAlignment="1">
      <x:alignment horizontal="center"/>
    </x:xf>
    <x:xf numFmtId="200" fontId="0" fillId="5" borderId="1" xfId="0" applyNumberFormat="1" applyFont="1" applyFill="1" applyBorder="1" applyAlignment="1">
      <x:alignment horizontal="center"/>
    </x:xf>
    <x:xf numFmtId="200" fontId="7" fillId="5" borderId="1" xfId="0" applyNumberFormat="1" applyFont="1" applyFill="1" applyBorder="1" applyAlignment="1">
      <x:alignment horizontal="center"/>
    </x:xf>
    <x:xf numFmtId="0" fontId="5" fillId="3" borderId="0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 applyAlignment="1">
      <x:alignment vertical="center"/>
    </x:xf>
    <x:xf numFmtId="0" fontId="6" fillId="0" borderId="2" xfId="0" applyNumberFormat="1" applyFont="1" applyFill="1" applyBorder="1" applyAlignment="1">
      <x:alignment vertical="center"/>
    </x:xf>
    <x:xf numFmtId="0" fontId="6" fillId="7" borderId="2" xfId="0" applyNumberFormat="1" applyFont="1" applyFill="1" applyBorder="1" applyAlignment="1">
      <x:alignment horizontal="center" vertical="center"/>
    </x:xf>
    <x:xf numFmtId="200" fontId="6" fillId="7" borderId="2" xfId="0" applyNumberFormat="1" applyFont="1" applyFill="1" applyBorder="1" applyAlignment="1">
      <x:alignment horizontal="center" vertical="center"/>
    </x:xf>
    <x:xf numFmtId="201" fontId="6" fillId="7" borderId="2" xfId="0" applyNumberFormat="1" applyFont="1" applyFill="1" applyBorder="1" applyAlignment="1">
      <x:alignment horizontal="center" vertical="center"/>
    </x:xf>
    <x:xf numFmtId="0" fontId="9" fillId="7" borderId="2" xfId="0" applyNumberFormat="1" applyFont="1" applyFill="1" applyBorder="1" applyAlignment="1">
      <x:alignment horizontal="center" vertical="center"/>
    </x:xf>
    <x:xf numFmtId="200" fontId="9" fillId="7" borderId="2" xfId="0" applyNumberFormat="1" applyFont="1" applyFill="1" applyBorder="1" applyAlignment="1">
      <x:alignment horizontal="center" vertical="center"/>
    </x:xf>
    <x:xf numFmtId="201" fontId="9" fillId="7" borderId="2" xfId="0" applyNumberFormat="1" applyFont="1" applyFill="1" applyBorder="1" applyAlignment="1">
      <x:alignment horizontal="center" vertical="center"/>
    </x:xf>
    <x:xf numFmtId="200" fontId="9" fillId="5" borderId="2" xfId="0" applyNumberFormat="1" applyFont="1" applyFill="1" applyBorder="1" applyAlignment="1">
      <x:alignment horizontal="center" vertical="center"/>
    </x:xf>
    <x:xf numFmtId="0" fontId="2" fillId="0" borderId="1" xfId="0" applyNumberFormat="1" applyFont="1" applyFill="1" applyBorder="1"/>
    <x:xf numFmtId="200" fontId="9" fillId="6" borderId="2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1056d1181e4e4c" /><Relationship Type="http://schemas.openxmlformats.org/officeDocument/2006/relationships/theme" Target="/xl/theme/theme1.xml" Id="Rf08c7e2dd97e46ce" /><Relationship Type="http://schemas.openxmlformats.org/officeDocument/2006/relationships/sharedStrings" Target="/xl/sharedStrings.xml" Id="Rc3d32ef1adb84bf5" /><Relationship Type="http://schemas.openxmlformats.org/officeDocument/2006/relationships/worksheet" Target="/xl/worksheets/sheet1.xml" Id="R222e76c3a43947c6" /><Relationship Type="http://schemas.openxmlformats.org/officeDocument/2006/relationships/worksheet" Target="/xl/worksheets/sheet2.xml" Id="R83396736878943ba" /><Relationship Type="http://schemas.openxmlformats.org/officeDocument/2006/relationships/worksheet" Target="/xl/worksheets/sheet3.xml" Id="R5bda2cc2985b4b8b" /><Relationship Type="http://schemas.openxmlformats.org/officeDocument/2006/relationships/worksheet" Target="/xl/worksheets/sheet4.xml" Id="R23a3efc57e804185" /><Relationship Type="http://schemas.openxmlformats.org/officeDocument/2006/relationships/worksheet" Target="/xl/worksheets/sheet5.xml" Id="R38bc15203e9d4ccf" /><Relationship Type="http://schemas.openxmlformats.org/officeDocument/2006/relationships/worksheet" Target="/xl/worksheets/sheet6.xml" Id="R9fd2f6e157a24849" /><Relationship Type="http://schemas.openxmlformats.org/officeDocument/2006/relationships/worksheet" Target="/xl/worksheets/sheet7.xml" Id="Rc0656cbc880442c3" /><Relationship Type="http://schemas.openxmlformats.org/officeDocument/2006/relationships/worksheet" Target="/xl/worksheets/sheet8.xml" Id="R7bf36d414cea4355" /><Relationship Type="http://schemas.openxmlformats.org/officeDocument/2006/relationships/worksheet" Target="/xl/worksheets/sheet9.xml" Id="Rf389d15dac36421e" /><Relationship Type="http://schemas.openxmlformats.org/officeDocument/2006/relationships/worksheet" Target="/xl/worksheets/sheet10.xml" Id="R5ee388345406401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3" hidden="0" customWidth="1"/>
    <x:col min="3" max="3" width="12" hidden="0" customWidth="1"/>
    <x:col min="4" max="4" width="4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</x:cols>
  <x:sheetData>
    <x:row r="1" ht="38" customHeight="1">
      <x:c r="A1" s="3" t="str">
        <x:v>2026年10月统计 - 每日振幅汇总</x:v>
      </x:c>
    </x:row>
    <x:row r="3">
      <x:c r="A3" s="6" t="str">
        <x:v>标的</x:v>
      </x:c>
      <x:c r="B3" s="6" t="str">
        <x:v>最新日期</x:v>
      </x:c>
      <x:c r="C3" s="6" t="str">
        <x:v>最新高点</x:v>
      </x:c>
      <x:c r="D3" s="6" t="str">
        <x:v>最新低点</x:v>
      </x:c>
      <x:c r="E3" s="6" t="str">
        <x:v>最新振幅</x:v>
      </x:c>
      <x:c r="F3" s="6" t="str">
        <x:v>交易日</x:v>
      </x:c>
      <x:c r="G3" s="6" t="str">
        <x:v>振幅合计</x:v>
      </x:c>
      <x:c r="H3" s="6" t="str">
        <x:v>振幅均值</x:v>
      </x:c>
      <x:c r="I3" s="6" t="str">
        <x:v>高振幅阈值</x:v>
      </x:c>
    </x:row>
    <x:row r="4">
      <x:c r="A4" s="9" t="str">
        <x:v>中证1000</x:v>
      </x:c>
      <x:c r="B4" s="9" t="str">
        <x:v>2026-10-27</x:v>
      </x:c>
      <x:c r="C4" s="10" t="n">
        <x:v>6717.99</x:v>
      </x:c>
      <x:c r="D4" s="10" t="n">
        <x:v>6427.17</x:v>
      </x:c>
      <x:c r="E4" s="12" t="n">
        <x:v>290.8</x:v>
      </x:c>
      <x:c r="F4" s="9" t="n">
        <x:v>14</x:v>
      </x:c>
      <x:c r="G4" s="10" t="n">
        <x:v>2977.2</x:v>
      </x:c>
      <x:c r="H4" s="10" t="n">
        <x:v>212.7</x:v>
      </x:c>
      <x:c r="I4" s="10" t="n">
        <x:v>180</x:v>
      </x:c>
    </x:row>
    <x:row r="5">
      <x:c r="A5" s="9" t="str">
        <x:v>中证500</x:v>
      </x:c>
      <x:c r="B5" s="9" t="str">
        <x:v>2026-10-27</x:v>
      </x:c>
      <x:c r="C5" s="10" t="n">
        <x:v>6784.25</x:v>
      </x:c>
      <x:c r="D5" s="10" t="n">
        <x:v>6511.37</x:v>
      </x:c>
      <x:c r="E5" s="12" t="n">
        <x:v>272.9</x:v>
      </x:c>
      <x:c r="F5" s="9" t="n">
        <x:v>14</x:v>
      </x:c>
      <x:c r="G5" s="10" t="n">
        <x:v>2770.4</x:v>
      </x:c>
      <x:c r="H5" s="10" t="n">
        <x:v>197.9</x:v>
      </x:c>
      <x:c r="I5" s="10" t="n">
        <x:v>160</x:v>
      </x:c>
    </x:row>
    <x:row r="6">
      <x:c r="A6" s="9" t="str">
        <x:v>上证指数</x:v>
      </x:c>
      <x:c r="B6" s="9" t="str">
        <x:v>2026-10-27</x:v>
      </x:c>
      <x:c r="C6" s="10" t="n">
        <x:v>3708.2</x:v>
      </x:c>
      <x:c r="D6" s="10" t="n">
        <x:v>3648.3</x:v>
      </x:c>
      <x:c r="E6" s="12" t="n">
        <x:v>59.9</x:v>
      </x:c>
      <x:c r="F6" s="9" t="n">
        <x:v>14</x:v>
      </x:c>
      <x:c r="G6" s="10" t="n">
        <x:v>831.1</x:v>
      </x:c>
      <x:c r="H6" s="10" t="n">
        <x:v>59.4</x:v>
      </x:c>
      <x:c r="I6" s="10" t="n">
        <x:v>50</x:v>
      </x:c>
    </x:row>
    <x:row r="7">
      <x:c r="A7" s="9" t="str">
        <x:v>IM主力</x:v>
      </x:c>
      <x:c r="B7" s="9" t="str">
        <x:v>2026-10-27</x:v>
      </x:c>
      <x:c r="C7" s="10" t="n">
        <x:v>6670.8</x:v>
      </x:c>
      <x:c r="D7" s="10" t="n">
        <x:v>6333.2</x:v>
      </x:c>
      <x:c r="E7" s="12" t="n">
        <x:v>337.6</x:v>
      </x:c>
      <x:c r="F7" s="9" t="n">
        <x:v>14</x:v>
      </x:c>
      <x:c r="G7" s="10" t="n">
        <x:v>3205.6</x:v>
      </x:c>
      <x:c r="H7" s="10" t="n">
        <x:v>229</x:v>
      </x:c>
      <x:c r="I7" s="10" t="n">
        <x:v>190</x:v>
      </x:c>
    </x:row>
    <x:row r="8">
      <x:c r="A8" s="9" t="str">
        <x:v>IC主力</x:v>
      </x:c>
      <x:c r="B8" s="9" t="str">
        <x:v>2026-10-27</x:v>
      </x:c>
      <x:c r="C8" s="10" t="n">
        <x:v>6732.2</x:v>
      </x:c>
      <x:c r="D8" s="10" t="n">
        <x:v>6405.6</x:v>
      </x:c>
      <x:c r="E8" s="12" t="n">
        <x:v>326.6</x:v>
      </x:c>
      <x:c r="F8" s="9" t="n">
        <x:v>14</x:v>
      </x:c>
      <x:c r="G8" s="10" t="n">
        <x:v>3095</x:v>
      </x:c>
      <x:c r="H8" s="10" t="n">
        <x:v>221.1</x:v>
      </x:c>
      <x:c r="I8" s="10" t="n">
        <x:v>150</x:v>
      </x:c>
    </x:row>
    <x:row r="9">
      <x:c r="A9" s="9" t="str">
        <x:v>IF主力</x:v>
      </x:c>
      <x:c r="B9" s="9" t="str">
        <x:v>2026-10-27</x:v>
      </x:c>
      <x:c r="C9" s="10" t="n">
        <x:v>4066.6</x:v>
      </x:c>
      <x:c r="D9" s="10" t="n">
        <x:v>3989.8</x:v>
      </x:c>
      <x:c r="E9" s="12" t="n">
        <x:v>76.8</x:v>
      </x:c>
      <x:c r="F9" s="9" t="n">
        <x:v>14</x:v>
      </x:c>
      <x:c r="G9" s="10" t="n">
        <x:v>1200.8</x:v>
      </x:c>
      <x:c r="H9" s="10" t="n">
        <x:v>85.8</x:v>
      </x:c>
      <x:c r="I9" s="10" t="n">
        <x:v>90</x:v>
      </x:c>
    </x:row>
    <x:row r="10">
      <x:c r="A10" s="9" t="str">
        <x:v>IH主力</x:v>
      </x:c>
      <x:c r="B10" s="9" t="str">
        <x:v>2026-10-27</x:v>
      </x:c>
      <x:c r="C10" s="10" t="n">
        <x:v>2731.6</x:v>
      </x:c>
      <x:c r="D10" s="10" t="n">
        <x:v>2708</x:v>
      </x:c>
      <x:c r="E10" s="12" t="n">
        <x:v>23.6</x:v>
      </x:c>
      <x:c r="F10" s="9" t="n">
        <x:v>14</x:v>
      </x:c>
      <x:c r="G10" s="10" t="n">
        <x:v>641.8</x:v>
      </x:c>
      <x:c r="H10" s="10" t="n">
        <x:v>45.8</x:v>
      </x:c>
      <x:c r="I10" s="10" t="n">
        <x:v>60</x:v>
      </x:c>
    </x:row>
    <x:row r="11">
      <x:c r="A11" s="9" t="str">
        <x:v>碳酸锂2610</x:v>
      </x:c>
      <x:c r="B11" s="9" t="str">
        <x:v>2026-10-21</x:v>
      </x:c>
      <x:c r="C11" s="10" t="n">
        <x:v>101660</x:v>
      </x:c>
      <x:c r="D11" s="10" t="n">
        <x:v>98000</x:v>
      </x:c>
      <x:c r="E11" s="12" t="n">
        <x:v>3660</x:v>
      </x:c>
      <x:c r="F11" s="9" t="n">
        <x:v>10</x:v>
      </x:c>
      <x:c r="G11" s="10" t="n">
        <x:v>58980</x:v>
      </x:c>
      <x:c r="H11" s="10" t="n">
        <x:v>5898</x:v>
      </x:c>
      <x:c r="I11" s="10" t="n">
        <x:v>6000</x:v>
      </x:c>
    </x:row>
    <x:row r="14">
      <x:c r="A14" s="14" t="str">
        <x:v>统计区间</x:v>
      </x:c>
      <x:c r="B14" s="14" t="str">
        <x:v>2026-10-01</x:v>
      </x:c>
      <x:c r="C14" s="14" t="str">
        <x:v>2026-10-27</x:v>
      </x:c>
      <x:c r="D14" s="14" t="str">
        <x:v>数据源</x:v>
      </x:c>
    </x:row>
    <x:row r="15">
      <x:c r="A15" s="7" t="str">
        <x:v>中证1000</x:v>
      </x:c>
      <x:c r="B15" s="7" t="str">
        <x:v>sh000852</x:v>
      </x:c>
      <x:c r="C15" s="7" t="str">
        <x:v>指数日线</x:v>
      </x:c>
      <x:c r="D15" s="7" t="str">
        <x:v>https://web.ifzq.gtimg.cn/appstock/app/fqkline/get?param=sh000852,day,,,80,qfq</x:v>
      </x:c>
    </x:row>
    <x:row r="16">
      <x:c r="A16" s="7" t="str">
        <x:v>中证500</x:v>
      </x:c>
      <x:c r="B16" s="7" t="str">
        <x:v>sh000905</x:v>
      </x:c>
      <x:c r="C16" s="7" t="str">
        <x:v>指数日线</x:v>
      </x:c>
      <x:c r="D16" s="7" t="str">
        <x:v>https://web.ifzq.gtimg.cn/appstock/app/fqkline/get?param=sh000905,day,,,80,qfq</x:v>
      </x:c>
    </x:row>
    <x:row r="17">
      <x:c r="A17" s="7" t="str">
        <x:v>上证指数</x:v>
      </x:c>
      <x:c r="B17" s="7" t="str">
        <x:v>sh000001</x:v>
      </x:c>
      <x:c r="C17" s="7" t="str">
        <x:v>指数日线</x:v>
      </x:c>
      <x:c r="D17" s="7" t="str">
        <x:v>https://web.ifzq.gtimg.cn/appstock/app/fqkline/get?param=sh000001,day,,,80,qfq</x:v>
      </x:c>
    </x:row>
    <x:row r="18">
      <x:c r="A18" s="7" t="str">
        <x:v>IM主力</x:v>
      </x:c>
      <x:c r="B18" s="7" t="str">
        <x:v>IM0</x:v>
      </x:c>
      <x:c r="C18" s="7" t="str">
        <x:v>用主连确定交易日，再按标的列的具体合约取日线</x:v>
      </x:c>
      <x:c r="D18" s="7" t="str">
        <x:v>https://stock2.finance.sina.com.cn/futures/api/json.php/InnerFuturesNewService.getDailyKLine?symbol=IM0</x:v>
      </x:c>
    </x:row>
    <x:row r="19">
      <x:c r="A19" s="7" t="str">
        <x:v>IC主力</x:v>
      </x:c>
      <x:c r="B19" s="7" t="str">
        <x:v>IC0</x:v>
      </x:c>
      <x:c r="C19" s="7" t="str">
        <x:v>用主连确定交易日，再按标的列的具体合约取日线</x:v>
      </x:c>
      <x:c r="D19" s="7" t="str">
        <x:v>https://stock2.finance.sina.com.cn/futures/api/json.php/InnerFuturesNewService.getDailyKLine?symbol=IC0</x:v>
      </x:c>
    </x:row>
    <x:row r="20">
      <x:c r="A20" s="7" t="str">
        <x:v>IF主力</x:v>
      </x:c>
      <x:c r="B20" s="7" t="str">
        <x:v>IF0</x:v>
      </x:c>
      <x:c r="C20" s="7" t="str">
        <x:v>用主连确定交易日，再按标的列的具体合约取日线</x:v>
      </x:c>
      <x:c r="D20" s="7" t="str">
        <x:v>https://stock2.finance.sina.com.cn/futures/api/json.php/InnerFuturesNewService.getDailyKLine?symbol=IF0</x:v>
      </x:c>
    </x:row>
    <x:row r="21">
      <x:c r="A21" s="7" t="str">
        <x:v>IH主力</x:v>
      </x:c>
      <x:c r="B21" s="7" t="str">
        <x:v>IH0</x:v>
      </x:c>
      <x:c r="C21" s="7" t="str">
        <x:v>用主连确定交易日，再按标的列的具体合约取日线</x:v>
      </x:c>
      <x:c r="D21" s="7" t="str">
        <x:v>https://stock2.finance.sina.com.cn/futures/api/json.php/InnerFuturesNewService.getDailyKLine?symbol=IH0</x:v>
      </x:c>
    </x:row>
    <x:row r="22">
      <x:c r="A22" s="7" t="str">
        <x:v>碳酸锂2610</x:v>
      </x:c>
      <x:c r="B22" s="7" t="str">
        <x:v>LC2610</x:v>
      </x:c>
      <x:c r="C22" s="7" t="str">
        <x:v>固定合约日线</x:v>
      </x:c>
      <x:c r="D22" s="7" t="str">
        <x:v>https://stock2.finance.sina.com.cn/futures/api/json.php/InnerFuturesNewService.getDailyKLine?symbol=LC2610</x:v>
      </x:c>
    </x:row>
  </x:sheetData>
  <x:mergeCells>
    <x:mergeCell ref="A1:I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4" hidden="0" customWidth="1"/>
    <x:col min="11" max="11" width="10" hidden="0" customWidth="1"/>
  </x:cols>
  <x:sheetData>
    <x:row r="1" ht="38" customHeight="1">
      <x:c r="A1" s="15" t="str">
        <x:v>2026年10月统计 - 每周振幅统计</x:v>
      </x:c>
    </x:row>
    <x:row r="3">
      <x:c r="A3" s="17" t="str">
        <x:v>中证1000</x:v>
      </x:c>
      <x:c r="B3" s="17"/>
      <x:c r="C3" s="17"/>
      <x:c r="D3" s="17"/>
      <x:c r="E3" s="17"/>
      <x:c r="F3" s="17"/>
      <x:c r="G3" s="17"/>
      <x:c r="H3" s="17"/>
      <x:c r="I3" s="17"/>
      <x:c r="J3" s="17"/>
      <x:c r="K3" s="17"/>
    </x:row>
    <x:row r="4">
      <x:c r="A4" s="20" t="str">
        <x:v>序号</x:v>
      </x:c>
      <x:c r="B4" s="20" t="str">
        <x:v>周期</x:v>
      </x:c>
      <x:c r="C4" s="20" t="str">
        <x:v>开盘</x:v>
      </x:c>
      <x:c r="D4" s="20" t="str">
        <x:v>高点</x:v>
      </x:c>
      <x:c r="E4" s="20" t="str">
        <x:v>低点</x:v>
      </x:c>
      <x:c r="F4" s="20" t="str">
        <x:v>收盘</x:v>
      </x:c>
      <x:c r="G4" s="20" t="str">
        <x:v>涨跌点数</x:v>
      </x:c>
      <x:c r="H4" s="20" t="str">
        <x:v>涨幅</x:v>
      </x:c>
      <x:c r="I4" s="20" t="str">
        <x:v>振幅</x:v>
      </x:c>
      <x:c r="J4" s="20" t="str">
        <x:v>标的</x:v>
      </x:c>
      <x:c r="K4" s="20" t="str">
        <x:v>交易日</x:v>
      </x:c>
    </x:row>
    <x:row r="5">
      <x:c r="A5" s="22" t="n">
        <x:v>1</x:v>
      </x:c>
      <x:c r="B5" s="22" t="str">
        <x:v>10月8日-10月9日</x:v>
      </x:c>
      <x:c r="C5" s="23" t="n">
        <x:v>7306.74</x:v>
      </x:c>
      <x:c r="D5" s="23" t="n">
        <x:v>7366.86</x:v>
      </x:c>
      <x:c r="E5" s="23" t="n">
        <x:v>6925.42</x:v>
      </x:c>
      <x:c r="F5" s="23" t="n">
        <x:v>7155.91</x:v>
      </x:c>
      <x:c r="G5" s="23"/>
      <x:c r="H5" s="24"/>
      <x:c r="I5" s="26" t="n">
        <x:f>ROUND(D5-E5,1)</x:f>
        <x:v>441.4</x:v>
      </x:c>
      <x:c r="J5" s="22" t="str">
        <x:v>中证1000</x:v>
      </x:c>
      <x:c r="K5" s="22" t="n">
        <x:v>2</x:v>
      </x:c>
    </x:row>
    <x:row r="6">
      <x:c r="A6" s="22" t="n">
        <x:v>2</x:v>
      </x:c>
      <x:c r="B6" s="22" t="str">
        <x:v>10月12日-10月16日</x:v>
      </x:c>
      <x:c r="C6" s="23" t="n">
        <x:v>7132.68</x:v>
      </x:c>
      <x:c r="D6" s="23" t="n">
        <x:v>7145.06</x:v>
      </x:c>
      <x:c r="E6" s="23" t="n">
        <x:v>6626.52</x:v>
      </x:c>
      <x:c r="F6" s="23" t="n">
        <x:v>6681.94</x:v>
      </x:c>
      <x:c r="G6" s="28" t="n">
        <x:f>ROUND(F6-F5,1)</x:f>
        <x:v>-474</x:v>
      </x:c>
      <x:c r="H6" s="24" t="n">
        <x:f>IFERROR(F6/F5-1,"")</x:f>
        <x:v>-0.06623476259483418</x:v>
      </x:c>
      <x:c r="I6" s="26" t="n">
        <x:f>ROUND(D6-E6,1)</x:f>
        <x:v>518.5</x:v>
      </x:c>
      <x:c r="J6" s="22" t="str">
        <x:v>中证1000</x:v>
      </x:c>
      <x:c r="K6" s="22" t="n">
        <x:v>5</x:v>
      </x:c>
    </x:row>
    <x:row r="7">
      <x:c r="A7" s="22" t="n">
        <x:v>3</x:v>
      </x:c>
      <x:c r="B7" s="22" t="str">
        <x:v>10月19日-10月23日</x:v>
      </x:c>
      <x:c r="C7" s="23" t="n">
        <x:v>6639.94</x:v>
      </x:c>
      <x:c r="D7" s="23" t="n">
        <x:v>6880.55</x:v>
      </x:c>
      <x:c r="E7" s="23" t="n">
        <x:v>6301.81</x:v>
      </x:c>
      <x:c r="F7" s="23" t="n">
        <x:v>6734.55</x:v>
      </x:c>
      <x:c r="G7" s="23" t="n">
        <x:f>ROUND(F7-F6,1)</x:f>
        <x:v>52.6</x:v>
      </x:c>
      <x:c r="H7" s="24" t="n">
        <x:f>IFERROR(F7/F6-1,"")</x:f>
        <x:v>0.007873461898789902</x:v>
      </x:c>
      <x:c r="I7" s="26" t="n">
        <x:f>ROUND(D7-E7,1)</x:f>
        <x:v>578.7</x:v>
      </x:c>
      <x:c r="J7" s="22" t="str">
        <x:v>中证1000</x:v>
      </x:c>
      <x:c r="K7" s="22" t="n">
        <x:v>5</x:v>
      </x:c>
    </x:row>
    <x:row r="8">
      <x:c r="A8" s="22" t="n">
        <x:v>4</x:v>
      </x:c>
      <x:c r="B8" s="22" t="str">
        <x:v>10月26日-10月27日</x:v>
      </x:c>
      <x:c r="C8" s="23" t="n">
        <x:v>6684.93</x:v>
      </x:c>
      <x:c r="D8" s="23" t="n">
        <x:v>6717.99</x:v>
      </x:c>
      <x:c r="E8" s="23" t="n">
        <x:v>6427.17</x:v>
      </x:c>
      <x:c r="F8" s="23" t="n">
        <x:v>6427.17</x:v>
      </x:c>
      <x:c r="G8" s="28" t="n">
        <x:f>ROUND(F8-F7,1)</x:f>
        <x:v>-307.4</x:v>
      </x:c>
      <x:c r="H8" s="24" t="n">
        <x:f>IFERROR(F8/F7-1,"")</x:f>
        <x:v>-0.04564224781165782</x:v>
      </x:c>
      <x:c r="I8" s="26" t="n">
        <x:f>ROUND(D8-E8,1)</x:f>
        <x:v>290.8</x:v>
      </x:c>
      <x:c r="J8" s="22" t="str">
        <x:v>中证1000</x:v>
      </x:c>
      <x:c r="K8" s="22" t="n">
        <x:v>2</x:v>
      </x:c>
    </x:row>
    <x:row r="9">
      <x:c r="A9" s="31" t="str">
        <x:v>合计</x:v>
      </x:c>
      <x:c r="B9" s="30" t="n">
        <x:v>4</x:v>
      </x:c>
      <x:c r="C9" s="30"/>
      <x:c r="D9" s="30"/>
      <x:c r="E9" s="30"/>
      <x:c r="F9" s="30"/>
      <x:c r="G9" s="30"/>
      <x:c r="H9" s="30"/>
      <x:c r="I9" s="32" t="n">
        <x:f>ROUND(SUM(I5:I8),1)</x:f>
        <x:v>1829.4</x:v>
      </x:c>
      <x:c r="J9" s="30"/>
      <x:c r="K9" s="30"/>
    </x:row>
    <x:row r="10">
      <x:c r="A10" s="31" t="str">
        <x:v>均值</x:v>
      </x:c>
      <x:c r="B10" s="30"/>
      <x:c r="C10" s="30"/>
      <x:c r="D10" s="30"/>
      <x:c r="E10" s="30"/>
      <x:c r="F10" s="30"/>
      <x:c r="G10" s="30"/>
      <x:c r="H10" s="30"/>
      <x:c r="I10" s="34" t="n">
        <x:f>ROUND(IFERROR(AVERAGE(I5:I8),0),1)</x:f>
        <x:v>457.4</x:v>
      </x:c>
      <x:c r="J10" s="30"/>
      <x:c r="K10" s="30"/>
    </x:row>
    <x:row r="12">
      <x:c r="A12" s="17" t="str">
        <x:v>中证500</x:v>
      </x:c>
      <x:c r="B12" s="17"/>
      <x:c r="C12" s="17"/>
      <x:c r="D12" s="17"/>
      <x:c r="E12" s="17"/>
      <x:c r="F12" s="17"/>
      <x:c r="G12" s="17"/>
      <x:c r="H12" s="17"/>
      <x:c r="I12" s="17"/>
      <x:c r="J12" s="17"/>
      <x:c r="K12" s="17"/>
    </x:row>
    <x:row r="13">
      <x:c r="A13" s="20" t="str">
        <x:v>序号</x:v>
      </x:c>
      <x:c r="B13" s="20" t="str">
        <x:v>周期</x:v>
      </x:c>
      <x:c r="C13" s="20" t="str">
        <x:v>开盘</x:v>
      </x:c>
      <x:c r="D13" s="20" t="str">
        <x:v>高点</x:v>
      </x:c>
      <x:c r="E13" s="20" t="str">
        <x:v>低点</x:v>
      </x:c>
      <x:c r="F13" s="20" t="str">
        <x:v>收盘</x:v>
      </x:c>
      <x:c r="G13" s="20" t="str">
        <x:v>涨跌点数</x:v>
      </x:c>
      <x:c r="H13" s="20" t="str">
        <x:v>涨幅</x:v>
      </x:c>
      <x:c r="I13" s="20" t="str">
        <x:v>振幅</x:v>
      </x:c>
      <x:c r="J13" s="20" t="str">
        <x:v>标的</x:v>
      </x:c>
      <x:c r="K13" s="20" t="str">
        <x:v>交易日</x:v>
      </x:c>
    </x:row>
    <x:row r="14">
      <x:c r="A14" s="22" t="n">
        <x:v>1</x:v>
      </x:c>
      <x:c r="B14" s="22" t="str">
        <x:v>10月8日-10月9日</x:v>
      </x:c>
      <x:c r="C14" s="23" t="n">
        <x:v>7420.44</x:v>
      </x:c>
      <x:c r="D14" s="23" t="n">
        <x:v>7461.24</x:v>
      </x:c>
      <x:c r="E14" s="23" t="n">
        <x:v>7048.45</x:v>
      </x:c>
      <x:c r="F14" s="23" t="n">
        <x:v>7251.01</x:v>
      </x:c>
      <x:c r="G14" s="23"/>
      <x:c r="H14" s="24"/>
      <x:c r="I14" s="26" t="n">
        <x:f>ROUND(D14-E14,1)</x:f>
        <x:v>412.8</x:v>
      </x:c>
      <x:c r="J14" s="22" t="str">
        <x:v>中证500</x:v>
      </x:c>
      <x:c r="K14" s="22" t="n">
        <x:v>2</x:v>
      </x:c>
    </x:row>
    <x:row r="15">
      <x:c r="A15" s="22" t="n">
        <x:v>2</x:v>
      </x:c>
      <x:c r="B15" s="22" t="str">
        <x:v>10月12日-10月16日</x:v>
      </x:c>
      <x:c r="C15" s="23" t="n">
        <x:v>7226.07</x:v>
      </x:c>
      <x:c r="D15" s="23" t="n">
        <x:v>7236.78</x:v>
      </x:c>
      <x:c r="E15" s="23" t="n">
        <x:v>6719.82</x:v>
      </x:c>
      <x:c r="F15" s="23" t="n">
        <x:v>6772.75</x:v>
      </x:c>
      <x:c r="G15" s="28" t="n">
        <x:f>ROUND(F15-F14,1)</x:f>
        <x:v>-478.3</x:v>
      </x:c>
      <x:c r="H15" s="24" t="n">
        <x:f>IFERROR(F15/F14-1,"")</x:f>
        <x:v>-0.06595770796068412</x:v>
      </x:c>
      <x:c r="I15" s="26" t="n">
        <x:f>ROUND(D15-E15,1)</x:f>
        <x:v>517</x:v>
      </x:c>
      <x:c r="J15" s="22" t="str">
        <x:v>中证500</x:v>
      </x:c>
      <x:c r="K15" s="22" t="n">
        <x:v>5</x:v>
      </x:c>
    </x:row>
    <x:row r="16">
      <x:c r="A16" s="22" t="n">
        <x:v>3</x:v>
      </x:c>
      <x:c r="B16" s="22" t="str">
        <x:v>10月19日-10月23日</x:v>
      </x:c>
      <x:c r="C16" s="23" t="n">
        <x:v>6735.53</x:v>
      </x:c>
      <x:c r="D16" s="23" t="n">
        <x:v>6941.51</x:v>
      </x:c>
      <x:c r="E16" s="23" t="n">
        <x:v>6440.29</x:v>
      </x:c>
      <x:c r="F16" s="23" t="n">
        <x:v>6814.44</x:v>
      </x:c>
      <x:c r="G16" s="23" t="n">
        <x:f>ROUND(F16-F15,1)</x:f>
        <x:v>41.7</x:v>
      </x:c>
      <x:c r="H16" s="24" t="n">
        <x:f>IFERROR(F16/F15-1,"")</x:f>
        <x:v>0.006155549813591232</x:v>
      </x:c>
      <x:c r="I16" s="26" t="n">
        <x:f>ROUND(D16-E16,1)</x:f>
        <x:v>501.2</x:v>
      </x:c>
      <x:c r="J16" s="22" t="str">
        <x:v>中证500</x:v>
      </x:c>
      <x:c r="K16" s="22" t="n">
        <x:v>5</x:v>
      </x:c>
    </x:row>
    <x:row r="17">
      <x:c r="A17" s="22" t="n">
        <x:v>4</x:v>
      </x:c>
      <x:c r="B17" s="22" t="str">
        <x:v>10月26日-10月27日</x:v>
      </x:c>
      <x:c r="C17" s="23" t="n">
        <x:v>6756.46</x:v>
      </x:c>
      <x:c r="D17" s="23" t="n">
        <x:v>6787.32</x:v>
      </x:c>
      <x:c r="E17" s="23" t="n">
        <x:v>6511.37</x:v>
      </x:c>
      <x:c r="F17" s="23" t="n">
        <x:v>6511.42</x:v>
      </x:c>
      <x:c r="G17" s="28" t="n">
        <x:f>ROUND(F17-F16,1)</x:f>
        <x:v>-303</x:v>
      </x:c>
      <x:c r="H17" s="24" t="n">
        <x:f>IFERROR(F17/F16-1,"")</x:f>
        <x:v>-0.04446733700788319</x:v>
      </x:c>
      <x:c r="I17" s="26" t="n">
        <x:f>ROUND(D17-E17,1)</x:f>
        <x:v>275.9</x:v>
      </x:c>
      <x:c r="J17" s="22" t="str">
        <x:v>中证500</x:v>
      </x:c>
      <x:c r="K17" s="22" t="n">
        <x:v>2</x:v>
      </x:c>
    </x:row>
    <x:row r="18">
      <x:c r="A18" s="31" t="str">
        <x:v>合计</x:v>
      </x:c>
      <x:c r="B18" s="30" t="n">
        <x:v>4</x:v>
      </x:c>
      <x:c r="C18" s="30"/>
      <x:c r="D18" s="30"/>
      <x:c r="E18" s="30"/>
      <x:c r="F18" s="30"/>
      <x:c r="G18" s="30"/>
      <x:c r="H18" s="30"/>
      <x:c r="I18" s="32" t="n">
        <x:f>ROUND(SUM(I14:I17),1)</x:f>
        <x:v>1706.9</x:v>
      </x:c>
      <x:c r="J18" s="30"/>
      <x:c r="K18" s="30"/>
    </x:row>
    <x:row r="19">
      <x:c r="A19" s="31" t="str">
        <x:v>均值</x:v>
      </x:c>
      <x:c r="B19" s="30"/>
      <x:c r="C19" s="30"/>
      <x:c r="D19" s="30"/>
      <x:c r="E19" s="30"/>
      <x:c r="F19" s="30"/>
      <x:c r="G19" s="30"/>
      <x:c r="H19" s="30"/>
      <x:c r="I19" s="34" t="n">
        <x:f>ROUND(IFERROR(AVERAGE(I14:I17),0),1)</x:f>
        <x:v>426.7</x:v>
      </x:c>
      <x:c r="J19" s="30"/>
      <x:c r="K19" s="30"/>
    </x:row>
    <x:row r="21">
      <x:c r="A21" s="17" t="str">
        <x:v>上证指数</x:v>
      </x:c>
      <x:c r="B21" s="17"/>
      <x:c r="C21" s="17"/>
      <x:c r="D21" s="17"/>
      <x:c r="E21" s="17"/>
      <x:c r="F21" s="17"/>
      <x:c r="G21" s="17"/>
      <x:c r="H21" s="17"/>
      <x:c r="I21" s="17"/>
      <x:c r="J21" s="17"/>
      <x:c r="K21" s="17"/>
    </x:row>
    <x:row r="22">
      <x:c r="A22" s="20" t="str">
        <x:v>序号</x:v>
      </x:c>
      <x:c r="B22" s="20" t="str">
        <x:v>周期</x:v>
      </x:c>
      <x:c r="C22" s="20" t="str">
        <x:v>开盘</x:v>
      </x:c>
      <x:c r="D22" s="20" t="str">
        <x:v>高点</x:v>
      </x:c>
      <x:c r="E22" s="20" t="str">
        <x:v>低点</x:v>
      </x:c>
      <x:c r="F22" s="20" t="str">
        <x:v>收盘</x:v>
      </x:c>
      <x:c r="G22" s="20" t="str">
        <x:v>涨跌点数</x:v>
      </x:c>
      <x:c r="H22" s="20" t="str">
        <x:v>涨幅</x:v>
      </x:c>
      <x:c r="I22" s="20" t="str">
        <x:v>振幅</x:v>
      </x:c>
      <x:c r="J22" s="20" t="str">
        <x:v>标的</x:v>
      </x:c>
      <x:c r="K22" s="20" t="str">
        <x:v>交易日</x:v>
      </x:c>
    </x:row>
    <x:row r="23">
      <x:c r="A23" s="22" t="n">
        <x:v>1</x:v>
      </x:c>
      <x:c r="B23" s="22" t="str">
        <x:v>10月8日-10月9日</x:v>
      </x:c>
      <x:c r="C23" s="23" t="n">
        <x:v>3838.98</x:v>
      </x:c>
      <x:c r="D23" s="23" t="n">
        <x:v>3864.12</x:v>
      </x:c>
      <x:c r="E23" s="23" t="n">
        <x:v>3754.14</x:v>
      </x:c>
      <x:c r="F23" s="23" t="n">
        <x:v>3813.79</x:v>
      </x:c>
      <x:c r="G23" s="23"/>
      <x:c r="H23" s="24"/>
      <x:c r="I23" s="26" t="n">
        <x:f>ROUND(D23-E23,1)</x:f>
        <x:v>110</x:v>
      </x:c>
      <x:c r="J23" s="22" t="str">
        <x:v>上证指数</x:v>
      </x:c>
      <x:c r="K23" s="22" t="n">
        <x:v>2</x:v>
      </x:c>
    </x:row>
    <x:row r="24">
      <x:c r="A24" s="22" t="n">
        <x:v>2</x:v>
      </x:c>
      <x:c r="B24" s="22" t="str">
        <x:v>10月12日-10月16日</x:v>
      </x:c>
      <x:c r="C24" s="23" t="n">
        <x:v>3806.98</x:v>
      </x:c>
      <x:c r="D24" s="23" t="n">
        <x:v>3828.22</x:v>
      </x:c>
      <x:c r="E24" s="23" t="n">
        <x:v>3674.82</x:v>
      </x:c>
      <x:c r="F24" s="23" t="n">
        <x:v>3716.28</x:v>
      </x:c>
      <x:c r="G24" s="23" t="n">
        <x:f>ROUND(F24-F23,1)</x:f>
        <x:v>-97.5</x:v>
      </x:c>
      <x:c r="H24" s="24" t="n">
        <x:f>IFERROR(F24/F23-1,"")</x:f>
        <x:v>-0.02556774232456427</x:v>
      </x:c>
      <x:c r="I24" s="26" t="n">
        <x:f>ROUND(D24-E24,1)</x:f>
        <x:v>153.4</x:v>
      </x:c>
      <x:c r="J24" s="22" t="str">
        <x:v>上证指数</x:v>
      </x:c>
      <x:c r="K24" s="22" t="n">
        <x:v>5</x:v>
      </x:c>
    </x:row>
    <x:row r="25">
      <x:c r="A25" s="22" t="n">
        <x:v>3</x:v>
      </x:c>
      <x:c r="B25" s="22" t="str">
        <x:v>10月19日-10月23日</x:v>
      </x:c>
      <x:c r="C25" s="23" t="n">
        <x:v>3694.12</x:v>
      </x:c>
      <x:c r="D25" s="23" t="n">
        <x:v>3743.8</x:v>
      </x:c>
      <x:c r="E25" s="23" t="n">
        <x:v>3574.27</x:v>
      </x:c>
      <x:c r="F25" s="23" t="n">
        <x:v>3690.48</x:v>
      </x:c>
      <x:c r="G25" s="23" t="n">
        <x:f>ROUND(F25-F24,1)</x:f>
        <x:v>-25.8</x:v>
      </x:c>
      <x:c r="H25" s="24" t="n">
        <x:f>IFERROR(F25/F24-1,"")</x:f>
        <x:v>-0.0069424262972650475</x:v>
      </x:c>
      <x:c r="I25" s="26" t="n">
        <x:f>ROUND(D25-E25,1)</x:f>
        <x:v>169.5</x:v>
      </x:c>
      <x:c r="J25" s="22" t="str">
        <x:v>上证指数</x:v>
      </x:c>
      <x:c r="K25" s="22" t="n">
        <x:v>5</x:v>
      </x:c>
    </x:row>
    <x:row r="26">
      <x:c r="A26" s="22" t="n">
        <x:v>4</x:v>
      </x:c>
      <x:c r="B26" s="22" t="str">
        <x:v>10月26日-10月27日</x:v>
      </x:c>
      <x:c r="C26" s="23" t="n">
        <x:v>3671</x:v>
      </x:c>
      <x:c r="D26" s="23" t="n">
        <x:v>3708.2</x:v>
      </x:c>
      <x:c r="E26" s="23" t="n">
        <x:v>3648.3</x:v>
      </x:c>
      <x:c r="F26" s="23" t="n">
        <x:v>3648.3</x:v>
      </x:c>
      <x:c r="G26" s="23" t="n">
        <x:f>ROUND(F26-F25,1)</x:f>
        <x:v>-42.2</x:v>
      </x:c>
      <x:c r="H26" s="24" t="n">
        <x:f>IFERROR(F26/F25-1,"")</x:f>
        <x:v>-0.01142940755674049</x:v>
      </x:c>
      <x:c r="I26" s="26" t="n">
        <x:f>ROUND(D26-E26,1)</x:f>
        <x:v>59.9</x:v>
      </x:c>
      <x:c r="J26" s="22" t="str">
        <x:v>上证指数</x:v>
      </x:c>
      <x:c r="K26" s="22" t="n">
        <x:v>2</x:v>
      </x:c>
    </x:row>
    <x:row r="27">
      <x:c r="A27" s="31" t="str">
        <x:v>合计</x:v>
      </x:c>
      <x:c r="B27" s="30" t="n">
        <x:v>4</x:v>
      </x:c>
      <x:c r="C27" s="30"/>
      <x:c r="D27" s="30"/>
      <x:c r="E27" s="30"/>
      <x:c r="F27" s="30"/>
      <x:c r="G27" s="30"/>
      <x:c r="H27" s="30"/>
      <x:c r="I27" s="32" t="n">
        <x:f>ROUND(SUM(I23:I26),1)</x:f>
        <x:v>492.8</x:v>
      </x:c>
      <x:c r="J27" s="30"/>
      <x:c r="K27" s="30"/>
    </x:row>
    <x:row r="28">
      <x:c r="A28" s="31" t="str">
        <x:v>均值</x:v>
      </x:c>
      <x:c r="B28" s="30"/>
      <x:c r="C28" s="30"/>
      <x:c r="D28" s="30"/>
      <x:c r="E28" s="30"/>
      <x:c r="F28" s="30"/>
      <x:c r="G28" s="30"/>
      <x:c r="H28" s="30"/>
      <x:c r="I28" s="34" t="n">
        <x:f>ROUND(IFERROR(AVERAGE(I23:I26),0),1)</x:f>
        <x:v>123.2</x:v>
      </x:c>
      <x:c r="J28" s="30"/>
      <x:c r="K28" s="30"/>
    </x:row>
    <x:row r="30">
      <x:c r="A30" s="17" t="str">
        <x:v>IM主力</x:v>
      </x:c>
      <x:c r="B30" s="17"/>
      <x:c r="C30" s="17"/>
      <x:c r="D30" s="17"/>
      <x:c r="E30" s="17"/>
      <x:c r="F30" s="17"/>
      <x:c r="G30" s="17"/>
      <x:c r="H30" s="17"/>
      <x:c r="I30" s="17"/>
      <x:c r="J30" s="17"/>
      <x:c r="K30" s="17"/>
    </x:row>
    <x:row r="31">
      <x:c r="A31" s="20" t="str">
        <x:v>序号</x:v>
      </x:c>
      <x:c r="B31" s="20" t="str">
        <x:v>周期</x:v>
      </x:c>
      <x:c r="C31" s="20" t="str">
        <x:v>开盘</x:v>
      </x:c>
      <x:c r="D31" s="20" t="str">
        <x:v>高点</x:v>
      </x:c>
      <x:c r="E31" s="20" t="str">
        <x:v>低点</x:v>
      </x:c>
      <x:c r="F31" s="20" t="str">
        <x:v>收盘</x:v>
      </x:c>
      <x:c r="G31" s="20" t="str">
        <x:v>涨跌点数</x:v>
      </x:c>
      <x:c r="H31" s="20" t="str">
        <x:v>涨幅</x:v>
      </x:c>
      <x:c r="I31" s="20" t="str">
        <x:v>振幅</x:v>
      </x:c>
      <x:c r="J31" s="20" t="str">
        <x:v>标的</x:v>
      </x:c>
      <x:c r="K31" s="20" t="str">
        <x:v>交易日</x:v>
      </x:c>
    </x:row>
    <x:row r="32">
      <x:c r="A32" s="22" t="n">
        <x:v>1</x:v>
      </x:c>
      <x:c r="B32" s="22" t="str">
        <x:v>10月8日-10月9日</x:v>
      </x:c>
      <x:c r="C32" s="23" t="n">
        <x:v>7182.8</x:v>
      </x:c>
      <x:c r="D32" s="23" t="n">
        <x:v>7251.8</x:v>
      </x:c>
      <x:c r="E32" s="23" t="n">
        <x:v>6819.2</x:v>
      </x:c>
      <x:c r="F32" s="23" t="n">
        <x:v>7015.8</x:v>
      </x:c>
      <x:c r="G32" s="23"/>
      <x:c r="H32" s="24"/>
      <x:c r="I32" s="26" t="n">
        <x:f>ROUND(D32-E32,1)</x:f>
        <x:v>432.6</x:v>
      </x:c>
      <x:c r="J32" s="22" t="str">
        <x:v>IM2612</x:v>
      </x:c>
      <x:c r="K32" s="22" t="n">
        <x:v>2</x:v>
      </x:c>
    </x:row>
    <x:row r="33">
      <x:c r="A33" s="22" t="n">
        <x:v>2</x:v>
      </x:c>
      <x:c r="B33" s="22" t="str">
        <x:v>10月12日-10月16日</x:v>
      </x:c>
      <x:c r="C33" s="23" t="n">
        <x:v>7000</x:v>
      </x:c>
      <x:c r="D33" s="23" t="n">
        <x:v>7031.2</x:v>
      </x:c>
      <x:c r="E33" s="23" t="n">
        <x:v>6519.6</x:v>
      </x:c>
      <x:c r="F33" s="23" t="n">
        <x:v>6583.6</x:v>
      </x:c>
      <x:c r="G33" s="28" t="n">
        <x:f>ROUND(F33-F32,1)</x:f>
        <x:v>-432.2</x:v>
      </x:c>
      <x:c r="H33" s="24" t="n">
        <x:f>IFERROR(F33/F32-1,"")</x:f>
        <x:v>-0.06160380854642378</x:v>
      </x:c>
      <x:c r="I33" s="26" t="n">
        <x:f>ROUND(D33-E33,1)</x:f>
        <x:v>511.6</x:v>
      </x:c>
      <x:c r="J33" s="22" t="str">
        <x:v>IM2612</x:v>
      </x:c>
      <x:c r="K33" s="22" t="n">
        <x:v>5</x:v>
      </x:c>
    </x:row>
    <x:row r="34">
      <x:c r="A34" s="22" t="n">
        <x:v>3</x:v>
      </x:c>
      <x:c r="B34" s="22" t="str">
        <x:v>10月19日-10月23日</x:v>
      </x:c>
      <x:c r="C34" s="23" t="n">
        <x:v>6577.2</x:v>
      </x:c>
      <x:c r="D34" s="23" t="n">
        <x:v>6799.6</x:v>
      </x:c>
      <x:c r="E34" s="23" t="n">
        <x:v>6212.6</x:v>
      </x:c>
      <x:c r="F34" s="23" t="n">
        <x:v>6660</x:v>
      </x:c>
      <x:c r="G34" s="23" t="n">
        <x:f>ROUND(F34-F33,1)</x:f>
        <x:v>76.4</x:v>
      </x:c>
      <x:c r="H34" s="24" t="n">
        <x:f>IFERROR(F34/F33-1,"")</x:f>
        <x:v>0.011604593231666405</x:v>
      </x:c>
      <x:c r="I34" s="26" t="n">
        <x:f>ROUND(D34-E34,1)</x:f>
        <x:v>587</x:v>
      </x:c>
      <x:c r="J34" s="22" t="str">
        <x:v>IM2612</x:v>
      </x:c>
      <x:c r="K34" s="22" t="n">
        <x:v>5</x:v>
      </x:c>
    </x:row>
    <x:row r="35">
      <x:c r="A35" s="22" t="n">
        <x:v>4</x:v>
      </x:c>
      <x:c r="B35" s="22" t="str">
        <x:v>10月26日-10月27日</x:v>
      </x:c>
      <x:c r="C35" s="23" t="n">
        <x:v>6618</x:v>
      </x:c>
      <x:c r="D35" s="23" t="n">
        <x:v>6670.8</x:v>
      </x:c>
      <x:c r="E35" s="23" t="n">
        <x:v>6333.2</x:v>
      </x:c>
      <x:c r="F35" s="23" t="n">
        <x:v>6339.2</x:v>
      </x:c>
      <x:c r="G35" s="28" t="n">
        <x:f>ROUND(F35-F34,1)</x:f>
        <x:v>-320.8</x:v>
      </x:c>
      <x:c r="H35" s="24" t="n">
        <x:f>IFERROR(F35/F34-1,"")</x:f>
        <x:v>-0.04816816816816816</x:v>
      </x:c>
      <x:c r="I35" s="26" t="n">
        <x:f>ROUND(D35-E35,1)</x:f>
        <x:v>337.6</x:v>
      </x:c>
      <x:c r="J35" s="22" t="str">
        <x:v>IM2612</x:v>
      </x:c>
      <x:c r="K35" s="22" t="n">
        <x:v>2</x:v>
      </x:c>
    </x:row>
    <x:row r="36">
      <x:c r="A36" s="31" t="str">
        <x:v>合计</x:v>
      </x:c>
      <x:c r="B36" s="30" t="n">
        <x:v>4</x:v>
      </x:c>
      <x:c r="C36" s="30"/>
      <x:c r="D36" s="30"/>
      <x:c r="E36" s="30"/>
      <x:c r="F36" s="30"/>
      <x:c r="G36" s="30"/>
      <x:c r="H36" s="30"/>
      <x:c r="I36" s="32" t="n">
        <x:f>ROUND(SUM(I32:I35),1)</x:f>
        <x:v>1868.8</x:v>
      </x:c>
      <x:c r="J36" s="30"/>
      <x:c r="K36" s="30"/>
    </x:row>
    <x:row r="37">
      <x:c r="A37" s="31" t="str">
        <x:v>均值</x:v>
      </x:c>
      <x:c r="B37" s="30"/>
      <x:c r="C37" s="30"/>
      <x:c r="D37" s="30"/>
      <x:c r="E37" s="30"/>
      <x:c r="F37" s="30"/>
      <x:c r="G37" s="30"/>
      <x:c r="H37" s="30"/>
      <x:c r="I37" s="34" t="n">
        <x:f>ROUND(IFERROR(AVERAGE(I32:I35),0),1)</x:f>
        <x:v>467.2</x:v>
      </x:c>
      <x:c r="J37" s="30"/>
      <x:c r="K37" s="30"/>
    </x:row>
    <x:row r="39">
      <x:c r="A39" s="17" t="str">
        <x:v>IC主力</x:v>
      </x:c>
      <x:c r="B39" s="17"/>
      <x:c r="C39" s="17"/>
      <x:c r="D39" s="17"/>
      <x:c r="E39" s="17"/>
      <x:c r="F39" s="17"/>
      <x:c r="G39" s="17"/>
      <x:c r="H39" s="17"/>
      <x:c r="I39" s="17"/>
      <x:c r="J39" s="17"/>
      <x:c r="K39" s="17"/>
    </x:row>
    <x:row r="40">
      <x:c r="A40" s="20" t="str">
        <x:v>序号</x:v>
      </x:c>
      <x:c r="B40" s="20" t="str">
        <x:v>周期</x:v>
      </x:c>
      <x:c r="C40" s="20" t="str">
        <x:v>开盘</x:v>
      </x:c>
      <x:c r="D40" s="20" t="str">
        <x:v>高点</x:v>
      </x:c>
      <x:c r="E40" s="20" t="str">
        <x:v>低点</x:v>
      </x:c>
      <x:c r="F40" s="20" t="str">
        <x:v>收盘</x:v>
      </x:c>
      <x:c r="G40" s="20" t="str">
        <x:v>涨跌点数</x:v>
      </x:c>
      <x:c r="H40" s="20" t="str">
        <x:v>涨幅</x:v>
      </x:c>
      <x:c r="I40" s="20" t="str">
        <x:v>振幅</x:v>
      </x:c>
      <x:c r="J40" s="20" t="str">
        <x:v>标的</x:v>
      </x:c>
      <x:c r="K40" s="20" t="str">
        <x:v>交易日</x:v>
      </x:c>
    </x:row>
    <x:row r="41">
      <x:c r="A41" s="22" t="n">
        <x:v>1</x:v>
      </x:c>
      <x:c r="B41" s="22" t="str">
        <x:v>10月8日-10月9日</x:v>
      </x:c>
      <x:c r="C41" s="23" t="n">
        <x:v>7295</x:v>
      </x:c>
      <x:c r="D41" s="23" t="n">
        <x:v>7355</x:v>
      </x:c>
      <x:c r="E41" s="23" t="n">
        <x:v>6932</x:v>
      </x:c>
      <x:c r="F41" s="23" t="n">
        <x:v>7111</x:v>
      </x:c>
      <x:c r="G41" s="23"/>
      <x:c r="H41" s="24"/>
      <x:c r="I41" s="26" t="n">
        <x:f>ROUND(D41-E41,1)</x:f>
        <x:v>423</x:v>
      </x:c>
      <x:c r="J41" s="22" t="str">
        <x:v>IC2612</x:v>
      </x:c>
      <x:c r="K41" s="22" t="n">
        <x:v>2</x:v>
      </x:c>
    </x:row>
    <x:row r="42">
      <x:c r="A42" s="22" t="n">
        <x:v>2</x:v>
      </x:c>
      <x:c r="B42" s="22" t="str">
        <x:v>10月12日-10月16日</x:v>
      </x:c>
      <x:c r="C42" s="23" t="n">
        <x:v>7076.6</x:v>
      </x:c>
      <x:c r="D42" s="23" t="n">
        <x:v>7115.6</x:v>
      </x:c>
      <x:c r="E42" s="23" t="n">
        <x:v>6583.2</x:v>
      </x:c>
      <x:c r="F42" s="23" t="n">
        <x:v>6667.8</x:v>
      </x:c>
      <x:c r="G42" s="28" t="n">
        <x:f>ROUND(F42-F41,1)</x:f>
        <x:v>-443.2</x:v>
      </x:c>
      <x:c r="H42" s="24" t="n">
        <x:f>IFERROR(F42/F41-1,"")</x:f>
        <x:v>-0.062325973843341265</x:v>
      </x:c>
      <x:c r="I42" s="26" t="n">
        <x:f>ROUND(D42-E42,1)</x:f>
        <x:v>532.4</x:v>
      </x:c>
      <x:c r="J42" s="22" t="str">
        <x:v>IC2612</x:v>
      </x:c>
      <x:c r="K42" s="22" t="n">
        <x:v>5</x:v>
      </x:c>
    </x:row>
    <x:row r="43">
      <x:c r="A43" s="22" t="n">
        <x:v>3</x:v>
      </x:c>
      <x:c r="B43" s="22" t="str">
        <x:v>10月19日-10月23日</x:v>
      </x:c>
      <x:c r="C43" s="23" t="n">
        <x:v>6670.2</x:v>
      </x:c>
      <x:c r="D43" s="23" t="n">
        <x:v>6864</x:v>
      </x:c>
      <x:c r="E43" s="23" t="n">
        <x:v>6340</x:v>
      </x:c>
      <x:c r="F43" s="23" t="n">
        <x:v>6742</x:v>
      </x:c>
      <x:c r="G43" s="23" t="n">
        <x:f>ROUND(F43-F42,1)</x:f>
        <x:v>74.2</x:v>
      </x:c>
      <x:c r="H43" s="24" t="n">
        <x:f>IFERROR(F43/F42-1,"")</x:f>
        <x:v>0.011128108221602373</x:v>
      </x:c>
      <x:c r="I43" s="26" t="n">
        <x:f>ROUND(D43-E43,1)</x:f>
        <x:v>524</x:v>
      </x:c>
      <x:c r="J43" s="22" t="str">
        <x:v>IC2612</x:v>
      </x:c>
      <x:c r="K43" s="22" t="n">
        <x:v>5</x:v>
      </x:c>
    </x:row>
    <x:row r="44">
      <x:c r="A44" s="22" t="n">
        <x:v>4</x:v>
      </x:c>
      <x:c r="B44" s="22" t="str">
        <x:v>10月26日-10月27日</x:v>
      </x:c>
      <x:c r="C44" s="23" t="n">
        <x:v>6700</x:v>
      </x:c>
      <x:c r="D44" s="23" t="n">
        <x:v>6732.2</x:v>
      </x:c>
      <x:c r="E44" s="23" t="n">
        <x:v>6405.6</x:v>
      </x:c>
      <x:c r="F44" s="23" t="n">
        <x:v>6407.6</x:v>
      </x:c>
      <x:c r="G44" s="28" t="n">
        <x:f>ROUND(F44-F43,1)</x:f>
        <x:v>-334.4</x:v>
      </x:c>
      <x:c r="H44" s="24" t="n">
        <x:f>IFERROR(F44/F43-1,"")</x:f>
        <x:v>-0.049599525363393626</x:v>
      </x:c>
      <x:c r="I44" s="26" t="n">
        <x:f>ROUND(D44-E44,1)</x:f>
        <x:v>326.6</x:v>
      </x:c>
      <x:c r="J44" s="22" t="str">
        <x:v>IC2612</x:v>
      </x:c>
      <x:c r="K44" s="22" t="n">
        <x:v>2</x:v>
      </x:c>
    </x:row>
    <x:row r="45">
      <x:c r="A45" s="31" t="str">
        <x:v>合计</x:v>
      </x:c>
      <x:c r="B45" s="30" t="n">
        <x:v>4</x:v>
      </x:c>
      <x:c r="C45" s="30"/>
      <x:c r="D45" s="30"/>
      <x:c r="E45" s="30"/>
      <x:c r="F45" s="30"/>
      <x:c r="G45" s="30"/>
      <x:c r="H45" s="30"/>
      <x:c r="I45" s="32" t="n">
        <x:f>ROUND(SUM(I41:I44),1)</x:f>
        <x:v>1806</x:v>
      </x:c>
      <x:c r="J45" s="30"/>
      <x:c r="K45" s="30"/>
    </x:row>
    <x:row r="46">
      <x:c r="A46" s="31" t="str">
        <x:v>均值</x:v>
      </x:c>
      <x:c r="B46" s="30"/>
      <x:c r="C46" s="30"/>
      <x:c r="D46" s="30"/>
      <x:c r="E46" s="30"/>
      <x:c r="F46" s="30"/>
      <x:c r="G46" s="30"/>
      <x:c r="H46" s="30"/>
      <x:c r="I46" s="34" t="n">
        <x:f>ROUND(IFERROR(AVERAGE(I41:I44),0),1)</x:f>
        <x:v>451.5</x:v>
      </x:c>
      <x:c r="J46" s="30"/>
      <x:c r="K46" s="30"/>
    </x:row>
    <x:row r="48">
      <x:c r="A48" s="17" t="str">
        <x:v>IF主力</x:v>
      </x:c>
      <x:c r="B48" s="17"/>
      <x:c r="C48" s="17"/>
      <x:c r="D48" s="17"/>
      <x:c r="E48" s="17"/>
      <x:c r="F48" s="17"/>
      <x:c r="G48" s="17"/>
      <x:c r="H48" s="17"/>
      <x:c r="I48" s="17"/>
      <x:c r="J48" s="17"/>
      <x:c r="K48" s="17"/>
    </x:row>
    <x:row r="49">
      <x:c r="A49" s="20" t="str">
        <x:v>序号</x:v>
      </x:c>
      <x:c r="B49" s="20" t="str">
        <x:v>周期</x:v>
      </x:c>
      <x:c r="C49" s="20" t="str">
        <x:v>开盘</x:v>
      </x:c>
      <x:c r="D49" s="20" t="str">
        <x:v>高点</x:v>
      </x:c>
      <x:c r="E49" s="20" t="str">
        <x:v>低点</x:v>
      </x:c>
      <x:c r="F49" s="20" t="str">
        <x:v>收盘</x:v>
      </x:c>
      <x:c r="G49" s="20" t="str">
        <x:v>涨跌点数</x:v>
      </x:c>
      <x:c r="H49" s="20" t="str">
        <x:v>涨幅</x:v>
      </x:c>
      <x:c r="I49" s="20" t="str">
        <x:v>振幅</x:v>
      </x:c>
      <x:c r="J49" s="20" t="str">
        <x:v>标的</x:v>
      </x:c>
      <x:c r="K49" s="20" t="str">
        <x:v>交易日</x:v>
      </x:c>
    </x:row>
    <x:row r="50">
      <x:c r="A50" s="22" t="n">
        <x:v>1</x:v>
      </x:c>
      <x:c r="B50" s="22" t="str">
        <x:v>10月8日-10月9日</x:v>
      </x:c>
      <x:c r="C50" s="23" t="n">
        <x:v>4300.8</x:v>
      </x:c>
      <x:c r="D50" s="23" t="n">
        <x:v>4331.6</x:v>
      </x:c>
      <x:c r="E50" s="23" t="n">
        <x:v>4180.4</x:v>
      </x:c>
      <x:c r="F50" s="23" t="n">
        <x:v>4244.8</x:v>
      </x:c>
      <x:c r="G50" s="23"/>
      <x:c r="H50" s="24"/>
      <x:c r="I50" s="26" t="n">
        <x:f>ROUND(D50-E50,1)</x:f>
        <x:v>151.2</x:v>
      </x:c>
      <x:c r="J50" s="22" t="str">
        <x:v>IF2612</x:v>
      </x:c>
      <x:c r="K50" s="22" t="n">
        <x:v>2</x:v>
      </x:c>
    </x:row>
    <x:row r="51">
      <x:c r="A51" s="22" t="n">
        <x:v>2</x:v>
      </x:c>
      <x:c r="B51" s="22" t="str">
        <x:v>10月12日-10月16日</x:v>
      </x:c>
      <x:c r="C51" s="23" t="n">
        <x:v>4240.4</x:v>
      </x:c>
      <x:c r="D51" s="23" t="n">
        <x:v>4273.6</x:v>
      </x:c>
      <x:c r="E51" s="23" t="n">
        <x:v>4045.2</x:v>
      </x:c>
      <x:c r="F51" s="23" t="n">
        <x:v>4088.8</x:v>
      </x:c>
      <x:c r="G51" s="28" t="n">
        <x:f>ROUND(F51-F50,1)</x:f>
        <x:v>-156</x:v>
      </x:c>
      <x:c r="H51" s="24" t="n">
        <x:f>IFERROR(F51/F50-1,"")</x:f>
        <x:v>-0.03675084809649454</x:v>
      </x:c>
      <x:c r="I51" s="26" t="n">
        <x:f>ROUND(D51-E51,1)</x:f>
        <x:v>228.4</x:v>
      </x:c>
      <x:c r="J51" s="22" t="str">
        <x:v>IF2612</x:v>
      </x:c>
      <x:c r="K51" s="22" t="n">
        <x:v>5</x:v>
      </x:c>
    </x:row>
    <x:row r="52">
      <x:c r="A52" s="22" t="n">
        <x:v>3</x:v>
      </x:c>
      <x:c r="B52" s="22" t="str">
        <x:v>10月19日-10月23日</x:v>
      </x:c>
      <x:c r="C52" s="23" t="n">
        <x:v>4086.4</x:v>
      </x:c>
      <x:c r="D52" s="23" t="n">
        <x:v>4140.2</x:v>
      </x:c>
      <x:c r="E52" s="23" t="n">
        <x:v>3897.6</x:v>
      </x:c>
      <x:c r="F52" s="23" t="n">
        <x:v>4055</x:v>
      </x:c>
      <x:c r="G52" s="23" t="n">
        <x:f>ROUND(F52-F51,1)</x:f>
        <x:v>-33.8</x:v>
      </x:c>
      <x:c r="H52" s="24" t="n">
        <x:f>IFERROR(F52/F51-1,"")</x:f>
        <x:v>-0.00826648405400121</x:v>
      </x:c>
      <x:c r="I52" s="26" t="n">
        <x:f>ROUND(D52-E52,1)</x:f>
        <x:v>242.6</x:v>
      </x:c>
      <x:c r="J52" s="22" t="str">
        <x:v>IF2612</x:v>
      </x:c>
      <x:c r="K52" s="22" t="n">
        <x:v>5</x:v>
      </x:c>
    </x:row>
    <x:row r="53">
      <x:c r="A53" s="22" t="n">
        <x:v>4</x:v>
      </x:c>
      <x:c r="B53" s="22" t="str">
        <x:v>10月26日-10月27日</x:v>
      </x:c>
      <x:c r="C53" s="23" t="n">
        <x:v>4034</x:v>
      </x:c>
      <x:c r="D53" s="23" t="n">
        <x:v>4066.6</x:v>
      </x:c>
      <x:c r="E53" s="23" t="n">
        <x:v>3989.8</x:v>
      </x:c>
      <x:c r="F53" s="23" t="n">
        <x:v>3991.2</x:v>
      </x:c>
      <x:c r="G53" s="23" t="n">
        <x:f>ROUND(F53-F52,1)</x:f>
        <x:v>-63.8</x:v>
      </x:c>
      <x:c r="H53" s="24" t="n">
        <x:f>IFERROR(F53/F52-1,"")</x:f>
        <x:v>-0.015733662145499427</x:v>
      </x:c>
      <x:c r="I53" s="23" t="n">
        <x:f>ROUND(D53-E53,1)</x:f>
        <x:v>76.8</x:v>
      </x:c>
      <x:c r="J53" s="22" t="str">
        <x:v>IF2612</x:v>
      </x:c>
      <x:c r="K53" s="22" t="n">
        <x:v>2</x:v>
      </x:c>
    </x:row>
    <x:row r="54">
      <x:c r="A54" s="31" t="str">
        <x:v>合计</x:v>
      </x:c>
      <x:c r="B54" s="30" t="n">
        <x:v>4</x:v>
      </x:c>
      <x:c r="C54" s="30"/>
      <x:c r="D54" s="30"/>
      <x:c r="E54" s="30"/>
      <x:c r="F54" s="30"/>
      <x:c r="G54" s="30"/>
      <x:c r="H54" s="30"/>
      <x:c r="I54" s="32" t="n">
        <x:f>ROUND(SUM(I50:I53),1)</x:f>
        <x:v>699</x:v>
      </x:c>
      <x:c r="J54" s="30"/>
      <x:c r="K54" s="30"/>
    </x:row>
    <x:row r="55">
      <x:c r="A55" s="31" t="str">
        <x:v>均值</x:v>
      </x:c>
      <x:c r="B55" s="30"/>
      <x:c r="C55" s="30"/>
      <x:c r="D55" s="30"/>
      <x:c r="E55" s="30"/>
      <x:c r="F55" s="30"/>
      <x:c r="G55" s="30"/>
      <x:c r="H55" s="30"/>
      <x:c r="I55" s="34" t="n">
        <x:f>ROUND(IFERROR(AVERAGE(I50:I53),0),1)</x:f>
        <x:v>174.8</x:v>
      </x:c>
      <x:c r="J55" s="30"/>
      <x:c r="K55" s="30"/>
    </x:row>
    <x:row r="57">
      <x:c r="A57" s="17" t="str">
        <x:v>IH主力</x:v>
      </x:c>
      <x:c r="B57" s="17"/>
      <x:c r="C57" s="17"/>
      <x:c r="D57" s="17"/>
      <x:c r="E57" s="17"/>
      <x:c r="F57" s="17"/>
      <x:c r="G57" s="17"/>
      <x:c r="H57" s="17"/>
      <x:c r="I57" s="17"/>
      <x:c r="J57" s="17"/>
      <x:c r="K57" s="17"/>
    </x:row>
    <x:row r="58">
      <x:c r="A58" s="20" t="str">
        <x:v>序号</x:v>
      </x:c>
      <x:c r="B58" s="20" t="str">
        <x:v>周期</x:v>
      </x:c>
      <x:c r="C58" s="20" t="str">
        <x:v>开盘</x:v>
      </x:c>
      <x:c r="D58" s="20" t="str">
        <x:v>高点</x:v>
      </x:c>
      <x:c r="E58" s="20" t="str">
        <x:v>低点</x:v>
      </x:c>
      <x:c r="F58" s="20" t="str">
        <x:v>收盘</x:v>
      </x:c>
      <x:c r="G58" s="20" t="str">
        <x:v>涨跌点数</x:v>
      </x:c>
      <x:c r="H58" s="20" t="str">
        <x:v>涨幅</x:v>
      </x:c>
      <x:c r="I58" s="20" t="str">
        <x:v>振幅</x:v>
      </x:c>
      <x:c r="J58" s="20" t="str">
        <x:v>标的</x:v>
      </x:c>
      <x:c r="K58" s="20" t="str">
        <x:v>交易日</x:v>
      </x:c>
    </x:row>
    <x:row r="59">
      <x:c r="A59" s="22" t="n">
        <x:v>1</x:v>
      </x:c>
      <x:c r="B59" s="22" t="str">
        <x:v>10月8日-10月9日</x:v>
      </x:c>
      <x:c r="C59" s="23" t="n">
        <x:v>2764</x:v>
      </x:c>
      <x:c r="D59" s="23" t="n">
        <x:v>2798.4</x:v>
      </x:c>
      <x:c r="E59" s="23" t="n">
        <x:v>2735</x:v>
      </x:c>
      <x:c r="F59" s="23" t="n">
        <x:v>2764</x:v>
      </x:c>
      <x:c r="G59" s="23"/>
      <x:c r="H59" s="24"/>
      <x:c r="I59" s="26" t="n">
        <x:f>ROUND(D59-E59,1)</x:f>
        <x:v>63.4</x:v>
      </x:c>
      <x:c r="J59" s="22" t="str">
        <x:v>IH2612</x:v>
      </x:c>
      <x:c r="K59" s="22" t="n">
        <x:v>2</x:v>
      </x:c>
    </x:row>
    <x:row r="60">
      <x:c r="A60" s="22" t="n">
        <x:v>2</x:v>
      </x:c>
      <x:c r="B60" s="22" t="str">
        <x:v>10月12日-10月16日</x:v>
      </x:c>
      <x:c r="C60" s="23" t="n">
        <x:v>2762</x:v>
      </x:c>
      <x:c r="D60" s="23" t="n">
        <x:v>2794</x:v>
      </x:c>
      <x:c r="E60" s="23" t="n">
        <x:v>2677.6</x:v>
      </x:c>
      <x:c r="F60" s="23" t="n">
        <x:v>2704.6</x:v>
      </x:c>
      <x:c r="G60" s="23" t="n">
        <x:f>ROUND(F60-F59,1)</x:f>
        <x:v>-59.4</x:v>
      </x:c>
      <x:c r="H60" s="24" t="n">
        <x:f>IFERROR(F60/F59-1,"")</x:f>
        <x:v>-0.0214905933429812</x:v>
      </x:c>
      <x:c r="I60" s="26" t="n">
        <x:f>ROUND(D60-E60,1)</x:f>
        <x:v>116.4</x:v>
      </x:c>
      <x:c r="J60" s="22" t="str">
        <x:v>IH2612</x:v>
      </x:c>
      <x:c r="K60" s="22" t="n">
        <x:v>5</x:v>
      </x:c>
    </x:row>
    <x:row r="61">
      <x:c r="A61" s="22" t="n">
        <x:v>3</x:v>
      </x:c>
      <x:c r="B61" s="22" t="str">
        <x:v>10月19日-10月23日</x:v>
      </x:c>
      <x:c r="C61" s="23" t="n">
        <x:v>2690</x:v>
      </x:c>
      <x:c r="D61" s="23" t="n">
        <x:v>2754.6</x:v>
      </x:c>
      <x:c r="E61" s="23" t="n">
        <x:v>2638</x:v>
      </x:c>
      <x:c r="F61" s="23" t="n">
        <x:v>2719</x:v>
      </x:c>
      <x:c r="G61" s="23" t="n">
        <x:f>ROUND(F61-F60,1)</x:f>
        <x:v>14.4</x:v>
      </x:c>
      <x:c r="H61" s="24" t="n">
        <x:f>IFERROR(F61/F60-1,"")</x:f>
        <x:v>0.0053242623678178</x:v>
      </x:c>
      <x:c r="I61" s="26" t="n">
        <x:f>ROUND(D61-E61,1)</x:f>
        <x:v>116.6</x:v>
      </x:c>
      <x:c r="J61" s="22" t="str">
        <x:v>IH2612</x:v>
      </x:c>
      <x:c r="K61" s="22" t="n">
        <x:v>5</x:v>
      </x:c>
    </x:row>
    <x:row r="62">
      <x:c r="A62" s="22" t="n">
        <x:v>4</x:v>
      </x:c>
      <x:c r="B62" s="22" t="str">
        <x:v>10月26日-10月27日</x:v>
      </x:c>
      <x:c r="C62" s="23" t="n">
        <x:v>2711</x:v>
      </x:c>
      <x:c r="D62" s="23" t="n">
        <x:v>2731.6</x:v>
      </x:c>
      <x:c r="E62" s="23" t="n">
        <x:v>2691.2</x:v>
      </x:c>
      <x:c r="F62" s="23" t="n">
        <x:v>2709.2</x:v>
      </x:c>
      <x:c r="G62" s="23" t="n">
        <x:f>ROUND(F62-F61,1)</x:f>
        <x:v>-9.8</x:v>
      </x:c>
      <x:c r="H62" s="24" t="n">
        <x:f>IFERROR(F62/F61-1,"")</x:f>
        <x:v>-0.0036042662743656084</x:v>
      </x:c>
      <x:c r="I62" s="23" t="n">
        <x:f>ROUND(D62-E62,1)</x:f>
        <x:v>40.4</x:v>
      </x:c>
      <x:c r="J62" s="22" t="str">
        <x:v>IH2612</x:v>
      </x:c>
      <x:c r="K62" s="22" t="n">
        <x:v>2</x:v>
      </x:c>
    </x:row>
    <x:row r="63">
      <x:c r="A63" s="31" t="str">
        <x:v>合计</x:v>
      </x:c>
      <x:c r="B63" s="30" t="n">
        <x:v>4</x:v>
      </x:c>
      <x:c r="C63" s="30"/>
      <x:c r="D63" s="30"/>
      <x:c r="E63" s="30"/>
      <x:c r="F63" s="30"/>
      <x:c r="G63" s="30"/>
      <x:c r="H63" s="30"/>
      <x:c r="I63" s="32" t="n">
        <x:f>ROUND(SUM(I59:I62),1)</x:f>
        <x:v>336.8</x:v>
      </x:c>
      <x:c r="J63" s="30"/>
      <x:c r="K63" s="30"/>
    </x:row>
    <x:row r="64">
      <x:c r="A64" s="31" t="str">
        <x:v>均值</x:v>
      </x:c>
      <x:c r="B64" s="30"/>
      <x:c r="C64" s="30"/>
      <x:c r="D64" s="30"/>
      <x:c r="E64" s="30"/>
      <x:c r="F64" s="30"/>
      <x:c r="G64" s="30"/>
      <x:c r="H64" s="30"/>
      <x:c r="I64" s="34" t="n">
        <x:f>ROUND(IFERROR(AVERAGE(I59:I62),0),1)</x:f>
        <x:v>84.2</x:v>
      </x:c>
      <x:c r="J64" s="30"/>
      <x:c r="K64" s="30"/>
    </x:row>
    <x:row r="66">
      <x:c r="A66" s="17" t="str">
        <x:v>碳酸锂2610</x:v>
      </x:c>
      <x:c r="B66" s="17"/>
      <x:c r="C66" s="17"/>
      <x:c r="D66" s="17"/>
      <x:c r="E66" s="17"/>
      <x:c r="F66" s="17"/>
      <x:c r="G66" s="17"/>
      <x:c r="H66" s="17"/>
      <x:c r="I66" s="17"/>
      <x:c r="J66" s="17"/>
      <x:c r="K66" s="17"/>
    </x:row>
    <x:row r="67">
      <x:c r="A67" s="20" t="str">
        <x:v>序号</x:v>
      </x:c>
      <x:c r="B67" s="20" t="str">
        <x:v>周期</x:v>
      </x:c>
      <x:c r="C67" s="20" t="str">
        <x:v>开盘</x:v>
      </x:c>
      <x:c r="D67" s="20" t="str">
        <x:v>高点</x:v>
      </x:c>
      <x:c r="E67" s="20" t="str">
        <x:v>低点</x:v>
      </x:c>
      <x:c r="F67" s="20" t="str">
        <x:v>收盘</x:v>
      </x:c>
      <x:c r="G67" s="20" t="str">
        <x:v>涨跌点数</x:v>
      </x:c>
      <x:c r="H67" s="20" t="str">
        <x:v>涨幅</x:v>
      </x:c>
      <x:c r="I67" s="20" t="str">
        <x:v>振幅</x:v>
      </x:c>
      <x:c r="J67" s="20" t="str">
        <x:v>标的</x:v>
      </x:c>
      <x:c r="K67" s="20" t="str">
        <x:v>交易日</x:v>
      </x:c>
    </x:row>
    <x:row r="68">
      <x:c r="A68" s="22" t="n">
        <x:v>1</x:v>
      </x:c>
      <x:c r="B68" s="22" t="str">
        <x:v>10月8日-10月9日</x:v>
      </x:c>
      <x:c r="C68" s="23" t="n">
        <x:v>120020</x:v>
      </x:c>
      <x:c r="D68" s="23" t="n">
        <x:v>126800</x:v>
      </x:c>
      <x:c r="E68" s="23" t="n">
        <x:v>119000</x:v>
      </x:c>
      <x:c r="F68" s="23" t="n">
        <x:v>121000</x:v>
      </x:c>
      <x:c r="G68" s="23"/>
      <x:c r="H68" s="24"/>
      <x:c r="I68" s="26" t="n">
        <x:f>ROUND(D68-E68,1)</x:f>
        <x:v>7800</x:v>
      </x:c>
      <x:c r="J68" s="22" t="str">
        <x:v>LC2610</x:v>
      </x:c>
      <x:c r="K68" s="22" t="n">
        <x:v>2</x:v>
      </x:c>
    </x:row>
    <x:row r="69">
      <x:c r="A69" s="22" t="n">
        <x:v>2</x:v>
      </x:c>
      <x:c r="B69" s="22" t="str">
        <x:v>10月12日-10月16日</x:v>
      </x:c>
      <x:c r="C69" s="23" t="n">
        <x:v>125960</x:v>
      </x:c>
      <x:c r="D69" s="23" t="n">
        <x:v>125960</x:v>
      </x:c>
      <x:c r="E69" s="23" t="n">
        <x:v>99500</x:v>
      </x:c>
      <x:c r="F69" s="23" t="n">
        <x:v>99500</x:v>
      </x:c>
      <x:c r="G69" s="28" t="n">
        <x:f>ROUND(F69-F68,1)</x:f>
        <x:v>-21500</x:v>
      </x:c>
      <x:c r="H69" s="24" t="n">
        <x:f>IFERROR(F69/F68-1,"")</x:f>
        <x:v>-0.1776859504132231</x:v>
      </x:c>
      <x:c r="I69" s="26" t="n">
        <x:f>ROUND(D69-E69,1)</x:f>
        <x:v>26460</x:v>
      </x:c>
      <x:c r="J69" s="22" t="str">
        <x:v>LC2610</x:v>
      </x:c>
      <x:c r="K69" s="22" t="n">
        <x:v>5</x:v>
      </x:c>
    </x:row>
    <x:row r="70">
      <x:c r="A70" s="22" t="n">
        <x:v>3</x:v>
      </x:c>
      <x:c r="B70" s="22" t="str">
        <x:v>10月19日-10月21日</x:v>
      </x:c>
      <x:c r="C70" s="23" t="n">
        <x:v>99600</x:v>
      </x:c>
      <x:c r="D70" s="23" t="n">
        <x:v>103420</x:v>
      </x:c>
      <x:c r="E70" s="23" t="n">
        <x:v>98000</x:v>
      </x:c>
      <x:c r="F70" s="23" t="n">
        <x:v>98540</x:v>
      </x:c>
      <x:c r="G70" s="28" t="n">
        <x:f>ROUND(F70-F69,1)</x:f>
        <x:v>-960</x:v>
      </x:c>
      <x:c r="H70" s="24" t="n">
        <x:f>IFERROR(F70/F69-1,"")</x:f>
        <x:v>-0.00964824120603014</x:v>
      </x:c>
      <x:c r="I70" s="23" t="n">
        <x:f>ROUND(D70-E70,1)</x:f>
        <x:v>5420</x:v>
      </x:c>
      <x:c r="J70" s="22" t="str">
        <x:v>LC2610</x:v>
      </x:c>
      <x:c r="K70" s="22" t="n">
        <x:v>3</x:v>
      </x:c>
    </x:row>
    <x:row r="71">
      <x:c r="A71" s="31" t="str">
        <x:v>合计</x:v>
      </x:c>
      <x:c r="B71" s="30" t="n">
        <x:v>3</x:v>
      </x:c>
      <x:c r="C71" s="30"/>
      <x:c r="D71" s="30"/>
      <x:c r="E71" s="30"/>
      <x:c r="F71" s="30"/>
      <x:c r="G71" s="30"/>
      <x:c r="H71" s="30"/>
      <x:c r="I71" s="32" t="n">
        <x:f>ROUND(SUM(I68:I70),1)</x:f>
        <x:v>39680</x:v>
      </x:c>
      <x:c r="J71" s="30"/>
      <x:c r="K71" s="30"/>
    </x:row>
    <x:row r="72">
      <x:c r="A72" s="31" t="str">
        <x:v>均值</x:v>
      </x:c>
      <x:c r="B72" s="30"/>
      <x:c r="C72" s="30"/>
      <x:c r="D72" s="30"/>
      <x:c r="E72" s="30"/>
      <x:c r="F72" s="30"/>
      <x:c r="G72" s="30"/>
      <x:c r="H72" s="30"/>
      <x:c r="I72" s="34" t="n">
        <x:f>ROUND(IFERROR(AVERAGE(I68:I70),0),1)</x:f>
        <x:v>13226.7</x:v>
      </x:c>
      <x:c r="J72" s="30"/>
      <x:c r="K72" s="30"/>
    </x:row>
  </x:sheetData>
  <x:mergeCells>
    <x:mergeCell ref="A1:K1"/>
    <x:mergeCell ref="A3:K3"/>
    <x:mergeCell ref="A12:K12"/>
    <x:mergeCell ref="A21:K21"/>
    <x:mergeCell ref="A30:K30"/>
    <x:mergeCell ref="A39:K39"/>
    <x:mergeCell ref="A48:K48"/>
    <x:mergeCell ref="A57:K57"/>
    <x:mergeCell ref="A66:K6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0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4" hidden="0" customWidth="1"/>
  </x:cols>
  <x:sheetData>
    <x:row r="1" ht="38" customHeight="1">
      <x:c r="A1" s="15" t="str">
        <x:v>2026年10月统计 - 中证1000</x:v>
      </x:c>
    </x:row>
    <x:row r="3">
      <x:c r="A3" s="20" t="str">
        <x:v>序号</x:v>
      </x:c>
      <x:c r="B3" s="20" t="str">
        <x:v>星期</x:v>
      </x:c>
      <x:c r="C3" s="20" t="str">
        <x:v>日期</x:v>
      </x:c>
      <x:c r="D3" s="20" t="str">
        <x:v>开盘</x:v>
      </x:c>
      <x:c r="E3" s="20" t="str">
        <x:v>高点</x:v>
      </x:c>
      <x:c r="F3" s="20" t="str">
        <x:v>低点</x:v>
      </x:c>
      <x:c r="G3" s="20" t="str">
        <x:v>收盘</x:v>
      </x:c>
      <x:c r="H3" s="20" t="str">
        <x:v>涨跌点数</x:v>
      </x:c>
      <x:c r="I3" s="20" t="str">
        <x:v>涨幅</x:v>
      </x:c>
      <x:c r="J3" s="20" t="str">
        <x:v>振幅</x:v>
      </x:c>
      <x:c r="K3" s="20" t="str">
        <x:v>标的</x:v>
      </x:c>
    </x:row>
    <x:row r="4">
      <x:c r="A4" s="22" t="n">
        <x:v>1</x:v>
      </x:c>
      <x:c r="B4" s="22" t="str">
        <x:v>周四</x:v>
      </x:c>
      <x:c r="C4" s="22" t="str">
        <x:v>10月8日</x:v>
      </x:c>
      <x:c r="D4" s="23" t="n">
        <x:v>7306.74</x:v>
      </x:c>
      <x:c r="E4" s="23" t="n">
        <x:v>7366.86</x:v>
      </x:c>
      <x:c r="F4" s="23" t="n">
        <x:v>7087.8</x:v>
      </x:c>
      <x:c r="G4" s="23" t="n">
        <x:v>7138.58</x:v>
      </x:c>
      <x:c r="H4" s="28" t="n">
        <x:v>-160.2</x:v>
      </x:c>
      <x:c r="I4" s="24" t="n">
        <x:v>-0.02195423369804983</x:v>
      </x:c>
      <x:c r="J4" s="26" t="n">
        <x:f>ROUND(E4-F4,1)</x:f>
        <x:v>279.1</x:v>
      </x:c>
      <x:c r="K4" s="22" t="str">
        <x:v>中证1000</x:v>
      </x:c>
    </x:row>
    <x:row r="5">
      <x:c r="A5" s="22" t="n">
        <x:v>2</x:v>
      </x:c>
      <x:c r="B5" s="22" t="str">
        <x:v>周五</x:v>
      </x:c>
      <x:c r="C5" s="22" t="str">
        <x:v>10月9日</x:v>
      </x:c>
      <x:c r="D5" s="23" t="n">
        <x:v>7107.54</x:v>
      </x:c>
      <x:c r="E5" s="23" t="n">
        <x:v>7175.33</x:v>
      </x:c>
      <x:c r="F5" s="23" t="n">
        <x:v>6925.42</x:v>
      </x:c>
      <x:c r="G5" s="23" t="n">
        <x:v>7155.91</x:v>
      </x:c>
      <x:c r="H5" s="23" t="n">
        <x:v>17.3</x:v>
      </x:c>
      <x:c r="I5" s="24" t="n">
        <x:v>0.0024276536790230896</x:v>
      </x:c>
      <x:c r="J5" s="26" t="n">
        <x:f>ROUND(E5-F5,1)</x:f>
        <x:v>249.9</x:v>
      </x:c>
      <x:c r="K5" s="22" t="str">
        <x:v>中证1000</x:v>
      </x:c>
    </x:row>
    <x:row r="6">
      <x:c r="A6" s="22" t="n">
        <x:v>3</x:v>
      </x:c>
      <x:c r="B6" s="22" t="str">
        <x:v>周一</x:v>
      </x:c>
      <x:c r="C6" s="22" t="str">
        <x:v>10月12日</x:v>
      </x:c>
      <x:c r="D6" s="23" t="n">
        <x:v>7132.68</x:v>
      </x:c>
      <x:c r="E6" s="23" t="n">
        <x:v>7145.06</x:v>
      </x:c>
      <x:c r="F6" s="23" t="n">
        <x:v>7014.37</x:v>
      </x:c>
      <x:c r="G6" s="23" t="n">
        <x:v>7021.47</x:v>
      </x:c>
      <x:c r="H6" s="23" t="n">
        <x:v>-134.4</x:v>
      </x:c>
      <x:c r="I6" s="24" t="n">
        <x:v>-0.018787268146189584</x:v>
      </x:c>
      <x:c r="J6" s="23" t="n">
        <x:f>ROUND(E6-F6,1)</x:f>
        <x:v>130.7</x:v>
      </x:c>
      <x:c r="K6" s="22" t="str">
        <x:v>中证1000</x:v>
      </x:c>
    </x:row>
    <x:row r="7">
      <x:c r="A7" s="22" t="n">
        <x:v>4</x:v>
      </x:c>
      <x:c r="B7" s="22" t="str">
        <x:v>周二</x:v>
      </x:c>
      <x:c r="C7" s="22" t="str">
        <x:v>10月13日</x:v>
      </x:c>
      <x:c r="D7" s="23" t="n">
        <x:v>6894.6</x:v>
      </x:c>
      <x:c r="E7" s="23" t="n">
        <x:v>7087.89</x:v>
      </x:c>
      <x:c r="F7" s="23" t="n">
        <x:v>6796.58</x:v>
      </x:c>
      <x:c r="G7" s="23" t="n">
        <x:v>7023.22</x:v>
      </x:c>
      <x:c r="H7" s="23" t="n">
        <x:v>1.8</x:v>
      </x:c>
      <x:c r="I7" s="24" t="n">
        <x:v>0.0002492355589356343</x:v>
      </x:c>
      <x:c r="J7" s="26" t="n">
        <x:f>ROUND(E7-F7,1)</x:f>
        <x:v>291.3</x:v>
      </x:c>
      <x:c r="K7" s="22" t="str">
        <x:v>中证1000</x:v>
      </x:c>
    </x:row>
    <x:row r="8">
      <x:c r="A8" s="22" t="n">
        <x:v>5</x:v>
      </x:c>
      <x:c r="B8" s="22" t="str">
        <x:v>周三</x:v>
      </x:c>
      <x:c r="C8" s="22" t="str">
        <x:v>10月14日</x:v>
      </x:c>
      <x:c r="D8" s="23" t="n">
        <x:v>7001.91</x:v>
      </x:c>
      <x:c r="E8" s="23" t="n">
        <x:v>7035.18</x:v>
      </x:c>
      <x:c r="F8" s="23" t="n">
        <x:v>6891.6</x:v>
      </x:c>
      <x:c r="G8" s="23" t="n">
        <x:v>6905.17</x:v>
      </x:c>
      <x:c r="H8" s="23" t="n">
        <x:v>-118.1</x:v>
      </x:c>
      <x:c r="I8" s="24" t="n">
        <x:v>-0.01680852942097788</x:v>
      </x:c>
      <x:c r="J8" s="23" t="n">
        <x:f>ROUND(E8-F8,1)</x:f>
        <x:v>143.6</x:v>
      </x:c>
      <x:c r="K8" s="22" t="str">
        <x:v>中证1000</x:v>
      </x:c>
    </x:row>
    <x:row r="9">
      <x:c r="A9" s="22" t="n">
        <x:v>6</x:v>
      </x:c>
      <x:c r="B9" s="22" t="str">
        <x:v>周四</x:v>
      </x:c>
      <x:c r="C9" s="22" t="str">
        <x:v>10月15日</x:v>
      </x:c>
      <x:c r="D9" s="23" t="n">
        <x:v>6734.31</x:v>
      </x:c>
      <x:c r="E9" s="23" t="n">
        <x:v>6805.19</x:v>
      </x:c>
      <x:c r="F9" s="23" t="n">
        <x:v>6652.55</x:v>
      </x:c>
      <x:c r="G9" s="23" t="n">
        <x:v>6678.65</x:v>
      </x:c>
      <x:c r="H9" s="28" t="n">
        <x:v>-226.5</x:v>
      </x:c>
      <x:c r="I9" s="24" t="n">
        <x:v>-0.032804405974074524</x:v>
      </x:c>
      <x:c r="J9" s="23" t="n">
        <x:f>ROUND(E9-F9,1)</x:f>
        <x:v>152.6</x:v>
      </x:c>
      <x:c r="K9" s="22" t="str">
        <x:v>中证1000</x:v>
      </x:c>
    </x:row>
    <x:row r="10">
      <x:c r="A10" s="41" t="n">
        <x:v>7</x:v>
      </x:c>
      <x:c r="B10" s="41" t="str">
        <x:v>周五</x:v>
      </x:c>
      <x:c r="C10" s="41" t="str">
        <x:v>10月16日</x:v>
      </x:c>
      <x:c r="D10" s="42" t="n">
        <x:v>6777.39</x:v>
      </x:c>
      <x:c r="E10" s="42" t="n">
        <x:v>6834.45</x:v>
      </x:c>
      <x:c r="F10" s="42" t="n">
        <x:v>6626.52</x:v>
      </x:c>
      <x:c r="G10" s="42" t="n">
        <x:v>6681.94</x:v>
      </x:c>
      <x:c r="H10" s="42" t="n">
        <x:v>3.3</x:v>
      </x:c>
      <x:c r="I10" s="43" t="n">
        <x:v>0.0004926145253905112</x:v>
      </x:c>
      <x:c r="J10" s="26" t="n">
        <x:f>ROUND(E10-F10,1)</x:f>
        <x:v>207.9</x:v>
      </x:c>
      <x:c r="K10" s="41" t="str">
        <x:v>中证1000</x:v>
      </x:c>
    </x:row>
    <x:row r="11">
      <x:c r="A11" s="22" t="n">
        <x:v>8</x:v>
      </x:c>
      <x:c r="B11" s="22" t="str">
        <x:v>周一</x:v>
      </x:c>
      <x:c r="C11" s="22" t="str">
        <x:v>10月19日</x:v>
      </x:c>
      <x:c r="D11" s="23" t="n">
        <x:v>6639.94</x:v>
      </x:c>
      <x:c r="E11" s="23" t="n">
        <x:v>6746.32</x:v>
      </x:c>
      <x:c r="F11" s="23" t="n">
        <x:v>6578.94</x:v>
      </x:c>
      <x:c r="G11" s="23" t="n">
        <x:v>6698.3</x:v>
      </x:c>
      <x:c r="H11" s="23" t="n">
        <x:v>16.4</x:v>
      </x:c>
      <x:c r="I11" s="24" t="n">
        <x:v>0.002448390736822015</x:v>
      </x:c>
      <x:c r="J11" s="23" t="n">
        <x:f>ROUND(E11-F11,1)</x:f>
        <x:v>167.4</x:v>
      </x:c>
      <x:c r="K11" s="22" t="str">
        <x:v>中证1000</x:v>
      </x:c>
    </x:row>
    <x:row r="12">
      <x:c r="A12" s="22" t="n">
        <x:v>9</x:v>
      </x:c>
      <x:c r="B12" s="22" t="str">
        <x:v>周二</x:v>
      </x:c>
      <x:c r="C12" s="22" t="str">
        <x:v>10月20日</x:v>
      </x:c>
      <x:c r="D12" s="23" t="n">
        <x:v>6678.64</x:v>
      </x:c>
      <x:c r="E12" s="23" t="n">
        <x:v>6817.38</x:v>
      </x:c>
      <x:c r="F12" s="23" t="n">
        <x:v>6642.3</x:v>
      </x:c>
      <x:c r="G12" s="23" t="n">
        <x:v>6766.9</x:v>
      </x:c>
      <x:c r="H12" s="23" t="n">
        <x:v>68.6</x:v>
      </x:c>
      <x:c r="I12" s="24" t="n">
        <x:v>0.01024140453547906</x:v>
      </x:c>
      <x:c r="J12" s="23" t="n">
        <x:f>ROUND(E12-F12,1)</x:f>
        <x:v>175.1</x:v>
      </x:c>
      <x:c r="K12" s="22" t="str">
        <x:v>中证1000</x:v>
      </x:c>
    </x:row>
    <x:row r="13">
      <x:c r="A13" s="22" t="n">
        <x:v>10</x:v>
      </x:c>
      <x:c r="B13" s="22" t="str">
        <x:v>周三</x:v>
      </x:c>
      <x:c r="C13" s="22" t="str">
        <x:v>10月21日</x:v>
      </x:c>
      <x:c r="D13" s="23" t="n">
        <x:v>6798.97</x:v>
      </x:c>
      <x:c r="E13" s="23" t="n">
        <x:v>6880.55</x:v>
      </x:c>
      <x:c r="F13" s="23" t="n">
        <x:v>6763.45</x:v>
      </x:c>
      <x:c r="G13" s="23" t="n">
        <x:v>6780.26</x:v>
      </x:c>
      <x:c r="H13" s="23" t="n">
        <x:v>13.4</x:v>
      </x:c>
      <x:c r="I13" s="24" t="n">
        <x:v>0.0019743161565857203</x:v>
      </x:c>
      <x:c r="J13" s="23" t="n">
        <x:f>ROUND(E13-F13,1)</x:f>
        <x:v>117.1</x:v>
      </x:c>
      <x:c r="K13" s="22" t="str">
        <x:v>中证1000</x:v>
      </x:c>
    </x:row>
    <x:row r="14">
      <x:c r="A14" s="22" t="n">
        <x:v>11</x:v>
      </x:c>
      <x:c r="B14" s="22" t="str">
        <x:v>周四</x:v>
      </x:c>
      <x:c r="C14" s="22" t="str">
        <x:v>10月22日</x:v>
      </x:c>
      <x:c r="D14" s="23" t="n">
        <x:v>6782.28</x:v>
      </x:c>
      <x:c r="E14" s="23" t="n">
        <x:v>6782.9</x:v>
      </x:c>
      <x:c r="F14" s="23" t="n">
        <x:v>6578.27</x:v>
      </x:c>
      <x:c r="G14" s="23" t="n">
        <x:v>6578.27</x:v>
      </x:c>
      <x:c r="H14" s="28" t="n">
        <x:v>-202</x:v>
      </x:c>
      <x:c r="I14" s="24" t="n">
        <x:v>-0.029790892974605687</x:v>
      </x:c>
      <x:c r="J14" s="26" t="n">
        <x:f>ROUND(E14-F14,1)</x:f>
        <x:v>204.6</x:v>
      </x:c>
      <x:c r="K14" s="22" t="str">
        <x:v>中证1000</x:v>
      </x:c>
    </x:row>
    <x:row r="15">
      <x:c r="A15" s="22" t="n">
        <x:v>12</x:v>
      </x:c>
      <x:c r="B15" s="22" t="str">
        <x:v>周五</x:v>
      </x:c>
      <x:c r="C15" s="22" t="str">
        <x:v>10月23日</x:v>
      </x:c>
      <x:c r="D15" s="23" t="n">
        <x:v>6480.18</x:v>
      </x:c>
      <x:c r="E15" s="23" t="n">
        <x:v>6753.34</x:v>
      </x:c>
      <x:c r="F15" s="23" t="n">
        <x:v>6301.81</x:v>
      </x:c>
      <x:c r="G15" s="23" t="n">
        <x:v>6734.55</x:v>
      </x:c>
      <x:c r="H15" s="28" t="n">
        <x:v>156.3</x:v>
      </x:c>
      <x:c r="I15" s="24" t="n">
        <x:v>0.0237570060213399</x:v>
      </x:c>
      <x:c r="J15" s="26" t="n">
        <x:f>ROUND(E15-F15,1)</x:f>
        <x:v>451.5</x:v>
      </x:c>
      <x:c r="K15" s="22" t="str">
        <x:v>中证1000</x:v>
      </x:c>
    </x:row>
    <x:row r="16">
      <x:c r="A16" s="22" t="n">
        <x:v>13</x:v>
      </x:c>
      <x:c r="B16" s="22" t="str">
        <x:v>周一</x:v>
      </x:c>
      <x:c r="C16" s="22" t="str">
        <x:v>10月26日</x:v>
      </x:c>
      <x:c r="D16" s="23" t="n">
        <x:v>6684.93</x:v>
      </x:c>
      <x:c r="E16" s="23" t="n">
        <x:v>6704.68</x:v>
      </x:c>
      <x:c r="F16" s="23" t="n">
        <x:v>6589.13</x:v>
      </x:c>
      <x:c r="G16" s="23" t="n">
        <x:v>6630.78</x:v>
      </x:c>
      <x:c r="H16" s="23" t="n">
        <x:v>-103.8</x:v>
      </x:c>
      <x:c r="I16" s="24" t="n">
        <x:v>-0.015408601911040876</x:v>
      </x:c>
      <x:c r="J16" s="23" t="n">
        <x:f>ROUND(E16-F16,1)</x:f>
        <x:v>115.6</x:v>
      </x:c>
      <x:c r="K16" s="22" t="str">
        <x:v>中证1000</x:v>
      </x:c>
    </x:row>
    <x:row r="17">
      <x:c r="A17" s="22" t="n">
        <x:v>14</x:v>
      </x:c>
      <x:c r="B17" s="22" t="str">
        <x:v>周二</x:v>
      </x:c>
      <x:c r="C17" s="22" t="str">
        <x:v>10月27日</x:v>
      </x:c>
      <x:c r="D17" s="23" t="n">
        <x:v>6664.61</x:v>
      </x:c>
      <x:c r="E17" s="23" t="n">
        <x:v>6717.99</x:v>
      </x:c>
      <x:c r="F17" s="23" t="n">
        <x:v>6427.17</x:v>
      </x:c>
      <x:c r="G17" s="23" t="n">
        <x:v>6427.17</x:v>
      </x:c>
      <x:c r="H17" s="28" t="n">
        <x:v>-203.6</x:v>
      </x:c>
      <x:c r="I17" s="24" t="n">
        <x:v>-0.030706794675739446</x:v>
      </x:c>
      <x:c r="J17" s="26" t="n">
        <x:f>ROUND(E17-F17,1)</x:f>
        <x:v>290.8</x:v>
      </x:c>
      <x:c r="K17" s="22" t="str">
        <x:v>中证1000</x:v>
      </x:c>
    </x:row>
    <x:row r="20">
      <x:c r="A20" s="31" t="str">
        <x:v>合计</x:v>
      </x:c>
      <x:c r="B20" s="30" t="n">
        <x:v>14</x:v>
      </x:c>
      <x:c r="C20" s="30"/>
      <x:c r="D20" s="30"/>
      <x:c r="E20" s="30"/>
      <x:c r="F20" s="30"/>
      <x:c r="G20" s="30"/>
      <x:c r="H20" s="30"/>
      <x:c r="I20" s="30"/>
      <x:c r="J20" s="32" t="n">
        <x:f>SUM(J4:J17)</x:f>
        <x:v>2977.2</x:v>
      </x:c>
      <x:c r="K20" s="30"/>
    </x:row>
    <x:row r="21">
      <x:c r="A21" s="31" t="str">
        <x:v>均值</x:v>
      </x:c>
      <x:c r="B21" s="30"/>
      <x:c r="C21" s="30"/>
      <x:c r="D21" s="30"/>
      <x:c r="E21" s="30"/>
      <x:c r="F21" s="30"/>
      <x:c r="G21" s="30"/>
      <x:c r="H21" s="30"/>
      <x:c r="I21" s="30"/>
      <x:c r="J21" s="34" t="n">
        <x:f>ROUND(IFERROR(AVERAGE(J4:J17),0),1)</x:f>
        <x:v>212.7</x:v>
      </x:c>
      <x:c r="K21" s="30"/>
    </x:row>
  </x:sheetData>
  <x:mergeCells>
    <x:mergeCell ref="A1:K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0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4" hidden="0" customWidth="1"/>
  </x:cols>
  <x:sheetData>
    <x:row r="1" ht="38" customHeight="1">
      <x:c r="A1" s="15" t="str">
        <x:v>2026年10月统计 - 中证500</x:v>
      </x:c>
    </x:row>
    <x:row r="3">
      <x:c r="A3" s="20" t="str">
        <x:v>序号</x:v>
      </x:c>
      <x:c r="B3" s="20" t="str">
        <x:v>星期</x:v>
      </x:c>
      <x:c r="C3" s="20" t="str">
        <x:v>日期</x:v>
      </x:c>
      <x:c r="D3" s="20" t="str">
        <x:v>开盘</x:v>
      </x:c>
      <x:c r="E3" s="20" t="str">
        <x:v>高点</x:v>
      </x:c>
      <x:c r="F3" s="20" t="str">
        <x:v>低点</x:v>
      </x:c>
      <x:c r="G3" s="20" t="str">
        <x:v>收盘</x:v>
      </x:c>
      <x:c r="H3" s="20" t="str">
        <x:v>涨跌点数</x:v>
      </x:c>
      <x:c r="I3" s="20" t="str">
        <x:v>涨幅</x:v>
      </x:c>
      <x:c r="J3" s="20" t="str">
        <x:v>振幅</x:v>
      </x:c>
      <x:c r="K3" s="20" t="str">
        <x:v>标的</x:v>
      </x:c>
    </x:row>
    <x:row r="4">
      <x:c r="A4" s="22" t="n">
        <x:v>1</x:v>
      </x:c>
      <x:c r="B4" s="22" t="str">
        <x:v>周四</x:v>
      </x:c>
      <x:c r="C4" s="22" t="str">
        <x:v>10月8日</x:v>
      </x:c>
      <x:c r="D4" s="23" t="n">
        <x:v>7420.44</x:v>
      </x:c>
      <x:c r="E4" s="23" t="n">
        <x:v>7461.24</x:v>
      </x:c>
      <x:c r="F4" s="23" t="n">
        <x:v>7206.06</x:v>
      </x:c>
      <x:c r="G4" s="23" t="n">
        <x:v>7248.43</x:v>
      </x:c>
      <x:c r="H4" s="28" t="n">
        <x:v>-186.7</x:v>
      </x:c>
      <x:c r="I4" s="24" t="n">
        <x:v>-0.025114456178481626</x:v>
      </x:c>
      <x:c r="J4" s="26" t="n">
        <x:f>ROUND(E4-F4,1)</x:f>
        <x:v>255.2</x:v>
      </x:c>
      <x:c r="K4" s="22" t="str">
        <x:v>中证500</x:v>
      </x:c>
    </x:row>
    <x:row r="5">
      <x:c r="A5" s="22" t="n">
        <x:v>2</x:v>
      </x:c>
      <x:c r="B5" s="22" t="str">
        <x:v>周五</x:v>
      </x:c>
      <x:c r="C5" s="22" t="str">
        <x:v>10月9日</x:v>
      </x:c>
      <x:c r="D5" s="23" t="n">
        <x:v>7209.86</x:v>
      </x:c>
      <x:c r="E5" s="23" t="n">
        <x:v>7277.14</x:v>
      </x:c>
      <x:c r="F5" s="23" t="n">
        <x:v>7048.45</x:v>
      </x:c>
      <x:c r="G5" s="23" t="n">
        <x:v>7251.01</x:v>
      </x:c>
      <x:c r="H5" s="23" t="n">
        <x:v>2.6</x:v>
      </x:c>
      <x:c r="I5" s="24" t="n">
        <x:v>0.000355939148201756</x:v>
      </x:c>
      <x:c r="J5" s="26" t="n">
        <x:f>ROUND(E5-F5,1)</x:f>
        <x:v>228.7</x:v>
      </x:c>
      <x:c r="K5" s="22" t="str">
        <x:v>中证500</x:v>
      </x:c>
    </x:row>
    <x:row r="6">
      <x:c r="A6" s="22" t="n">
        <x:v>3</x:v>
      </x:c>
      <x:c r="B6" s="22" t="str">
        <x:v>周一</x:v>
      </x:c>
      <x:c r="C6" s="22" t="str">
        <x:v>10月12日</x:v>
      </x:c>
      <x:c r="D6" s="23" t="n">
        <x:v>7226.07</x:v>
      </x:c>
      <x:c r="E6" s="23" t="n">
        <x:v>7236.78</x:v>
      </x:c>
      <x:c r="F6" s="23" t="n">
        <x:v>7085.92</x:v>
      </x:c>
      <x:c r="G6" s="23" t="n">
        <x:v>7093.02</x:v>
      </x:c>
      <x:c r="H6" s="28" t="n">
        <x:v>-158</x:v>
      </x:c>
      <x:c r="I6" s="24" t="n">
        <x:v>-0.02178868874818818</x:v>
      </x:c>
      <x:c r="J6" s="23" t="n">
        <x:f>ROUND(E6-F6,1)</x:f>
        <x:v>150.9</x:v>
      </x:c>
      <x:c r="K6" s="22" t="str">
        <x:v>中证500</x:v>
      </x:c>
    </x:row>
    <x:row r="7">
      <x:c r="A7" s="22" t="n">
        <x:v>4</x:v>
      </x:c>
      <x:c r="B7" s="22" t="str">
        <x:v>周二</x:v>
      </x:c>
      <x:c r="C7" s="22" t="str">
        <x:v>10月13日</x:v>
      </x:c>
      <x:c r="D7" s="23" t="n">
        <x:v>6976.63</x:v>
      </x:c>
      <x:c r="E7" s="23" t="n">
        <x:v>7152.45</x:v>
      </x:c>
      <x:c r="F7" s="23" t="n">
        <x:v>6904.6</x:v>
      </x:c>
      <x:c r="G7" s="23" t="n">
        <x:v>7085.09</x:v>
      </x:c>
      <x:c r="H7" s="23" t="n">
        <x:v>-7.9</x:v>
      </x:c>
      <x:c r="I7" s="24" t="n">
        <x:v>-0.0011180005131805615</x:v>
      </x:c>
      <x:c r="J7" s="26" t="n">
        <x:f>ROUND(E7-F7,1)</x:f>
        <x:v>247.8</x:v>
      </x:c>
      <x:c r="K7" s="22" t="str">
        <x:v>中证500</x:v>
      </x:c>
    </x:row>
    <x:row r="8">
      <x:c r="A8" s="22" t="n">
        <x:v>5</x:v>
      </x:c>
      <x:c r="B8" s="22" t="str">
        <x:v>周三</x:v>
      </x:c>
      <x:c r="C8" s="22" t="str">
        <x:v>10月14日</x:v>
      </x:c>
      <x:c r="D8" s="23" t="n">
        <x:v>7066.73</x:v>
      </x:c>
      <x:c r="E8" s="23" t="n">
        <x:v>7120.11</x:v>
      </x:c>
      <x:c r="F8" s="23" t="n">
        <x:v>6969.02</x:v>
      </x:c>
      <x:c r="G8" s="23" t="n">
        <x:v>6980.11</x:v>
      </x:c>
      <x:c r="H8" s="23" t="n">
        <x:v>-105</x:v>
      </x:c>
      <x:c r="I8" s="24" t="n">
        <x:v>-0.014817031258600899</x:v>
      </x:c>
      <x:c r="J8" s="23" t="n">
        <x:f>ROUND(E8-F8,1)</x:f>
        <x:v>151.1</x:v>
      </x:c>
      <x:c r="K8" s="22" t="str">
        <x:v>中证500</x:v>
      </x:c>
    </x:row>
    <x:row r="9">
      <x:c r="A9" s="22" t="n">
        <x:v>6</x:v>
      </x:c>
      <x:c r="B9" s="22" t="str">
        <x:v>周四</x:v>
      </x:c>
      <x:c r="C9" s="22" t="str">
        <x:v>10月15日</x:v>
      </x:c>
      <x:c r="D9" s="23" t="n">
        <x:v>6809.83</x:v>
      </x:c>
      <x:c r="E9" s="23" t="n">
        <x:v>6870.95</x:v>
      </x:c>
      <x:c r="F9" s="23" t="n">
        <x:v>6725.59</x:v>
      </x:c>
      <x:c r="G9" s="23" t="n">
        <x:v>6769.25</x:v>
      </x:c>
      <x:c r="H9" s="28" t="n">
        <x:v>-210.9</x:v>
      </x:c>
      <x:c r="I9" s="24" t="n">
        <x:v>-0.030208692986213648</x:v>
      </x:c>
      <x:c r="J9" s="23" t="n">
        <x:f>ROUND(E9-F9,1)</x:f>
        <x:v>145.4</x:v>
      </x:c>
      <x:c r="K9" s="22" t="str">
        <x:v>中证500</x:v>
      </x:c>
    </x:row>
    <x:row r="10">
      <x:c r="A10" s="41" t="n">
        <x:v>7</x:v>
      </x:c>
      <x:c r="B10" s="41" t="str">
        <x:v>周五</x:v>
      </x:c>
      <x:c r="C10" s="41" t="str">
        <x:v>10月16日</x:v>
      </x:c>
      <x:c r="D10" s="42" t="n">
        <x:v>6863.19</x:v>
      </x:c>
      <x:c r="E10" s="42" t="n">
        <x:v>6907.9</x:v>
      </x:c>
      <x:c r="F10" s="42" t="n">
        <x:v>6719.82</x:v>
      </x:c>
      <x:c r="G10" s="42" t="n">
        <x:v>6772.75</x:v>
      </x:c>
      <x:c r="H10" s="42" t="n">
        <x:v>3.5</x:v>
      </x:c>
      <x:c r="I10" s="43" t="n">
        <x:v>0.00051704398567054</x:v>
      </x:c>
      <x:c r="J10" s="26" t="n">
        <x:f>ROUND(E10-F10,1)</x:f>
        <x:v>188.1</x:v>
      </x:c>
      <x:c r="K10" s="41" t="str">
        <x:v>中证500</x:v>
      </x:c>
    </x:row>
    <x:row r="11">
      <x:c r="A11" s="22" t="n">
        <x:v>8</x:v>
      </x:c>
      <x:c r="B11" s="22" t="str">
        <x:v>周一</x:v>
      </x:c>
      <x:c r="C11" s="22" t="str">
        <x:v>10月19日</x:v>
      </x:c>
      <x:c r="D11" s="23" t="n">
        <x:v>6735.53</x:v>
      </x:c>
      <x:c r="E11" s="23" t="n">
        <x:v>6848</x:v>
      </x:c>
      <x:c r="F11" s="23" t="n">
        <x:v>6692.83</x:v>
      </x:c>
      <x:c r="G11" s="23" t="n">
        <x:v>6800.66</x:v>
      </x:c>
      <x:c r="H11" s="23" t="n">
        <x:v>27.9</x:v>
      </x:c>
      <x:c r="I11" s="24" t="n">
        <x:v>0.004120925768705375</x:v>
      </x:c>
      <x:c r="J11" s="23" t="n">
        <x:f>ROUND(E11-F11,1)</x:f>
        <x:v>155.2</x:v>
      </x:c>
      <x:c r="K11" s="22" t="str">
        <x:v>中证500</x:v>
      </x:c>
    </x:row>
    <x:row r="12">
      <x:c r="A12" s="22" t="n">
        <x:v>9</x:v>
      </x:c>
      <x:c r="B12" s="22" t="str">
        <x:v>周二</x:v>
      </x:c>
      <x:c r="C12" s="22" t="str">
        <x:v>10月20日</x:v>
      </x:c>
      <x:c r="D12" s="23" t="n">
        <x:v>6773.45</x:v>
      </x:c>
      <x:c r="E12" s="23" t="n">
        <x:v>6902.09</x:v>
      </x:c>
      <x:c r="F12" s="23" t="n">
        <x:v>6745.14</x:v>
      </x:c>
      <x:c r="G12" s="23" t="n">
        <x:v>6841.44</x:v>
      </x:c>
      <x:c r="H12" s="23" t="n">
        <x:v>40.8</x:v>
      </x:c>
      <x:c r="I12" s="24" t="n">
        <x:v>0.005996476812544671</x:v>
      </x:c>
      <x:c r="J12" s="23" t="n">
        <x:f>ROUND(E12-F12,1)</x:f>
        <x:v>156.9</x:v>
      </x:c>
      <x:c r="K12" s="22" t="str">
        <x:v>中证500</x:v>
      </x:c>
    </x:row>
    <x:row r="13">
      <x:c r="A13" s="22" t="n">
        <x:v>10</x:v>
      </x:c>
      <x:c r="B13" s="22" t="str">
        <x:v>周三</x:v>
      </x:c>
      <x:c r="C13" s="22" t="str">
        <x:v>10月21日</x:v>
      </x:c>
      <x:c r="D13" s="23" t="n">
        <x:v>6875.71</x:v>
      </x:c>
      <x:c r="E13" s="23" t="n">
        <x:v>6941.51</x:v>
      </x:c>
      <x:c r="F13" s="23" t="n">
        <x:v>6821.39</x:v>
      </x:c>
      <x:c r="G13" s="23" t="n">
        <x:v>6840.56</x:v>
      </x:c>
      <x:c r="H13" s="23" t="n">
        <x:v>-0.9</x:v>
      </x:c>
      <x:c r="I13" s="24" t="n">
        <x:v>-0.00012862789120404727</x:v>
      </x:c>
      <x:c r="J13" s="23" t="n">
        <x:f>ROUND(E13-F13,1)</x:f>
        <x:v>120.1</x:v>
      </x:c>
      <x:c r="K13" s="22" t="str">
        <x:v>中证500</x:v>
      </x:c>
    </x:row>
    <x:row r="14">
      <x:c r="A14" s="22" t="n">
        <x:v>11</x:v>
      </x:c>
      <x:c r="B14" s="22" t="str">
        <x:v>周四</x:v>
      </x:c>
      <x:c r="C14" s="22" t="str">
        <x:v>10月22日</x:v>
      </x:c>
      <x:c r="D14" s="23" t="n">
        <x:v>6841.53</x:v>
      </x:c>
      <x:c r="E14" s="23" t="n">
        <x:v>6842.87</x:v>
      </x:c>
      <x:c r="F14" s="23" t="n">
        <x:v>6652.78</x:v>
      </x:c>
      <x:c r="G14" s="23" t="n">
        <x:v>6655.25</x:v>
      </x:c>
      <x:c r="H14" s="28" t="n">
        <x:v>-185.3</x:v>
      </x:c>
      <x:c r="I14" s="24" t="n">
        <x:v>-0.02708988737764162</x:v>
      </x:c>
      <x:c r="J14" s="26" t="n">
        <x:f>ROUND(E14-F14,1)</x:f>
        <x:v>190.1</x:v>
      </x:c>
      <x:c r="K14" s="22" t="str">
        <x:v>中证500</x:v>
      </x:c>
    </x:row>
    <x:row r="15">
      <x:c r="A15" s="22" t="n">
        <x:v>12</x:v>
      </x:c>
      <x:c r="B15" s="22" t="str">
        <x:v>周五</x:v>
      </x:c>
      <x:c r="C15" s="22" t="str">
        <x:v>10月23日</x:v>
      </x:c>
      <x:c r="D15" s="23" t="n">
        <x:v>6559.61</x:v>
      </x:c>
      <x:c r="E15" s="23" t="n">
        <x:v>6835.39</x:v>
      </x:c>
      <x:c r="F15" s="23" t="n">
        <x:v>6440.29</x:v>
      </x:c>
      <x:c r="G15" s="23" t="n">
        <x:v>6814.44</x:v>
      </x:c>
      <x:c r="H15" s="28" t="n">
        <x:v>159.2</x:v>
      </x:c>
      <x:c r="I15" s="24" t="n">
        <x:v>0.023919462078809905</x:v>
      </x:c>
      <x:c r="J15" s="26" t="n">
        <x:f>ROUND(E15-F15,1)</x:f>
        <x:v>395.1</x:v>
      </x:c>
      <x:c r="K15" s="22" t="str">
        <x:v>中证500</x:v>
      </x:c>
    </x:row>
    <x:row r="16">
      <x:c r="A16" s="22" t="n">
        <x:v>13</x:v>
      </x:c>
      <x:c r="B16" s="22" t="str">
        <x:v>周一</x:v>
      </x:c>
      <x:c r="C16" s="22" t="str">
        <x:v>10月26日</x:v>
      </x:c>
      <x:c r="D16" s="23" t="n">
        <x:v>6756.46</x:v>
      </x:c>
      <x:c r="E16" s="23" t="n">
        <x:v>6787.32</x:v>
      </x:c>
      <x:c r="F16" s="23" t="n">
        <x:v>6674.4</x:v>
      </x:c>
      <x:c r="G16" s="23" t="n">
        <x:v>6712.73</x:v>
      </x:c>
      <x:c r="H16" s="23" t="n">
        <x:v>-101.7</x:v>
      </x:c>
      <x:c r="I16" s="24" t="n">
        <x:v>-0.0149256578677045</x:v>
      </x:c>
      <x:c r="J16" s="23" t="n">
        <x:f>ROUND(E16-F16,1)</x:f>
        <x:v>112.9</x:v>
      </x:c>
      <x:c r="K16" s="22" t="str">
        <x:v>中证500</x:v>
      </x:c>
    </x:row>
    <x:row r="17">
      <x:c r="A17" s="22" t="n">
        <x:v>14</x:v>
      </x:c>
      <x:c r="B17" s="22" t="str">
        <x:v>周二</x:v>
      </x:c>
      <x:c r="C17" s="22" t="str">
        <x:v>10月27日</x:v>
      </x:c>
      <x:c r="D17" s="23" t="n">
        <x:v>6745.72</x:v>
      </x:c>
      <x:c r="E17" s="23" t="n">
        <x:v>6784.25</x:v>
      </x:c>
      <x:c r="F17" s="23" t="n">
        <x:v>6511.37</x:v>
      </x:c>
      <x:c r="G17" s="23" t="n">
        <x:v>6511.42</x:v>
      </x:c>
      <x:c r="H17" s="28" t="n">
        <x:v>-201.3</x:v>
      </x:c>
      <x:c r="I17" s="24" t="n">
        <x:v>-0.029989289007601894</x:v>
      </x:c>
      <x:c r="J17" s="26" t="n">
        <x:f>ROUND(E17-F17,1)</x:f>
        <x:v>272.9</x:v>
      </x:c>
      <x:c r="K17" s="22" t="str">
        <x:v>中证500</x:v>
      </x:c>
    </x:row>
    <x:row r="20">
      <x:c r="A20" s="31" t="str">
        <x:v>合计</x:v>
      </x:c>
      <x:c r="B20" s="30" t="n">
        <x:v>14</x:v>
      </x:c>
      <x:c r="C20" s="30"/>
      <x:c r="D20" s="30"/>
      <x:c r="E20" s="30"/>
      <x:c r="F20" s="30"/>
      <x:c r="G20" s="30"/>
      <x:c r="H20" s="30"/>
      <x:c r="I20" s="30"/>
      <x:c r="J20" s="32" t="n">
        <x:f>SUM(J4:J17)</x:f>
        <x:v>2770.4</x:v>
      </x:c>
      <x:c r="K20" s="30"/>
    </x:row>
    <x:row r="21">
      <x:c r="A21" s="31" t="str">
        <x:v>均值</x:v>
      </x:c>
      <x:c r="B21" s="30"/>
      <x:c r="C21" s="30"/>
      <x:c r="D21" s="30"/>
      <x:c r="E21" s="30"/>
      <x:c r="F21" s="30"/>
      <x:c r="G21" s="30"/>
      <x:c r="H21" s="30"/>
      <x:c r="I21" s="30"/>
      <x:c r="J21" s="34" t="n">
        <x:f>ROUND(IFERROR(AVERAGE(J4:J17),0),1)</x:f>
        <x:v>197.9</x:v>
      </x:c>
      <x:c r="K21" s="30"/>
    </x:row>
  </x:sheetData>
  <x:mergeCells>
    <x:mergeCell ref="A1:K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0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4" hidden="0" customWidth="1"/>
  </x:cols>
  <x:sheetData>
    <x:row r="1" ht="38" customHeight="1">
      <x:c r="A1" s="15" t="str">
        <x:v>2026年10月统计 - 上证指数</x:v>
      </x:c>
    </x:row>
    <x:row r="3">
      <x:c r="A3" s="20" t="str">
        <x:v>序号</x:v>
      </x:c>
      <x:c r="B3" s="20" t="str">
        <x:v>星期</x:v>
      </x:c>
      <x:c r="C3" s="20" t="str">
        <x:v>日期</x:v>
      </x:c>
      <x:c r="D3" s="20" t="str">
        <x:v>开盘</x:v>
      </x:c>
      <x:c r="E3" s="20" t="str">
        <x:v>高点</x:v>
      </x:c>
      <x:c r="F3" s="20" t="str">
        <x:v>低点</x:v>
      </x:c>
      <x:c r="G3" s="20" t="str">
        <x:v>收盘</x:v>
      </x:c>
      <x:c r="H3" s="20" t="str">
        <x:v>涨跌点数</x:v>
      </x:c>
      <x:c r="I3" s="20" t="str">
        <x:v>涨幅</x:v>
      </x:c>
      <x:c r="J3" s="20" t="str">
        <x:v>振幅</x:v>
      </x:c>
      <x:c r="K3" s="20" t="str">
        <x:v>标的</x:v>
      </x:c>
    </x:row>
    <x:row r="4">
      <x:c r="A4" s="22" t="n">
        <x:v>1</x:v>
      </x:c>
      <x:c r="B4" s="22" t="str">
        <x:v>周四</x:v>
      </x:c>
      <x:c r="C4" s="22" t="str">
        <x:v>10月8日</x:v>
      </x:c>
      <x:c r="D4" s="23" t="n">
        <x:v>3838.98</x:v>
      </x:c>
      <x:c r="E4" s="23" t="n">
        <x:v>3864.12</x:v>
      </x:c>
      <x:c r="F4" s="23" t="n">
        <x:v>3795.37</x:v>
      </x:c>
      <x:c r="G4" s="23" t="n">
        <x:v>3811.9</x:v>
      </x:c>
      <x:c r="H4" s="23" t="n">
        <x:v>-30.3</x:v>
      </x:c>
      <x:c r="I4" s="24" t="n">
        <x:v>-0.007883524760618266</x:v>
      </x:c>
      <x:c r="J4" s="26" t="n">
        <x:f>ROUND(E4-F4,1)</x:f>
        <x:v>68.8</x:v>
      </x:c>
      <x:c r="K4" s="22" t="str">
        <x:v>上证指数</x:v>
      </x:c>
    </x:row>
    <x:row r="5">
      <x:c r="A5" s="22" t="n">
        <x:v>2</x:v>
      </x:c>
      <x:c r="B5" s="22" t="str">
        <x:v>周五</x:v>
      </x:c>
      <x:c r="C5" s="22" t="str">
        <x:v>10月9日</x:v>
      </x:c>
      <x:c r="D5" s="23" t="n">
        <x:v>3804.09</x:v>
      </x:c>
      <x:c r="E5" s="23" t="n">
        <x:v>3824.71</x:v>
      </x:c>
      <x:c r="F5" s="23" t="n">
        <x:v>3754.14</x:v>
      </x:c>
      <x:c r="G5" s="23" t="n">
        <x:v>3813.79</x:v>
      </x:c>
      <x:c r="H5" s="23" t="n">
        <x:v>1.9</x:v>
      </x:c>
      <x:c r="I5" s="24" t="n">
        <x:v>0.0004958157349352899</x:v>
      </x:c>
      <x:c r="J5" s="26" t="n">
        <x:f>ROUND(E5-F5,1)</x:f>
        <x:v>70.6</x:v>
      </x:c>
      <x:c r="K5" s="22" t="str">
        <x:v>上证指数</x:v>
      </x:c>
    </x:row>
    <x:row r="6">
      <x:c r="A6" s="22" t="n">
        <x:v>3</x:v>
      </x:c>
      <x:c r="B6" s="22" t="str">
        <x:v>周一</x:v>
      </x:c>
      <x:c r="C6" s="22" t="str">
        <x:v>10月12日</x:v>
      </x:c>
      <x:c r="D6" s="23" t="n">
        <x:v>3806.98</x:v>
      </x:c>
      <x:c r="E6" s="23" t="n">
        <x:v>3828.22</x:v>
      </x:c>
      <x:c r="F6" s="23" t="n">
        <x:v>3791</x:v>
      </x:c>
      <x:c r="G6" s="23" t="n">
        <x:v>3797.24</x:v>
      </x:c>
      <x:c r="H6" s="23" t="n">
        <x:v>-16.6</x:v>
      </x:c>
      <x:c r="I6" s="24" t="n">
        <x:v>-0.00433951528531995</x:v>
      </x:c>
      <x:c r="J6" s="23" t="n">
        <x:f>ROUND(E6-F6,1)</x:f>
        <x:v>37.2</x:v>
      </x:c>
      <x:c r="K6" s="22" t="str">
        <x:v>上证指数</x:v>
      </x:c>
    </x:row>
    <x:row r="7">
      <x:c r="A7" s="22" t="n">
        <x:v>4</x:v>
      </x:c>
      <x:c r="B7" s="22" t="str">
        <x:v>周二</x:v>
      </x:c>
      <x:c r="C7" s="22" t="str">
        <x:v>10月13日</x:v>
      </x:c>
      <x:c r="D7" s="23" t="n">
        <x:v>3760.8</x:v>
      </x:c>
      <x:c r="E7" s="23" t="n">
        <x:v>3822.11</x:v>
      </x:c>
      <x:c r="F7" s="23" t="n">
        <x:v>3741.53</x:v>
      </x:c>
      <x:c r="G7" s="23" t="n">
        <x:v>3800.86</x:v>
      </x:c>
      <x:c r="H7" s="23" t="n">
        <x:v>3.6</x:v>
      </x:c>
      <x:c r="I7" s="24" t="n">
        <x:v>0.0009533239932162374</x:v>
      </x:c>
      <x:c r="J7" s="26" t="n">
        <x:f>ROUND(E7-F7,1)</x:f>
        <x:v>80.6</x:v>
      </x:c>
      <x:c r="K7" s="22" t="str">
        <x:v>上证指数</x:v>
      </x:c>
    </x:row>
    <x:row r="8">
      <x:c r="A8" s="22" t="n">
        <x:v>5</x:v>
      </x:c>
      <x:c r="B8" s="22" t="str">
        <x:v>周三</x:v>
      </x:c>
      <x:c r="C8" s="22" t="str">
        <x:v>10月14日</x:v>
      </x:c>
      <x:c r="D8" s="23" t="n">
        <x:v>3790.63</x:v>
      </x:c>
      <x:c r="E8" s="23" t="n">
        <x:v>3811.81</x:v>
      </x:c>
      <x:c r="F8" s="23" t="n">
        <x:v>3761.96</x:v>
      </x:c>
      <x:c r="G8" s="23" t="n">
        <x:v>3767.23</x:v>
      </x:c>
      <x:c r="H8" s="23" t="n">
        <x:v>-33.6</x:v>
      </x:c>
      <x:c r="I8" s="24" t="n">
        <x:v>-0.00884799755844734</x:v>
      </x:c>
      <x:c r="J8" s="23" t="n">
        <x:f>ROUND(E8-F8,1)</x:f>
        <x:v>49.8</x:v>
      </x:c>
      <x:c r="K8" s="22" t="str">
        <x:v>上证指数</x:v>
      </x:c>
    </x:row>
    <x:row r="9">
      <x:c r="A9" s="22" t="n">
        <x:v>6</x:v>
      </x:c>
      <x:c r="B9" s="22" t="str">
        <x:v>周四</x:v>
      </x:c>
      <x:c r="C9" s="22" t="str">
        <x:v>10月15日</x:v>
      </x:c>
      <x:c r="D9" s="23" t="n">
        <x:v>3710.7</x:v>
      </x:c>
      <x:c r="E9" s="23" t="n">
        <x:v>3724.56</x:v>
      </x:c>
      <x:c r="F9" s="23" t="n">
        <x:v>3674.82</x:v>
      </x:c>
      <x:c r="G9" s="23" t="n">
        <x:v>3707.48</x:v>
      </x:c>
      <x:c r="H9" s="23" t="n">
        <x:v>-59.7</x:v>
      </x:c>
      <x:c r="I9" s="24" t="n">
        <x:v>-0.015860459807338523</x:v>
      </x:c>
      <x:c r="J9" s="23" t="n">
        <x:f>ROUND(E9-F9,1)</x:f>
        <x:v>49.7</x:v>
      </x:c>
      <x:c r="K9" s="22" t="str">
        <x:v>上证指数</x:v>
      </x:c>
    </x:row>
    <x:row r="10">
      <x:c r="A10" s="41" t="n">
        <x:v>7</x:v>
      </x:c>
      <x:c r="B10" s="41" t="str">
        <x:v>周五</x:v>
      </x:c>
      <x:c r="C10" s="41" t="str">
        <x:v>10月16日</x:v>
      </x:c>
      <x:c r="D10" s="42" t="n">
        <x:v>3723.8</x:v>
      </x:c>
      <x:c r="E10" s="42" t="n">
        <x:v>3750.77</x:v>
      </x:c>
      <x:c r="F10" s="42" t="n">
        <x:v>3681.28</x:v>
      </x:c>
      <x:c r="G10" s="42" t="n">
        <x:v>3716.28</x:v>
      </x:c>
      <x:c r="H10" s="42" t="n">
        <x:v>8.8</x:v>
      </x:c>
      <x:c r="I10" s="43" t="n">
        <x:v>0.0023735798979360734</x:v>
      </x:c>
      <x:c r="J10" s="26" t="n">
        <x:f>ROUND(E10-F10,1)</x:f>
        <x:v>69.5</x:v>
      </x:c>
      <x:c r="K10" s="41" t="str">
        <x:v>上证指数</x:v>
      </x:c>
    </x:row>
    <x:row r="11">
      <x:c r="A11" s="22" t="n">
        <x:v>8</x:v>
      </x:c>
      <x:c r="B11" s="22" t="str">
        <x:v>周一</x:v>
      </x:c>
      <x:c r="C11" s="22" t="str">
        <x:v>10月19日</x:v>
      </x:c>
      <x:c r="D11" s="23" t="n">
        <x:v>3694.12</x:v>
      </x:c>
      <x:c r="E11" s="23" t="n">
        <x:v>3743.8</x:v>
      </x:c>
      <x:c r="F11" s="23" t="n">
        <x:v>3692.29</x:v>
      </x:c>
      <x:c r="G11" s="23" t="n">
        <x:v>3730.92</x:v>
      </x:c>
      <x:c r="H11" s="23" t="n">
        <x:v>14.6</x:v>
      </x:c>
      <x:c r="I11" s="24" t="n">
        <x:v>0.003939423294262001</x:v>
      </x:c>
      <x:c r="J11" s="26" t="n">
        <x:f>ROUND(E11-F11,1)</x:f>
        <x:v>51.5</x:v>
      </x:c>
      <x:c r="K11" s="22" t="str">
        <x:v>上证指数</x:v>
      </x:c>
    </x:row>
    <x:row r="12">
      <x:c r="A12" s="22" t="n">
        <x:v>9</x:v>
      </x:c>
      <x:c r="B12" s="22" t="str">
        <x:v>周二</x:v>
      </x:c>
      <x:c r="C12" s="22" t="str">
        <x:v>10月20日</x:v>
      </x:c>
      <x:c r="D12" s="23" t="n">
        <x:v>3718.44</x:v>
      </x:c>
      <x:c r="E12" s="23" t="n">
        <x:v>3740.07</x:v>
      </x:c>
      <x:c r="F12" s="23" t="n">
        <x:v>3702.44</x:v>
      </x:c>
      <x:c r="G12" s="23" t="n">
        <x:v>3735.37</x:v>
      </x:c>
      <x:c r="H12" s="23" t="n">
        <x:v>4.4</x:v>
      </x:c>
      <x:c r="I12" s="24" t="n">
        <x:v>0.0011927353038927446</x:v>
      </x:c>
      <x:c r="J12" s="23" t="n">
        <x:f>ROUND(E12-F12,1)</x:f>
        <x:v>37.6</x:v>
      </x:c>
      <x:c r="K12" s="22" t="str">
        <x:v>上证指数</x:v>
      </x:c>
    </x:row>
    <x:row r="13">
      <x:c r="A13" s="22" t="n">
        <x:v>10</x:v>
      </x:c>
      <x:c r="B13" s="22" t="str">
        <x:v>周三</x:v>
      </x:c>
      <x:c r="C13" s="22" t="str">
        <x:v>10月21日</x:v>
      </x:c>
      <x:c r="D13" s="23" t="n">
        <x:v>3740.57</x:v>
      </x:c>
      <x:c r="E13" s="23" t="n">
        <x:v>3743.08</x:v>
      </x:c>
      <x:c r="F13" s="23" t="n">
        <x:v>3703.12</x:v>
      </x:c>
      <x:c r="G13" s="23" t="n">
        <x:v>3713.03</x:v>
      </x:c>
      <x:c r="H13" s="23" t="n">
        <x:v>-22.3</x:v>
      </x:c>
      <x:c r="I13" s="24" t="n">
        <x:v>-0.00598066590458235</x:v>
      </x:c>
      <x:c r="J13" s="23" t="n">
        <x:f>ROUND(E13-F13,1)</x:f>
        <x:v>40</x:v>
      </x:c>
      <x:c r="K13" s="22" t="str">
        <x:v>上证指数</x:v>
      </x:c>
    </x:row>
    <x:row r="14">
      <x:c r="A14" s="22" t="n">
        <x:v>11</x:v>
      </x:c>
      <x:c r="B14" s="22" t="str">
        <x:v>周四</x:v>
      </x:c>
      <x:c r="C14" s="22" t="str">
        <x:v>10月22日</x:v>
      </x:c>
      <x:c r="D14" s="23" t="n">
        <x:v>3714.48</x:v>
      </x:c>
      <x:c r="E14" s="23" t="n">
        <x:v>3714.48</x:v>
      </x:c>
      <x:c r="F14" s="23" t="n">
        <x:v>3649.86</x:v>
      </x:c>
      <x:c r="G14" s="23" t="n">
        <x:v>3658.03</x:v>
      </x:c>
      <x:c r="H14" s="23" t="n">
        <x:v>-55</x:v>
      </x:c>
      <x:c r="I14" s="24" t="n">
        <x:v>-0.014812700139777979</x:v>
      </x:c>
      <x:c r="J14" s="26" t="n">
        <x:f>ROUND(E14-F14,1)</x:f>
        <x:v>64.6</x:v>
      </x:c>
      <x:c r="K14" s="22" t="str">
        <x:v>上证指数</x:v>
      </x:c>
    </x:row>
    <x:row r="15">
      <x:c r="A15" s="22" t="n">
        <x:v>12</x:v>
      </x:c>
      <x:c r="B15" s="22" t="str">
        <x:v>周五</x:v>
      </x:c>
      <x:c r="C15" s="22" t="str">
        <x:v>10月23日</x:v>
      </x:c>
      <x:c r="D15" s="23" t="n">
        <x:v>3623.57</x:v>
      </x:c>
      <x:c r="E15" s="23" t="n">
        <x:v>3691.4</x:v>
      </x:c>
      <x:c r="F15" s="23" t="n">
        <x:v>3574.27</x:v>
      </x:c>
      <x:c r="G15" s="23" t="n">
        <x:v>3690.48</x:v>
      </x:c>
      <x:c r="H15" s="23" t="n">
        <x:v>32.4</x:v>
      </x:c>
      <x:c r="I15" s="24" t="n">
        <x:v>0.008870894989926326</x:v>
      </x:c>
      <x:c r="J15" s="26" t="n">
        <x:f>ROUND(E15-F15,1)</x:f>
        <x:v>117.1</x:v>
      </x:c>
      <x:c r="K15" s="22" t="str">
        <x:v>上证指数</x:v>
      </x:c>
    </x:row>
    <x:row r="16">
      <x:c r="A16" s="22" t="n">
        <x:v>13</x:v>
      </x:c>
      <x:c r="B16" s="22" t="str">
        <x:v>周一</x:v>
      </x:c>
      <x:c r="C16" s="22" t="str">
        <x:v>10月26日</x:v>
      </x:c>
      <x:c r="D16" s="23" t="n">
        <x:v>3671</x:v>
      </x:c>
      <x:c r="E16" s="23" t="n">
        <x:v>3699.01</x:v>
      </x:c>
      <x:c r="F16" s="23" t="n">
        <x:v>3664.82</x:v>
      </x:c>
      <x:c r="G16" s="23" t="n">
        <x:v>3697.52</x:v>
      </x:c>
      <x:c r="H16" s="23" t="n">
        <x:v>7</x:v>
      </x:c>
      <x:c r="I16" s="24" t="n">
        <x:v>0.0019076109340789849</x:v>
      </x:c>
      <x:c r="J16" s="23" t="n">
        <x:f>ROUND(E16-F16,1)</x:f>
        <x:v>34.2</x:v>
      </x:c>
      <x:c r="K16" s="22" t="str">
        <x:v>上证指数</x:v>
      </x:c>
    </x:row>
    <x:row r="17">
      <x:c r="A17" s="22" t="n">
        <x:v>14</x:v>
      </x:c>
      <x:c r="B17" s="22" t="str">
        <x:v>周二</x:v>
      </x:c>
      <x:c r="C17" s="22" t="str">
        <x:v>10月27日</x:v>
      </x:c>
      <x:c r="D17" s="23" t="n">
        <x:v>3698.44</x:v>
      </x:c>
      <x:c r="E17" s="23" t="n">
        <x:v>3708.2</x:v>
      </x:c>
      <x:c r="F17" s="23" t="n">
        <x:v>3648.3</x:v>
      </x:c>
      <x:c r="G17" s="23" t="n">
        <x:v>3648.3</x:v>
      </x:c>
      <x:c r="H17" s="23" t="n">
        <x:v>-49.2</x:v>
      </x:c>
      <x:c r="I17" s="24" t="n">
        <x:v>-0.01331162508924899</x:v>
      </x:c>
      <x:c r="J17" s="26" t="n">
        <x:f>ROUND(E17-F17,1)</x:f>
        <x:v>59.9</x:v>
      </x:c>
      <x:c r="K17" s="22" t="str">
        <x:v>上证指数</x:v>
      </x:c>
    </x:row>
    <x:row r="20">
      <x:c r="A20" s="31" t="str">
        <x:v>合计</x:v>
      </x:c>
      <x:c r="B20" s="30" t="n">
        <x:v>14</x:v>
      </x:c>
      <x:c r="C20" s="30"/>
      <x:c r="D20" s="30"/>
      <x:c r="E20" s="30"/>
      <x:c r="F20" s="30"/>
      <x:c r="G20" s="30"/>
      <x:c r="H20" s="30"/>
      <x:c r="I20" s="30"/>
      <x:c r="J20" s="32" t="n">
        <x:f>SUM(J4:J17)</x:f>
        <x:v>831.1</x:v>
      </x:c>
      <x:c r="K20" s="30"/>
    </x:row>
    <x:row r="21">
      <x:c r="A21" s="31" t="str">
        <x:v>均值</x:v>
      </x:c>
      <x:c r="B21" s="30"/>
      <x:c r="C21" s="30"/>
      <x:c r="D21" s="30"/>
      <x:c r="E21" s="30"/>
      <x:c r="F21" s="30"/>
      <x:c r="G21" s="30"/>
      <x:c r="H21" s="30"/>
      <x:c r="I21" s="30"/>
      <x:c r="J21" s="34" t="n">
        <x:f>ROUND(IFERROR(AVERAGE(J4:J17),0),1)</x:f>
        <x:v>59.4</x:v>
      </x:c>
      <x:c r="K21" s="30"/>
    </x:row>
  </x:sheetData>
  <x:mergeCells>
    <x:mergeCell ref="A1:K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0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4" hidden="0" customWidth="1"/>
  </x:cols>
  <x:sheetData>
    <x:row r="1" ht="38" customHeight="1">
      <x:c r="A1" s="15" t="str">
        <x:v>2026年10月统计 - IM主力</x:v>
      </x:c>
    </x:row>
    <x:row r="3">
      <x:c r="A3" s="20" t="str">
        <x:v>序号</x:v>
      </x:c>
      <x:c r="B3" s="20" t="str">
        <x:v>星期</x:v>
      </x:c>
      <x:c r="C3" s="20" t="str">
        <x:v>日期</x:v>
      </x:c>
      <x:c r="D3" s="20" t="str">
        <x:v>开盘</x:v>
      </x:c>
      <x:c r="E3" s="20" t="str">
        <x:v>高点</x:v>
      </x:c>
      <x:c r="F3" s="20" t="str">
        <x:v>低点</x:v>
      </x:c>
      <x:c r="G3" s="20" t="str">
        <x:v>收盘</x:v>
      </x:c>
      <x:c r="H3" s="20" t="str">
        <x:v>涨跌点数</x:v>
      </x:c>
      <x:c r="I3" s="20" t="str">
        <x:v>涨幅</x:v>
      </x:c>
      <x:c r="J3" s="20" t="str">
        <x:v>振幅</x:v>
      </x:c>
      <x:c r="K3" s="20" t="str">
        <x:v>标的</x:v>
      </x:c>
    </x:row>
    <x:row r="4">
      <x:c r="A4" s="22" t="n">
        <x:v>1</x:v>
      </x:c>
      <x:c r="B4" s="22" t="str">
        <x:v>周四</x:v>
      </x:c>
      <x:c r="C4" s="22" t="str">
        <x:v>10月8日</x:v>
      </x:c>
      <x:c r="D4" s="23" t="n">
        <x:v>7182.8</x:v>
      </x:c>
      <x:c r="E4" s="23" t="n">
        <x:v>7251.8</x:v>
      </x:c>
      <x:c r="F4" s="23" t="n">
        <x:v>6948.2</x:v>
      </x:c>
      <x:c r="G4" s="23" t="n">
        <x:v>7022.2</x:v>
      </x:c>
      <x:c r="H4" s="23" t="n">
        <x:v>-146.6</x:v>
      </x:c>
      <x:c r="I4" s="24" t="n">
        <x:v>-0.02044972659301425</x:v>
      </x:c>
      <x:c r="J4" s="26" t="n">
        <x:f>ROUND(E4-F4,1)</x:f>
        <x:v>303.6</x:v>
      </x:c>
      <x:c r="K4" s="22" t="str">
        <x:v>IM2612</x:v>
      </x:c>
    </x:row>
    <x:row r="5">
      <x:c r="A5" s="22" t="n">
        <x:v>2</x:v>
      </x:c>
      <x:c r="B5" s="22" t="str">
        <x:v>周五</x:v>
      </x:c>
      <x:c r="C5" s="22" t="str">
        <x:v>10月9日</x:v>
      </x:c>
      <x:c r="D5" s="23" t="n">
        <x:v>7001.4</x:v>
      </x:c>
      <x:c r="E5" s="23" t="n">
        <x:v>7049</x:v>
      </x:c>
      <x:c r="F5" s="23" t="n">
        <x:v>6819.2</x:v>
      </x:c>
      <x:c r="G5" s="23" t="n">
        <x:v>7015.8</x:v>
      </x:c>
      <x:c r="H5" s="23" t="n">
        <x:v>-6.4</x:v>
      </x:c>
      <x:c r="I5" s="24" t="n">
        <x:v>-0.0009113952892255694</x:v>
      </x:c>
      <x:c r="J5" s="26" t="n">
        <x:f>ROUND(E5-F5,1)</x:f>
        <x:v>229.8</x:v>
      </x:c>
      <x:c r="K5" s="22" t="str">
        <x:v>IM2612</x:v>
      </x:c>
    </x:row>
    <x:row r="6">
      <x:c r="A6" s="22" t="n">
        <x:v>3</x:v>
      </x:c>
      <x:c r="B6" s="22" t="str">
        <x:v>周一</x:v>
      </x:c>
      <x:c r="C6" s="22" t="str">
        <x:v>10月12日</x:v>
      </x:c>
      <x:c r="D6" s="23" t="n">
        <x:v>7000</x:v>
      </x:c>
      <x:c r="E6" s="23" t="n">
        <x:v>7031.2</x:v>
      </x:c>
      <x:c r="F6" s="23" t="n">
        <x:v>6886.6</x:v>
      </x:c>
      <x:c r="G6" s="23" t="n">
        <x:v>6921</x:v>
      </x:c>
      <x:c r="H6" s="23" t="n">
        <x:v>-94.8</x:v>
      </x:c>
      <x:c r="I6" s="24" t="n">
        <x:v>-0.01351235782091853</x:v>
      </x:c>
      <x:c r="J6" s="23" t="n">
        <x:f>ROUND(E6-F6,1)</x:f>
        <x:v>144.6</x:v>
      </x:c>
      <x:c r="K6" s="22" t="str">
        <x:v>IM2612</x:v>
      </x:c>
    </x:row>
    <x:row r="7">
      <x:c r="A7" s="22" t="n">
        <x:v>4</x:v>
      </x:c>
      <x:c r="B7" s="22" t="str">
        <x:v>周二</x:v>
      </x:c>
      <x:c r="C7" s="22" t="str">
        <x:v>10月13日</x:v>
      </x:c>
      <x:c r="D7" s="23" t="n">
        <x:v>6800</x:v>
      </x:c>
      <x:c r="E7" s="23" t="n">
        <x:v>6971.6</x:v>
      </x:c>
      <x:c r="F7" s="23" t="n">
        <x:v>6680</x:v>
      </x:c>
      <x:c r="G7" s="23" t="n">
        <x:v>6901.8</x:v>
      </x:c>
      <x:c r="H7" s="23" t="n">
        <x:v>-19.2</x:v>
      </x:c>
      <x:c r="I7" s="24" t="n">
        <x:v>-0.002774165583008248</x:v>
      </x:c>
      <x:c r="J7" s="26" t="n">
        <x:f>ROUND(E7-F7,1)</x:f>
        <x:v>291.6</x:v>
      </x:c>
      <x:c r="K7" s="22" t="str">
        <x:v>IM2612</x:v>
      </x:c>
    </x:row>
    <x:row r="8">
      <x:c r="A8" s="22" t="n">
        <x:v>5</x:v>
      </x:c>
      <x:c r="B8" s="22" t="str">
        <x:v>周三</x:v>
      </x:c>
      <x:c r="C8" s="22" t="str">
        <x:v>10月14日</x:v>
      </x:c>
      <x:c r="D8" s="23" t="n">
        <x:v>6895</x:v>
      </x:c>
      <x:c r="E8" s="23" t="n">
        <x:v>6925.2</x:v>
      </x:c>
      <x:c r="F8" s="23" t="n">
        <x:v>6761</x:v>
      </x:c>
      <x:c r="G8" s="23" t="n">
        <x:v>6805.8</x:v>
      </x:c>
      <x:c r="H8" s="23" t="n">
        <x:v>-96</x:v>
      </x:c>
      <x:c r="I8" s="24" t="n">
        <x:v>-0.013909414935234232</x:v>
      </x:c>
      <x:c r="J8" s="23" t="n">
        <x:f>ROUND(E8-F8,1)</x:f>
        <x:v>164.2</x:v>
      </x:c>
      <x:c r="K8" s="22" t="str">
        <x:v>IM2612</x:v>
      </x:c>
    </x:row>
    <x:row r="9">
      <x:c r="A9" s="22" t="n">
        <x:v>6</x:v>
      </x:c>
      <x:c r="B9" s="22" t="str">
        <x:v>周四</x:v>
      </x:c>
      <x:c r="C9" s="22" t="str">
        <x:v>10月15日</x:v>
      </x:c>
      <x:c r="D9" s="23" t="n">
        <x:v>6627</x:v>
      </x:c>
      <x:c r="E9" s="23" t="n">
        <x:v>6706.6</x:v>
      </x:c>
      <x:c r="F9" s="23" t="n">
        <x:v>6532.4</x:v>
      </x:c>
      <x:c r="G9" s="23" t="n">
        <x:v>6553.6</x:v>
      </x:c>
      <x:c r="H9" s="28" t="n">
        <x:v>-252.2</x:v>
      </x:c>
      <x:c r="I9" s="24" t="n">
        <x:v>-0.037056628170090145</x:v>
      </x:c>
      <x:c r="J9" s="23" t="n">
        <x:f>ROUND(E9-F9,1)</x:f>
        <x:v>174.2</x:v>
      </x:c>
      <x:c r="K9" s="22" t="str">
        <x:v>IM2612</x:v>
      </x:c>
    </x:row>
    <x:row r="10">
      <x:c r="A10" s="41" t="n">
        <x:v>7</x:v>
      </x:c>
      <x:c r="B10" s="41" t="str">
        <x:v>周五</x:v>
      </x:c>
      <x:c r="C10" s="41" t="str">
        <x:v>10月16日</x:v>
      </x:c>
      <x:c r="D10" s="42" t="n">
        <x:v>6652</x:v>
      </x:c>
      <x:c r="E10" s="42" t="n">
        <x:v>6748</x:v>
      </x:c>
      <x:c r="F10" s="42" t="n">
        <x:v>6519.6</x:v>
      </x:c>
      <x:c r="G10" s="42" t="n">
        <x:v>6583.6</x:v>
      </x:c>
      <x:c r="H10" s="42" t="n">
        <x:v>30</x:v>
      </x:c>
      <x:c r="I10" s="43" t="n">
        <x:v>0.00457763671875</x:v>
      </x:c>
      <x:c r="J10" s="26" t="n">
        <x:f>ROUND(E10-F10,1)</x:f>
        <x:v>228.4</x:v>
      </x:c>
      <x:c r="K10" s="41" t="str">
        <x:v>IM2612</x:v>
      </x:c>
    </x:row>
    <x:row r="11">
      <x:c r="A11" s="22" t="n">
        <x:v>8</x:v>
      </x:c>
      <x:c r="B11" s="22" t="str">
        <x:v>周一</x:v>
      </x:c>
      <x:c r="C11" s="22" t="str">
        <x:v>10月19日</x:v>
      </x:c>
      <x:c r="D11" s="23" t="n">
        <x:v>6577.2</x:v>
      </x:c>
      <x:c r="E11" s="23" t="n">
        <x:v>6680</x:v>
      </x:c>
      <x:c r="F11" s="23" t="n">
        <x:v>6505</x:v>
      </x:c>
      <x:c r="G11" s="23" t="n">
        <x:v>6621.8</x:v>
      </x:c>
      <x:c r="H11" s="23" t="n">
        <x:v>38.2</x:v>
      </x:c>
      <x:c r="I11" s="24" t="n">
        <x:v>0.005802296615833313</x:v>
      </x:c>
      <x:c r="J11" s="23" t="n">
        <x:f>ROUND(E11-F11,1)</x:f>
        <x:v>175</x:v>
      </x:c>
      <x:c r="K11" s="22" t="str">
        <x:v>IM2612</x:v>
      </x:c>
    </x:row>
    <x:row r="12">
      <x:c r="A12" s="22" t="n">
        <x:v>9</x:v>
      </x:c>
      <x:c r="B12" s="22" t="str">
        <x:v>周二</x:v>
      </x:c>
      <x:c r="C12" s="22" t="str">
        <x:v>10月20日</x:v>
      </x:c>
      <x:c r="D12" s="23" t="n">
        <x:v>6590</x:v>
      </x:c>
      <x:c r="E12" s="23" t="n">
        <x:v>6735.6</x:v>
      </x:c>
      <x:c r="F12" s="23" t="n">
        <x:v>6543</x:v>
      </x:c>
      <x:c r="G12" s="23" t="n">
        <x:v>6663.8</x:v>
      </x:c>
      <x:c r="H12" s="23" t="n">
        <x:v>42</x:v>
      </x:c>
      <x:c r="I12" s="24" t="n">
        <x:v>0.006342686278655307</x:v>
      </x:c>
      <x:c r="J12" s="26" t="n">
        <x:f>ROUND(E12-F12,1)</x:f>
        <x:v>192.6</x:v>
      </x:c>
      <x:c r="K12" s="22" t="str">
        <x:v>IM2612</x:v>
      </x:c>
    </x:row>
    <x:row r="13">
      <x:c r="A13" s="22" t="n">
        <x:v>10</x:v>
      </x:c>
      <x:c r="B13" s="22" t="str">
        <x:v>周三</x:v>
      </x:c>
      <x:c r="C13" s="22" t="str">
        <x:v>10月21日</x:v>
      </x:c>
      <x:c r="D13" s="23" t="n">
        <x:v>6722</x:v>
      </x:c>
      <x:c r="E13" s="23" t="n">
        <x:v>6799.6</x:v>
      </x:c>
      <x:c r="F13" s="23" t="n">
        <x:v>6658.2</x:v>
      </x:c>
      <x:c r="G13" s="23" t="n">
        <x:v>6659.2</x:v>
      </x:c>
      <x:c r="H13" s="23" t="n">
        <x:v>-4.6</x:v>
      </x:c>
      <x:c r="I13" s="24" t="n">
        <x:v>-0.0006902968276358834</x:v>
      </x:c>
      <x:c r="J13" s="23" t="n">
        <x:f>ROUND(E13-F13,1)</x:f>
        <x:v>141.4</x:v>
      </x:c>
      <x:c r="K13" s="22" t="str">
        <x:v>IM2612</x:v>
      </x:c>
    </x:row>
    <x:row r="14">
      <x:c r="A14" s="22" t="n">
        <x:v>11</x:v>
      </x:c>
      <x:c r="B14" s="22" t="str">
        <x:v>周四</x:v>
      </x:c>
      <x:c r="C14" s="22" t="str">
        <x:v>10月22日</x:v>
      </x:c>
      <x:c r="D14" s="23" t="n">
        <x:v>6670</x:v>
      </x:c>
      <x:c r="E14" s="23" t="n">
        <x:v>6689</x:v>
      </x:c>
      <x:c r="F14" s="23" t="n">
        <x:v>6466.8</x:v>
      </x:c>
      <x:c r="G14" s="23" t="n">
        <x:v>6471.6</x:v>
      </x:c>
      <x:c r="H14" s="28" t="n">
        <x:v>-187.6</x:v>
      </x:c>
      <x:c r="I14" s="24" t="n">
        <x:v>-0.02817155213839495</x:v>
      </x:c>
      <x:c r="J14" s="26" t="n">
        <x:f>ROUND(E14-F14,1)</x:f>
        <x:v>222.2</x:v>
      </x:c>
      <x:c r="K14" s="22" t="str">
        <x:v>IM2612</x:v>
      </x:c>
    </x:row>
    <x:row r="15">
      <x:c r="A15" s="22" t="n">
        <x:v>12</x:v>
      </x:c>
      <x:c r="B15" s="22" t="str">
        <x:v>周五</x:v>
      </x:c>
      <x:c r="C15" s="22" t="str">
        <x:v>10月23日</x:v>
      </x:c>
      <x:c r="D15" s="23" t="n">
        <x:v>6420</x:v>
      </x:c>
      <x:c r="E15" s="23" t="n">
        <x:v>6677</x:v>
      </x:c>
      <x:c r="F15" s="23" t="n">
        <x:v>6212.6</x:v>
      </x:c>
      <x:c r="G15" s="23" t="n">
        <x:v>6660</x:v>
      </x:c>
      <x:c r="H15" s="28" t="n">
        <x:v>188.4</x:v>
      </x:c>
      <x:c r="I15" s="24" t="n">
        <x:v>0.029111811607639426</x:v>
      </x:c>
      <x:c r="J15" s="26" t="n">
        <x:f>ROUND(E15-F15,1)</x:f>
        <x:v>464.4</x:v>
      </x:c>
      <x:c r="K15" s="22" t="str">
        <x:v>IM2612</x:v>
      </x:c>
    </x:row>
    <x:row r="16">
      <x:c r="A16" s="22" t="n">
        <x:v>13</x:v>
      </x:c>
      <x:c r="B16" s="22" t="str">
        <x:v>周一</x:v>
      </x:c>
      <x:c r="C16" s="22" t="str">
        <x:v>10月26日</x:v>
      </x:c>
      <x:c r="D16" s="23" t="n">
        <x:v>6618</x:v>
      </x:c>
      <x:c r="E16" s="23" t="n">
        <x:v>6630</x:v>
      </x:c>
      <x:c r="F16" s="23" t="n">
        <x:v>6494</x:v>
      </x:c>
      <x:c r="G16" s="23" t="n">
        <x:v>6555.8</x:v>
      </x:c>
      <x:c r="H16" s="23" t="n">
        <x:v>-104.2</x:v>
      </x:c>
      <x:c r="I16" s="24" t="n">
        <x:v>-0.015645645645645634</x:v>
      </x:c>
      <x:c r="J16" s="23" t="n">
        <x:f>ROUND(E16-F16,1)</x:f>
        <x:v>136</x:v>
      </x:c>
      <x:c r="K16" s="22" t="str">
        <x:v>IM2612</x:v>
      </x:c>
    </x:row>
    <x:row r="17">
      <x:c r="A17" s="22" t="n">
        <x:v>14</x:v>
      </x:c>
      <x:c r="B17" s="22" t="str">
        <x:v>周二</x:v>
      </x:c>
      <x:c r="C17" s="22" t="str">
        <x:v>10月27日</x:v>
      </x:c>
      <x:c r="D17" s="23" t="n">
        <x:v>6622.4</x:v>
      </x:c>
      <x:c r="E17" s="23" t="n">
        <x:v>6670.8</x:v>
      </x:c>
      <x:c r="F17" s="23" t="n">
        <x:v>6333.2</x:v>
      </x:c>
      <x:c r="G17" s="23" t="n">
        <x:v>6339.2</x:v>
      </x:c>
      <x:c r="H17" s="28" t="n">
        <x:v>-216.6</x:v>
      </x:c>
      <x:c r="I17" s="24" t="n">
        <x:v>-0.0330394459867599</x:v>
      </x:c>
      <x:c r="J17" s="26" t="n">
        <x:f>ROUND(E17-F17,1)</x:f>
        <x:v>337.6</x:v>
      </x:c>
      <x:c r="K17" s="22" t="str">
        <x:v>IM2612</x:v>
      </x:c>
    </x:row>
    <x:row r="20">
      <x:c r="A20" s="31" t="str">
        <x:v>合计</x:v>
      </x:c>
      <x:c r="B20" s="30" t="n">
        <x:v>14</x:v>
      </x:c>
      <x:c r="C20" s="30"/>
      <x:c r="D20" s="30"/>
      <x:c r="E20" s="30"/>
      <x:c r="F20" s="30"/>
      <x:c r="G20" s="30"/>
      <x:c r="H20" s="30"/>
      <x:c r="I20" s="30"/>
      <x:c r="J20" s="32" t="n">
        <x:f>SUM(J4:J17)</x:f>
        <x:v>3205.6000000000004</x:v>
      </x:c>
      <x:c r="K20" s="30"/>
    </x:row>
    <x:row r="21">
      <x:c r="A21" s="31" t="str">
        <x:v>均值</x:v>
      </x:c>
      <x:c r="B21" s="30"/>
      <x:c r="C21" s="30"/>
      <x:c r="D21" s="30"/>
      <x:c r="E21" s="30"/>
      <x:c r="F21" s="30"/>
      <x:c r="G21" s="30"/>
      <x:c r="H21" s="30"/>
      <x:c r="I21" s="30"/>
      <x:c r="J21" s="34" t="n">
        <x:f>ROUND(IFERROR(AVERAGE(J4:J17),0),1)</x:f>
        <x:v>229</x:v>
      </x:c>
      <x:c r="K21" s="30"/>
    </x:row>
  </x:sheetData>
  <x:mergeCells>
    <x:mergeCell ref="A1:K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0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4" hidden="0" customWidth="1"/>
  </x:cols>
  <x:sheetData>
    <x:row r="1" ht="38" customHeight="1">
      <x:c r="A1" s="15" t="str">
        <x:v>2026年10月统计 - IC主力</x:v>
      </x:c>
    </x:row>
    <x:row r="3">
      <x:c r="A3" s="20" t="str">
        <x:v>序号</x:v>
      </x:c>
      <x:c r="B3" s="20" t="str">
        <x:v>星期</x:v>
      </x:c>
      <x:c r="C3" s="20" t="str">
        <x:v>日期</x:v>
      </x:c>
      <x:c r="D3" s="20" t="str">
        <x:v>开盘</x:v>
      </x:c>
      <x:c r="E3" s="20" t="str">
        <x:v>高点</x:v>
      </x:c>
      <x:c r="F3" s="20" t="str">
        <x:v>低点</x:v>
      </x:c>
      <x:c r="G3" s="20" t="str">
        <x:v>收盘</x:v>
      </x:c>
      <x:c r="H3" s="20" t="str">
        <x:v>涨跌点数</x:v>
      </x:c>
      <x:c r="I3" s="20" t="str">
        <x:v>涨幅</x:v>
      </x:c>
      <x:c r="J3" s="20" t="str">
        <x:v>振幅</x:v>
      </x:c>
      <x:c r="K3" s="20" t="str">
        <x:v>标的</x:v>
      </x:c>
    </x:row>
    <x:row r="4">
      <x:c r="A4" s="22" t="n">
        <x:v>1</x:v>
      </x:c>
      <x:c r="B4" s="22" t="str">
        <x:v>周四</x:v>
      </x:c>
      <x:c r="C4" s="22" t="str">
        <x:v>10月8日</x:v>
      </x:c>
      <x:c r="D4" s="23" t="n">
        <x:v>7295</x:v>
      </x:c>
      <x:c r="E4" s="23" t="n">
        <x:v>7355</x:v>
      </x:c>
      <x:c r="F4" s="23" t="n">
        <x:v>7056.4</x:v>
      </x:c>
      <x:c r="G4" s="23" t="n">
        <x:v>7122.8</x:v>
      </x:c>
      <x:c r="H4" s="28" t="n">
        <x:v>-187.4</x:v>
      </x:c>
      <x:c r="I4" s="24" t="n">
        <x:v>-0.02563541353177745</x:v>
      </x:c>
      <x:c r="J4" s="26" t="n">
        <x:f>ROUND(E4-F4,1)</x:f>
        <x:v>298.6</x:v>
      </x:c>
      <x:c r="K4" s="22" t="str">
        <x:v>IC2612</x:v>
      </x:c>
    </x:row>
    <x:row r="5">
      <x:c r="A5" s="22" t="n">
        <x:v>2</x:v>
      </x:c>
      <x:c r="B5" s="22" t="str">
        <x:v>周五</x:v>
      </x:c>
      <x:c r="C5" s="22" t="str">
        <x:v>10月9日</x:v>
      </x:c>
      <x:c r="D5" s="23" t="n">
        <x:v>7110</x:v>
      </x:c>
      <x:c r="E5" s="23" t="n">
        <x:v>7148</x:v>
      </x:c>
      <x:c r="F5" s="23" t="n">
        <x:v>6932</x:v>
      </x:c>
      <x:c r="G5" s="23" t="n">
        <x:v>7111</x:v>
      </x:c>
      <x:c r="H5" s="23" t="n">
        <x:v>-11.8</x:v>
      </x:c>
      <x:c r="I5" s="24" t="n">
        <x:v>-0.0016566518784747464</x:v>
      </x:c>
      <x:c r="J5" s="26" t="n">
        <x:f>ROUND(E5-F5,1)</x:f>
        <x:v>216</x:v>
      </x:c>
      <x:c r="K5" s="22" t="str">
        <x:v>IC2612</x:v>
      </x:c>
    </x:row>
    <x:row r="6">
      <x:c r="A6" s="22" t="n">
        <x:v>3</x:v>
      </x:c>
      <x:c r="B6" s="22" t="str">
        <x:v>周一</x:v>
      </x:c>
      <x:c r="C6" s="22" t="str">
        <x:v>10月12日</x:v>
      </x:c>
      <x:c r="D6" s="23" t="n">
        <x:v>7076.6</x:v>
      </x:c>
      <x:c r="E6" s="23" t="n">
        <x:v>7115.6</x:v>
      </x:c>
      <x:c r="F6" s="23" t="n">
        <x:v>6943.6</x:v>
      </x:c>
      <x:c r="G6" s="23" t="n">
        <x:v>6986</x:v>
      </x:c>
      <x:c r="H6" s="23" t="n">
        <x:v>-125</x:v>
      </x:c>
      <x:c r="I6" s="24" t="n">
        <x:v>-0.017578399662494748</x:v>
      </x:c>
      <x:c r="J6" s="26" t="n">
        <x:f>ROUND(E6-F6,1)</x:f>
        <x:v>172</x:v>
      </x:c>
      <x:c r="K6" s="22" t="str">
        <x:v>IC2612</x:v>
      </x:c>
    </x:row>
    <x:row r="7">
      <x:c r="A7" s="22" t="n">
        <x:v>4</x:v>
      </x:c>
      <x:c r="B7" s="22" t="str">
        <x:v>周二</x:v>
      </x:c>
      <x:c r="C7" s="22" t="str">
        <x:v>10月13日</x:v>
      </x:c>
      <x:c r="D7" s="23" t="n">
        <x:v>6830</x:v>
      </x:c>
      <x:c r="E7" s="23" t="n">
        <x:v>7029.2</x:v>
      </x:c>
      <x:c r="F7" s="23" t="n">
        <x:v>6778.4</x:v>
      </x:c>
      <x:c r="G7" s="23" t="n">
        <x:v>6962.2</x:v>
      </x:c>
      <x:c r="H7" s="23" t="n">
        <x:v>-23.8</x:v>
      </x:c>
      <x:c r="I7" s="24" t="n">
        <x:v>-0.00340681362725459</x:v>
      </x:c>
      <x:c r="J7" s="26" t="n">
        <x:f>ROUND(E7-F7,1)</x:f>
        <x:v>250.8</x:v>
      </x:c>
      <x:c r="K7" s="22" t="str">
        <x:v>IC2612</x:v>
      </x:c>
    </x:row>
    <x:row r="8">
      <x:c r="A8" s="22" t="n">
        <x:v>5</x:v>
      </x:c>
      <x:c r="B8" s="22" t="str">
        <x:v>周三</x:v>
      </x:c>
      <x:c r="C8" s="22" t="str">
        <x:v>10月14日</x:v>
      </x:c>
      <x:c r="D8" s="23" t="n">
        <x:v>6952</x:v>
      </x:c>
      <x:c r="E8" s="23" t="n">
        <x:v>6994.8</x:v>
      </x:c>
      <x:c r="F8" s="23" t="n">
        <x:v>6828.6</x:v>
      </x:c>
      <x:c r="G8" s="23" t="n">
        <x:v>6874.6</x:v>
      </x:c>
      <x:c r="H8" s="23" t="n">
        <x:v>-87.6</x:v>
      </x:c>
      <x:c r="I8" s="24" t="n">
        <x:v>-0.012582229754962482</x:v>
      </x:c>
      <x:c r="J8" s="26" t="n">
        <x:f>ROUND(E8-F8,1)</x:f>
        <x:v>166.2</x:v>
      </x:c>
      <x:c r="K8" s="22" t="str">
        <x:v>IC2612</x:v>
      </x:c>
    </x:row>
    <x:row r="9">
      <x:c r="A9" s="22" t="n">
        <x:v>6</x:v>
      </x:c>
      <x:c r="B9" s="22" t="str">
        <x:v>周四</x:v>
      </x:c>
      <x:c r="C9" s="22" t="str">
        <x:v>10月15日</x:v>
      </x:c>
      <x:c r="D9" s="23" t="n">
        <x:v>6700</x:v>
      </x:c>
      <x:c r="E9" s="23" t="n">
        <x:v>6769</x:v>
      </x:c>
      <x:c r="F9" s="23" t="n">
        <x:v>6583.2</x:v>
      </x:c>
      <x:c r="G9" s="23" t="n">
        <x:v>6638.2</x:v>
      </x:c>
      <x:c r="H9" s="28" t="n">
        <x:v>-236.4</x:v>
      </x:c>
      <x:c r="I9" s="24" t="n">
        <x:v>-0.03438745527012488</x:v>
      </x:c>
      <x:c r="J9" s="26" t="n">
        <x:f>ROUND(E9-F9,1)</x:f>
        <x:v>185.8</x:v>
      </x:c>
      <x:c r="K9" s="22" t="str">
        <x:v>IC2612</x:v>
      </x:c>
    </x:row>
    <x:row r="10">
      <x:c r="A10" s="41" t="n">
        <x:v>7</x:v>
      </x:c>
      <x:c r="B10" s="41" t="str">
        <x:v>周五</x:v>
      </x:c>
      <x:c r="C10" s="41" t="str">
        <x:v>10月16日</x:v>
      </x:c>
      <x:c r="D10" s="42" t="n">
        <x:v>6738</x:v>
      </x:c>
      <x:c r="E10" s="42" t="n">
        <x:v>6810</x:v>
      </x:c>
      <x:c r="F10" s="42" t="n">
        <x:v>6598.2</x:v>
      </x:c>
      <x:c r="G10" s="42" t="n">
        <x:v>6667.8</x:v>
      </x:c>
      <x:c r="H10" s="42" t="n">
        <x:v>29.6</x:v>
      </x:c>
      <x:c r="I10" s="43" t="n">
        <x:v>0.0044590401012323255</x:v>
      </x:c>
      <x:c r="J10" s="26" t="n">
        <x:f>ROUND(E10-F10,1)</x:f>
        <x:v>211.8</x:v>
      </x:c>
      <x:c r="K10" s="41" t="str">
        <x:v>IC2612</x:v>
      </x:c>
    </x:row>
    <x:row r="11">
      <x:c r="A11" s="22" t="n">
        <x:v>8</x:v>
      </x:c>
      <x:c r="B11" s="22" t="str">
        <x:v>周一</x:v>
      </x:c>
      <x:c r="C11" s="22" t="str">
        <x:v>10月19日</x:v>
      </x:c>
      <x:c r="D11" s="23" t="n">
        <x:v>6670.2</x:v>
      </x:c>
      <x:c r="E11" s="23" t="n">
        <x:v>6779.4</x:v>
      </x:c>
      <x:c r="F11" s="23" t="n">
        <x:v>6608.2</x:v>
      </x:c>
      <x:c r="G11" s="23" t="n">
        <x:v>6719.8</x:v>
      </x:c>
      <x:c r="H11" s="23" t="n">
        <x:v>52</x:v>
      </x:c>
      <x:c r="I11" s="24" t="n">
        <x:v>0.007798674225381719</x:v>
      </x:c>
      <x:c r="J11" s="26" t="n">
        <x:f>ROUND(E11-F11,1)</x:f>
        <x:v>171.2</x:v>
      </x:c>
      <x:c r="K11" s="22" t="str">
        <x:v>IC2612</x:v>
      </x:c>
    </x:row>
    <x:row r="12">
      <x:c r="A12" s="22" t="n">
        <x:v>9</x:v>
      </x:c>
      <x:c r="B12" s="22" t="str">
        <x:v>周二</x:v>
      </x:c>
      <x:c r="C12" s="22" t="str">
        <x:v>10月20日</x:v>
      </x:c>
      <x:c r="D12" s="23" t="n">
        <x:v>6666</x:v>
      </x:c>
      <x:c r="E12" s="23" t="n">
        <x:v>6828</x:v>
      </x:c>
      <x:c r="F12" s="23" t="n">
        <x:v>6645</x:v>
      </x:c>
      <x:c r="G12" s="23" t="n">
        <x:v>6737.8</x:v>
      </x:c>
      <x:c r="H12" s="23" t="n">
        <x:v>18</x:v>
      </x:c>
      <x:c r="I12" s="24" t="n">
        <x:v>0.0026786511503318344</x:v>
      </x:c>
      <x:c r="J12" s="26" t="n">
        <x:f>ROUND(E12-F12,1)</x:f>
        <x:v>183</x:v>
      </x:c>
      <x:c r="K12" s="22" t="str">
        <x:v>IC2612</x:v>
      </x:c>
    </x:row>
    <x:row r="13">
      <x:c r="A13" s="22" t="n">
        <x:v>10</x:v>
      </x:c>
      <x:c r="B13" s="22" t="str">
        <x:v>周三</x:v>
      </x:c>
      <x:c r="C13" s="22" t="str">
        <x:v>10月21日</x:v>
      </x:c>
      <x:c r="D13" s="23" t="n">
        <x:v>6800</x:v>
      </x:c>
      <x:c r="E13" s="23" t="n">
        <x:v>6864</x:v>
      </x:c>
      <x:c r="F13" s="23" t="n">
        <x:v>6726</x:v>
      </x:c>
      <x:c r="G13" s="23" t="n">
        <x:v>6735</x:v>
      </x:c>
      <x:c r="H13" s="23" t="n">
        <x:v>-2.8</x:v>
      </x:c>
      <x:c r="I13" s="24" t="n">
        <x:v>-0.0004155659117219823</x:v>
      </x:c>
      <x:c r="J13" s="23" t="n">
        <x:f>ROUND(E13-F13,1)</x:f>
        <x:v>138</x:v>
      </x:c>
      <x:c r="K13" s="22" t="str">
        <x:v>IC2612</x:v>
      </x:c>
    </x:row>
    <x:row r="14">
      <x:c r="A14" s="22" t="n">
        <x:v>11</x:v>
      </x:c>
      <x:c r="B14" s="22" t="str">
        <x:v>周四</x:v>
      </x:c>
      <x:c r="C14" s="22" t="str">
        <x:v>10月22日</x:v>
      </x:c>
      <x:c r="D14" s="23" t="n">
        <x:v>6741.8</x:v>
      </x:c>
      <x:c r="E14" s="23" t="n">
        <x:v>6753.6</x:v>
      </x:c>
      <x:c r="F14" s="23" t="n">
        <x:v>6543</x:v>
      </x:c>
      <x:c r="G14" s="23" t="n">
        <x:v>6543</x:v>
      </x:c>
      <x:c r="H14" s="28" t="n">
        <x:v>-192</x:v>
      </x:c>
      <x:c r="I14" s="24" t="n">
        <x:v>-0.02850779510022272</x:v>
      </x:c>
      <x:c r="J14" s="26" t="n">
        <x:f>ROUND(E14-F14,1)</x:f>
        <x:v>210.6</x:v>
      </x:c>
      <x:c r="K14" s="22" t="str">
        <x:v>IC2612</x:v>
      </x:c>
    </x:row>
    <x:row r="15">
      <x:c r="A15" s="22" t="n">
        <x:v>12</x:v>
      </x:c>
      <x:c r="B15" s="22" t="str">
        <x:v>周五</x:v>
      </x:c>
      <x:c r="C15" s="22" t="str">
        <x:v>10月23日</x:v>
      </x:c>
      <x:c r="D15" s="23" t="n">
        <x:v>6500</x:v>
      </x:c>
      <x:c r="E15" s="23" t="n">
        <x:v>6766.6</x:v>
      </x:c>
      <x:c r="F15" s="23" t="n">
        <x:v>6340</x:v>
      </x:c>
      <x:c r="G15" s="23" t="n">
        <x:v>6742</x:v>
      </x:c>
      <x:c r="H15" s="28" t="n">
        <x:v>199</x:v>
      </x:c>
      <x:c r="I15" s="24" t="n">
        <x:v>0.03041418309643884</x:v>
      </x:c>
      <x:c r="J15" s="26" t="n">
        <x:f>ROUND(E15-F15,1)</x:f>
        <x:v>426.6</x:v>
      </x:c>
      <x:c r="K15" s="22" t="str">
        <x:v>IC2612</x:v>
      </x:c>
    </x:row>
    <x:row r="16">
      <x:c r="A16" s="22" t="n">
        <x:v>13</x:v>
      </x:c>
      <x:c r="B16" s="22" t="str">
        <x:v>周一</x:v>
      </x:c>
      <x:c r="C16" s="22" t="str">
        <x:v>10月26日</x:v>
      </x:c>
      <x:c r="D16" s="23" t="n">
        <x:v>6700</x:v>
      </x:c>
      <x:c r="E16" s="23" t="n">
        <x:v>6711.4</x:v>
      </x:c>
      <x:c r="F16" s="23" t="n">
        <x:v>6573.6</x:v>
      </x:c>
      <x:c r="G16" s="23" t="n">
        <x:v>6637</x:v>
      </x:c>
      <x:c r="H16" s="23" t="n">
        <x:v>-105</x:v>
      </x:c>
      <x:c r="I16" s="24" t="n">
        <x:v>-0.015574013645802465</x:v>
      </x:c>
      <x:c r="J16" s="23" t="n">
        <x:f>ROUND(E16-F16,1)</x:f>
        <x:v>137.8</x:v>
      </x:c>
      <x:c r="K16" s="22" t="str">
        <x:v>IC2612</x:v>
      </x:c>
    </x:row>
    <x:row r="17">
      <x:c r="A17" s="22" t="n">
        <x:v>14</x:v>
      </x:c>
      <x:c r="B17" s="22" t="str">
        <x:v>周二</x:v>
      </x:c>
      <x:c r="C17" s="22" t="str">
        <x:v>10月27日</x:v>
      </x:c>
      <x:c r="D17" s="23" t="n">
        <x:v>6700</x:v>
      </x:c>
      <x:c r="E17" s="23" t="n">
        <x:v>6732.2</x:v>
      </x:c>
      <x:c r="F17" s="23" t="n">
        <x:v>6405.6</x:v>
      </x:c>
      <x:c r="G17" s="23" t="n">
        <x:v>6407.6</x:v>
      </x:c>
      <x:c r="H17" s="28" t="n">
        <x:v>-229.4</x:v>
      </x:c>
      <x:c r="I17" s="24" t="n">
        <x:v>-0.03456380894982669</x:v>
      </x:c>
      <x:c r="J17" s="26" t="n">
        <x:f>ROUND(E17-F17,1)</x:f>
        <x:v>326.6</x:v>
      </x:c>
      <x:c r="K17" s="22" t="str">
        <x:v>IC2612</x:v>
      </x:c>
    </x:row>
    <x:row r="20">
      <x:c r="A20" s="31" t="str">
        <x:v>合计</x:v>
      </x:c>
      <x:c r="B20" s="30" t="n">
        <x:v>14</x:v>
      </x:c>
      <x:c r="C20" s="30"/>
      <x:c r="D20" s="30"/>
      <x:c r="E20" s="30"/>
      <x:c r="F20" s="30"/>
      <x:c r="G20" s="30"/>
      <x:c r="H20" s="30"/>
      <x:c r="I20" s="30"/>
      <x:c r="J20" s="32" t="n">
        <x:f>SUM(J4:J17)</x:f>
        <x:v>3095</x:v>
      </x:c>
      <x:c r="K20" s="30"/>
    </x:row>
    <x:row r="21">
      <x:c r="A21" s="31" t="str">
        <x:v>均值</x:v>
      </x:c>
      <x:c r="B21" s="30"/>
      <x:c r="C21" s="30"/>
      <x:c r="D21" s="30"/>
      <x:c r="E21" s="30"/>
      <x:c r="F21" s="30"/>
      <x:c r="G21" s="30"/>
      <x:c r="H21" s="30"/>
      <x:c r="I21" s="30"/>
      <x:c r="J21" s="34" t="n">
        <x:f>ROUND(IFERROR(AVERAGE(J4:J17),0),1)</x:f>
        <x:v>221.1</x:v>
      </x:c>
      <x:c r="K21" s="30"/>
    </x:row>
  </x:sheetData>
  <x:mergeCells>
    <x:mergeCell ref="A1:K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0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4" hidden="0" customWidth="1"/>
  </x:cols>
  <x:sheetData>
    <x:row r="1" ht="38" customHeight="1">
      <x:c r="A1" s="15" t="str">
        <x:v>2026年10月统计 - IF主力</x:v>
      </x:c>
    </x:row>
    <x:row r="3">
      <x:c r="A3" s="20" t="str">
        <x:v>序号</x:v>
      </x:c>
      <x:c r="B3" s="20" t="str">
        <x:v>星期</x:v>
      </x:c>
      <x:c r="C3" s="20" t="str">
        <x:v>日期</x:v>
      </x:c>
      <x:c r="D3" s="20" t="str">
        <x:v>开盘</x:v>
      </x:c>
      <x:c r="E3" s="20" t="str">
        <x:v>高点</x:v>
      </x:c>
      <x:c r="F3" s="20" t="str">
        <x:v>低点</x:v>
      </x:c>
      <x:c r="G3" s="20" t="str">
        <x:v>收盘</x:v>
      </x:c>
      <x:c r="H3" s="20" t="str">
        <x:v>涨跌点数</x:v>
      </x:c>
      <x:c r="I3" s="20" t="str">
        <x:v>涨幅</x:v>
      </x:c>
      <x:c r="J3" s="20" t="str">
        <x:v>振幅</x:v>
      </x:c>
      <x:c r="K3" s="20" t="str">
        <x:v>标的</x:v>
      </x:c>
    </x:row>
    <x:row r="4">
      <x:c r="A4" s="22" t="n">
        <x:v>1</x:v>
      </x:c>
      <x:c r="B4" s="22" t="str">
        <x:v>周四</x:v>
      </x:c>
      <x:c r="C4" s="22" t="str">
        <x:v>10月8日</x:v>
      </x:c>
      <x:c r="D4" s="23" t="n">
        <x:v>4300.8</x:v>
      </x:c>
      <x:c r="E4" s="23" t="n">
        <x:v>4331.6</x:v>
      </x:c>
      <x:c r="F4" s="23" t="n">
        <x:v>4218.6</x:v>
      </x:c>
      <x:c r="G4" s="23" t="n">
        <x:v>4248</x:v>
      </x:c>
      <x:c r="H4" s="23" t="n">
        <x:v>-52.8</x:v>
      </x:c>
      <x:c r="I4" s="24" t="n">
        <x:v>-0.01227678571428581</x:v>
      </x:c>
      <x:c r="J4" s="26" t="n">
        <x:f>ROUND(E4-F4,1)</x:f>
        <x:v>113</x:v>
      </x:c>
      <x:c r="K4" s="22" t="str">
        <x:v>IF2612</x:v>
      </x:c>
    </x:row>
    <x:row r="5">
      <x:c r="A5" s="22" t="n">
        <x:v>2</x:v>
      </x:c>
      <x:c r="B5" s="22" t="str">
        <x:v>周五</x:v>
      </x:c>
      <x:c r="C5" s="22" t="str">
        <x:v>10月9日</x:v>
      </x:c>
      <x:c r="D5" s="23" t="n">
        <x:v>4237.6</x:v>
      </x:c>
      <x:c r="E5" s="23" t="n">
        <x:v>4264.6</x:v>
      </x:c>
      <x:c r="F5" s="23" t="n">
        <x:v>4180.4</x:v>
      </x:c>
      <x:c r="G5" s="23" t="n">
        <x:v>4244.8</x:v>
      </x:c>
      <x:c r="H5" s="23" t="n">
        <x:v>-3.2</x:v>
      </x:c>
      <x:c r="I5" s="24" t="n">
        <x:v>-0.0007532956685498693</x:v>
      </x:c>
      <x:c r="J5" s="23" t="n">
        <x:f>ROUND(E5-F5,1)</x:f>
        <x:v>84.2</x:v>
      </x:c>
      <x:c r="K5" s="22" t="str">
        <x:v>IF2612</x:v>
      </x:c>
    </x:row>
    <x:row r="6">
      <x:c r="A6" s="22" t="n">
        <x:v>3</x:v>
      </x:c>
      <x:c r="B6" s="22" t="str">
        <x:v>周一</x:v>
      </x:c>
      <x:c r="C6" s="22" t="str">
        <x:v>10月12日</x:v>
      </x:c>
      <x:c r="D6" s="23" t="n">
        <x:v>4240.4</x:v>
      </x:c>
      <x:c r="E6" s="23" t="n">
        <x:v>4273.6</x:v>
      </x:c>
      <x:c r="F6" s="23" t="n">
        <x:v>4213.8</x:v>
      </x:c>
      <x:c r="G6" s="23" t="n">
        <x:v>4233.6</x:v>
      </x:c>
      <x:c r="H6" s="23" t="n">
        <x:v>-11.2</x:v>
      </x:c>
      <x:c r="I6" s="24" t="n">
        <x:v>-0.0026385224274405594</x:v>
      </x:c>
      <x:c r="J6" s="23" t="n">
        <x:f>ROUND(E6-F6,1)</x:f>
        <x:v>59.8</x:v>
      </x:c>
      <x:c r="K6" s="22" t="str">
        <x:v>IF2612</x:v>
      </x:c>
    </x:row>
    <x:row r="7">
      <x:c r="A7" s="22" t="n">
        <x:v>4</x:v>
      </x:c>
      <x:c r="B7" s="22" t="str">
        <x:v>周二</x:v>
      </x:c>
      <x:c r="C7" s="22" t="str">
        <x:v>10月13日</x:v>
      </x:c>
      <x:c r="D7" s="23" t="n">
        <x:v>4183.2</x:v>
      </x:c>
      <x:c r="E7" s="23" t="n">
        <x:v>4257.4</x:v>
      </x:c>
      <x:c r="F7" s="23" t="n">
        <x:v>4151</x:v>
      </x:c>
      <x:c r="G7" s="23" t="n">
        <x:v>4217.6</x:v>
      </x:c>
      <x:c r="H7" s="23" t="n">
        <x:v>-16</x:v>
      </x:c>
      <x:c r="I7" s="24" t="n">
        <x:v>-0.0037792894935751997</x:v>
      </x:c>
      <x:c r="J7" s="26" t="n">
        <x:f>ROUND(E7-F7,1)</x:f>
        <x:v>106.4</x:v>
      </x:c>
      <x:c r="K7" s="22" t="str">
        <x:v>IF2612</x:v>
      </x:c>
    </x:row>
    <x:row r="8">
      <x:c r="A8" s="22" t="n">
        <x:v>5</x:v>
      </x:c>
      <x:c r="B8" s="22" t="str">
        <x:v>周三</x:v>
      </x:c>
      <x:c r="C8" s="22" t="str">
        <x:v>10月14日</x:v>
      </x:c>
      <x:c r="D8" s="23" t="n">
        <x:v>4203</x:v>
      </x:c>
      <x:c r="E8" s="23" t="n">
        <x:v>4217.6</x:v>
      </x:c>
      <x:c r="F8" s="23" t="n">
        <x:v>4141</x:v>
      </x:c>
      <x:c r="G8" s="23" t="n">
        <x:v>4160.6</x:v>
      </x:c>
      <x:c r="H8" s="23" t="n">
        <x:v>-57</x:v>
      </x:c>
      <x:c r="I8" s="24" t="n">
        <x:v>-0.013514795144157765</x:v>
      </x:c>
      <x:c r="J8" s="23" t="n">
        <x:f>ROUND(E8-F8,1)</x:f>
        <x:v>76.6</x:v>
      </x:c>
      <x:c r="K8" s="22" t="str">
        <x:v>IF2612</x:v>
      </x:c>
    </x:row>
    <x:row r="9">
      <x:c r="A9" s="22" t="n">
        <x:v>6</x:v>
      </x:c>
      <x:c r="B9" s="22" t="str">
        <x:v>周四</x:v>
      </x:c>
      <x:c r="C9" s="22" t="str">
        <x:v>10月15日</x:v>
      </x:c>
      <x:c r="D9" s="23" t="n">
        <x:v>4100</x:v>
      </x:c>
      <x:c r="E9" s="23" t="n">
        <x:v>4113</x:v>
      </x:c>
      <x:c r="F9" s="23" t="n">
        <x:v>4045.2</x:v>
      </x:c>
      <x:c r="G9" s="23" t="n">
        <x:v>4092.6</x:v>
      </x:c>
      <x:c r="H9" s="23" t="n">
        <x:v>-68</x:v>
      </x:c>
      <x:c r="I9" s="24" t="n">
        <x:v>-0.016343796567802826</x:v>
      </x:c>
      <x:c r="J9" s="23" t="n">
        <x:f>ROUND(E9-F9,1)</x:f>
        <x:v>67.8</x:v>
      </x:c>
      <x:c r="K9" s="22" t="str">
        <x:v>IF2612</x:v>
      </x:c>
    </x:row>
    <x:row r="10">
      <x:c r="A10" s="41" t="n">
        <x:v>7</x:v>
      </x:c>
      <x:c r="B10" s="41" t="str">
        <x:v>周五</x:v>
      </x:c>
      <x:c r="C10" s="41" t="str">
        <x:v>10月16日</x:v>
      </x:c>
      <x:c r="D10" s="42" t="n">
        <x:v>4127</x:v>
      </x:c>
      <x:c r="E10" s="42" t="n">
        <x:v>4147</x:v>
      </x:c>
      <x:c r="F10" s="42" t="n">
        <x:v>4052</x:v>
      </x:c>
      <x:c r="G10" s="42" t="n">
        <x:v>4088.8</x:v>
      </x:c>
      <x:c r="H10" s="42" t="n">
        <x:v>-3.8</x:v>
      </x:c>
      <x:c r="I10" s="43" t="n">
        <x:v>-0.0009285051067779992</x:v>
      </x:c>
      <x:c r="J10" s="26" t="n">
        <x:f>ROUND(E10-F10,1)</x:f>
        <x:v>95</x:v>
      </x:c>
      <x:c r="K10" s="41" t="str">
        <x:v>IF2612</x:v>
      </x:c>
    </x:row>
    <x:row r="11">
      <x:c r="A11" s="22" t="n">
        <x:v>8</x:v>
      </x:c>
      <x:c r="B11" s="22" t="str">
        <x:v>周一</x:v>
      </x:c>
      <x:c r="C11" s="22" t="str">
        <x:v>10月19日</x:v>
      </x:c>
      <x:c r="D11" s="23" t="n">
        <x:v>4086.4</x:v>
      </x:c>
      <x:c r="E11" s="23" t="n">
        <x:v>4140.2</x:v>
      </x:c>
      <x:c r="F11" s="23" t="n">
        <x:v>4082</x:v>
      </x:c>
      <x:c r="G11" s="23" t="n">
        <x:v>4110.4</x:v>
      </x:c>
      <x:c r="H11" s="23" t="n">
        <x:v>21.6</x:v>
      </x:c>
      <x:c r="I11" s="24" t="n">
        <x:v>0.00528272353746817</x:v>
      </x:c>
      <x:c r="J11" s="23" t="n">
        <x:f>ROUND(E11-F11,1)</x:f>
        <x:v>58.2</x:v>
      </x:c>
      <x:c r="K11" s="22" t="str">
        <x:v>IF2612</x:v>
      </x:c>
    </x:row>
    <x:row r="12">
      <x:c r="A12" s="22" t="n">
        <x:v>9</x:v>
      </x:c>
      <x:c r="B12" s="22" t="str">
        <x:v>周二</x:v>
      </x:c>
      <x:c r="C12" s="22" t="str">
        <x:v>10月20日</x:v>
      </x:c>
      <x:c r="D12" s="23" t="n">
        <x:v>4104</x:v>
      </x:c>
      <x:c r="E12" s="23" t="n">
        <x:v>4123.2</x:v>
      </x:c>
      <x:c r="F12" s="23" t="n">
        <x:v>4049</x:v>
      </x:c>
      <x:c r="G12" s="23" t="n">
        <x:v>4082.8</x:v>
      </x:c>
      <x:c r="H12" s="23" t="n">
        <x:v>-27.6</x:v>
      </x:c>
      <x:c r="I12" s="24" t="n">
        <x:v>-0.006714674970805579</x:v>
      </x:c>
      <x:c r="J12" s="23" t="n">
        <x:f>ROUND(E12-F12,1)</x:f>
        <x:v>74.2</x:v>
      </x:c>
      <x:c r="K12" s="22" t="str">
        <x:v>IF2612</x:v>
      </x:c>
    </x:row>
    <x:row r="13">
      <x:c r="A13" s="22" t="n">
        <x:v>10</x:v>
      </x:c>
      <x:c r="B13" s="22" t="str">
        <x:v>周三</x:v>
      </x:c>
      <x:c r="C13" s="22" t="str">
        <x:v>10月21日</x:v>
      </x:c>
      <x:c r="D13" s="23" t="n">
        <x:v>4100</x:v>
      </x:c>
      <x:c r="E13" s="23" t="n">
        <x:v>4107</x:v>
      </x:c>
      <x:c r="F13" s="23" t="n">
        <x:v>4038</x:v>
      </x:c>
      <x:c r="G13" s="23" t="n">
        <x:v>4047.6</x:v>
      </x:c>
      <x:c r="H13" s="23" t="n">
        <x:v>-35.2</x:v>
      </x:c>
      <x:c r="I13" s="24" t="n">
        <x:v>-0.00862153424120704</x:v>
      </x:c>
      <x:c r="J13" s="23" t="n">
        <x:f>ROUND(E13-F13,1)</x:f>
        <x:v>69</x:v>
      </x:c>
      <x:c r="K13" s="22" t="str">
        <x:v>IF2612</x:v>
      </x:c>
    </x:row>
    <x:row r="14">
      <x:c r="A14" s="22" t="n">
        <x:v>11</x:v>
      </x:c>
      <x:c r="B14" s="22" t="str">
        <x:v>周四</x:v>
      </x:c>
      <x:c r="C14" s="22" t="str">
        <x:v>10月22日</x:v>
      </x:c>
      <x:c r="D14" s="23" t="n">
        <x:v>4060</x:v>
      </x:c>
      <x:c r="E14" s="23" t="n">
        <x:v>4060</x:v>
      </x:c>
      <x:c r="F14" s="23" t="n">
        <x:v>3959</x:v>
      </x:c>
      <x:c r="G14" s="23" t="n">
        <x:v>3970</x:v>
      </x:c>
      <x:c r="H14" s="23" t="n">
        <x:v>-77.6</x:v>
      </x:c>
      <x:c r="I14" s="24" t="n">
        <x:v>-0.019171854926376075</x:v>
      </x:c>
      <x:c r="J14" s="26" t="n">
        <x:f>ROUND(E14-F14,1)</x:f>
        <x:v>101</x:v>
      </x:c>
      <x:c r="K14" s="22" t="str">
        <x:v>IF2612</x:v>
      </x:c>
    </x:row>
    <x:row r="15">
      <x:c r="A15" s="22" t="n">
        <x:v>12</x:v>
      </x:c>
      <x:c r="B15" s="22" t="str">
        <x:v>周五</x:v>
      </x:c>
      <x:c r="C15" s="22" t="str">
        <x:v>10月23日</x:v>
      </x:c>
      <x:c r="D15" s="23" t="n">
        <x:v>3941.8</x:v>
      </x:c>
      <x:c r="E15" s="23" t="n">
        <x:v>4063</x:v>
      </x:c>
      <x:c r="F15" s="23" t="n">
        <x:v>3897.6</x:v>
      </x:c>
      <x:c r="G15" s="23" t="n">
        <x:v>4055</x:v>
      </x:c>
      <x:c r="H15" s="23" t="n">
        <x:v>85</x:v>
      </x:c>
      <x:c r="I15" s="24" t="n">
        <x:v>0.021410579345088054</x:v>
      </x:c>
      <x:c r="J15" s="26" t="n">
        <x:f>ROUND(E15-F15,1)</x:f>
        <x:v>165.4</x:v>
      </x:c>
      <x:c r="K15" s="22" t="str">
        <x:v>IF2612</x:v>
      </x:c>
    </x:row>
    <x:row r="16">
      <x:c r="A16" s="22" t="n">
        <x:v>13</x:v>
      </x:c>
      <x:c r="B16" s="22" t="str">
        <x:v>周一</x:v>
      </x:c>
      <x:c r="C16" s="22" t="str">
        <x:v>10月26日</x:v>
      </x:c>
      <x:c r="D16" s="23" t="n">
        <x:v>4034</x:v>
      </x:c>
      <x:c r="E16" s="23" t="n">
        <x:v>4049.8</x:v>
      </x:c>
      <x:c r="F16" s="23" t="n">
        <x:v>3996.4</x:v>
      </x:c>
      <x:c r="G16" s="23" t="n">
        <x:v>4049</x:v>
      </x:c>
      <x:c r="H16" s="23" t="n">
        <x:v>-6</x:v>
      </x:c>
      <x:c r="I16" s="24" t="n">
        <x:v>-0.0014796547472256671</x:v>
      </x:c>
      <x:c r="J16" s="23" t="n">
        <x:f>ROUND(E16-F16,1)</x:f>
        <x:v>53.4</x:v>
      </x:c>
      <x:c r="K16" s="22" t="str">
        <x:v>IF2612</x:v>
      </x:c>
    </x:row>
    <x:row r="17">
      <x:c r="A17" s="22" t="n">
        <x:v>14</x:v>
      </x:c>
      <x:c r="B17" s="22" t="str">
        <x:v>周二</x:v>
      </x:c>
      <x:c r="C17" s="22" t="str">
        <x:v>10月27日</x:v>
      </x:c>
      <x:c r="D17" s="23" t="n">
        <x:v>4059.6</x:v>
      </x:c>
      <x:c r="E17" s="23" t="n">
        <x:v>4066.6</x:v>
      </x:c>
      <x:c r="F17" s="23" t="n">
        <x:v>3989.8</x:v>
      </x:c>
      <x:c r="G17" s="23" t="n">
        <x:v>3991.2</x:v>
      </x:c>
      <x:c r="H17" s="23" t="n">
        <x:v>-57.8</x:v>
      </x:c>
      <x:c r="I17" s="24" t="n">
        <x:v>-0.014275129661644903</x:v>
      </x:c>
      <x:c r="J17" s="23" t="n">
        <x:f>ROUND(E17-F17,1)</x:f>
        <x:v>76.8</x:v>
      </x:c>
      <x:c r="K17" s="22" t="str">
        <x:v>IF2612</x:v>
      </x:c>
    </x:row>
    <x:row r="20">
      <x:c r="A20" s="31" t="str">
        <x:v>合计</x:v>
      </x:c>
      <x:c r="B20" s="30" t="n">
        <x:v>14</x:v>
      </x:c>
      <x:c r="C20" s="30"/>
      <x:c r="D20" s="30"/>
      <x:c r="E20" s="30"/>
      <x:c r="F20" s="30"/>
      <x:c r="G20" s="30"/>
      <x:c r="H20" s="30"/>
      <x:c r="I20" s="30"/>
      <x:c r="J20" s="32" t="n">
        <x:f>SUM(J4:J17)</x:f>
        <x:v>1200.8000000000002</x:v>
      </x:c>
      <x:c r="K20" s="30"/>
    </x:row>
    <x:row r="21">
      <x:c r="A21" s="31" t="str">
        <x:v>均值</x:v>
      </x:c>
      <x:c r="B21" s="30"/>
      <x:c r="C21" s="30"/>
      <x:c r="D21" s="30"/>
      <x:c r="E21" s="30"/>
      <x:c r="F21" s="30"/>
      <x:c r="G21" s="30"/>
      <x:c r="H21" s="30"/>
      <x:c r="I21" s="30"/>
      <x:c r="J21" s="34" t="n">
        <x:f>ROUND(IFERROR(AVERAGE(J4:J17),0),1)</x:f>
        <x:v>85.8</x:v>
      </x:c>
      <x:c r="K21" s="30"/>
    </x:row>
  </x:sheetData>
  <x:mergeCells>
    <x:mergeCell ref="A1:K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0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4" hidden="0" customWidth="1"/>
  </x:cols>
  <x:sheetData>
    <x:row r="1" ht="38" customHeight="1">
      <x:c r="A1" s="15" t="str">
        <x:v>2026年10月统计 - IH主力</x:v>
      </x:c>
    </x:row>
    <x:row r="3">
      <x:c r="A3" s="20" t="str">
        <x:v>序号</x:v>
      </x:c>
      <x:c r="B3" s="20" t="str">
        <x:v>星期</x:v>
      </x:c>
      <x:c r="C3" s="20" t="str">
        <x:v>日期</x:v>
      </x:c>
      <x:c r="D3" s="20" t="str">
        <x:v>开盘</x:v>
      </x:c>
      <x:c r="E3" s="20" t="str">
        <x:v>高点</x:v>
      </x:c>
      <x:c r="F3" s="20" t="str">
        <x:v>低点</x:v>
      </x:c>
      <x:c r="G3" s="20" t="str">
        <x:v>收盘</x:v>
      </x:c>
      <x:c r="H3" s="20" t="str">
        <x:v>涨跌点数</x:v>
      </x:c>
      <x:c r="I3" s="20" t="str">
        <x:v>涨幅</x:v>
      </x:c>
      <x:c r="J3" s="20" t="str">
        <x:v>振幅</x:v>
      </x:c>
      <x:c r="K3" s="20" t="str">
        <x:v>标的</x:v>
      </x:c>
    </x:row>
    <x:row r="4">
      <x:c r="A4" s="22" t="n">
        <x:v>1</x:v>
      </x:c>
      <x:c r="B4" s="22" t="str">
        <x:v>周四</x:v>
      </x:c>
      <x:c r="C4" s="22" t="str">
        <x:v>10月8日</x:v>
      </x:c>
      <x:c r="D4" s="23" t="n">
        <x:v>2764</x:v>
      </x:c>
      <x:c r="E4" s="23" t="n">
        <x:v>2798.4</x:v>
      </x:c>
      <x:c r="F4" s="23" t="n">
        <x:v>2747.4</x:v>
      </x:c>
      <x:c r="G4" s="23" t="n">
        <x:v>2764.4</x:v>
      </x:c>
      <x:c r="H4" s="23" t="n">
        <x:v>-14.4</x:v>
      </x:c>
      <x:c r="I4" s="24" t="n">
        <x:v>-0.005182092989779785</x:v>
      </x:c>
      <x:c r="J4" s="23" t="n">
        <x:f>ROUND(E4-F4,1)</x:f>
        <x:v>51</x:v>
      </x:c>
      <x:c r="K4" s="22" t="str">
        <x:v>IH2612</x:v>
      </x:c>
    </x:row>
    <x:row r="5">
      <x:c r="A5" s="22" t="n">
        <x:v>2</x:v>
      </x:c>
      <x:c r="B5" s="22" t="str">
        <x:v>周五</x:v>
      </x:c>
      <x:c r="C5" s="22" t="str">
        <x:v>10月9日</x:v>
      </x:c>
      <x:c r="D5" s="23" t="n">
        <x:v>2759</x:v>
      </x:c>
      <x:c r="E5" s="23" t="n">
        <x:v>2778.6</x:v>
      </x:c>
      <x:c r="F5" s="23" t="n">
        <x:v>2735</x:v>
      </x:c>
      <x:c r="G5" s="23" t="n">
        <x:v>2764</x:v>
      </x:c>
      <x:c r="H5" s="23" t="n">
        <x:v>-0.4</x:v>
      </x:c>
      <x:c r="I5" s="24" t="n">
        <x:v>-0.00014469686007811955</x:v>
      </x:c>
      <x:c r="J5" s="23" t="n">
        <x:f>ROUND(E5-F5,1)</x:f>
        <x:v>43.6</x:v>
      </x:c>
      <x:c r="K5" s="22" t="str">
        <x:v>IH2612</x:v>
      </x:c>
    </x:row>
    <x:row r="6">
      <x:c r="A6" s="22" t="n">
        <x:v>3</x:v>
      </x:c>
      <x:c r="B6" s="22" t="str">
        <x:v>周一</x:v>
      </x:c>
      <x:c r="C6" s="22" t="str">
        <x:v>10月12日</x:v>
      </x:c>
      <x:c r="D6" s="23" t="n">
        <x:v>2762</x:v>
      </x:c>
      <x:c r="E6" s="23" t="n">
        <x:v>2794</x:v>
      </x:c>
      <x:c r="F6" s="23" t="n">
        <x:v>2761.2</x:v>
      </x:c>
      <x:c r="G6" s="23" t="n">
        <x:v>2779</x:v>
      </x:c>
      <x:c r="H6" s="23" t="n">
        <x:v>15</x:v>
      </x:c>
      <x:c r="I6" s="24" t="n">
        <x:v>0.00542691751085389</x:v>
      </x:c>
      <x:c r="J6" s="23" t="n">
        <x:f>ROUND(E6-F6,1)</x:f>
        <x:v>32.8</x:v>
      </x:c>
      <x:c r="K6" s="22" t="str">
        <x:v>IH2612</x:v>
      </x:c>
    </x:row>
    <x:row r="7">
      <x:c r="A7" s="22" t="n">
        <x:v>4</x:v>
      </x:c>
      <x:c r="B7" s="22" t="str">
        <x:v>周二</x:v>
      </x:c>
      <x:c r="C7" s="22" t="str">
        <x:v>10月13日</x:v>
      </x:c>
      <x:c r="D7" s="23" t="n">
        <x:v>2752.2</x:v>
      </x:c>
      <x:c r="E7" s="23" t="n">
        <x:v>2785.4</x:v>
      </x:c>
      <x:c r="F7" s="23" t="n">
        <x:v>2733.8</x:v>
      </x:c>
      <x:c r="G7" s="23" t="n">
        <x:v>2762</x:v>
      </x:c>
      <x:c r="H7" s="23" t="n">
        <x:v>-17</x:v>
      </x:c>
      <x:c r="I7" s="24" t="n">
        <x:v>-0.006117308384310904</x:v>
      </x:c>
      <x:c r="J7" s="23" t="n">
        <x:f>ROUND(E7-F7,1)</x:f>
        <x:v>51.6</x:v>
      </x:c>
      <x:c r="K7" s="22" t="str">
        <x:v>IH2612</x:v>
      </x:c>
    </x:row>
    <x:row r="8">
      <x:c r="A8" s="22" t="n">
        <x:v>5</x:v>
      </x:c>
      <x:c r="B8" s="22" t="str">
        <x:v>周三</x:v>
      </x:c>
      <x:c r="C8" s="22" t="str">
        <x:v>10月14日</x:v>
      </x:c>
      <x:c r="D8" s="23" t="n">
        <x:v>2757.2</x:v>
      </x:c>
      <x:c r="E8" s="23" t="n">
        <x:v>2760.8</x:v>
      </x:c>
      <x:c r="F8" s="23" t="n">
        <x:v>2722.4</x:v>
      </x:c>
      <x:c r="G8" s="23" t="n">
        <x:v>2733.8</x:v>
      </x:c>
      <x:c r="H8" s="23" t="n">
        <x:v>-28.2</x:v>
      </x:c>
      <x:c r="I8" s="24" t="n">
        <x:v>-0.010209992758870357</x:v>
      </x:c>
      <x:c r="J8" s="23" t="n">
        <x:f>ROUND(E8-F8,1)</x:f>
        <x:v>38.4</x:v>
      </x:c>
      <x:c r="K8" s="22" t="str">
        <x:v>IH2612</x:v>
      </x:c>
    </x:row>
    <x:row r="9">
      <x:c r="A9" s="22" t="n">
        <x:v>6</x:v>
      </x:c>
      <x:c r="B9" s="22" t="str">
        <x:v>周四</x:v>
      </x:c>
      <x:c r="C9" s="22" t="str">
        <x:v>10月15日</x:v>
      </x:c>
      <x:c r="D9" s="23" t="n">
        <x:v>2695.6</x:v>
      </x:c>
      <x:c r="E9" s="23" t="n">
        <x:v>2719.8</x:v>
      </x:c>
      <x:c r="F9" s="23" t="n">
        <x:v>2677.6</x:v>
      </x:c>
      <x:c r="G9" s="23" t="n">
        <x:v>2718.6</x:v>
      </x:c>
      <x:c r="H9" s="23" t="n">
        <x:v>-15.2</x:v>
      </x:c>
      <x:c r="I9" s="24" t="n">
        <x:v>-0.00556002633696695</x:v>
      </x:c>
      <x:c r="J9" s="23" t="n">
        <x:f>ROUND(E9-F9,1)</x:f>
        <x:v>42.2</x:v>
      </x:c>
      <x:c r="K9" s="22" t="str">
        <x:v>IH2612</x:v>
      </x:c>
    </x:row>
    <x:row r="10">
      <x:c r="A10" s="41" t="n">
        <x:v>7</x:v>
      </x:c>
      <x:c r="B10" s="41" t="str">
        <x:v>周五</x:v>
      </x:c>
      <x:c r="C10" s="41" t="str">
        <x:v>10月16日</x:v>
      </x:c>
      <x:c r="D10" s="42" t="n">
        <x:v>2722.2</x:v>
      </x:c>
      <x:c r="E10" s="42" t="n">
        <x:v>2738.6</x:v>
      </x:c>
      <x:c r="F10" s="42" t="n">
        <x:v>2686</x:v>
      </x:c>
      <x:c r="G10" s="42" t="n">
        <x:v>2704.6</x:v>
      </x:c>
      <x:c r="H10" s="42" t="n">
        <x:v>-14</x:v>
      </x:c>
      <x:c r="I10" s="43" t="n">
        <x:v>-0.0051497094092547435</x:v>
      </x:c>
      <x:c r="J10" s="42" t="n">
        <x:f>ROUND(E10-F10,1)</x:f>
        <x:v>52.6</x:v>
      </x:c>
      <x:c r="K10" s="41" t="str">
        <x:v>IH2612</x:v>
      </x:c>
    </x:row>
    <x:row r="11">
      <x:c r="A11" s="22" t="n">
        <x:v>8</x:v>
      </x:c>
      <x:c r="B11" s="22" t="str">
        <x:v>周一</x:v>
      </x:c>
      <x:c r="C11" s="22" t="str">
        <x:v>10月19日</x:v>
      </x:c>
      <x:c r="D11" s="23" t="n">
        <x:v>2690</x:v>
      </x:c>
      <x:c r="E11" s="23" t="n">
        <x:v>2754.6</x:v>
      </x:c>
      <x:c r="F11" s="23" t="n">
        <x:v>2690</x:v>
      </x:c>
      <x:c r="G11" s="23" t="n">
        <x:v>2737.2</x:v>
      </x:c>
      <x:c r="H11" s="23" t="n">
        <x:v>32.6</x:v>
      </x:c>
      <x:c r="I11" s="24" t="n">
        <x:v>0.01205353841603185</x:v>
      </x:c>
      <x:c r="J11" s="26" t="n">
        <x:f>ROUND(E11-F11,1)</x:f>
        <x:v>64.6</x:v>
      </x:c>
      <x:c r="K11" s="22" t="str">
        <x:v>IH2612</x:v>
      </x:c>
    </x:row>
    <x:row r="12">
      <x:c r="A12" s="22" t="n">
        <x:v>9</x:v>
      </x:c>
      <x:c r="B12" s="22" t="str">
        <x:v>周二</x:v>
      </x:c>
      <x:c r="C12" s="22" t="str">
        <x:v>10月20日</x:v>
      </x:c>
      <x:c r="D12" s="23" t="n">
        <x:v>2730.8</x:v>
      </x:c>
      <x:c r="E12" s="23" t="n">
        <x:v>2737.4</x:v>
      </x:c>
      <x:c r="F12" s="23" t="n">
        <x:v>2690.8</x:v>
      </x:c>
      <x:c r="G12" s="23" t="n">
        <x:v>2717.6</x:v>
      </x:c>
      <x:c r="H12" s="23" t="n">
        <x:v>-19.6</x:v>
      </x:c>
      <x:c r="I12" s="24" t="n">
        <x:v>-0.007160602075113265</x:v>
      </x:c>
      <x:c r="J12" s="23" t="n">
        <x:f>ROUND(E12-F12,1)</x:f>
        <x:v>46.6</x:v>
      </x:c>
      <x:c r="K12" s="22" t="str">
        <x:v>IH2612</x:v>
      </x:c>
    </x:row>
    <x:row r="13">
      <x:c r="A13" s="22" t="n">
        <x:v>10</x:v>
      </x:c>
      <x:c r="B13" s="22" t="str">
        <x:v>周三</x:v>
      </x:c>
      <x:c r="C13" s="22" t="str">
        <x:v>10月21日</x:v>
      </x:c>
      <x:c r="D13" s="23" t="n">
        <x:v>2730</x:v>
      </x:c>
      <x:c r="E13" s="23" t="n">
        <x:v>2732</x:v>
      </x:c>
      <x:c r="F13" s="23" t="n">
        <x:v>2697</x:v>
      </x:c>
      <x:c r="G13" s="23" t="n">
        <x:v>2701</x:v>
      </x:c>
      <x:c r="H13" s="23" t="n">
        <x:v>-16.6</x:v>
      </x:c>
      <x:c r="I13" s="24" t="n">
        <x:v>-0.006108330880188362</x:v>
      </x:c>
      <x:c r="J13" s="23" t="n">
        <x:f>ROUND(E13-F13,1)</x:f>
        <x:v>35</x:v>
      </x:c>
      <x:c r="K13" s="22" t="str">
        <x:v>IH2612</x:v>
      </x:c>
    </x:row>
    <x:row r="14">
      <x:c r="A14" s="22" t="n">
        <x:v>11</x:v>
      </x:c>
      <x:c r="B14" s="22" t="str">
        <x:v>周四</x:v>
      </x:c>
      <x:c r="C14" s="22" t="str">
        <x:v>10月22日</x:v>
      </x:c>
      <x:c r="D14" s="23" t="n">
        <x:v>2713</x:v>
      </x:c>
      <x:c r="E14" s="23" t="n">
        <x:v>2713</x:v>
      </x:c>
      <x:c r="F14" s="23" t="n">
        <x:v>2669.2</x:v>
      </x:c>
      <x:c r="G14" s="23" t="n">
        <x:v>2679.2</x:v>
      </x:c>
      <x:c r="H14" s="23" t="n">
        <x:v>-21.8</x:v>
      </x:c>
      <x:c r="I14" s="24" t="n">
        <x:v>-0.008071084783413562</x:v>
      </x:c>
      <x:c r="J14" s="23" t="n">
        <x:f>ROUND(E14-F14,1)</x:f>
        <x:v>43.8</x:v>
      </x:c>
      <x:c r="K14" s="22" t="str">
        <x:v>IH2612</x:v>
      </x:c>
    </x:row>
    <x:row r="15">
      <x:c r="A15" s="22" t="n">
        <x:v>12</x:v>
      </x:c>
      <x:c r="B15" s="22" t="str">
        <x:v>周五</x:v>
      </x:c>
      <x:c r="C15" s="22" t="str">
        <x:v>10月23日</x:v>
      </x:c>
      <x:c r="D15" s="23" t="n">
        <x:v>2659.6</x:v>
      </x:c>
      <x:c r="E15" s="23" t="n">
        <x:v>2721.2</x:v>
      </x:c>
      <x:c r="F15" s="23" t="n">
        <x:v>2638</x:v>
      </x:c>
      <x:c r="G15" s="23" t="n">
        <x:v>2719</x:v>
      </x:c>
      <x:c r="H15" s="23" t="n">
        <x:v>39.8</x:v>
      </x:c>
      <x:c r="I15" s="24" t="n">
        <x:v>0.014855180650940714</x:v>
      </x:c>
      <x:c r="J15" s="26" t="n">
        <x:f>ROUND(E15-F15,1)</x:f>
        <x:v>83.2</x:v>
      </x:c>
      <x:c r="K15" s="22" t="str">
        <x:v>IH2612</x:v>
      </x:c>
    </x:row>
    <x:row r="16">
      <x:c r="A16" s="22" t="n">
        <x:v>13</x:v>
      </x:c>
      <x:c r="B16" s="22" t="str">
        <x:v>周一</x:v>
      </x:c>
      <x:c r="C16" s="22" t="str">
        <x:v>10月26日</x:v>
      </x:c>
      <x:c r="D16" s="23" t="n">
        <x:v>2711</x:v>
      </x:c>
      <x:c r="E16" s="23" t="n">
        <x:v>2724</x:v>
      </x:c>
      <x:c r="F16" s="23" t="n">
        <x:v>2691.2</x:v>
      </x:c>
      <x:c r="G16" s="23" t="n">
        <x:v>2721.8</x:v>
      </x:c>
      <x:c r="H16" s="23" t="n">
        <x:v>2.8</x:v>
      </x:c>
      <x:c r="I16" s="24" t="n">
        <x:v>0.0010297903641045547</x:v>
      </x:c>
      <x:c r="J16" s="23" t="n">
        <x:f>ROUND(E16-F16,1)</x:f>
        <x:v>32.8</x:v>
      </x:c>
      <x:c r="K16" s="22" t="str">
        <x:v>IH2612</x:v>
      </x:c>
    </x:row>
    <x:row r="17">
      <x:c r="A17" s="22" t="n">
        <x:v>14</x:v>
      </x:c>
      <x:c r="B17" s="22" t="str">
        <x:v>周二</x:v>
      </x:c>
      <x:c r="C17" s="22" t="str">
        <x:v>10月27日</x:v>
      </x:c>
      <x:c r="D17" s="23" t="n">
        <x:v>2721.8</x:v>
      </x:c>
      <x:c r="E17" s="23" t="n">
        <x:v>2731.6</x:v>
      </x:c>
      <x:c r="F17" s="23" t="n">
        <x:v>2708</x:v>
      </x:c>
      <x:c r="G17" s="23" t="n">
        <x:v>2709.2</x:v>
      </x:c>
      <x:c r="H17" s="23" t="n">
        <x:v>-12.6</x:v>
      </x:c>
      <x:c r="I17" s="24" t="n">
        <x:v>-0.004629289440811313</x:v>
      </x:c>
      <x:c r="J17" s="23" t="n">
        <x:f>ROUND(E17-F17,1)</x:f>
        <x:v>23.6</x:v>
      </x:c>
      <x:c r="K17" s="22" t="str">
        <x:v>IH2612</x:v>
      </x:c>
    </x:row>
    <x:row r="20">
      <x:c r="A20" s="31" t="str">
        <x:v>合计</x:v>
      </x:c>
      <x:c r="B20" s="30" t="n">
        <x:v>14</x:v>
      </x:c>
      <x:c r="C20" s="30"/>
      <x:c r="D20" s="30"/>
      <x:c r="E20" s="30"/>
      <x:c r="F20" s="30"/>
      <x:c r="G20" s="30"/>
      <x:c r="H20" s="30"/>
      <x:c r="I20" s="30"/>
      <x:c r="J20" s="32" t="n">
        <x:f>SUM(J4:J17)</x:f>
        <x:v>641.8000000000001</x:v>
      </x:c>
      <x:c r="K20" s="30"/>
    </x:row>
    <x:row r="21">
      <x:c r="A21" s="31" t="str">
        <x:v>均值</x:v>
      </x:c>
      <x:c r="B21" s="30"/>
      <x:c r="C21" s="30"/>
      <x:c r="D21" s="30"/>
      <x:c r="E21" s="30"/>
      <x:c r="F21" s="30"/>
      <x:c r="G21" s="30"/>
      <x:c r="H21" s="30"/>
      <x:c r="I21" s="30"/>
      <x:c r="J21" s="34" t="n">
        <x:f>ROUND(IFERROR(AVERAGE(J4:J17),0),1)</x:f>
        <x:v>45.8</x:v>
      </x:c>
      <x:c r="K21" s="30"/>
    </x:row>
  </x:sheetData>
  <x:mergeCells>
    <x:mergeCell ref="A1:K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0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4" hidden="0" customWidth="1"/>
  </x:cols>
  <x:sheetData>
    <x:row r="1" ht="38" customHeight="1">
      <x:c r="A1" s="15" t="str">
        <x:v>2026年10月统计 - 碳酸锂2610</x:v>
      </x:c>
    </x:row>
    <x:row r="3">
      <x:c r="A3" s="20" t="str">
        <x:v>序号</x:v>
      </x:c>
      <x:c r="B3" s="20" t="str">
        <x:v>星期</x:v>
      </x:c>
      <x:c r="C3" s="20" t="str">
        <x:v>日期</x:v>
      </x:c>
      <x:c r="D3" s="20" t="str">
        <x:v>开盘</x:v>
      </x:c>
      <x:c r="E3" s="20" t="str">
        <x:v>高点</x:v>
      </x:c>
      <x:c r="F3" s="20" t="str">
        <x:v>低点</x:v>
      </x:c>
      <x:c r="G3" s="20" t="str">
        <x:v>收盘</x:v>
      </x:c>
      <x:c r="H3" s="20" t="str">
        <x:v>涨跌点数</x:v>
      </x:c>
      <x:c r="I3" s="20" t="str">
        <x:v>涨幅</x:v>
      </x:c>
      <x:c r="J3" s="20" t="str">
        <x:v>振幅</x:v>
      </x:c>
      <x:c r="K3" s="20" t="str">
        <x:v>标的</x:v>
      </x:c>
    </x:row>
    <x:row r="4">
      <x:c r="A4" s="22" t="n">
        <x:v>1</x:v>
      </x:c>
      <x:c r="B4" s="22" t="str">
        <x:v>周四</x:v>
      </x:c>
      <x:c r="C4" s="22" t="str">
        <x:v>10月8日</x:v>
      </x:c>
      <x:c r="D4" s="23" t="n">
        <x:v>120020</x:v>
      </x:c>
      <x:c r="E4" s="23" t="n">
        <x:v>126800</x:v>
      </x:c>
      <x:c r="F4" s="23" t="n">
        <x:v>120000</x:v>
      </x:c>
      <x:c r="G4" s="23" t="n">
        <x:v>120000</x:v>
      </x:c>
      <x:c r="H4" s="28" t="n">
        <x:v>220</x:v>
      </x:c>
      <x:c r="I4" s="24" t="n">
        <x:v>0.0018367006177992806</x:v>
      </x:c>
      <x:c r="J4" s="26" t="n">
        <x:f>ROUND(E4-F4,1)</x:f>
        <x:v>6800</x:v>
      </x:c>
      <x:c r="K4" s="22" t="str">
        <x:v>LC2610</x:v>
      </x:c>
    </x:row>
    <x:row r="5">
      <x:c r="A5" s="22" t="n">
        <x:v>2</x:v>
      </x:c>
      <x:c r="B5" s="22" t="str">
        <x:v>周五</x:v>
      </x:c>
      <x:c r="C5" s="22" t="str">
        <x:v>10月9日</x:v>
      </x:c>
      <x:c r="D5" s="23" t="n">
        <x:v>122300</x:v>
      </x:c>
      <x:c r="E5" s="23" t="n">
        <x:v>123200</x:v>
      </x:c>
      <x:c r="F5" s="23" t="n">
        <x:v>119000</x:v>
      </x:c>
      <x:c r="G5" s="23" t="n">
        <x:v>121000</x:v>
      </x:c>
      <x:c r="H5" s="28" t="n">
        <x:v>1000</x:v>
      </x:c>
      <x:c r="I5" s="24" t="n">
        <x:v>0.008333333333333304</x:v>
      </x:c>
      <x:c r="J5" s="23" t="n">
        <x:f>ROUND(E5-F5,1)</x:f>
        <x:v>4200</x:v>
      </x:c>
      <x:c r="K5" s="22" t="str">
        <x:v>LC2610</x:v>
      </x:c>
    </x:row>
    <x:row r="6">
      <x:c r="A6" s="22" t="n">
        <x:v>3</x:v>
      </x:c>
      <x:c r="B6" s="22" t="str">
        <x:v>周一</x:v>
      </x:c>
      <x:c r="C6" s="22" t="str">
        <x:v>10月12日</x:v>
      </x:c>
      <x:c r="D6" s="23" t="n">
        <x:v>125960</x:v>
      </x:c>
      <x:c r="E6" s="23" t="n">
        <x:v>125960</x:v>
      </x:c>
      <x:c r="F6" s="23" t="n">
        <x:v>107100</x:v>
      </x:c>
      <x:c r="G6" s="23" t="n">
        <x:v>107100</x:v>
      </x:c>
      <x:c r="H6" s="28" t="n">
        <x:v>-13900</x:v>
      </x:c>
      <x:c r="I6" s="24" t="n">
        <x:v>-0.11487603305785121</x:v>
      </x:c>
      <x:c r="J6" s="26" t="n">
        <x:f>ROUND(E6-F6,1)</x:f>
        <x:v>18860</x:v>
      </x:c>
      <x:c r="K6" s="22" t="str">
        <x:v>LC2610</x:v>
      </x:c>
    </x:row>
    <x:row r="7">
      <x:c r="A7" s="22" t="n">
        <x:v>4</x:v>
      </x:c>
      <x:c r="B7" s="22" t="str">
        <x:v>周二</x:v>
      </x:c>
      <x:c r="C7" s="22" t="str">
        <x:v>10月13日</x:v>
      </x:c>
      <x:c r="D7" s="23" t="n">
        <x:v>101000</x:v>
      </x:c>
      <x:c r="E7" s="23" t="n">
        <x:v>111320</x:v>
      </x:c>
      <x:c r="F7" s="23" t="n">
        <x:v>101000</x:v>
      </x:c>
      <x:c r="G7" s="23" t="n">
        <x:v>109500</x:v>
      </x:c>
      <x:c r="H7" s="28" t="n">
        <x:v>2400</x:v>
      </x:c>
      <x:c r="I7" s="24" t="n">
        <x:v>0.022408963585434094</x:v>
      </x:c>
      <x:c r="J7" s="26" t="n">
        <x:f>ROUND(E7-F7,1)</x:f>
        <x:v>10320</x:v>
      </x:c>
      <x:c r="K7" s="22" t="str">
        <x:v>LC2610</x:v>
      </x:c>
    </x:row>
    <x:row r="8">
      <x:c r="A8" s="22" t="n">
        <x:v>5</x:v>
      </x:c>
      <x:c r="B8" s="22" t="str">
        <x:v>周三</x:v>
      </x:c>
      <x:c r="C8" s="22" t="str">
        <x:v>10月14日</x:v>
      </x:c>
      <x:c r="D8" s="23" t="n">
        <x:v>108380</x:v>
      </x:c>
      <x:c r="E8" s="23" t="n">
        <x:v>108380</x:v>
      </x:c>
      <x:c r="F8" s="23" t="n">
        <x:v>103000</x:v>
      </x:c>
      <x:c r="G8" s="23" t="n">
        <x:v>103000</x:v>
      </x:c>
      <x:c r="H8" s="28" t="n">
        <x:v>-6500</x:v>
      </x:c>
      <x:c r="I8" s="24" t="n">
        <x:v>-0.05936073059360736</x:v>
      </x:c>
      <x:c r="J8" s="23" t="n">
        <x:f>ROUND(E8-F8,1)</x:f>
        <x:v>5380</x:v>
      </x:c>
      <x:c r="K8" s="22" t="str">
        <x:v>LC2610</x:v>
      </x:c>
    </x:row>
    <x:row r="9">
      <x:c r="A9" s="22" t="n">
        <x:v>6</x:v>
      </x:c>
      <x:c r="B9" s="22" t="str">
        <x:v>周四</x:v>
      </x:c>
      <x:c r="C9" s="22" t="str">
        <x:v>10月15日</x:v>
      </x:c>
      <x:c r="D9" s="23" t="n">
        <x:v>103000</x:v>
      </x:c>
      <x:c r="E9" s="23" t="n">
        <x:v>103400</x:v>
      </x:c>
      <x:c r="F9" s="23" t="n">
        <x:v>102000</x:v>
      </x:c>
      <x:c r="G9" s="23" t="n">
        <x:v>102000</x:v>
      </x:c>
      <x:c r="H9" s="28" t="n">
        <x:v>-1000</x:v>
      </x:c>
      <x:c r="I9" s="24" t="n">
        <x:v>-0.009708737864077666</x:v>
      </x:c>
      <x:c r="J9" s="23" t="n">
        <x:f>ROUND(E9-F9,1)</x:f>
        <x:v>1400</x:v>
      </x:c>
      <x:c r="K9" s="22" t="str">
        <x:v>LC2610</x:v>
      </x:c>
    </x:row>
    <x:row r="10">
      <x:c r="A10" s="41" t="n">
        <x:v>7</x:v>
      </x:c>
      <x:c r="B10" s="41" t="str">
        <x:v>周五</x:v>
      </x:c>
      <x:c r="C10" s="41" t="str">
        <x:v>10月16日</x:v>
      </x:c>
      <x:c r="D10" s="42" t="n">
        <x:v>102280</x:v>
      </x:c>
      <x:c r="E10" s="42" t="n">
        <x:v>102280</x:v>
      </x:c>
      <x:c r="F10" s="42" t="n">
        <x:v>99500</x:v>
      </x:c>
      <x:c r="G10" s="42" t="n">
        <x:v>99500</x:v>
      </x:c>
      <x:c r="H10" s="28" t="n">
        <x:v>-2500</x:v>
      </x:c>
      <x:c r="I10" s="43" t="n">
        <x:v>-0.02450980392156865</x:v>
      </x:c>
      <x:c r="J10" s="42" t="n">
        <x:f>ROUND(E10-F10,1)</x:f>
        <x:v>2780</x:v>
      </x:c>
      <x:c r="K10" s="41" t="str">
        <x:v>LC2610</x:v>
      </x:c>
    </x:row>
    <x:row r="11">
      <x:c r="A11" s="22" t="n">
        <x:v>8</x:v>
      </x:c>
      <x:c r="B11" s="22" t="str">
        <x:v>周一</x:v>
      </x:c>
      <x:c r="C11" s="22" t="str">
        <x:v>10月19日</x:v>
      </x:c>
      <x:c r="D11" s="23" t="n">
        <x:v>99600</x:v>
      </x:c>
      <x:c r="E11" s="23" t="n">
        <x:v>103280</x:v>
      </x:c>
      <x:c r="F11" s="23" t="n">
        <x:v>99600</x:v>
      </x:c>
      <x:c r="G11" s="23" t="n">
        <x:v>103180</x:v>
      </x:c>
      <x:c r="H11" s="28" t="n">
        <x:v>3680</x:v>
      </x:c>
      <x:c r="I11" s="24" t="n">
        <x:v>0.036984924623115534</x:v>
      </x:c>
      <x:c r="J11" s="23" t="n">
        <x:f>ROUND(E11-F11,1)</x:f>
        <x:v>3680</x:v>
      </x:c>
      <x:c r="K11" s="22" t="str">
        <x:v>LC2610</x:v>
      </x:c>
    </x:row>
    <x:row r="12">
      <x:c r="A12" s="22" t="n">
        <x:v>9</x:v>
      </x:c>
      <x:c r="B12" s="22" t="str">
        <x:v>周二</x:v>
      </x:c>
      <x:c r="C12" s="22" t="str">
        <x:v>10月20日</x:v>
      </x:c>
      <x:c r="D12" s="23" t="n">
        <x:v>101540</x:v>
      </x:c>
      <x:c r="E12" s="23" t="n">
        <x:v>103420</x:v>
      </x:c>
      <x:c r="F12" s="23" t="n">
        <x:v>101520</x:v>
      </x:c>
      <x:c r="G12" s="23" t="n">
        <x:v>103400</x:v>
      </x:c>
      <x:c r="H12" s="28" t="n">
        <x:v>220</x:v>
      </x:c>
      <x:c r="I12" s="24" t="n">
        <x:v>0.002132196162046851</x:v>
      </x:c>
      <x:c r="J12" s="23" t="n">
        <x:f>ROUND(E12-F12,1)</x:f>
        <x:v>1900</x:v>
      </x:c>
      <x:c r="K12" s="22" t="str">
        <x:v>LC2610</x:v>
      </x:c>
    </x:row>
    <x:row r="13">
      <x:c r="A13" s="22" t="n">
        <x:v>10</x:v>
      </x:c>
      <x:c r="B13" s="22" t="str">
        <x:v>周三</x:v>
      </x:c>
      <x:c r="C13" s="22" t="str">
        <x:v>10月21日</x:v>
      </x:c>
      <x:c r="D13" s="23" t="n">
        <x:v>101600</x:v>
      </x:c>
      <x:c r="E13" s="23" t="n">
        <x:v>101660</x:v>
      </x:c>
      <x:c r="F13" s="23" t="n">
        <x:v>98000</x:v>
      </x:c>
      <x:c r="G13" s="23" t="n">
        <x:v>98540</x:v>
      </x:c>
      <x:c r="H13" s="28" t="n">
        <x:v>-4860</x:v>
      </x:c>
      <x:c r="I13" s="24" t="n">
        <x:v>-0.04700193423597676</x:v>
      </x:c>
      <x:c r="J13" s="23" t="n">
        <x:f>ROUND(E13-F13,1)</x:f>
        <x:v>3660</x:v>
      </x:c>
      <x:c r="K13" s="22" t="str">
        <x:v>LC2610</x:v>
      </x:c>
    </x:row>
    <x:row r="16">
      <x:c r="A16" s="31" t="str">
        <x:v>合计</x:v>
      </x:c>
      <x:c r="B16" s="30" t="n">
        <x:v>10</x:v>
      </x:c>
      <x:c r="C16" s="30"/>
      <x:c r="D16" s="30"/>
      <x:c r="E16" s="30"/>
      <x:c r="F16" s="30"/>
      <x:c r="G16" s="30"/>
      <x:c r="H16" s="30"/>
      <x:c r="I16" s="30"/>
      <x:c r="J16" s="32" t="n">
        <x:f>SUM(J4:J13)</x:f>
        <x:v>58980</x:v>
      </x:c>
      <x:c r="K16" s="30"/>
    </x:row>
    <x:row r="17">
      <x:c r="A17" s="31" t="str">
        <x:v>均值</x:v>
      </x:c>
      <x:c r="B17" s="30"/>
      <x:c r="C17" s="30"/>
      <x:c r="D17" s="30"/>
      <x:c r="E17" s="30"/>
      <x:c r="F17" s="30"/>
      <x:c r="G17" s="30"/>
      <x:c r="H17" s="30"/>
      <x:c r="I17" s="30"/>
      <x:c r="J17" s="34" t="n">
        <x:f>ROUND(IFERROR(AVERAGE(J4:J13),0),1)</x:f>
        <x:v>5898</x:v>
      </x:c>
      <x:c r="K17" s="30"/>
    </x:row>
  </x:sheetData>
  <x:mergeCells>
    <x:mergeCell ref="A1:K1"/>
  </x:mergeCells>
  <x:pageMargins left="0.7" right="0.7" top="0.75" bottom="0.75" header="0.3" footer="0.3"/>
</x:worksheet>
</file>