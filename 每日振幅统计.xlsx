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2b316231f647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b1742cae7194261"/>
    <x:sheet xmlns:r="http://schemas.openxmlformats.org/officeDocument/2006/relationships" name="周振幅统计" sheetId="2" r:id="Rfd4878d882a14c03"/>
    <x:sheet xmlns:r="http://schemas.openxmlformats.org/officeDocument/2006/relationships" name="中证1000" sheetId="3" r:id="R327a61cc12ab4611"/>
    <x:sheet xmlns:r="http://schemas.openxmlformats.org/officeDocument/2006/relationships" name="中证500" sheetId="4" r:id="Rde40584e08394134"/>
    <x:sheet xmlns:r="http://schemas.openxmlformats.org/officeDocument/2006/relationships" name="上证指数" sheetId="5" r:id="R547594f7b6244ac9"/>
    <x:sheet xmlns:r="http://schemas.openxmlformats.org/officeDocument/2006/relationships" name="IM主力" sheetId="6" r:id="R8b1c2f0db59b4d1f"/>
    <x:sheet xmlns:r="http://schemas.openxmlformats.org/officeDocument/2006/relationships" name="IC主力" sheetId="7" r:id="R7e1800a95ffd44da"/>
    <x:sheet xmlns:r="http://schemas.openxmlformats.org/officeDocument/2006/relationships" name="IF主力" sheetId="8" r:id="Rdbdc358b5a694969"/>
    <x:sheet xmlns:r="http://schemas.openxmlformats.org/officeDocument/2006/relationships" name="IH主力" sheetId="9" r:id="R0cc4e1156797417f"/>
    <x:sheet xmlns:r="http://schemas.openxmlformats.org/officeDocument/2006/relationships" name="碳酸锂2610" sheetId="10" r:id="Rc6c4d5b4e00a42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ccbb191814554" /><Relationship Type="http://schemas.openxmlformats.org/officeDocument/2006/relationships/theme" Target="/xl/theme/theme1.xml" Id="R54c3b7b91a174b48" /><Relationship Type="http://schemas.openxmlformats.org/officeDocument/2006/relationships/sharedStrings" Target="/xl/sharedStrings.xml" Id="R043402d61932466c" /><Relationship Type="http://schemas.openxmlformats.org/officeDocument/2006/relationships/worksheet" Target="/xl/worksheets/sheet1.xml" Id="R7b1742cae7194261" /><Relationship Type="http://schemas.openxmlformats.org/officeDocument/2006/relationships/worksheet" Target="/xl/worksheets/sheet2.xml" Id="Rfd4878d882a14c03" /><Relationship Type="http://schemas.openxmlformats.org/officeDocument/2006/relationships/worksheet" Target="/xl/worksheets/sheet3.xml" Id="R327a61cc12ab4611" /><Relationship Type="http://schemas.openxmlformats.org/officeDocument/2006/relationships/worksheet" Target="/xl/worksheets/sheet4.xml" Id="Rde40584e08394134" /><Relationship Type="http://schemas.openxmlformats.org/officeDocument/2006/relationships/worksheet" Target="/xl/worksheets/sheet5.xml" Id="R547594f7b6244ac9" /><Relationship Type="http://schemas.openxmlformats.org/officeDocument/2006/relationships/worksheet" Target="/xl/worksheets/sheet6.xml" Id="R8b1c2f0db59b4d1f" /><Relationship Type="http://schemas.openxmlformats.org/officeDocument/2006/relationships/worksheet" Target="/xl/worksheets/sheet7.xml" Id="R7e1800a95ffd44da" /><Relationship Type="http://schemas.openxmlformats.org/officeDocument/2006/relationships/worksheet" Target="/xl/worksheets/sheet8.xml" Id="Rdbdc358b5a694969" /><Relationship Type="http://schemas.openxmlformats.org/officeDocument/2006/relationships/worksheet" Target="/xl/worksheets/sheet9.xml" Id="R0cc4e1156797417f" /><Relationship Type="http://schemas.openxmlformats.org/officeDocument/2006/relationships/worksheet" Target="/xl/worksheets/sheet10.xml" Id="Rc6c4d5b4e00a425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2026-10-09</x:v>
      </x:c>
      <x:c r="C4" s="10" t="n">
        <x:v>7175.33</x:v>
      </x:c>
      <x:c r="D4" s="10" t="n">
        <x:v>6925.42</x:v>
      </x:c>
      <x:c r="E4" s="12" t="n">
        <x:v>249.9</x:v>
      </x:c>
      <x:c r="F4" s="9" t="n">
        <x:v>2</x:v>
      </x:c>
      <x:c r="G4" s="10" t="n">
        <x:v>529</x:v>
      </x:c>
      <x:c r="H4" s="10" t="n">
        <x:v>264.5</x:v>
      </x:c>
      <x:c r="I4" s="10" t="n">
        <x:v>180</x:v>
      </x:c>
    </x:row>
    <x:row r="5">
      <x:c r="A5" s="9" t="str">
        <x:v>中证500</x:v>
      </x:c>
      <x:c r="B5" s="9" t="str">
        <x:v>2026-10-09</x:v>
      </x:c>
      <x:c r="C5" s="10" t="n">
        <x:v>7277.14</x:v>
      </x:c>
      <x:c r="D5" s="10" t="n">
        <x:v>7048.45</x:v>
      </x:c>
      <x:c r="E5" s="12" t="n">
        <x:v>228.7</x:v>
      </x:c>
      <x:c r="F5" s="9" t="n">
        <x:v>2</x:v>
      </x:c>
      <x:c r="G5" s="10" t="n">
        <x:v>483.9</x:v>
      </x:c>
      <x:c r="H5" s="10" t="n">
        <x:v>242</x:v>
      </x:c>
      <x:c r="I5" s="10" t="n">
        <x:v>160</x:v>
      </x:c>
    </x:row>
    <x:row r="6">
      <x:c r="A6" s="9" t="str">
        <x:v>上证指数</x:v>
      </x:c>
      <x:c r="B6" s="9" t="str">
        <x:v>2026-10-09</x:v>
      </x:c>
      <x:c r="C6" s="10" t="n">
        <x:v>3824.71</x:v>
      </x:c>
      <x:c r="D6" s="10" t="n">
        <x:v>3754.14</x:v>
      </x:c>
      <x:c r="E6" s="12" t="n">
        <x:v>70.6</x:v>
      </x:c>
      <x:c r="F6" s="9" t="n">
        <x:v>2</x:v>
      </x:c>
      <x:c r="G6" s="10" t="n">
        <x:v>139.4</x:v>
      </x:c>
      <x:c r="H6" s="10" t="n">
        <x:v>69.7</x:v>
      </x:c>
      <x:c r="I6" s="10" t="n">
        <x:v>50</x:v>
      </x:c>
    </x:row>
    <x:row r="7">
      <x:c r="A7" s="9" t="str">
        <x:v>IM主力</x:v>
      </x:c>
      <x:c r="B7" s="9" t="str">
        <x:v>2026-10-09</x:v>
      </x:c>
      <x:c r="C7" s="10" t="n">
        <x:v>7049</x:v>
      </x:c>
      <x:c r="D7" s="10" t="n">
        <x:v>6819.2</x:v>
      </x:c>
      <x:c r="E7" s="12" t="n">
        <x:v>229.8</x:v>
      </x:c>
      <x:c r="F7" s="9" t="n">
        <x:v>2</x:v>
      </x:c>
      <x:c r="G7" s="10" t="n">
        <x:v>533.4</x:v>
      </x:c>
      <x:c r="H7" s="10" t="n">
        <x:v>266.7</x:v>
      </x:c>
      <x:c r="I7" s="10" t="n">
        <x:v>190</x:v>
      </x:c>
    </x:row>
    <x:row r="8">
      <x:c r="A8" s="9" t="str">
        <x:v>IC主力</x:v>
      </x:c>
      <x:c r="B8" s="9" t="str">
        <x:v>2026-10-09</x:v>
      </x:c>
      <x:c r="C8" s="10" t="n">
        <x:v>7148</x:v>
      </x:c>
      <x:c r="D8" s="10" t="n">
        <x:v>6932</x:v>
      </x:c>
      <x:c r="E8" s="12" t="n">
        <x:v>216</x:v>
      </x:c>
      <x:c r="F8" s="9" t="n">
        <x:v>2</x:v>
      </x:c>
      <x:c r="G8" s="10" t="n">
        <x:v>514.6</x:v>
      </x:c>
      <x:c r="H8" s="10" t="n">
        <x:v>257.3</x:v>
      </x:c>
      <x:c r="I8" s="10" t="n">
        <x:v>150</x:v>
      </x:c>
    </x:row>
    <x:row r="9">
      <x:c r="A9" s="9" t="str">
        <x:v>IF主力</x:v>
      </x:c>
      <x:c r="B9" s="9" t="str">
        <x:v>2026-10-09</x:v>
      </x:c>
      <x:c r="C9" s="10" t="n">
        <x:v>4264.6</x:v>
      </x:c>
      <x:c r="D9" s="10" t="n">
        <x:v>4180.4</x:v>
      </x:c>
      <x:c r="E9" s="12" t="n">
        <x:v>84.2</x:v>
      </x:c>
      <x:c r="F9" s="9" t="n">
        <x:v>2</x:v>
      </x:c>
      <x:c r="G9" s="10" t="n">
        <x:v>197.2</x:v>
      </x:c>
      <x:c r="H9" s="10" t="n">
        <x:v>98.6</x:v>
      </x:c>
      <x:c r="I9" s="10" t="n">
        <x:v>90</x:v>
      </x:c>
    </x:row>
    <x:row r="10">
      <x:c r="A10" s="9" t="str">
        <x:v>IH主力</x:v>
      </x:c>
      <x:c r="B10" s="9" t="str">
        <x:v>2026-10-09</x:v>
      </x:c>
      <x:c r="C10" s="10" t="n">
        <x:v>2778.6</x:v>
      </x:c>
      <x:c r="D10" s="10" t="n">
        <x:v>2735</x:v>
      </x:c>
      <x:c r="E10" s="12" t="n">
        <x:v>43.6</x:v>
      </x:c>
      <x:c r="F10" s="9" t="n">
        <x:v>2</x:v>
      </x:c>
      <x:c r="G10" s="10" t="n">
        <x:v>94.6</x:v>
      </x:c>
      <x:c r="H10" s="10" t="n">
        <x:v>47.3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2</x:v>
      </x:c>
      <x:c r="G11" s="10" t="n">
        <x:v>11000</x:v>
      </x:c>
      <x:c r="H11" s="10" t="n">
        <x:v>5500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441.4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441.4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10月8日-10月9日</x:v>
      </x:c>
      <x:c r="C11" s="23" t="n">
        <x:v>7420.44</x:v>
      </x:c>
      <x:c r="D11" s="23" t="n">
        <x:v>7461.24</x:v>
      </x:c>
      <x:c r="E11" s="23" t="n">
        <x:v>7048.45</x:v>
      </x:c>
      <x:c r="F11" s="23" t="n">
        <x:v>7251.01</x:v>
      </x:c>
      <x:c r="G11" s="23"/>
      <x:c r="H11" s="24"/>
      <x:c r="I11" s="26" t="n">
        <x:f>ROUND(D11-E11,1)</x:f>
        <x:v>412.8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412.8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412.8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10月8日-10月9日</x:v>
      </x:c>
      <x:c r="C17" s="23" t="n">
        <x:v>3838.98</x:v>
      </x:c>
      <x:c r="D17" s="23" t="n">
        <x:v>3864.12</x:v>
      </x:c>
      <x:c r="E17" s="23" t="n">
        <x:v>3754.14</x:v>
      </x:c>
      <x:c r="F17" s="23" t="n">
        <x:v>3813.79</x:v>
      </x:c>
      <x:c r="G17" s="23"/>
      <x:c r="H17" s="24"/>
      <x:c r="I17" s="26" t="n">
        <x:f>ROUND(D17-E17,1)</x:f>
        <x:v>110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110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110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7182.8</x:v>
      </x:c>
      <x:c r="D23" s="23" t="n">
        <x:v>7251.8</x:v>
      </x:c>
      <x:c r="E23" s="23" t="n">
        <x:v>6819.2</x:v>
      </x:c>
      <x:c r="F23" s="23" t="n">
        <x:v>7015.8</x:v>
      </x:c>
      <x:c r="G23" s="23"/>
      <x:c r="H23" s="24"/>
      <x:c r="I23" s="26" t="n">
        <x:f>ROUND(D23-E23,1)</x:f>
        <x:v>432.6</x:v>
      </x:c>
      <x:c r="J23" s="22" t="str">
        <x:v>IM2612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432.6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432.6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7295</x:v>
      </x:c>
      <x:c r="D29" s="23" t="n">
        <x:v>7355</x:v>
      </x:c>
      <x:c r="E29" s="23" t="n">
        <x:v>6932</x:v>
      </x:c>
      <x:c r="F29" s="23" t="n">
        <x:v>7111</x:v>
      </x:c>
      <x:c r="G29" s="23"/>
      <x:c r="H29" s="24"/>
      <x:c r="I29" s="26" t="n">
        <x:f>ROUND(D29-E29,1)</x:f>
        <x:v>423</x:v>
      </x:c>
      <x:c r="J29" s="22" t="str">
        <x:v>IC2612</x:v>
      </x:c>
      <x:c r="K29" s="22" t="n">
        <x:v>2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423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423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10月8日-10月9日</x:v>
      </x:c>
      <x:c r="C35" s="23" t="n">
        <x:v>4300.8</x:v>
      </x:c>
      <x:c r="D35" s="23" t="n">
        <x:v>4331.6</x:v>
      </x:c>
      <x:c r="E35" s="23" t="n">
        <x:v>4180.4</x:v>
      </x:c>
      <x:c r="F35" s="23" t="n">
        <x:v>4244.8</x:v>
      </x:c>
      <x:c r="G35" s="23"/>
      <x:c r="H35" s="24"/>
      <x:c r="I35" s="26" t="n">
        <x:f>ROUND(D35-E35,1)</x:f>
        <x:v>151.2</x:v>
      </x:c>
      <x:c r="J35" s="22" t="str">
        <x:v>IF2612</x:v>
      </x:c>
      <x:c r="K35" s="22" t="n">
        <x:v>2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151.2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151.2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2764</x:v>
      </x:c>
      <x:c r="D41" s="23" t="n">
        <x:v>2798.4</x:v>
      </x:c>
      <x:c r="E41" s="23" t="n">
        <x:v>2735</x:v>
      </x:c>
      <x:c r="F41" s="23" t="n">
        <x:v>2764</x:v>
      </x:c>
      <x:c r="G41" s="23"/>
      <x:c r="H41" s="24"/>
      <x:c r="I41" s="26" t="n">
        <x:f>ROUND(D41-E41,1)</x:f>
        <x:v>63.4</x:v>
      </x:c>
      <x:c r="J41" s="22" t="str">
        <x:v>IH2612</x:v>
      </x:c>
      <x:c r="K41" s="22" t="n">
        <x:v>2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63.4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63.4</x:v>
      </x:c>
      <x:c r="J43" s="28"/>
      <x:c r="K43" s="28"/>
    </x:row>
    <x:row r="45">
      <x:c r="A45" s="17" t="str">
        <x:v>碳酸锂2610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120020</x:v>
      </x:c>
      <x:c r="D47" s="23" t="n">
        <x:v>126800</x:v>
      </x:c>
      <x:c r="E47" s="23" t="n">
        <x:v>119000</x:v>
      </x:c>
      <x:c r="F47" s="23" t="n">
        <x:v>121000</x:v>
      </x:c>
      <x:c r="G47" s="23"/>
      <x:c r="H47" s="24"/>
      <x:c r="I47" s="26" t="n">
        <x:f>ROUND(D47-E47,1)</x:f>
        <x:v>7800</x:v>
      </x:c>
      <x:c r="J47" s="22" t="str">
        <x:v>LC2610</x:v>
      </x:c>
      <x:c r="K47" s="22" t="n">
        <x:v>2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7800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7800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7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529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264.5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7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483.9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242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139.39999999999998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69.7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533.4000000000001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266.7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7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514.6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257.3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197.2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98.6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94.6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47.3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7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7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11000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5500</x:v>
      </x:c>
      <x:c r="K9" s="28"/>
    </x:row>
  </x:sheetData>
  <x:mergeCells>
    <x:mergeCell ref="A1:K1"/>
  </x:mergeCells>
  <x:pageMargins left="0.7" right="0.7" top="0.75" bottom="0.75" header="0.3" footer="0.3"/>
</x:worksheet>
</file>