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2ea627909e44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c445ccaf62e4fe1"/>
    <x:sheet xmlns:r="http://schemas.openxmlformats.org/officeDocument/2006/relationships" name="周振幅统计" sheetId="2" r:id="R14476857929141af"/>
    <x:sheet xmlns:r="http://schemas.openxmlformats.org/officeDocument/2006/relationships" name="中证1000" sheetId="3" r:id="R3d9bd18d14d6490e"/>
    <x:sheet xmlns:r="http://schemas.openxmlformats.org/officeDocument/2006/relationships" name="中证500" sheetId="4" r:id="Rbb2da6df0a804210"/>
    <x:sheet xmlns:r="http://schemas.openxmlformats.org/officeDocument/2006/relationships" name="上证指数" sheetId="5" r:id="Rf23402dfa7df4666"/>
    <x:sheet xmlns:r="http://schemas.openxmlformats.org/officeDocument/2006/relationships" name="IM主力" sheetId="6" r:id="Rb8aa456522d541d3"/>
    <x:sheet xmlns:r="http://schemas.openxmlformats.org/officeDocument/2006/relationships" name="IC主力" sheetId="7" r:id="Radd853c24ae04c07"/>
    <x:sheet xmlns:r="http://schemas.openxmlformats.org/officeDocument/2006/relationships" name="IF主力" sheetId="8" r:id="R02f674aaa6ce4da1"/>
    <x:sheet xmlns:r="http://schemas.openxmlformats.org/officeDocument/2006/relationships" name="IH主力" sheetId="9" r:id="R3e844be564614654"/>
    <x:sheet xmlns:r="http://schemas.openxmlformats.org/officeDocument/2006/relationships" name="碳酸锂2609" sheetId="10" r:id="R0f7b34de7ec847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bfbad7d844368" /><Relationship Type="http://schemas.openxmlformats.org/officeDocument/2006/relationships/theme" Target="/xl/theme/theme1.xml" Id="R31ac3dcc776d454f" /><Relationship Type="http://schemas.openxmlformats.org/officeDocument/2006/relationships/sharedStrings" Target="/xl/sharedStrings.xml" Id="Rb8ba308b7f23490a" /><Relationship Type="http://schemas.openxmlformats.org/officeDocument/2006/relationships/worksheet" Target="/xl/worksheets/sheet1.xml" Id="R0c445ccaf62e4fe1" /><Relationship Type="http://schemas.openxmlformats.org/officeDocument/2006/relationships/worksheet" Target="/xl/worksheets/sheet2.xml" Id="R14476857929141af" /><Relationship Type="http://schemas.openxmlformats.org/officeDocument/2006/relationships/worksheet" Target="/xl/worksheets/sheet3.xml" Id="R3d9bd18d14d6490e" /><Relationship Type="http://schemas.openxmlformats.org/officeDocument/2006/relationships/worksheet" Target="/xl/worksheets/sheet4.xml" Id="Rbb2da6df0a804210" /><Relationship Type="http://schemas.openxmlformats.org/officeDocument/2006/relationships/worksheet" Target="/xl/worksheets/sheet5.xml" Id="Rf23402dfa7df4666" /><Relationship Type="http://schemas.openxmlformats.org/officeDocument/2006/relationships/worksheet" Target="/xl/worksheets/sheet6.xml" Id="Rb8aa456522d541d3" /><Relationship Type="http://schemas.openxmlformats.org/officeDocument/2006/relationships/worksheet" Target="/xl/worksheets/sheet7.xml" Id="Radd853c24ae04c07" /><Relationship Type="http://schemas.openxmlformats.org/officeDocument/2006/relationships/worksheet" Target="/xl/worksheets/sheet8.xml" Id="R02f674aaa6ce4da1" /><Relationship Type="http://schemas.openxmlformats.org/officeDocument/2006/relationships/worksheet" Target="/xl/worksheets/sheet9.xml" Id="R3e844be564614654" /><Relationship Type="http://schemas.openxmlformats.org/officeDocument/2006/relationships/worksheet" Target="/xl/worksheets/sheet10.xml" Id="R0f7b34de7ec847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2026-09-02</x:v>
      </x:c>
      <x:c r="C4" s="10" t="n">
        <x:v>7624.71</x:v>
      </x:c>
      <x:c r="D4" s="10" t="n">
        <x:v>7539.08</x:v>
      </x:c>
      <x:c r="E4" s="12" t="n">
        <x:v>85.6</x:v>
      </x:c>
      <x:c r="F4" s="9" t="n">
        <x:v>2</x:v>
      </x:c>
      <x:c r="G4" s="10" t="n">
        <x:v>191.3</x:v>
      </x:c>
      <x:c r="H4" s="10" t="n">
        <x:v>95.7</x:v>
      </x:c>
      <x:c r="I4" s="10" t="n">
        <x:v>180</x:v>
      </x:c>
    </x:row>
    <x:row r="5">
      <x:c r="A5" s="9" t="str">
        <x:v>中证500</x:v>
      </x:c>
      <x:c r="B5" s="9" t="str">
        <x:v>2026-09-02</x:v>
      </x:c>
      <x:c r="C5" s="10" t="n">
        <x:v>7783.05</x:v>
      </x:c>
      <x:c r="D5" s="10" t="n">
        <x:v>7692.15</x:v>
      </x:c>
      <x:c r="E5" s="12" t="n">
        <x:v>90.9</x:v>
      </x:c>
      <x:c r="F5" s="9" t="n">
        <x:v>2</x:v>
      </x:c>
      <x:c r="G5" s="10" t="n">
        <x:v>193.6</x:v>
      </x:c>
      <x:c r="H5" s="10" t="n">
        <x:v>96.8</x:v>
      </x:c>
      <x:c r="I5" s="10" t="n">
        <x:v>160</x:v>
      </x:c>
    </x:row>
    <x:row r="6">
      <x:c r="A6" s="9" t="str">
        <x:v>上证指数</x:v>
      </x:c>
      <x:c r="B6" s="9" t="str">
        <x:v>2026-09-02</x:v>
      </x:c>
      <x:c r="C6" s="10" t="n">
        <x:v>3965.81</x:v>
      </x:c>
      <x:c r="D6" s="10" t="n">
        <x:v>3932.25</x:v>
      </x:c>
      <x:c r="E6" s="12" t="n">
        <x:v>33.6</x:v>
      </x:c>
      <x:c r="F6" s="9" t="n">
        <x:v>2</x:v>
      </x:c>
      <x:c r="G6" s="10" t="n">
        <x:v>52.3</x:v>
      </x:c>
      <x:c r="H6" s="10" t="n">
        <x:v>26.2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2</x:v>
      </x:c>
      <x:c r="G7" s="10" t="n">
        <x:v>231.4</x:v>
      </x:c>
      <x:c r="H7" s="10" t="n">
        <x:v>115.7</x:v>
      </x:c>
      <x:c r="I7" s="10" t="n">
        <x:v>190</x:v>
      </x:c>
    </x:row>
    <x:row r="8">
      <x:c r="A8" s="9" t="str">
        <x:v>IC主力</x:v>
      </x:c>
      <x:c r="B8" s="9" t="str">
        <x:v>2026-09-02</x:v>
      </x:c>
      <x:c r="C8" s="10" t="n">
        <x:v>7720</x:v>
      </x:c>
      <x:c r="D8" s="10" t="n">
        <x:v>7593</x:v>
      </x:c>
      <x:c r="E8" s="12" t="n">
        <x:v>127</x:v>
      </x:c>
      <x:c r="F8" s="9" t="n">
        <x:v>2</x:v>
      </x:c>
      <x:c r="G8" s="10" t="n">
        <x:v>265</x:v>
      </x:c>
      <x:c r="H8" s="10" t="n">
        <x:v>132.5</x:v>
      </x:c>
      <x:c r="I8" s="10" t="n">
        <x:v>150</x:v>
      </x:c>
    </x:row>
    <x:row r="9">
      <x:c r="A9" s="9" t="str">
        <x:v>IF主力</x:v>
      </x:c>
      <x:c r="B9" s="9" t="str">
        <x:v>2026-09-02</x:v>
      </x:c>
      <x:c r="C9" s="10" t="n">
        <x:v>4567</x:v>
      </x:c>
      <x:c r="D9" s="10" t="n">
        <x:v>4497.6</x:v>
      </x:c>
      <x:c r="E9" s="12" t="n">
        <x:v>69.4</x:v>
      </x:c>
      <x:c r="F9" s="9" t="n">
        <x:v>2</x:v>
      </x:c>
      <x:c r="G9" s="10" t="n">
        <x:v>111.2</x:v>
      </x:c>
      <x:c r="H9" s="10" t="n">
        <x:v>55.6</x:v>
      </x:c>
      <x:c r="I9" s="10" t="n">
        <x:v>90</x:v>
      </x:c>
    </x:row>
    <x:row r="10">
      <x:c r="A10" s="9" t="str">
        <x:v>IH主力</x:v>
      </x:c>
      <x:c r="B10" s="9" t="str">
        <x:v>2026-09-02</x:v>
      </x:c>
      <x:c r="C10" s="10" t="n">
        <x:v>2917.4</x:v>
      </x:c>
      <x:c r="D10" s="10" t="n">
        <x:v>2881.4</x:v>
      </x:c>
      <x:c r="E10" s="12" t="n">
        <x:v>36</x:v>
      </x:c>
      <x:c r="F10" s="9" t="n">
        <x:v>2</x:v>
      </x:c>
      <x:c r="G10" s="10" t="n">
        <x:v>58.8</x:v>
      </x:c>
      <x:c r="H10" s="10" t="n">
        <x:v>29.4</x:v>
      </x:c>
      <x:c r="I10" s="10" t="n">
        <x:v>60</x:v>
      </x:c>
    </x:row>
    <x:row r="11">
      <x:c r="A11" s="9" t="str">
        <x:v>碳酸锂2609</x:v>
      </x:c>
      <x:c r="B11" s="9" t="str">
        <x:v>2026-09-02</x:v>
      </x:c>
      <x:c r="C11" s="10" t="n">
        <x:v>156200</x:v>
      </x:c>
      <x:c r="D11" s="10" t="n">
        <x:v>152840</x:v>
      </x:c>
      <x:c r="E11" s="12" t="n">
        <x:v>3360</x:v>
      </x:c>
      <x:c r="F11" s="9" t="n">
        <x:v>2</x:v>
      </x:c>
      <x:c r="G11" s="10" t="n">
        <x:v>8040</x:v>
      </x:c>
      <x:c r="H11" s="10" t="n">
        <x:v>4020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9月1日-9月2日</x:v>
      </x:c>
      <x:c r="C5" s="23" t="n">
        <x:v>7773.06</x:v>
      </x:c>
      <x:c r="D5" s="23" t="n">
        <x:v>7773.06</x:v>
      </x:c>
      <x:c r="E5" s="23" t="n">
        <x:v>7539.08</x:v>
      </x:c>
      <x:c r="F5" s="23" t="n">
        <x:v>7583.76</x:v>
      </x:c>
      <x:c r="G5" s="23"/>
      <x:c r="H5" s="24"/>
      <x:c r="I5" s="26" t="n">
        <x:f>ROUND(D5-E5,1)</x:f>
        <x:v>234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234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234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9月1日-9月2日</x:v>
      </x:c>
      <x:c r="C11" s="23" t="n">
        <x:v>7944.29</x:v>
      </x:c>
      <x:c r="D11" s="23" t="n">
        <x:v>7955.57</x:v>
      </x:c>
      <x:c r="E11" s="23" t="n">
        <x:v>7692.15</x:v>
      </x:c>
      <x:c r="F11" s="23" t="n">
        <x:v>7729.23</x:v>
      </x:c>
      <x:c r="G11" s="23"/>
      <x:c r="H11" s="24"/>
      <x:c r="I11" s="26" t="n">
        <x:f>ROUND(D11-E11,1)</x:f>
        <x:v>263.4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263.4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263.4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9月1日-9月2日</x:v>
      </x:c>
      <x:c r="C17" s="23" t="n">
        <x:v>3979.88</x:v>
      </x:c>
      <x:c r="D17" s="23" t="n">
        <x:v>3995.18</x:v>
      </x:c>
      <x:c r="E17" s="23" t="n">
        <x:v>3932.25</x:v>
      </x:c>
      <x:c r="F17" s="23" t="n">
        <x:v>3941.39</x:v>
      </x:c>
      <x:c r="G17" s="23"/>
      <x:c r="H17" s="24"/>
      <x:c r="I17" s="26" t="n">
        <x:f>ROUND(D17-E17,1)</x:f>
        <x:v>62.9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62.9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62.9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9月1日-9月2日</x:v>
      </x:c>
      <x:c r="C23" s="23" t="n">
        <x:v>7713.4</x:v>
      </x:c>
      <x:c r="D23" s="23" t="n">
        <x:v>7721</x:v>
      </x:c>
      <x:c r="E23" s="23" t="n">
        <x:v>7466.2</x:v>
      </x:c>
      <x:c r="F23" s="23" t="n">
        <x:v>7540.4</x:v>
      </x:c>
      <x:c r="G23" s="23"/>
      <x:c r="H23" s="24"/>
      <x:c r="I23" s="26" t="n">
        <x:f>ROUND(D23-E23,1)</x:f>
        <x:v>254.8</x:v>
      </x:c>
      <x:c r="J23" s="22" t="str">
        <x:v>IM2609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254.8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254.8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9月1日-9月2日</x:v>
      </x:c>
      <x:c r="C29" s="23" t="n">
        <x:v>7880.8</x:v>
      </x:c>
      <x:c r="D29" s="23" t="n">
        <x:v>7903</x:v>
      </x:c>
      <x:c r="E29" s="23" t="n">
        <x:v>7593</x:v>
      </x:c>
      <x:c r="F29" s="23" t="n">
        <x:v>7675.6</x:v>
      </x:c>
      <x:c r="G29" s="23"/>
      <x:c r="H29" s="24"/>
      <x:c r="I29" s="26" t="n">
        <x:f>ROUND(D29-E29,1)</x:f>
        <x:v>310</x:v>
      </x:c>
      <x:c r="J29" s="22" t="str">
        <x:v>IC2609</x:v>
      </x:c>
      <x:c r="K29" s="22" t="n">
        <x:v>2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310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310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9月1日-9月2日</x:v>
      </x:c>
      <x:c r="C35" s="23" t="n">
        <x:v>4602</x:v>
      </x:c>
      <x:c r="D35" s="23" t="n">
        <x:v>4617.8</x:v>
      </x:c>
      <x:c r="E35" s="23" t="n">
        <x:v>4497.6</x:v>
      </x:c>
      <x:c r="F35" s="23" t="n">
        <x:v>4532.2</x:v>
      </x:c>
      <x:c r="G35" s="23"/>
      <x:c r="H35" s="24"/>
      <x:c r="I35" s="26" t="n">
        <x:f>ROUND(D35-E35,1)</x:f>
        <x:v>120.2</x:v>
      </x:c>
      <x:c r="J35" s="22" t="str">
        <x:v>IF2609</x:v>
      </x:c>
      <x:c r="K35" s="22" t="n">
        <x:v>2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120.2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120.2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9月1日-9月2日</x:v>
      </x:c>
      <x:c r="C41" s="23" t="n">
        <x:v>2913</x:v>
      </x:c>
      <x:c r="D41" s="23" t="n">
        <x:v>2934.8</x:v>
      </x:c>
      <x:c r="E41" s="23" t="n">
        <x:v>2881.4</x:v>
      </x:c>
      <x:c r="F41" s="23" t="n">
        <x:v>2898.8</x:v>
      </x:c>
      <x:c r="G41" s="23"/>
      <x:c r="H41" s="24"/>
      <x:c r="I41" s="23" t="n">
        <x:f>ROUND(D41-E41,1)</x:f>
        <x:v>53.4</x:v>
      </x:c>
      <x:c r="J41" s="22" t="str">
        <x:v>IH2609</x:v>
      </x:c>
      <x:c r="K41" s="22" t="n">
        <x:v>2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53.4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53.4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9月1日-9月2日</x:v>
      </x:c>
      <x:c r="C47" s="23" t="n">
        <x:v>159000</x:v>
      </x:c>
      <x:c r="D47" s="23" t="n">
        <x:v>160480</x:v>
      </x:c>
      <x:c r="E47" s="23" t="n">
        <x:v>152840</x:v>
      </x:c>
      <x:c r="F47" s="23" t="n">
        <x:v>155000</x:v>
      </x:c>
      <x:c r="G47" s="23"/>
      <x:c r="H47" s="24"/>
      <x:c r="I47" s="26" t="n">
        <x:f>ROUND(D47-E47,1)</x:f>
        <x:v>7640</x:v>
      </x:c>
      <x:c r="J47" s="22" t="str">
        <x:v>LC2609</x:v>
      </x:c>
      <x:c r="K47" s="22" t="n">
        <x:v>2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7640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7640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191.3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95.7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193.60000000000002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96.8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52.3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231.39999999999998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115.7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265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132.5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111.2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55.6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58.8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29.4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8040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4020</x:v>
      </x:c>
      <x:c r="K9" s="28"/>
    </x:row>
  </x:sheetData>
  <x:mergeCells>
    <x:mergeCell ref="A1:K1"/>
  </x:mergeCells>
  <x:pageMargins left="0.7" right="0.7" top="0.75" bottom="0.75" header="0.3" footer="0.3"/>
</x:worksheet>
</file>