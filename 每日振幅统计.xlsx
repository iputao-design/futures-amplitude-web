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886fee14d54a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9edab44772b474b"/>
    <x:sheet xmlns:r="http://schemas.openxmlformats.org/officeDocument/2006/relationships" name="周振幅统计" sheetId="2" r:id="R47112c4d08bc4497"/>
    <x:sheet xmlns:r="http://schemas.openxmlformats.org/officeDocument/2006/relationships" name="中证1000" sheetId="3" r:id="Rdf2f93099e9c4aae"/>
    <x:sheet xmlns:r="http://schemas.openxmlformats.org/officeDocument/2006/relationships" name="中证500" sheetId="4" r:id="Rb7c16bf7bb0d47f0"/>
    <x:sheet xmlns:r="http://schemas.openxmlformats.org/officeDocument/2006/relationships" name="上证指数" sheetId="5" r:id="R14ad4c6426e94672"/>
    <x:sheet xmlns:r="http://schemas.openxmlformats.org/officeDocument/2006/relationships" name="IM主力" sheetId="6" r:id="Re86cf258ffc842e5"/>
    <x:sheet xmlns:r="http://schemas.openxmlformats.org/officeDocument/2006/relationships" name="IC主力" sheetId="7" r:id="R9c073d8756964672"/>
    <x:sheet xmlns:r="http://schemas.openxmlformats.org/officeDocument/2006/relationships" name="IF主力" sheetId="8" r:id="R3d6b83e756ca493d"/>
    <x:sheet xmlns:r="http://schemas.openxmlformats.org/officeDocument/2006/relationships" name="IH主力" sheetId="9" r:id="R9b5f4efa0a724825"/>
    <x:sheet xmlns:r="http://schemas.openxmlformats.org/officeDocument/2006/relationships" name="碳酸锂2610" sheetId="10" r:id="R7960880de16347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e00b911b0e4e48" /><Relationship Type="http://schemas.openxmlformats.org/officeDocument/2006/relationships/theme" Target="/xl/theme/theme1.xml" Id="R9d02d5ce8f394d7f" /><Relationship Type="http://schemas.openxmlformats.org/officeDocument/2006/relationships/sharedStrings" Target="/xl/sharedStrings.xml" Id="R3c566376c94f4e40" /><Relationship Type="http://schemas.openxmlformats.org/officeDocument/2006/relationships/worksheet" Target="/xl/worksheets/sheet1.xml" Id="R19edab44772b474b" /><Relationship Type="http://schemas.openxmlformats.org/officeDocument/2006/relationships/worksheet" Target="/xl/worksheets/sheet2.xml" Id="R47112c4d08bc4497" /><Relationship Type="http://schemas.openxmlformats.org/officeDocument/2006/relationships/worksheet" Target="/xl/worksheets/sheet3.xml" Id="Rdf2f93099e9c4aae" /><Relationship Type="http://schemas.openxmlformats.org/officeDocument/2006/relationships/worksheet" Target="/xl/worksheets/sheet4.xml" Id="Rb7c16bf7bb0d47f0" /><Relationship Type="http://schemas.openxmlformats.org/officeDocument/2006/relationships/worksheet" Target="/xl/worksheets/sheet5.xml" Id="R14ad4c6426e94672" /><Relationship Type="http://schemas.openxmlformats.org/officeDocument/2006/relationships/worksheet" Target="/xl/worksheets/sheet6.xml" Id="Re86cf258ffc842e5" /><Relationship Type="http://schemas.openxmlformats.org/officeDocument/2006/relationships/worksheet" Target="/xl/worksheets/sheet7.xml" Id="R9c073d8756964672" /><Relationship Type="http://schemas.openxmlformats.org/officeDocument/2006/relationships/worksheet" Target="/xl/worksheets/sheet8.xml" Id="R3d6b83e756ca493d" /><Relationship Type="http://schemas.openxmlformats.org/officeDocument/2006/relationships/worksheet" Target="/xl/worksheets/sheet9.xml" Id="R9b5f4efa0a724825" /><Relationship Type="http://schemas.openxmlformats.org/officeDocument/2006/relationships/worksheet" Target="/xl/worksheets/sheet10.xml" Id="R7960880de16347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2026-10-22</x:v>
      </x:c>
      <x:c r="C4" s="10" t="n">
        <x:v>6782.9</x:v>
      </x:c>
      <x:c r="D4" s="10" t="n">
        <x:v>6578.27</x:v>
      </x:c>
      <x:c r="E4" s="12" t="n">
        <x:v>204.6</x:v>
      </x:c>
      <x:c r="F4" s="9" t="n">
        <x:v>11</x:v>
      </x:c>
      <x:c r="G4" s="10" t="n">
        <x:v>2119.3</x:v>
      </x:c>
      <x:c r="H4" s="10" t="n">
        <x:v>192.7</x:v>
      </x:c>
      <x:c r="I4" s="10" t="n">
        <x:v>180</x:v>
      </x:c>
    </x:row>
    <x:row r="5">
      <x:c r="A5" s="9" t="str">
        <x:v>中证500</x:v>
      </x:c>
      <x:c r="B5" s="9" t="str">
        <x:v>2026-10-22</x:v>
      </x:c>
      <x:c r="C5" s="10" t="n">
        <x:v>6842.87</x:v>
      </x:c>
      <x:c r="D5" s="10" t="n">
        <x:v>6652.78</x:v>
      </x:c>
      <x:c r="E5" s="12" t="n">
        <x:v>190.1</x:v>
      </x:c>
      <x:c r="F5" s="9" t="n">
        <x:v>11</x:v>
      </x:c>
      <x:c r="G5" s="10" t="n">
        <x:v>1989.5</x:v>
      </x:c>
      <x:c r="H5" s="10" t="n">
        <x:v>180.9</x:v>
      </x:c>
      <x:c r="I5" s="10" t="n">
        <x:v>160</x:v>
      </x:c>
    </x:row>
    <x:row r="6">
      <x:c r="A6" s="9" t="str">
        <x:v>上证指数</x:v>
      </x:c>
      <x:c r="B6" s="9" t="str">
        <x:v>2026-10-22</x:v>
      </x:c>
      <x:c r="C6" s="10" t="n">
        <x:v>3714.48</x:v>
      </x:c>
      <x:c r="D6" s="10" t="n">
        <x:v>3649.86</x:v>
      </x:c>
      <x:c r="E6" s="12" t="n">
        <x:v>64.6</x:v>
      </x:c>
      <x:c r="F6" s="9" t="n">
        <x:v>11</x:v>
      </x:c>
      <x:c r="G6" s="10" t="n">
        <x:v>619.9</x:v>
      </x:c>
      <x:c r="H6" s="10" t="n">
        <x:v>56.4</x:v>
      </x:c>
      <x:c r="I6" s="10" t="n">
        <x:v>50</x:v>
      </x:c>
    </x:row>
    <x:row r="7">
      <x:c r="A7" s="9" t="str">
        <x:v>IM主力</x:v>
      </x:c>
      <x:c r="B7" s="9" t="str">
        <x:v>2026-10-22</x:v>
      </x:c>
      <x:c r="C7" s="10" t="n">
        <x:v>6689</x:v>
      </x:c>
      <x:c r="D7" s="10" t="n">
        <x:v>6466.8</x:v>
      </x:c>
      <x:c r="E7" s="12" t="n">
        <x:v>222.2</x:v>
      </x:c>
      <x:c r="F7" s="9" t="n">
        <x:v>11</x:v>
      </x:c>
      <x:c r="G7" s="10" t="n">
        <x:v>2267.6</x:v>
      </x:c>
      <x:c r="H7" s="10" t="n">
        <x:v>206.1</x:v>
      </x:c>
      <x:c r="I7" s="10" t="n">
        <x:v>190</x:v>
      </x:c>
    </x:row>
    <x:row r="8">
      <x:c r="A8" s="9" t="str">
        <x:v>IC主力</x:v>
      </x:c>
      <x:c r="B8" s="9" t="str">
        <x:v>2026-10-22</x:v>
      </x:c>
      <x:c r="C8" s="10" t="n">
        <x:v>6753.6</x:v>
      </x:c>
      <x:c r="D8" s="10" t="n">
        <x:v>6543</x:v>
      </x:c>
      <x:c r="E8" s="12" t="n">
        <x:v>210.6</x:v>
      </x:c>
      <x:c r="F8" s="9" t="n">
        <x:v>11</x:v>
      </x:c>
      <x:c r="G8" s="10" t="n">
        <x:v>2204</x:v>
      </x:c>
      <x:c r="H8" s="10" t="n">
        <x:v>200.4</x:v>
      </x:c>
      <x:c r="I8" s="10" t="n">
        <x:v>150</x:v>
      </x:c>
    </x:row>
    <x:row r="9">
      <x:c r="A9" s="9" t="str">
        <x:v>IF主力</x:v>
      </x:c>
      <x:c r="B9" s="9" t="str">
        <x:v>2026-10-21</x:v>
      </x:c>
      <x:c r="C9" s="10" t="n">
        <x:v>4107</x:v>
      </x:c>
      <x:c r="D9" s="10" t="n">
        <x:v>4038</x:v>
      </x:c>
      <x:c r="E9" s="12" t="n">
        <x:v>69</x:v>
      </x:c>
      <x:c r="F9" s="9" t="n">
        <x:v>10</x:v>
      </x:c>
      <x:c r="G9" s="10" t="n">
        <x:v>804.2</x:v>
      </x:c>
      <x:c r="H9" s="10" t="n">
        <x:v>80.4</x:v>
      </x:c>
      <x:c r="I9" s="10" t="n">
        <x:v>90</x:v>
      </x:c>
    </x:row>
    <x:row r="10">
      <x:c r="A10" s="9" t="str">
        <x:v>IH主力</x:v>
      </x:c>
      <x:c r="B10" s="9" t="str">
        <x:v>2026-10-22</x:v>
      </x:c>
      <x:c r="C10" s="10" t="n">
        <x:v>2713</x:v>
      </x:c>
      <x:c r="D10" s="10" t="n">
        <x:v>2669.2</x:v>
      </x:c>
      <x:c r="E10" s="12" t="n">
        <x:v>43.8</x:v>
      </x:c>
      <x:c r="F10" s="9" t="n">
        <x:v>11</x:v>
      </x:c>
      <x:c r="G10" s="10" t="n">
        <x:v>502.2</x:v>
      </x:c>
      <x:c r="H10" s="10" t="n">
        <x:v>45.7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10月19日-10月22日</x:v>
      </x:c>
      <x:c r="C7" s="23" t="n">
        <x:v>6639.94</x:v>
      </x:c>
      <x:c r="D7" s="23" t="n">
        <x:v>6880.55</x:v>
      </x:c>
      <x:c r="E7" s="23" t="n">
        <x:v>6578.27</x:v>
      </x:c>
      <x:c r="F7" s="23" t="n">
        <x:v>6578.27</x:v>
      </x:c>
      <x:c r="G7" s="23" t="n">
        <x:f>ROUND(F7-F6,1)</x:f>
        <x:v>-103.7</x:v>
      </x:c>
      <x:c r="H7" s="24" t="n">
        <x:f>IFERROR(F7/F6-1,"")</x:f>
        <x:v>-0.015514955237550643</x:v>
      </x:c>
      <x:c r="I7" s="26" t="n">
        <x:f>ROUND(D7-E7,1)</x:f>
        <x:v>302.3</x:v>
      </x:c>
      <x:c r="J7" s="22" t="str">
        <x:v>中证1000</x:v>
      </x:c>
      <x:c r="K7" s="22" t="n">
        <x:v>4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1262.2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420.7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10月8日-10月9日</x:v>
      </x:c>
      <x:c r="C13" s="23" t="n">
        <x:v>7420.44</x:v>
      </x:c>
      <x:c r="D13" s="23" t="n">
        <x:v>7461.24</x:v>
      </x:c>
      <x:c r="E13" s="23" t="n">
        <x:v>7048.45</x:v>
      </x:c>
      <x:c r="F13" s="23" t="n">
        <x:v>7251.01</x:v>
      </x:c>
      <x:c r="G13" s="23"/>
      <x:c r="H13" s="24"/>
      <x:c r="I13" s="26" t="n">
        <x:f>ROUND(D13-E13,1)</x:f>
        <x:v>412.8</x:v>
      </x:c>
      <x:c r="J13" s="22" t="str">
        <x:v>中证500</x:v>
      </x:c>
      <x:c r="K13" s="22" t="n">
        <x:v>2</x:v>
      </x:c>
    </x:row>
    <x:row r="14">
      <x:c r="A14" s="22" t="n">
        <x:v>2</x:v>
      </x:c>
      <x:c r="B14" s="22" t="str">
        <x:v>10月12日-10月16日</x:v>
      </x:c>
      <x:c r="C14" s="23" t="n">
        <x:v>7226.07</x:v>
      </x:c>
      <x:c r="D14" s="23" t="n">
        <x:v>7236.78</x:v>
      </x:c>
      <x:c r="E14" s="23" t="n">
        <x:v>6719.82</x:v>
      </x:c>
      <x:c r="F14" s="23" t="n">
        <x:v>6772.75</x:v>
      </x:c>
      <x:c r="G14" s="28" t="n">
        <x:f>ROUND(F14-F13,1)</x:f>
        <x:v>-478.3</x:v>
      </x:c>
      <x:c r="H14" s="24" t="n">
        <x:f>IFERROR(F14/F13-1,"")</x:f>
        <x:v>-0.06595770796068412</x:v>
      </x:c>
      <x:c r="I14" s="26" t="n">
        <x:f>ROUND(D14-E14,1)</x:f>
        <x:v>517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10月19日-10月22日</x:v>
      </x:c>
      <x:c r="C15" s="23" t="n">
        <x:v>6735.53</x:v>
      </x:c>
      <x:c r="D15" s="23" t="n">
        <x:v>6941.51</x:v>
      </x:c>
      <x:c r="E15" s="23" t="n">
        <x:v>6652.78</x:v>
      </x:c>
      <x:c r="F15" s="23" t="n">
        <x:v>6655.25</x:v>
      </x:c>
      <x:c r="G15" s="23" t="n">
        <x:f>ROUND(F15-F14,1)</x:f>
        <x:v>-117.5</x:v>
      </x:c>
      <x:c r="H15" s="24" t="n">
        <x:f>IFERROR(F15/F14-1,"")</x:f>
        <x:v>-0.017348935070687688</x:v>
      </x:c>
      <x:c r="I15" s="26" t="n">
        <x:f>ROUND(D15-E15,1)</x:f>
        <x:v>288.7</x:v>
      </x:c>
      <x:c r="J15" s="22" t="str">
        <x:v>中证500</x:v>
      </x:c>
      <x:c r="K15" s="22" t="n">
        <x:v>4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1218.5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406.2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10月8日-10月9日</x:v>
      </x:c>
      <x:c r="C21" s="23" t="n">
        <x:v>3838.98</x:v>
      </x:c>
      <x:c r="D21" s="23" t="n">
        <x:v>3864.12</x:v>
      </x:c>
      <x:c r="E21" s="23" t="n">
        <x:v>3754.14</x:v>
      </x:c>
      <x:c r="F21" s="23" t="n">
        <x:v>3813.79</x:v>
      </x:c>
      <x:c r="G21" s="23"/>
      <x:c r="H21" s="24"/>
      <x:c r="I21" s="26" t="n">
        <x:f>ROUND(D21-E21,1)</x:f>
        <x:v>110</x:v>
      </x:c>
      <x:c r="J21" s="22" t="str">
        <x:v>上证指数</x:v>
      </x:c>
      <x:c r="K21" s="22" t="n">
        <x:v>2</x:v>
      </x:c>
    </x:row>
    <x:row r="22">
      <x:c r="A22" s="22" t="n">
        <x:v>2</x:v>
      </x:c>
      <x:c r="B22" s="22" t="str">
        <x:v>10月12日-10月16日</x:v>
      </x:c>
      <x:c r="C22" s="23" t="n">
        <x:v>3806.98</x:v>
      </x:c>
      <x:c r="D22" s="23" t="n">
        <x:v>3828.22</x:v>
      </x:c>
      <x:c r="E22" s="23" t="n">
        <x:v>3674.82</x:v>
      </x:c>
      <x:c r="F22" s="23" t="n">
        <x:v>3716.28</x:v>
      </x:c>
      <x:c r="G22" s="23" t="n">
        <x:f>ROUND(F22-F21,1)</x:f>
        <x:v>-97.5</x:v>
      </x:c>
      <x:c r="H22" s="24" t="n">
        <x:f>IFERROR(F22/F21-1,"")</x:f>
        <x:v>-0.02556774232456427</x:v>
      </x:c>
      <x:c r="I22" s="26" t="n">
        <x:f>ROUND(D22-E22,1)</x:f>
        <x:v>153.4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10月19日-10月22日</x:v>
      </x:c>
      <x:c r="C23" s="23" t="n">
        <x:v>3694.12</x:v>
      </x:c>
      <x:c r="D23" s="23" t="n">
        <x:v>3743.8</x:v>
      </x:c>
      <x:c r="E23" s="23" t="n">
        <x:v>3649.86</x:v>
      </x:c>
      <x:c r="F23" s="23" t="n">
        <x:v>3658.03</x:v>
      </x:c>
      <x:c r="G23" s="23" t="n">
        <x:f>ROUND(F23-F22,1)</x:f>
        <x:v>-58.2</x:v>
      </x:c>
      <x:c r="H23" s="24" t="n">
        <x:f>IFERROR(F23/F22-1,"")</x:f>
        <x:v>-0.015674276426964617</x:v>
      </x:c>
      <x:c r="I23" s="26" t="n">
        <x:f>ROUND(D23-E23,1)</x:f>
        <x:v>93.9</x:v>
      </x:c>
      <x:c r="J23" s="22" t="str">
        <x:v>上证指数</x:v>
      </x:c>
      <x:c r="K23" s="22" t="n">
        <x:v>4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357.3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119.1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7182.8</x:v>
      </x:c>
      <x:c r="D29" s="23" t="n">
        <x:v>7251.8</x:v>
      </x:c>
      <x:c r="E29" s="23" t="n">
        <x:v>6819.2</x:v>
      </x:c>
      <x:c r="F29" s="23" t="n">
        <x:v>7015.8</x:v>
      </x:c>
      <x:c r="G29" s="23"/>
      <x:c r="H29" s="24"/>
      <x:c r="I29" s="26" t="n">
        <x:f>ROUND(D29-E29,1)</x:f>
        <x:v>432.6</x:v>
      </x:c>
      <x:c r="J29" s="22" t="str">
        <x:v>IM2612</x:v>
      </x:c>
      <x:c r="K29" s="22" t="n">
        <x:v>2</x:v>
      </x:c>
    </x:row>
    <x:row r="30">
      <x:c r="A30" s="22" t="n">
        <x:v>2</x:v>
      </x:c>
      <x:c r="B30" s="22" t="str">
        <x:v>10月12日-10月16日</x:v>
      </x:c>
      <x:c r="C30" s="23" t="n">
        <x:v>7000</x:v>
      </x:c>
      <x:c r="D30" s="23" t="n">
        <x:v>7031.2</x:v>
      </x:c>
      <x:c r="E30" s="23" t="n">
        <x:v>6519.6</x:v>
      </x:c>
      <x:c r="F30" s="23" t="n">
        <x:v>6583.6</x:v>
      </x:c>
      <x:c r="G30" s="28" t="n">
        <x:f>ROUND(F30-F29,1)</x:f>
        <x:v>-432.2</x:v>
      </x:c>
      <x:c r="H30" s="24" t="n">
        <x:f>IFERROR(F30/F29-1,"")</x:f>
        <x:v>-0.06160380854642378</x:v>
      </x:c>
      <x:c r="I30" s="26" t="n">
        <x:f>ROUND(D30-E30,1)</x:f>
        <x:v>511.6</x:v>
      </x:c>
      <x:c r="J30" s="22" t="str">
        <x:v>IM2612</x:v>
      </x:c>
      <x:c r="K30" s="22" t="n">
        <x:v>5</x:v>
      </x:c>
    </x:row>
    <x:row r="31">
      <x:c r="A31" s="22" t="n">
        <x:v>3</x:v>
      </x:c>
      <x:c r="B31" s="22" t="str">
        <x:v>10月19日-10月22日</x:v>
      </x:c>
      <x:c r="C31" s="23" t="n">
        <x:v>6577.2</x:v>
      </x:c>
      <x:c r="D31" s="23" t="n">
        <x:v>6799.6</x:v>
      </x:c>
      <x:c r="E31" s="23" t="n">
        <x:v>6466.8</x:v>
      </x:c>
      <x:c r="F31" s="23" t="n">
        <x:v>6471.6</x:v>
      </x:c>
      <x:c r="G31" s="23" t="n">
        <x:f>ROUND(F31-F30,1)</x:f>
        <x:v>-112</x:v>
      </x:c>
      <x:c r="H31" s="24" t="n">
        <x:f>IFERROR(F31/F30-1,"")</x:f>
        <x:v>-0.017011969135427463</x:v>
      </x:c>
      <x:c r="I31" s="26" t="n">
        <x:f>ROUND(D31-E31,1)</x:f>
        <x:v>332.8</x:v>
      </x:c>
      <x:c r="J31" s="22" t="str">
        <x:v>IM2612</x:v>
      </x:c>
      <x:c r="K31" s="22" t="n">
        <x:v>4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1277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425.7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10月8日-10月9日</x:v>
      </x:c>
      <x:c r="C37" s="23" t="n">
        <x:v>7295</x:v>
      </x:c>
      <x:c r="D37" s="23" t="n">
        <x:v>7355</x:v>
      </x:c>
      <x:c r="E37" s="23" t="n">
        <x:v>6932</x:v>
      </x:c>
      <x:c r="F37" s="23" t="n">
        <x:v>7111</x:v>
      </x:c>
      <x:c r="G37" s="23"/>
      <x:c r="H37" s="24"/>
      <x:c r="I37" s="26" t="n">
        <x:f>ROUND(D37-E37,1)</x:f>
        <x:v>423</x:v>
      </x:c>
      <x:c r="J37" s="22" t="str">
        <x:v>IC2612</x:v>
      </x:c>
      <x:c r="K37" s="22" t="n">
        <x:v>2</x:v>
      </x:c>
    </x:row>
    <x:row r="38">
      <x:c r="A38" s="22" t="n">
        <x:v>2</x:v>
      </x:c>
      <x:c r="B38" s="22" t="str">
        <x:v>10月12日-10月16日</x:v>
      </x:c>
      <x:c r="C38" s="23" t="n">
        <x:v>7076.6</x:v>
      </x:c>
      <x:c r="D38" s="23" t="n">
        <x:v>7115.6</x:v>
      </x:c>
      <x:c r="E38" s="23" t="n">
        <x:v>6583.2</x:v>
      </x:c>
      <x:c r="F38" s="23" t="n">
        <x:v>6667.8</x:v>
      </x:c>
      <x:c r="G38" s="28" t="n">
        <x:f>ROUND(F38-F37,1)</x:f>
        <x:v>-443.2</x:v>
      </x:c>
      <x:c r="H38" s="24" t="n">
        <x:f>IFERROR(F38/F37-1,"")</x:f>
        <x:v>-0.062325973843341265</x:v>
      </x:c>
      <x:c r="I38" s="26" t="n">
        <x:f>ROUND(D38-E38,1)</x:f>
        <x:v>532.4</x:v>
      </x:c>
      <x:c r="J38" s="22" t="str">
        <x:v>IC2612</x:v>
      </x:c>
      <x:c r="K38" s="22" t="n">
        <x:v>5</x:v>
      </x:c>
    </x:row>
    <x:row r="39">
      <x:c r="A39" s="22" t="n">
        <x:v>3</x:v>
      </x:c>
      <x:c r="B39" s="22" t="str">
        <x:v>10月19日-10月22日</x:v>
      </x:c>
      <x:c r="C39" s="23" t="n">
        <x:v>6670.2</x:v>
      </x:c>
      <x:c r="D39" s="23" t="n">
        <x:v>6864</x:v>
      </x:c>
      <x:c r="E39" s="23" t="n">
        <x:v>6543</x:v>
      </x:c>
      <x:c r="F39" s="23" t="n">
        <x:v>6543</x:v>
      </x:c>
      <x:c r="G39" s="23" t="n">
        <x:f>ROUND(F39-F38,1)</x:f>
        <x:v>-124.8</x:v>
      </x:c>
      <x:c r="H39" s="24" t="n">
        <x:f>IFERROR(F39/F38-1,"")</x:f>
        <x:v>-0.01871681814091608</x:v>
      </x:c>
      <x:c r="I39" s="26" t="n">
        <x:f>ROUND(D39-E39,1)</x:f>
        <x:v>321</x:v>
      </x:c>
      <x:c r="J39" s="22" t="str">
        <x:v>IC2612</x:v>
      </x:c>
      <x:c r="K39" s="22" t="n">
        <x:v>4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1276.4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425.5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10月8日-10月9日</x:v>
      </x:c>
      <x:c r="C45" s="23" t="n">
        <x:v>4300.8</x:v>
      </x:c>
      <x:c r="D45" s="23" t="n">
        <x:v>4331.6</x:v>
      </x:c>
      <x:c r="E45" s="23" t="n">
        <x:v>4180.4</x:v>
      </x:c>
      <x:c r="F45" s="23" t="n">
        <x:v>4244.8</x:v>
      </x:c>
      <x:c r="G45" s="23"/>
      <x:c r="H45" s="24"/>
      <x:c r="I45" s="26" t="n">
        <x:f>ROUND(D45-E45,1)</x:f>
        <x:v>151.2</x:v>
      </x:c>
      <x:c r="J45" s="22" t="str">
        <x:v>IF2612</x:v>
      </x:c>
      <x:c r="K45" s="22" t="n">
        <x:v>2</x:v>
      </x:c>
    </x:row>
    <x:row r="46">
      <x:c r="A46" s="22" t="n">
        <x:v>2</x:v>
      </x:c>
      <x:c r="B46" s="22" t="str">
        <x:v>10月12日-10月16日</x:v>
      </x:c>
      <x:c r="C46" s="23" t="n">
        <x:v>4240.4</x:v>
      </x:c>
      <x:c r="D46" s="23" t="n">
        <x:v>4273.6</x:v>
      </x:c>
      <x:c r="E46" s="23" t="n">
        <x:v>4045.2</x:v>
      </x:c>
      <x:c r="F46" s="23" t="n">
        <x:v>4088.8</x:v>
      </x:c>
      <x:c r="G46" s="28" t="n">
        <x:f>ROUND(F46-F45,1)</x:f>
        <x:v>-156</x:v>
      </x:c>
      <x:c r="H46" s="24" t="n">
        <x:f>IFERROR(F46/F45-1,"")</x:f>
        <x:v>-0.03675084809649454</x:v>
      </x:c>
      <x:c r="I46" s="26" t="n">
        <x:f>ROUND(D46-E46,1)</x:f>
        <x:v>228.4</x:v>
      </x:c>
      <x:c r="J46" s="22" t="str">
        <x:v>IF2612</x:v>
      </x:c>
      <x:c r="K46" s="22" t="n">
        <x:v>5</x:v>
      </x:c>
    </x:row>
    <x:row r="47">
      <x:c r="A47" s="22" t="n">
        <x:v>3</x:v>
      </x:c>
      <x:c r="B47" s="22" t="str">
        <x:v>10月19日-10月21日</x:v>
      </x:c>
      <x:c r="C47" s="23" t="n">
        <x:v>4086.4</x:v>
      </x:c>
      <x:c r="D47" s="23" t="n">
        <x:v>4140.2</x:v>
      </x:c>
      <x:c r="E47" s="23" t="n">
        <x:v>4038</x:v>
      </x:c>
      <x:c r="F47" s="23" t="n">
        <x:v>4047.6</x:v>
      </x:c>
      <x:c r="G47" s="23" t="n">
        <x:f>ROUND(F47-F46,1)</x:f>
        <x:v>-41.2</x:v>
      </x:c>
      <x:c r="H47" s="24" t="n">
        <x:f>IFERROR(F47/F46-1,"")</x:f>
        <x:v>-0.010076306006652436</x:v>
      </x:c>
      <x:c r="I47" s="26" t="n">
        <x:f>ROUND(D47-E47,1)</x:f>
        <x:v>102.2</x:v>
      </x:c>
      <x:c r="J47" s="22" t="str">
        <x:v>IF2612</x:v>
      </x:c>
      <x:c r="K47" s="22" t="n">
        <x:v>3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481.8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160.6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10月8日-10月9日</x:v>
      </x:c>
      <x:c r="C53" s="23" t="n">
        <x:v>2764</x:v>
      </x:c>
      <x:c r="D53" s="23" t="n">
        <x:v>2798.4</x:v>
      </x:c>
      <x:c r="E53" s="23" t="n">
        <x:v>2735</x:v>
      </x:c>
      <x:c r="F53" s="23" t="n">
        <x:v>2764</x:v>
      </x:c>
      <x:c r="G53" s="23"/>
      <x:c r="H53" s="24"/>
      <x:c r="I53" s="26" t="n">
        <x:f>ROUND(D53-E53,1)</x:f>
        <x:v>63.4</x:v>
      </x:c>
      <x:c r="J53" s="22" t="str">
        <x:v>IH2612</x:v>
      </x:c>
      <x:c r="K53" s="22" t="n">
        <x:v>2</x:v>
      </x:c>
    </x:row>
    <x:row r="54">
      <x:c r="A54" s="22" t="n">
        <x:v>2</x:v>
      </x:c>
      <x:c r="B54" s="22" t="str">
        <x:v>10月12日-10月16日</x:v>
      </x:c>
      <x:c r="C54" s="23" t="n">
        <x:v>2762</x:v>
      </x:c>
      <x:c r="D54" s="23" t="n">
        <x:v>2794</x:v>
      </x:c>
      <x:c r="E54" s="23" t="n">
        <x:v>2677.6</x:v>
      </x:c>
      <x:c r="F54" s="23" t="n">
        <x:v>2704.6</x:v>
      </x:c>
      <x:c r="G54" s="23" t="n">
        <x:f>ROUND(F54-F53,1)</x:f>
        <x:v>-59.4</x:v>
      </x:c>
      <x:c r="H54" s="24" t="n">
        <x:f>IFERROR(F54/F53-1,"")</x:f>
        <x:v>-0.0214905933429812</x:v>
      </x:c>
      <x:c r="I54" s="26" t="n">
        <x:f>ROUND(D54-E54,1)</x:f>
        <x:v>116.4</x:v>
      </x:c>
      <x:c r="J54" s="22" t="str">
        <x:v>IH2612</x:v>
      </x:c>
      <x:c r="K54" s="22" t="n">
        <x:v>5</x:v>
      </x:c>
    </x:row>
    <x:row r="55">
      <x:c r="A55" s="22" t="n">
        <x:v>3</x:v>
      </x:c>
      <x:c r="B55" s="22" t="str">
        <x:v>10月19日-10月22日</x:v>
      </x:c>
      <x:c r="C55" s="23" t="n">
        <x:v>2690</x:v>
      </x:c>
      <x:c r="D55" s="23" t="n">
        <x:v>2754.6</x:v>
      </x:c>
      <x:c r="E55" s="23" t="n">
        <x:v>2669.2</x:v>
      </x:c>
      <x:c r="F55" s="23" t="n">
        <x:v>2679.2</x:v>
      </x:c>
      <x:c r="G55" s="23" t="n">
        <x:f>ROUND(F55-F54,1)</x:f>
        <x:v>-25.4</x:v>
      </x:c>
      <x:c r="H55" s="24" t="n">
        <x:f>IFERROR(F55/F54-1,"")</x:f>
        <x:v>-0.009391407232123061</x:v>
      </x:c>
      <x:c r="I55" s="26" t="n">
        <x:f>ROUND(D55-E55,1)</x:f>
        <x:v>85.4</x:v>
      </x:c>
      <x:c r="J55" s="22" t="str">
        <x:v>IH2612</x:v>
      </x:c>
      <x:c r="K55" s="22" t="n">
        <x:v>4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265.2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88.4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10月8日-10月9日</x:v>
      </x:c>
      <x:c r="C61" s="23" t="n">
        <x:v>120020</x:v>
      </x:c>
      <x:c r="D61" s="23" t="n">
        <x:v>126800</x:v>
      </x:c>
      <x:c r="E61" s="23" t="n">
        <x:v>119000</x:v>
      </x:c>
      <x:c r="F61" s="23" t="n">
        <x:v>121000</x:v>
      </x:c>
      <x:c r="G61" s="23"/>
      <x:c r="H61" s="24"/>
      <x:c r="I61" s="26" t="n">
        <x:f>ROUND(D61-E61,1)</x:f>
        <x:v>7800</x:v>
      </x:c>
      <x:c r="J61" s="22" t="str">
        <x:v>LC2610</x:v>
      </x:c>
      <x:c r="K61" s="22" t="n">
        <x:v>2</x:v>
      </x:c>
    </x:row>
    <x:row r="62">
      <x:c r="A62" s="22" t="n">
        <x:v>2</x:v>
      </x:c>
      <x:c r="B62" s="22" t="str">
        <x:v>10月12日-10月16日</x:v>
      </x:c>
      <x:c r="C62" s="23" t="n">
        <x:v>125960</x:v>
      </x:c>
      <x:c r="D62" s="23" t="n">
        <x:v>125960</x:v>
      </x:c>
      <x:c r="E62" s="23" t="n">
        <x:v>99500</x:v>
      </x:c>
      <x:c r="F62" s="23" t="n">
        <x:v>99500</x:v>
      </x:c>
      <x:c r="G62" s="28" t="n">
        <x:f>ROUND(F62-F61,1)</x:f>
        <x:v>-21500</x:v>
      </x:c>
      <x:c r="H62" s="24" t="n">
        <x:f>IFERROR(F62/F61-1,"")</x:f>
        <x:v>-0.1776859504132231</x:v>
      </x:c>
      <x:c r="I62" s="26" t="n">
        <x:f>ROUND(D62-E62,1)</x:f>
        <x:v>26460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10月19日-10月21日</x:v>
      </x:c>
      <x:c r="C63" s="23" t="n">
        <x:v>99600</x:v>
      </x:c>
      <x:c r="D63" s="23" t="n">
        <x:v>103420</x:v>
      </x:c>
      <x:c r="E63" s="23" t="n">
        <x:v>98000</x:v>
      </x:c>
      <x:c r="F63" s="23" t="n">
        <x:v>98540</x:v>
      </x:c>
      <x:c r="G63" s="28" t="n">
        <x:f>ROUND(F63-F62,1)</x:f>
        <x:v>-960</x:v>
      </x:c>
      <x:c r="H63" s="24" t="n">
        <x:f>IFERROR(F63/F62-1,"")</x:f>
        <x:v>-0.00964824120603014</x:v>
      </x:c>
      <x:c r="I63" s="23" t="n">
        <x:f>ROUND(D63-E63,1)</x:f>
        <x:v>5420</x:v>
      </x:c>
      <x:c r="J63" s="22" t="str">
        <x:v>LC2610</x:v>
      </x:c>
      <x:c r="K63" s="22" t="n">
        <x:v>3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39680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13226.7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2119.2999999999997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192.7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1989.4999999999998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180.9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619.9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56.4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2267.6000000000004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206.1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2204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200.4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804.2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80.4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502.2000000000001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45.7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