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aa234a13e841c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30cbf2ee6c44424"/>
    <x:sheet xmlns:r="http://schemas.openxmlformats.org/officeDocument/2006/relationships" name="周振幅统计" sheetId="2" r:id="R114335d81dba4ceb"/>
    <x:sheet xmlns:r="http://schemas.openxmlformats.org/officeDocument/2006/relationships" name="中证1000" sheetId="3" r:id="Rfeea35fde6b54db5"/>
    <x:sheet xmlns:r="http://schemas.openxmlformats.org/officeDocument/2006/relationships" name="中证500" sheetId="4" r:id="R962a8ac736824935"/>
    <x:sheet xmlns:r="http://schemas.openxmlformats.org/officeDocument/2006/relationships" name="上证指数" sheetId="5" r:id="R16707cb2688f4a59"/>
    <x:sheet xmlns:r="http://schemas.openxmlformats.org/officeDocument/2006/relationships" name="IM主力" sheetId="6" r:id="Ref8a6d09a9c94601"/>
    <x:sheet xmlns:r="http://schemas.openxmlformats.org/officeDocument/2006/relationships" name="IC主力" sheetId="7" r:id="Rd2eae34dfc81426a"/>
    <x:sheet xmlns:r="http://schemas.openxmlformats.org/officeDocument/2006/relationships" name="IF主力" sheetId="8" r:id="Rade25e1aaa6e4807"/>
    <x:sheet xmlns:r="http://schemas.openxmlformats.org/officeDocument/2006/relationships" name="IH主力" sheetId="9" r:id="R30ceb238dcb14508"/>
    <x:sheet xmlns:r="http://schemas.openxmlformats.org/officeDocument/2006/relationships" name="碳酸锂2610" sheetId="10" r:id="Ra80cff5d90e3401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9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f0e46d046b47d4" /><Relationship Type="http://schemas.openxmlformats.org/officeDocument/2006/relationships/theme" Target="/xl/theme/theme1.xml" Id="R6a3f295d3e7f47ac" /><Relationship Type="http://schemas.openxmlformats.org/officeDocument/2006/relationships/sharedStrings" Target="/xl/sharedStrings.xml" Id="Ra0ff0f0017e34a9f" /><Relationship Type="http://schemas.openxmlformats.org/officeDocument/2006/relationships/worksheet" Target="/xl/worksheets/sheet1.xml" Id="R230cbf2ee6c44424" /><Relationship Type="http://schemas.openxmlformats.org/officeDocument/2006/relationships/worksheet" Target="/xl/worksheets/sheet2.xml" Id="R114335d81dba4ceb" /><Relationship Type="http://schemas.openxmlformats.org/officeDocument/2006/relationships/worksheet" Target="/xl/worksheets/sheet3.xml" Id="Rfeea35fde6b54db5" /><Relationship Type="http://schemas.openxmlformats.org/officeDocument/2006/relationships/worksheet" Target="/xl/worksheets/sheet4.xml" Id="R962a8ac736824935" /><Relationship Type="http://schemas.openxmlformats.org/officeDocument/2006/relationships/worksheet" Target="/xl/worksheets/sheet5.xml" Id="R16707cb2688f4a59" /><Relationship Type="http://schemas.openxmlformats.org/officeDocument/2006/relationships/worksheet" Target="/xl/worksheets/sheet6.xml" Id="Ref8a6d09a9c94601" /><Relationship Type="http://schemas.openxmlformats.org/officeDocument/2006/relationships/worksheet" Target="/xl/worksheets/sheet7.xml" Id="Rd2eae34dfc81426a" /><Relationship Type="http://schemas.openxmlformats.org/officeDocument/2006/relationships/worksheet" Target="/xl/worksheets/sheet8.xml" Id="Rade25e1aaa6e4807" /><Relationship Type="http://schemas.openxmlformats.org/officeDocument/2006/relationships/worksheet" Target="/xl/worksheets/sheet9.xml" Id="R30ceb238dcb14508" /><Relationship Type="http://schemas.openxmlformats.org/officeDocument/2006/relationships/worksheet" Target="/xl/worksheets/sheet10.xml" Id="Ra80cff5d90e3401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2026年9月统计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2026-09-17</x:v>
      </x:c>
      <x:c r="C4" s="10" t="n">
        <x:v>7632.53</x:v>
      </x:c>
      <x:c r="D4" s="10" t="n">
        <x:v>7522.77</x:v>
      </x:c>
      <x:c r="E4" s="12" t="n">
        <x:v>109.8</x:v>
      </x:c>
      <x:c r="F4" s="9" t="n">
        <x:v>13</x:v>
      </x:c>
      <x:c r="G4" s="10" t="n">
        <x:v>1797.1</x:v>
      </x:c>
      <x:c r="H4" s="10" t="n">
        <x:v>138.2</x:v>
      </x:c>
      <x:c r="I4" s="10" t="n">
        <x:v>180</x:v>
      </x:c>
    </x:row>
    <x:row r="5">
      <x:c r="A5" s="9" t="str">
        <x:v>中证500</x:v>
      </x:c>
      <x:c r="B5" s="9" t="str">
        <x:v>2026-09-17</x:v>
      </x:c>
      <x:c r="C5" s="10" t="n">
        <x:v>7738.03</x:v>
      </x:c>
      <x:c r="D5" s="10" t="n">
        <x:v>7622.55</x:v>
      </x:c>
      <x:c r="E5" s="12" t="n">
        <x:v>115.5</x:v>
      </x:c>
      <x:c r="F5" s="9" t="n">
        <x:v>13</x:v>
      </x:c>
      <x:c r="G5" s="10" t="n">
        <x:v>1617.6</x:v>
      </x:c>
      <x:c r="H5" s="10" t="n">
        <x:v>124.4</x:v>
      </x:c>
      <x:c r="I5" s="10" t="n">
        <x:v>160</x:v>
      </x:c>
    </x:row>
    <x:row r="6">
      <x:c r="A6" s="9" t="str">
        <x:v>上证指数</x:v>
      </x:c>
      <x:c r="B6" s="9" t="str">
        <x:v>2026-09-17</x:v>
      </x:c>
      <x:c r="C6" s="10" t="n">
        <x:v>3898.84</x:v>
      </x:c>
      <x:c r="D6" s="10" t="n">
        <x:v>3866.89</x:v>
      </x:c>
      <x:c r="E6" s="12" t="n">
        <x:v>32</x:v>
      </x:c>
      <x:c r="F6" s="9" t="n">
        <x:v>13</x:v>
      </x:c>
      <x:c r="G6" s="10" t="n">
        <x:v>465.3</x:v>
      </x:c>
      <x:c r="H6" s="10" t="n">
        <x:v>35.8</x:v>
      </x:c>
      <x:c r="I6" s="10" t="n">
        <x:v>50</x:v>
      </x:c>
    </x:row>
    <x:row r="7">
      <x:c r="A7" s="9" t="str">
        <x:v>IM主力</x:v>
      </x:c>
      <x:c r="B7" s="9" t="str">
        <x:v>2026-09-16</x:v>
      </x:c>
      <x:c r="C7" s="10" t="n">
        <x:v>7623.6</x:v>
      </x:c>
      <x:c r="D7" s="10" t="n">
        <x:v>7401.6</x:v>
      </x:c>
      <x:c r="E7" s="12" t="n">
        <x:v>222</x:v>
      </x:c>
      <x:c r="F7" s="9" t="n">
        <x:v>12</x:v>
      </x:c>
      <x:c r="G7" s="10" t="n">
        <x:v>1888.6</x:v>
      </x:c>
      <x:c r="H7" s="10" t="n">
        <x:v>157.4</x:v>
      </x:c>
      <x:c r="I7" s="10" t="n">
        <x:v>190</x:v>
      </x:c>
    </x:row>
    <x:row r="8">
      <x:c r="A8" s="9" t="str">
        <x:v>IC主力</x:v>
      </x:c>
      <x:c r="B8" s="9" t="str">
        <x:v>2026-09-16</x:v>
      </x:c>
      <x:c r="C8" s="10" t="n">
        <x:v>7710</x:v>
      </x:c>
      <x:c r="D8" s="10" t="n">
        <x:v>7516.2</x:v>
      </x:c>
      <x:c r="E8" s="12" t="n">
        <x:v>193.8</x:v>
      </x:c>
      <x:c r="F8" s="9" t="n">
        <x:v>12</x:v>
      </x:c>
      <x:c r="G8" s="10" t="n">
        <x:v>1774.4</x:v>
      </x:c>
      <x:c r="H8" s="10" t="n">
        <x:v>147.9</x:v>
      </x:c>
      <x:c r="I8" s="10" t="n">
        <x:v>150</x:v>
      </x:c>
    </x:row>
    <x:row r="9">
      <x:c r="A9" s="9" t="str">
        <x:v>IF主力</x:v>
      </x:c>
      <x:c r="B9" s="9" t="str">
        <x:v>2026-09-16</x:v>
      </x:c>
      <x:c r="C9" s="10" t="n">
        <x:v>4487</x:v>
      </x:c>
      <x:c r="D9" s="10" t="n">
        <x:v>4412.2</x:v>
      </x:c>
      <x:c r="E9" s="12" t="n">
        <x:v>74.8</x:v>
      </x:c>
      <x:c r="F9" s="9" t="n">
        <x:v>12</x:v>
      </x:c>
      <x:c r="G9" s="10" t="n">
        <x:v>649</x:v>
      </x:c>
      <x:c r="H9" s="10" t="n">
        <x:v>54.1</x:v>
      </x:c>
      <x:c r="I9" s="10" t="n">
        <x:v>90</x:v>
      </x:c>
    </x:row>
    <x:row r="10">
      <x:c r="A10" s="9" t="str">
        <x:v>IH主力</x:v>
      </x:c>
      <x:c r="B10" s="9" t="str">
        <x:v>2026-09-16</x:v>
      </x:c>
      <x:c r="C10" s="10" t="n">
        <x:v>2873.2</x:v>
      </x:c>
      <x:c r="D10" s="10" t="n">
        <x:v>2829.4</x:v>
      </x:c>
      <x:c r="E10" s="12" t="n">
        <x:v>43.8</x:v>
      </x:c>
      <x:c r="F10" s="9" t="n">
        <x:v>12</x:v>
      </x:c>
      <x:c r="G10" s="10" t="n">
        <x:v>381</x:v>
      </x:c>
      <x:c r="H10" s="10" t="n">
        <x:v>31.8</x:v>
      </x:c>
      <x:c r="I10" s="10" t="n">
        <x:v>60</x:v>
      </x:c>
    </x:row>
    <x:row r="11">
      <x:c r="A11" s="9" t="str">
        <x:v>碳酸锂2610</x:v>
      </x:c>
      <x:c r="B11" s="9" t="str">
        <x:v>2026-09-17</x:v>
      </x:c>
      <x:c r="C11" s="10" t="n">
        <x:v>133760</x:v>
      </x:c>
      <x:c r="D11" s="10" t="n">
        <x:v>127900</x:v>
      </x:c>
      <x:c r="E11" s="12" t="n">
        <x:v>5860</x:v>
      </x:c>
      <x:c r="F11" s="9" t="n">
        <x:v>13</x:v>
      </x:c>
      <x:c r="G11" s="10" t="n">
        <x:v>73220</x:v>
      </x:c>
      <x:c r="H11" s="10" t="n">
        <x:v>5632.3</x:v>
      </x:c>
      <x:c r="I11" s="10" t="n">
        <x:v>6000</x:v>
      </x:c>
    </x:row>
    <x:row r="14">
      <x:c r="A14" s="14" t="str">
        <x:v>统计区间</x:v>
      </x:c>
      <x:c r="B14" s="14" t="str">
        <x:v>2026-09-01</x:v>
      </x:c>
      <x:c r="C14" s="14" t="str">
        <x:v>2026-09-17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2026年9月统计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9月1日-9月4日</x:v>
      </x:c>
      <x:c r="C5" s="23" t="n">
        <x:v>7773.06</x:v>
      </x:c>
      <x:c r="D5" s="23" t="n">
        <x:v>7773.06</x:v>
      </x:c>
      <x:c r="E5" s="23" t="n">
        <x:v>7464.98</x:v>
      </x:c>
      <x:c r="F5" s="23" t="n">
        <x:v>7508.09</x:v>
      </x:c>
      <x:c r="G5" s="23"/>
      <x:c r="H5" s="24"/>
      <x:c r="I5" s="26" t="n">
        <x:f>ROUND(D5-E5,1)</x:f>
        <x:v>308.1</x:v>
      </x:c>
      <x:c r="J5" s="22" t="str">
        <x:v>中证1000</x:v>
      </x:c>
      <x:c r="K5" s="22" t="n">
        <x:v>4</x:v>
      </x:c>
    </x:row>
    <x:row r="6">
      <x:c r="A6" s="22" t="n">
        <x:v>2</x:v>
      </x:c>
      <x:c r="B6" s="22" t="str">
        <x:v>9月7日-9月11日</x:v>
      </x:c>
      <x:c r="C6" s="23" t="n">
        <x:v>7551.02</x:v>
      </x:c>
      <x:c r="D6" s="23" t="n">
        <x:v>7724.94</x:v>
      </x:c>
      <x:c r="E6" s="23" t="n">
        <x:v>7284.53</x:v>
      </x:c>
      <x:c r="F6" s="23" t="n">
        <x:v>7427.24</x:v>
      </x:c>
      <x:c r="G6" s="23" t="n">
        <x:f>ROUND(F6-F5,1)</x:f>
        <x:v>-80.9</x:v>
      </x:c>
      <x:c r="H6" s="24" t="n">
        <x:f>IFERROR(F6/F5-1,"")</x:f>
        <x:v>-0.010768384502583217</x:v>
      </x:c>
      <x:c r="I6" s="26" t="n">
        <x:f>ROUND(D6-E6,1)</x:f>
        <x:v>440.4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9月14日-9月17日</x:v>
      </x:c>
      <x:c r="C7" s="23" t="n">
        <x:v>7363.42</x:v>
      </x:c>
      <x:c r="D7" s="23" t="n">
        <x:v>7632.53</x:v>
      </x:c>
      <x:c r="E7" s="23" t="n">
        <x:v>7329.6</x:v>
      </x:c>
      <x:c r="F7" s="23" t="n">
        <x:v>7548.82</x:v>
      </x:c>
      <x:c r="G7" s="23" t="n">
        <x:f>ROUND(F7-F6,1)</x:f>
        <x:v>121.6</x:v>
      </x:c>
      <x:c r="H7" s="24" t="n">
        <x:f>IFERROR(F7/F6-1,"")</x:f>
        <x:v>0.01636947237466413</x:v>
      </x:c>
      <x:c r="I7" s="26" t="n">
        <x:f>ROUND(D7-E7,1)</x:f>
        <x:v>302.9</x:v>
      </x:c>
      <x:c r="J7" s="22" t="str">
        <x:v>中证1000</x:v>
      </x:c>
      <x:c r="K7" s="22" t="n">
        <x:v>4</x:v>
      </x:c>
    </x:row>
    <x:row r="8">
      <x:c r="A8" s="29" t="str">
        <x:v>合计</x:v>
      </x:c>
      <x:c r="B8" s="28" t="n">
        <x:v>3</x:v>
      </x:c>
      <x:c r="C8" s="28"/>
      <x:c r="D8" s="28"/>
      <x:c r="E8" s="28"/>
      <x:c r="F8" s="28"/>
      <x:c r="G8" s="28"/>
      <x:c r="H8" s="28"/>
      <x:c r="I8" s="30" t="n">
        <x:f>ROUND(SUM(I5:I7),1)</x:f>
        <x:v>1051.4</x:v>
      </x:c>
      <x:c r="J8" s="28"/>
      <x:c r="K8" s="28"/>
    </x:row>
    <x:row r="9">
      <x:c r="A9" s="29" t="str">
        <x:v>均值</x:v>
      </x:c>
      <x:c r="B9" s="28"/>
      <x:c r="C9" s="28"/>
      <x:c r="D9" s="28"/>
      <x:c r="E9" s="28"/>
      <x:c r="F9" s="28"/>
      <x:c r="G9" s="28"/>
      <x:c r="H9" s="28"/>
      <x:c r="I9" s="32" t="n">
        <x:f>ROUND(IFERROR(AVERAGE(I5:I7),0),1)</x:f>
        <x:v>350.5</x:v>
      </x:c>
      <x:c r="J9" s="28"/>
      <x:c r="K9" s="28"/>
    </x:row>
    <x:row r="11">
      <x:c r="A11" s="17" t="str">
        <x:v>中证500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2" t="n">
        <x:v>1</x:v>
      </x:c>
      <x:c r="B13" s="22" t="str">
        <x:v>9月1日-9月4日</x:v>
      </x:c>
      <x:c r="C13" s="23" t="n">
        <x:v>7944.29</x:v>
      </x:c>
      <x:c r="D13" s="23" t="n">
        <x:v>7955.57</x:v>
      </x:c>
      <x:c r="E13" s="23" t="n">
        <x:v>7610.58</x:v>
      </x:c>
      <x:c r="F13" s="23" t="n">
        <x:v>7652.69</x:v>
      </x:c>
      <x:c r="G13" s="23"/>
      <x:c r="H13" s="24"/>
      <x:c r="I13" s="26" t="n">
        <x:f>ROUND(D13-E13,1)</x:f>
        <x:v>345</x:v>
      </x:c>
      <x:c r="J13" s="22" t="str">
        <x:v>中证500</x:v>
      </x:c>
      <x:c r="K13" s="22" t="n">
        <x:v>4</x:v>
      </x:c>
    </x:row>
    <x:row r="14">
      <x:c r="A14" s="22" t="n">
        <x:v>2</x:v>
      </x:c>
      <x:c r="B14" s="22" t="str">
        <x:v>9月7日-9月11日</x:v>
      </x:c>
      <x:c r="C14" s="23" t="n">
        <x:v>7687.47</x:v>
      </x:c>
      <x:c r="D14" s="23" t="n">
        <x:v>7830.16</x:v>
      </x:c>
      <x:c r="E14" s="23" t="n">
        <x:v>7451.12</x:v>
      </x:c>
      <x:c r="F14" s="23" t="n">
        <x:v>7580.54</x:v>
      </x:c>
      <x:c r="G14" s="23" t="n">
        <x:f>ROUND(F14-F13,1)</x:f>
        <x:v>-72.1</x:v>
      </x:c>
      <x:c r="H14" s="24" t="n">
        <x:f>IFERROR(F14/F13-1,"")</x:f>
        <x:v>-0.009428057323633832</x:v>
      </x:c>
      <x:c r="I14" s="26" t="n">
        <x:f>ROUND(D14-E14,1)</x:f>
        <x:v>379</x:v>
      </x:c>
      <x:c r="J14" s="22" t="str">
        <x:v>中证500</x:v>
      </x:c>
      <x:c r="K14" s="22" t="n">
        <x:v>5</x:v>
      </x:c>
    </x:row>
    <x:row r="15">
      <x:c r="A15" s="22" t="n">
        <x:v>3</x:v>
      </x:c>
      <x:c r="B15" s="22" t="str">
        <x:v>9月14日-9月17日</x:v>
      </x:c>
      <x:c r="C15" s="23" t="n">
        <x:v>7511.04</x:v>
      </x:c>
      <x:c r="D15" s="23" t="n">
        <x:v>7738.03</x:v>
      </x:c>
      <x:c r="E15" s="23" t="n">
        <x:v>7487.46</x:v>
      </x:c>
      <x:c r="F15" s="23" t="n">
        <x:v>7654.98</x:v>
      </x:c>
      <x:c r="G15" s="23" t="n">
        <x:f>ROUND(F15-F14,1)</x:f>
        <x:v>74.4</x:v>
      </x:c>
      <x:c r="H15" s="24" t="n">
        <x:f>IFERROR(F15/F14-1,"")</x:f>
        <x:v>0.009819880905581835</x:v>
      </x:c>
      <x:c r="I15" s="26" t="n">
        <x:f>ROUND(D15-E15,1)</x:f>
        <x:v>250.6</x:v>
      </x:c>
      <x:c r="J15" s="22" t="str">
        <x:v>中证500</x:v>
      </x:c>
      <x:c r="K15" s="22" t="n">
        <x:v>4</x:v>
      </x:c>
    </x:row>
    <x:row r="16">
      <x:c r="A16" s="29" t="str">
        <x:v>合计</x:v>
      </x:c>
      <x:c r="B16" s="28" t="n">
        <x:v>3</x:v>
      </x:c>
      <x:c r="C16" s="28"/>
      <x:c r="D16" s="28"/>
      <x:c r="E16" s="28"/>
      <x:c r="F16" s="28"/>
      <x:c r="G16" s="28"/>
      <x:c r="H16" s="28"/>
      <x:c r="I16" s="30" t="n">
        <x:f>ROUND(SUM(I13:I15),1)</x:f>
        <x:v>974.6</x:v>
      </x:c>
      <x:c r="J16" s="28"/>
      <x:c r="K16" s="28"/>
    </x:row>
    <x:row r="17">
      <x:c r="A17" s="29" t="str">
        <x:v>均值</x:v>
      </x:c>
      <x:c r="B17" s="28"/>
      <x:c r="C17" s="28"/>
      <x:c r="D17" s="28"/>
      <x:c r="E17" s="28"/>
      <x:c r="F17" s="28"/>
      <x:c r="G17" s="28"/>
      <x:c r="H17" s="28"/>
      <x:c r="I17" s="32" t="n">
        <x:f>ROUND(IFERROR(AVERAGE(I13:I15),0),1)</x:f>
        <x:v>324.9</x:v>
      </x:c>
      <x:c r="J17" s="28"/>
      <x:c r="K17" s="28"/>
    </x:row>
    <x:row r="19">
      <x:c r="A19" s="17" t="str">
        <x:v>上证指数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2" t="n">
        <x:v>1</x:v>
      </x:c>
      <x:c r="B21" s="22" t="str">
        <x:v>9月1日-9月4日</x:v>
      </x:c>
      <x:c r="C21" s="23" t="n">
        <x:v>3979.88</x:v>
      </x:c>
      <x:c r="D21" s="23" t="n">
        <x:v>3995.18</x:v>
      </x:c>
      <x:c r="E21" s="23" t="n">
        <x:v>3915.22</x:v>
      </x:c>
      <x:c r="F21" s="23" t="n">
        <x:v>3930.12</x:v>
      </x:c>
      <x:c r="G21" s="23"/>
      <x:c r="H21" s="24"/>
      <x:c r="I21" s="26" t="n">
        <x:f>ROUND(D21-E21,1)</x:f>
        <x:v>80</x:v>
      </x:c>
      <x:c r="J21" s="22" t="str">
        <x:v>上证指数</x:v>
      </x:c>
      <x:c r="K21" s="22" t="n">
        <x:v>4</x:v>
      </x:c>
    </x:row>
    <x:row r="22">
      <x:c r="A22" s="22" t="n">
        <x:v>2</x:v>
      </x:c>
      <x:c r="B22" s="22" t="str">
        <x:v>9月7日-9月11日</x:v>
      </x:c>
      <x:c r="C22" s="23" t="n">
        <x:v>3942.51</x:v>
      </x:c>
      <x:c r="D22" s="23" t="n">
        <x:v>3958.12</x:v>
      </x:c>
      <x:c r="E22" s="23" t="n">
        <x:v>3852.03</x:v>
      </x:c>
      <x:c r="F22" s="23" t="n">
        <x:v>3888.11</x:v>
      </x:c>
      <x:c r="G22" s="23" t="n">
        <x:f>ROUND(F22-F21,1)</x:f>
        <x:v>-42</x:v>
      </x:c>
      <x:c r="H22" s="24" t="n">
        <x:f>IFERROR(F22/F21-1,"")</x:f>
        <x:v>-0.010689241040986008</x:v>
      </x:c>
      <x:c r="I22" s="26" t="n">
        <x:f>ROUND(D22-E22,1)</x:f>
        <x:v>106.1</x:v>
      </x:c>
      <x:c r="J22" s="22" t="str">
        <x:v>上证指数</x:v>
      </x:c>
      <x:c r="K22" s="22" t="n">
        <x:v>5</x:v>
      </x:c>
    </x:row>
    <x:row r="23">
      <x:c r="A23" s="22" t="n">
        <x:v>3</x:v>
      </x:c>
      <x:c r="B23" s="22" t="str">
        <x:v>9月14日-9月17日</x:v>
      </x:c>
      <x:c r="C23" s="23" t="n">
        <x:v>3867.02</x:v>
      </x:c>
      <x:c r="D23" s="23" t="n">
        <x:v>3898.84</x:v>
      </x:c>
      <x:c r="E23" s="23" t="n">
        <x:v>3842.72</x:v>
      </x:c>
      <x:c r="F23" s="23" t="n">
        <x:v>3875.6</x:v>
      </x:c>
      <x:c r="G23" s="23" t="n">
        <x:f>ROUND(F23-F22,1)</x:f>
        <x:v>-12.5</x:v>
      </x:c>
      <x:c r="H23" s="24" t="n">
        <x:f>IFERROR(F23/F22-1,"")</x:f>
        <x:v>-0.0032175015624558156</x:v>
      </x:c>
      <x:c r="I23" s="26" t="n">
        <x:f>ROUND(D23-E23,1)</x:f>
        <x:v>56.1</x:v>
      </x:c>
      <x:c r="J23" s="22" t="str">
        <x:v>上证指数</x:v>
      </x:c>
      <x:c r="K23" s="22" t="n">
        <x:v>4</x:v>
      </x:c>
    </x:row>
    <x:row r="24">
      <x:c r="A24" s="29" t="str">
        <x:v>合计</x:v>
      </x:c>
      <x:c r="B24" s="28" t="n">
        <x:v>3</x:v>
      </x:c>
      <x:c r="C24" s="28"/>
      <x:c r="D24" s="28"/>
      <x:c r="E24" s="28"/>
      <x:c r="F24" s="28"/>
      <x:c r="G24" s="28"/>
      <x:c r="H24" s="28"/>
      <x:c r="I24" s="30" t="n">
        <x:f>ROUND(SUM(I21:I23),1)</x:f>
        <x:v>242.2</x:v>
      </x:c>
      <x:c r="J24" s="28"/>
      <x:c r="K24" s="28"/>
    </x:row>
    <x:row r="25">
      <x:c r="A25" s="29" t="str">
        <x:v>均值</x:v>
      </x:c>
      <x:c r="B25" s="28"/>
      <x:c r="C25" s="28"/>
      <x:c r="D25" s="28"/>
      <x:c r="E25" s="28"/>
      <x:c r="F25" s="28"/>
      <x:c r="G25" s="28"/>
      <x:c r="H25" s="28"/>
      <x:c r="I25" s="32" t="n">
        <x:f>ROUND(IFERROR(AVERAGE(I21:I23),0),1)</x:f>
        <x:v>80.7</x:v>
      </x:c>
      <x:c r="J25" s="28"/>
      <x:c r="K25" s="28"/>
    </x:row>
    <x:row r="27">
      <x:c r="A27" s="17" t="str">
        <x:v>IM主力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2" t="n">
        <x:v>1</x:v>
      </x:c>
      <x:c r="B29" s="22" t="str">
        <x:v>9月1日-9月4日</x:v>
      </x:c>
      <x:c r="C29" s="23" t="n">
        <x:v>7713.4</x:v>
      </x:c>
      <x:c r="D29" s="23" t="n">
        <x:v>7721</x:v>
      </x:c>
      <x:c r="E29" s="23" t="n">
        <x:v>7432</x:v>
      </x:c>
      <x:c r="F29" s="23" t="n">
        <x:v>7468.2</x:v>
      </x:c>
      <x:c r="G29" s="23"/>
      <x:c r="H29" s="24"/>
      <x:c r="I29" s="26" t="n">
        <x:f>ROUND(D29-E29,1)</x:f>
        <x:v>289</x:v>
      </x:c>
      <x:c r="J29" s="22" t="str">
        <x:v>IM2609</x:v>
      </x:c>
      <x:c r="K29" s="22" t="n">
        <x:v>4</x:v>
      </x:c>
    </x:row>
    <x:row r="30">
      <x:c r="A30" s="22" t="n">
        <x:v>2</x:v>
      </x:c>
      <x:c r="B30" s="22" t="str">
        <x:v>9月7日-9月11日</x:v>
      </x:c>
      <x:c r="C30" s="23" t="n">
        <x:v>7527.2</x:v>
      </x:c>
      <x:c r="D30" s="23" t="n">
        <x:v>7714.6</x:v>
      </x:c>
      <x:c r="E30" s="23" t="n">
        <x:v>7259.4</x:v>
      </x:c>
      <x:c r="F30" s="23" t="n">
        <x:v>7415.2</x:v>
      </x:c>
      <x:c r="G30" s="23" t="n">
        <x:f>ROUND(F30-F29,1)</x:f>
        <x:v>-53</x:v>
      </x:c>
      <x:c r="H30" s="24" t="n">
        <x:f>IFERROR(F30/F29-1,"")</x:f>
        <x:v>-0.007096756915990432</x:v>
      </x:c>
      <x:c r="I30" s="26" t="n">
        <x:f>ROUND(D30-E30,1)</x:f>
        <x:v>455.2</x:v>
      </x:c>
      <x:c r="J30" s="22" t="str">
        <x:v>IM2609</x:v>
      </x:c>
      <x:c r="K30" s="22" t="n">
        <x:v>5</x:v>
      </x:c>
    </x:row>
    <x:row r="31">
      <x:c r="A31" s="22" t="n">
        <x:v>3</x:v>
      </x:c>
      <x:c r="B31" s="22" t="str">
        <x:v>9月14日-9月16日</x:v>
      </x:c>
      <x:c r="C31" s="23" t="n">
        <x:v>7312</x:v>
      </x:c>
      <x:c r="D31" s="23" t="n">
        <x:v>7623.6</x:v>
      </x:c>
      <x:c r="E31" s="23" t="n">
        <x:v>7283.4</x:v>
      </x:c>
      <x:c r="F31" s="23" t="n">
        <x:v>7593</x:v>
      </x:c>
      <x:c r="G31" s="34" t="n">
        <x:f>ROUND(F31-F30,1)</x:f>
        <x:v>177.8</x:v>
      </x:c>
      <x:c r="H31" s="24" t="n">
        <x:f>IFERROR(F31/F30-1,"")</x:f>
        <x:v>0.02397777538029988</x:v>
      </x:c>
      <x:c r="I31" s="26" t="n">
        <x:f>ROUND(D31-E31,1)</x:f>
        <x:v>340.2</x:v>
      </x:c>
      <x:c r="J31" s="22" t="str">
        <x:v>IM2609</x:v>
      </x:c>
      <x:c r="K31" s="22" t="n">
        <x:v>3</x:v>
      </x:c>
    </x:row>
    <x:row r="32">
      <x:c r="A32" s="29" t="str">
        <x:v>合计</x:v>
      </x:c>
      <x:c r="B32" s="28" t="n">
        <x:v>3</x:v>
      </x:c>
      <x:c r="C32" s="28"/>
      <x:c r="D32" s="28"/>
      <x:c r="E32" s="28"/>
      <x:c r="F32" s="28"/>
      <x:c r="G32" s="28"/>
      <x:c r="H32" s="28"/>
      <x:c r="I32" s="30" t="n">
        <x:f>ROUND(SUM(I29:I31),1)</x:f>
        <x:v>1084.4</x:v>
      </x:c>
      <x:c r="J32" s="28"/>
      <x:c r="K32" s="28"/>
    </x:row>
    <x:row r="33">
      <x:c r="A33" s="29" t="str">
        <x:v>均值</x:v>
      </x:c>
      <x:c r="B33" s="28"/>
      <x:c r="C33" s="28"/>
      <x:c r="D33" s="28"/>
      <x:c r="E33" s="28"/>
      <x:c r="F33" s="28"/>
      <x:c r="G33" s="28"/>
      <x:c r="H33" s="28"/>
      <x:c r="I33" s="32" t="n">
        <x:f>ROUND(IFERROR(AVERAGE(I29:I31),0),1)</x:f>
        <x:v>361.5</x:v>
      </x:c>
      <x:c r="J33" s="28"/>
      <x:c r="K33" s="28"/>
    </x:row>
    <x:row r="35">
      <x:c r="A35" s="17" t="str">
        <x:v>IC主力</x:v>
      </x:c>
      <x:c r="B35" s="17"/>
      <x:c r="C35" s="17"/>
      <x:c r="D35" s="17"/>
      <x:c r="E35" s="17"/>
      <x:c r="F35" s="17"/>
      <x:c r="G35" s="17"/>
      <x:c r="H35" s="17"/>
      <x:c r="I35" s="17"/>
      <x:c r="J35" s="17"/>
      <x:c r="K35" s="17"/>
    </x:row>
    <x:row r="36">
      <x:c r="A36" s="20" t="str">
        <x:v>序号</x:v>
      </x:c>
      <x:c r="B36" s="20" t="str">
        <x:v>周期</x:v>
      </x:c>
      <x:c r="C36" s="20" t="str">
        <x:v>开盘</x:v>
      </x:c>
      <x:c r="D36" s="20" t="str">
        <x:v>高点</x:v>
      </x:c>
      <x:c r="E36" s="20" t="str">
        <x:v>低点</x:v>
      </x:c>
      <x:c r="F36" s="20" t="str">
        <x:v>收盘</x:v>
      </x:c>
      <x:c r="G36" s="20" t="str">
        <x:v>涨跌点数</x:v>
      </x:c>
      <x:c r="H36" s="20" t="str">
        <x:v>涨幅</x:v>
      </x:c>
      <x:c r="I36" s="20" t="str">
        <x:v>振幅</x:v>
      </x:c>
      <x:c r="J36" s="20" t="str">
        <x:v>标的</x:v>
      </x:c>
      <x:c r="K36" s="20" t="str">
        <x:v>交易日</x:v>
      </x:c>
    </x:row>
    <x:row r="37">
      <x:c r="A37" s="22" t="n">
        <x:v>1</x:v>
      </x:c>
      <x:c r="B37" s="22" t="str">
        <x:v>9月1日-9月4日</x:v>
      </x:c>
      <x:c r="C37" s="23" t="n">
        <x:v>7880.8</x:v>
      </x:c>
      <x:c r="D37" s="23" t="n">
        <x:v>7903</x:v>
      </x:c>
      <x:c r="E37" s="23" t="n">
        <x:v>7568</x:v>
      </x:c>
      <x:c r="F37" s="23" t="n">
        <x:v>7608</x:v>
      </x:c>
      <x:c r="G37" s="23"/>
      <x:c r="H37" s="24"/>
      <x:c r="I37" s="26" t="n">
        <x:f>ROUND(D37-E37,1)</x:f>
        <x:v>335</x:v>
      </x:c>
      <x:c r="J37" s="22" t="str">
        <x:v>IC2609</x:v>
      </x:c>
      <x:c r="K37" s="22" t="n">
        <x:v>4</x:v>
      </x:c>
    </x:row>
    <x:row r="38">
      <x:c r="A38" s="22" t="n">
        <x:v>2</x:v>
      </x:c>
      <x:c r="B38" s="22" t="str">
        <x:v>9月7日-9月11日</x:v>
      </x:c>
      <x:c r="C38" s="23" t="n">
        <x:v>7665.6</x:v>
      </x:c>
      <x:c r="D38" s="23" t="n">
        <x:v>7817.2</x:v>
      </x:c>
      <x:c r="E38" s="23" t="n">
        <x:v>7418.8</x:v>
      </x:c>
      <x:c r="F38" s="23" t="n">
        <x:v>7569</x:v>
      </x:c>
      <x:c r="G38" s="23" t="n">
        <x:f>ROUND(F38-F37,1)</x:f>
        <x:v>-39</x:v>
      </x:c>
      <x:c r="H38" s="24" t="n">
        <x:f>IFERROR(F38/F37-1,"")</x:f>
        <x:v>-0.005126182965299653</x:v>
      </x:c>
      <x:c r="I38" s="26" t="n">
        <x:f>ROUND(D38-E38,1)</x:f>
        <x:v>398.4</x:v>
      </x:c>
      <x:c r="J38" s="22" t="str">
        <x:v>IC2609</x:v>
      </x:c>
      <x:c r="K38" s="22" t="n">
        <x:v>5</x:v>
      </x:c>
    </x:row>
    <x:row r="39">
      <x:c r="A39" s="22" t="n">
        <x:v>3</x:v>
      </x:c>
      <x:c r="B39" s="22" t="str">
        <x:v>9月14日-9月16日</x:v>
      </x:c>
      <x:c r="C39" s="23" t="n">
        <x:v>7482.2</x:v>
      </x:c>
      <x:c r="D39" s="23" t="n">
        <x:v>7710</x:v>
      </x:c>
      <x:c r="E39" s="23" t="n">
        <x:v>7452.2</x:v>
      </x:c>
      <x:c r="F39" s="23" t="n">
        <x:v>7689.6</x:v>
      </x:c>
      <x:c r="G39" s="23" t="n">
        <x:f>ROUND(F39-F38,1)</x:f>
        <x:v>120.6</x:v>
      </x:c>
      <x:c r="H39" s="24" t="n">
        <x:f>IFERROR(F39/F38-1,"")</x:f>
        <x:v>0.015933412604042907</x:v>
      </x:c>
      <x:c r="I39" s="26" t="n">
        <x:f>ROUND(D39-E39,1)</x:f>
        <x:v>257.8</x:v>
      </x:c>
      <x:c r="J39" s="22" t="str">
        <x:v>IC2609</x:v>
      </x:c>
      <x:c r="K39" s="22" t="n">
        <x:v>3</x:v>
      </x:c>
    </x:row>
    <x:row r="40">
      <x:c r="A40" s="29" t="str">
        <x:v>合计</x:v>
      </x:c>
      <x:c r="B40" s="28" t="n">
        <x:v>3</x:v>
      </x:c>
      <x:c r="C40" s="28"/>
      <x:c r="D40" s="28"/>
      <x:c r="E40" s="28"/>
      <x:c r="F40" s="28"/>
      <x:c r="G40" s="28"/>
      <x:c r="H40" s="28"/>
      <x:c r="I40" s="30" t="n">
        <x:f>ROUND(SUM(I37:I39),1)</x:f>
        <x:v>991.2</x:v>
      </x:c>
      <x:c r="J40" s="28"/>
      <x:c r="K40" s="28"/>
    </x:row>
    <x:row r="41">
      <x:c r="A41" s="29" t="str">
        <x:v>均值</x:v>
      </x:c>
      <x:c r="B41" s="28"/>
      <x:c r="C41" s="28"/>
      <x:c r="D41" s="28"/>
      <x:c r="E41" s="28"/>
      <x:c r="F41" s="28"/>
      <x:c r="G41" s="28"/>
      <x:c r="H41" s="28"/>
      <x:c r="I41" s="32" t="n">
        <x:f>ROUND(IFERROR(AVERAGE(I37:I39),0),1)</x:f>
        <x:v>330.4</x:v>
      </x:c>
      <x:c r="J41" s="28"/>
      <x:c r="K41" s="28"/>
    </x:row>
    <x:row r="43">
      <x:c r="A43" s="17" t="str">
        <x:v>IF主力</x:v>
      </x:c>
      <x:c r="B43" s="17"/>
      <x:c r="C43" s="17"/>
      <x:c r="D43" s="17"/>
      <x:c r="E43" s="17"/>
      <x:c r="F43" s="17"/>
      <x:c r="G43" s="17"/>
      <x:c r="H43" s="17"/>
      <x:c r="I43" s="17"/>
      <x:c r="J43" s="17"/>
      <x:c r="K43" s="17"/>
    </x:row>
    <x:row r="44">
      <x:c r="A44" s="20" t="str">
        <x:v>序号</x:v>
      </x:c>
      <x:c r="B44" s="20" t="str">
        <x:v>周期</x:v>
      </x:c>
      <x:c r="C44" s="20" t="str">
        <x:v>开盘</x:v>
      </x:c>
      <x:c r="D44" s="20" t="str">
        <x:v>高点</x:v>
      </x:c>
      <x:c r="E44" s="20" t="str">
        <x:v>低点</x:v>
      </x:c>
      <x:c r="F44" s="20" t="str">
        <x:v>收盘</x:v>
      </x:c>
      <x:c r="G44" s="20" t="str">
        <x:v>涨跌点数</x:v>
      </x:c>
      <x:c r="H44" s="20" t="str">
        <x:v>涨幅</x:v>
      </x:c>
      <x:c r="I44" s="20" t="str">
        <x:v>振幅</x:v>
      </x:c>
      <x:c r="J44" s="20" t="str">
        <x:v>标的</x:v>
      </x:c>
      <x:c r="K44" s="20" t="str">
        <x:v>交易日</x:v>
      </x:c>
    </x:row>
    <x:row r="45">
      <x:c r="A45" s="22" t="n">
        <x:v>1</x:v>
      </x:c>
      <x:c r="B45" s="22" t="str">
        <x:v>9月1日-9月4日</x:v>
      </x:c>
      <x:c r="C45" s="23" t="n">
        <x:v>4602</x:v>
      </x:c>
      <x:c r="D45" s="23" t="n">
        <x:v>4617.8</x:v>
      </x:c>
      <x:c r="E45" s="23" t="n">
        <x:v>4497.6</x:v>
      </x:c>
      <x:c r="F45" s="23" t="n">
        <x:v>4537.4</x:v>
      </x:c>
      <x:c r="G45" s="23"/>
      <x:c r="H45" s="24"/>
      <x:c r="I45" s="26" t="n">
        <x:f>ROUND(D45-E45,1)</x:f>
        <x:v>120.2</x:v>
      </x:c>
      <x:c r="J45" s="22" t="str">
        <x:v>IF2609</x:v>
      </x:c>
      <x:c r="K45" s="22" t="n">
        <x:v>4</x:v>
      </x:c>
    </x:row>
    <x:row r="46">
      <x:c r="A46" s="22" t="n">
        <x:v>2</x:v>
      </x:c>
      <x:c r="B46" s="22" t="str">
        <x:v>9月7日-9月11日</x:v>
      </x:c>
      <x:c r="C46" s="23" t="n">
        <x:v>4562</x:v>
      </x:c>
      <x:c r="D46" s="23" t="n">
        <x:v>4584</x:v>
      </x:c>
      <x:c r="E46" s="23" t="n">
        <x:v>4451.6</x:v>
      </x:c>
      <x:c r="F46" s="23" t="n">
        <x:v>4503.4</x:v>
      </x:c>
      <x:c r="G46" s="23" t="n">
        <x:f>ROUND(F46-F45,1)</x:f>
        <x:v>-34</x:v>
      </x:c>
      <x:c r="H46" s="24" t="n">
        <x:f>IFERROR(F46/F45-1,"")</x:f>
        <x:v>-0.007493278088773314</x:v>
      </x:c>
      <x:c r="I46" s="26" t="n">
        <x:f>ROUND(D46-E46,1)</x:f>
        <x:v>132.4</x:v>
      </x:c>
      <x:c r="J46" s="22" t="str">
        <x:v>IF2609</x:v>
      </x:c>
      <x:c r="K46" s="22" t="n">
        <x:v>5</x:v>
      </x:c>
    </x:row>
    <x:row r="47">
      <x:c r="A47" s="22" t="n">
        <x:v>3</x:v>
      </x:c>
      <x:c r="B47" s="22" t="str">
        <x:v>9月14日-9月16日</x:v>
      </x:c>
      <x:c r="C47" s="23" t="n">
        <x:v>4468</x:v>
      </x:c>
      <x:c r="D47" s="23" t="n">
        <x:v>4500.6</x:v>
      </x:c>
      <x:c r="E47" s="23" t="n">
        <x:v>4412.2</x:v>
      </x:c>
      <x:c r="F47" s="23" t="n">
        <x:v>4478</x:v>
      </x:c>
      <x:c r="G47" s="23" t="n">
        <x:f>ROUND(F47-F46,1)</x:f>
        <x:v>-25.4</x:v>
      </x:c>
      <x:c r="H47" s="24" t="n">
        <x:f>IFERROR(F47/F46-1,"")</x:f>
        <x:v>-0.005640182972864838</x:v>
      </x:c>
      <x:c r="I47" s="23" t="n">
        <x:f>ROUND(D47-E47,1)</x:f>
        <x:v>88.4</x:v>
      </x:c>
      <x:c r="J47" s="22" t="str">
        <x:v>IF2609</x:v>
      </x:c>
      <x:c r="K47" s="22" t="n">
        <x:v>3</x:v>
      </x:c>
    </x:row>
    <x:row r="48">
      <x:c r="A48" s="29" t="str">
        <x:v>合计</x:v>
      </x:c>
      <x:c r="B48" s="28" t="n">
        <x:v>3</x:v>
      </x:c>
      <x:c r="C48" s="28"/>
      <x:c r="D48" s="28"/>
      <x:c r="E48" s="28"/>
      <x:c r="F48" s="28"/>
      <x:c r="G48" s="28"/>
      <x:c r="H48" s="28"/>
      <x:c r="I48" s="30" t="n">
        <x:f>ROUND(SUM(I45:I47),1)</x:f>
        <x:v>341</x:v>
      </x:c>
      <x:c r="J48" s="28"/>
      <x:c r="K48" s="28"/>
    </x:row>
    <x:row r="49">
      <x:c r="A49" s="29" t="str">
        <x:v>均值</x:v>
      </x:c>
      <x:c r="B49" s="28"/>
      <x:c r="C49" s="28"/>
      <x:c r="D49" s="28"/>
      <x:c r="E49" s="28"/>
      <x:c r="F49" s="28"/>
      <x:c r="G49" s="28"/>
      <x:c r="H49" s="28"/>
      <x:c r="I49" s="32" t="n">
        <x:f>ROUND(IFERROR(AVERAGE(I45:I47),0),1)</x:f>
        <x:v>113.7</x:v>
      </x:c>
      <x:c r="J49" s="28"/>
      <x:c r="K49" s="28"/>
    </x:row>
    <x:row r="51">
      <x:c r="A51" s="17" t="str">
        <x:v>IH主力</x:v>
      </x:c>
      <x:c r="B51" s="17"/>
      <x:c r="C51" s="17"/>
      <x:c r="D51" s="17"/>
      <x:c r="E51" s="17"/>
      <x:c r="F51" s="17"/>
      <x:c r="G51" s="17"/>
      <x:c r="H51" s="17"/>
      <x:c r="I51" s="17"/>
      <x:c r="J51" s="17"/>
      <x:c r="K51" s="17"/>
    </x:row>
    <x:row r="52">
      <x:c r="A52" s="20" t="str">
        <x:v>序号</x:v>
      </x:c>
      <x:c r="B52" s="20" t="str">
        <x:v>周期</x:v>
      </x:c>
      <x:c r="C52" s="20" t="str">
        <x:v>开盘</x:v>
      </x:c>
      <x:c r="D52" s="20" t="str">
        <x:v>高点</x:v>
      </x:c>
      <x:c r="E52" s="20" t="str">
        <x:v>低点</x:v>
      </x:c>
      <x:c r="F52" s="20" t="str">
        <x:v>收盘</x:v>
      </x:c>
      <x:c r="G52" s="20" t="str">
        <x:v>涨跌点数</x:v>
      </x:c>
      <x:c r="H52" s="20" t="str">
        <x:v>涨幅</x:v>
      </x:c>
      <x:c r="I52" s="20" t="str">
        <x:v>振幅</x:v>
      </x:c>
      <x:c r="J52" s="20" t="str">
        <x:v>标的</x:v>
      </x:c>
      <x:c r="K52" s="20" t="str">
        <x:v>交易日</x:v>
      </x:c>
    </x:row>
    <x:row r="53">
      <x:c r="A53" s="22" t="n">
        <x:v>1</x:v>
      </x:c>
      <x:c r="B53" s="22" t="str">
        <x:v>9月1日-9月4日</x:v>
      </x:c>
      <x:c r="C53" s="23" t="n">
        <x:v>2913</x:v>
      </x:c>
      <x:c r="D53" s="23" t="n">
        <x:v>2949.4</x:v>
      </x:c>
      <x:c r="E53" s="23" t="n">
        <x:v>2881.4</x:v>
      </x:c>
      <x:c r="F53" s="23" t="n">
        <x:v>2915.8</x:v>
      </x:c>
      <x:c r="G53" s="23"/>
      <x:c r="H53" s="24"/>
      <x:c r="I53" s="26" t="n">
        <x:f>ROUND(D53-E53,1)</x:f>
        <x:v>68</x:v>
      </x:c>
      <x:c r="J53" s="22" t="str">
        <x:v>IH2609</x:v>
      </x:c>
      <x:c r="K53" s="22" t="n">
        <x:v>4</x:v>
      </x:c>
    </x:row>
    <x:row r="54">
      <x:c r="A54" s="22" t="n">
        <x:v>2</x:v>
      </x:c>
      <x:c r="B54" s="22" t="str">
        <x:v>9月7日-9月11日</x:v>
      </x:c>
      <x:c r="C54" s="23" t="n">
        <x:v>2923.2</x:v>
      </x:c>
      <x:c r="D54" s="23" t="n">
        <x:v>2931.4</x:v>
      </x:c>
      <x:c r="E54" s="23" t="n">
        <x:v>2836.8</x:v>
      </x:c>
      <x:c r="F54" s="23" t="n">
        <x:v>2867</x:v>
      </x:c>
      <x:c r="G54" s="23" t="n">
        <x:f>ROUND(F54-F53,1)</x:f>
        <x:v>-48.8</x:v>
      </x:c>
      <x:c r="H54" s="24" t="n">
        <x:f>IFERROR(F54/F53-1,"")</x:f>
        <x:v>-0.01673640167364021</x:v>
      </x:c>
      <x:c r="I54" s="26" t="n">
        <x:f>ROUND(D54-E54,1)</x:f>
        <x:v>94.6</x:v>
      </x:c>
      <x:c r="J54" s="22" t="str">
        <x:v>IH2609</x:v>
      </x:c>
      <x:c r="K54" s="22" t="n">
        <x:v>5</x:v>
      </x:c>
    </x:row>
    <x:row r="55">
      <x:c r="A55" s="22" t="n">
        <x:v>3</x:v>
      </x:c>
      <x:c r="B55" s="22" t="str">
        <x:v>9月14日-9月16日</x:v>
      </x:c>
      <x:c r="C55" s="23" t="n">
        <x:v>2849.2</x:v>
      </x:c>
      <x:c r="D55" s="23" t="n">
        <x:v>2873.2</x:v>
      </x:c>
      <x:c r="E55" s="23" t="n">
        <x:v>2829.4</x:v>
      </x:c>
      <x:c r="F55" s="23" t="n">
        <x:v>2865</x:v>
      </x:c>
      <x:c r="G55" s="23" t="n">
        <x:f>ROUND(F55-F54,1)</x:f>
        <x:v>-2</x:v>
      </x:c>
      <x:c r="H55" s="24" t="n">
        <x:f>IFERROR(F55/F54-1,"")</x:f>
        <x:v>-0.0006975933031042603</x:v>
      </x:c>
      <x:c r="I55" s="23" t="n">
        <x:f>ROUND(D55-E55,1)</x:f>
        <x:v>43.8</x:v>
      </x:c>
      <x:c r="J55" s="22" t="str">
        <x:v>IH2609</x:v>
      </x:c>
      <x:c r="K55" s="22" t="n">
        <x:v>3</x:v>
      </x:c>
    </x:row>
    <x:row r="56">
      <x:c r="A56" s="29" t="str">
        <x:v>合计</x:v>
      </x:c>
      <x:c r="B56" s="28" t="n">
        <x:v>3</x:v>
      </x:c>
      <x:c r="C56" s="28"/>
      <x:c r="D56" s="28"/>
      <x:c r="E56" s="28"/>
      <x:c r="F56" s="28"/>
      <x:c r="G56" s="28"/>
      <x:c r="H56" s="28"/>
      <x:c r="I56" s="30" t="n">
        <x:f>ROUND(SUM(I53:I55),1)</x:f>
        <x:v>206.4</x:v>
      </x:c>
      <x:c r="J56" s="28"/>
      <x:c r="K56" s="28"/>
    </x:row>
    <x:row r="57">
      <x:c r="A57" s="29" t="str">
        <x:v>均值</x:v>
      </x:c>
      <x:c r="B57" s="28"/>
      <x:c r="C57" s="28"/>
      <x:c r="D57" s="28"/>
      <x:c r="E57" s="28"/>
      <x:c r="F57" s="28"/>
      <x:c r="G57" s="28"/>
      <x:c r="H57" s="28"/>
      <x:c r="I57" s="32" t="n">
        <x:f>ROUND(IFERROR(AVERAGE(I53:I55),0),1)</x:f>
        <x:v>68.8</x:v>
      </x:c>
      <x:c r="J57" s="28"/>
      <x:c r="K57" s="28"/>
    </x:row>
    <x:row r="59">
      <x:c r="A59" s="17" t="str">
        <x:v>碳酸锂2610</x:v>
      </x:c>
      <x:c r="B59" s="17"/>
      <x:c r="C59" s="17"/>
      <x:c r="D59" s="17"/>
      <x:c r="E59" s="17"/>
      <x:c r="F59" s="17"/>
      <x:c r="G59" s="17"/>
      <x:c r="H59" s="17"/>
      <x:c r="I59" s="17"/>
      <x:c r="J59" s="17"/>
      <x:c r="K59" s="17"/>
    </x:row>
    <x:row r="60">
      <x:c r="A60" s="20" t="str">
        <x:v>序号</x:v>
      </x:c>
      <x:c r="B60" s="20" t="str">
        <x:v>周期</x:v>
      </x:c>
      <x:c r="C60" s="20" t="str">
        <x:v>开盘</x:v>
      </x:c>
      <x:c r="D60" s="20" t="str">
        <x:v>高点</x:v>
      </x:c>
      <x:c r="E60" s="20" t="str">
        <x:v>低点</x:v>
      </x:c>
      <x:c r="F60" s="20" t="str">
        <x:v>收盘</x:v>
      </x:c>
      <x:c r="G60" s="20" t="str">
        <x:v>涨跌点数</x:v>
      </x:c>
      <x:c r="H60" s="20" t="str">
        <x:v>涨幅</x:v>
      </x:c>
      <x:c r="I60" s="20" t="str">
        <x:v>振幅</x:v>
      </x:c>
      <x:c r="J60" s="20" t="str">
        <x:v>标的</x:v>
      </x:c>
      <x:c r="K60" s="20" t="str">
        <x:v>交易日</x:v>
      </x:c>
    </x:row>
    <x:row r="61">
      <x:c r="A61" s="22" t="n">
        <x:v>1</x:v>
      </x:c>
      <x:c r="B61" s="22" t="str">
        <x:v>9月1日-9月4日</x:v>
      </x:c>
      <x:c r="C61" s="23" t="n">
        <x:v>159280</x:v>
      </x:c>
      <x:c r="D61" s="23" t="n">
        <x:v>161280</x:v>
      </x:c>
      <x:c r="E61" s="23" t="n">
        <x:v>140220</x:v>
      </x:c>
      <x:c r="F61" s="23" t="n">
        <x:v>142000</x:v>
      </x:c>
      <x:c r="G61" s="23"/>
      <x:c r="H61" s="24"/>
      <x:c r="I61" s="26" t="n">
        <x:f>ROUND(D61-E61,1)</x:f>
        <x:v>21060</x:v>
      </x:c>
      <x:c r="J61" s="22" t="str">
        <x:v>LC2610</x:v>
      </x:c>
      <x:c r="K61" s="22" t="n">
        <x:v>4</x:v>
      </x:c>
    </x:row>
    <x:row r="62">
      <x:c r="A62" s="22" t="n">
        <x:v>2</x:v>
      </x:c>
      <x:c r="B62" s="22" t="str">
        <x:v>9月7日-9月11日</x:v>
      </x:c>
      <x:c r="C62" s="23" t="n">
        <x:v>141000</x:v>
      </x:c>
      <x:c r="D62" s="23" t="n">
        <x:v>143540</x:v>
      </x:c>
      <x:c r="E62" s="23" t="n">
        <x:v>127120</x:v>
      </x:c>
      <x:c r="F62" s="23" t="n">
        <x:v>134340</x:v>
      </x:c>
      <x:c r="G62" s="34" t="n">
        <x:f>ROUND(F62-F61,1)</x:f>
        <x:v>-7660</x:v>
      </x:c>
      <x:c r="H62" s="24" t="n">
        <x:f>IFERROR(F62/F61-1,"")</x:f>
        <x:v>-0.05394366197183098</x:v>
      </x:c>
      <x:c r="I62" s="26" t="n">
        <x:f>ROUND(D62-E62,1)</x:f>
        <x:v>16420</x:v>
      </x:c>
      <x:c r="J62" s="22" t="str">
        <x:v>LC2610</x:v>
      </x:c>
      <x:c r="K62" s="22" t="n">
        <x:v>5</x:v>
      </x:c>
    </x:row>
    <x:row r="63">
      <x:c r="A63" s="22" t="n">
        <x:v>3</x:v>
      </x:c>
      <x:c r="B63" s="22" t="str">
        <x:v>9月14日-9月17日</x:v>
      </x:c>
      <x:c r="C63" s="23" t="n">
        <x:v>133600</x:v>
      </x:c>
      <x:c r="D63" s="23" t="n">
        <x:v>134840</x:v>
      </x:c>
      <x:c r="E63" s="23" t="n">
        <x:v>126200</x:v>
      </x:c>
      <x:c r="F63" s="23" t="n">
        <x:v>132280</x:v>
      </x:c>
      <x:c r="G63" s="34" t="n">
        <x:f>ROUND(F63-F62,1)</x:f>
        <x:v>-2060</x:v>
      </x:c>
      <x:c r="H63" s="24" t="n">
        <x:f>IFERROR(F63/F62-1,"")</x:f>
        <x:v>-0.015334226589251099</x:v>
      </x:c>
      <x:c r="I63" s="26" t="n">
        <x:f>ROUND(D63-E63,1)</x:f>
        <x:v>8640</x:v>
      </x:c>
      <x:c r="J63" s="22" t="str">
        <x:v>LC2610</x:v>
      </x:c>
      <x:c r="K63" s="22" t="n">
        <x:v>4</x:v>
      </x:c>
    </x:row>
    <x:row r="64">
      <x:c r="A64" s="29" t="str">
        <x:v>合计</x:v>
      </x:c>
      <x:c r="B64" s="28" t="n">
        <x:v>3</x:v>
      </x:c>
      <x:c r="C64" s="28"/>
      <x:c r="D64" s="28"/>
      <x:c r="E64" s="28"/>
      <x:c r="F64" s="28"/>
      <x:c r="G64" s="28"/>
      <x:c r="H64" s="28"/>
      <x:c r="I64" s="30" t="n">
        <x:f>ROUND(SUM(I61:I63),1)</x:f>
        <x:v>46120</x:v>
      </x:c>
      <x:c r="J64" s="28"/>
      <x:c r="K64" s="28"/>
    </x:row>
    <x:row r="65">
      <x:c r="A65" s="29" t="str">
        <x:v>均值</x:v>
      </x:c>
      <x:c r="B65" s="28"/>
      <x:c r="C65" s="28"/>
      <x:c r="D65" s="28"/>
      <x:c r="E65" s="28"/>
      <x:c r="F65" s="28"/>
      <x:c r="G65" s="28"/>
      <x:c r="H65" s="28"/>
      <x:c r="I65" s="32" t="n">
        <x:f>ROUND(IFERROR(AVERAGE(I61:I63),0),1)</x:f>
        <x:v>15373.3</x:v>
      </x:c>
      <x:c r="J65" s="28"/>
      <x:c r="K65" s="28"/>
    </x:row>
  </x:sheetData>
  <x:mergeCells>
    <x:mergeCell ref="A1:K1"/>
    <x:mergeCell ref="A3:K3"/>
    <x:mergeCell ref="A11:K11"/>
    <x:mergeCell ref="A19:K19"/>
    <x:mergeCell ref="A27:K27"/>
    <x:mergeCell ref="A35:K35"/>
    <x:mergeCell ref="A43:K43"/>
    <x:mergeCell ref="A51:K51"/>
    <x:mergeCell ref="A59:K5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7773.06</x:v>
      </x:c>
      <x:c r="E4" s="23" t="n">
        <x:v>7773.06</x:v>
      </x:c>
      <x:c r="F4" s="23" t="n">
        <x:v>7667.33</x:v>
      </x:c>
      <x:c r="G4" s="23" t="n">
        <x:v>7691.37</x:v>
      </x:c>
      <x:c r="H4" s="23" t="n">
        <x:v>-79.1</x:v>
      </x:c>
      <x:c r="I4" s="24" t="n">
        <x:v>-0.010173195271298119</x:v>
      </x:c>
      <x:c r="J4" s="23" t="n">
        <x:f>ROUND(E4-F4,1)</x:f>
        <x:v>105.7</x:v>
      </x:c>
      <x:c r="K4" s="22" t="str">
        <x:v>中证1000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7616.23</x:v>
      </x:c>
      <x:c r="E5" s="23" t="n">
        <x:v>7624.71</x:v>
      </x:c>
      <x:c r="F5" s="23" t="n">
        <x:v>7539.08</x:v>
      </x:c>
      <x:c r="G5" s="23" t="n">
        <x:v>7583.76</x:v>
      </x:c>
      <x:c r="H5" s="23" t="n">
        <x:v>-107.6</x:v>
      </x:c>
      <x:c r="I5" s="24" t="n">
        <x:v>-0.013991005503570797</x:v>
      </x:c>
      <x:c r="J5" s="23" t="n">
        <x:f>ROUND(E5-F5,1)</x:f>
        <x:v>85.6</x:v>
      </x:c>
      <x:c r="K5" s="22" t="str">
        <x:v>中证1000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7629.65</x:v>
      </x:c>
      <x:c r="E6" s="23" t="n">
        <x:v>7657.75</x:v>
      </x:c>
      <x:c r="F6" s="23" t="n">
        <x:v>7531.67</x:v>
      </x:c>
      <x:c r="G6" s="23" t="n">
        <x:v>7600.1</x:v>
      </x:c>
      <x:c r="H6" s="23" t="n">
        <x:v>16.3</x:v>
      </x:c>
      <x:c r="I6" s="24" t="n">
        <x:v>0.0021546040486513096</x:v>
      </x:c>
      <x:c r="J6" s="23" t="n">
        <x:f>ROUND(E6-F6,1)</x:f>
        <x:v>126.1</x:v>
      </x:c>
      <x:c r="K6" s="22" t="str">
        <x:v>中证1000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7655.97</x:v>
      </x:c>
      <x:c r="E7" s="23" t="n">
        <x:v>7717.93</x:v>
      </x:c>
      <x:c r="F7" s="23" t="n">
        <x:v>7464.98</x:v>
      </x:c>
      <x:c r="G7" s="23" t="n">
        <x:v>7508.09</x:v>
      </x:c>
      <x:c r="H7" s="23" t="n">
        <x:v>-92</x:v>
      </x:c>
      <x:c r="I7" s="24" t="n">
        <x:v>-0.012106419652373024</x:v>
      </x:c>
      <x:c r="J7" s="26" t="n">
        <x:f>ROUND(E7-F7,1)</x:f>
        <x:v>253</x:v>
      </x:c>
      <x:c r="K7" s="22" t="str">
        <x:v>中证1000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7551.02</x:v>
      </x:c>
      <x:c r="E8" s="23" t="n">
        <x:v>7669.84</x:v>
      </x:c>
      <x:c r="F8" s="23" t="n">
        <x:v>7541.14</x:v>
      </x:c>
      <x:c r="G8" s="23" t="n">
        <x:v>7639.36</x:v>
      </x:c>
      <x:c r="H8" s="23" t="n">
        <x:v>131.3</x:v>
      </x:c>
      <x:c r="I8" s="24" t="n">
        <x:v>0.017483807466346146</x:v>
      </x:c>
      <x:c r="J8" s="23" t="n">
        <x:f>ROUND(E8-F8,1)</x:f>
        <x:v>128.7</x:v>
      </x:c>
      <x:c r="K8" s="22" t="str">
        <x:v>中证1000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7650.06</x:v>
      </x:c>
      <x:c r="E9" s="23" t="n">
        <x:v>7724.94</x:v>
      </x:c>
      <x:c r="F9" s="23" t="n">
        <x:v>7622.9</x:v>
      </x:c>
      <x:c r="G9" s="23" t="n">
        <x:v>7659.61</x:v>
      </x:c>
      <x:c r="H9" s="23" t="n">
        <x:v>20.3</x:v>
      </x:c>
      <x:c r="I9" s="24" t="n">
        <x:v>0.0026507456121978024</x:v>
      </x:c>
      <x:c r="J9" s="23" t="n">
        <x:f>ROUND(E9-F9,1)</x:f>
        <x:v>102</x:v>
      </x:c>
      <x:c r="K9" s="22" t="str">
        <x:v>中证1000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7676.86</x:v>
      </x:c>
      <x:c r="E10" s="23" t="n">
        <x:v>7715.08</x:v>
      </x:c>
      <x:c r="F10" s="23" t="n">
        <x:v>7602.5</x:v>
      </x:c>
      <x:c r="G10" s="23" t="n">
        <x:v>7648.8</x:v>
      </x:c>
      <x:c r="H10" s="23" t="n">
        <x:v>-10.8</x:v>
      </x:c>
      <x:c r="I10" s="24" t="n">
        <x:v>-0.0014112990086961874</x:v>
      </x:c>
      <x:c r="J10" s="23" t="n">
        <x:f>ROUND(E10-F10,1)</x:f>
        <x:v>112.6</x:v>
      </x:c>
      <x:c r="K10" s="22" t="str">
        <x:v>中证1000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7611.52</x:v>
      </x:c>
      <x:c r="E11" s="23" t="n">
        <x:v>7641.86</x:v>
      </x:c>
      <x:c r="F11" s="23" t="n">
        <x:v>7564.67</x:v>
      </x:c>
      <x:c r="G11" s="23" t="n">
        <x:v>7587.75</x:v>
      </x:c>
      <x:c r="H11" s="23" t="n">
        <x:v>-61.1</x:v>
      </x:c>
      <x:c r="I11" s="24" t="n">
        <x:v>-0.007981644179479108</x:v>
      </x:c>
      <x:c r="J11" s="23" t="n">
        <x:f>ROUND(E11-F11,1)</x:f>
        <x:v>77.2</x:v>
      </x:c>
      <x:c r="K11" s="22" t="str">
        <x:v>中证1000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7504.66</x:v>
      </x:c>
      <x:c r="E12" s="23" t="n">
        <x:v>7506.24</x:v>
      </x:c>
      <x:c r="F12" s="23" t="n">
        <x:v>7284.53</x:v>
      </x:c>
      <x:c r="G12" s="23" t="n">
        <x:v>7427.24</x:v>
      </x:c>
      <x:c r="H12" s="34" t="n">
        <x:v>-160.5</x:v>
      </x:c>
      <x:c r="I12" s="24" t="n">
        <x:v>-0.021153833481598605</x:v>
      </x:c>
      <x:c r="J12" s="26" t="n">
        <x:f>ROUND(E12-F12,1)</x:f>
        <x:v>221.7</x:v>
      </x:c>
      <x:c r="K12" s="22" t="str">
        <x:v>中证1000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7363.42</x:v>
      </x:c>
      <x:c r="E13" s="23" t="n">
        <x:v>7501.14</x:v>
      </x:c>
      <x:c r="F13" s="23" t="n">
        <x:v>7329.6</x:v>
      </x:c>
      <x:c r="G13" s="23" t="n">
        <x:v>7468.3</x:v>
      </x:c>
      <x:c r="H13" s="23" t="n">
        <x:v>41.1</x:v>
      </x:c>
      <x:c r="I13" s="24" t="n">
        <x:v>0.005528298533506337</x:v>
      </x:c>
      <x:c r="J13" s="23" t="n">
        <x:f>ROUND(E13-F13,1)</x:f>
        <x:v>171.5</x:v>
      </x:c>
      <x:c r="K13" s="22" t="str">
        <x:v>中证1000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7453.47</x:v>
      </x:c>
      <x:c r="E14" s="23" t="n">
        <x:v>7524.61</x:v>
      </x:c>
      <x:c r="F14" s="23" t="n">
        <x:v>7426.9</x:v>
      </x:c>
      <x:c r="G14" s="23" t="n">
        <x:v>7437.7</x:v>
      </x:c>
      <x:c r="H14" s="23" t="n">
        <x:v>-30.6</x:v>
      </x:c>
      <x:c r="I14" s="24" t="n">
        <x:v>-0.004097317997402428</x:v>
      </x:c>
      <x:c r="J14" s="23" t="n">
        <x:f>ROUND(E14-F14,1)</x:f>
        <x:v>97.7</x:v>
      </x:c>
      <x:c r="K14" s="22" t="str">
        <x:v>中证1000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7437.82</x:v>
      </x:c>
      <x:c r="E15" s="23" t="n">
        <x:v>7607.89</x:v>
      </x:c>
      <x:c r="F15" s="23" t="n">
        <x:v>7402.37</x:v>
      </x:c>
      <x:c r="G15" s="23" t="n">
        <x:v>7587.43</x:v>
      </x:c>
      <x:c r="H15" s="23" t="n">
        <x:v>149.7</x:v>
      </x:c>
      <x:c r="I15" s="24" t="n">
        <x:v>0.020131223362060968</x:v>
      </x:c>
      <x:c r="J15" s="26" t="n">
        <x:f>ROUND(E15-F15,1)</x:f>
        <x:v>205.5</x:v>
      </x:c>
      <x:c r="K15" s="22" t="str">
        <x:v>中证1000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7555.79</x:v>
      </x:c>
      <x:c r="E16" s="23" t="n">
        <x:v>7632.53</x:v>
      </x:c>
      <x:c r="F16" s="23" t="n">
        <x:v>7522.77</x:v>
      </x:c>
      <x:c r="G16" s="23" t="n">
        <x:v>7548.82</x:v>
      </x:c>
      <x:c r="H16" s="23" t="n">
        <x:v>-38.6</x:v>
      </x:c>
      <x:c r="I16" s="24" t="n">
        <x:v>-0.005088679566071841</x:v>
      </x:c>
      <x:c r="J16" s="23" t="n">
        <x:f>ROUND(E16-F16,1)</x:f>
        <x:v>109.8</x:v>
      </x:c>
      <x:c r="K16" s="22" t="str">
        <x:v>中证1000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1797.1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138.2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7944.29</x:v>
      </x:c>
      <x:c r="E4" s="23" t="n">
        <x:v>7955.57</x:v>
      </x:c>
      <x:c r="F4" s="23" t="n">
        <x:v>7852.87</x:v>
      </x:c>
      <x:c r="G4" s="23" t="n">
        <x:v>7858.52</x:v>
      </x:c>
      <x:c r="H4" s="23" t="n">
        <x:v>-93.6</x:v>
      </x:c>
      <x:c r="I4" s="24" t="n">
        <x:v>-0.011767960664478605</x:v>
      </x:c>
      <x:c r="J4" s="23" t="n">
        <x:f>ROUND(E4-F4,1)</x:f>
        <x:v>102.7</x:v>
      </x:c>
      <x:c r="K4" s="22" t="str">
        <x:v>中证500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7781.29</x:v>
      </x:c>
      <x:c r="E5" s="23" t="n">
        <x:v>7783.05</x:v>
      </x:c>
      <x:c r="F5" s="23" t="n">
        <x:v>7692.15</x:v>
      </x:c>
      <x:c r="G5" s="23" t="n">
        <x:v>7729.23</x:v>
      </x:c>
      <x:c r="H5" s="23" t="n">
        <x:v>-129.3</x:v>
      </x:c>
      <x:c r="I5" s="24" t="n">
        <x:v>-0.016452207285850395</x:v>
      </x:c>
      <x:c r="J5" s="23" t="n">
        <x:f>ROUND(E5-F5,1)</x:f>
        <x:v>90.9</x:v>
      </x:c>
      <x:c r="K5" s="22" t="str">
        <x:v>中证500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7776.82</x:v>
      </x:c>
      <x:c r="E6" s="23" t="n">
        <x:v>7799.63</x:v>
      </x:c>
      <x:c r="F6" s="23" t="n">
        <x:v>7686.44</x:v>
      </x:c>
      <x:c r="G6" s="23" t="n">
        <x:v>7755.36</x:v>
      </x:c>
      <x:c r="H6" s="23" t="n">
        <x:v>26.1</x:v>
      </x:c>
      <x:c r="I6" s="24" t="n">
        <x:v>0.003380673107153065</x:v>
      </x:c>
      <x:c r="J6" s="23" t="n">
        <x:f>ROUND(E6-F6,1)</x:f>
        <x:v>113.2</x:v>
      </x:c>
      <x:c r="K6" s="22" t="str">
        <x:v>中证500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7806.61</x:v>
      </x:c>
      <x:c r="E7" s="23" t="n">
        <x:v>7850.4</x:v>
      </x:c>
      <x:c r="F7" s="23" t="n">
        <x:v>7610.58</x:v>
      </x:c>
      <x:c r="G7" s="23" t="n">
        <x:v>7652.69</x:v>
      </x:c>
      <x:c r="H7" s="23" t="n">
        <x:v>-102.7</x:v>
      </x:c>
      <x:c r="I7" s="24" t="n">
        <x:v>-0.01323858595861449</x:v>
      </x:c>
      <x:c r="J7" s="26" t="n">
        <x:f>ROUND(E7-F7,1)</x:f>
        <x:v>239.8</x:v>
      </x:c>
      <x:c r="K7" s="22" t="str">
        <x:v>中证500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7687.47</x:v>
      </x:c>
      <x:c r="E8" s="23" t="n">
        <x:v>7791.79</x:v>
      </x:c>
      <x:c r="F8" s="23" t="n">
        <x:v>7672.99</x:v>
      </x:c>
      <x:c r="G8" s="23" t="n">
        <x:v>7759.37</x:v>
      </x:c>
      <x:c r="H8" s="23" t="n">
        <x:v>106.7</x:v>
      </x:c>
      <x:c r="I8" s="24" t="n">
        <x:v>0.013940196192449905</x:v>
      </x:c>
      <x:c r="J8" s="23" t="n">
        <x:f>ROUND(E8-F8,1)</x:f>
        <x:v>118.8</x:v>
      </x:c>
      <x:c r="K8" s="22" t="str">
        <x:v>中证500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7773.28</x:v>
      </x:c>
      <x:c r="E9" s="23" t="n">
        <x:v>7830.16</x:v>
      </x:c>
      <x:c r="F9" s="23" t="n">
        <x:v>7736.44</x:v>
      </x:c>
      <x:c r="G9" s="23" t="n">
        <x:v>7770.73</x:v>
      </x:c>
      <x:c r="H9" s="23" t="n">
        <x:v>11.4</x:v>
      </x:c>
      <x:c r="I9" s="24" t="n">
        <x:v>0.0014640363843971826</x:v>
      </x:c>
      <x:c r="J9" s="23" t="n">
        <x:f>ROUND(E9-F9,1)</x:f>
        <x:v>93.7</x:v>
      </x:c>
      <x:c r="K9" s="22" t="str">
        <x:v>中证500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7793.04</x:v>
      </x:c>
      <x:c r="E10" s="23" t="n">
        <x:v>7816.66</x:v>
      </x:c>
      <x:c r="F10" s="23" t="n">
        <x:v>7723.82</x:v>
      </x:c>
      <x:c r="G10" s="23" t="n">
        <x:v>7768.11</x:v>
      </x:c>
      <x:c r="H10" s="23" t="n">
        <x:v>-2.6</x:v>
      </x:c>
      <x:c r="I10" s="24" t="n">
        <x:v>-0.0003371626603935196</x:v>
      </x:c>
      <x:c r="J10" s="23" t="n">
        <x:f>ROUND(E10-F10,1)</x:f>
        <x:v>92.8</x:v>
      </x:c>
      <x:c r="K10" s="22" t="str">
        <x:v>中证500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7731.63</x:v>
      </x:c>
      <x:c r="E11" s="23" t="n">
        <x:v>7766.35</x:v>
      </x:c>
      <x:c r="F11" s="23" t="n">
        <x:v>7696.55</x:v>
      </x:c>
      <x:c r="G11" s="23" t="n">
        <x:v>7717.8</x:v>
      </x:c>
      <x:c r="H11" s="23" t="n">
        <x:v>-50.3</x:v>
      </x:c>
      <x:c r="I11" s="24" t="n">
        <x:v>-0.006476478834619992</x:v>
      </x:c>
      <x:c r="J11" s="23" t="n">
        <x:f>ROUND(E11-F11,1)</x:f>
        <x:v>69.8</x:v>
      </x:c>
      <x:c r="K11" s="22" t="str">
        <x:v>中证500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7638.63</x:v>
      </x:c>
      <x:c r="E12" s="23" t="n">
        <x:v>7638.63</x:v>
      </x:c>
      <x:c r="F12" s="23" t="n">
        <x:v>7451.12</x:v>
      </x:c>
      <x:c r="G12" s="23" t="n">
        <x:v>7580.54</x:v>
      </x:c>
      <x:c r="H12" s="23" t="n">
        <x:v>-137.3</x:v>
      </x:c>
      <x:c r="I12" s="24" t="n">
        <x:v>-0.017784860970742944</x:v>
      </x:c>
      <x:c r="J12" s="26" t="n">
        <x:f>ROUND(E12-F12,1)</x:f>
        <x:v>187.5</x:v>
      </x:c>
      <x:c r="K12" s="22" t="str">
        <x:v>中证500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7511.04</x:v>
      </x:c>
      <x:c r="E13" s="23" t="n">
        <x:v>7610.03</x:v>
      </x:c>
      <x:c r="F13" s="23" t="n">
        <x:v>7487.46</x:v>
      </x:c>
      <x:c r="G13" s="23" t="n">
        <x:v>7571.2</x:v>
      </x:c>
      <x:c r="H13" s="23" t="n">
        <x:v>-9.3</x:v>
      </x:c>
      <x:c r="I13" s="24" t="n">
        <x:v>-0.0012321021985240987</x:v>
      </x:c>
      <x:c r="J13" s="23" t="n">
        <x:f>ROUND(E13-F13,1)</x:f>
        <x:v>122.6</x:v>
      </x:c>
      <x:c r="K13" s="22" t="str">
        <x:v>中证500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7550.68</x:v>
      </x:c>
      <x:c r="E14" s="23" t="n">
        <x:v>7641.54</x:v>
      </x:c>
      <x:c r="F14" s="23" t="n">
        <x:v>7543.95</x:v>
      </x:c>
      <x:c r="G14" s="23" t="n">
        <x:v>7561.59</x:v>
      </x:c>
      <x:c r="H14" s="23" t="n">
        <x:v>-9.6</x:v>
      </x:c>
      <x:c r="I14" s="24" t="n">
        <x:v>-0.0012692836010143038</x:v>
      </x:c>
      <x:c r="J14" s="23" t="n">
        <x:f>ROUND(E14-F14,1)</x:f>
        <x:v>97.6</x:v>
      </x:c>
      <x:c r="K14" s="22" t="str">
        <x:v>中证500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7556.9</x:v>
      </x:c>
      <x:c r="E15" s="23" t="n">
        <x:v>7696.47</x:v>
      </x:c>
      <x:c r="F15" s="23" t="n">
        <x:v>7523.82</x:v>
      </x:c>
      <x:c r="G15" s="23" t="n">
        <x:v>7683.47</x:v>
      </x:c>
      <x:c r="H15" s="23" t="n">
        <x:v>121.9</x:v>
      </x:c>
      <x:c r="I15" s="24" t="n">
        <x:v>0.016118303161107628</x:v>
      </x:c>
      <x:c r="J15" s="26" t="n">
        <x:f>ROUND(E15-F15,1)</x:f>
        <x:v>172.7</x:v>
      </x:c>
      <x:c r="K15" s="22" t="str">
        <x:v>中证500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7651.46</x:v>
      </x:c>
      <x:c r="E16" s="23" t="n">
        <x:v>7738.03</x:v>
      </x:c>
      <x:c r="F16" s="23" t="n">
        <x:v>7622.55</x:v>
      </x:c>
      <x:c r="G16" s="23" t="n">
        <x:v>7654.98</x:v>
      </x:c>
      <x:c r="H16" s="23" t="n">
        <x:v>-28.5</x:v>
      </x:c>
      <x:c r="I16" s="24" t="n">
        <x:v>-0.0037079600753305852</x:v>
      </x:c>
      <x:c r="J16" s="23" t="n">
        <x:f>ROUND(E16-F16,1)</x:f>
        <x:v>115.5</x:v>
      </x:c>
      <x:c r="K16" s="22" t="str">
        <x:v>中证500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1617.5999999999997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124.4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3979.88</x:v>
      </x:c>
      <x:c r="E4" s="23" t="n">
        <x:v>3995.18</x:v>
      </x:c>
      <x:c r="F4" s="23" t="n">
        <x:v>3976.47</x:v>
      </x:c>
      <x:c r="G4" s="23" t="n">
        <x:v>3979.89</x:v>
      </x:c>
      <x:c r="H4" s="23" t="n">
        <x:v>-6.4</x:v>
      </x:c>
      <x:c r="I4" s="24" t="n">
        <x:v>-0.0016080074254322119</x:v>
      </x:c>
      <x:c r="J4" s="23" t="n">
        <x:f>ROUND(E4-F4,1)</x:f>
        <x:v>18.7</x:v>
      </x:c>
      <x:c r="K4" s="22" t="str">
        <x:v>上证指数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3963.07</x:v>
      </x:c>
      <x:c r="E5" s="23" t="n">
        <x:v>3965.81</x:v>
      </x:c>
      <x:c r="F5" s="23" t="n">
        <x:v>3932.25</x:v>
      </x:c>
      <x:c r="G5" s="23" t="n">
        <x:v>3941.39</x:v>
      </x:c>
      <x:c r="H5" s="23" t="n">
        <x:v>-38.5</x:v>
      </x:c>
      <x:c r="I5" s="24" t="n">
        <x:v>-0.009673634195919933</x:v>
      </x:c>
      <x:c r="J5" s="23" t="n">
        <x:f>ROUND(E5-F5,1)</x:f>
        <x:v>33.6</x:v>
      </x:c>
      <x:c r="K5" s="22" t="str">
        <x:v>上证指数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3952.79</x:v>
      </x:c>
      <x:c r="E6" s="23" t="n">
        <x:v>3968.11</x:v>
      </x:c>
      <x:c r="F6" s="23" t="n">
        <x:v>3930.45</x:v>
      </x:c>
      <x:c r="G6" s="23" t="n">
        <x:v>3942.09</x:v>
      </x:c>
      <x:c r="H6" s="23" t="n">
        <x:v>0.7</x:v>
      </x:c>
      <x:c r="I6" s="24" t="n">
        <x:v>0.0001776023179640429</x:v>
      </x:c>
      <x:c r="J6" s="23" t="n">
        <x:f>ROUND(E6-F6,1)</x:f>
        <x:v>37.7</x:v>
      </x:c>
      <x:c r="K6" s="22" t="str">
        <x:v>上证指数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3955.55</x:v>
      </x:c>
      <x:c r="E7" s="23" t="n">
        <x:v>3980.2</x:v>
      </x:c>
      <x:c r="F7" s="23" t="n">
        <x:v>3915.22</x:v>
      </x:c>
      <x:c r="G7" s="23" t="n">
        <x:v>3930.12</x:v>
      </x:c>
      <x:c r="H7" s="23" t="n">
        <x:v>-12</x:v>
      </x:c>
      <x:c r="I7" s="24" t="n">
        <x:v>-0.003036460354786441</x:v>
      </x:c>
      <x:c r="J7" s="26" t="n">
        <x:f>ROUND(E7-F7,1)</x:f>
        <x:v>65</x:v>
      </x:c>
      <x:c r="K7" s="22" t="str">
        <x:v>上证指数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3942.51</x:v>
      </x:c>
      <x:c r="E8" s="23" t="n">
        <x:v>3948.42</x:v>
      </x:c>
      <x:c r="F8" s="23" t="n">
        <x:v>3916.49</x:v>
      </x:c>
      <x:c r="G8" s="23" t="n">
        <x:v>3932.7</x:v>
      </x:c>
      <x:c r="H8" s="23" t="n">
        <x:v>2.6</x:v>
      </x:c>
      <x:c r="I8" s="24" t="n">
        <x:v>0.0006564685047785179</x:v>
      </x:c>
      <x:c r="J8" s="23" t="n">
        <x:f>ROUND(E8-F8,1)</x:f>
        <x:v>31.9</x:v>
      </x:c>
      <x:c r="K8" s="22" t="str">
        <x:v>上证指数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3935.55</x:v>
      </x:c>
      <x:c r="E9" s="23" t="n">
        <x:v>3951.32</x:v>
      </x:c>
      <x:c r="F9" s="23" t="n">
        <x:v>3925.72</x:v>
      </x:c>
      <x:c r="G9" s="23" t="n">
        <x:v>3940.55</x:v>
      </x:c>
      <x:c r="H9" s="23" t="n">
        <x:v>7.9</x:v>
      </x:c>
      <x:c r="I9" s="24" t="n">
        <x:v>0.001996084115238883</x:v>
      </x:c>
      <x:c r="J9" s="23" t="n">
        <x:f>ROUND(E9-F9,1)</x:f>
        <x:v>25.6</x:v>
      </x:c>
      <x:c r="K9" s="22" t="str">
        <x:v>上证指数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3943.92</x:v>
      </x:c>
      <x:c r="E10" s="23" t="n">
        <x:v>3958.12</x:v>
      </x:c>
      <x:c r="F10" s="23" t="n">
        <x:v>3933.47</x:v>
      </x:c>
      <x:c r="G10" s="23" t="n">
        <x:v>3951.51</x:v>
      </x:c>
      <x:c r="H10" s="23" t="n">
        <x:v>11</x:v>
      </x:c>
      <x:c r="I10" s="24" t="n">
        <x:v>0.0027813376305338977</x:v>
      </x:c>
      <x:c r="J10" s="23" t="n">
        <x:f>ROUND(E10-F10,1)</x:f>
        <x:v>24.7</x:v>
      </x:c>
      <x:c r="K10" s="22" t="str">
        <x:v>上证指数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3939.09</x:v>
      </x:c>
      <x:c r="E11" s="23" t="n">
        <x:v>3949.25</x:v>
      </x:c>
      <x:c r="F11" s="23" t="n">
        <x:v>3927.35</x:v>
      </x:c>
      <x:c r="G11" s="23" t="n">
        <x:v>3934.4</x:v>
      </x:c>
      <x:c r="H11" s="23" t="n">
        <x:v>-17.1</x:v>
      </x:c>
      <x:c r="I11" s="24" t="n">
        <x:v>-0.004329990307502696</x:v>
      </x:c>
      <x:c r="J11" s="23" t="n">
        <x:f>ROUND(E11-F11,1)</x:f>
        <x:v>21.9</x:v>
      </x:c>
      <x:c r="K11" s="22" t="str">
        <x:v>上证指数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3910.92</x:v>
      </x:c>
      <x:c r="E12" s="23" t="n">
        <x:v>3912.32</x:v>
      </x:c>
      <x:c r="F12" s="23" t="n">
        <x:v>3852.03</x:v>
      </x:c>
      <x:c r="G12" s="23" t="n">
        <x:v>3888.11</x:v>
      </x:c>
      <x:c r="H12" s="23" t="n">
        <x:v>-46.3</x:v>
      </x:c>
      <x:c r="I12" s="24" t="n">
        <x:v>-0.011765453436356266</x:v>
      </x:c>
      <x:c r="J12" s="26" t="n">
        <x:f>ROUND(E12-F12,1)</x:f>
        <x:v>60.3</x:v>
      </x:c>
      <x:c r="K12" s="22" t="str">
        <x:v>上证指数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3867.02</x:v>
      </x:c>
      <x:c r="E13" s="23" t="n">
        <x:v>3895.51</x:v>
      </x:c>
      <x:c r="F13" s="23" t="n">
        <x:v>3867.02</x:v>
      </x:c>
      <x:c r="G13" s="23" t="n">
        <x:v>3885.33</x:v>
      </x:c>
      <x:c r="H13" s="23" t="n">
        <x:v>-2.8</x:v>
      </x:c>
      <x:c r="I13" s="24" t="n">
        <x:v>-0.0007150003472125022</x:v>
      </x:c>
      <x:c r="J13" s="23" t="n">
        <x:f>ROUND(E13-F13,1)</x:f>
        <x:v>28.5</x:v>
      </x:c>
      <x:c r="K13" s="22" t="str">
        <x:v>上证指数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3879.73</x:v>
      </x:c>
      <x:c r="E14" s="23" t="n">
        <x:v>3891.62</x:v>
      </x:c>
      <x:c r="F14" s="23" t="n">
        <x:v>3858.15</x:v>
      </x:c>
      <x:c r="G14" s="23" t="n">
        <x:v>3864.28</x:v>
      </x:c>
      <x:c r="H14" s="23" t="n">
        <x:v>-21</x:v>
      </x:c>
      <x:c r="I14" s="24" t="n">
        <x:v>-0.005417815217754973</x:v>
      </x:c>
      <x:c r="J14" s="23" t="n">
        <x:f>ROUND(E14-F14,1)</x:f>
        <x:v>33.5</x:v>
      </x:c>
      <x:c r="K14" s="22" t="str">
        <x:v>上证指数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3861.75</x:v>
      </x:c>
      <x:c r="E15" s="23" t="n">
        <x:v>3894.66</x:v>
      </x:c>
      <x:c r="F15" s="23" t="n">
        <x:v>3842.72</x:v>
      </x:c>
      <x:c r="G15" s="23" t="n">
        <x:v>3891.6</x:v>
      </x:c>
      <x:c r="H15" s="23" t="n">
        <x:v>27.3</x:v>
      </x:c>
      <x:c r="I15" s="24" t="n">
        <x:v>0.007069881064519112</x:v>
      </x:c>
      <x:c r="J15" s="26" t="n">
        <x:f>ROUND(E15-F15,1)</x:f>
        <x:v>51.9</x:v>
      </x:c>
      <x:c r="K15" s="22" t="str">
        <x:v>上证指数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3877</x:v>
      </x:c>
      <x:c r="E16" s="23" t="n">
        <x:v>3898.84</x:v>
      </x:c>
      <x:c r="F16" s="23" t="n">
        <x:v>3866.89</x:v>
      </x:c>
      <x:c r="G16" s="23" t="n">
        <x:v>3875.6</x:v>
      </x:c>
      <x:c r="H16" s="23" t="n">
        <x:v>-16</x:v>
      </x:c>
      <x:c r="I16" s="24" t="n">
        <x:v>-0.004111419467571209</x:v>
      </x:c>
      <x:c r="J16" s="23" t="n">
        <x:f>ROUND(E16-F16,1)</x:f>
        <x:v>32</x:v>
      </x:c>
      <x:c r="K16" s="22" t="str">
        <x:v>上证指数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465.29999999999995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35.8</x:v>
      </x:c>
      <x:c r="K20" s="28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7713.4</x:v>
      </x:c>
      <x:c r="E4" s="23" t="n">
        <x:v>7721</x:v>
      </x:c>
      <x:c r="F4" s="23" t="n">
        <x:v>7598.4</x:v>
      </x:c>
      <x:c r="G4" s="23" t="n">
        <x:v>7645</x:v>
      </x:c>
      <x:c r="H4" s="23" t="n">
        <x:v>-68.6</x:v>
      </x:c>
      <x:c r="I4" s="24" t="n">
        <x:v>-0.008893383115536224</x:v>
      </x:c>
      <x:c r="J4" s="23" t="n">
        <x:f>ROUND(E4-F4,1)</x:f>
        <x:v>122.6</x:v>
      </x:c>
      <x:c r="K4" s="22" t="str">
        <x:v>IM2609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7570</x:v>
      </x:c>
      <x:c r="E5" s="23" t="n">
        <x:v>7575</x:v>
      </x:c>
      <x:c r="F5" s="23" t="n">
        <x:v>7466.2</x:v>
      </x:c>
      <x:c r="G5" s="23" t="n">
        <x:v>7540.4</x:v>
      </x:c>
      <x:c r="H5" s="23" t="n">
        <x:v>-104.6</x:v>
      </x:c>
      <x:c r="I5" s="24" t="n">
        <x:v>-0.013682145192936646</x:v>
      </x:c>
      <x:c r="J5" s="23" t="n">
        <x:f>ROUND(E5-F5,1)</x:f>
        <x:v>108.8</x:v>
      </x:c>
      <x:c r="K5" s="22" t="str">
        <x:v>IM2609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7595</x:v>
      </x:c>
      <x:c r="E6" s="23" t="n">
        <x:v>7618.6</x:v>
      </x:c>
      <x:c r="F6" s="23" t="n">
        <x:v>7476</x:v>
      </x:c>
      <x:c r="G6" s="23" t="n">
        <x:v>7559.4</x:v>
      </x:c>
      <x:c r="H6" s="23" t="n">
        <x:v>19</x:v>
      </x:c>
      <x:c r="I6" s="24" t="n">
        <x:v>0.002519760224921841</x:v>
      </x:c>
      <x:c r="J6" s="23" t="n">
        <x:f>ROUND(E6-F6,1)</x:f>
        <x:v>142.6</x:v>
      </x:c>
      <x:c r="K6" s="22" t="str">
        <x:v>IM2609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7626.6</x:v>
      </x:c>
      <x:c r="E7" s="23" t="n">
        <x:v>7689.4</x:v>
      </x:c>
      <x:c r="F7" s="23" t="n">
        <x:v>7432</x:v>
      </x:c>
      <x:c r="G7" s="23" t="n">
        <x:v>7468.2</x:v>
      </x:c>
      <x:c r="H7" s="23" t="n">
        <x:v>-91.2</x:v>
      </x:c>
      <x:c r="I7" s="24" t="n">
        <x:v>-0.012064449559488821</x:v>
      </x:c>
      <x:c r="J7" s="26" t="n">
        <x:f>ROUND(E7-F7,1)</x:f>
        <x:v>257.4</x:v>
      </x:c>
      <x:c r="K7" s="22" t="str">
        <x:v>IM2609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7527.2</x:v>
      </x:c>
      <x:c r="E8" s="23" t="n">
        <x:v>7662.2</x:v>
      </x:c>
      <x:c r="F8" s="23" t="n">
        <x:v>7512.6</x:v>
      </x:c>
      <x:c r="G8" s="23" t="n">
        <x:v>7604</x:v>
      </x:c>
      <x:c r="H8" s="23" t="n">
        <x:v>135.8</x:v>
      </x:c>
      <x:c r="I8" s="24" t="n">
        <x:v>0.01818376583380199</x:v>
      </x:c>
      <x:c r="J8" s="23" t="n">
        <x:f>ROUND(E8-F8,1)</x:f>
        <x:v>149.6</x:v>
      </x:c>
      <x:c r="K8" s="22" t="str">
        <x:v>IM2609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7625.8</x:v>
      </x:c>
      <x:c r="E9" s="23" t="n">
        <x:v>7714.6</x:v>
      </x:c>
      <x:c r="F9" s="23" t="n">
        <x:v>7592.4</x:v>
      </x:c>
      <x:c r="G9" s="23" t="n">
        <x:v>7633.4</x:v>
      </x:c>
      <x:c r="H9" s="23" t="n">
        <x:v>29.4</x:v>
      </x:c>
      <x:c r="I9" s="24" t="n">
        <x:v>0.0038663861125722843</x:v>
      </x:c>
      <x:c r="J9" s="23" t="n">
        <x:f>ROUND(E9-F9,1)</x:f>
        <x:v>122.2</x:v>
      </x:c>
      <x:c r="K9" s="22" t="str">
        <x:v>IM2609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7671.8</x:v>
      </x:c>
      <x:c r="E10" s="23" t="n">
        <x:v>7705</x:v>
      </x:c>
      <x:c r="F10" s="23" t="n">
        <x:v>7575</x:v>
      </x:c>
      <x:c r="G10" s="23" t="n">
        <x:v>7618.6</x:v>
      </x:c>
      <x:c r="H10" s="23" t="n">
        <x:v>-14.8</x:v>
      </x:c>
      <x:c r="I10" s="24" t="n">
        <x:v>-0.001938847695653223</x:v>
      </x:c>
      <x:c r="J10" s="23" t="n">
        <x:f>ROUND(E10-F10,1)</x:f>
        <x:v>130</x:v>
      </x:c>
      <x:c r="K10" s="22" t="str">
        <x:v>IM2609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7575</x:v>
      </x:c>
      <x:c r="E11" s="23" t="n">
        <x:v>7627.8</x:v>
      </x:c>
      <x:c r="F11" s="23" t="n">
        <x:v>7534</x:v>
      </x:c>
      <x:c r="G11" s="23" t="n">
        <x:v>7574</x:v>
      </x:c>
      <x:c r="H11" s="23" t="n">
        <x:v>-44.6</x:v>
      </x:c>
      <x:c r="I11" s="24" t="n">
        <x:v>-0.005854093928018278</x:v>
      </x:c>
      <x:c r="J11" s="23" t="n">
        <x:f>ROUND(E11-F11,1)</x:f>
        <x:v>93.8</x:v>
      </x:c>
      <x:c r="K11" s="22" t="str">
        <x:v>IM2609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7480</x:v>
      </x:c>
      <x:c r="E12" s="23" t="n">
        <x:v>7488.8</x:v>
      </x:c>
      <x:c r="F12" s="23" t="n">
        <x:v>7259.4</x:v>
      </x:c>
      <x:c r="G12" s="23" t="n">
        <x:v>7415.2</x:v>
      </x:c>
      <x:c r="H12" s="34" t="n">
        <x:v>-158.8</x:v>
      </x:c>
      <x:c r="I12" s="24" t="n">
        <x:v>-0.020966464219698944</x:v>
      </x:c>
      <x:c r="J12" s="26" t="n">
        <x:f>ROUND(E12-F12,1)</x:f>
        <x:v>229.4</x:v>
      </x:c>
      <x:c r="K12" s="22" t="str">
        <x:v>IM2609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7312</x:v>
      </x:c>
      <x:c r="E13" s="23" t="n">
        <x:v>7483</x:v>
      </x:c>
      <x:c r="F13" s="23" t="n">
        <x:v>7283.4</x:v>
      </x:c>
      <x:c r="G13" s="23" t="n">
        <x:v>7470</x:v>
      </x:c>
      <x:c r="H13" s="23" t="n">
        <x:v>54.8</x:v>
      </x:c>
      <x:c r="I13" s="24" t="n">
        <x:v>0.007390225482792223</x:v>
      </x:c>
      <x:c r="J13" s="26" t="n">
        <x:f>ROUND(E13-F13,1)</x:f>
        <x:v>199.6</x:v>
      </x:c>
      <x:c r="K13" s="22" t="str">
        <x:v>IM2609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7471</x:v>
      </x:c>
      <x:c r="E14" s="23" t="n">
        <x:v>7523.8</x:v>
      </x:c>
      <x:c r="F14" s="23" t="n">
        <x:v>7413.2</x:v>
      </x:c>
      <x:c r="G14" s="23" t="n">
        <x:v>7443.2</x:v>
      </x:c>
      <x:c r="H14" s="23" t="n">
        <x:v>-26.8</x:v>
      </x:c>
      <x:c r="I14" s="24" t="n">
        <x:v>-0.0035876840696118517</x:v>
      </x:c>
      <x:c r="J14" s="23" t="n">
        <x:f>ROUND(E14-F14,1)</x:f>
        <x:v>110.6</x:v>
      </x:c>
      <x:c r="K14" s="22" t="str">
        <x:v>IM2609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7456.2</x:v>
      </x:c>
      <x:c r="E15" s="23" t="n">
        <x:v>7623.6</x:v>
      </x:c>
      <x:c r="F15" s="23" t="n">
        <x:v>7401.6</x:v>
      </x:c>
      <x:c r="G15" s="23" t="n">
        <x:v>7593</x:v>
      </x:c>
      <x:c r="H15" s="23" t="n">
        <x:v>149.8</x:v>
      </x:c>
      <x:c r="I15" s="24" t="n">
        <x:v>0.020125752364574367</x:v>
      </x:c>
      <x:c r="J15" s="26" t="n">
        <x:f>ROUND(E15-F15,1)</x:f>
        <x:v>222</x:v>
      </x:c>
      <x:c r="K15" s="22" t="str">
        <x:v>IM2609</x:v>
      </x:c>
    </x:row>
    <x:row r="18">
      <x:c r="A18" s="29" t="str">
        <x:v>合计</x:v>
      </x:c>
      <x:c r="B18" s="28" t="n">
        <x:v>12</x:v>
      </x:c>
      <x:c r="C18" s="28"/>
      <x:c r="D18" s="28"/>
      <x:c r="E18" s="28"/>
      <x:c r="F18" s="28"/>
      <x:c r="G18" s="28"/>
      <x:c r="H18" s="28"/>
      <x:c r="I18" s="28"/>
      <x:c r="J18" s="30" t="n">
        <x:f>SUM(J4:J15)</x:f>
        <x:v>1888.6</x:v>
      </x:c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28"/>
      <x:c r="J19" s="32" t="n">
        <x:f>ROUND(IFERROR(AVERAGE(J4:J15),0),1)</x:f>
        <x:v>157.4</x:v>
      </x:c>
      <x:c r="K19" s="28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7880.8</x:v>
      </x:c>
      <x:c r="E4" s="23" t="n">
        <x:v>7903</x:v>
      </x:c>
      <x:c r="F4" s="23" t="n">
        <x:v>7765</x:v>
      </x:c>
      <x:c r="G4" s="23" t="n">
        <x:v>7801.6</x:v>
      </x:c>
      <x:c r="H4" s="23" t="n">
        <x:v>-94.2</x:v>
      </x:c>
      <x:c r="I4" s="24" t="n">
        <x:v>-0.011930393373692283</x:v>
      </x:c>
      <x:c r="J4" s="23" t="n">
        <x:f>ROUND(E4-F4,1)</x:f>
        <x:v>138</x:v>
      </x:c>
      <x:c r="K4" s="22" t="str">
        <x:v>IC2609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7720</x:v>
      </x:c>
      <x:c r="E5" s="23" t="n">
        <x:v>7720</x:v>
      </x:c>
      <x:c r="F5" s="23" t="n">
        <x:v>7593</x:v>
      </x:c>
      <x:c r="G5" s="23" t="n">
        <x:v>7675.6</x:v>
      </x:c>
      <x:c r="H5" s="23" t="n">
        <x:v>-126</x:v>
      </x:c>
      <x:c r="I5" s="24" t="n">
        <x:v>-0.0161505332239541</x:v>
      </x:c>
      <x:c r="J5" s="23" t="n">
        <x:f>ROUND(E5-F5,1)</x:f>
        <x:v>127</x:v>
      </x:c>
      <x:c r="K5" s="22" t="str">
        <x:v>IC2609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7720</x:v>
      </x:c>
      <x:c r="E6" s="23" t="n">
        <x:v>7752.8</x:v>
      </x:c>
      <x:c r="F6" s="23" t="n">
        <x:v>7601.6</x:v>
      </x:c>
      <x:c r="G6" s="23" t="n">
        <x:v>7706.2</x:v>
      </x:c>
      <x:c r="H6" s="23" t="n">
        <x:v>30.6</x:v>
      </x:c>
      <x:c r="I6" s="24" t="n">
        <x:v>0.003986659023398786</x:v>
      </x:c>
      <x:c r="J6" s="26" t="n">
        <x:f>ROUND(E6-F6,1)</x:f>
        <x:v>151.2</x:v>
      </x:c>
      <x:c r="K6" s="22" t="str">
        <x:v>IC2609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7763.8</x:v>
      </x:c>
      <x:c r="E7" s="23" t="n">
        <x:v>7824.2</x:v>
      </x:c>
      <x:c r="F7" s="23" t="n">
        <x:v>7568</x:v>
      </x:c>
      <x:c r="G7" s="23" t="n">
        <x:v>7608</x:v>
      </x:c>
      <x:c r="H7" s="23" t="n">
        <x:v>-98.2</x:v>
      </x:c>
      <x:c r="I7" s="24" t="n">
        <x:v>-0.01274298616698244</x:v>
      </x:c>
      <x:c r="J7" s="26" t="n">
        <x:f>ROUND(E7-F7,1)</x:f>
        <x:v>256.2</x:v>
      </x:c>
      <x:c r="K7" s="22" t="str">
        <x:v>IC2609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7665.6</x:v>
      </x:c>
      <x:c r="E8" s="23" t="n">
        <x:v>7784.2</x:v>
      </x:c>
      <x:c r="F8" s="23" t="n">
        <x:v>7651.2</x:v>
      </x:c>
      <x:c r="G8" s="23" t="n">
        <x:v>7716.2</x:v>
      </x:c>
      <x:c r="H8" s="23" t="n">
        <x:v>108.2</x:v>
      </x:c>
      <x:c r="I8" s="24" t="n">
        <x:v>0.014221871713985257</x:v>
      </x:c>
      <x:c r="J8" s="23" t="n">
        <x:f>ROUND(E8-F8,1)</x:f>
        <x:v>133</x:v>
      </x:c>
      <x:c r="K8" s="22" t="str">
        <x:v>IC2609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7734</x:v>
      </x:c>
      <x:c r="E9" s="23" t="n">
        <x:v>7817.2</x:v>
      </x:c>
      <x:c r="F9" s="23" t="n">
        <x:v>7703.2</x:v>
      </x:c>
      <x:c r="G9" s="23" t="n">
        <x:v>7743.4</x:v>
      </x:c>
      <x:c r="H9" s="23" t="n">
        <x:v>27.2</x:v>
      </x:c>
      <x:c r="I9" s="24" t="n">
        <x:v>0.003525051191000772</x:v>
      </x:c>
      <x:c r="J9" s="23" t="n">
        <x:f>ROUND(E9-F9,1)</x:f>
        <x:v>114</x:v>
      </x:c>
      <x:c r="K9" s="22" t="str">
        <x:v>IC2609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7771</x:v>
      </x:c>
      <x:c r="E10" s="23" t="n">
        <x:v>7804.8</x:v>
      </x:c>
      <x:c r="F10" s="23" t="n">
        <x:v>7695.4</x:v>
      </x:c>
      <x:c r="G10" s="23" t="n">
        <x:v>7738.6</x:v>
      </x:c>
      <x:c r="H10" s="23" t="n">
        <x:v>-4.8</x:v>
      </x:c>
      <x:c r="I10" s="24" t="n">
        <x:v>-0.0006198827388484984</x:v>
      </x:c>
      <x:c r="J10" s="23" t="n">
        <x:f>ROUND(E10-F10,1)</x:f>
        <x:v>109.4</x:v>
      </x:c>
      <x:c r="K10" s="22" t="str">
        <x:v>IC2609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7696.8</x:v>
      </x:c>
      <x:c r="E11" s="23" t="n">
        <x:v>7754.8</x:v>
      </x:c>
      <x:c r="F11" s="23" t="n">
        <x:v>7664</x:v>
      </x:c>
      <x:c r="G11" s="23" t="n">
        <x:v>7705.8</x:v>
      </x:c>
      <x:c r="H11" s="23" t="n">
        <x:v>-32.8</x:v>
      </x:c>
      <x:c r="I11" s="24" t="n">
        <x:v>-0.00423849275062671</x:v>
      </x:c>
      <x:c r="J11" s="23" t="n">
        <x:f>ROUND(E11-F11,1)</x:f>
        <x:v>90.8</x:v>
      </x:c>
      <x:c r="K11" s="22" t="str">
        <x:v>IC2609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7626</x:v>
      </x:c>
      <x:c r="E12" s="23" t="n">
        <x:v>7626</x:v>
      </x:c>
      <x:c r="F12" s="23" t="n">
        <x:v>7418.8</x:v>
      </x:c>
      <x:c r="G12" s="23" t="n">
        <x:v>7569</x:v>
      </x:c>
      <x:c r="H12" s="23" t="n">
        <x:v>-136.8</x:v>
      </x:c>
      <x:c r="I12" s="24" t="n">
        <x:v>-0.017752861480962445</x:v>
      </x:c>
      <x:c r="J12" s="26" t="n">
        <x:f>ROUND(E12-F12,1)</x:f>
        <x:v>207.2</x:v>
      </x:c>
      <x:c r="K12" s="22" t="str">
        <x:v>IC2609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7482.2</x:v>
      </x:c>
      <x:c r="E13" s="23" t="n">
        <x:v>7595.2</x:v>
      </x:c>
      <x:c r="F13" s="23" t="n">
        <x:v>7452.2</x:v>
      </x:c>
      <x:c r="G13" s="23" t="n">
        <x:v>7573.6</x:v>
      </x:c>
      <x:c r="H13" s="23" t="n">
        <x:v>4.6</x:v>
      </x:c>
      <x:c r="I13" s="24" t="n">
        <x:v>0.0006077421059584864</x:v>
      </x:c>
      <x:c r="J13" s="23" t="n">
        <x:f>ROUND(E13-F13,1)</x:f>
        <x:v>143</x:v>
      </x:c>
      <x:c r="K13" s="22" t="str">
        <x:v>IC2609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7564.6</x:v>
      </x:c>
      <x:c r="E14" s="23" t="n">
        <x:v>7641.8</x:v>
      </x:c>
      <x:c r="F14" s="23" t="n">
        <x:v>7531</x:v>
      </x:c>
      <x:c r="G14" s="23" t="n">
        <x:v>7567.8</x:v>
      </x:c>
      <x:c r="H14" s="23" t="n">
        <x:v>-5.8</x:v>
      </x:c>
      <x:c r="I14" s="24" t="n">
        <x:v>-0.0007658181049963186</x:v>
      </x:c>
      <x:c r="J14" s="23" t="n">
        <x:f>ROUND(E14-F14,1)</x:f>
        <x:v>110.8</x:v>
      </x:c>
      <x:c r="K14" s="22" t="str">
        <x:v>IC2609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7571.8</x:v>
      </x:c>
      <x:c r="E15" s="23" t="n">
        <x:v>7710</x:v>
      </x:c>
      <x:c r="F15" s="23" t="n">
        <x:v>7516.2</x:v>
      </x:c>
      <x:c r="G15" s="23" t="n">
        <x:v>7689.6</x:v>
      </x:c>
      <x:c r="H15" s="23" t="n">
        <x:v>121.8</x:v>
      </x:c>
      <x:c r="I15" s="24" t="n">
        <x:v>0.016094505668754477</x:v>
      </x:c>
      <x:c r="J15" s="26" t="n">
        <x:f>ROUND(E15-F15,1)</x:f>
        <x:v>193.8</x:v>
      </x:c>
      <x:c r="K15" s="22" t="str">
        <x:v>IC2609</x:v>
      </x:c>
    </x:row>
    <x:row r="18">
      <x:c r="A18" s="29" t="str">
        <x:v>合计</x:v>
      </x:c>
      <x:c r="B18" s="28" t="n">
        <x:v>12</x:v>
      </x:c>
      <x:c r="C18" s="28"/>
      <x:c r="D18" s="28"/>
      <x:c r="E18" s="28"/>
      <x:c r="F18" s="28"/>
      <x:c r="G18" s="28"/>
      <x:c r="H18" s="28"/>
      <x:c r="I18" s="28"/>
      <x:c r="J18" s="30" t="n">
        <x:f>SUM(J4:J15)</x:f>
        <x:v>1774.3999999999999</x:v>
      </x:c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28"/>
      <x:c r="J19" s="32" t="n">
        <x:f>ROUND(IFERROR(AVERAGE(J4:J15),0),1)</x:f>
        <x:v>147.9</x:v>
      </x:c>
      <x:c r="K19" s="28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4602</x:v>
      </x:c>
      <x:c r="E4" s="23" t="n">
        <x:v>4617.8</x:v>
      </x:c>
      <x:c r="F4" s="23" t="n">
        <x:v>4576</x:v>
      </x:c>
      <x:c r="G4" s="23" t="n">
        <x:v>4597.2</x:v>
      </x:c>
      <x:c r="H4" s="23" t="n">
        <x:v>-4.4</x:v>
      </x:c>
      <x:c r="I4" s="24" t="n">
        <x:v>-0.0009561891515995624</x:v>
      </x:c>
      <x:c r="J4" s="23" t="n">
        <x:f>ROUND(E4-F4,1)</x:f>
        <x:v>41.8</x:v>
      </x:c>
      <x:c r="K4" s="22" t="str">
        <x:v>IF2609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4566.2</x:v>
      </x:c>
      <x:c r="E5" s="23" t="n">
        <x:v>4567</x:v>
      </x:c>
      <x:c r="F5" s="23" t="n">
        <x:v>4497.6</x:v>
      </x:c>
      <x:c r="G5" s="23" t="n">
        <x:v>4532.2</x:v>
      </x:c>
      <x:c r="H5" s="23" t="n">
        <x:v>-65</x:v>
      </x:c>
      <x:c r="I5" s="24" t="n">
        <x:v>-0.01413904115548592</x:v>
      </x:c>
      <x:c r="J5" s="23" t="n">
        <x:f>ROUND(E5-F5,1)</x:f>
        <x:v>69.4</x:v>
      </x:c>
      <x:c r="K5" s="22" t="str">
        <x:v>IF2609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4541</x:v>
      </x:c>
      <x:c r="E6" s="23" t="n">
        <x:v>4561.2</x:v>
      </x:c>
      <x:c r="F6" s="23" t="n">
        <x:v>4510.4</x:v>
      </x:c>
      <x:c r="G6" s="23" t="n">
        <x:v>4536.8</x:v>
      </x:c>
      <x:c r="H6" s="23" t="n">
        <x:v>4.6</x:v>
      </x:c>
      <x:c r="I6" s="24" t="n">
        <x:v>0.0010149596222586155</x:v>
      </x:c>
      <x:c r="J6" s="23" t="n">
        <x:f>ROUND(E6-F6,1)</x:f>
        <x:v>50.8</x:v>
      </x:c>
      <x:c r="K6" s="22" t="str">
        <x:v>IF2609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4568</x:v>
      </x:c>
      <x:c r="E7" s="23" t="n">
        <x:v>4594</x:v>
      </x:c>
      <x:c r="F7" s="23" t="n">
        <x:v>4519</x:v>
      </x:c>
      <x:c r="G7" s="23" t="n">
        <x:v>4537.4</x:v>
      </x:c>
      <x:c r="H7" s="23" t="n">
        <x:v>0.6</x:v>
      </x:c>
      <x:c r="I7" s="24" t="n">
        <x:v>0.00013225180744114162</x:v>
      </x:c>
      <x:c r="J7" s="23" t="n">
        <x:f>ROUND(E7-F7,1)</x:f>
        <x:v>75</x:v>
      </x:c>
      <x:c r="K7" s="22" t="str">
        <x:v>IF2609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4562</x:v>
      </x:c>
      <x:c r="E8" s="23" t="n">
        <x:v>4576.8</x:v>
      </x:c>
      <x:c r="F8" s="23" t="n">
        <x:v>4537.4</x:v>
      </x:c>
      <x:c r="G8" s="23" t="n">
        <x:v>4555.6</x:v>
      </x:c>
      <x:c r="H8" s="23" t="n">
        <x:v>18.2</x:v>
      </x:c>
      <x:c r="I8" s="24" t="n">
        <x:v>0.004011107682814208</x:v>
      </x:c>
      <x:c r="J8" s="23" t="n">
        <x:f>ROUND(E8-F8,1)</x:f>
        <x:v>39.4</x:v>
      </x:c>
      <x:c r="K8" s="22" t="str">
        <x:v>IF2609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4559</x:v>
      </x:c>
      <x:c r="E9" s="23" t="n">
        <x:v>4584</x:v>
      </x:c>
      <x:c r="F9" s="23" t="n">
        <x:v>4532.8</x:v>
      </x:c>
      <x:c r="G9" s="23" t="n">
        <x:v>4547</x:v>
      </x:c>
      <x:c r="H9" s="23" t="n">
        <x:v>-8.6</x:v>
      </x:c>
      <x:c r="I9" s="24" t="n">
        <x:v>-0.0018877864606199335</x:v>
      </x:c>
      <x:c r="J9" s="23" t="n">
        <x:f>ROUND(E9-F9,1)</x:f>
        <x:v>51.2</x:v>
      </x:c>
      <x:c r="K9" s="22" t="str">
        <x:v>IF2609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4564.2</x:v>
      </x:c>
      <x:c r="E10" s="23" t="n">
        <x:v>4574.2</x:v>
      </x:c>
      <x:c r="F10" s="23" t="n">
        <x:v>4535.6</x:v>
      </x:c>
      <x:c r="G10" s="23" t="n">
        <x:v>4560</x:v>
      </x:c>
      <x:c r="H10" s="23" t="n">
        <x:v>13</x:v>
      </x:c>
      <x:c r="I10" s="24" t="n">
        <x:v>0.0028590279305036326</x:v>
      </x:c>
      <x:c r="J10" s="23" t="n">
        <x:f>ROUND(E10-F10,1)</x:f>
        <x:v>38.6</x:v>
      </x:c>
      <x:c r="K10" s="22" t="str">
        <x:v>IF2609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4535.6</x:v>
      </x:c>
      <x:c r="E11" s="23" t="n">
        <x:v>4565.8</x:v>
      </x:c>
      <x:c r="F11" s="23" t="n">
        <x:v>4517.6</x:v>
      </x:c>
      <x:c r="G11" s="23" t="n">
        <x:v>4542.2</x:v>
      </x:c>
      <x:c r="H11" s="23" t="n">
        <x:v>-17.8</x:v>
      </x:c>
      <x:c r="I11" s="24" t="n">
        <x:v>-0.003903508771929909</x:v>
      </x:c>
      <x:c r="J11" s="23" t="n">
        <x:f>ROUND(E11-F11,1)</x:f>
        <x:v>48.2</x:v>
      </x:c>
      <x:c r="K11" s="22" t="str">
        <x:v>IF2609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4508.2</x:v>
      </x:c>
      <x:c r="E12" s="23" t="n">
        <x:v>4514</x:v>
      </x:c>
      <x:c r="F12" s="23" t="n">
        <x:v>4451.6</x:v>
      </x:c>
      <x:c r="G12" s="23" t="n">
        <x:v>4503.4</x:v>
      </x:c>
      <x:c r="H12" s="23" t="n">
        <x:v>-38.8</x:v>
      </x:c>
      <x:c r="I12" s="24" t="n">
        <x:v>-0.00854211615516709</x:v>
      </x:c>
      <x:c r="J12" s="23" t="n">
        <x:f>ROUND(E12-F12,1)</x:f>
        <x:v>62.4</x:v>
      </x:c>
      <x:c r="K12" s="22" t="str">
        <x:v>IF2609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4468</x:v>
      </x:c>
      <x:c r="E13" s="23" t="n">
        <x:v>4500.6</x:v>
      </x:c>
      <x:c r="F13" s="23" t="n">
        <x:v>4458</x:v>
      </x:c>
      <x:c r="G13" s="23" t="n">
        <x:v>4480.2</x:v>
      </x:c>
      <x:c r="H13" s="23" t="n">
        <x:v>-23.2</x:v>
      </x:c>
      <x:c r="I13" s="24" t="n">
        <x:v>-0.005151663187813571</x:v>
      </x:c>
      <x:c r="J13" s="23" t="n">
        <x:f>ROUND(E13-F13,1)</x:f>
        <x:v>42.6</x:v>
      </x:c>
      <x:c r="K13" s="22" t="str">
        <x:v>IF2609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4479.4</x:v>
      </x:c>
      <x:c r="E14" s="23" t="n">
        <x:v>4495.8</x:v>
      </x:c>
      <x:c r="F14" s="23" t="n">
        <x:v>4441</x:v>
      </x:c>
      <x:c r="G14" s="23" t="n">
        <x:v>4449.8</x:v>
      </x:c>
      <x:c r="H14" s="23" t="n">
        <x:v>-30.4</x:v>
      </x:c>
      <x:c r="I14" s="24" t="n">
        <x:v>-0.006785411365563987</x:v>
      </x:c>
      <x:c r="J14" s="23" t="n">
        <x:f>ROUND(E14-F14,1)</x:f>
        <x:v>54.8</x:v>
      </x:c>
      <x:c r="K14" s="22" t="str">
        <x:v>IF2609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4452.2</x:v>
      </x:c>
      <x:c r="E15" s="23" t="n">
        <x:v>4487</x:v>
      </x:c>
      <x:c r="F15" s="23" t="n">
        <x:v>4412.2</x:v>
      </x:c>
      <x:c r="G15" s="23" t="n">
        <x:v>4478</x:v>
      </x:c>
      <x:c r="H15" s="23" t="n">
        <x:v>28.2</x:v>
      </x:c>
      <x:c r="I15" s="24" t="n">
        <x:v>0.006337363477010083</x:v>
      </x:c>
      <x:c r="J15" s="23" t="n">
        <x:f>ROUND(E15-F15,1)</x:f>
        <x:v>74.8</x:v>
      </x:c>
      <x:c r="K15" s="22" t="str">
        <x:v>IF2609</x:v>
      </x:c>
    </x:row>
    <x:row r="18">
      <x:c r="A18" s="29" t="str">
        <x:v>合计</x:v>
      </x:c>
      <x:c r="B18" s="28" t="n">
        <x:v>12</x:v>
      </x:c>
      <x:c r="C18" s="28"/>
      <x:c r="D18" s="28"/>
      <x:c r="E18" s="28"/>
      <x:c r="F18" s="28"/>
      <x:c r="G18" s="28"/>
      <x:c r="H18" s="28"/>
      <x:c r="I18" s="28"/>
      <x:c r="J18" s="30" t="n">
        <x:f>SUM(J4:J15)</x:f>
        <x:v>648.9999999999999</x:v>
      </x:c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28"/>
      <x:c r="J19" s="32" t="n">
        <x:f>ROUND(IFERROR(AVERAGE(J4:J15),0),1)</x:f>
        <x:v>54.1</x:v>
      </x:c>
      <x:c r="K19" s="28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2913</x:v>
      </x:c>
      <x:c r="E4" s="23" t="n">
        <x:v>2934.8</x:v>
      </x:c>
      <x:c r="F4" s="23" t="n">
        <x:v>2912</x:v>
      </x:c>
      <x:c r="G4" s="23" t="n">
        <x:v>2928.6</x:v>
      </x:c>
      <x:c r="H4" s="23" t="n">
        <x:v>10.6</x:v>
      </x:c>
      <x:c r="I4" s="24" t="n">
        <x:v>0.0036326250856750786</x:v>
      </x:c>
      <x:c r="J4" s="23" t="n">
        <x:f>ROUND(E4-F4,1)</x:f>
        <x:v>22.8</x:v>
      </x:c>
      <x:c r="K4" s="22" t="str">
        <x:v>IH2609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2916</x:v>
      </x:c>
      <x:c r="E5" s="23" t="n">
        <x:v>2917.4</x:v>
      </x:c>
      <x:c r="F5" s="23" t="n">
        <x:v>2881.4</x:v>
      </x:c>
      <x:c r="G5" s="23" t="n">
        <x:v>2898.8</x:v>
      </x:c>
      <x:c r="H5" s="23" t="n">
        <x:v>-29.8</x:v>
      </x:c>
      <x:c r="I5" s="24" t="n">
        <x:v>-0.010175510482824501</x:v>
      </x:c>
      <x:c r="J5" s="23" t="n">
        <x:f>ROUND(E5-F5,1)</x:f>
        <x:v>36</x:v>
      </x:c>
      <x:c r="K5" s="22" t="str">
        <x:v>IH2609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2909.2</x:v>
      </x:c>
      <x:c r="E6" s="23" t="n">
        <x:v>2922.8</x:v>
      </x:c>
      <x:c r="F6" s="23" t="n">
        <x:v>2893.6</x:v>
      </x:c>
      <x:c r="G6" s="23" t="n">
        <x:v>2907.6</x:v>
      </x:c>
      <x:c r="H6" s="23" t="n">
        <x:v>8.8</x:v>
      </x:c>
      <x:c r="I6" s="24" t="n">
        <x:v>0.0030357389264521473</x:v>
      </x:c>
      <x:c r="J6" s="23" t="n">
        <x:f>ROUND(E6-F6,1)</x:f>
        <x:v>29.2</x:v>
      </x:c>
      <x:c r="K6" s="22" t="str">
        <x:v>IH2609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2922</x:v>
      </x:c>
      <x:c r="E7" s="23" t="n">
        <x:v>2949.4</x:v>
      </x:c>
      <x:c r="F7" s="23" t="n">
        <x:v>2904.8</x:v>
      </x:c>
      <x:c r="G7" s="23" t="n">
        <x:v>2915.8</x:v>
      </x:c>
      <x:c r="H7" s="23" t="n">
        <x:v>8.2</x:v>
      </x:c>
      <x:c r="I7" s="24" t="n">
        <x:v>0.0028201953501170163</x:v>
      </x:c>
      <x:c r="J7" s="23" t="n">
        <x:f>ROUND(E7-F7,1)</x:f>
        <x:v>44.6</x:v>
      </x:c>
      <x:c r="K7" s="22" t="str">
        <x:v>IH2609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2923.2</x:v>
      </x:c>
      <x:c r="E8" s="23" t="n">
        <x:v>2931.4</x:v>
      </x:c>
      <x:c r="F8" s="23" t="n">
        <x:v>2892.2</x:v>
      </x:c>
      <x:c r="G8" s="23" t="n">
        <x:v>2898.8</x:v>
      </x:c>
      <x:c r="H8" s="23" t="n">
        <x:v>-17</x:v>
      </x:c>
      <x:c r="I8" s="24" t="n">
        <x:v>-0.0058303038617189</x:v>
      </x:c>
      <x:c r="J8" s="23" t="n">
        <x:f>ROUND(E8-F8,1)</x:f>
        <x:v>39.2</x:v>
      </x:c>
      <x:c r="K8" s="22" t="str">
        <x:v>IH2609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2904.8</x:v>
      </x:c>
      <x:c r="E9" s="23" t="n">
        <x:v>2917.4</x:v>
      </x:c>
      <x:c r="F9" s="23" t="n">
        <x:v>2891</x:v>
      </x:c>
      <x:c r="G9" s="23" t="n">
        <x:v>2897</x:v>
      </x:c>
      <x:c r="H9" s="23" t="n">
        <x:v>-1.8</x:v>
      </x:c>
      <x:c r="I9" s="24" t="n">
        <x:v>-0.0006209465985925755</x:v>
      </x:c>
      <x:c r="J9" s="23" t="n">
        <x:f>ROUND(E9-F9,1)</x:f>
        <x:v>26.4</x:v>
      </x:c>
      <x:c r="K9" s="22" t="str">
        <x:v>IH2609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2903.2</x:v>
      </x:c>
      <x:c r="E10" s="23" t="n">
        <x:v>2909.8</x:v>
      </x:c>
      <x:c r="F10" s="23" t="n">
        <x:v>2887.6</x:v>
      </x:c>
      <x:c r="G10" s="23" t="n">
        <x:v>2901.2</x:v>
      </x:c>
      <x:c r="H10" s="23" t="n">
        <x:v>4.2</x:v>
      </x:c>
      <x:c r="I10" s="24" t="n">
        <x:v>0.001449775629962069</x:v>
      </x:c>
      <x:c r="J10" s="23" t="n">
        <x:f>ROUND(E10-F10,1)</x:f>
        <x:v>22.2</x:v>
      </x:c>
      <x:c r="K10" s="22" t="str">
        <x:v>IH2609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2892</x:v>
      </x:c>
      <x:c r="E11" s="23" t="n">
        <x:v>2908.4</x:v>
      </x:c>
      <x:c r="F11" s="23" t="n">
        <x:v>2879.2</x:v>
      </x:c>
      <x:c r="G11" s="23" t="n">
        <x:v>2897</x:v>
      </x:c>
      <x:c r="H11" s="23" t="n">
        <x:v>-4.2</x:v>
      </x:c>
      <x:c r="I11" s="24" t="n">
        <x:v>-0.0014476768233833148</x:v>
      </x:c>
      <x:c r="J11" s="23" t="n">
        <x:f>ROUND(E11-F11,1)</x:f>
        <x:v>29.2</x:v>
      </x:c>
      <x:c r="K11" s="22" t="str">
        <x:v>IH2609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2872.4</x:v>
      </x:c>
      <x:c r="E12" s="23" t="n">
        <x:v>2876.6</x:v>
      </x:c>
      <x:c r="F12" s="23" t="n">
        <x:v>2836.8</x:v>
      </x:c>
      <x:c r="G12" s="23" t="n">
        <x:v>2867</x:v>
      </x:c>
      <x:c r="H12" s="23" t="n">
        <x:v>-30</x:v>
      </x:c>
      <x:c r="I12" s="24" t="n">
        <x:v>-0.010355540214014525</x:v>
      </x:c>
      <x:c r="J12" s="23" t="n">
        <x:f>ROUND(E12-F12,1)</x:f>
        <x:v>39.8</x:v>
      </x:c>
      <x:c r="K12" s="22" t="str">
        <x:v>IH2609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2849.2</x:v>
      </x:c>
      <x:c r="E13" s="23" t="n">
        <x:v>2864.6</x:v>
      </x:c>
      <x:c r="F13" s="23" t="n">
        <x:v>2843.8</x:v>
      </x:c>
      <x:c r="G13" s="23" t="n">
        <x:v>2860.4</x:v>
      </x:c>
      <x:c r="H13" s="23" t="n">
        <x:v>-6.6</x:v>
      </x:c>
      <x:c r="I13" s="24" t="n">
        <x:v>-0.002302057900244181</x:v>
      </x:c>
      <x:c r="J13" s="23" t="n">
        <x:f>ROUND(E13-F13,1)</x:f>
        <x:v>20.8</x:v>
      </x:c>
      <x:c r="K13" s="22" t="str">
        <x:v>IH2609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2858</x:v>
      </x:c>
      <x:c r="E14" s="23" t="n">
        <x:v>2867</x:v>
      </x:c>
      <x:c r="F14" s="23" t="n">
        <x:v>2840</x:v>
      </x:c>
      <x:c r="G14" s="23" t="n">
        <x:v>2845</x:v>
      </x:c>
      <x:c r="H14" s="23" t="n">
        <x:v>-15.4</x:v>
      </x:c>
      <x:c r="I14" s="24" t="n">
        <x:v>-0.005383862396867611</x:v>
      </x:c>
      <x:c r="J14" s="23" t="n">
        <x:f>ROUND(E14-F14,1)</x:f>
        <x:v>27</x:v>
      </x:c>
      <x:c r="K14" s="22" t="str">
        <x:v>IH2609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2848.2</x:v>
      </x:c>
      <x:c r="E15" s="23" t="n">
        <x:v>2873.2</x:v>
      </x:c>
      <x:c r="F15" s="23" t="n">
        <x:v>2829.4</x:v>
      </x:c>
      <x:c r="G15" s="23" t="n">
        <x:v>2865</x:v>
      </x:c>
      <x:c r="H15" s="23" t="n">
        <x:v>20</x:v>
      </x:c>
      <x:c r="I15" s="24" t="n">
        <x:v>0.007029876977152849</x:v>
      </x:c>
      <x:c r="J15" s="23" t="n">
        <x:f>ROUND(E15-F15,1)</x:f>
        <x:v>43.8</x:v>
      </x:c>
      <x:c r="K15" s="22" t="str">
        <x:v>IH2609</x:v>
      </x:c>
    </x:row>
    <x:row r="18">
      <x:c r="A18" s="29" t="str">
        <x:v>合计</x:v>
      </x:c>
      <x:c r="B18" s="28" t="n">
        <x:v>12</x:v>
      </x:c>
      <x:c r="C18" s="28"/>
      <x:c r="D18" s="28"/>
      <x:c r="E18" s="28"/>
      <x:c r="F18" s="28"/>
      <x:c r="G18" s="28"/>
      <x:c r="H18" s="28"/>
      <x:c r="I18" s="28"/>
      <x:c r="J18" s="30" t="n">
        <x:f>SUM(J4:J15)</x:f>
        <x:v>381</x:v>
      </x:c>
      <x:c r="K18" s="28"/>
    </x:row>
    <x:row r="19">
      <x:c r="A19" s="29" t="str">
        <x:v>均值</x:v>
      </x:c>
      <x:c r="B19" s="28"/>
      <x:c r="C19" s="28"/>
      <x:c r="D19" s="28"/>
      <x:c r="E19" s="28"/>
      <x:c r="F19" s="28"/>
      <x:c r="G19" s="28"/>
      <x:c r="H19" s="28"/>
      <x:c r="I19" s="28"/>
      <x:c r="J19" s="32" t="n">
        <x:f>ROUND(IFERROR(AVERAGE(J4:J15),0),1)</x:f>
        <x:v>31.8</x:v>
      </x:c>
      <x:c r="K19" s="28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2026年9月统计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2" t="n">
        <x:v>1</x:v>
      </x:c>
      <x:c r="B4" s="22" t="str">
        <x:v>周二</x:v>
      </x:c>
      <x:c r="C4" s="22" t="str">
        <x:v>9月1日</x:v>
      </x:c>
      <x:c r="D4" s="23" t="n">
        <x:v>159280</x:v>
      </x:c>
      <x:c r="E4" s="23" t="n">
        <x:v>161280</x:v>
      </x:c>
      <x:c r="F4" s="23" t="n">
        <x:v>156100</x:v>
      </x:c>
      <x:c r="G4" s="23" t="n">
        <x:v>156920</x:v>
      </x:c>
      <x:c r="H4" s="34" t="n">
        <x:v>-2360</x:v>
      </x:c>
      <x:c r="I4" s="24" t="n">
        <x:v>-0.01481667503766948</x:v>
      </x:c>
      <x:c r="J4" s="23" t="n">
        <x:f>ROUND(E4-F4,1)</x:f>
        <x:v>5180</x:v>
      </x:c>
      <x:c r="K4" s="22" t="str">
        <x:v>LC2610</x:v>
      </x:c>
    </x:row>
    <x:row r="5">
      <x:c r="A5" s="22" t="n">
        <x:v>2</x:v>
      </x:c>
      <x:c r="B5" s="22" t="str">
        <x:v>周三</x:v>
      </x:c>
      <x:c r="C5" s="22" t="str">
        <x:v>9月2日</x:v>
      </x:c>
      <x:c r="D5" s="23" t="n">
        <x:v>156760</x:v>
      </x:c>
      <x:c r="E5" s="23" t="n">
        <x:v>156760</x:v>
      </x:c>
      <x:c r="F5" s="23" t="n">
        <x:v>152500</x:v>
      </x:c>
      <x:c r="G5" s="23" t="n">
        <x:v>153680</x:v>
      </x:c>
      <x:c r="H5" s="34" t="n">
        <x:v>-3240</x:v>
      </x:c>
      <x:c r="I5" s="24" t="n">
        <x:v>-0.020647463675758315</x:v>
      </x:c>
      <x:c r="J5" s="23" t="n">
        <x:f>ROUND(E5-F5,1)</x:f>
        <x:v>4260</x:v>
      </x:c>
      <x:c r="K5" s="22" t="str">
        <x:v>LC2610</x:v>
      </x:c>
    </x:row>
    <x:row r="6">
      <x:c r="A6" s="22" t="n">
        <x:v>3</x:v>
      </x:c>
      <x:c r="B6" s="22" t="str">
        <x:v>周四</x:v>
      </x:c>
      <x:c r="C6" s="22" t="str">
        <x:v>9月3日</x:v>
      </x:c>
      <x:c r="D6" s="23" t="n">
        <x:v>154200</x:v>
      </x:c>
      <x:c r="E6" s="23" t="n">
        <x:v>156640</x:v>
      </x:c>
      <x:c r="F6" s="23" t="n">
        <x:v>149080</x:v>
      </x:c>
      <x:c r="G6" s="23" t="n">
        <x:v>149080</x:v>
      </x:c>
      <x:c r="H6" s="34" t="n">
        <x:v>-4600</x:v>
      </x:c>
      <x:c r="I6" s="24" t="n">
        <x:v>-0.029932326913066132</x:v>
      </x:c>
      <x:c r="J6" s="26" t="n">
        <x:f>ROUND(E6-F6,1)</x:f>
        <x:v>7560</x:v>
      </x:c>
      <x:c r="K6" s="22" t="str">
        <x:v>LC2610</x:v>
      </x:c>
    </x:row>
    <x:row r="7">
      <x:c r="A7" s="22" t="n">
        <x:v>4</x:v>
      </x:c>
      <x:c r="B7" s="22" t="str">
        <x:v>周五</x:v>
      </x:c>
      <x:c r="C7" s="22" t="str">
        <x:v>9月4日</x:v>
      </x:c>
      <x:c r="D7" s="23" t="n">
        <x:v>150440</x:v>
      </x:c>
      <x:c r="E7" s="23" t="n">
        <x:v>151480</x:v>
      </x:c>
      <x:c r="F7" s="23" t="n">
        <x:v>140220</x:v>
      </x:c>
      <x:c r="G7" s="23" t="n">
        <x:v>142000</x:v>
      </x:c>
      <x:c r="H7" s="34" t="n">
        <x:v>-7080</x:v>
      </x:c>
      <x:c r="I7" s="24" t="n">
        <x:v>-0.047491279849745105</x:v>
      </x:c>
      <x:c r="J7" s="26" t="n">
        <x:f>ROUND(E7-F7,1)</x:f>
        <x:v>11260</x:v>
      </x:c>
      <x:c r="K7" s="22" t="str">
        <x:v>LC2610</x:v>
      </x:c>
    </x:row>
    <x:row r="8">
      <x:c r="A8" s="22" t="n">
        <x:v>5</x:v>
      </x:c>
      <x:c r="B8" s="22" t="str">
        <x:v>周一</x:v>
      </x:c>
      <x:c r="C8" s="22" t="str">
        <x:v>9月7日</x:v>
      </x:c>
      <x:c r="D8" s="23" t="n">
        <x:v>141000</x:v>
      </x:c>
      <x:c r="E8" s="23" t="n">
        <x:v>142860</x:v>
      </x:c>
      <x:c r="F8" s="23" t="n">
        <x:v>139760</x:v>
      </x:c>
      <x:c r="G8" s="23" t="n">
        <x:v>141140</x:v>
      </x:c>
      <x:c r="H8" s="34" t="n">
        <x:v>-860</x:v>
      </x:c>
      <x:c r="I8" s="24" t="n">
        <x:v>-0.006056338028168962</x:v>
      </x:c>
      <x:c r="J8" s="23" t="n">
        <x:f>ROUND(E8-F8,1)</x:f>
        <x:v>3100</x:v>
      </x:c>
      <x:c r="K8" s="22" t="str">
        <x:v>LC2610</x:v>
      </x:c>
    </x:row>
    <x:row r="9">
      <x:c r="A9" s="22" t="n">
        <x:v>6</x:v>
      </x:c>
      <x:c r="B9" s="22" t="str">
        <x:v>周二</x:v>
      </x:c>
      <x:c r="C9" s="22" t="str">
        <x:v>9月8日</x:v>
      </x:c>
      <x:c r="D9" s="23" t="n">
        <x:v>140960</x:v>
      </x:c>
      <x:c r="E9" s="23" t="n">
        <x:v>143540</x:v>
      </x:c>
      <x:c r="F9" s="23" t="n">
        <x:v>140960</x:v>
      </x:c>
      <x:c r="G9" s="23" t="n">
        <x:v>142640</x:v>
      </x:c>
      <x:c r="H9" s="34" t="n">
        <x:v>1500</x:v>
      </x:c>
      <x:c r="I9" s="24" t="n">
        <x:v>0.01062774550092116</x:v>
      </x:c>
      <x:c r="J9" s="23" t="n">
        <x:f>ROUND(E9-F9,1)</x:f>
        <x:v>2580</x:v>
      </x:c>
      <x:c r="K9" s="22" t="str">
        <x:v>LC2610</x:v>
      </x:c>
    </x:row>
    <x:row r="10">
      <x:c r="A10" s="22" t="n">
        <x:v>7</x:v>
      </x:c>
      <x:c r="B10" s="22" t="str">
        <x:v>周三</x:v>
      </x:c>
      <x:c r="C10" s="22" t="str">
        <x:v>9月9日</x:v>
      </x:c>
      <x:c r="D10" s="23" t="n">
        <x:v>142100</x:v>
      </x:c>
      <x:c r="E10" s="23" t="n">
        <x:v>143220</x:v>
      </x:c>
      <x:c r="F10" s="23" t="n">
        <x:v>139800</x:v>
      </x:c>
      <x:c r="G10" s="23" t="n">
        <x:v>141140</x:v>
      </x:c>
      <x:c r="H10" s="34" t="n">
        <x:v>-1500</x:v>
      </x:c>
      <x:c r="I10" s="24" t="n">
        <x:v>-0.010515984296130099</x:v>
      </x:c>
      <x:c r="J10" s="23" t="n">
        <x:f>ROUND(E10-F10,1)</x:f>
        <x:v>3420</x:v>
      </x:c>
      <x:c r="K10" s="22" t="str">
        <x:v>LC2610</x:v>
      </x:c>
    </x:row>
    <x:row r="11">
      <x:c r="A11" s="22" t="n">
        <x:v>8</x:v>
      </x:c>
      <x:c r="B11" s="22" t="str">
        <x:v>周四</x:v>
      </x:c>
      <x:c r="C11" s="22" t="str">
        <x:v>9月10日</x:v>
      </x:c>
      <x:c r="D11" s="23" t="n">
        <x:v>141340</x:v>
      </x:c>
      <x:c r="E11" s="23" t="n">
        <x:v>142880</x:v>
      </x:c>
      <x:c r="F11" s="23" t="n">
        <x:v>139020</x:v>
      </x:c>
      <x:c r="G11" s="23" t="n">
        <x:v>140960</x:v>
      </x:c>
      <x:c r="H11" s="34" t="n">
        <x:v>-180</x:v>
      </x:c>
      <x:c r="I11" s="24" t="n">
        <x:v>-0.0012753294601105525</x:v>
      </x:c>
      <x:c r="J11" s="23" t="n">
        <x:f>ROUND(E11-F11,1)</x:f>
        <x:v>3860</x:v>
      </x:c>
      <x:c r="K11" s="22" t="str">
        <x:v>LC2610</x:v>
      </x:c>
    </x:row>
    <x:row r="12">
      <x:c r="A12" s="22" t="n">
        <x:v>9</x:v>
      </x:c>
      <x:c r="B12" s="22" t="str">
        <x:v>周五</x:v>
      </x:c>
      <x:c r="C12" s="22" t="str">
        <x:v>9月11日</x:v>
      </x:c>
      <x:c r="D12" s="23" t="n">
        <x:v>140300</x:v>
      </x:c>
      <x:c r="E12" s="23" t="n">
        <x:v>140300</x:v>
      </x:c>
      <x:c r="F12" s="23" t="n">
        <x:v>127120</x:v>
      </x:c>
      <x:c r="G12" s="23" t="n">
        <x:v>134340</x:v>
      </x:c>
      <x:c r="H12" s="34" t="n">
        <x:v>-6620</x:v>
      </x:c>
      <x:c r="I12" s="24" t="n">
        <x:v>-0.04696367763904652</x:v>
      </x:c>
      <x:c r="J12" s="26" t="n">
        <x:f>ROUND(E12-F12,1)</x:f>
        <x:v>13180</x:v>
      </x:c>
      <x:c r="K12" s="22" t="str">
        <x:v>LC2610</x:v>
      </x:c>
    </x:row>
    <x:row r="13">
      <x:c r="A13" s="22" t="n">
        <x:v>10</x:v>
      </x:c>
      <x:c r="B13" s="22" t="str">
        <x:v>周一</x:v>
      </x:c>
      <x:c r="C13" s="22" t="str">
        <x:v>9月14日</x:v>
      </x:c>
      <x:c r="D13" s="23" t="n">
        <x:v>133600</x:v>
      </x:c>
      <x:c r="E13" s="23" t="n">
        <x:v>134840</x:v>
      </x:c>
      <x:c r="F13" s="23" t="n">
        <x:v>132020</x:v>
      </x:c>
      <x:c r="G13" s="23" t="n">
        <x:v>132580</x:v>
      </x:c>
      <x:c r="H13" s="34" t="n">
        <x:v>-1760</x:v>
      </x:c>
      <x:c r="I13" s="24" t="n">
        <x:v>-0.013101086794700012</x:v>
      </x:c>
      <x:c r="J13" s="23" t="n">
        <x:f>ROUND(E13-F13,1)</x:f>
        <x:v>2820</x:v>
      </x:c>
      <x:c r="K13" s="22" t="str">
        <x:v>LC2610</x:v>
      </x:c>
    </x:row>
    <x:row r="14">
      <x:c r="A14" s="22" t="n">
        <x:v>11</x:v>
      </x:c>
      <x:c r="B14" s="22" t="str">
        <x:v>周二</x:v>
      </x:c>
      <x:c r="C14" s="22" t="str">
        <x:v>9月15日</x:v>
      </x:c>
      <x:c r="D14" s="23" t="n">
        <x:v>133680</x:v>
      </x:c>
      <x:c r="E14" s="23" t="n">
        <x:v>133680</x:v>
      </x:c>
      <x:c r="F14" s="23" t="n">
        <x:v>128000</x:v>
      </x:c>
      <x:c r="G14" s="23" t="n">
        <x:v>130000</x:v>
      </x:c>
      <x:c r="H14" s="34" t="n">
        <x:v>-2580</x:v>
      </x:c>
      <x:c r="I14" s="24" t="n">
        <x:v>-0.019459948710212727</x:v>
      </x:c>
      <x:c r="J14" s="23" t="n">
        <x:f>ROUND(E14-F14,1)</x:f>
        <x:v>5680</x:v>
      </x:c>
      <x:c r="K14" s="22" t="str">
        <x:v>LC2610</x:v>
      </x:c>
    </x:row>
    <x:row r="15">
      <x:c r="A15" s="22" t="n">
        <x:v>12</x:v>
      </x:c>
      <x:c r="B15" s="22" t="str">
        <x:v>周三</x:v>
      </x:c>
      <x:c r="C15" s="22" t="str">
        <x:v>9月16日</x:v>
      </x:c>
      <x:c r="D15" s="23" t="n">
        <x:v>128500</x:v>
      </x:c>
      <x:c r="E15" s="23" t="n">
        <x:v>130660</x:v>
      </x:c>
      <x:c r="F15" s="23" t="n">
        <x:v>126200</x:v>
      </x:c>
      <x:c r="G15" s="23" t="n">
        <x:v>127460</x:v>
      </x:c>
      <x:c r="H15" s="34" t="n">
        <x:v>-2540</x:v>
      </x:c>
      <x:c r="I15" s="24" t="n">
        <x:v>-0.019538461538461505</x:v>
      </x:c>
      <x:c r="J15" s="23" t="n">
        <x:f>ROUND(E15-F15,1)</x:f>
        <x:v>4460</x:v>
      </x:c>
      <x:c r="K15" s="22" t="str">
        <x:v>LC2610</x:v>
      </x:c>
    </x:row>
    <x:row r="16">
      <x:c r="A16" s="22" t="n">
        <x:v>13</x:v>
      </x:c>
      <x:c r="B16" s="22" t="str">
        <x:v>周四</x:v>
      </x:c>
      <x:c r="C16" s="22" t="str">
        <x:v>9月17日</x:v>
      </x:c>
      <x:c r="D16" s="23" t="n">
        <x:v>129900</x:v>
      </x:c>
      <x:c r="E16" s="23" t="n">
        <x:v>133760</x:v>
      </x:c>
      <x:c r="F16" s="23" t="n">
        <x:v>127900</x:v>
      </x:c>
      <x:c r="G16" s="23" t="n">
        <x:v>132280</x:v>
      </x:c>
      <x:c r="H16" s="34" t="n">
        <x:v>4820</x:v>
      </x:c>
      <x:c r="I16" s="24" t="n">
        <x:v>0.03781578534442187</x:v>
      </x:c>
      <x:c r="J16" s="23" t="n">
        <x:f>ROUND(E16-F16,1)</x:f>
        <x:v>5860</x:v>
      </x:c>
      <x:c r="K16" s="22" t="str">
        <x:v>LC2610</x:v>
      </x:c>
    </x:row>
    <x:row r="19">
      <x:c r="A19" s="29" t="str">
        <x:v>合计</x:v>
      </x:c>
      <x:c r="B19" s="28" t="n">
        <x:v>13</x:v>
      </x:c>
      <x:c r="C19" s="28"/>
      <x:c r="D19" s="28"/>
      <x:c r="E19" s="28"/>
      <x:c r="F19" s="28"/>
      <x:c r="G19" s="28"/>
      <x:c r="H19" s="28"/>
      <x:c r="I19" s="28"/>
      <x:c r="J19" s="30" t="n">
        <x:f>SUM(J4:J16)</x:f>
        <x:v>73220</x:v>
      </x:c>
      <x:c r="K19" s="28"/>
    </x:row>
    <x:row r="20">
      <x:c r="A20" s="29" t="str">
        <x:v>均值</x:v>
      </x:c>
      <x:c r="B20" s="28"/>
      <x:c r="C20" s="28"/>
      <x:c r="D20" s="28"/>
      <x:c r="E20" s="28"/>
      <x:c r="F20" s="28"/>
      <x:c r="G20" s="28"/>
      <x:c r="H20" s="28"/>
      <x:c r="I20" s="28"/>
      <x:c r="J20" s="32" t="n">
        <x:f>ROUND(IFERROR(AVERAGE(J4:J16),0),1)</x:f>
        <x:v>5632.3</x:v>
      </x:c>
      <x:c r="K20" s="28"/>
    </x:row>
  </x:sheetData>
  <x:mergeCells>
    <x:mergeCell ref="A1:K1"/>
  </x:mergeCells>
  <x:pageMargins left="0.7" right="0.7" top="0.75" bottom="0.75" header="0.3" footer="0.3"/>
</x:worksheet>
</file>