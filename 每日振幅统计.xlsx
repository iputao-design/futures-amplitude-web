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15c5e5eab24c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3af8670887c4877"/>
    <x:sheet xmlns:r="http://schemas.openxmlformats.org/officeDocument/2006/relationships" name="周振幅统计" sheetId="2" r:id="R2d23b30e7aca464f"/>
    <x:sheet xmlns:r="http://schemas.openxmlformats.org/officeDocument/2006/relationships" name="中证1000" sheetId="3" r:id="Rf446daab0a8745c6"/>
    <x:sheet xmlns:r="http://schemas.openxmlformats.org/officeDocument/2006/relationships" name="中证500" sheetId="4" r:id="Rd826316540034287"/>
    <x:sheet xmlns:r="http://schemas.openxmlformats.org/officeDocument/2006/relationships" name="上证指数" sheetId="5" r:id="R39663b978b684a4a"/>
    <x:sheet xmlns:r="http://schemas.openxmlformats.org/officeDocument/2006/relationships" name="IM主力" sheetId="6" r:id="Ra434159af3be4b45"/>
    <x:sheet xmlns:r="http://schemas.openxmlformats.org/officeDocument/2006/relationships" name="IC主力" sheetId="7" r:id="R0cfdb3ed78de4fac"/>
    <x:sheet xmlns:r="http://schemas.openxmlformats.org/officeDocument/2006/relationships" name="IF主力" sheetId="8" r:id="R0486657de9ee4141"/>
    <x:sheet xmlns:r="http://schemas.openxmlformats.org/officeDocument/2006/relationships" name="IH主力" sheetId="9" r:id="R08f1d3d317f94498"/>
    <x:sheet xmlns:r="http://schemas.openxmlformats.org/officeDocument/2006/relationships" name="碳酸锂2610" sheetId="10" r:id="Rb02d022b94aa47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f954f486774432" /><Relationship Type="http://schemas.openxmlformats.org/officeDocument/2006/relationships/theme" Target="/xl/theme/theme1.xml" Id="Reff90aea7469451c" /><Relationship Type="http://schemas.openxmlformats.org/officeDocument/2006/relationships/sharedStrings" Target="/xl/sharedStrings.xml" Id="R8440aaa1c9674fbb" /><Relationship Type="http://schemas.openxmlformats.org/officeDocument/2006/relationships/worksheet" Target="/xl/worksheets/sheet1.xml" Id="Ra3af8670887c4877" /><Relationship Type="http://schemas.openxmlformats.org/officeDocument/2006/relationships/worksheet" Target="/xl/worksheets/sheet2.xml" Id="R2d23b30e7aca464f" /><Relationship Type="http://schemas.openxmlformats.org/officeDocument/2006/relationships/worksheet" Target="/xl/worksheets/sheet3.xml" Id="Rf446daab0a8745c6" /><Relationship Type="http://schemas.openxmlformats.org/officeDocument/2006/relationships/worksheet" Target="/xl/worksheets/sheet4.xml" Id="Rd826316540034287" /><Relationship Type="http://schemas.openxmlformats.org/officeDocument/2006/relationships/worksheet" Target="/xl/worksheets/sheet5.xml" Id="R39663b978b684a4a" /><Relationship Type="http://schemas.openxmlformats.org/officeDocument/2006/relationships/worksheet" Target="/xl/worksheets/sheet6.xml" Id="Ra434159af3be4b45" /><Relationship Type="http://schemas.openxmlformats.org/officeDocument/2006/relationships/worksheet" Target="/xl/worksheets/sheet7.xml" Id="R0cfdb3ed78de4fac" /><Relationship Type="http://schemas.openxmlformats.org/officeDocument/2006/relationships/worksheet" Target="/xl/worksheets/sheet8.xml" Id="R0486657de9ee4141" /><Relationship Type="http://schemas.openxmlformats.org/officeDocument/2006/relationships/worksheet" Target="/xl/worksheets/sheet9.xml" Id="R08f1d3d317f94498" /><Relationship Type="http://schemas.openxmlformats.org/officeDocument/2006/relationships/worksheet" Target="/xl/worksheets/sheet10.xml" Id="Rb02d022b94aa47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2026-09-28</x:v>
      </x:c>
      <x:c r="C4" s="10" t="n">
        <x:v>7551.22</x:v>
      </x:c>
      <x:c r="D4" s="10" t="n">
        <x:v>7246.61</x:v>
      </x:c>
      <x:c r="E4" s="12" t="n">
        <x:v>304.6</x:v>
      </x:c>
      <x:c r="F4" s="9" t="n">
        <x:v>19</x:v>
      </x:c>
      <x:c r="G4" s="10" t="n">
        <x:v>2572.9</x:v>
      </x:c>
      <x:c r="H4" s="10" t="n">
        <x:v>135.4</x:v>
      </x:c>
      <x:c r="I4" s="10" t="n">
        <x:v>180</x:v>
      </x:c>
    </x:row>
    <x:row r="5">
      <x:c r="A5" s="9" t="str">
        <x:v>中证500</x:v>
      </x:c>
      <x:c r="B5" s="9" t="str">
        <x:v>2026-09-28</x:v>
      </x:c>
      <x:c r="C5" s="10" t="n">
        <x:v>7601.09</x:v>
      </x:c>
      <x:c r="D5" s="10" t="n">
        <x:v>7364.43</x:v>
      </x:c>
      <x:c r="E5" s="12" t="n">
        <x:v>236.7</x:v>
      </x:c>
      <x:c r="F5" s="9" t="n">
        <x:v>19</x:v>
      </x:c>
      <x:c r="G5" s="10" t="n">
        <x:v>2346.2</x:v>
      </x:c>
      <x:c r="H5" s="10" t="n">
        <x:v>123.5</x:v>
      </x:c>
      <x:c r="I5" s="10" t="n">
        <x:v>160</x:v>
      </x:c>
    </x:row>
    <x:row r="6">
      <x:c r="A6" s="9" t="str">
        <x:v>上证指数</x:v>
      </x:c>
      <x:c r="B6" s="9" t="str">
        <x:v>2026-09-28</x:v>
      </x:c>
      <x:c r="C6" s="10" t="n">
        <x:v>3878.41</x:v>
      </x:c>
      <x:c r="D6" s="10" t="n">
        <x:v>3806.67</x:v>
      </x:c>
      <x:c r="E6" s="12" t="n">
        <x:v>71.7</x:v>
      </x:c>
      <x:c r="F6" s="9" t="n">
        <x:v>19</x:v>
      </x:c>
      <x:c r="G6" s="10" t="n">
        <x:v>682.5</x:v>
      </x:c>
      <x:c r="H6" s="10" t="n">
        <x:v>35.9</x:v>
      </x:c>
      <x:c r="I6" s="10" t="n">
        <x:v>50</x:v>
      </x:c>
    </x:row>
    <x:row r="7">
      <x:c r="A7" s="9" t="str">
        <x:v>IM主力</x:v>
      </x:c>
      <x:c r="B7" s="9" t="str">
        <x:v>2026-09-24</x:v>
      </x:c>
      <x:c r="C7" s="10" t="n">
        <x:v>7578</x:v>
      </x:c>
      <x:c r="D7" s="10" t="n">
        <x:v>7386</x:v>
      </x:c>
      <x:c r="E7" s="12" t="n">
        <x:v>192</x:v>
      </x:c>
      <x:c r="F7" s="9" t="n">
        <x:v>18</x:v>
      </x:c>
      <x:c r="G7" s="10" t="n">
        <x:v>2550.4</x:v>
      </x:c>
      <x:c r="H7" s="10" t="n">
        <x:v>141.7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19</x:v>
      </x:c>
      <x:c r="G8" s="10" t="n">
        <x:v>2762.2</x:v>
      </x:c>
      <x:c r="H8" s="10" t="n">
        <x:v>145.4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18</x:v>
      </x:c>
      <x:c r="G9" s="10" t="n">
        <x:v>929</x:v>
      </x:c>
      <x:c r="H9" s="10" t="n">
        <x:v>51.6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18</x:v>
      </x:c>
      <x:c r="G10" s="10" t="n">
        <x:v>554</x:v>
      </x:c>
      <x:c r="H10" s="10" t="n">
        <x:v>30.8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18</x:v>
      </x:c>
      <x:c r="G11" s="10" t="n">
        <x:v>108320</x:v>
      </x:c>
      <x:c r="H11" s="10" t="n">
        <x:v>6017.8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7294.17</x:v>
      </x:c>
      <x:c r="G9" s="28" t="n">
        <x:f>ROUND(F9-F8,1)</x:f>
        <x:v>-276</x:v>
      </x:c>
      <x:c r="H9" s="24" t="n">
        <x:f>IFERROR(F9/F8-1,"")</x:f>
        <x:v>-0.0364550721651119</x:v>
      </x:c>
      <x:c r="I9" s="26" t="n">
        <x:f>ROUND(D9-E9,1)</x:f>
        <x:v>304.6</x:v>
      </x:c>
      <x:c r="J9" s="22" t="str">
        <x:v>中证1000</x:v>
      </x:c>
      <x:c r="K9" s="22" t="n">
        <x:v>1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7402.3</x:v>
      </x:c>
      <x:c r="G19" s="28" t="n">
        <x:f>ROUND(F19-F18,1)</x:f>
        <x:v>-221.8</x:v>
      </x:c>
      <x:c r="H19" s="24" t="n">
        <x:f>IFERROR(F19/F18-1,"")</x:f>
        <x:v>-0.029088137963056426</x:v>
      </x:c>
      <x:c r="I19" s="26" t="n">
        <x:f>ROUND(D19-E19,1)</x:f>
        <x:v>236.7</x:v>
      </x:c>
      <x:c r="J19" s="22" t="str">
        <x:v>中证500</x:v>
      </x:c>
      <x:c r="K19" s="22" t="n">
        <x:v>1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3823.62</x:v>
      </x:c>
      <x:c r="G29" s="23" t="n">
        <x:f>ROUND(F29-F28,1)</x:f>
        <x:v>-64.7</x:v>
      </x:c>
      <x:c r="H29" s="24" t="n">
        <x:f>IFERROR(F29/F28-1,"")</x:f>
        <x:v>-0.016652221882176854</x:v>
      </x:c>
      <x:c r="I29" s="26" t="n">
        <x:f>ROUND(D29-E29,1)</x:f>
        <x:v>71.7</x:v>
      </x:c>
      <x:c r="J29" s="22" t="str">
        <x:v>上证指数</x:v>
      </x:c>
      <x:c r="K29" s="22" t="n">
        <x:v>1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31" t="str">
        <x:v>合计</x:v>
      </x:c>
      <x:c r="B39" s="30" t="n">
        <x:v>4</x:v>
      </x:c>
      <x:c r="C39" s="30"/>
      <x:c r="D39" s="30"/>
      <x:c r="E39" s="30"/>
      <x:c r="F39" s="30"/>
      <x:c r="G39" s="30"/>
      <x:c r="H39" s="30"/>
      <x:c r="I39" s="32" t="n">
        <x:f>ROUND(SUM(I35:I38),1)</x:f>
        <x:v>1474.2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ROUND(IFERROR(AVERAGE(I35:I38),0),1)</x:f>
        <x:v>368.6</x:v>
      </x:c>
      <x:c r="J40" s="30"/>
      <x:c r="K40" s="30"/>
    </x:row>
    <x:row r="42">
      <x:c r="A42" s="17" t="str">
        <x:v>IC主力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9月1日-9月4日</x:v>
      </x:c>
      <x:c r="C44" s="23" t="n">
        <x:v>7880.8</x:v>
      </x:c>
      <x:c r="D44" s="23" t="n">
        <x:v>7903</x:v>
      </x:c>
      <x:c r="E44" s="23" t="n">
        <x:v>7568</x:v>
      </x:c>
      <x:c r="F44" s="23" t="n">
        <x:v>7608</x:v>
      </x:c>
      <x:c r="G44" s="23"/>
      <x:c r="H44" s="24"/>
      <x:c r="I44" s="26" t="n">
        <x:f>ROUND(D44-E44,1)</x:f>
        <x:v>335</x:v>
      </x:c>
      <x:c r="J44" s="22" t="str">
        <x:v>IC2609</x:v>
      </x:c>
      <x:c r="K44" s="22" t="n">
        <x:v>4</x:v>
      </x:c>
    </x:row>
    <x:row r="45">
      <x:c r="A45" s="22" t="n">
        <x:v>2</x:v>
      </x:c>
      <x:c r="B45" s="22" t="str">
        <x:v>9月7日-9月11日</x:v>
      </x:c>
      <x:c r="C45" s="23" t="n">
        <x:v>7665.6</x:v>
      </x:c>
      <x:c r="D45" s="23" t="n">
        <x:v>7817.2</x:v>
      </x:c>
      <x:c r="E45" s="23" t="n">
        <x:v>7418.8</x:v>
      </x:c>
      <x:c r="F45" s="23" t="n">
        <x:v>7569</x:v>
      </x:c>
      <x:c r="G45" s="23" t="n">
        <x:f>ROUND(F45-F44,1)</x:f>
        <x:v>-39</x:v>
      </x:c>
      <x:c r="H45" s="24" t="n">
        <x:f>IFERROR(F45/F44-1,"")</x:f>
        <x:v>-0.005126182965299653</x:v>
      </x:c>
      <x:c r="I45" s="26" t="n">
        <x:f>ROUND(D45-E45,1)</x:f>
        <x:v>398.4</x:v>
      </x:c>
      <x:c r="J45" s="22" t="str">
        <x:v>IC2609</x:v>
      </x:c>
      <x:c r="K45" s="22" t="n">
        <x:v>5</x:v>
      </x:c>
    </x:row>
    <x:row r="46">
      <x:c r="A46" s="22" t="n">
        <x:v>3</x:v>
      </x:c>
      <x:c r="B46" s="22" t="str">
        <x:v>9月14日-9月18日</x:v>
      </x:c>
      <x:c r="C46" s="23" t="n">
        <x:v>7482.2</x:v>
      </x:c>
      <x:c r="D46" s="23" t="n">
        <x:v>7820</x:v>
      </x:c>
      <x:c r="E46" s="23" t="n">
        <x:v>7452.2</x:v>
      </x:c>
      <x:c r="F46" s="23" t="n">
        <x:v>7789.8</x:v>
      </x:c>
      <x:c r="G46" s="28" t="n">
        <x:f>ROUND(F46-F45,1)</x:f>
        <x:v>220.8</x:v>
      </x:c>
      <x:c r="H46" s="24" t="n">
        <x:f>IFERROR(F46/F45-1,"")</x:f>
        <x:v>0.02917162108600868</x:v>
      </x:c>
      <x:c r="I46" s="26" t="n">
        <x:f>ROUND(D46-E46,1)</x:f>
        <x:v>367.8</x:v>
      </x:c>
      <x:c r="J46" s="22" t="str">
        <x:v>IC2609</x:v>
      </x:c>
      <x:c r="K46" s="22" t="n">
        <x:v>5</x:v>
      </x:c>
    </x:row>
    <x:row r="47">
      <x:c r="A47" s="22" t="n">
        <x:v>4</x:v>
      </x:c>
      <x:c r="B47" s="22" t="str">
        <x:v>9月21日-9月24日</x:v>
      </x:c>
      <x:c r="C47" s="23" t="n">
        <x:v>7688</x:v>
      </x:c>
      <x:c r="D47" s="23" t="n">
        <x:v>7780</x:v>
      </x:c>
      <x:c r="E47" s="23" t="n">
        <x:v>7450</x:v>
      </x:c>
      <x:c r="F47" s="23" t="n">
        <x:v>7451.6</x:v>
      </x:c>
      <x:c r="G47" s="28" t="n">
        <x:f>ROUND(F47-F46,1)</x:f>
        <x:v>-338.2</x:v>
      </x:c>
      <x:c r="H47" s="24" t="n">
        <x:f>IFERROR(F47/F46-1,"")</x:f>
        <x:v>-0.04341574879971244</x:v>
      </x:c>
      <x:c r="I47" s="26" t="n">
        <x:f>ROUND(D47-E47,1)</x:f>
        <x:v>330</x:v>
      </x:c>
      <x:c r="J47" s="22" t="str">
        <x:v>IC2612</x:v>
      </x:c>
      <x:c r="K47" s="22" t="n">
        <x:v>4</x:v>
      </x:c>
    </x:row>
    <x:row r="48">
      <x:c r="A48" s="22" t="n">
        <x:v>5</x:v>
      </x:c>
      <x:c r="B48" s="22" t="str">
        <x:v>9月28日</x:v>
      </x:c>
      <x:c r="C48" s="23" t="n">
        <x:v>7440.8</x:v>
      </x:c>
      <x:c r="D48" s="23" t="n">
        <x:v>7458.4</x:v>
      </x:c>
      <x:c r="E48" s="23" t="n">
        <x:v>7186</x:v>
      </x:c>
      <x:c r="F48" s="23" t="n">
        <x:v>7270</x:v>
      </x:c>
      <x:c r="G48" s="28" t="n">
        <x:f>ROUND(F48-F47,1)</x:f>
        <x:v>-181.6</x:v>
      </x:c>
      <x:c r="H48" s="24" t="n">
        <x:f>IFERROR(F48/F47-1,"")</x:f>
        <x:v>-0.024370604970744614</x:v>
      </x:c>
      <x:c r="I48" s="26" t="n">
        <x:f>ROUND(D48-E48,1)</x:f>
        <x:v>272.4</x:v>
      </x:c>
      <x:c r="J48" s="22" t="str">
        <x:v>IC2612</x:v>
      </x:c>
      <x:c r="K48" s="22" t="n">
        <x:v>1</x:v>
      </x:c>
    </x:row>
    <x:row r="49">
      <x:c r="A49" s="31" t="str">
        <x:v>合计</x:v>
      </x:c>
      <x:c r="B49" s="30" t="n">
        <x:v>5</x:v>
      </x:c>
      <x:c r="C49" s="30"/>
      <x:c r="D49" s="30"/>
      <x:c r="E49" s="30"/>
      <x:c r="F49" s="30"/>
      <x:c r="G49" s="30"/>
      <x:c r="H49" s="30"/>
      <x:c r="I49" s="32" t="n">
        <x:f>ROUND(SUM(I44:I48),1)</x:f>
        <x:v>1703.6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ROUND(IFERROR(AVERAGE(I44:I48),0),1)</x:f>
        <x:v>340.7</x:v>
      </x:c>
      <x:c r="J50" s="30"/>
      <x:c r="K50" s="30"/>
    </x:row>
    <x:row r="52">
      <x:c r="A52" s="17" t="str">
        <x:v>IF主力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4602</x:v>
      </x:c>
      <x:c r="D54" s="23" t="n">
        <x:v>4617.8</x:v>
      </x:c>
      <x:c r="E54" s="23" t="n">
        <x:v>4497.6</x:v>
      </x:c>
      <x:c r="F54" s="23" t="n">
        <x:v>4537.4</x:v>
      </x:c>
      <x:c r="G54" s="23"/>
      <x:c r="H54" s="24"/>
      <x:c r="I54" s="26" t="n">
        <x:f>ROUND(D54-E54,1)</x:f>
        <x:v>120.2</x:v>
      </x:c>
      <x:c r="J54" s="22" t="str">
        <x:v>IF2609</x:v>
      </x:c>
      <x:c r="K54" s="22" t="n">
        <x:v>4</x:v>
      </x:c>
    </x:row>
    <x:row r="55">
      <x:c r="A55" s="22" t="n">
        <x:v>2</x:v>
      </x:c>
      <x:c r="B55" s="22" t="str">
        <x:v>9月7日-9月11日</x:v>
      </x:c>
      <x:c r="C55" s="23" t="n">
        <x:v>4562</x:v>
      </x:c>
      <x:c r="D55" s="23" t="n">
        <x:v>4584</x:v>
      </x:c>
      <x:c r="E55" s="23" t="n">
        <x:v>4451.6</x:v>
      </x:c>
      <x:c r="F55" s="23" t="n">
        <x:v>4503.4</x:v>
      </x:c>
      <x:c r="G55" s="23" t="n">
        <x:f>ROUND(F55-F54,1)</x:f>
        <x:v>-34</x:v>
      </x:c>
      <x:c r="H55" s="24" t="n">
        <x:f>IFERROR(F55/F54-1,"")</x:f>
        <x:v>-0.007493278088773314</x:v>
      </x:c>
      <x:c r="I55" s="26" t="n">
        <x:f>ROUND(D55-E55,1)</x:f>
        <x:v>132.4</x:v>
      </x:c>
      <x:c r="J55" s="22" t="str">
        <x:v>IF2609</x:v>
      </x:c>
      <x:c r="K55" s="22" t="n">
        <x:v>5</x:v>
      </x:c>
    </x:row>
    <x:row r="56">
      <x:c r="A56" s="22" t="n">
        <x:v>3</x:v>
      </x:c>
      <x:c r="B56" s="22" t="str">
        <x:v>9月14日-9月18日</x:v>
      </x:c>
      <x:c r="C56" s="23" t="n">
        <x:v>4468</x:v>
      </x:c>
      <x:c r="D56" s="23" t="n">
        <x:v>4520.6</x:v>
      </x:c>
      <x:c r="E56" s="23" t="n">
        <x:v>4412.2</x:v>
      </x:c>
      <x:c r="F56" s="23" t="n">
        <x:v>4508</x:v>
      </x:c>
      <x:c r="G56" s="23" t="n">
        <x:f>ROUND(F56-F55,1)</x:f>
        <x:v>4.6</x:v>
      </x:c>
      <x:c r="H56" s="24" t="n">
        <x:f>IFERROR(F56/F55-1,"")</x:f>
        <x:v>0.0010214504596528506</x:v>
      </x:c>
      <x:c r="I56" s="26" t="n">
        <x:f>ROUND(D56-E56,1)</x:f>
        <x:v>108.4</x:v>
      </x:c>
      <x:c r="J56" s="22" t="str">
        <x:v>IF2609</x:v>
      </x:c>
      <x:c r="K56" s="22" t="n">
        <x:v>5</x:v>
      </x:c>
    </x:row>
    <x:row r="57">
      <x:c r="A57" s="22" t="n">
        <x:v>4</x:v>
      </x:c>
      <x:c r="B57" s="22" t="str">
        <x:v>9月21日-9月24日</x:v>
      </x:c>
      <x:c r="C57" s="23" t="n">
        <x:v>4451</x:v>
      </x:c>
      <x:c r="D57" s="23" t="n">
        <x:v>4520</x:v>
      </x:c>
      <x:c r="E57" s="23" t="n">
        <x:v>4367</x:v>
      </x:c>
      <x:c r="F57" s="23" t="n">
        <x:v>4375</x:v>
      </x:c>
      <x:c r="G57" s="23" t="n">
        <x:f>ROUND(F57-F56,1)</x:f>
        <x:v>-133</x:v>
      </x:c>
      <x:c r="H57" s="24" t="n">
        <x:f>IFERROR(F57/F56-1,"")</x:f>
        <x:v>-0.029503105590062084</x:v>
      </x:c>
      <x:c r="I57" s="26" t="n">
        <x:f>ROUND(D57-E57,1)</x:f>
        <x:v>153</x:v>
      </x:c>
      <x:c r="J57" s="22" t="str">
        <x:v>IF2612</x:v>
      </x:c>
      <x:c r="K57" s="22" t="n">
        <x:v>4</x:v>
      </x:c>
    </x:row>
    <x:row r="58">
      <x:c r="A58" s="31" t="str">
        <x:v>合计</x:v>
      </x:c>
      <x:c r="B58" s="30" t="n">
        <x:v>4</x:v>
      </x:c>
      <x:c r="C58" s="30"/>
      <x:c r="D58" s="30"/>
      <x:c r="E58" s="30"/>
      <x:c r="F58" s="30"/>
      <x:c r="G58" s="30"/>
      <x:c r="H58" s="30"/>
      <x:c r="I58" s="32" t="n">
        <x:f>ROUND(SUM(I54:I57),1)</x:f>
        <x:v>514</x:v>
      </x:c>
      <x:c r="J58" s="30"/>
      <x:c r="K58" s="30"/>
    </x:row>
    <x:row r="59">
      <x:c r="A59" s="31" t="str">
        <x:v>均值</x:v>
      </x:c>
      <x:c r="B59" s="30"/>
      <x:c r="C59" s="30"/>
      <x:c r="D59" s="30"/>
      <x:c r="E59" s="30"/>
      <x:c r="F59" s="30"/>
      <x:c r="G59" s="30"/>
      <x:c r="H59" s="30"/>
      <x:c r="I59" s="34" t="n">
        <x:f>ROUND(IFERROR(AVERAGE(I54:I57),0),1)</x:f>
        <x:v>128.5</x:v>
      </x:c>
      <x:c r="J59" s="30"/>
      <x:c r="K59" s="30"/>
    </x:row>
    <x:row r="61">
      <x:c r="A61" s="17" t="str">
        <x:v>IH主力</x:v>
      </x:c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</x:row>
    <x:row r="62">
      <x:c r="A62" s="20" t="str">
        <x:v>序号</x:v>
      </x:c>
      <x:c r="B62" s="20" t="str">
        <x:v>周期</x:v>
      </x:c>
      <x:c r="C62" s="20" t="str">
        <x:v>开盘</x:v>
      </x:c>
      <x:c r="D62" s="20" t="str">
        <x:v>高点</x:v>
      </x:c>
      <x:c r="E62" s="20" t="str">
        <x:v>低点</x:v>
      </x:c>
      <x:c r="F62" s="20" t="str">
        <x:v>收盘</x:v>
      </x:c>
      <x:c r="G62" s="20" t="str">
        <x:v>涨跌点数</x:v>
      </x:c>
      <x:c r="H62" s="20" t="str">
        <x:v>涨幅</x:v>
      </x:c>
      <x:c r="I62" s="20" t="str">
        <x:v>振幅</x:v>
      </x:c>
      <x:c r="J62" s="20" t="str">
        <x:v>标的</x:v>
      </x:c>
      <x:c r="K62" s="20" t="str">
        <x:v>交易日</x:v>
      </x:c>
    </x:row>
    <x:row r="63">
      <x:c r="A63" s="22" t="n">
        <x:v>1</x:v>
      </x:c>
      <x:c r="B63" s="22" t="str">
        <x:v>9月1日-9月4日</x:v>
      </x:c>
      <x:c r="C63" s="23" t="n">
        <x:v>2913</x:v>
      </x:c>
      <x:c r="D63" s="23" t="n">
        <x:v>2949.4</x:v>
      </x:c>
      <x:c r="E63" s="23" t="n">
        <x:v>2881.4</x:v>
      </x:c>
      <x:c r="F63" s="23" t="n">
        <x:v>2915.8</x:v>
      </x:c>
      <x:c r="G63" s="23"/>
      <x:c r="H63" s="24"/>
      <x:c r="I63" s="26" t="n">
        <x:f>ROUND(D63-E63,1)</x:f>
        <x:v>68</x:v>
      </x:c>
      <x:c r="J63" s="22" t="str">
        <x:v>IH2609</x:v>
      </x:c>
      <x:c r="K63" s="22" t="n">
        <x:v>4</x:v>
      </x:c>
    </x:row>
    <x:row r="64">
      <x:c r="A64" s="22" t="n">
        <x:v>2</x:v>
      </x:c>
      <x:c r="B64" s="22" t="str">
        <x:v>9月7日-9月11日</x:v>
      </x:c>
      <x:c r="C64" s="23" t="n">
        <x:v>2923.2</x:v>
      </x:c>
      <x:c r="D64" s="23" t="n">
        <x:v>2931.4</x:v>
      </x:c>
      <x:c r="E64" s="23" t="n">
        <x:v>2836.8</x:v>
      </x:c>
      <x:c r="F64" s="23" t="n">
        <x:v>2867</x:v>
      </x:c>
      <x:c r="G64" s="23" t="n">
        <x:f>ROUND(F64-F63,1)</x:f>
        <x:v>-48.8</x:v>
      </x:c>
      <x:c r="H64" s="24" t="n">
        <x:f>IFERROR(F64/F63-1,"")</x:f>
        <x:v>-0.01673640167364021</x:v>
      </x:c>
      <x:c r="I64" s="26" t="n">
        <x:f>ROUND(D64-E64,1)</x:f>
        <x:v>94.6</x:v>
      </x:c>
      <x:c r="J64" s="22" t="str">
        <x:v>IH2609</x:v>
      </x:c>
      <x:c r="K64" s="22" t="n">
        <x:v>5</x:v>
      </x:c>
    </x:row>
    <x:row r="65">
      <x:c r="A65" s="22" t="n">
        <x:v>3</x:v>
      </x:c>
      <x:c r="B65" s="22" t="str">
        <x:v>9月14日-9月18日</x:v>
      </x:c>
      <x:c r="C65" s="23" t="n">
        <x:v>2849.2</x:v>
      </x:c>
      <x:c r="D65" s="23" t="n">
        <x:v>2873.2</x:v>
      </x:c>
      <x:c r="E65" s="23" t="n">
        <x:v>2829.4</x:v>
      </x:c>
      <x:c r="F65" s="23" t="n">
        <x:v>2862.2</x:v>
      </x:c>
      <x:c r="G65" s="23" t="n">
        <x:f>ROUND(F65-F64,1)</x:f>
        <x:v>-4.8</x:v>
      </x:c>
      <x:c r="H65" s="24" t="n">
        <x:f>IFERROR(F65/F64-1,"")</x:f>
        <x:v>-0.0016742239274503135</x:v>
      </x:c>
      <x:c r="I65" s="23" t="n">
        <x:f>ROUND(D65-E65,1)</x:f>
        <x:v>43.8</x:v>
      </x:c>
      <x:c r="J65" s="22" t="str">
        <x:v>IH2609</x:v>
      </x:c>
      <x:c r="K65" s="22" t="n">
        <x:v>5</x:v>
      </x:c>
    </x:row>
    <x:row r="66">
      <x:c r="A66" s="22" t="n">
        <x:v>4</x:v>
      </x:c>
      <x:c r="B66" s="22" t="str">
        <x:v>9月21日-9月24日</x:v>
      </x:c>
      <x:c r="C66" s="23" t="n">
        <x:v>2830</x:v>
      </x:c>
      <x:c r="D66" s="23" t="n">
        <x:v>2881.2</x:v>
      </x:c>
      <x:c r="E66" s="23" t="n">
        <x:v>2798</x:v>
      </x:c>
      <x:c r="F66" s="23" t="n">
        <x:v>2804.6</x:v>
      </x:c>
      <x:c r="G66" s="23" t="n">
        <x:f>ROUND(F66-F65,1)</x:f>
        <x:v>-57.6</x:v>
      </x:c>
      <x:c r="H66" s="24" t="n">
        <x:f>IFERROR(F66/F65-1,"")</x:f>
        <x:v>-0.02012437984766957</x:v>
      </x:c>
      <x:c r="I66" s="26" t="n">
        <x:f>ROUND(D66-E66,1)</x:f>
        <x:v>83.2</x:v>
      </x:c>
      <x:c r="J66" s="22" t="str">
        <x:v>IH2612</x:v>
      </x:c>
      <x:c r="K66" s="22" t="n">
        <x:v>4</x:v>
      </x:c>
    </x:row>
    <x:row r="67">
      <x:c r="A67" s="31" t="str">
        <x:v>合计</x:v>
      </x:c>
      <x:c r="B67" s="30" t="n">
        <x:v>4</x:v>
      </x:c>
      <x:c r="C67" s="30"/>
      <x:c r="D67" s="30"/>
      <x:c r="E67" s="30"/>
      <x:c r="F67" s="30"/>
      <x:c r="G67" s="30"/>
      <x:c r="H67" s="30"/>
      <x:c r="I67" s="32" t="n">
        <x:f>ROUND(SUM(I63:I66),1)</x:f>
        <x:v>289.6</x:v>
      </x:c>
      <x:c r="J67" s="30"/>
      <x:c r="K67" s="30"/>
    </x:row>
    <x:row r="68">
      <x:c r="A68" s="31" t="str">
        <x:v>均值</x:v>
      </x:c>
      <x:c r="B68" s="30"/>
      <x:c r="C68" s="30"/>
      <x:c r="D68" s="30"/>
      <x:c r="E68" s="30"/>
      <x:c r="F68" s="30"/>
      <x:c r="G68" s="30"/>
      <x:c r="H68" s="30"/>
      <x:c r="I68" s="34" t="n">
        <x:f>ROUND(IFERROR(AVERAGE(I63:I66),0),1)</x:f>
        <x:v>72.4</x:v>
      </x:c>
      <x:c r="J68" s="30"/>
      <x:c r="K68" s="30"/>
    </x:row>
    <x:row r="70">
      <x:c r="A70" s="17" t="str">
        <x:v>碳酸锂2610</x:v>
      </x:c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</x:row>
    <x:row r="71">
      <x:c r="A71" s="20" t="str">
        <x:v>序号</x:v>
      </x:c>
      <x:c r="B71" s="20" t="str">
        <x:v>周期</x:v>
      </x:c>
      <x:c r="C71" s="20" t="str">
        <x:v>开盘</x:v>
      </x:c>
      <x:c r="D71" s="20" t="str">
        <x:v>高点</x:v>
      </x:c>
      <x:c r="E71" s="20" t="str">
        <x:v>低点</x:v>
      </x:c>
      <x:c r="F71" s="20" t="str">
        <x:v>收盘</x:v>
      </x:c>
      <x:c r="G71" s="20" t="str">
        <x:v>涨跌点数</x:v>
      </x:c>
      <x:c r="H71" s="20" t="str">
        <x:v>涨幅</x:v>
      </x:c>
      <x:c r="I71" s="20" t="str">
        <x:v>振幅</x:v>
      </x:c>
      <x:c r="J71" s="20" t="str">
        <x:v>标的</x:v>
      </x:c>
      <x:c r="K71" s="20" t="str">
        <x:v>交易日</x:v>
      </x:c>
    </x:row>
    <x:row r="72">
      <x:c r="A72" s="22" t="n">
        <x:v>1</x:v>
      </x:c>
      <x:c r="B72" s="22" t="str">
        <x:v>9月1日-9月4日</x:v>
      </x:c>
      <x:c r="C72" s="23" t="n">
        <x:v>159280</x:v>
      </x:c>
      <x:c r="D72" s="23" t="n">
        <x:v>161280</x:v>
      </x:c>
      <x:c r="E72" s="23" t="n">
        <x:v>140220</x:v>
      </x:c>
      <x:c r="F72" s="23" t="n">
        <x:v>142000</x:v>
      </x:c>
      <x:c r="G72" s="23"/>
      <x:c r="H72" s="24"/>
      <x:c r="I72" s="26" t="n">
        <x:f>ROUND(D72-E72,1)</x:f>
        <x:v>21060</x:v>
      </x:c>
      <x:c r="J72" s="22" t="str">
        <x:v>LC2610</x:v>
      </x:c>
      <x:c r="K72" s="22" t="n">
        <x:v>4</x:v>
      </x:c>
    </x:row>
    <x:row r="73">
      <x:c r="A73" s="22" t="n">
        <x:v>2</x:v>
      </x:c>
      <x:c r="B73" s="22" t="str">
        <x:v>9月7日-9月11日</x:v>
      </x:c>
      <x:c r="C73" s="23" t="n">
        <x:v>141000</x:v>
      </x:c>
      <x:c r="D73" s="23" t="n">
        <x:v>143540</x:v>
      </x:c>
      <x:c r="E73" s="23" t="n">
        <x:v>127120</x:v>
      </x:c>
      <x:c r="F73" s="23" t="n">
        <x:v>134340</x:v>
      </x:c>
      <x:c r="G73" s="28" t="n">
        <x:f>ROUND(F73-F72,1)</x:f>
        <x:v>-7660</x:v>
      </x:c>
      <x:c r="H73" s="24" t="n">
        <x:f>IFERROR(F73/F72-1,"")</x:f>
        <x:v>-0.05394366197183098</x:v>
      </x:c>
      <x:c r="I73" s="26" t="n">
        <x:f>ROUND(D73-E73,1)</x:f>
        <x:v>16420</x:v>
      </x:c>
      <x:c r="J73" s="22" t="str">
        <x:v>LC2610</x:v>
      </x:c>
      <x:c r="K73" s="22" t="n">
        <x:v>5</x:v>
      </x:c>
    </x:row>
    <x:row r="74">
      <x:c r="A74" s="22" t="n">
        <x:v>3</x:v>
      </x:c>
      <x:c r="B74" s="22" t="str">
        <x:v>9月14日-9月18日</x:v>
      </x:c>
      <x:c r="C74" s="23" t="n">
        <x:v>133600</x:v>
      </x:c>
      <x:c r="D74" s="23" t="n">
        <x:v>135900</x:v>
      </x:c>
      <x:c r="E74" s="23" t="n">
        <x:v>126200</x:v>
      </x:c>
      <x:c r="F74" s="23" t="n">
        <x:v>128580</x:v>
      </x:c>
      <x:c r="G74" s="28" t="n">
        <x:f>ROUND(F74-F73,1)</x:f>
        <x:v>-5760</x:v>
      </x:c>
      <x:c r="H74" s="24" t="n">
        <x:f>IFERROR(F74/F73-1,"")</x:f>
        <x:v>-0.04287628405538191</x:v>
      </x:c>
      <x:c r="I74" s="26" t="n">
        <x:f>ROUND(D74-E74,1)</x:f>
        <x:v>9700</x:v>
      </x:c>
      <x:c r="J74" s="22" t="str">
        <x:v>LC2610</x:v>
      </x:c>
      <x:c r="K74" s="22" t="n">
        <x:v>5</x:v>
      </x:c>
    </x:row>
    <x:row r="75">
      <x:c r="A75" s="22" t="n">
        <x:v>4</x:v>
      </x:c>
      <x:c r="B75" s="22" t="str">
        <x:v>9月21日-9月24日</x:v>
      </x:c>
      <x:c r="C75" s="23" t="n">
        <x:v>128500</x:v>
      </x:c>
      <x:c r="D75" s="23" t="n">
        <x:v>136560</x:v>
      </x:c>
      <x:c r="E75" s="23" t="n">
        <x:v>125000</x:v>
      </x:c>
      <x:c r="F75" s="23" t="n">
        <x:v>125980</x:v>
      </x:c>
      <x:c r="G75" s="28" t="n">
        <x:f>ROUND(F75-F74,1)</x:f>
        <x:v>-2600</x:v>
      </x:c>
      <x:c r="H75" s="24" t="n">
        <x:f>IFERROR(F75/F74-1,"")</x:f>
        <x:v>-0.02022087416394458</x:v>
      </x:c>
      <x:c r="I75" s="26" t="n">
        <x:f>ROUND(D75-E75,1)</x:f>
        <x:v>11560</x:v>
      </x:c>
      <x:c r="J75" s="22" t="str">
        <x:v>LC2610</x:v>
      </x:c>
      <x:c r="K75" s="22" t="n">
        <x:v>4</x:v>
      </x:c>
    </x:row>
    <x:row r="76">
      <x:c r="A76" s="31" t="str">
        <x:v>合计</x:v>
      </x:c>
      <x:c r="B76" s="30" t="n">
        <x:v>4</x:v>
      </x:c>
      <x:c r="C76" s="30"/>
      <x:c r="D76" s="30"/>
      <x:c r="E76" s="30"/>
      <x:c r="F76" s="30"/>
      <x:c r="G76" s="30"/>
      <x:c r="H76" s="30"/>
      <x:c r="I76" s="32" t="n">
        <x:f>ROUND(SUM(I72:I75),1)</x:f>
        <x:v>58740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ROUND(IFERROR(AVERAGE(I72:I75),0),1)</x:f>
        <x:v>14685</x:v>
      </x:c>
      <x:c r="J77" s="30"/>
      <x:c r="K77" s="30"/>
    </x:row>
  </x:sheetData>
  <x:mergeCells>
    <x:mergeCell ref="A1:K1"/>
    <x:mergeCell ref="A3:K3"/>
    <x:mergeCell ref="A13:K13"/>
    <x:mergeCell ref="A23:K23"/>
    <x:mergeCell ref="A33:K33"/>
    <x:mergeCell ref="A42:K42"/>
    <x:mergeCell ref="A52:K52"/>
    <x:mergeCell ref="A61:K61"/>
    <x:mergeCell ref="A70:K7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2572.8999999999996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135.4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2346.1999999999994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123.5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682.5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35.9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2550.3999999999996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141.7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2762.2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145.4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928.9999999999999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51.6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554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30.8</x:v>
      </x:c>
      <x:c r="K25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4">
      <x:c r="A24" s="31" t="str">
        <x:v>合计</x:v>
      </x:c>
      <x:c r="B24" s="30" t="n">
        <x:v>18</x:v>
      </x:c>
      <x:c r="C24" s="30"/>
      <x:c r="D24" s="30"/>
      <x:c r="E24" s="30"/>
      <x:c r="F24" s="30"/>
      <x:c r="G24" s="30"/>
      <x:c r="H24" s="30"/>
      <x:c r="I24" s="30"/>
      <x:c r="J24" s="32" t="n">
        <x:f>SUM(J4:J21)</x:f>
        <x:v>108320</x:v>
      </x:c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0"/>
      <x:c r="J25" s="34" t="n">
        <x:f>ROUND(IFERROR(AVERAGE(J4:J21),0),1)</x:f>
        <x:v>6017.8</x:v>
      </x:c>
      <x:c r="K25" s="30"/>
    </x:row>
  </x:sheetData>
  <x:mergeCells>
    <x:mergeCell ref="A1:K1"/>
  </x:mergeCells>
  <x:pageMargins left="0.7" right="0.7" top="0.75" bottom="0.75" header="0.3" footer="0.3"/>
</x:worksheet>
</file>