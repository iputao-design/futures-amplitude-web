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44d3b386645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60f897f76bf48d7"/>
    <x:sheet xmlns:r="http://schemas.openxmlformats.org/officeDocument/2006/relationships" name="周振幅统计" sheetId="2" r:id="R04ee92ae0eb141af"/>
    <x:sheet xmlns:r="http://schemas.openxmlformats.org/officeDocument/2006/relationships" name="中证1000" sheetId="3" r:id="Re3f116e14b6940a5"/>
    <x:sheet xmlns:r="http://schemas.openxmlformats.org/officeDocument/2006/relationships" name="中证500" sheetId="4" r:id="R17e16424038a41b3"/>
    <x:sheet xmlns:r="http://schemas.openxmlformats.org/officeDocument/2006/relationships" name="上证指数" sheetId="5" r:id="Re66d73e6db794bb8"/>
    <x:sheet xmlns:r="http://schemas.openxmlformats.org/officeDocument/2006/relationships" name="IM主力" sheetId="6" r:id="R9c565b84cf944385"/>
    <x:sheet xmlns:r="http://schemas.openxmlformats.org/officeDocument/2006/relationships" name="IC主力" sheetId="7" r:id="Ra150f2e93ad44d8e"/>
    <x:sheet xmlns:r="http://schemas.openxmlformats.org/officeDocument/2006/relationships" name="IF主力" sheetId="8" r:id="Rb40efbf6b1494709"/>
    <x:sheet xmlns:r="http://schemas.openxmlformats.org/officeDocument/2006/relationships" name="IH主力" sheetId="9" r:id="Rb558ff3e29ec4833"/>
    <x:sheet xmlns:r="http://schemas.openxmlformats.org/officeDocument/2006/relationships" name="碳酸锂2609" sheetId="10" r:id="R705c2c2a237f44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f8b277950c42bd" /><Relationship Type="http://schemas.openxmlformats.org/officeDocument/2006/relationships/theme" Target="/xl/theme/theme1.xml" Id="Rfa28a1ffa94f4f6c" /><Relationship Type="http://schemas.openxmlformats.org/officeDocument/2006/relationships/sharedStrings" Target="/xl/sharedStrings.xml" Id="R64cb2fba96144c12" /><Relationship Type="http://schemas.openxmlformats.org/officeDocument/2006/relationships/worksheet" Target="/xl/worksheets/sheet1.xml" Id="Ra60f897f76bf48d7" /><Relationship Type="http://schemas.openxmlformats.org/officeDocument/2006/relationships/worksheet" Target="/xl/worksheets/sheet2.xml" Id="R04ee92ae0eb141af" /><Relationship Type="http://schemas.openxmlformats.org/officeDocument/2006/relationships/worksheet" Target="/xl/worksheets/sheet3.xml" Id="Re3f116e14b6940a5" /><Relationship Type="http://schemas.openxmlformats.org/officeDocument/2006/relationships/worksheet" Target="/xl/worksheets/sheet4.xml" Id="R17e16424038a41b3" /><Relationship Type="http://schemas.openxmlformats.org/officeDocument/2006/relationships/worksheet" Target="/xl/worksheets/sheet5.xml" Id="Re66d73e6db794bb8" /><Relationship Type="http://schemas.openxmlformats.org/officeDocument/2006/relationships/worksheet" Target="/xl/worksheets/sheet6.xml" Id="R9c565b84cf944385" /><Relationship Type="http://schemas.openxmlformats.org/officeDocument/2006/relationships/worksheet" Target="/xl/worksheets/sheet7.xml" Id="Ra150f2e93ad44d8e" /><Relationship Type="http://schemas.openxmlformats.org/officeDocument/2006/relationships/worksheet" Target="/xl/worksheets/sheet8.xml" Id="Rb40efbf6b1494709" /><Relationship Type="http://schemas.openxmlformats.org/officeDocument/2006/relationships/worksheet" Target="/xl/worksheets/sheet9.xml" Id="Rb558ff3e29ec4833" /><Relationship Type="http://schemas.openxmlformats.org/officeDocument/2006/relationships/worksheet" Target="/xl/worksheets/sheet10.xml" Id="R705c2c2a237f44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2026-09-01</x:v>
      </x:c>
      <x:c r="C4" s="10" t="n">
        <x:v>7773.06</x:v>
      </x:c>
      <x:c r="D4" s="10" t="n">
        <x:v>7667.33</x:v>
      </x:c>
      <x:c r="E4" s="12" t="n">
        <x:v>105.7</x:v>
      </x:c>
      <x:c r="F4" s="9" t="n">
        <x:v>1</x:v>
      </x:c>
      <x:c r="G4" s="10" t="n">
        <x:v>105.7</x:v>
      </x:c>
      <x:c r="H4" s="10" t="n">
        <x:v>105.7</x:v>
      </x:c>
      <x:c r="I4" s="10" t="n">
        <x:v>180</x:v>
      </x:c>
    </x:row>
    <x:row r="5">
      <x:c r="A5" s="9" t="str">
        <x:v>中证500</x:v>
      </x:c>
      <x:c r="B5" s="9" t="str">
        <x:v>2026-09-01</x:v>
      </x:c>
      <x:c r="C5" s="10" t="n">
        <x:v>7955.57</x:v>
      </x:c>
      <x:c r="D5" s="10" t="n">
        <x:v>7852.87</x:v>
      </x:c>
      <x:c r="E5" s="12" t="n">
        <x:v>102.7</x:v>
      </x:c>
      <x:c r="F5" s="9" t="n">
        <x:v>1</x:v>
      </x:c>
      <x:c r="G5" s="10" t="n">
        <x:v>102.7</x:v>
      </x:c>
      <x:c r="H5" s="10" t="n">
        <x:v>102.7</x:v>
      </x:c>
      <x:c r="I5" s="10" t="n">
        <x:v>160</x:v>
      </x:c>
    </x:row>
    <x:row r="6">
      <x:c r="A6" s="9" t="str">
        <x:v>上证指数</x:v>
      </x:c>
      <x:c r="B6" s="9" t="str">
        <x:v>2026-09-01</x:v>
      </x:c>
      <x:c r="C6" s="10" t="n">
        <x:v>3995.18</x:v>
      </x:c>
      <x:c r="D6" s="10" t="n">
        <x:v>3976.47</x:v>
      </x:c>
      <x:c r="E6" s="12" t="n">
        <x:v>18.7</x:v>
      </x:c>
      <x:c r="F6" s="9" t="n">
        <x:v>1</x:v>
      </x:c>
      <x:c r="G6" s="10" t="n">
        <x:v>18.7</x:v>
      </x:c>
      <x:c r="H6" s="10" t="n">
        <x:v>18.7</x:v>
      </x:c>
      <x:c r="I6" s="10" t="n">
        <x:v>50</x:v>
      </x:c>
    </x:row>
    <x:row r="7">
      <x:c r="A7" s="9" t="str">
        <x:v>IM主力</x:v>
      </x:c>
      <x:c r="B7" s="9" t="str">
        <x:v>2026-09-01</x:v>
      </x:c>
      <x:c r="C7" s="10" t="n">
        <x:v>7721</x:v>
      </x:c>
      <x:c r="D7" s="10" t="n">
        <x:v>7598.4</x:v>
      </x:c>
      <x:c r="E7" s="12" t="n">
        <x:v>122.6</x:v>
      </x:c>
      <x:c r="F7" s="9" t="n">
        <x:v>1</x:v>
      </x:c>
      <x:c r="G7" s="10" t="n">
        <x:v>122.6</x:v>
      </x:c>
      <x:c r="H7" s="10" t="n">
        <x:v>122.6</x:v>
      </x:c>
      <x:c r="I7" s="10" t="n">
        <x:v>190</x:v>
      </x:c>
    </x:row>
    <x:row r="8">
      <x:c r="A8" s="9" t="str">
        <x:v>IC主力</x:v>
      </x:c>
      <x:c r="B8" s="9" t="str">
        <x:v>2026-09-01</x:v>
      </x:c>
      <x:c r="C8" s="10" t="n">
        <x:v>7903</x:v>
      </x:c>
      <x:c r="D8" s="10" t="n">
        <x:v>7765</x:v>
      </x:c>
      <x:c r="E8" s="12" t="n">
        <x:v>138</x:v>
      </x:c>
      <x:c r="F8" s="9" t="n">
        <x:v>1</x:v>
      </x:c>
      <x:c r="G8" s="10" t="n">
        <x:v>138</x:v>
      </x:c>
      <x:c r="H8" s="10" t="n">
        <x:v>138</x:v>
      </x:c>
      <x:c r="I8" s="10" t="n">
        <x:v>150</x:v>
      </x:c>
    </x:row>
    <x:row r="9">
      <x:c r="A9" s="9" t="str">
        <x:v>IF主力</x:v>
      </x:c>
      <x:c r="B9" s="9" t="str">
        <x:v>2026-09-01</x:v>
      </x:c>
      <x:c r="C9" s="10" t="n">
        <x:v>4617.8</x:v>
      </x:c>
      <x:c r="D9" s="10" t="n">
        <x:v>4576</x:v>
      </x:c>
      <x:c r="E9" s="12" t="n">
        <x:v>41.8</x:v>
      </x:c>
      <x:c r="F9" s="9" t="n">
        <x:v>1</x:v>
      </x:c>
      <x:c r="G9" s="10" t="n">
        <x:v>41.8</x:v>
      </x:c>
      <x:c r="H9" s="10" t="n">
        <x:v>41.8</x:v>
      </x:c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</x:v>
      </x:c>
      <x:c r="G10" s="10" t="n">
        <x:v>22.8</x:v>
      </x:c>
      <x:c r="H10" s="10" t="n">
        <x:v>22.8</x:v>
      </x:c>
      <x:c r="I10" s="10" t="n">
        <x:v>60</x:v>
      </x:c>
    </x:row>
    <x:row r="11">
      <x:c r="A11" s="9" t="str">
        <x:v>碳酸锂2609</x:v>
      </x:c>
      <x:c r="B11" s="9" t="str">
        <x:v>2026-09-01</x:v>
      </x:c>
      <x:c r="C11" s="10" t="n">
        <x:v>160480</x:v>
      </x:c>
      <x:c r="D11" s="10" t="n">
        <x:v>155800</x:v>
      </x:c>
      <x:c r="E11" s="12" t="n">
        <x:v>4680</x:v>
      </x:c>
      <x:c r="F11" s="9" t="n">
        <x:v>1</x:v>
      </x:c>
      <x:c r="G11" s="10" t="n">
        <x:v>4680</x:v>
      </x:c>
      <x:c r="H11" s="10" t="n">
        <x:v>4680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</x:v>
      </x:c>
      <x:c r="C5" s="23" t="n">
        <x:v>7773.06</x:v>
      </x:c>
      <x:c r="D5" s="23" t="n">
        <x:v>7773.06</x:v>
      </x:c>
      <x:c r="E5" s="23" t="n">
        <x:v>7667.33</x:v>
      </x:c>
      <x:c r="F5" s="23" t="n">
        <x:v>7691.37</x:v>
      </x:c>
      <x:c r="G5" s="23"/>
      <x:c r="H5" s="24"/>
      <x:c r="I5" s="23" t="n">
        <x:f>ROUND(D5-E5,1)</x:f>
        <x:v>105.7</x:v>
      </x:c>
      <x:c r="J5" s="22" t="str">
        <x:v>中证1000</x:v>
      </x:c>
      <x:c r="K5" s="22" t="n">
        <x:v>1</x:v>
      </x:c>
    </x:row>
    <x:row r="6">
      <x:c r="A6" s="27" t="str">
        <x:v>合计</x:v>
      </x:c>
      <x:c r="B6" s="26" t="n">
        <x:v>1</x:v>
      </x:c>
      <x:c r="C6" s="26"/>
      <x:c r="D6" s="26"/>
      <x:c r="E6" s="26"/>
      <x:c r="F6" s="26"/>
      <x:c r="G6" s="26"/>
      <x:c r="H6" s="26"/>
      <x:c r="I6" s="28" t="n">
        <x:f>ROUND(SUM(I5:I5),1)</x:f>
        <x:v>105.7</x:v>
      </x:c>
      <x:c r="J6" s="26"/>
      <x:c r="K6" s="26"/>
    </x:row>
    <x:row r="7">
      <x:c r="A7" s="27" t="str">
        <x:v>均值</x:v>
      </x:c>
      <x:c r="B7" s="26"/>
      <x:c r="C7" s="26"/>
      <x:c r="D7" s="26"/>
      <x:c r="E7" s="26"/>
      <x:c r="F7" s="26"/>
      <x:c r="G7" s="26"/>
      <x:c r="H7" s="26"/>
      <x:c r="I7" s="30" t="n">
        <x:f>ROUND(IFERROR(AVERAGE(I5:I5),0),1)</x:f>
        <x:v>105.7</x:v>
      </x:c>
      <x:c r="J7" s="26"/>
      <x:c r="K7" s="26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</x:v>
      </x:c>
      <x:c r="C11" s="23" t="n">
        <x:v>7944.29</x:v>
      </x:c>
      <x:c r="D11" s="23" t="n">
        <x:v>7955.57</x:v>
      </x:c>
      <x:c r="E11" s="23" t="n">
        <x:v>7852.87</x:v>
      </x:c>
      <x:c r="F11" s="23" t="n">
        <x:v>7858.52</x:v>
      </x:c>
      <x:c r="G11" s="23"/>
      <x:c r="H11" s="24"/>
      <x:c r="I11" s="23" t="n">
        <x:f>ROUND(D11-E11,1)</x:f>
        <x:v>102.7</x:v>
      </x:c>
      <x:c r="J11" s="22" t="str">
        <x:v>中证500</x:v>
      </x:c>
      <x:c r="K11" s="22" t="n">
        <x:v>1</x:v>
      </x:c>
    </x:row>
    <x:row r="12">
      <x:c r="A12" s="27" t="str">
        <x:v>合计</x:v>
      </x:c>
      <x:c r="B12" s="26" t="n">
        <x:v>1</x:v>
      </x:c>
      <x:c r="C12" s="26"/>
      <x:c r="D12" s="26"/>
      <x:c r="E12" s="26"/>
      <x:c r="F12" s="26"/>
      <x:c r="G12" s="26"/>
      <x:c r="H12" s="26"/>
      <x:c r="I12" s="28" t="n">
        <x:f>ROUND(SUM(I11:I11),1)</x:f>
        <x:v>102.7</x:v>
      </x:c>
      <x:c r="J12" s="26"/>
      <x:c r="K12" s="26"/>
    </x:row>
    <x:row r="13">
      <x:c r="A13" s="27" t="str">
        <x:v>均值</x:v>
      </x:c>
      <x:c r="B13" s="26"/>
      <x:c r="C13" s="26"/>
      <x:c r="D13" s="26"/>
      <x:c r="E13" s="26"/>
      <x:c r="F13" s="26"/>
      <x:c r="G13" s="26"/>
      <x:c r="H13" s="26"/>
      <x:c r="I13" s="30" t="n">
        <x:f>ROUND(IFERROR(AVERAGE(I11:I11),0),1)</x:f>
        <x:v>102.7</x:v>
      </x:c>
      <x:c r="J13" s="26"/>
      <x:c r="K13" s="26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</x:v>
      </x:c>
      <x:c r="C17" s="23" t="n">
        <x:v>3979.88</x:v>
      </x:c>
      <x:c r="D17" s="23" t="n">
        <x:v>3995.18</x:v>
      </x:c>
      <x:c r="E17" s="23" t="n">
        <x:v>3976.47</x:v>
      </x:c>
      <x:c r="F17" s="23" t="n">
        <x:v>3979.89</x:v>
      </x:c>
      <x:c r="G17" s="23"/>
      <x:c r="H17" s="24"/>
      <x:c r="I17" s="23" t="n">
        <x:f>ROUND(D17-E17,1)</x:f>
        <x:v>18.7</x:v>
      </x:c>
      <x:c r="J17" s="22" t="str">
        <x:v>上证指数</x:v>
      </x:c>
      <x:c r="K17" s="22" t="n">
        <x:v>1</x:v>
      </x:c>
    </x:row>
    <x:row r="18">
      <x:c r="A18" s="27" t="str">
        <x:v>合计</x:v>
      </x:c>
      <x:c r="B18" s="26" t="n">
        <x:v>1</x:v>
      </x:c>
      <x:c r="C18" s="26"/>
      <x:c r="D18" s="26"/>
      <x:c r="E18" s="26"/>
      <x:c r="F18" s="26"/>
      <x:c r="G18" s="26"/>
      <x:c r="H18" s="26"/>
      <x:c r="I18" s="28" t="n">
        <x:f>ROUND(SUM(I17:I17),1)</x:f>
        <x:v>18.7</x:v>
      </x:c>
      <x:c r="J18" s="26"/>
      <x:c r="K18" s="26"/>
    </x:row>
    <x:row r="19">
      <x:c r="A19" s="27" t="str">
        <x:v>均值</x:v>
      </x:c>
      <x:c r="B19" s="26"/>
      <x:c r="C19" s="26"/>
      <x:c r="D19" s="26"/>
      <x:c r="E19" s="26"/>
      <x:c r="F19" s="26"/>
      <x:c r="G19" s="26"/>
      <x:c r="H19" s="26"/>
      <x:c r="I19" s="30" t="n">
        <x:f>ROUND(IFERROR(AVERAGE(I17:I17),0),1)</x:f>
        <x:v>18.7</x:v>
      </x:c>
      <x:c r="J19" s="26"/>
      <x:c r="K19" s="26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</x:v>
      </x:c>
      <x:c r="C23" s="23" t="n">
        <x:v>7713.4</x:v>
      </x:c>
      <x:c r="D23" s="23" t="n">
        <x:v>7721</x:v>
      </x:c>
      <x:c r="E23" s="23" t="n">
        <x:v>7598.4</x:v>
      </x:c>
      <x:c r="F23" s="23" t="n">
        <x:v>7645</x:v>
      </x:c>
      <x:c r="G23" s="23"/>
      <x:c r="H23" s="24"/>
      <x:c r="I23" s="23" t="n">
        <x:f>ROUND(D23-E23,1)</x:f>
        <x:v>122.6</x:v>
      </x:c>
      <x:c r="J23" s="22" t="str">
        <x:v>IM2609</x:v>
      </x:c>
      <x:c r="K23" s="22" t="n">
        <x:v>1</x:v>
      </x:c>
    </x:row>
    <x:row r="24">
      <x:c r="A24" s="27" t="str">
        <x:v>合计</x:v>
      </x:c>
      <x:c r="B24" s="26" t="n">
        <x:v>1</x:v>
      </x:c>
      <x:c r="C24" s="26"/>
      <x:c r="D24" s="26"/>
      <x:c r="E24" s="26"/>
      <x:c r="F24" s="26"/>
      <x:c r="G24" s="26"/>
      <x:c r="H24" s="26"/>
      <x:c r="I24" s="28" t="n">
        <x:f>ROUND(SUM(I23:I23),1)</x:f>
        <x:v>122.6</x:v>
      </x:c>
      <x:c r="J24" s="26"/>
      <x:c r="K24" s="26"/>
    </x:row>
    <x:row r="25">
      <x:c r="A25" s="27" t="str">
        <x:v>均值</x:v>
      </x:c>
      <x:c r="B25" s="26"/>
      <x:c r="C25" s="26"/>
      <x:c r="D25" s="26"/>
      <x:c r="E25" s="26"/>
      <x:c r="F25" s="26"/>
      <x:c r="G25" s="26"/>
      <x:c r="H25" s="26"/>
      <x:c r="I25" s="30" t="n">
        <x:f>ROUND(IFERROR(AVERAGE(I23:I23),0),1)</x:f>
        <x:v>122.6</x:v>
      </x:c>
      <x:c r="J25" s="26"/>
      <x:c r="K25" s="26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</x:v>
      </x:c>
      <x:c r="C29" s="23" t="n">
        <x:v>7880.8</x:v>
      </x:c>
      <x:c r="D29" s="23" t="n">
        <x:v>7903</x:v>
      </x:c>
      <x:c r="E29" s="23" t="n">
        <x:v>7765</x:v>
      </x:c>
      <x:c r="F29" s="23" t="n">
        <x:v>7801.6</x:v>
      </x:c>
      <x:c r="G29" s="23"/>
      <x:c r="H29" s="24"/>
      <x:c r="I29" s="23" t="n">
        <x:f>ROUND(D29-E29,1)</x:f>
        <x:v>138</x:v>
      </x:c>
      <x:c r="J29" s="22" t="str">
        <x:v>IC2609</x:v>
      </x:c>
      <x:c r="K29" s="22" t="n">
        <x:v>1</x:v>
      </x:c>
    </x:row>
    <x:row r="30">
      <x:c r="A30" s="27" t="str">
        <x:v>合计</x:v>
      </x:c>
      <x:c r="B30" s="26" t="n">
        <x:v>1</x:v>
      </x:c>
      <x:c r="C30" s="26"/>
      <x:c r="D30" s="26"/>
      <x:c r="E30" s="26"/>
      <x:c r="F30" s="26"/>
      <x:c r="G30" s="26"/>
      <x:c r="H30" s="26"/>
      <x:c r="I30" s="28" t="n">
        <x:f>ROUND(SUM(I29:I29),1)</x:f>
        <x:v>138</x:v>
      </x:c>
      <x:c r="J30" s="26"/>
      <x:c r="K30" s="26"/>
    </x:row>
    <x:row r="31">
      <x:c r="A31" s="27" t="str">
        <x:v>均值</x:v>
      </x:c>
      <x:c r="B31" s="26"/>
      <x:c r="C31" s="26"/>
      <x:c r="D31" s="26"/>
      <x:c r="E31" s="26"/>
      <x:c r="F31" s="26"/>
      <x:c r="G31" s="26"/>
      <x:c r="H31" s="26"/>
      <x:c r="I31" s="30" t="n">
        <x:f>ROUND(IFERROR(AVERAGE(I29:I29),0),1)</x:f>
        <x:v>138</x:v>
      </x:c>
      <x:c r="J31" s="26"/>
      <x:c r="K31" s="26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</x:v>
      </x:c>
      <x:c r="C35" s="23" t="n">
        <x:v>4602</x:v>
      </x:c>
      <x:c r="D35" s="23" t="n">
        <x:v>4617.8</x:v>
      </x:c>
      <x:c r="E35" s="23" t="n">
        <x:v>4576</x:v>
      </x:c>
      <x:c r="F35" s="23" t="n">
        <x:v>4597.2</x:v>
      </x:c>
      <x:c r="G35" s="23"/>
      <x:c r="H35" s="24"/>
      <x:c r="I35" s="23" t="n">
        <x:f>ROUND(D35-E35,1)</x:f>
        <x:v>41.8</x:v>
      </x:c>
      <x:c r="J35" s="22" t="str">
        <x:v>IF2609</x:v>
      </x:c>
      <x:c r="K35" s="22" t="n">
        <x:v>1</x:v>
      </x:c>
    </x:row>
    <x:row r="36">
      <x:c r="A36" s="27" t="str">
        <x:v>合计</x:v>
      </x:c>
      <x:c r="B36" s="26" t="n">
        <x:v>1</x:v>
      </x:c>
      <x:c r="C36" s="26"/>
      <x:c r="D36" s="26"/>
      <x:c r="E36" s="26"/>
      <x:c r="F36" s="26"/>
      <x:c r="G36" s="26"/>
      <x:c r="H36" s="26"/>
      <x:c r="I36" s="28" t="n">
        <x:f>ROUND(SUM(I35:I35),1)</x:f>
        <x:v>41.8</x:v>
      </x:c>
      <x:c r="J36" s="26"/>
      <x:c r="K36" s="26"/>
    </x:row>
    <x:row r="37">
      <x:c r="A37" s="27" t="str">
        <x:v>均值</x:v>
      </x:c>
      <x:c r="B37" s="26"/>
      <x:c r="C37" s="26"/>
      <x:c r="D37" s="26"/>
      <x:c r="E37" s="26"/>
      <x:c r="F37" s="26"/>
      <x:c r="G37" s="26"/>
      <x:c r="H37" s="26"/>
      <x:c r="I37" s="30" t="n">
        <x:f>ROUND(IFERROR(AVERAGE(I35:I35),0),1)</x:f>
        <x:v>41.8</x:v>
      </x:c>
      <x:c r="J37" s="26"/>
      <x:c r="K37" s="26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</x:v>
      </x:c>
      <x:c r="C41" s="23" t="n">
        <x:v>2913</x:v>
      </x:c>
      <x:c r="D41" s="23" t="n">
        <x:v>2934.8</x:v>
      </x:c>
      <x:c r="E41" s="23" t="n">
        <x:v>2912</x:v>
      </x:c>
      <x:c r="F41" s="23" t="n">
        <x:v>2928.6</x:v>
      </x:c>
      <x:c r="G41" s="23"/>
      <x:c r="H41" s="24"/>
      <x:c r="I41" s="23" t="n">
        <x:f>ROUND(D41-E41,1)</x:f>
        <x:v>22.8</x:v>
      </x:c>
      <x:c r="J41" s="22" t="str">
        <x:v>IH2609</x:v>
      </x:c>
      <x:c r="K41" s="22" t="n">
        <x:v>1</x:v>
      </x:c>
    </x:row>
    <x:row r="42">
      <x:c r="A42" s="27" t="str">
        <x:v>合计</x:v>
      </x:c>
      <x:c r="B42" s="26" t="n">
        <x:v>1</x:v>
      </x:c>
      <x:c r="C42" s="26"/>
      <x:c r="D42" s="26"/>
      <x:c r="E42" s="26"/>
      <x:c r="F42" s="26"/>
      <x:c r="G42" s="26"/>
      <x:c r="H42" s="26"/>
      <x:c r="I42" s="28" t="n">
        <x:f>ROUND(SUM(I41:I41),1)</x:f>
        <x:v>22.8</x:v>
      </x:c>
      <x:c r="J42" s="26"/>
      <x:c r="K42" s="26"/>
    </x:row>
    <x:row r="43">
      <x:c r="A43" s="27" t="str">
        <x:v>均值</x:v>
      </x:c>
      <x:c r="B43" s="26"/>
      <x:c r="C43" s="26"/>
      <x:c r="D43" s="26"/>
      <x:c r="E43" s="26"/>
      <x:c r="F43" s="26"/>
      <x:c r="G43" s="26"/>
      <x:c r="H43" s="26"/>
      <x:c r="I43" s="30" t="n">
        <x:f>ROUND(IFERROR(AVERAGE(I41:I41),0),1)</x:f>
        <x:v>22.8</x:v>
      </x:c>
      <x:c r="J43" s="26"/>
      <x:c r="K43" s="26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</x:v>
      </x:c>
      <x:c r="C47" s="23" t="n">
        <x:v>159000</x:v>
      </x:c>
      <x:c r="D47" s="23" t="n">
        <x:v>160480</x:v>
      </x:c>
      <x:c r="E47" s="23" t="n">
        <x:v>155800</x:v>
      </x:c>
      <x:c r="F47" s="23" t="n">
        <x:v>155820</x:v>
      </x:c>
      <x:c r="G47" s="23"/>
      <x:c r="H47" s="24"/>
      <x:c r="I47" s="23" t="n">
        <x:f>ROUND(D47-E47,1)</x:f>
        <x:v>4680</x:v>
      </x:c>
      <x:c r="J47" s="22" t="str">
        <x:v>LC2609</x:v>
      </x:c>
      <x:c r="K47" s="22" t="n">
        <x:v>1</x:v>
      </x:c>
    </x:row>
    <x:row r="48">
      <x:c r="A48" s="27" t="str">
        <x:v>合计</x:v>
      </x:c>
      <x:c r="B48" s="26" t="n">
        <x:v>1</x:v>
      </x:c>
      <x:c r="C48" s="26"/>
      <x:c r="D48" s="26"/>
      <x:c r="E48" s="26"/>
      <x:c r="F48" s="26"/>
      <x:c r="G48" s="26"/>
      <x:c r="H48" s="26"/>
      <x:c r="I48" s="28" t="n">
        <x:f>ROUND(SUM(I47:I47),1)</x:f>
        <x:v>4680</x:v>
      </x:c>
      <x:c r="J48" s="26"/>
      <x:c r="K48" s="26"/>
    </x:row>
    <x:row r="49">
      <x:c r="A49" s="27" t="str">
        <x:v>均值</x:v>
      </x:c>
      <x:c r="B49" s="26"/>
      <x:c r="C49" s="26"/>
      <x:c r="D49" s="26"/>
      <x:c r="E49" s="26"/>
      <x:c r="F49" s="26"/>
      <x:c r="G49" s="26"/>
      <x:c r="H49" s="26"/>
      <x:c r="I49" s="30" t="n">
        <x:f>ROUND(IFERROR(AVERAGE(I47:I47),0),1)</x:f>
        <x:v>4680</x:v>
      </x:c>
      <x:c r="J49" s="26"/>
      <x:c r="K49" s="26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105.7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105.7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102.7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102.7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18.7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18.7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122.6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122.6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138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138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41.8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41.8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22.8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22.8</x:v>
      </x:c>
      <x:c r="K8" s="26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6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7">
      <x:c r="A7" s="27" t="str">
        <x:v>合计</x:v>
      </x:c>
      <x:c r="B7" s="26" t="n">
        <x:v>1</x:v>
      </x:c>
      <x:c r="C7" s="26"/>
      <x:c r="D7" s="26"/>
      <x:c r="E7" s="26"/>
      <x:c r="F7" s="26"/>
      <x:c r="G7" s="26"/>
      <x:c r="H7" s="26"/>
      <x:c r="I7" s="26"/>
      <x:c r="J7" s="28" t="n">
        <x:f>SUM(J4:J4)</x:f>
        <x:v>4680</x:v>
      </x:c>
      <x:c r="K7" s="26"/>
    </x:row>
    <x:row r="8">
      <x:c r="A8" s="27" t="str">
        <x:v>均值</x:v>
      </x:c>
      <x:c r="B8" s="26"/>
      <x:c r="C8" s="26"/>
      <x:c r="D8" s="26"/>
      <x:c r="E8" s="26"/>
      <x:c r="F8" s="26"/>
      <x:c r="G8" s="26"/>
      <x:c r="H8" s="26"/>
      <x:c r="I8" s="26"/>
      <x:c r="J8" s="30" t="n">
        <x:f>ROUND(IFERROR(AVERAGE(J4:J4),0),1)</x:f>
        <x:v>4680</x:v>
      </x:c>
      <x:c r="K8" s="26"/>
    </x:row>
  </x:sheetData>
  <x:mergeCells>
    <x:mergeCell ref="A1:K1"/>
  </x:mergeCells>
  <x:pageMargins left="0.7" right="0.7" top="0.75" bottom="0.75" header="0.3" footer="0.3"/>
</x:worksheet>
</file>