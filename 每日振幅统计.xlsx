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406ecec42442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b9264bc3d524f00"/>
    <x:sheet xmlns:r="http://schemas.openxmlformats.org/officeDocument/2006/relationships" name="中证1000" sheetId="2" r:id="Ra0d1703e15c2454b"/>
    <x:sheet xmlns:r="http://schemas.openxmlformats.org/officeDocument/2006/relationships" name="中证500" sheetId="3" r:id="R9c4c00a23d814e12"/>
    <x:sheet xmlns:r="http://schemas.openxmlformats.org/officeDocument/2006/relationships" name="上证指数" sheetId="4" r:id="R0592a88082344fff"/>
    <x:sheet xmlns:r="http://schemas.openxmlformats.org/officeDocument/2006/relationships" name="IM主力" sheetId="5" r:id="R953a07066a034f30"/>
    <x:sheet xmlns:r="http://schemas.openxmlformats.org/officeDocument/2006/relationships" name="IC主力" sheetId="6" r:id="R60c15dce550b40be"/>
    <x:sheet xmlns:r="http://schemas.openxmlformats.org/officeDocument/2006/relationships" name="IF主力" sheetId="7" r:id="R937022fb83b1413a"/>
    <x:sheet xmlns:r="http://schemas.openxmlformats.org/officeDocument/2006/relationships" name="IH主力" sheetId="8" r:id="R9839bde03dbd4c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6335b623974d1b" /><Relationship Type="http://schemas.openxmlformats.org/officeDocument/2006/relationships/theme" Target="/xl/theme/theme1.xml" Id="R3c0bb7011d6c437b" /><Relationship Type="http://schemas.openxmlformats.org/officeDocument/2006/relationships/sharedStrings" Target="/xl/sharedStrings.xml" Id="R6609010c53204318" /><Relationship Type="http://schemas.openxmlformats.org/officeDocument/2006/relationships/worksheet" Target="/xl/worksheets/sheet1.xml" Id="R2b9264bc3d524f00" /><Relationship Type="http://schemas.openxmlformats.org/officeDocument/2006/relationships/worksheet" Target="/xl/worksheets/sheet2.xml" Id="Ra0d1703e15c2454b" /><Relationship Type="http://schemas.openxmlformats.org/officeDocument/2006/relationships/worksheet" Target="/xl/worksheets/sheet3.xml" Id="R9c4c00a23d814e12" /><Relationship Type="http://schemas.openxmlformats.org/officeDocument/2006/relationships/worksheet" Target="/xl/worksheets/sheet4.xml" Id="R0592a88082344fff" /><Relationship Type="http://schemas.openxmlformats.org/officeDocument/2006/relationships/worksheet" Target="/xl/worksheets/sheet5.xml" Id="R953a07066a034f30" /><Relationship Type="http://schemas.openxmlformats.org/officeDocument/2006/relationships/worksheet" Target="/xl/worksheets/sheet6.xml" Id="R60c15dce550b40be" /><Relationship Type="http://schemas.openxmlformats.org/officeDocument/2006/relationships/worksheet" Target="/xl/worksheets/sheet7.xml" Id="R937022fb83b1413a" /><Relationship Type="http://schemas.openxmlformats.org/officeDocument/2006/relationships/worksheet" Target="/xl/worksheets/sheet8.xml" Id="R9839bde03dbd4c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2026-07-10</x:v>
      </x:c>
      <x:c r="C4" s="10" t="n">
        <x:v>8438.194</x:v>
      </x:c>
      <x:c r="D4" s="10" t="n">
        <x:v>8198.308</x:v>
      </x:c>
      <x:c r="E4" s="12" t="n">
        <x:v>239.9</x:v>
      </x:c>
      <x:c r="F4" s="9" t="n">
        <x:v>8</x:v>
      </x:c>
      <x:c r="G4" s="10" t="n">
        <x:v>1860.8</x:v>
      </x:c>
      <x:c r="H4" s="10" t="n">
        <x:v>232.6</x:v>
      </x:c>
      <x:c r="I4" s="10" t="n">
        <x:v>180</x:v>
      </x:c>
    </x:row>
    <x:row r="5">
      <x:c r="A5" s="9" t="str">
        <x:v>中证500</x:v>
      </x:c>
      <x:c r="B5" s="9" t="str">
        <x:v>2026-07-10</x:v>
      </x:c>
      <x:c r="C5" s="10" t="n">
        <x:v>8783.249</x:v>
      </x:c>
      <x:c r="D5" s="10" t="n">
        <x:v>8503.245</x:v>
      </x:c>
      <x:c r="E5" s="12" t="n">
        <x:v>280</x:v>
      </x:c>
      <x:c r="F5" s="9" t="n">
        <x:v>8</x:v>
      </x:c>
      <x:c r="G5" s="10" t="n">
        <x:v>2024.5</x:v>
      </x:c>
      <x:c r="H5" s="10" t="n">
        <x:v>253.1</x:v>
      </x:c>
      <x:c r="I5" s="10" t="n">
        <x:v>160</x:v>
      </x:c>
    </x:row>
    <x:row r="6">
      <x:c r="A6" s="9" t="str">
        <x:v>上证指数</x:v>
      </x:c>
      <x:c r="B6" s="9" t="str">
        <x:v>2026-07-10</x:v>
      </x:c>
      <x:c r="C6" s="10" t="n">
        <x:v>4074.828</x:v>
      </x:c>
      <x:c r="D6" s="10" t="n">
        <x:v>3995.807</x:v>
      </x:c>
      <x:c r="E6" s="12" t="n">
        <x:v>79</x:v>
      </x:c>
      <x:c r="F6" s="9" t="n">
        <x:v>8</x:v>
      </x:c>
      <x:c r="G6" s="10" t="n">
        <x:v>517.2</x:v>
      </x:c>
      <x:c r="H6" s="10" t="n">
        <x:v>64.7</x:v>
      </x:c>
      <x:c r="I6" s="10" t="n">
        <x:v>50</x:v>
      </x:c>
    </x:row>
    <x:row r="7">
      <x:c r="A7" s="9" t="str">
        <x:v>IM主力</x:v>
      </x:c>
      <x:c r="B7" s="9" t="str">
        <x:v>2026-07-10</x:v>
      </x:c>
      <x:c r="C7" s="10" t="n">
        <x:v>8244.8</x:v>
      </x:c>
      <x:c r="D7" s="10" t="n">
        <x:v>8016</x:v>
      </x:c>
      <x:c r="E7" s="12" t="n">
        <x:v>228.8</x:v>
      </x:c>
      <x:c r="F7" s="9" t="n">
        <x:v>8</x:v>
      </x:c>
      <x:c r="G7" s="10" t="n">
        <x:v>1596</x:v>
      </x:c>
      <x:c r="H7" s="10" t="n">
        <x:v>199.5</x:v>
      </x:c>
      <x:c r="I7" s="10" t="n">
        <x:v>190</x:v>
      </x:c>
    </x:row>
    <x:row r="8">
      <x:c r="A8" s="9" t="str">
        <x:v>IC主力</x:v>
      </x:c>
      <x:c r="B8" s="9" t="str">
        <x:v>2026-07-10</x:v>
      </x:c>
      <x:c r="C8" s="10" t="n">
        <x:v>8618</x:v>
      </x:c>
      <x:c r="D8" s="10" t="n">
        <x:v>8330</x:v>
      </x:c>
      <x:c r="E8" s="12" t="n">
        <x:v>288</x:v>
      </x:c>
      <x:c r="F8" s="9" t="n">
        <x:v>8</x:v>
      </x:c>
      <x:c r="G8" s="10" t="n">
        <x:v>1849.4</x:v>
      </x:c>
      <x:c r="H8" s="10" t="n">
        <x:v>231.2</x:v>
      </x:c>
      <x:c r="I8" s="10" t="n">
        <x:v>150</x:v>
      </x:c>
    </x:row>
    <x:row r="9">
      <x:c r="A9" s="9" t="str">
        <x:v>IF主力</x:v>
      </x:c>
      <x:c r="B9" s="9" t="str">
        <x:v>2026-07-10</x:v>
      </x:c>
      <x:c r="C9" s="10" t="n">
        <x:v>4822.2</x:v>
      </x:c>
      <x:c r="D9" s="10" t="n">
        <x:v>4703.6</x:v>
      </x:c>
      <x:c r="E9" s="12" t="n">
        <x:v>118.6</x:v>
      </x:c>
      <x:c r="F9" s="9" t="n">
        <x:v>8</x:v>
      </x:c>
      <x:c r="G9" s="10" t="n">
        <x:v>775.4</x:v>
      </x:c>
      <x:c r="H9" s="10" t="n">
        <x:v>96.9</x:v>
      </x:c>
      <x:c r="I9" s="10" t="n">
        <x:v>90</x:v>
      </x:c>
    </x:row>
    <x:row r="10">
      <x:c r="A10" s="9" t="str">
        <x:v>IH主力</x:v>
      </x:c>
      <x:c r="B10" s="9" t="str">
        <x:v>2026-07-10</x:v>
      </x:c>
      <x:c r="C10" s="10" t="n">
        <x:v>2983.8</x:v>
      </x:c>
      <x:c r="D10" s="10" t="n">
        <x:v>2908.2</x:v>
      </x:c>
      <x:c r="E10" s="12" t="n">
        <x:v>75.6</x:v>
      </x:c>
      <x:c r="F10" s="9" t="n">
        <x:v>8</x:v>
      </x:c>
      <x:c r="G10" s="10" t="n">
        <x:v>444.4</x:v>
      </x:c>
      <x:c r="H10" s="10" t="n">
        <x:v>55.6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2026-07-10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8312.492</x:v>
      </x:c>
      <x:c r="E11" s="22" t="n">
        <x:v>8438.194</x:v>
      </x:c>
      <x:c r="F11" s="22" t="n">
        <x:v>8198.308</x:v>
      </x:c>
      <x:c r="G11" s="22" t="n">
        <x:v>8198.308</x:v>
      </x:c>
      <x:c r="H11" s="22" t="n">
        <x:v>-101.8</x:v>
      </x:c>
      <x:c r="I11" s="23" t="n">
        <x:v>-0.012261211552615503</x:v>
      </x:c>
      <x:c r="J11" s="27" t="n">
        <x:f>ROUND(E11-F11,1)</x:f>
        <x:v>239.9</x:v>
      </x:c>
      <x:c r="K11" s="21" t="str">
        <x:v>中证1000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1860.8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232.6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8672.363</x:v>
      </x:c>
      <x:c r="E11" s="22" t="n">
        <x:v>8783.249</x:v>
      </x:c>
      <x:c r="F11" s="22" t="n">
        <x:v>8503.245</x:v>
      </x:c>
      <x:c r="G11" s="22" t="n">
        <x:v>8503.971</x:v>
      </x:c>
      <x:c r="H11" s="22" t="n">
        <x:v>-148.8</x:v>
      </x:c>
      <x:c r="I11" s="23" t="n">
        <x:v>-0.01719862051382992</x:v>
      </x:c>
      <x:c r="J11" s="27" t="n">
        <x:f>ROUND(E11-F11,1)</x:f>
        <x:v>280</x:v>
      </x:c>
      <x:c r="K11" s="21" t="str">
        <x:v>中证500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2024.5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253.1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4031.537</x:v>
      </x:c>
      <x:c r="E11" s="22" t="n">
        <x:v>4074.828</x:v>
      </x:c>
      <x:c r="F11" s="22" t="n">
        <x:v>3995.807</x:v>
      </x:c>
      <x:c r="G11" s="22" t="n">
        <x:v>3996.162</x:v>
      </x:c>
      <x:c r="H11" s="22" t="n">
        <x:v>-40.4</x:v>
      </x:c>
      <x:c r="I11" s="23" t="n">
        <x:v>-0.010014893766715938</x:v>
      </x:c>
      <x:c r="J11" s="27" t="n">
        <x:f>ROUND(E11-F11,1)</x:f>
        <x:v>79</x:v>
      </x:c>
      <x:c r="K11" s="21" t="str">
        <x:v>上证指数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517.2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64.7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/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/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/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/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/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/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8034.8</x:v>
      </x:c>
      <x:c r="E10" s="22" t="n">
        <x:v>8140.2</x:v>
      </x:c>
      <x:c r="F10" s="22" t="n">
        <x:v>7868.2</x:v>
      </x:c>
      <x:c r="G10" s="22" t="n">
        <x:v>8127.4</x:v>
      </x:c>
      <x:c r="H10" s="22"/>
      <x:c r="I10" s="23" t="n">
        <x:v>0.019237521946325442</x:v>
      </x:c>
      <x:c r="J10" s="27" t="n">
        <x:f>ROUND(E10-F10,1)</x:f>
        <x:v>272</x:v>
      </x:c>
      <x:c r="K10" s="21" t="str">
        <x:v>IM2609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8140.2</x:v>
      </x:c>
      <x:c r="E11" s="22" t="n">
        <x:v>8244.8</x:v>
      </x:c>
      <x:c r="F11" s="22" t="n">
        <x:v>8016</x:v>
      </x:c>
      <x:c r="G11" s="22" t="n">
        <x:v>8019.4</x:v>
      </x:c>
      <x:c r="H11" s="22"/>
      <x:c r="I11" s="23" t="n">
        <x:v>-0.013288382508551355</x:v>
      </x:c>
      <x:c r="J11" s="27" t="n">
        <x:f>ROUND(E11-F11,1)</x:f>
        <x:v>228.8</x:v>
      </x:c>
      <x:c r="K11" s="21" t="str">
        <x:v>IM2609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1596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199.5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/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2"/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/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/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/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/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2"/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8522</x:v>
      </x:c>
      <x:c r="E11" s="22" t="n">
        <x:v>8618</x:v>
      </x:c>
      <x:c r="F11" s="22" t="n">
        <x:v>8330</x:v>
      </x:c>
      <x:c r="G11" s="22" t="n">
        <x:v>8333</x:v>
      </x:c>
      <x:c r="H11" s="22"/>
      <x:c r="I11" s="23" t="n">
        <x:v>-0.019923786225065854</x:v>
      </x:c>
      <x:c r="J11" s="27" t="n">
        <x:f>ROUND(E11-F11,1)</x:f>
        <x:v>288</x:v>
      </x:c>
      <x:c r="K11" s="21" t="str">
        <x:v>IC2609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1849.4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231.2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/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/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/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/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/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/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4690</x:v>
      </x:c>
      <x:c r="E10" s="22" t="n">
        <x:v>4804</x:v>
      </x:c>
      <x:c r="F10" s="22" t="n">
        <x:v>4665.2</x:v>
      </x:c>
      <x:c r="G10" s="22" t="n">
        <x:v>4780.8</x:v>
      </x:c>
      <x:c r="H10" s="22"/>
      <x:c r="I10" s="23" t="n">
        <x:v>0.02416452442159378</x:v>
      </x:c>
      <x:c r="J10" s="27" t="n">
        <x:f>ROUND(E10-F10,1)</x:f>
        <x:v>138.8</x:v>
      </x:c>
      <x:c r="K10" s="21" t="str">
        <x:v>IF2609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4790.2</x:v>
      </x:c>
      <x:c r="E11" s="22" t="n">
        <x:v>4822.2</x:v>
      </x:c>
      <x:c r="F11" s="22" t="n">
        <x:v>4703.6</x:v>
      </x:c>
      <x:c r="G11" s="22" t="n">
        <x:v>4704.6</x:v>
      </x:c>
      <x:c r="H11" s="22"/>
      <x:c r="I11" s="23" t="n">
        <x:v>-0.015938755020080242</x:v>
      </x:c>
      <x:c r="J11" s="27" t="n">
        <x:f>ROUND(E11-F11,1)</x:f>
        <x:v>118.6</x:v>
      </x:c>
      <x:c r="K11" s="21" t="str">
        <x:v>IF2609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775.4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96.9</x:v>
      </x:c>
      <x:c r="K15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/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/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/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/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/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/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/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1">
      <x:c r="A11" s="21" t="n">
        <x:v>8</x:v>
      </x:c>
      <x:c r="B11" s="21" t="str">
        <x:v>周五</x:v>
      </x:c>
      <x:c r="C11" s="21" t="str">
        <x:v>7月10日</x:v>
      </x:c>
      <x:c r="D11" s="22" t="n">
        <x:v>2945.2</x:v>
      </x:c>
      <x:c r="E11" s="22" t="n">
        <x:v>2983.8</x:v>
      </x:c>
      <x:c r="F11" s="22" t="n">
        <x:v>2908.2</x:v>
      </x:c>
      <x:c r="G11" s="22" t="n">
        <x:v>2910.2</x:v>
      </x:c>
      <x:c r="H11" s="22"/>
      <x:c r="I11" s="23" t="n">
        <x:v>-0.010068712157289772</x:v>
      </x:c>
      <x:c r="J11" s="27" t="n">
        <x:f>ROUND(E11-F11,1)</x:f>
        <x:v>75.6</x:v>
      </x:c>
      <x:c r="K11" s="21" t="str">
        <x:v>IH2609</x:v>
      </x:c>
    </x:row>
    <x:row r="14">
      <x:c r="A14" s="30" t="str">
        <x:v>合计</x:v>
      </x:c>
      <x:c r="B14" s="31" t="n">
        <x:v>8</x:v>
      </x:c>
      <x:c r="C14" s="31"/>
      <x:c r="D14" s="31"/>
      <x:c r="E14" s="31"/>
      <x:c r="F14" s="31"/>
      <x:c r="G14" s="31"/>
      <x:c r="H14" s="31"/>
      <x:c r="I14" s="31"/>
      <x:c r="J14" s="32" t="n">
        <x:f>SUM(J4:J11)</x:f>
        <x:v>444.4</x:v>
      </x:c>
      <x:c r="K14" s="31"/>
    </x:row>
    <x:row r="15">
      <x:c r="A15" s="30" t="str">
        <x:v>均值</x:v>
      </x:c>
      <x:c r="B15" s="31"/>
      <x:c r="C15" s="31"/>
      <x:c r="D15" s="31"/>
      <x:c r="E15" s="31"/>
      <x:c r="F15" s="31"/>
      <x:c r="G15" s="31"/>
      <x:c r="H15" s="31"/>
      <x:c r="I15" s="31"/>
      <x:c r="J15" s="34" t="n">
        <x:f>ROUND(IFERROR(AVERAGE(J4:J11),0),1)</x:f>
        <x:v>55.6</x:v>
      </x:c>
      <x:c r="K15" s="31"/>
    </x:row>
  </x:sheetData>
  <x:mergeCells>
    <x:mergeCell ref="A1:K1"/>
  </x:mergeCells>
  <x:pageMargins left="0.7" right="0.7" top="0.75" bottom="0.75" header="0.3" footer="0.3"/>
</x:worksheet>
</file>