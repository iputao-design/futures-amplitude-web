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663cc3189147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46102d30f4a4c60"/>
    <x:sheet xmlns:r="http://schemas.openxmlformats.org/officeDocument/2006/relationships" name="周振幅统计" sheetId="2" r:id="Rd07c33c1355c410f"/>
    <x:sheet xmlns:r="http://schemas.openxmlformats.org/officeDocument/2006/relationships" name="中证1000" sheetId="3" r:id="R59c1cabeff78444e"/>
    <x:sheet xmlns:r="http://schemas.openxmlformats.org/officeDocument/2006/relationships" name="中证500" sheetId="4" r:id="Re53a24802835483a"/>
    <x:sheet xmlns:r="http://schemas.openxmlformats.org/officeDocument/2006/relationships" name="上证指数" sheetId="5" r:id="R2fc132173f574c82"/>
    <x:sheet xmlns:r="http://schemas.openxmlformats.org/officeDocument/2006/relationships" name="IM主力" sheetId="6" r:id="R74df81fd4b5d4731"/>
    <x:sheet xmlns:r="http://schemas.openxmlformats.org/officeDocument/2006/relationships" name="IC主力" sheetId="7" r:id="R38bed62df0a740dc"/>
    <x:sheet xmlns:r="http://schemas.openxmlformats.org/officeDocument/2006/relationships" name="IF主力" sheetId="8" r:id="R387ac6b6d91c4095"/>
    <x:sheet xmlns:r="http://schemas.openxmlformats.org/officeDocument/2006/relationships" name="IH主力" sheetId="9" r:id="Rdfa9c3f390ed4cc8"/>
    <x:sheet xmlns:r="http://schemas.openxmlformats.org/officeDocument/2006/relationships" name="碳酸锂2609" sheetId="10" r:id="R4b824e88712443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cf2377e0b64a0a" /><Relationship Type="http://schemas.openxmlformats.org/officeDocument/2006/relationships/theme" Target="/xl/theme/theme1.xml" Id="R1e39d075c12747b1" /><Relationship Type="http://schemas.openxmlformats.org/officeDocument/2006/relationships/sharedStrings" Target="/xl/sharedStrings.xml" Id="Rac3753d9ad1441a4" /><Relationship Type="http://schemas.openxmlformats.org/officeDocument/2006/relationships/worksheet" Target="/xl/worksheets/sheet1.xml" Id="Rc46102d30f4a4c60" /><Relationship Type="http://schemas.openxmlformats.org/officeDocument/2006/relationships/worksheet" Target="/xl/worksheets/sheet2.xml" Id="Rd07c33c1355c410f" /><Relationship Type="http://schemas.openxmlformats.org/officeDocument/2006/relationships/worksheet" Target="/xl/worksheets/sheet3.xml" Id="R59c1cabeff78444e" /><Relationship Type="http://schemas.openxmlformats.org/officeDocument/2006/relationships/worksheet" Target="/xl/worksheets/sheet4.xml" Id="Re53a24802835483a" /><Relationship Type="http://schemas.openxmlformats.org/officeDocument/2006/relationships/worksheet" Target="/xl/worksheets/sheet5.xml" Id="R2fc132173f574c82" /><Relationship Type="http://schemas.openxmlformats.org/officeDocument/2006/relationships/worksheet" Target="/xl/worksheets/sheet6.xml" Id="R74df81fd4b5d4731" /><Relationship Type="http://schemas.openxmlformats.org/officeDocument/2006/relationships/worksheet" Target="/xl/worksheets/sheet7.xml" Id="R38bed62df0a740dc" /><Relationship Type="http://schemas.openxmlformats.org/officeDocument/2006/relationships/worksheet" Target="/xl/worksheets/sheet8.xml" Id="R387ac6b6d91c4095" /><Relationship Type="http://schemas.openxmlformats.org/officeDocument/2006/relationships/worksheet" Target="/xl/worksheets/sheet9.xml" Id="Rdfa9c3f390ed4cc8" /><Relationship Type="http://schemas.openxmlformats.org/officeDocument/2006/relationships/worksheet" Target="/xl/worksheets/sheet10.xml" Id="R4b824e88712443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2026-09-10</x:v>
      </x:c>
      <x:c r="C4" s="10" t="n">
        <x:v>7641.86</x:v>
      </x:c>
      <x:c r="D4" s="10" t="n">
        <x:v>7564.67</x:v>
      </x:c>
      <x:c r="E4" s="12" t="n">
        <x:v>77.2</x:v>
      </x:c>
      <x:c r="F4" s="9" t="n">
        <x:v>8</x:v>
      </x:c>
      <x:c r="G4" s="10" t="n">
        <x:v>990.9</x:v>
      </x:c>
      <x:c r="H4" s="10" t="n">
        <x:v>123.9</x:v>
      </x:c>
      <x:c r="I4" s="10" t="n">
        <x:v>180</x:v>
      </x:c>
    </x:row>
    <x:row r="5">
      <x:c r="A5" s="9" t="str">
        <x:v>中证500</x:v>
      </x:c>
      <x:c r="B5" s="9" t="str">
        <x:v>2026-09-10</x:v>
      </x:c>
      <x:c r="C5" s="10" t="n">
        <x:v>7766.35</x:v>
      </x:c>
      <x:c r="D5" s="10" t="n">
        <x:v>7696.55</x:v>
      </x:c>
      <x:c r="E5" s="12" t="n">
        <x:v>69.8</x:v>
      </x:c>
      <x:c r="F5" s="9" t="n">
        <x:v>8</x:v>
      </x:c>
      <x:c r="G5" s="10" t="n">
        <x:v>921.7</x:v>
      </x:c>
      <x:c r="H5" s="10" t="n">
        <x:v>115.2</x:v>
      </x:c>
      <x:c r="I5" s="10" t="n">
        <x:v>160</x:v>
      </x:c>
    </x:row>
    <x:row r="6">
      <x:c r="A6" s="9" t="str">
        <x:v>上证指数</x:v>
      </x:c>
      <x:c r="B6" s="9" t="str">
        <x:v>2026-09-10</x:v>
      </x:c>
      <x:c r="C6" s="10" t="n">
        <x:v>3949.25</x:v>
      </x:c>
      <x:c r="D6" s="10" t="n">
        <x:v>3927.35</x:v>
      </x:c>
      <x:c r="E6" s="12" t="n">
        <x:v>21.9</x:v>
      </x:c>
      <x:c r="F6" s="9" t="n">
        <x:v>8</x:v>
      </x:c>
      <x:c r="G6" s="10" t="n">
        <x:v>259.1</x:v>
      </x:c>
      <x:c r="H6" s="10" t="n">
        <x:v>32.4</x:v>
      </x:c>
      <x:c r="I6" s="10" t="n">
        <x:v>50</x:v>
      </x:c>
    </x:row>
    <x:row r="7">
      <x:c r="A7" s="9" t="str">
        <x:v>IM主力</x:v>
      </x:c>
      <x:c r="B7" s="9" t="str">
        <x:v>2026-09-09</x:v>
      </x:c>
      <x:c r="C7" s="10" t="n">
        <x:v>7705</x:v>
      </x:c>
      <x:c r="D7" s="10" t="n">
        <x:v>7575</x:v>
      </x:c>
      <x:c r="E7" s="12" t="n">
        <x:v>130</x:v>
      </x:c>
      <x:c r="F7" s="9" t="n">
        <x:v>7</x:v>
      </x:c>
      <x:c r="G7" s="10" t="n">
        <x:v>1033.2</x:v>
      </x:c>
      <x:c r="H7" s="10" t="n">
        <x:v>147.6</x:v>
      </x:c>
      <x:c r="I7" s="10" t="n">
        <x:v>190</x:v>
      </x:c>
    </x:row>
    <x:row r="8">
      <x:c r="A8" s="9" t="str">
        <x:v>IC主力</x:v>
      </x:c>
      <x:c r="B8" s="9" t="str">
        <x:v>2026-09-10</x:v>
      </x:c>
      <x:c r="C8" s="10" t="n">
        <x:v>7754.8</x:v>
      </x:c>
      <x:c r="D8" s="10" t="n">
        <x:v>7664</x:v>
      </x:c>
      <x:c r="E8" s="12" t="n">
        <x:v>90.8</x:v>
      </x:c>
      <x:c r="F8" s="9" t="n">
        <x:v>8</x:v>
      </x:c>
      <x:c r="G8" s="10" t="n">
        <x:v>1119.6</x:v>
      </x:c>
      <x:c r="H8" s="10" t="n">
        <x:v>140</x:v>
      </x:c>
      <x:c r="I8" s="10" t="n">
        <x:v>150</x:v>
      </x:c>
    </x:row>
    <x:row r="9">
      <x:c r="A9" s="9" t="str">
        <x:v>IF主力</x:v>
      </x:c>
      <x:c r="B9" s="9" t="str">
        <x:v>2026-09-10</x:v>
      </x:c>
      <x:c r="C9" s="10" t="n">
        <x:v>4565.8</x:v>
      </x:c>
      <x:c r="D9" s="10" t="n">
        <x:v>4517.6</x:v>
      </x:c>
      <x:c r="E9" s="12" t="n">
        <x:v>48.2</x:v>
      </x:c>
      <x:c r="F9" s="9" t="n">
        <x:v>8</x:v>
      </x:c>
      <x:c r="G9" s="10" t="n">
        <x:v>414.4</x:v>
      </x:c>
      <x:c r="H9" s="10" t="n">
        <x:v>51.8</x:v>
      </x:c>
      <x:c r="I9" s="10" t="n">
        <x:v>90</x:v>
      </x:c>
    </x:row>
    <x:row r="10">
      <x:c r="A10" s="9" t="str">
        <x:v>IH主力</x:v>
      </x:c>
      <x:c r="B10" s="9" t="str">
        <x:v>2026-09-10</x:v>
      </x:c>
      <x:c r="C10" s="10" t="n">
        <x:v>2908.4</x:v>
      </x:c>
      <x:c r="D10" s="10" t="n">
        <x:v>2879.2</x:v>
      </x:c>
      <x:c r="E10" s="12" t="n">
        <x:v>29.2</x:v>
      </x:c>
      <x:c r="F10" s="9" t="n">
        <x:v>8</x:v>
      </x:c>
      <x:c r="G10" s="10" t="n">
        <x:v>249.6</x:v>
      </x:c>
      <x:c r="H10" s="10" t="n">
        <x:v>31.2</x:v>
      </x:c>
      <x:c r="I10" s="10" t="n">
        <x:v>60</x:v>
      </x:c>
    </x:row>
    <x:row r="11">
      <x:c r="A11" s="9" t="str">
        <x:v>碳酸锂2609</x:v>
      </x:c>
      <x:c r="B11" s="9" t="str">
        <x:v>2026-09-09</x:v>
      </x:c>
      <x:c r="C11" s="10" t="n">
        <x:v>142880</x:v>
      </x:c>
      <x:c r="D11" s="10" t="n">
        <x:v>139800</x:v>
      </x:c>
      <x:c r="E11" s="12" t="n">
        <x:v>3080</x:v>
      </x:c>
      <x:c r="F11" s="9" t="n">
        <x:v>7</x:v>
      </x:c>
      <x:c r="G11" s="10" t="n">
        <x:v>34100</x:v>
      </x:c>
      <x:c r="H11" s="10" t="n">
        <x:v>4871.4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9月7日-9月10日</x:v>
      </x:c>
      <x:c r="C6" s="23" t="n">
        <x:v>7551.02</x:v>
      </x:c>
      <x:c r="D6" s="23" t="n">
        <x:v>7724.94</x:v>
      </x:c>
      <x:c r="E6" s="23" t="n">
        <x:v>7541.14</x:v>
      </x:c>
      <x:c r="F6" s="23" t="n">
        <x:v>7587.75</x:v>
      </x:c>
      <x:c r="G6" s="23" t="n">
        <x:f>ROUND(F6-F5,1)</x:f>
        <x:v>79.7</x:v>
      </x:c>
      <x:c r="H6" s="24" t="n">
        <x:f>IFERROR(F6/F5-1,"")</x:f>
        <x:v>0.010609888799947731</x:v>
      </x:c>
      <x:c r="I6" s="26" t="n">
        <x:f>ROUND(D6-E6,1)</x:f>
        <x:v>183.8</x:v>
      </x:c>
      <x:c r="J6" s="22" t="str">
        <x:v>中证1000</x:v>
      </x:c>
      <x:c r="K6" s="22" t="n">
        <x:v>4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491.9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246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9月7日-9月10日</x:v>
      </x:c>
      <x:c r="C13" s="23" t="n">
        <x:v>7687.47</x:v>
      </x:c>
      <x:c r="D13" s="23" t="n">
        <x:v>7830.16</x:v>
      </x:c>
      <x:c r="E13" s="23" t="n">
        <x:v>7672.99</x:v>
      </x:c>
      <x:c r="F13" s="23" t="n">
        <x:v>7717.8</x:v>
      </x:c>
      <x:c r="G13" s="23" t="n">
        <x:f>ROUND(F13-F12,1)</x:f>
        <x:v>65.1</x:v>
      </x:c>
      <x:c r="H13" s="24" t="n">
        <x:f>IFERROR(F13/F12-1,"")</x:f>
        <x:v>0.00850811936717677</x:v>
      </x:c>
      <x:c r="I13" s="23" t="n">
        <x:f>ROUND(D13-E13,1)</x:f>
        <x:v>157.2</x:v>
      </x:c>
      <x:c r="J13" s="22" t="str">
        <x:v>中证500</x:v>
      </x:c>
      <x:c r="K13" s="22" t="n">
        <x:v>4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502.2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251.1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9月7日-9月10日</x:v>
      </x:c>
      <x:c r="C20" s="23" t="n">
        <x:v>3942.51</x:v>
      </x:c>
      <x:c r="D20" s="23" t="n">
        <x:v>3958.12</x:v>
      </x:c>
      <x:c r="E20" s="23" t="n">
        <x:v>3916.49</x:v>
      </x:c>
      <x:c r="F20" s="23" t="n">
        <x:v>3934.4</x:v>
      </x:c>
      <x:c r="G20" s="23" t="n">
        <x:f>ROUND(F20-F19,1)</x:f>
        <x:v>4.3</x:v>
      </x:c>
      <x:c r="H20" s="24" t="n">
        <x:f>IFERROR(F20/F19-1,"")</x:f>
        <x:v>0.001089025271493016</x:v>
      </x:c>
      <x:c r="I20" s="23" t="n">
        <x:f>ROUND(D20-E20,1)</x:f>
        <x:v>41.6</x:v>
      </x:c>
      <x:c r="J20" s="22" t="str">
        <x:v>上证指数</x:v>
      </x:c>
      <x:c r="K20" s="22" t="n">
        <x:v>4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121.6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60.8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9月7日-9月9日</x:v>
      </x:c>
      <x:c r="C27" s="23" t="n">
        <x:v>7527.2</x:v>
      </x:c>
      <x:c r="D27" s="23" t="n">
        <x:v>7714.6</x:v>
      </x:c>
      <x:c r="E27" s="23" t="n">
        <x:v>7512.6</x:v>
      </x:c>
      <x:c r="F27" s="23" t="n">
        <x:v>7618.6</x:v>
      </x:c>
      <x:c r="G27" s="34" t="n">
        <x:f>ROUND(F27-F26,1)</x:f>
        <x:v>150.4</x:v>
      </x:c>
      <x:c r="H27" s="24" t="n">
        <x:f>IFERROR(F27/F26-1,"")</x:f>
        <x:v>0.020138721512546587</x:v>
      </x:c>
      <x:c r="I27" s="26" t="n">
        <x:f>ROUND(D27-E27,1)</x:f>
        <x:v>202</x:v>
      </x:c>
      <x:c r="J27" s="22" t="str">
        <x:v>IM2609</x:v>
      </x:c>
      <x:c r="K27" s="22" t="n">
        <x:v>3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491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245.5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9月7日-9月10日</x:v>
      </x:c>
      <x:c r="C34" s="23" t="n">
        <x:v>7665.6</x:v>
      </x:c>
      <x:c r="D34" s="23" t="n">
        <x:v>7817.2</x:v>
      </x:c>
      <x:c r="E34" s="23" t="n">
        <x:v>7651.2</x:v>
      </x:c>
      <x:c r="F34" s="23" t="n">
        <x:v>7705.8</x:v>
      </x:c>
      <x:c r="G34" s="23" t="n">
        <x:f>ROUND(F34-F33,1)</x:f>
        <x:v>97.8</x:v>
      </x:c>
      <x:c r="H34" s="24" t="n">
        <x:f>IFERROR(F34/F33-1,"")</x:f>
        <x:v>0.012854889589905438</x:v>
      </x:c>
      <x:c r="I34" s="26" t="n">
        <x:f>ROUND(D34-E34,1)</x:f>
        <x:v>166</x:v>
      </x:c>
      <x:c r="J34" s="22" t="str">
        <x:v>IC2609</x:v>
      </x:c>
      <x:c r="K34" s="22" t="n">
        <x:v>4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501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250.5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9月7日-9月10日</x:v>
      </x:c>
      <x:c r="C41" s="23" t="n">
        <x:v>4562</x:v>
      </x:c>
      <x:c r="D41" s="23" t="n">
        <x:v>4584</x:v>
      </x:c>
      <x:c r="E41" s="23" t="n">
        <x:v>4517.6</x:v>
      </x:c>
      <x:c r="F41" s="23" t="n">
        <x:v>4542.2</x:v>
      </x:c>
      <x:c r="G41" s="23" t="n">
        <x:f>ROUND(F41-F40,1)</x:f>
        <x:v>4.8</x:v>
      </x:c>
      <x:c r="H41" s="24" t="n">
        <x:f>IFERROR(F41/F40-1,"")</x:f>
        <x:v>0.0010578745537093148</x:v>
      </x:c>
      <x:c r="I41" s="23" t="n">
        <x:f>ROUND(D41-E41,1)</x:f>
        <x:v>66.4</x:v>
      </x:c>
      <x:c r="J41" s="22" t="str">
        <x:v>IF2609</x:v>
      </x:c>
      <x:c r="K41" s="22" t="n">
        <x:v>4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186.6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93.3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9月7日-9月10日</x:v>
      </x:c>
      <x:c r="C48" s="23" t="n">
        <x:v>2923.2</x:v>
      </x:c>
      <x:c r="D48" s="23" t="n">
        <x:v>2931.4</x:v>
      </x:c>
      <x:c r="E48" s="23" t="n">
        <x:v>2879.2</x:v>
      </x:c>
      <x:c r="F48" s="23" t="n">
        <x:v>2897</x:v>
      </x:c>
      <x:c r="G48" s="23" t="n">
        <x:f>ROUND(F48-F47,1)</x:f>
        <x:v>-18.8</x:v>
      </x:c>
      <x:c r="H48" s="24" t="n">
        <x:f>IFERROR(F48/F47-1,"")</x:f>
        <x:v>-0.0064476301529597935</x:v>
      </x:c>
      <x:c r="I48" s="23" t="n">
        <x:f>ROUND(D48-E48,1)</x:f>
        <x:v>52.2</x:v>
      </x:c>
      <x:c r="J48" s="22" t="str">
        <x:v>IH2609</x:v>
      </x:c>
      <x:c r="K48" s="22" t="n">
        <x:v>4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120.2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60.1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9月7日-9月9日</x:v>
      </x:c>
      <x:c r="C55" s="23" t="n">
        <x:v>142120</x:v>
      </x:c>
      <x:c r="D55" s="23" t="n">
        <x:v>143200</x:v>
      </x:c>
      <x:c r="E55" s="23" t="n">
        <x:v>139800</x:v>
      </x:c>
      <x:c r="F55" s="23" t="n">
        <x:v>141260</x:v>
      </x:c>
      <x:c r="G55" s="34" t="n">
        <x:f>ROUND(F55-F54,1)</x:f>
        <x:v>280</x:v>
      </x:c>
      <x:c r="H55" s="24" t="n">
        <x:f>IFERROR(F55/F54-1,"")</x:f>
        <x:v>0.0019860973187686426</x:v>
      </x:c>
      <x:c r="I55" s="23" t="n">
        <x:f>ROUND(D55-E55,1)</x:f>
        <x:v>3400</x:v>
      </x:c>
      <x:c r="J55" s="22" t="str">
        <x:v>LC2609</x:v>
      </x:c>
      <x:c r="K55" s="22" t="n">
        <x:v>3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22940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11470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990.9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123.9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921.6999999999999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115.2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259.09999999999997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32.4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1033.2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147.6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1119.6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140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414.4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51.8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249.6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31.2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34100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4871.4</x:v>
      </x:c>
      <x:c r="K14" s="28"/>
    </x:row>
  </x:sheetData>
  <x:mergeCells>
    <x:mergeCell ref="A1:K1"/>
  </x:mergeCells>
  <x:pageMargins left="0.7" right="0.7" top="0.75" bottom="0.75" header="0.3" footer="0.3"/>
</x:worksheet>
</file>