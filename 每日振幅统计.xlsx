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93ba2fcfc41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0c312f536874f9e"/>
    <x:sheet xmlns:r="http://schemas.openxmlformats.org/officeDocument/2006/relationships" name="周振幅统计" sheetId="2" r:id="Rcd7381a9fd744f94"/>
    <x:sheet xmlns:r="http://schemas.openxmlformats.org/officeDocument/2006/relationships" name="中证1000" sheetId="3" r:id="Rc4399d309aa249f9"/>
    <x:sheet xmlns:r="http://schemas.openxmlformats.org/officeDocument/2006/relationships" name="中证500" sheetId="4" r:id="Re210cfc3f87f4056"/>
    <x:sheet xmlns:r="http://schemas.openxmlformats.org/officeDocument/2006/relationships" name="上证指数" sheetId="5" r:id="R2c5f0cd816bb4b5b"/>
    <x:sheet xmlns:r="http://schemas.openxmlformats.org/officeDocument/2006/relationships" name="IM主力" sheetId="6" r:id="Re6f0e39e93a5443b"/>
    <x:sheet xmlns:r="http://schemas.openxmlformats.org/officeDocument/2006/relationships" name="IC主力" sheetId="7" r:id="R5692245066024be1"/>
    <x:sheet xmlns:r="http://schemas.openxmlformats.org/officeDocument/2006/relationships" name="IF主力" sheetId="8" r:id="R2afd88d404944147"/>
    <x:sheet xmlns:r="http://schemas.openxmlformats.org/officeDocument/2006/relationships" name="IH主力" sheetId="9" r:id="R9440f040348b4d52"/>
    <x:sheet xmlns:r="http://schemas.openxmlformats.org/officeDocument/2006/relationships" name="碳酸锂2609" sheetId="10" r:id="R3270b954ebe742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64337f37c04748" /><Relationship Type="http://schemas.openxmlformats.org/officeDocument/2006/relationships/theme" Target="/xl/theme/theme1.xml" Id="R76b9e1b874994828" /><Relationship Type="http://schemas.openxmlformats.org/officeDocument/2006/relationships/sharedStrings" Target="/xl/sharedStrings.xml" Id="R5e824ad3b1da4971" /><Relationship Type="http://schemas.openxmlformats.org/officeDocument/2006/relationships/worksheet" Target="/xl/worksheets/sheet1.xml" Id="R30c312f536874f9e" /><Relationship Type="http://schemas.openxmlformats.org/officeDocument/2006/relationships/worksheet" Target="/xl/worksheets/sheet2.xml" Id="Rcd7381a9fd744f94" /><Relationship Type="http://schemas.openxmlformats.org/officeDocument/2006/relationships/worksheet" Target="/xl/worksheets/sheet3.xml" Id="Rc4399d309aa249f9" /><Relationship Type="http://schemas.openxmlformats.org/officeDocument/2006/relationships/worksheet" Target="/xl/worksheets/sheet4.xml" Id="Re210cfc3f87f4056" /><Relationship Type="http://schemas.openxmlformats.org/officeDocument/2006/relationships/worksheet" Target="/xl/worksheets/sheet5.xml" Id="R2c5f0cd816bb4b5b" /><Relationship Type="http://schemas.openxmlformats.org/officeDocument/2006/relationships/worksheet" Target="/xl/worksheets/sheet6.xml" Id="Re6f0e39e93a5443b" /><Relationship Type="http://schemas.openxmlformats.org/officeDocument/2006/relationships/worksheet" Target="/xl/worksheets/sheet7.xml" Id="R5692245066024be1" /><Relationship Type="http://schemas.openxmlformats.org/officeDocument/2006/relationships/worksheet" Target="/xl/worksheets/sheet8.xml" Id="R2afd88d404944147" /><Relationship Type="http://schemas.openxmlformats.org/officeDocument/2006/relationships/worksheet" Target="/xl/worksheets/sheet9.xml" Id="R9440f040348b4d52" /><Relationship Type="http://schemas.openxmlformats.org/officeDocument/2006/relationships/worksheet" Target="/xl/worksheets/sheet10.xml" Id="R3270b954ebe742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2026-08-27</x:v>
      </x:c>
      <x:c r="C4" s="10" t="n">
        <x:v>7734.31</x:v>
      </x:c>
      <x:c r="D4" s="10" t="n">
        <x:v>7531.78</x:v>
      </x:c>
      <x:c r="E4" s="12" t="n">
        <x:v>202.5</x:v>
      </x:c>
      <x:c r="F4" s="9" t="n">
        <x:v>19</x:v>
      </x:c>
      <x:c r="G4" s="10" t="n">
        <x:v>3347.9</x:v>
      </x:c>
      <x:c r="H4" s="10" t="n">
        <x:v>176.2</x:v>
      </x:c>
      <x:c r="I4" s="10" t="n">
        <x:v>180</x:v>
      </x:c>
    </x:row>
    <x:row r="5">
      <x:c r="A5" s="9" t="str">
        <x:v>中证500</x:v>
      </x:c>
      <x:c r="B5" s="9" t="str">
        <x:v>2026-08-27</x:v>
      </x:c>
      <x:c r="C5" s="10" t="n">
        <x:v>7951.05</x:v>
      </x:c>
      <x:c r="D5" s="10" t="n">
        <x:v>7763.98</x:v>
      </x:c>
      <x:c r="E5" s="12" t="n">
        <x:v>187.1</x:v>
      </x:c>
      <x:c r="F5" s="9" t="n">
        <x:v>19</x:v>
      </x:c>
      <x:c r="G5" s="10" t="n">
        <x:v>3204.8</x:v>
      </x:c>
      <x:c r="H5" s="10" t="n">
        <x:v>168.7</x:v>
      </x:c>
      <x:c r="I5" s="10" t="n">
        <x:v>160</x:v>
      </x:c>
    </x:row>
    <x:row r="6">
      <x:c r="A6" s="9" t="str">
        <x:v>上证指数</x:v>
      </x:c>
      <x:c r="B6" s="9" t="str">
        <x:v>2026-08-27</x:v>
      </x:c>
      <x:c r="C6" s="10" t="n">
        <x:v>3958.03</x:v>
      </x:c>
      <x:c r="D6" s="10" t="n">
        <x:v>3909.31</x:v>
      </x:c>
      <x:c r="E6" s="12" t="n">
        <x:v>48.7</x:v>
      </x:c>
      <x:c r="F6" s="9" t="n">
        <x:v>19</x:v>
      </x:c>
      <x:c r="G6" s="10" t="n">
        <x:v>823.5</x:v>
      </x:c>
      <x:c r="H6" s="10" t="n">
        <x:v>43.3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19</x:v>
      </x:c>
      <x:c r="G7" s="10" t="n">
        <x:v>3332</x:v>
      </x:c>
      <x:c r="H7" s="10" t="n">
        <x:v>175.4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19</x:v>
      </x:c>
      <x:c r="G8" s="10" t="n">
        <x:v>3262.6</x:v>
      </x:c>
      <x:c r="H8" s="10" t="n">
        <x:v>171.7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19</x:v>
      </x:c>
      <x:c r="G9" s="10" t="n">
        <x:v>1215.6</x:v>
      </x:c>
      <x:c r="H9" s="10" t="n">
        <x:v>64</x:v>
      </x:c>
      <x:c r="I9" s="10" t="n">
        <x:v>90</x:v>
      </x:c>
    </x:row>
    <x:row r="10">
      <x:c r="A10" s="9" t="str">
        <x:v>IH主力</x:v>
      </x:c>
      <x:c r="B10" s="9" t="str">
        <x:v>2026-08-27</x:v>
      </x:c>
      <x:c r="C10" s="10" t="n">
        <x:v>2916.2</x:v>
      </x:c>
      <x:c r="D10" s="10" t="n">
        <x:v>2890.4</x:v>
      </x:c>
      <x:c r="E10" s="12" t="n">
        <x:v>25.8</x:v>
      </x:c>
      <x:c r="F10" s="9" t="n">
        <x:v>19</x:v>
      </x:c>
      <x:c r="G10" s="10" t="n">
        <x:v>642</x:v>
      </x:c>
      <x:c r="H10" s="10" t="n">
        <x:v>33.8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18</x:v>
      </x:c>
      <x:c r="G11" s="10" t="n">
        <x:v>94880</x:v>
      </x:c>
      <x:c r="H11" s="10" t="n">
        <x:v>5271.1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8月24日-8月27日</x:v>
      </x:c>
      <x:c r="C8" s="23" t="n">
        <x:v>7614.89</x:v>
      </x:c>
      <x:c r="D8" s="23" t="n">
        <x:v>7734.31</x:v>
      </x:c>
      <x:c r="E8" s="23" t="n">
        <x:v>7347.95</x:v>
      </x:c>
      <x:c r="F8" s="23" t="n">
        <x:v>7732.95</x:v>
      </x:c>
      <x:c r="G8" s="23" t="n">
        <x:f>ROUND(F8-F7,1)</x:f>
        <x:v>131.1</x:v>
      </x:c>
      <x:c r="H8" s="24" t="n">
        <x:f>IFERROR(F8/F7-1,"")</x:f>
        <x:v>0.017252492830645227</x:v>
      </x:c>
      <x:c r="I8" s="26" t="n">
        <x:f>ROUND(D8-E8,1)</x:f>
        <x:v>386.4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1810.7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452.7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8月24日-8月27日</x:v>
      </x:c>
      <x:c r="C17" s="23" t="n">
        <x:v>7861.05</x:v>
      </x:c>
      <x:c r="D17" s="23" t="n">
        <x:v>7951.05</x:v>
      </x:c>
      <x:c r="E17" s="23" t="n">
        <x:v>7572.86</x:v>
      </x:c>
      <x:c r="F17" s="23" t="n">
        <x:v>7946.33</x:v>
      </x:c>
      <x:c r="G17" s="23" t="n">
        <x:f>ROUND(F17-F16,1)</x:f>
        <x:v>92</x:v>
      </x:c>
      <x:c r="H17" s="24" t="n">
        <x:f>IFERROR(F17/F16-1,"")</x:f>
        <x:v>0.011713284264857737</x:v>
      </x:c>
      <x:c r="I17" s="26" t="n">
        <x:f>ROUND(D17-E17,1)</x:f>
        <x:v>378.2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1663.5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415.9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8月24日-8月27日</x:v>
      </x:c>
      <x:c r="C26" s="23" t="n">
        <x:v>3902.7</x:v>
      </x:c>
      <x:c r="D26" s="23" t="n">
        <x:v>3958.03</x:v>
      </x:c>
      <x:c r="E26" s="23" t="n">
        <x:v>3850.86</x:v>
      </x:c>
      <x:c r="F26" s="23" t="n">
        <x:v>3956.57</x:v>
      </x:c>
      <x:c r="G26" s="23" t="n">
        <x:f>ROUND(F26-F25,1)</x:f>
        <x:v>51.4</x:v>
      </x:c>
      <x:c r="H26" s="24" t="n">
        <x:f>IFERROR(F26/F25-1,"")</x:f>
        <x:v>0.013154255863976339</x:v>
      </x:c>
      <x:c r="I26" s="26" t="n">
        <x:f>ROUND(D26-E26,1)</x:f>
        <x:v>107.2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429.9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107.5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8月24日-8月27日</x:v>
      </x:c>
      <x:c r="C35" s="23" t="n">
        <x:v>7534.8</x:v>
      </x:c>
      <x:c r="D35" s="23" t="n">
        <x:v>7696</x:v>
      </x:c>
      <x:c r="E35" s="23" t="n">
        <x:v>7300.2</x:v>
      </x:c>
      <x:c r="F35" s="23" t="n">
        <x:v>7686.6</x:v>
      </x:c>
      <x:c r="G35" s="28" t="n">
        <x:f>ROUND(F35-F34,1)</x:f>
        <x:v>159.6</x:v>
      </x:c>
      <x:c r="H35" s="24" t="n">
        <x:f>IFERROR(F35/F34-1,"")</x:f>
        <x:v>0.02120366679952168</x:v>
      </x:c>
      <x:c r="I35" s="26" t="n">
        <x:f>ROUND(D35-E35,1)</x:f>
        <x:v>395.8</x:v>
      </x:c>
      <x:c r="J35" s="22" t="str">
        <x:v>IM2609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1737.8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434.5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8月24日-8月27日</x:v>
      </x:c>
      <x:c r="C44" s="23" t="n">
        <x:v>7757</x:v>
      </x:c>
      <x:c r="D44" s="23" t="n">
        <x:v>7907</x:v>
      </x:c>
      <x:c r="E44" s="23" t="n">
        <x:v>7496</x:v>
      </x:c>
      <x:c r="F44" s="23" t="n">
        <x:v>7903</x:v>
      </x:c>
      <x:c r="G44" s="23" t="n">
        <x:f>ROUND(F44-F43,1)</x:f>
        <x:v>141</x:v>
      </x:c>
      <x:c r="H44" s="24" t="n">
        <x:f>IFERROR(F44/F43-1,"")</x:f>
        <x:v>0.018165421283174332</x:v>
      </x:c>
      <x:c r="I44" s="26" t="n">
        <x:f>ROUND(D44-E44,1)</x:f>
        <x:v>411</x:v>
      </x:c>
      <x:c r="J44" s="22" t="str">
        <x:v>IC2609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1609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402.3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8月24日-8月27日</x:v>
      </x:c>
      <x:c r="C53" s="23" t="n">
        <x:v>4607.4</x:v>
      </x:c>
      <x:c r="D53" s="23" t="n">
        <x:v>4608.2</x:v>
      </x:c>
      <x:c r="E53" s="23" t="n">
        <x:v>4486.4</x:v>
      </x:c>
      <x:c r="F53" s="23" t="n">
        <x:v>4604.8</x:v>
      </x:c>
      <x:c r="G53" s="23" t="n">
        <x:f>ROUND(F53-F52,1)</x:f>
        <x:v>28.8</x:v>
      </x:c>
      <x:c r="H53" s="24" t="n">
        <x:f>IFERROR(F53/F52-1,"")</x:f>
        <x:v>0.0062937062937062915</x:v>
      </x:c>
      <x:c r="I53" s="26" t="n">
        <x:f>ROUND(D53-E53,1)</x:f>
        <x:v>121.8</x:v>
      </x:c>
      <x:c r="J53" s="22" t="str">
        <x:v>IF2609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535.6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133.9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8月24日-8月27日</x:v>
      </x:c>
      <x:c r="C62" s="23" t="n">
        <x:v>2856.4</x:v>
      </x:c>
      <x:c r="D62" s="23" t="n">
        <x:v>2916.2</x:v>
      </x:c>
      <x:c r="E62" s="23" t="n">
        <x:v>2837.4</x:v>
      </x:c>
      <x:c r="F62" s="23" t="n">
        <x:v>2914</x:v>
      </x:c>
      <x:c r="G62" s="23" t="n">
        <x:f>ROUND(F62-F61,1)</x:f>
        <x:v>53</x:v>
      </x:c>
      <x:c r="H62" s="24" t="n">
        <x:f>IFERROR(F62/F61-1,"")</x:f>
        <x:v>0.01852499126179663</x:v>
      </x:c>
      <x:c r="I62" s="26" t="n">
        <x:f>ROUND(D62-E62,1)</x:f>
        <x:v>78.8</x:v>
      </x:c>
      <x:c r="J62" s="22" t="str">
        <x:v>IH2609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314.4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78.6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8月24日-8月26日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150580</x:v>
      </x:c>
      <x:c r="G71" s="28" t="n">
        <x:f>ROUND(F71-F70,1)</x:f>
        <x:v>-5560</x:v>
      </x:c>
      <x:c r="H71" s="24" t="n">
        <x:f>IFERROR(F71/F70-1,"")</x:f>
        <x:v>-0.03560906878442427</x:v>
      </x:c>
      <x:c r="I71" s="26" t="n">
        <x:f>ROUND(D71-E71,1)</x:f>
        <x:v>13000</x:v>
      </x:c>
      <x:c r="J71" s="22" t="str">
        <x:v>LC2609</x:v>
      </x:c>
      <x:c r="K71" s="22" t="n">
        <x:v>3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3347.9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176.2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3204.7999999999997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168.7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823.5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43.3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3332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3262.6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171.7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1215.6000000000001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64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642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33.8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94880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5271.1</x:v>
      </x:c>
      <x:c r="K25" s="30"/>
    </x:row>
  </x:sheetData>
  <x:mergeCells>
    <x:mergeCell ref="A1:K1"/>
  </x:mergeCells>
  <x:pageMargins left="0.7" right="0.7" top="0.75" bottom="0.75" header="0.3" footer="0.3"/>
</x:worksheet>
</file>