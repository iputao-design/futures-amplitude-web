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ea2b3535184e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78185570bdd4b20"/>
    <x:sheet xmlns:r="http://schemas.openxmlformats.org/officeDocument/2006/relationships" name="周振幅统计" sheetId="2" r:id="R5947c31564534f85"/>
    <x:sheet xmlns:r="http://schemas.openxmlformats.org/officeDocument/2006/relationships" name="中证1000" sheetId="3" r:id="R35ec6e0e284d4f69"/>
    <x:sheet xmlns:r="http://schemas.openxmlformats.org/officeDocument/2006/relationships" name="中证500" sheetId="4" r:id="R05c3b4125aff4efb"/>
    <x:sheet xmlns:r="http://schemas.openxmlformats.org/officeDocument/2006/relationships" name="上证指数" sheetId="5" r:id="Ree85330e447047dc"/>
    <x:sheet xmlns:r="http://schemas.openxmlformats.org/officeDocument/2006/relationships" name="IM主力" sheetId="6" r:id="Rd875c2d8b275472a"/>
    <x:sheet xmlns:r="http://schemas.openxmlformats.org/officeDocument/2006/relationships" name="IC主力" sheetId="7" r:id="R1953dd6002c4483c"/>
    <x:sheet xmlns:r="http://schemas.openxmlformats.org/officeDocument/2006/relationships" name="IF主力" sheetId="8" r:id="Rc9a1dc2c613e48fb"/>
    <x:sheet xmlns:r="http://schemas.openxmlformats.org/officeDocument/2006/relationships" name="IH主力" sheetId="9" r:id="Rab35406fd874445f"/>
    <x:sheet xmlns:r="http://schemas.openxmlformats.org/officeDocument/2006/relationships" name="碳酸锂2609" sheetId="10" r:id="R6e9d04c1d47146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8815daeccb4988" /><Relationship Type="http://schemas.openxmlformats.org/officeDocument/2006/relationships/theme" Target="/xl/theme/theme1.xml" Id="R15267b8767924074" /><Relationship Type="http://schemas.openxmlformats.org/officeDocument/2006/relationships/sharedStrings" Target="/xl/sharedStrings.xml" Id="R4efbfeb6845f4cdc" /><Relationship Type="http://schemas.openxmlformats.org/officeDocument/2006/relationships/worksheet" Target="/xl/worksheets/sheet1.xml" Id="Rb78185570bdd4b20" /><Relationship Type="http://schemas.openxmlformats.org/officeDocument/2006/relationships/worksheet" Target="/xl/worksheets/sheet2.xml" Id="R5947c31564534f85" /><Relationship Type="http://schemas.openxmlformats.org/officeDocument/2006/relationships/worksheet" Target="/xl/worksheets/sheet3.xml" Id="R35ec6e0e284d4f69" /><Relationship Type="http://schemas.openxmlformats.org/officeDocument/2006/relationships/worksheet" Target="/xl/worksheets/sheet4.xml" Id="R05c3b4125aff4efb" /><Relationship Type="http://schemas.openxmlformats.org/officeDocument/2006/relationships/worksheet" Target="/xl/worksheets/sheet5.xml" Id="Ree85330e447047dc" /><Relationship Type="http://schemas.openxmlformats.org/officeDocument/2006/relationships/worksheet" Target="/xl/worksheets/sheet6.xml" Id="Rd875c2d8b275472a" /><Relationship Type="http://schemas.openxmlformats.org/officeDocument/2006/relationships/worksheet" Target="/xl/worksheets/sheet7.xml" Id="R1953dd6002c4483c" /><Relationship Type="http://schemas.openxmlformats.org/officeDocument/2006/relationships/worksheet" Target="/xl/worksheets/sheet8.xml" Id="Rc9a1dc2c613e48fb" /><Relationship Type="http://schemas.openxmlformats.org/officeDocument/2006/relationships/worksheet" Target="/xl/worksheets/sheet9.xml" Id="Rab35406fd874445f" /><Relationship Type="http://schemas.openxmlformats.org/officeDocument/2006/relationships/worksheet" Target="/xl/worksheets/sheet10.xml" Id="R6e9d04c1d47146e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2026-08-06</x:v>
      </x:c>
      <x:c r="C4" s="10" t="n">
        <x:v>7564.69</x:v>
      </x:c>
      <x:c r="D4" s="10" t="n">
        <x:v>7434.49</x:v>
      </x:c>
      <x:c r="E4" s="12" t="n">
        <x:v>130.2</x:v>
      </x:c>
      <x:c r="F4" s="9" t="n">
        <x:v>4</x:v>
      </x:c>
      <x:c r="G4" s="10" t="n">
        <x:v>680.4</x:v>
      </x:c>
      <x:c r="H4" s="10" t="n">
        <x:v>170.1</x:v>
      </x:c>
      <x:c r="I4" s="10" t="n">
        <x:v>180</x:v>
      </x:c>
    </x:row>
    <x:row r="5">
      <x:c r="A5" s="9" t="str">
        <x:v>中证500</x:v>
      </x:c>
      <x:c r="B5" s="9" t="str">
        <x:v>2026-08-06</x:v>
      </x:c>
      <x:c r="C5" s="10" t="n">
        <x:v>7868.85</x:v>
      </x:c>
      <x:c r="D5" s="10" t="n">
        <x:v>7722.57</x:v>
      </x:c>
      <x:c r="E5" s="12" t="n">
        <x:v>146.3</x:v>
      </x:c>
      <x:c r="F5" s="9" t="n">
        <x:v>4</x:v>
      </x:c>
      <x:c r="G5" s="10" t="n">
        <x:v>720.5</x:v>
      </x:c>
      <x:c r="H5" s="10" t="n">
        <x:v>180.1</x:v>
      </x:c>
      <x:c r="I5" s="10" t="n">
        <x:v>160</x:v>
      </x:c>
    </x:row>
    <x:row r="6">
      <x:c r="A6" s="9" t="str">
        <x:v>上证指数</x:v>
      </x:c>
      <x:c r="B6" s="9" t="str">
        <x:v>2026-08-06</x:v>
      </x:c>
      <x:c r="C6" s="10" t="n">
        <x:v>3902.05</x:v>
      </x:c>
      <x:c r="D6" s="10" t="n">
        <x:v>3864.27</x:v>
      </x:c>
      <x:c r="E6" s="12" t="n">
        <x:v>37.8</x:v>
      </x:c>
      <x:c r="F6" s="9" t="n">
        <x:v>4</x:v>
      </x:c>
      <x:c r="G6" s="10" t="n">
        <x:v>169.5</x:v>
      </x:c>
      <x:c r="H6" s="10" t="n">
        <x:v>42.4</x:v>
      </x:c>
      <x:c r="I6" s="10" t="n">
        <x:v>50</x:v>
      </x:c>
    </x:row>
    <x:row r="7">
      <x:c r="A7" s="9" t="str">
        <x:v>IM主力</x:v>
      </x:c>
      <x:c r="B7" s="9" t="str">
        <x:v>2026-08-05</x:v>
      </x:c>
      <x:c r="C7" s="10" t="n">
        <x:v>7466</x:v>
      </x:c>
      <x:c r="D7" s="10" t="n">
        <x:v>7201.6</x:v>
      </x:c>
      <x:c r="E7" s="12" t="n">
        <x:v>264.4</x:v>
      </x:c>
      <x:c r="F7" s="9" t="n">
        <x:v>3</x:v>
      </x:c>
      <x:c r="G7" s="10" t="n">
        <x:v>564.6</x:v>
      </x:c>
      <x:c r="H7" s="10" t="n">
        <x:v>188.2</x:v>
      </x:c>
      <x:c r="I7" s="10" t="n">
        <x:v>190</x:v>
      </x:c>
    </x:row>
    <x:row r="8">
      <x:c r="A8" s="9" t="str">
        <x:v>IC主力</x:v>
      </x:c>
      <x:c r="B8" s="9" t="str">
        <x:v>2026-08-06</x:v>
      </x:c>
      <x:c r="C8" s="10" t="n">
        <x:v>7768</x:v>
      </x:c>
      <x:c r="D8" s="10" t="n">
        <x:v>7640</x:v>
      </x:c>
      <x:c r="E8" s="12" t="n">
        <x:v>128</x:v>
      </x:c>
      <x:c r="F8" s="9" t="n">
        <x:v>4</x:v>
      </x:c>
      <x:c r="G8" s="10" t="n">
        <x:v>713.8</x:v>
      </x:c>
      <x:c r="H8" s="10" t="n">
        <x:v>178.5</x:v>
      </x:c>
      <x:c r="I8" s="10" t="n">
        <x:v>150</x:v>
      </x:c>
    </x:row>
    <x:row r="9">
      <x:c r="A9" s="9" t="str">
        <x:v>IF主力</x:v>
      </x:c>
      <x:c r="B9" s="9" t="str">
        <x:v>2026-08-05</x:v>
      </x:c>
      <x:c r="C9" s="10" t="n">
        <x:v>4641.2</x:v>
      </x:c>
      <x:c r="D9" s="10" t="n">
        <x:v>4520</x:v>
      </x:c>
      <x:c r="E9" s="12" t="n">
        <x:v>121.2</x:v>
      </x:c>
      <x:c r="F9" s="9" t="n">
        <x:v>3</x:v>
      </x:c>
      <x:c r="G9" s="10" t="n">
        <x:v>221.6</x:v>
      </x:c>
      <x:c r="H9" s="10" t="n">
        <x:v>73.9</x:v>
      </x:c>
      <x:c r="I9" s="10" t="n">
        <x:v>90</x:v>
      </x:c>
    </x:row>
    <x:row r="10">
      <x:c r="A10" s="9" t="str">
        <x:v>IH主力</x:v>
      </x:c>
      <x:c r="B10" s="9" t="str">
        <x:v>2026-08-05</x:v>
      </x:c>
      <x:c r="C10" s="10" t="n">
        <x:v>2907.6</x:v>
      </x:c>
      <x:c r="D10" s="10" t="n">
        <x:v>2855</x:v>
      </x:c>
      <x:c r="E10" s="12" t="n">
        <x:v>52.6</x:v>
      </x:c>
      <x:c r="F10" s="9" t="n">
        <x:v>3</x:v>
      </x:c>
      <x:c r="G10" s="10" t="n">
        <x:v>122.2</x:v>
      </x:c>
      <x:c r="H10" s="10" t="n">
        <x:v>40.7</x:v>
      </x:c>
      <x:c r="I10" s="10" t="n">
        <x:v>60</x:v>
      </x:c>
    </x:row>
    <x:row r="11">
      <x:c r="A11" s="9" t="str">
        <x:v>碳酸锂2609</x:v>
      </x:c>
      <x:c r="B11" s="9" t="str">
        <x:v>2026-08-06</x:v>
      </x:c>
      <x:c r="C11" s="10" t="n">
        <x:v>143860</x:v>
      </x:c>
      <x:c r="D11" s="10" t="n">
        <x:v>139240</x:v>
      </x:c>
      <x:c r="E11" s="12" t="n">
        <x:v>4620</x:v>
      </x:c>
      <x:c r="F11" s="9" t="n">
        <x:v>4</x:v>
      </x:c>
      <x:c r="G11" s="10" t="n">
        <x:v>19900</x:v>
      </x:c>
      <x:c r="H11" s="10" t="n">
        <x:v>4975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2026-08-06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8月3日-8月6日</x:v>
      </x:c>
      <x:c r="C5" s="23" t="n">
        <x:v>7055.27</x:v>
      </x:c>
      <x:c r="D5" s="23" t="n">
        <x:v>7564.69</x:v>
      </x:c>
      <x:c r="E5" s="23" t="n">
        <x:v>7042.89</x:v>
      </x:c>
      <x:c r="F5" s="23" t="n">
        <x:v>7530.43</x:v>
      </x:c>
      <x:c r="G5" s="23"/>
      <x:c r="H5" s="24"/>
      <x:c r="I5" s="26" t="n">
        <x:f>ROUND(D5-E5,1)</x:f>
        <x:v>521.8</x:v>
      </x:c>
      <x:c r="J5" s="22" t="str">
        <x:v>中证1000</x:v>
      </x:c>
      <x:c r="K5" s="22" t="n">
        <x:v>4</x:v>
      </x:c>
    </x:row>
    <x:row r="6">
      <x:c r="A6" s="29" t="str">
        <x:v>合计</x:v>
      </x:c>
      <x:c r="B6" s="28" t="n">
        <x:v>1</x:v>
      </x:c>
      <x:c r="C6" s="28"/>
      <x:c r="D6" s="28"/>
      <x:c r="E6" s="28"/>
      <x:c r="F6" s="28"/>
      <x:c r="G6" s="28"/>
      <x:c r="H6" s="28"/>
      <x:c r="I6" s="30" t="n">
        <x:f>ROUND(SUM(I5:I5),1)</x:f>
        <x:v>521.8</x:v>
      </x:c>
      <x:c r="J6" s="28"/>
      <x:c r="K6" s="28"/>
    </x:row>
    <x:row r="7">
      <x:c r="A7" s="29" t="str">
        <x:v>均值</x:v>
      </x:c>
      <x:c r="B7" s="28"/>
      <x:c r="C7" s="28"/>
      <x:c r="D7" s="28"/>
      <x:c r="E7" s="28"/>
      <x:c r="F7" s="28"/>
      <x:c r="G7" s="28"/>
      <x:c r="H7" s="28"/>
      <x:c r="I7" s="32" t="n">
        <x:f>ROUND(IFERROR(AVERAGE(I5:I5),0),1)</x:f>
        <x:v>521.8</x:v>
      </x:c>
      <x:c r="J7" s="28"/>
      <x:c r="K7" s="28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8月3日-8月6日</x:v>
      </x:c>
      <x:c r="C11" s="23" t="n">
        <x:v>7457.12</x:v>
      </x:c>
      <x:c r="D11" s="23" t="n">
        <x:v>7868.85</x:v>
      </x:c>
      <x:c r="E11" s="23" t="n">
        <x:v>7397.94</x:v>
      </x:c>
      <x:c r="F11" s="23" t="n">
        <x:v>7829.36</x:v>
      </x:c>
      <x:c r="G11" s="23"/>
      <x:c r="H11" s="24"/>
      <x:c r="I11" s="26" t="n">
        <x:f>ROUND(D11-E11,1)</x:f>
        <x:v>470.9</x:v>
      </x:c>
      <x:c r="J11" s="22" t="str">
        <x:v>中证500</x:v>
      </x:c>
      <x:c r="K11" s="22" t="n">
        <x:v>4</x:v>
      </x:c>
    </x:row>
    <x:row r="12">
      <x:c r="A12" s="29" t="str">
        <x:v>合计</x:v>
      </x:c>
      <x:c r="B12" s="28" t="n">
        <x:v>1</x:v>
      </x:c>
      <x:c r="C12" s="28"/>
      <x:c r="D12" s="28"/>
      <x:c r="E12" s="28"/>
      <x:c r="F12" s="28"/>
      <x:c r="G12" s="28"/>
      <x:c r="H12" s="28"/>
      <x:c r="I12" s="30" t="n">
        <x:f>ROUND(SUM(I11:I11),1)</x:f>
        <x:v>470.9</x:v>
      </x:c>
      <x:c r="J12" s="28"/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32" t="n">
        <x:f>ROUND(IFERROR(AVERAGE(I11:I11),0),1)</x:f>
        <x:v>470.9</x:v>
      </x:c>
      <x:c r="J13" s="28"/>
      <x:c r="K13" s="28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8月3日-8月6日</x:v>
      </x:c>
      <x:c r="C17" s="23" t="n">
        <x:v>3812.61</x:v>
      </x:c>
      <x:c r="D17" s="23" t="n">
        <x:v>3902.05</x:v>
      </x:c>
      <x:c r="E17" s="23" t="n">
        <x:v>3797.64</x:v>
      </x:c>
      <x:c r="F17" s="23" t="n">
        <x:v>3900.35</x:v>
      </x:c>
      <x:c r="G17" s="23"/>
      <x:c r="H17" s="24"/>
      <x:c r="I17" s="26" t="n">
        <x:f>ROUND(D17-E17,1)</x:f>
        <x:v>104.4</x:v>
      </x:c>
      <x:c r="J17" s="22" t="str">
        <x:v>上证指数</x:v>
      </x:c>
      <x:c r="K17" s="22" t="n">
        <x:v>4</x:v>
      </x:c>
    </x:row>
    <x:row r="18">
      <x:c r="A18" s="29" t="str">
        <x:v>合计</x:v>
      </x:c>
      <x:c r="B18" s="28" t="n">
        <x:v>1</x:v>
      </x:c>
      <x:c r="C18" s="28"/>
      <x:c r="D18" s="28"/>
      <x:c r="E18" s="28"/>
      <x:c r="F18" s="28"/>
      <x:c r="G18" s="28"/>
      <x:c r="H18" s="28"/>
      <x:c r="I18" s="30" t="n">
        <x:f>ROUND(SUM(I17:I17),1)</x:f>
        <x:v>104.4</x:v>
      </x:c>
      <x:c r="J18" s="28"/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32" t="n">
        <x:f>ROUND(IFERROR(AVERAGE(I17:I17),0),1)</x:f>
        <x:v>104.4</x:v>
      </x:c>
      <x:c r="J19" s="28"/>
      <x:c r="K19" s="28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8月3日-8月5日</x:v>
      </x:c>
      <x:c r="C23" s="23" t="n">
        <x:v>7000</x:v>
      </x:c>
      <x:c r="D23" s="23" t="n">
        <x:v>7466</x:v>
      </x:c>
      <x:c r="E23" s="23" t="n">
        <x:v>6976</x:v>
      </x:c>
      <x:c r="F23" s="23" t="n">
        <x:v>7433.8</x:v>
      </x:c>
      <x:c r="G23" s="23"/>
      <x:c r="H23" s="24"/>
      <x:c r="I23" s="26" t="n">
        <x:f>ROUND(D23-E23,1)</x:f>
        <x:v>490</x:v>
      </x:c>
      <x:c r="J23" s="22" t="str">
        <x:v>IM2609</x:v>
      </x:c>
      <x:c r="K23" s="22" t="n">
        <x:v>3</x:v>
      </x:c>
    </x:row>
    <x:row r="24">
      <x:c r="A24" s="29" t="str">
        <x:v>合计</x:v>
      </x:c>
      <x:c r="B24" s="28" t="n">
        <x:v>1</x:v>
      </x:c>
      <x:c r="C24" s="28"/>
      <x:c r="D24" s="28"/>
      <x:c r="E24" s="28"/>
      <x:c r="F24" s="28"/>
      <x:c r="G24" s="28"/>
      <x:c r="H24" s="28"/>
      <x:c r="I24" s="30" t="n">
        <x:f>ROUND(SUM(I23:I23),1)</x:f>
        <x:v>490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ROUND(IFERROR(AVERAGE(I23:I23),0),1)</x:f>
        <x:v>490</x:v>
      </x:c>
      <x:c r="J25" s="28"/>
      <x:c r="K25" s="28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8月3日-8月6日</x:v>
      </x:c>
      <x:c r="C29" s="23" t="n">
        <x:v>7391</x:v>
      </x:c>
      <x:c r="D29" s="23" t="n">
        <x:v>7775.6</x:v>
      </x:c>
      <x:c r="E29" s="23" t="n">
        <x:v>7335</x:v>
      </x:c>
      <x:c r="F29" s="23" t="n">
        <x:v>7730</x:v>
      </x:c>
      <x:c r="G29" s="23"/>
      <x:c r="H29" s="24"/>
      <x:c r="I29" s="26" t="n">
        <x:f>ROUND(D29-E29,1)</x:f>
        <x:v>440.6</x:v>
      </x:c>
      <x:c r="J29" s="22" t="str">
        <x:v>IC2609</x:v>
      </x:c>
      <x:c r="K29" s="22" t="n">
        <x:v>4</x:v>
      </x:c>
    </x:row>
    <x:row r="30">
      <x:c r="A30" s="29" t="str">
        <x:v>合计</x:v>
      </x:c>
      <x:c r="B30" s="28" t="n">
        <x:v>1</x:v>
      </x:c>
      <x:c r="C30" s="28"/>
      <x:c r="D30" s="28"/>
      <x:c r="E30" s="28"/>
      <x:c r="F30" s="28"/>
      <x:c r="G30" s="28"/>
      <x:c r="H30" s="28"/>
      <x:c r="I30" s="30" t="n">
        <x:f>ROUND(SUM(I29:I29),1)</x:f>
        <x:v>440.6</x:v>
      </x:c>
      <x:c r="J30" s="28"/>
      <x:c r="K30" s="28"/>
    </x:row>
    <x:row r="31">
      <x:c r="A31" s="29" t="str">
        <x:v>均值</x:v>
      </x:c>
      <x:c r="B31" s="28"/>
      <x:c r="C31" s="28"/>
      <x:c r="D31" s="28"/>
      <x:c r="E31" s="28"/>
      <x:c r="F31" s="28"/>
      <x:c r="G31" s="28"/>
      <x:c r="H31" s="28"/>
      <x:c r="I31" s="32" t="n">
        <x:f>ROUND(IFERROR(AVERAGE(I29:I29),0),1)</x:f>
        <x:v>440.6</x:v>
      </x:c>
      <x:c r="J31" s="28"/>
      <x:c r="K31" s="28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8月3日-8月5日</x:v>
      </x:c>
      <x:c r="C35" s="23" t="n">
        <x:v>4526.4</x:v>
      </x:c>
      <x:c r="D35" s="23" t="n">
        <x:v>4641.2</x:v>
      </x:c>
      <x:c r="E35" s="23" t="n">
        <x:v>4494.2</x:v>
      </x:c>
      <x:c r="F35" s="23" t="n">
        <x:v>4621</x:v>
      </x:c>
      <x:c r="G35" s="23"/>
      <x:c r="H35" s="24"/>
      <x:c r="I35" s="26" t="n">
        <x:f>ROUND(D35-E35,1)</x:f>
        <x:v>147</x:v>
      </x:c>
      <x:c r="J35" s="22" t="str">
        <x:v>IF2609</x:v>
      </x:c>
      <x:c r="K35" s="22" t="n">
        <x:v>3</x:v>
      </x:c>
    </x:row>
    <x:row r="36">
      <x:c r="A36" s="29" t="str">
        <x:v>合计</x:v>
      </x:c>
      <x:c r="B36" s="28" t="n">
        <x:v>1</x:v>
      </x:c>
      <x:c r="C36" s="28"/>
      <x:c r="D36" s="28"/>
      <x:c r="E36" s="28"/>
      <x:c r="F36" s="28"/>
      <x:c r="G36" s="28"/>
      <x:c r="H36" s="28"/>
      <x:c r="I36" s="30" t="n">
        <x:f>ROUND(SUM(I35:I35),1)</x:f>
        <x:v>147</x:v>
      </x:c>
      <x:c r="J36" s="28"/>
      <x:c r="K36" s="28"/>
    </x:row>
    <x:row r="37">
      <x:c r="A37" s="29" t="str">
        <x:v>均值</x:v>
      </x:c>
      <x:c r="B37" s="28"/>
      <x:c r="C37" s="28"/>
      <x:c r="D37" s="28"/>
      <x:c r="E37" s="28"/>
      <x:c r="F37" s="28"/>
      <x:c r="G37" s="28"/>
      <x:c r="H37" s="28"/>
      <x:c r="I37" s="32" t="n">
        <x:f>ROUND(IFERROR(AVERAGE(I35:I35),0),1)</x:f>
        <x:v>147</x:v>
      </x:c>
      <x:c r="J37" s="28"/>
      <x:c r="K37" s="28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8月3日-8月5日</x:v>
      </x:c>
      <x:c r="C41" s="23" t="n">
        <x:v>2882.4</x:v>
      </x:c>
      <x:c r="D41" s="23" t="n">
        <x:v>2907.6</x:v>
      </x:c>
      <x:c r="E41" s="23" t="n">
        <x:v>2845.8</x:v>
      </x:c>
      <x:c r="F41" s="23" t="n">
        <x:v>2893.4</x:v>
      </x:c>
      <x:c r="G41" s="23"/>
      <x:c r="H41" s="24"/>
      <x:c r="I41" s="26" t="n">
        <x:f>ROUND(D41-E41,1)</x:f>
        <x:v>61.8</x:v>
      </x:c>
      <x:c r="J41" s="22" t="str">
        <x:v>IH2609</x:v>
      </x:c>
      <x:c r="K41" s="22" t="n">
        <x:v>3</x:v>
      </x:c>
    </x:row>
    <x:row r="42">
      <x:c r="A42" s="29" t="str">
        <x:v>合计</x:v>
      </x:c>
      <x:c r="B42" s="28" t="n">
        <x:v>1</x:v>
      </x:c>
      <x:c r="C42" s="28"/>
      <x:c r="D42" s="28"/>
      <x:c r="E42" s="28"/>
      <x:c r="F42" s="28"/>
      <x:c r="G42" s="28"/>
      <x:c r="H42" s="28"/>
      <x:c r="I42" s="30" t="n">
        <x:f>ROUND(SUM(I41:I41),1)</x:f>
        <x:v>61.8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ROUND(IFERROR(AVERAGE(I41:I41),0),1)</x:f>
        <x:v>61.8</x:v>
      </x:c>
      <x:c r="J43" s="28"/>
      <x:c r="K43" s="28"/>
    </x:row>
    <x:row r="45">
      <x:c r="A45" s="17" t="str">
        <x:v>碳酸锂2609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8月3日-8月6日</x:v>
      </x:c>
      <x:c r="C47" s="23" t="n">
        <x:v>137500</x:v>
      </x:c>
      <x:c r="D47" s="23" t="n">
        <x:v>144300</x:v>
      </x:c>
      <x:c r="E47" s="23" t="n">
        <x:v>135560</x:v>
      </x:c>
      <x:c r="F47" s="23" t="n">
        <x:v>141460</x:v>
      </x:c>
      <x:c r="G47" s="23"/>
      <x:c r="H47" s="24"/>
      <x:c r="I47" s="26" t="n">
        <x:f>ROUND(D47-E47,1)</x:f>
        <x:v>8740</x:v>
      </x:c>
      <x:c r="J47" s="22" t="str">
        <x:v>LC2609</x:v>
      </x:c>
      <x:c r="K47" s="22" t="n">
        <x:v>4</x:v>
      </x:c>
    </x:row>
    <x:row r="48">
      <x:c r="A48" s="29" t="str">
        <x:v>合计</x:v>
      </x:c>
      <x:c r="B48" s="28" t="n">
        <x:v>1</x:v>
      </x:c>
      <x:c r="C48" s="28"/>
      <x:c r="D48" s="28"/>
      <x:c r="E48" s="28"/>
      <x:c r="F48" s="28"/>
      <x:c r="G48" s="28"/>
      <x:c r="H48" s="28"/>
      <x:c r="I48" s="30" t="n">
        <x:f>ROUND(SUM(I47:I47),1)</x:f>
        <x:v>8740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ROUND(IFERROR(AVERAGE(I47:I47),0),1)</x:f>
        <x:v>8740</x:v>
      </x:c>
      <x:c r="J49" s="28"/>
      <x:c r="K49" s="28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  <x:mergeCell ref="A45:K4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37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37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680.4000000000001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170.1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37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37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720.5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180.1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169.5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42.4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37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37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564.5999999999999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188.2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37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37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713.8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178.5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221.60000000000002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73.9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122.19999999999999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40.7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37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37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37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37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19900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4975</x:v>
      </x:c>
      <x:c r="K11" s="28"/>
    </x:row>
  </x:sheetData>
  <x:mergeCells>
    <x:mergeCell ref="A1:K1"/>
  </x:mergeCells>
  <x:pageMargins left="0.7" right="0.7" top="0.75" bottom="0.75" header="0.3" footer="0.3"/>
</x:worksheet>
</file>