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cdaa06aaf64a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732286ac70e4bd7"/>
    <x:sheet xmlns:r="http://schemas.openxmlformats.org/officeDocument/2006/relationships" name="周振幅统计" sheetId="2" r:id="Ra8f1e0402cd04da9"/>
    <x:sheet xmlns:r="http://schemas.openxmlformats.org/officeDocument/2006/relationships" name="中证1000" sheetId="3" r:id="R43c817a0e17f48c3"/>
    <x:sheet xmlns:r="http://schemas.openxmlformats.org/officeDocument/2006/relationships" name="中证500" sheetId="4" r:id="Ra83a967f59084886"/>
    <x:sheet xmlns:r="http://schemas.openxmlformats.org/officeDocument/2006/relationships" name="上证指数" sheetId="5" r:id="R1d7623c5080d4afb"/>
    <x:sheet xmlns:r="http://schemas.openxmlformats.org/officeDocument/2006/relationships" name="IM主力" sheetId="6" r:id="R3ac27c55630a42ae"/>
    <x:sheet xmlns:r="http://schemas.openxmlformats.org/officeDocument/2006/relationships" name="IC主力" sheetId="7" r:id="R5c7c692e0bfe40ae"/>
    <x:sheet xmlns:r="http://schemas.openxmlformats.org/officeDocument/2006/relationships" name="IF主力" sheetId="8" r:id="R508206f5277e4da1"/>
    <x:sheet xmlns:r="http://schemas.openxmlformats.org/officeDocument/2006/relationships" name="IH主力" sheetId="9" r:id="Rf3323e5945cc47c4"/>
    <x:sheet xmlns:r="http://schemas.openxmlformats.org/officeDocument/2006/relationships" name="碳酸锂2610" sheetId="10" r:id="R3bfacfb1231e48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bd268f44cd4bb0" /><Relationship Type="http://schemas.openxmlformats.org/officeDocument/2006/relationships/theme" Target="/xl/theme/theme1.xml" Id="R90316fd4707f4fd2" /><Relationship Type="http://schemas.openxmlformats.org/officeDocument/2006/relationships/sharedStrings" Target="/xl/sharedStrings.xml" Id="R91c17dd32d1742c1" /><Relationship Type="http://schemas.openxmlformats.org/officeDocument/2006/relationships/worksheet" Target="/xl/worksheets/sheet1.xml" Id="Ra732286ac70e4bd7" /><Relationship Type="http://schemas.openxmlformats.org/officeDocument/2006/relationships/worksheet" Target="/xl/worksheets/sheet2.xml" Id="Ra8f1e0402cd04da9" /><Relationship Type="http://schemas.openxmlformats.org/officeDocument/2006/relationships/worksheet" Target="/xl/worksheets/sheet3.xml" Id="R43c817a0e17f48c3" /><Relationship Type="http://schemas.openxmlformats.org/officeDocument/2006/relationships/worksheet" Target="/xl/worksheets/sheet4.xml" Id="Ra83a967f59084886" /><Relationship Type="http://schemas.openxmlformats.org/officeDocument/2006/relationships/worksheet" Target="/xl/worksheets/sheet5.xml" Id="R1d7623c5080d4afb" /><Relationship Type="http://schemas.openxmlformats.org/officeDocument/2006/relationships/worksheet" Target="/xl/worksheets/sheet6.xml" Id="R3ac27c55630a42ae" /><Relationship Type="http://schemas.openxmlformats.org/officeDocument/2006/relationships/worksheet" Target="/xl/worksheets/sheet7.xml" Id="R5c7c692e0bfe40ae" /><Relationship Type="http://schemas.openxmlformats.org/officeDocument/2006/relationships/worksheet" Target="/xl/worksheets/sheet8.xml" Id="R508206f5277e4da1" /><Relationship Type="http://schemas.openxmlformats.org/officeDocument/2006/relationships/worksheet" Target="/xl/worksheets/sheet9.xml" Id="Rf3323e5945cc47c4" /><Relationship Type="http://schemas.openxmlformats.org/officeDocument/2006/relationships/worksheet" Target="/xl/worksheets/sheet10.xml" Id="R3bfacfb1231e480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2026-09-17</x:v>
      </x:c>
      <x:c r="C4" s="10" t="n">
        <x:v>7632.53</x:v>
      </x:c>
      <x:c r="D4" s="10" t="n">
        <x:v>7522.77</x:v>
      </x:c>
      <x:c r="E4" s="12" t="n">
        <x:v>109.8</x:v>
      </x:c>
      <x:c r="F4" s="9" t="n">
        <x:v>13</x:v>
      </x:c>
      <x:c r="G4" s="10" t="n">
        <x:v>1797.1</x:v>
      </x:c>
      <x:c r="H4" s="10" t="n">
        <x:v>138.2</x:v>
      </x:c>
      <x:c r="I4" s="10" t="n">
        <x:v>180</x:v>
      </x:c>
    </x:row>
    <x:row r="5">
      <x:c r="A5" s="9" t="str">
        <x:v>中证500</x:v>
      </x:c>
      <x:c r="B5" s="9" t="str">
        <x:v>2026-09-17</x:v>
      </x:c>
      <x:c r="C5" s="10" t="n">
        <x:v>7738.03</x:v>
      </x:c>
      <x:c r="D5" s="10" t="n">
        <x:v>7622.55</x:v>
      </x:c>
      <x:c r="E5" s="12" t="n">
        <x:v>115.5</x:v>
      </x:c>
      <x:c r="F5" s="9" t="n">
        <x:v>13</x:v>
      </x:c>
      <x:c r="G5" s="10" t="n">
        <x:v>1617.6</x:v>
      </x:c>
      <x:c r="H5" s="10" t="n">
        <x:v>124.4</x:v>
      </x:c>
      <x:c r="I5" s="10" t="n">
        <x:v>160</x:v>
      </x:c>
    </x:row>
    <x:row r="6">
      <x:c r="A6" s="9" t="str">
        <x:v>上证指数</x:v>
      </x:c>
      <x:c r="B6" s="9" t="str">
        <x:v>2026-09-17</x:v>
      </x:c>
      <x:c r="C6" s="10" t="n">
        <x:v>3898.84</x:v>
      </x:c>
      <x:c r="D6" s="10" t="n">
        <x:v>3866.89</x:v>
      </x:c>
      <x:c r="E6" s="12" t="n">
        <x:v>32</x:v>
      </x:c>
      <x:c r="F6" s="9" t="n">
        <x:v>13</x:v>
      </x:c>
      <x:c r="G6" s="10" t="n">
        <x:v>465.3</x:v>
      </x:c>
      <x:c r="H6" s="10" t="n">
        <x:v>35.8</x:v>
      </x:c>
      <x:c r="I6" s="10" t="n">
        <x:v>50</x:v>
      </x:c>
    </x:row>
    <x:row r="7">
      <x:c r="A7" s="9" t="str">
        <x:v>IM主力</x:v>
      </x:c>
      <x:c r="B7" s="9" t="str">
        <x:v>2026-09-17</x:v>
      </x:c>
      <x:c r="C7" s="10" t="n">
        <x:v>7648</x:v>
      </x:c>
      <x:c r="D7" s="10" t="n">
        <x:v>7522.2</x:v>
      </x:c>
      <x:c r="E7" s="12" t="n">
        <x:v>125.8</x:v>
      </x:c>
      <x:c r="F7" s="9" t="n">
        <x:v>13</x:v>
      </x:c>
      <x:c r="G7" s="10" t="n">
        <x:v>2014.4</x:v>
      </x:c>
      <x:c r="H7" s="10" t="n">
        <x:v>155</x:v>
      </x:c>
      <x:c r="I7" s="10" t="n">
        <x:v>190</x:v>
      </x:c>
    </x:row>
    <x:row r="8">
      <x:c r="A8" s="9" t="str">
        <x:v>IC主力</x:v>
      </x:c>
      <x:c r="B8" s="9" t="str">
        <x:v>2026-09-17</x:v>
      </x:c>
      <x:c r="C8" s="10" t="n">
        <x:v>7754</x:v>
      </x:c>
      <x:c r="D8" s="10" t="n">
        <x:v>7617.2</x:v>
      </x:c>
      <x:c r="E8" s="12" t="n">
        <x:v>136.8</x:v>
      </x:c>
      <x:c r="F8" s="9" t="n">
        <x:v>13</x:v>
      </x:c>
      <x:c r="G8" s="10" t="n">
        <x:v>1911.2</x:v>
      </x:c>
      <x:c r="H8" s="10" t="n">
        <x:v>147</x:v>
      </x:c>
      <x:c r="I8" s="10" t="n">
        <x:v>150</x:v>
      </x:c>
    </x:row>
    <x:row r="9">
      <x:c r="A9" s="9" t="str">
        <x:v>IF主力</x:v>
      </x:c>
      <x:c r="B9" s="9" t="str">
        <x:v>2026-09-17</x:v>
      </x:c>
      <x:c r="C9" s="10" t="n">
        <x:v>4500.6</x:v>
      </x:c>
      <x:c r="D9" s="10" t="n">
        <x:v>4452.2</x:v>
      </x:c>
      <x:c r="E9" s="12" t="n">
        <x:v>48.4</x:v>
      </x:c>
      <x:c r="F9" s="9" t="n">
        <x:v>13</x:v>
      </x:c>
      <x:c r="G9" s="10" t="n">
        <x:v>697.4</x:v>
      </x:c>
      <x:c r="H9" s="10" t="n">
        <x:v>53.6</x:v>
      </x:c>
      <x:c r="I9" s="10" t="n">
        <x:v>90</x:v>
      </x:c>
    </x:row>
    <x:row r="10">
      <x:c r="A10" s="9" t="str">
        <x:v>IH主力</x:v>
      </x:c>
      <x:c r="B10" s="9" t="str">
        <x:v>2026-09-17</x:v>
      </x:c>
      <x:c r="C10" s="10" t="n">
        <x:v>2872.4</x:v>
      </x:c>
      <x:c r="D10" s="10" t="n">
        <x:v>2838.4</x:v>
      </x:c>
      <x:c r="E10" s="12" t="n">
        <x:v>34</x:v>
      </x:c>
      <x:c r="F10" s="9" t="n">
        <x:v>13</x:v>
      </x:c>
      <x:c r="G10" s="10" t="n">
        <x:v>415</x:v>
      </x:c>
      <x:c r="H10" s="10" t="n">
        <x:v>31.9</x:v>
      </x:c>
      <x:c r="I10" s="10" t="n">
        <x:v>60</x:v>
      </x:c>
    </x:row>
    <x:row r="11">
      <x:c r="A11" s="9" t="str">
        <x:v>碳酸锂2610</x:v>
      </x:c>
      <x:c r="B11" s="9" t="str">
        <x:v>2026-09-17</x:v>
      </x:c>
      <x:c r="C11" s="10" t="n">
        <x:v>133760</x:v>
      </x:c>
      <x:c r="D11" s="10" t="n">
        <x:v>127900</x:v>
      </x:c>
      <x:c r="E11" s="12" t="n">
        <x:v>5860</x:v>
      </x:c>
      <x:c r="F11" s="9" t="n">
        <x:v>13</x:v>
      </x:c>
      <x:c r="G11" s="10" t="n">
        <x:v>73220</x:v>
      </x:c>
      <x:c r="H11" s="10" t="n">
        <x:v>5632.3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9月14日-9月17日</x:v>
      </x:c>
      <x:c r="C7" s="23" t="n">
        <x:v>7363.42</x:v>
      </x:c>
      <x:c r="D7" s="23" t="n">
        <x:v>7632.53</x:v>
      </x:c>
      <x:c r="E7" s="23" t="n">
        <x:v>7329.6</x:v>
      </x:c>
      <x:c r="F7" s="23" t="n">
        <x:v>7548.82</x:v>
      </x:c>
      <x:c r="G7" s="23" t="n">
        <x:f>ROUND(F7-F6,1)</x:f>
        <x:v>121.6</x:v>
      </x:c>
      <x:c r="H7" s="24" t="n">
        <x:f>IFERROR(F7/F6-1,"")</x:f>
        <x:v>0.01636947237466413</x:v>
      </x:c>
      <x:c r="I7" s="26" t="n">
        <x:f>ROUND(D7-E7,1)</x:f>
        <x:v>302.9</x:v>
      </x:c>
      <x:c r="J7" s="22" t="str">
        <x:v>中证1000</x:v>
      </x:c>
      <x:c r="K7" s="22" t="n">
        <x:v>4</x:v>
      </x:c>
    </x:row>
    <x:row r="8">
      <x:c r="A8" s="29" t="str">
        <x:v>合计</x:v>
      </x:c>
      <x:c r="B8" s="28" t="n">
        <x:v>3</x:v>
      </x:c>
      <x:c r="C8" s="28"/>
      <x:c r="D8" s="28"/>
      <x:c r="E8" s="28"/>
      <x:c r="F8" s="28"/>
      <x:c r="G8" s="28"/>
      <x:c r="H8" s="28"/>
      <x:c r="I8" s="30" t="n">
        <x:f>ROUND(SUM(I5:I7),1)</x:f>
        <x:v>1051.4</x:v>
      </x:c>
      <x:c r="J8" s="28"/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32" t="n">
        <x:f>ROUND(IFERROR(AVERAGE(I5:I7),0),1)</x:f>
        <x:v>350.5</x:v>
      </x:c>
      <x:c r="J9" s="28"/>
      <x:c r="K9" s="28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9月14日-9月17日</x:v>
      </x:c>
      <x:c r="C15" s="23" t="n">
        <x:v>7511.04</x:v>
      </x:c>
      <x:c r="D15" s="23" t="n">
        <x:v>7738.03</x:v>
      </x:c>
      <x:c r="E15" s="23" t="n">
        <x:v>7487.46</x:v>
      </x:c>
      <x:c r="F15" s="23" t="n">
        <x:v>7654.98</x:v>
      </x:c>
      <x:c r="G15" s="23" t="n">
        <x:f>ROUND(F15-F14,1)</x:f>
        <x:v>74.4</x:v>
      </x:c>
      <x:c r="H15" s="24" t="n">
        <x:f>IFERROR(F15/F14-1,"")</x:f>
        <x:v>0.009819880905581835</x:v>
      </x:c>
      <x:c r="I15" s="26" t="n">
        <x:f>ROUND(D15-E15,1)</x:f>
        <x:v>250.6</x:v>
      </x:c>
      <x:c r="J15" s="22" t="str">
        <x:v>中证500</x:v>
      </x:c>
      <x:c r="K15" s="22" t="n">
        <x:v>4</x:v>
      </x:c>
    </x:row>
    <x:row r="16">
      <x:c r="A16" s="29" t="str">
        <x:v>合计</x:v>
      </x:c>
      <x:c r="B16" s="28" t="n">
        <x:v>3</x:v>
      </x:c>
      <x:c r="C16" s="28"/>
      <x:c r="D16" s="28"/>
      <x:c r="E16" s="28"/>
      <x:c r="F16" s="28"/>
      <x:c r="G16" s="28"/>
      <x:c r="H16" s="28"/>
      <x:c r="I16" s="30" t="n">
        <x:f>ROUND(SUM(I13:I15),1)</x:f>
        <x:v>974.6</x:v>
      </x:c>
      <x:c r="J16" s="28"/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32" t="n">
        <x:f>ROUND(IFERROR(AVERAGE(I13:I15),0),1)</x:f>
        <x:v>324.9</x:v>
      </x:c>
      <x:c r="J17" s="28"/>
      <x:c r="K17" s="28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9月14日-9月17日</x:v>
      </x:c>
      <x:c r="C23" s="23" t="n">
        <x:v>3867.02</x:v>
      </x:c>
      <x:c r="D23" s="23" t="n">
        <x:v>3898.84</x:v>
      </x:c>
      <x:c r="E23" s="23" t="n">
        <x:v>3842.72</x:v>
      </x:c>
      <x:c r="F23" s="23" t="n">
        <x:v>3875.6</x:v>
      </x:c>
      <x:c r="G23" s="23" t="n">
        <x:f>ROUND(F23-F22,1)</x:f>
        <x:v>-12.5</x:v>
      </x:c>
      <x:c r="H23" s="24" t="n">
        <x:f>IFERROR(F23/F22-1,"")</x:f>
        <x:v>-0.0032175015624558156</x:v>
      </x:c>
      <x:c r="I23" s="26" t="n">
        <x:f>ROUND(D23-E23,1)</x:f>
        <x:v>56.1</x:v>
      </x:c>
      <x:c r="J23" s="22" t="str">
        <x:v>上证指数</x:v>
      </x:c>
      <x:c r="K23" s="22" t="n">
        <x:v>4</x:v>
      </x:c>
    </x:row>
    <x:row r="24">
      <x:c r="A24" s="29" t="str">
        <x:v>合计</x:v>
      </x:c>
      <x:c r="B24" s="28" t="n">
        <x:v>3</x:v>
      </x:c>
      <x:c r="C24" s="28"/>
      <x:c r="D24" s="28"/>
      <x:c r="E24" s="28"/>
      <x:c r="F24" s="28"/>
      <x:c r="G24" s="28"/>
      <x:c r="H24" s="28"/>
      <x:c r="I24" s="30" t="n">
        <x:f>ROUND(SUM(I21:I23),1)</x:f>
        <x:v>242.2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ROUND(IFERROR(AVERAGE(I21:I23),0),1)</x:f>
        <x:v>80.7</x:v>
      </x:c>
      <x:c r="J25" s="28"/>
      <x:c r="K25" s="28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9月14日-9月17日</x:v>
      </x:c>
      <x:c r="C31" s="23" t="n">
        <x:v>7312</x:v>
      </x:c>
      <x:c r="D31" s="23" t="n">
        <x:v>7648</x:v>
      </x:c>
      <x:c r="E31" s="23" t="n">
        <x:v>7283.4</x:v>
      </x:c>
      <x:c r="F31" s="23" t="n">
        <x:v>7559.8</x:v>
      </x:c>
      <x:c r="G31" s="23" t="n">
        <x:f>ROUND(F31-F30,1)</x:f>
        <x:v>144.6</x:v>
      </x:c>
      <x:c r="H31" s="24" t="n">
        <x:f>IFERROR(F31/F30-1,"")</x:f>
        <x:v>0.019500485489265307</x:v>
      </x:c>
      <x:c r="I31" s="26" t="n">
        <x:f>ROUND(D31-E31,1)</x:f>
        <x:v>364.6</x:v>
      </x:c>
      <x:c r="J31" s="22" t="str">
        <x:v>IM2609</x:v>
      </x:c>
      <x:c r="K31" s="22" t="n">
        <x:v>4</x:v>
      </x:c>
    </x:row>
    <x:row r="32">
      <x:c r="A32" s="29" t="str">
        <x:v>合计</x:v>
      </x:c>
      <x:c r="B32" s="28" t="n">
        <x:v>3</x:v>
      </x:c>
      <x:c r="C32" s="28"/>
      <x:c r="D32" s="28"/>
      <x:c r="E32" s="28"/>
      <x:c r="F32" s="28"/>
      <x:c r="G32" s="28"/>
      <x:c r="H32" s="28"/>
      <x:c r="I32" s="30" t="n">
        <x:f>ROUND(SUM(I29:I31),1)</x:f>
        <x:v>1108.8</x:v>
      </x:c>
      <x:c r="J32" s="28"/>
      <x:c r="K32" s="28"/>
    </x:row>
    <x:row r="33">
      <x:c r="A33" s="29" t="str">
        <x:v>均值</x:v>
      </x:c>
      <x:c r="B33" s="28"/>
      <x:c r="C33" s="28"/>
      <x:c r="D33" s="28"/>
      <x:c r="E33" s="28"/>
      <x:c r="F33" s="28"/>
      <x:c r="G33" s="28"/>
      <x:c r="H33" s="28"/>
      <x:c r="I33" s="32" t="n">
        <x:f>ROUND(IFERROR(AVERAGE(I29:I31),0),1)</x:f>
        <x:v>369.6</x:v>
      </x:c>
      <x:c r="J33" s="28"/>
      <x:c r="K33" s="28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9月14日-9月17日</x:v>
      </x:c>
      <x:c r="C39" s="23" t="n">
        <x:v>7482.2</x:v>
      </x:c>
      <x:c r="D39" s="23" t="n">
        <x:v>7754</x:v>
      </x:c>
      <x:c r="E39" s="23" t="n">
        <x:v>7452.2</x:v>
      </x:c>
      <x:c r="F39" s="23" t="n">
        <x:v>7664.6</x:v>
      </x:c>
      <x:c r="G39" s="23" t="n">
        <x:f>ROUND(F39-F38,1)</x:f>
        <x:v>95.6</x:v>
      </x:c>
      <x:c r="H39" s="24" t="n">
        <x:f>IFERROR(F39/F38-1,"")</x:f>
        <x:v>0.01263046637600751</x:v>
      </x:c>
      <x:c r="I39" s="26" t="n">
        <x:f>ROUND(D39-E39,1)</x:f>
        <x:v>301.8</x:v>
      </x:c>
      <x:c r="J39" s="22" t="str">
        <x:v>IC2609</x:v>
      </x:c>
      <x:c r="K39" s="22" t="n">
        <x:v>4</x:v>
      </x:c>
    </x:row>
    <x:row r="40">
      <x:c r="A40" s="29" t="str">
        <x:v>合计</x:v>
      </x:c>
      <x:c r="B40" s="28" t="n">
        <x:v>3</x:v>
      </x:c>
      <x:c r="C40" s="28"/>
      <x:c r="D40" s="28"/>
      <x:c r="E40" s="28"/>
      <x:c r="F40" s="28"/>
      <x:c r="G40" s="28"/>
      <x:c r="H40" s="28"/>
      <x:c r="I40" s="30" t="n">
        <x:f>ROUND(SUM(I37:I39),1)</x:f>
        <x:v>1035.2</x:v>
      </x:c>
      <x:c r="J40" s="28"/>
      <x:c r="K40" s="28"/>
    </x:row>
    <x:row r="41">
      <x:c r="A41" s="29" t="str">
        <x:v>均值</x:v>
      </x:c>
      <x:c r="B41" s="28"/>
      <x:c r="C41" s="28"/>
      <x:c r="D41" s="28"/>
      <x:c r="E41" s="28"/>
      <x:c r="F41" s="28"/>
      <x:c r="G41" s="28"/>
      <x:c r="H41" s="28"/>
      <x:c r="I41" s="32" t="n">
        <x:f>ROUND(IFERROR(AVERAGE(I37:I39),0),1)</x:f>
        <x:v>345.1</x:v>
      </x:c>
      <x:c r="J41" s="28"/>
      <x:c r="K41" s="28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9月14日-9月17日</x:v>
      </x:c>
      <x:c r="C47" s="23" t="n">
        <x:v>4468</x:v>
      </x:c>
      <x:c r="D47" s="23" t="n">
        <x:v>4500.6</x:v>
      </x:c>
      <x:c r="E47" s="23" t="n">
        <x:v>4412.2</x:v>
      </x:c>
      <x:c r="F47" s="23" t="n">
        <x:v>4460.2</x:v>
      </x:c>
      <x:c r="G47" s="23" t="n">
        <x:f>ROUND(F47-F46,1)</x:f>
        <x:v>-43.2</x:v>
      </x:c>
      <x:c r="H47" s="24" t="n">
        <x:f>IFERROR(F47/F46-1,"")</x:f>
        <x:v>-0.0095927521428254</x:v>
      </x:c>
      <x:c r="I47" s="23" t="n">
        <x:f>ROUND(D47-E47,1)</x:f>
        <x:v>88.4</x:v>
      </x:c>
      <x:c r="J47" s="22" t="str">
        <x:v>IF2609</x:v>
      </x:c>
      <x:c r="K47" s="22" t="n">
        <x:v>4</x:v>
      </x:c>
    </x:row>
    <x:row r="48">
      <x:c r="A48" s="29" t="str">
        <x:v>合计</x:v>
      </x:c>
      <x:c r="B48" s="28" t="n">
        <x:v>3</x:v>
      </x:c>
      <x:c r="C48" s="28"/>
      <x:c r="D48" s="28"/>
      <x:c r="E48" s="28"/>
      <x:c r="F48" s="28"/>
      <x:c r="G48" s="28"/>
      <x:c r="H48" s="28"/>
      <x:c r="I48" s="30" t="n">
        <x:f>ROUND(SUM(I45:I47),1)</x:f>
        <x:v>341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ROUND(IFERROR(AVERAGE(I45:I47),0),1)</x:f>
        <x:v>113.7</x:v>
      </x:c>
      <x:c r="J49" s="28"/>
      <x:c r="K49" s="28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9月14日-9月17日</x:v>
      </x:c>
      <x:c r="C55" s="23" t="n">
        <x:v>2849.2</x:v>
      </x:c>
      <x:c r="D55" s="23" t="n">
        <x:v>2873.2</x:v>
      </x:c>
      <x:c r="E55" s="23" t="n">
        <x:v>2829.4</x:v>
      </x:c>
      <x:c r="F55" s="23" t="n">
        <x:v>2845.8</x:v>
      </x:c>
      <x:c r="G55" s="23" t="n">
        <x:f>ROUND(F55-F54,1)</x:f>
        <x:v>-21.2</x:v>
      </x:c>
      <x:c r="H55" s="24" t="n">
        <x:f>IFERROR(F55/F54-1,"")</x:f>
        <x:v>-0.007394489012905403</x:v>
      </x:c>
      <x:c r="I55" s="23" t="n">
        <x:f>ROUND(D55-E55,1)</x:f>
        <x:v>43.8</x:v>
      </x:c>
      <x:c r="J55" s="22" t="str">
        <x:v>IH2609</x:v>
      </x:c>
      <x:c r="K55" s="22" t="n">
        <x:v>4</x:v>
      </x:c>
    </x:row>
    <x:row r="56">
      <x:c r="A56" s="29" t="str">
        <x:v>合计</x:v>
      </x:c>
      <x:c r="B56" s="28" t="n">
        <x:v>3</x:v>
      </x:c>
      <x:c r="C56" s="28"/>
      <x:c r="D56" s="28"/>
      <x:c r="E56" s="28"/>
      <x:c r="F56" s="28"/>
      <x:c r="G56" s="28"/>
      <x:c r="H56" s="28"/>
      <x:c r="I56" s="30" t="n">
        <x:f>ROUND(SUM(I53:I55),1)</x:f>
        <x:v>206.4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ROUND(IFERROR(AVERAGE(I53:I55),0),1)</x:f>
        <x:v>68.8</x:v>
      </x:c>
      <x:c r="J57" s="28"/>
      <x:c r="K57" s="28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159280</x:v>
      </x:c>
      <x:c r="D61" s="23" t="n">
        <x:v>161280</x:v>
      </x:c>
      <x:c r="E61" s="23" t="n">
        <x:v>140220</x:v>
      </x:c>
      <x:c r="F61" s="23" t="n">
        <x:v>142000</x:v>
      </x:c>
      <x:c r="G61" s="23"/>
      <x:c r="H61" s="24"/>
      <x:c r="I61" s="26" t="n">
        <x:f>ROUND(D61-E61,1)</x:f>
        <x:v>21060</x:v>
      </x:c>
      <x:c r="J61" s="22" t="str">
        <x:v>LC2610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141000</x:v>
      </x:c>
      <x:c r="D62" s="23" t="n">
        <x:v>143540</x:v>
      </x:c>
      <x:c r="E62" s="23" t="n">
        <x:v>127120</x:v>
      </x:c>
      <x:c r="F62" s="23" t="n">
        <x:v>134340</x:v>
      </x:c>
      <x:c r="G62" s="34" t="n">
        <x:f>ROUND(F62-F61,1)</x:f>
        <x:v>-7660</x:v>
      </x:c>
      <x:c r="H62" s="24" t="n">
        <x:f>IFERROR(F62/F61-1,"")</x:f>
        <x:v>-0.05394366197183098</x:v>
      </x:c>
      <x:c r="I62" s="26" t="n">
        <x:f>ROUND(D62-E62,1)</x:f>
        <x:v>16420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9月14日-9月17日</x:v>
      </x:c>
      <x:c r="C63" s="23" t="n">
        <x:v>133600</x:v>
      </x:c>
      <x:c r="D63" s="23" t="n">
        <x:v>134840</x:v>
      </x:c>
      <x:c r="E63" s="23" t="n">
        <x:v>126200</x:v>
      </x:c>
      <x:c r="F63" s="23" t="n">
        <x:v>132280</x:v>
      </x:c>
      <x:c r="G63" s="34" t="n">
        <x:f>ROUND(F63-F62,1)</x:f>
        <x:v>-2060</x:v>
      </x:c>
      <x:c r="H63" s="24" t="n">
        <x:f>IFERROR(F63/F62-1,"")</x:f>
        <x:v>-0.015334226589251099</x:v>
      </x:c>
      <x:c r="I63" s="26" t="n">
        <x:f>ROUND(D63-E63,1)</x:f>
        <x:v>8640</x:v>
      </x:c>
      <x:c r="J63" s="22" t="str">
        <x:v>LC2610</x:v>
      </x:c>
      <x:c r="K63" s="22" t="n">
        <x:v>4</x:v>
      </x:c>
    </x:row>
    <x:row r="64">
      <x:c r="A64" s="29" t="str">
        <x:v>合计</x:v>
      </x:c>
      <x:c r="B64" s="28" t="n">
        <x:v>3</x:v>
      </x:c>
      <x:c r="C64" s="28"/>
      <x:c r="D64" s="28"/>
      <x:c r="E64" s="28"/>
      <x:c r="F64" s="28"/>
      <x:c r="G64" s="28"/>
      <x:c r="H64" s="28"/>
      <x:c r="I64" s="30" t="n">
        <x:f>ROUND(SUM(I61:I63),1)</x:f>
        <x:v>46120</x:v>
      </x:c>
      <x:c r="J64" s="28"/>
      <x:c r="K64" s="28"/>
    </x:row>
    <x:row r="65">
      <x:c r="A65" s="29" t="str">
        <x:v>均值</x:v>
      </x:c>
      <x:c r="B65" s="28"/>
      <x:c r="C65" s="28"/>
      <x:c r="D65" s="28"/>
      <x:c r="E65" s="28"/>
      <x:c r="F65" s="28"/>
      <x:c r="G65" s="28"/>
      <x:c r="H65" s="28"/>
      <x:c r="I65" s="32" t="n">
        <x:f>ROUND(IFERROR(AVERAGE(I61:I63),0),1)</x:f>
        <x:v>15373.3</x:v>
      </x:c>
      <x:c r="J65" s="28"/>
      <x:c r="K65" s="28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34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1797.1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138.2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1617.5999999999997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124.4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465.29999999999995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35.8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34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2014.3999999999999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155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1911.1999999999998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147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697.3999999999999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53.6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415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31.9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34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34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34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34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34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34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34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34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34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34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34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34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34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73220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5632.3</x:v>
      </x:c>
      <x:c r="K20" s="28"/>
    </x:row>
  </x:sheetData>
  <x:mergeCells>
    <x:mergeCell ref="A1:K1"/>
  </x:mergeCells>
  <x:pageMargins left="0.7" right="0.7" top="0.75" bottom="0.75" header="0.3" footer="0.3"/>
</x:worksheet>
</file>