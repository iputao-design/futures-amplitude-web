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685aee019541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d2889df289e4ee6"/>
    <x:sheet xmlns:r="http://schemas.openxmlformats.org/officeDocument/2006/relationships" name="周振幅统计" sheetId="2" r:id="Ra05660a161d049da"/>
    <x:sheet xmlns:r="http://schemas.openxmlformats.org/officeDocument/2006/relationships" name="中证1000" sheetId="3" r:id="R5c528b319b864486"/>
    <x:sheet xmlns:r="http://schemas.openxmlformats.org/officeDocument/2006/relationships" name="中证500" sheetId="4" r:id="R5235475ce1774ee4"/>
    <x:sheet xmlns:r="http://schemas.openxmlformats.org/officeDocument/2006/relationships" name="上证指数" sheetId="5" r:id="R711ebb90def1424a"/>
    <x:sheet xmlns:r="http://schemas.openxmlformats.org/officeDocument/2006/relationships" name="IM主力" sheetId="6" r:id="Rae8ebbdf65194b63"/>
    <x:sheet xmlns:r="http://schemas.openxmlformats.org/officeDocument/2006/relationships" name="IC主力" sheetId="7" r:id="R4e147531b7f8442f"/>
    <x:sheet xmlns:r="http://schemas.openxmlformats.org/officeDocument/2006/relationships" name="IF主力" sheetId="8" r:id="Rb9f85e892ee14271"/>
    <x:sheet xmlns:r="http://schemas.openxmlformats.org/officeDocument/2006/relationships" name="IH主力" sheetId="9" r:id="R2105fbcfd5a9426f"/>
    <x:sheet xmlns:r="http://schemas.openxmlformats.org/officeDocument/2006/relationships" name="碳酸锂2609" sheetId="10" r:id="R610f1ffae85947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71fd13cc96465d" /><Relationship Type="http://schemas.openxmlformats.org/officeDocument/2006/relationships/theme" Target="/xl/theme/theme1.xml" Id="Rec645a53bfe041e9" /><Relationship Type="http://schemas.openxmlformats.org/officeDocument/2006/relationships/sharedStrings" Target="/xl/sharedStrings.xml" Id="R7b19625ea7d94fd2" /><Relationship Type="http://schemas.openxmlformats.org/officeDocument/2006/relationships/worksheet" Target="/xl/worksheets/sheet1.xml" Id="R1d2889df289e4ee6" /><Relationship Type="http://schemas.openxmlformats.org/officeDocument/2006/relationships/worksheet" Target="/xl/worksheets/sheet2.xml" Id="Ra05660a161d049da" /><Relationship Type="http://schemas.openxmlformats.org/officeDocument/2006/relationships/worksheet" Target="/xl/worksheets/sheet3.xml" Id="R5c528b319b864486" /><Relationship Type="http://schemas.openxmlformats.org/officeDocument/2006/relationships/worksheet" Target="/xl/worksheets/sheet4.xml" Id="R5235475ce1774ee4" /><Relationship Type="http://schemas.openxmlformats.org/officeDocument/2006/relationships/worksheet" Target="/xl/worksheets/sheet5.xml" Id="R711ebb90def1424a" /><Relationship Type="http://schemas.openxmlformats.org/officeDocument/2006/relationships/worksheet" Target="/xl/worksheets/sheet6.xml" Id="Rae8ebbdf65194b63" /><Relationship Type="http://schemas.openxmlformats.org/officeDocument/2006/relationships/worksheet" Target="/xl/worksheets/sheet7.xml" Id="R4e147531b7f8442f" /><Relationship Type="http://schemas.openxmlformats.org/officeDocument/2006/relationships/worksheet" Target="/xl/worksheets/sheet8.xml" Id="Rb9f85e892ee14271" /><Relationship Type="http://schemas.openxmlformats.org/officeDocument/2006/relationships/worksheet" Target="/xl/worksheets/sheet9.xml" Id="R2105fbcfd5a9426f" /><Relationship Type="http://schemas.openxmlformats.org/officeDocument/2006/relationships/worksheet" Target="/xl/worksheets/sheet10.xml" Id="R610f1ffae85947a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2026-08-07</x:v>
      </x:c>
      <x:c r="C4" s="10" t="n">
        <x:v>7685.57</x:v>
      </x:c>
      <x:c r="D4" s="10" t="n">
        <x:v>7448.46</x:v>
      </x:c>
      <x:c r="E4" s="12" t="n">
        <x:v>237.1</x:v>
      </x:c>
      <x:c r="F4" s="9" t="n">
        <x:v>5</x:v>
      </x:c>
      <x:c r="G4" s="10" t="n">
        <x:v>917.5</x:v>
      </x:c>
      <x:c r="H4" s="10" t="n">
        <x:v>183.5</x:v>
      </x:c>
      <x:c r="I4" s="10" t="n">
        <x:v>180</x:v>
      </x:c>
    </x:row>
    <x:row r="5">
      <x:c r="A5" s="9" t="str">
        <x:v>中证500</x:v>
      </x:c>
      <x:c r="B5" s="9" t="str">
        <x:v>2026-08-07</x:v>
      </x:c>
      <x:c r="C5" s="10" t="n">
        <x:v>7983.17</x:v>
      </x:c>
      <x:c r="D5" s="10" t="n">
        <x:v>7763.53</x:v>
      </x:c>
      <x:c r="E5" s="12" t="n">
        <x:v>219.6</x:v>
      </x:c>
      <x:c r="F5" s="9" t="n">
        <x:v>5</x:v>
      </x:c>
      <x:c r="G5" s="10" t="n">
        <x:v>940.1</x:v>
      </x:c>
      <x:c r="H5" s="10" t="n">
        <x:v>188</x:v>
      </x:c>
      <x:c r="I5" s="10" t="n">
        <x:v>160</x:v>
      </x:c>
    </x:row>
    <x:row r="6">
      <x:c r="A6" s="9" t="str">
        <x:v>上证指数</x:v>
      </x:c>
      <x:c r="B6" s="9" t="str">
        <x:v>2026-08-07</x:v>
      </x:c>
      <x:c r="C6" s="10" t="n">
        <x:v>3940.93</x:v>
      </x:c>
      <x:c r="D6" s="10" t="n">
        <x:v>3885.62</x:v>
      </x:c>
      <x:c r="E6" s="12" t="n">
        <x:v>55.3</x:v>
      </x:c>
      <x:c r="F6" s="9" t="n">
        <x:v>5</x:v>
      </x:c>
      <x:c r="G6" s="10" t="n">
        <x:v>224.8</x:v>
      </x:c>
      <x:c r="H6" s="10" t="n">
        <x:v>45</x:v>
      </x:c>
      <x:c r="I6" s="10" t="n">
        <x:v>50</x:v>
      </x:c>
    </x:row>
    <x:row r="7">
      <x:c r="A7" s="9" t="str">
        <x:v>IM主力</x:v>
      </x:c>
      <x:c r="B7" s="9" t="str">
        <x:v>2026-08-07</x:v>
      </x:c>
      <x:c r="C7" s="10" t="n">
        <x:v>7594.2</x:v>
      </x:c>
      <x:c r="D7" s="10" t="n">
        <x:v>7369</x:v>
      </x:c>
      <x:c r="E7" s="12" t="n">
        <x:v>225.2</x:v>
      </x:c>
      <x:c r="F7" s="9" t="n">
        <x:v>5</x:v>
      </x:c>
      <x:c r="G7" s="10" t="n">
        <x:v>914.8</x:v>
      </x:c>
      <x:c r="H7" s="10" t="n">
        <x:v>183</x:v>
      </x:c>
      <x:c r="I7" s="10" t="n">
        <x:v>190</x:v>
      </x:c>
    </x:row>
    <x:row r="8">
      <x:c r="A8" s="9" t="str">
        <x:v>IC主力</x:v>
      </x:c>
      <x:c r="B8" s="9" t="str">
        <x:v>2026-08-06</x:v>
      </x:c>
      <x:c r="C8" s="10" t="n">
        <x:v>7768</x:v>
      </x:c>
      <x:c r="D8" s="10" t="n">
        <x:v>7640</x:v>
      </x:c>
      <x:c r="E8" s="12" t="n">
        <x:v>128</x:v>
      </x:c>
      <x:c r="F8" s="9" t="n">
        <x:v>4</x:v>
      </x:c>
      <x:c r="G8" s="10" t="n">
        <x:v>713.8</x:v>
      </x:c>
      <x:c r="H8" s="10" t="n">
        <x:v>178.5</x:v>
      </x:c>
      <x:c r="I8" s="10" t="n">
        <x:v>150</x:v>
      </x:c>
    </x:row>
    <x:row r="9">
      <x:c r="A9" s="9" t="str">
        <x:v>IF主力</x:v>
      </x:c>
      <x:c r="B9" s="9" t="str">
        <x:v>2026-08-07</x:v>
      </x:c>
      <x:c r="C9" s="10" t="n">
        <x:v>4656.2</x:v>
      </x:c>
      <x:c r="D9" s="10" t="n">
        <x:v>4604.6</x:v>
      </x:c>
      <x:c r="E9" s="12" t="n">
        <x:v>51.6</x:v>
      </x:c>
      <x:c r="F9" s="9" t="n">
        <x:v>5</x:v>
      </x:c>
      <x:c r="G9" s="10" t="n">
        <x:v>328.4</x:v>
      </x:c>
      <x:c r="H9" s="10" t="n">
        <x:v>65.7</x:v>
      </x:c>
      <x:c r="I9" s="10" t="n">
        <x:v>90</x:v>
      </x:c>
    </x:row>
    <x:row r="10">
      <x:c r="A10" s="9" t="str">
        <x:v>IH主力</x:v>
      </x:c>
      <x:c r="B10" s="9" t="str">
        <x:v>2026-08-07</x:v>
      </x:c>
      <x:c r="C10" s="10" t="n">
        <x:v>2930.6</x:v>
      </x:c>
      <x:c r="D10" s="10" t="n">
        <x:v>2884</x:v>
      </x:c>
      <x:c r="E10" s="12" t="n">
        <x:v>46.6</x:v>
      </x:c>
      <x:c r="F10" s="9" t="n">
        <x:v>5</x:v>
      </x:c>
      <x:c r="G10" s="10" t="n">
        <x:v>186.8</x:v>
      </x:c>
      <x:c r="H10" s="10" t="n">
        <x:v>37.4</x:v>
      </x:c>
      <x:c r="I10" s="10" t="n">
        <x:v>60</x:v>
      </x:c>
    </x:row>
    <x:row r="11">
      <x:c r="A11" s="9" t="str">
        <x:v>碳酸锂2609</x:v>
      </x:c>
      <x:c r="B11" s="9" t="str">
        <x:v>2026-08-07</x:v>
      </x:c>
      <x:c r="C11" s="10" t="n">
        <x:v>144800</x:v>
      </x:c>
      <x:c r="D11" s="10" t="n">
        <x:v>139600</x:v>
      </x:c>
      <x:c r="E11" s="12" t="n">
        <x:v>5200</x:v>
      </x:c>
      <x:c r="F11" s="9" t="n">
        <x:v>5</x:v>
      </x:c>
      <x:c r="G11" s="10" t="n">
        <x:v>25100</x:v>
      </x:c>
      <x:c r="H11" s="10" t="n">
        <x:v>5020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2026-08-07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642.7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642.7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8月3日-8月7日</x:v>
      </x:c>
      <x:c r="C11" s="23" t="n">
        <x:v>7457.12</x:v>
      </x:c>
      <x:c r="D11" s="23" t="n">
        <x:v>7983.17</x:v>
      </x:c>
      <x:c r="E11" s="23" t="n">
        <x:v>7397.94</x:v>
      </x:c>
      <x:c r="F11" s="23" t="n">
        <x:v>7980.12</x:v>
      </x:c>
      <x:c r="G11" s="23"/>
      <x:c r="H11" s="24"/>
      <x:c r="I11" s="26" t="n">
        <x:f>ROUND(D11-E11,1)</x:f>
        <x:v>585.2</x:v>
      </x:c>
      <x:c r="J11" s="22" t="str">
        <x:v>中证500</x:v>
      </x:c>
      <x:c r="K11" s="22" t="n">
        <x:v>5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585.2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585.2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8月3日-8月7日</x:v>
      </x:c>
      <x:c r="C17" s="23" t="n">
        <x:v>3812.61</x:v>
      </x:c>
      <x:c r="D17" s="23" t="n">
        <x:v>3940.93</x:v>
      </x:c>
      <x:c r="E17" s="23" t="n">
        <x:v>3797.64</x:v>
      </x:c>
      <x:c r="F17" s="23" t="n">
        <x:v>3940.04</x:v>
      </x:c>
      <x:c r="G17" s="23"/>
      <x:c r="H17" s="24"/>
      <x:c r="I17" s="26" t="n">
        <x:f>ROUND(D17-E17,1)</x:f>
        <x:v>143.3</x:v>
      </x:c>
      <x:c r="J17" s="22" t="str">
        <x:v>上证指数</x:v>
      </x:c>
      <x:c r="K17" s="22" t="n">
        <x:v>5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143.3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143.3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8月3日-8月7日</x:v>
      </x:c>
      <x:c r="C23" s="23" t="n">
        <x:v>7000</x:v>
      </x:c>
      <x:c r="D23" s="23" t="n">
        <x:v>7594.2</x:v>
      </x:c>
      <x:c r="E23" s="23" t="n">
        <x:v>6976</x:v>
      </x:c>
      <x:c r="F23" s="23" t="n">
        <x:v>7590.6</x:v>
      </x:c>
      <x:c r="G23" s="23"/>
      <x:c r="H23" s="24"/>
      <x:c r="I23" s="26" t="n">
        <x:f>ROUND(D23-E23,1)</x:f>
        <x:v>618.2</x:v>
      </x:c>
      <x:c r="J23" s="22" t="str">
        <x:v>IM2609</x:v>
      </x:c>
      <x:c r="K23" s="22" t="n">
        <x:v>5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618.2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618.2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8月3日-8月6日</x:v>
      </x:c>
      <x:c r="C29" s="23" t="n">
        <x:v>7391</x:v>
      </x:c>
      <x:c r="D29" s="23" t="n">
        <x:v>7775.6</x:v>
      </x:c>
      <x:c r="E29" s="23" t="n">
        <x:v>7335</x:v>
      </x:c>
      <x:c r="F29" s="23" t="n">
        <x:v>7730</x:v>
      </x:c>
      <x:c r="G29" s="23"/>
      <x:c r="H29" s="24"/>
      <x:c r="I29" s="26" t="n">
        <x:f>ROUND(D29-E29,1)</x:f>
        <x:v>440.6</x:v>
      </x:c>
      <x:c r="J29" s="22" t="str">
        <x:v>IC2609</x:v>
      </x:c>
      <x:c r="K29" s="22" t="n">
        <x:v>4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440.6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440.6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8月3日-8月7日</x:v>
      </x:c>
      <x:c r="C35" s="23" t="n">
        <x:v>4526.4</x:v>
      </x:c>
      <x:c r="D35" s="23" t="n">
        <x:v>4656.2</x:v>
      </x:c>
      <x:c r="E35" s="23" t="n">
        <x:v>4494.2</x:v>
      </x:c>
      <x:c r="F35" s="23" t="n">
        <x:v>4645.6</x:v>
      </x:c>
      <x:c r="G35" s="23"/>
      <x:c r="H35" s="24"/>
      <x:c r="I35" s="26" t="n">
        <x:f>ROUND(D35-E35,1)</x:f>
        <x:v>162</x:v>
      </x:c>
      <x:c r="J35" s="22" t="str">
        <x:v>IF2609</x:v>
      </x:c>
      <x:c r="K35" s="22" t="n">
        <x:v>5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162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162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8月3日-8月7日</x:v>
      </x:c>
      <x:c r="C41" s="23" t="n">
        <x:v>2882.4</x:v>
      </x:c>
      <x:c r="D41" s="23" t="n">
        <x:v>2930.6</x:v>
      </x:c>
      <x:c r="E41" s="23" t="n">
        <x:v>2845.8</x:v>
      </x:c>
      <x:c r="F41" s="23" t="n">
        <x:v>2930</x:v>
      </x:c>
      <x:c r="G41" s="23"/>
      <x:c r="H41" s="24"/>
      <x:c r="I41" s="26" t="n">
        <x:f>ROUND(D41-E41,1)</x:f>
        <x:v>84.8</x:v>
      </x:c>
      <x:c r="J41" s="22" t="str">
        <x:v>IH2609</x:v>
      </x:c>
      <x:c r="K41" s="22" t="n">
        <x:v>5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84.8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84.8</x:v>
      </x:c>
      <x:c r="J43" s="28"/>
      <x:c r="K43" s="28"/>
    </x:row>
    <x:row r="45">
      <x:c r="A45" s="17" t="str">
        <x:v>碳酸锂2609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8月3日-8月7日</x:v>
      </x:c>
      <x:c r="C47" s="23" t="n">
        <x:v>137500</x:v>
      </x:c>
      <x:c r="D47" s="23" t="n">
        <x:v>144800</x:v>
      </x:c>
      <x:c r="E47" s="23" t="n">
        <x:v>135560</x:v>
      </x:c>
      <x:c r="F47" s="23" t="n">
        <x:v>140000</x:v>
      </x:c>
      <x:c r="G47" s="23"/>
      <x:c r="H47" s="24"/>
      <x:c r="I47" s="26" t="n">
        <x:f>ROUND(D47-E47,1)</x:f>
        <x:v>9240</x:v>
      </x:c>
      <x:c r="J47" s="22" t="str">
        <x:v>LC2609</x:v>
      </x:c>
      <x:c r="K47" s="22" t="n">
        <x:v>5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9240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9240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37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37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917.5000000000001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183.5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37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37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37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940.1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188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224.8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45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37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37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914.8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183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37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37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10">
      <x:c r="A10" s="29" t="str">
        <x:v>合计</x:v>
      </x:c>
      <x:c r="B10" s="28" t="n">
        <x:v>4</x:v>
      </x:c>
      <x:c r="C10" s="28"/>
      <x:c r="D10" s="28"/>
      <x:c r="E10" s="28"/>
      <x:c r="F10" s="28"/>
      <x:c r="G10" s="28"/>
      <x:c r="H10" s="28"/>
      <x:c r="I10" s="28"/>
      <x:c r="J10" s="30" t="n">
        <x:f>SUM(J4:J7)</x:f>
        <x:v>713.8</x:v>
      </x:c>
      <x:c r="K10" s="28"/>
    </x:row>
    <x:row r="11">
      <x:c r="A11" s="29" t="str">
        <x:v>均值</x:v>
      </x:c>
      <x:c r="B11" s="28"/>
      <x:c r="C11" s="28"/>
      <x:c r="D11" s="28"/>
      <x:c r="E11" s="28"/>
      <x:c r="F11" s="28"/>
      <x:c r="G11" s="28"/>
      <x:c r="H11" s="28"/>
      <x:c r="I11" s="28"/>
      <x:c r="J11" s="32" t="n">
        <x:f>ROUND(IFERROR(AVERAGE(J4:J7),0),1)</x:f>
        <x:v>178.5</x:v>
      </x:c>
      <x:c r="K11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328.40000000000003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65.7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186.79999999999998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37.4</x:v>
      </x:c>
      <x:c r="K12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37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37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37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37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37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11">
      <x:c r="A11" s="29" t="str">
        <x:v>合计</x:v>
      </x:c>
      <x:c r="B11" s="28" t="n">
        <x:v>5</x:v>
      </x:c>
      <x:c r="C11" s="28"/>
      <x:c r="D11" s="28"/>
      <x:c r="E11" s="28"/>
      <x:c r="F11" s="28"/>
      <x:c r="G11" s="28"/>
      <x:c r="H11" s="28"/>
      <x:c r="I11" s="28"/>
      <x:c r="J11" s="30" t="n">
        <x:f>SUM(J4:J8)</x:f>
        <x:v>25100</x:v>
      </x:c>
      <x:c r="K11" s="28"/>
    </x:row>
    <x:row r="12">
      <x:c r="A12" s="29" t="str">
        <x:v>均值</x:v>
      </x:c>
      <x:c r="B12" s="28"/>
      <x:c r="C12" s="28"/>
      <x:c r="D12" s="28"/>
      <x:c r="E12" s="28"/>
      <x:c r="F12" s="28"/>
      <x:c r="G12" s="28"/>
      <x:c r="H12" s="28"/>
      <x:c r="I12" s="28"/>
      <x:c r="J12" s="32" t="n">
        <x:f>ROUND(IFERROR(AVERAGE(J4:J8),0),1)</x:f>
        <x:v>5020</x:v>
      </x:c>
      <x:c r="K12" s="28"/>
    </x:row>
  </x:sheetData>
  <x:mergeCells>
    <x:mergeCell ref="A1:K1"/>
  </x:mergeCells>
  <x:pageMargins left="0.7" right="0.7" top="0.75" bottom="0.75" header="0.3" footer="0.3"/>
</x:worksheet>
</file>