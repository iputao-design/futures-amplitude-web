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6e7791991fa466c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汇总" sheetId="1" r:id="Rb76d4c0392c04dc9"/>
    <x:sheet xmlns:r="http://schemas.openxmlformats.org/officeDocument/2006/relationships" name="周振幅统计" sheetId="2" r:id="R08e28ae3c6fb4a50"/>
    <x:sheet xmlns:r="http://schemas.openxmlformats.org/officeDocument/2006/relationships" name="中证1000" sheetId="3" r:id="R04779d4a50e84a9c"/>
    <x:sheet xmlns:r="http://schemas.openxmlformats.org/officeDocument/2006/relationships" name="中证500" sheetId="4" r:id="R18f2e8da11f24c66"/>
    <x:sheet xmlns:r="http://schemas.openxmlformats.org/officeDocument/2006/relationships" name="上证指数" sheetId="5" r:id="Rc7aaa2ef17f84940"/>
    <x:sheet xmlns:r="http://schemas.openxmlformats.org/officeDocument/2006/relationships" name="IM主力" sheetId="6" r:id="R2bf40d6f6520433f"/>
    <x:sheet xmlns:r="http://schemas.openxmlformats.org/officeDocument/2006/relationships" name="IC主力" sheetId="7" r:id="R1d589fb80e244d16"/>
    <x:sheet xmlns:r="http://schemas.openxmlformats.org/officeDocument/2006/relationships" name="IF主力" sheetId="8" r:id="Rabfffc7e0d494d59"/>
    <x:sheet xmlns:r="http://schemas.openxmlformats.org/officeDocument/2006/relationships" name="IH主力" sheetId="9" r:id="R24509e4f66ee485d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General"/>
    <x:numFmt numFmtId="201" formatCode="0.0%"/>
  </x:numFmts>
  <x:fonts count="8">
    <x:font>
      <x:sz val="11"/>
      <x:name val="Carlito"/>
    </x:font>
    <x:font>
      <x:b/>
      <x:sz val="18"/>
      <x:color rgb="FF7030A0"/>
      <x:name val="Carlito"/>
    </x:font>
    <x:font>
      <x:b/>
      <x:sz val="11"/>
      <x:name val="Carlito"/>
    </x:font>
    <x:font>
      <x:b/>
      <x:sz val="11"/>
      <x:color rgb="FFB91C1C"/>
      <x:name val="Carlito"/>
    </x:font>
    <x:font>
      <x:b/>
      <x:sz val="14"/>
      <x:color rgb="FF7030A0"/>
      <x:name val="Carlito"/>
    </x:font>
    <x:font>
      <x:b/>
      <x:sz val="11"/>
      <x:color rgb="FF111827"/>
      <x:name val="Carlito"/>
    </x:font>
    <x:font>
      <x:sz val="11"/>
      <x:color rgb="FF1F2937"/>
      <x:name val="Carlito"/>
    </x:font>
    <x:font>
      <x:b/>
      <x:sz val="11"/>
      <x:color rgb="FFE11D48"/>
      <x:name val="Carlito"/>
    </x:font>
  </x:fonts>
  <x:fills count="6">
    <x:fill>
      <x:patternFill patternType="none"/>
    </x:fill>
    <x:fill>
      <x:patternFill patternType="gray125"/>
    </x:fill>
    <x:fill>
      <x:patternFill patternType="solid">
        <x:fgColor rgb="FFFFF2CC"/>
      </x:patternFill>
    </x:fill>
    <x:fill>
      <x:patternFill patternType="solid">
        <x:fgColor rgb="FFF3F4F6"/>
      </x:patternFill>
    </x:fill>
    <x:fill>
      <x:patternFill patternType="solid">
        <x:fgColor rgb="FFFEF9C3"/>
      </x:patternFill>
    </x:fill>
    <x:fill>
      <x:patternFill patternType="solid">
        <x:fgColor rgb="FFFFFF00"/>
      </x:patternFill>
    </x:fill>
  </x:fills>
  <x:borders count="3">
    <x:border/>
    <x:border>
      <x:left style="thin">
        <x:color rgb="FFD9D9D9"/>
      </x:left>
      <x:right style="thin">
        <x:color rgb="FFD9D9D9"/>
      </x:right>
      <x:top style="thin">
        <x:color rgb="FFD9D9D9"/>
      </x:top>
      <x:bottom style="thin">
        <x:color rgb="FFD9D9D9"/>
      </x:bottom>
    </x:border>
    <x:border>
      <x:left style="thin">
        <x:color rgb="FFE5E7EB"/>
      </x:left>
      <x:right style="thin">
        <x:color rgb="FFE5E7EB"/>
      </x:right>
      <x:top style="thin">
        <x:color rgb="FFE5E7EB"/>
      </x:top>
      <x:bottom style="thin">
        <x:color rgb="FFE5E7EB"/>
      </x:bottom>
    </x:border>
  </x:borders>
  <x:cellStyleXfs count="1">
    <x:xf numFmtId="0" fontId="0" fillId="0" borderId="0"/>
  </x:cellStyleXfs>
  <x:cellXfs count="35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1" xfId="0" applyNumberFormat="1" applyFont="1" applyFill="1" applyBorder="1"/>
    <x:xf numFmtId="0" fontId="0" fillId="0" borderId="2" xfId="0" applyNumberFormat="1" applyFont="1" applyFill="1" applyBorder="1"/>
    <x:xf numFmtId="200" fontId="0" fillId="0" borderId="2" xfId="0" applyNumberFormat="1" applyFont="1" applyFill="1" applyBorder="1"/>
    <x:xf numFmtId="0" fontId="0" fillId="0" borderId="2" xfId="0" applyNumberFormat="1" applyFont="1" applyFill="1" applyBorder="1" applyAlignment="1">
      <x:alignment horizontal="center"/>
    </x:xf>
    <x:xf numFmtId="200" fontId="0" fillId="0" borderId="2" xfId="0" applyNumberFormat="1" applyFont="1" applyFill="1" applyBorder="1" applyAlignment="1">
      <x:alignment horizontal="center"/>
    </x:xf>
    <x:xf numFmtId="200" fontId="0" fillId="4" borderId="2" xfId="0" applyNumberFormat="1" applyFont="1" applyFill="1" applyBorder="1" applyAlignment="1">
      <x:alignment horizontal="center"/>
    </x:xf>
    <x:xf numFmtId="200" fontId="3" fillId="4" borderId="2" xfId="0" applyNumberFormat="1" applyFont="1" applyFill="1" applyBorder="1" applyAlignment="1">
      <x:alignment horizontal="center"/>
    </x:xf>
    <x:xf numFmtId="0" fontId="0" fillId="3" borderId="2" xfId="0" applyNumberFormat="1" applyFont="1" applyFill="1" applyBorder="1"/>
    <x:xf numFmtId="0" fontId="2" fillId="3" borderId="2" xfId="0" applyNumberFormat="1" applyFont="1" applyFill="1" applyBorder="1"/>
    <x:xf numFmtId="0" fontId="1" fillId="2" borderId="0" xfId="0" applyNumberFormat="1" applyFont="1" applyFill="1" applyBorder="1" applyAlignment="1">
      <x:alignment horizontal="center" vertical="center"/>
    </x:xf>
    <x:xf numFmtId="0" fontId="4" fillId="2" borderId="0" xfId="0" applyNumberFormat="1" applyFont="1" applyFill="1" applyBorder="1"/>
    <x:xf numFmtId="0" fontId="4" fillId="2" borderId="0" xfId="0" applyNumberFormat="1" applyFont="1" applyFill="1" applyBorder="1" applyAlignment="1">
      <x:alignment horizontal="center"/>
    </x:xf>
    <x:xf numFmtId="0" fontId="5" fillId="3" borderId="0" xfId="0" applyNumberFormat="1" applyFont="1" applyFill="1" applyBorder="1"/>
    <x:xf numFmtId="0" fontId="5" fillId="3" borderId="1" xfId="0" applyNumberFormat="1" applyFont="1" applyFill="1" applyBorder="1"/>
    <x:xf numFmtId="0" fontId="5" fillId="3" borderId="1" xfId="0" applyNumberFormat="1" applyFont="1" applyFill="1" applyBorder="1" applyAlignment="1">
      <x:alignment horizontal="center"/>
    </x:xf>
    <x:xf numFmtId="0" fontId="0" fillId="0" borderId="2" xfId="0" applyNumberFormat="1" applyFont="1" applyFill="1" applyBorder="1" applyAlignment="1">
      <x:alignment horizontal="center" vertical="center"/>
    </x:xf>
    <x:xf numFmtId="0" fontId="6" fillId="0" borderId="2" xfId="0" applyNumberFormat="1" applyFont="1" applyFill="1" applyBorder="1" applyAlignment="1">
      <x:alignment horizontal="center" vertical="center"/>
    </x:xf>
    <x:xf numFmtId="200" fontId="6" fillId="0" borderId="2" xfId="0" applyNumberFormat="1" applyFont="1" applyFill="1" applyBorder="1" applyAlignment="1">
      <x:alignment horizontal="center" vertical="center"/>
    </x:xf>
    <x:xf numFmtId="201" fontId="6" fillId="0" borderId="2" xfId="0" applyNumberFormat="1" applyFont="1" applyFill="1" applyBorder="1" applyAlignment="1">
      <x:alignment horizontal="center" vertical="center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horizontal="center"/>
    </x:xf>
    <x:xf numFmtId="0" fontId="2" fillId="0" borderId="1" xfId="0" applyNumberFormat="1" applyFont="1" applyFill="1" applyBorder="1" applyAlignment="1">
      <x:alignment horizontal="center"/>
    </x:xf>
    <x:xf numFmtId="200" fontId="0" fillId="0" borderId="1" xfId="0" applyNumberFormat="1" applyFont="1" applyFill="1" applyBorder="1" applyAlignment="1">
      <x:alignment horizontal="center"/>
    </x:xf>
    <x:xf numFmtId="200" fontId="0" fillId="5" borderId="1" xfId="0" applyNumberFormat="1" applyFont="1" applyFill="1" applyBorder="1" applyAlignment="1">
      <x:alignment horizontal="center"/>
    </x:xf>
    <x:xf numFmtId="200" fontId="7" fillId="5" borderId="1" xfId="0" applyNumberFormat="1" applyFont="1" applyFill="1" applyBorder="1" applyAlignment="1">
      <x:alignment horizontal="center"/>
    </x:xf>
    <x:xf numFmtId="0" fontId="5" fillId="3" borderId="0" xfId="0" applyNumberFormat="1" applyFont="1" applyFill="1" applyBorder="1" applyAlignment="1">
      <x:alignment horizontal="center"/>
    </x:xf>
    <x:xf numFmtId="0" fontId="0" fillId="0" borderId="2" xfId="0" applyNumberFormat="1" applyFont="1" applyFill="1" applyBorder="1" applyAlignment="1">
      <x:alignment vertical="center"/>
    </x:xf>
    <x:xf numFmtId="0" fontId="6" fillId="0" borderId="2" xfId="0" applyNumberFormat="1" applyFont="1" applyFill="1" applyBorder="1" applyAlignment="1">
      <x:alignment vertical="center"/>
    </x:xf>
    <x:xf numFmtId="0" fontId="2" fillId="0" borderId="1" xfId="0" applyNumberFormat="1" applyFont="1" applyFill="1" applyBorder="1"/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e80f1ab517564b33" /><Relationship Type="http://schemas.openxmlformats.org/officeDocument/2006/relationships/theme" Target="/xl/theme/theme1.xml" Id="R3dac9f3757b44956" /><Relationship Type="http://schemas.openxmlformats.org/officeDocument/2006/relationships/sharedStrings" Target="/xl/sharedStrings.xml" Id="R99380247cc6149ef" /><Relationship Type="http://schemas.openxmlformats.org/officeDocument/2006/relationships/worksheet" Target="/xl/worksheets/sheet1.xml" Id="Rb76d4c0392c04dc9" /><Relationship Type="http://schemas.openxmlformats.org/officeDocument/2006/relationships/worksheet" Target="/xl/worksheets/sheet2.xml" Id="R08e28ae3c6fb4a50" /><Relationship Type="http://schemas.openxmlformats.org/officeDocument/2006/relationships/worksheet" Target="/xl/worksheets/sheet3.xml" Id="R04779d4a50e84a9c" /><Relationship Type="http://schemas.openxmlformats.org/officeDocument/2006/relationships/worksheet" Target="/xl/worksheets/sheet4.xml" Id="R18f2e8da11f24c66" /><Relationship Type="http://schemas.openxmlformats.org/officeDocument/2006/relationships/worksheet" Target="/xl/worksheets/sheet5.xml" Id="Rc7aaa2ef17f84940" /><Relationship Type="http://schemas.openxmlformats.org/officeDocument/2006/relationships/worksheet" Target="/xl/worksheets/sheet6.xml" Id="R2bf40d6f6520433f" /><Relationship Type="http://schemas.openxmlformats.org/officeDocument/2006/relationships/worksheet" Target="/xl/worksheets/sheet7.xml" Id="R1d589fb80e244d16" /><Relationship Type="http://schemas.openxmlformats.org/officeDocument/2006/relationships/worksheet" Target="/xl/worksheets/sheet8.xml" Id="Rabfffc7e0d494d59" /><Relationship Type="http://schemas.openxmlformats.org/officeDocument/2006/relationships/worksheet" Target="/xl/worksheets/sheet9.xml" Id="R24509e4f66ee485d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13" hidden="0" customWidth="1"/>
    <x:col min="3" max="3" width="12" hidden="0" customWidth="1"/>
    <x:col min="4" max="4" width="4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</x:cols>
  <x:sheetData>
    <x:row r="1" ht="38" customHeight="1">
      <x:c r="A1" s="3" t="str">
        <x:v>2026年8月统计 - 每日振幅汇总</x:v>
      </x:c>
    </x:row>
    <x:row r="3">
      <x:c r="A3" s="6" t="str">
        <x:v>标的</x:v>
      </x:c>
      <x:c r="B3" s="6" t="str">
        <x:v>最新日期</x:v>
      </x:c>
      <x:c r="C3" s="6" t="str">
        <x:v>最新高点</x:v>
      </x:c>
      <x:c r="D3" s="6" t="str">
        <x:v>最新低点</x:v>
      </x:c>
      <x:c r="E3" s="6" t="str">
        <x:v>最新振幅</x:v>
      </x:c>
      <x:c r="F3" s="6" t="str">
        <x:v>交易日</x:v>
      </x:c>
      <x:c r="G3" s="6" t="str">
        <x:v>振幅合计</x:v>
      </x:c>
      <x:c r="H3" s="6" t="str">
        <x:v>振幅均值</x:v>
      </x:c>
      <x:c r="I3" s="6" t="str">
        <x:v>高振幅阈值</x:v>
      </x:c>
    </x:row>
    <x:row r="4">
      <x:c r="A4" s="9" t="str">
        <x:v>中证1000</x:v>
      </x:c>
      <x:c r="B4" s="9" t="str">
        <x:v>2026-08-03</x:v>
      </x:c>
      <x:c r="C4" s="10" t="n">
        <x:v>7118.1</x:v>
      </x:c>
      <x:c r="D4" s="10" t="n">
        <x:v>7042.89</x:v>
      </x:c>
      <x:c r="E4" s="12" t="n">
        <x:v>75.2</x:v>
      </x:c>
      <x:c r="F4" s="9" t="n">
        <x:v>1</x:v>
      </x:c>
      <x:c r="G4" s="10" t="n">
        <x:v>75.2</x:v>
      </x:c>
      <x:c r="H4" s="10" t="n">
        <x:v>75.2</x:v>
      </x:c>
      <x:c r="I4" s="10" t="n">
        <x:v>180</x:v>
      </x:c>
    </x:row>
    <x:row r="5">
      <x:c r="A5" s="9" t="str">
        <x:v>中证500</x:v>
      </x:c>
      <x:c r="B5" s="9" t="str">
        <x:v>2026-08-03</x:v>
      </x:c>
      <x:c r="C5" s="10" t="n">
        <x:v>7499.58</x:v>
      </x:c>
      <x:c r="D5" s="10" t="n">
        <x:v>7397.94</x:v>
      </x:c>
      <x:c r="E5" s="12" t="n">
        <x:v>101.6</x:v>
      </x:c>
      <x:c r="F5" s="9" t="n">
        <x:v>1</x:v>
      </x:c>
      <x:c r="G5" s="10" t="n">
        <x:v>101.6</x:v>
      </x:c>
      <x:c r="H5" s="10" t="n">
        <x:v>101.6</x:v>
      </x:c>
      <x:c r="I5" s="10" t="n">
        <x:v>160</x:v>
      </x:c>
    </x:row>
    <x:row r="6">
      <x:c r="A6" s="9" t="str">
        <x:v>上证指数</x:v>
      </x:c>
      <x:c r="B6" s="9" t="str">
        <x:v>2026-08-03</x:v>
      </x:c>
      <x:c r="C6" s="10" t="n">
        <x:v>3827.64</x:v>
      </x:c>
      <x:c r="D6" s="10" t="n">
        <x:v>3797.64</x:v>
      </x:c>
      <x:c r="E6" s="12" t="n">
        <x:v>30</x:v>
      </x:c>
      <x:c r="F6" s="9" t="n">
        <x:v>1</x:v>
      </x:c>
      <x:c r="G6" s="10" t="n">
        <x:v>30</x:v>
      </x:c>
      <x:c r="H6" s="10" t="n">
        <x:v>30</x:v>
      </x:c>
      <x:c r="I6" s="10" t="n">
        <x:v>50</x:v>
      </x:c>
    </x:row>
    <x:row r="7">
      <x:c r="A7" s="9" t="str">
        <x:v>IM主力</x:v>
      </x:c>
      <x:c r="B7" s="9" t="str">
        <x:v>2026-08-03</x:v>
      </x:c>
      <x:c r="C7" s="10" t="n">
        <x:v>7064.2</x:v>
      </x:c>
      <x:c r="D7" s="10" t="n">
        <x:v>6976</x:v>
      </x:c>
      <x:c r="E7" s="12" t="n">
        <x:v>88.2</x:v>
      </x:c>
      <x:c r="F7" s="9" t="n">
        <x:v>1</x:v>
      </x:c>
      <x:c r="G7" s="10" t="n">
        <x:v>88.2</x:v>
      </x:c>
      <x:c r="H7" s="10" t="n">
        <x:v>88.2</x:v>
      </x:c>
      <x:c r="I7" s="10" t="n">
        <x:v>190</x:v>
      </x:c>
    </x:row>
    <x:row r="8">
      <x:c r="A8" s="9" t="str">
        <x:v>IC主力</x:v>
      </x:c>
      <x:c r="B8" s="9" t="str">
        <x:v>2026-08-03</x:v>
      </x:c>
      <x:c r="C8" s="10" t="n">
        <x:v>7440</x:v>
      </x:c>
      <x:c r="D8" s="10" t="n">
        <x:v>7335</x:v>
      </x:c>
      <x:c r="E8" s="12" t="n">
        <x:v>105</x:v>
      </x:c>
      <x:c r="F8" s="9" t="n">
        <x:v>1</x:v>
      </x:c>
      <x:c r="G8" s="10" t="n">
        <x:v>105</x:v>
      </x:c>
      <x:c r="H8" s="10" t="n">
        <x:v>105</x:v>
      </x:c>
      <x:c r="I8" s="10" t="n">
        <x:v>150</x:v>
      </x:c>
    </x:row>
    <x:row r="9">
      <x:c r="A9" s="9" t="str">
        <x:v>IF主力</x:v>
      </x:c>
      <x:c r="B9" s="9" t="str">
        <x:v>2026-08-03</x:v>
      </x:c>
      <x:c r="C9" s="10" t="n">
        <x:v>4538</x:v>
      </x:c>
      <x:c r="D9" s="10" t="n">
        <x:v>4494.2</x:v>
      </x:c>
      <x:c r="E9" s="12" t="n">
        <x:v>43.8</x:v>
      </x:c>
      <x:c r="F9" s="9" t="n">
        <x:v>1</x:v>
      </x:c>
      <x:c r="G9" s="10" t="n">
        <x:v>43.8</x:v>
      </x:c>
      <x:c r="H9" s="10" t="n">
        <x:v>43.8</x:v>
      </x:c>
      <x:c r="I9" s="10" t="n">
        <x:v>90</x:v>
      </x:c>
    </x:row>
    <x:row r="10">
      <x:c r="A10" s="9" t="str">
        <x:v>IH主力</x:v>
      </x:c>
      <x:c r="B10" s="9" t="str">
        <x:v>2026-08-03</x:v>
      </x:c>
      <x:c r="C10" s="10" t="n">
        <x:v>2890</x:v>
      </x:c>
      <x:c r="D10" s="10" t="n">
        <x:v>2845.8</x:v>
      </x:c>
      <x:c r="E10" s="12" t="n">
        <x:v>44.2</x:v>
      </x:c>
      <x:c r="F10" s="9" t="n">
        <x:v>1</x:v>
      </x:c>
      <x:c r="G10" s="10" t="n">
        <x:v>44.2</x:v>
      </x:c>
      <x:c r="H10" s="10" t="n">
        <x:v>44.2</x:v>
      </x:c>
      <x:c r="I10" s="10" t="n">
        <x:v>60</x:v>
      </x:c>
    </x:row>
    <x:row r="13">
      <x:c r="A13" s="14" t="str">
        <x:v>统计区间</x:v>
      </x:c>
      <x:c r="B13" s="14" t="str">
        <x:v>2026-08-01</x:v>
      </x:c>
      <x:c r="C13" s="14" t="str">
        <x:v>2026-08-03</x:v>
      </x:c>
      <x:c r="D13" s="14" t="str">
        <x:v>数据源</x:v>
      </x:c>
    </x:row>
    <x:row r="14">
      <x:c r="A14" s="7" t="str">
        <x:v>中证1000</x:v>
      </x:c>
      <x:c r="B14" s="7" t="str">
        <x:v>sh000852</x:v>
      </x:c>
      <x:c r="C14" s="7" t="str">
        <x:v>指数日线</x:v>
      </x:c>
      <x:c r="D14" s="7" t="str">
        <x:v>https://web.ifzq.gtimg.cn/appstock/app/fqkline/get?param=sh000852,day,,,80,qfq</x:v>
      </x:c>
    </x:row>
    <x:row r="15">
      <x:c r="A15" s="7" t="str">
        <x:v>中证500</x:v>
      </x:c>
      <x:c r="B15" s="7" t="str">
        <x:v>sh000905</x:v>
      </x:c>
      <x:c r="C15" s="7" t="str">
        <x:v>指数日线</x:v>
      </x:c>
      <x:c r="D15" s="7" t="str">
        <x:v>https://web.ifzq.gtimg.cn/appstock/app/fqkline/get?param=sh000905,day,,,80,qfq</x:v>
      </x:c>
    </x:row>
    <x:row r="16">
      <x:c r="A16" s="7" t="str">
        <x:v>上证指数</x:v>
      </x:c>
      <x:c r="B16" s="7" t="str">
        <x:v>sh000001</x:v>
      </x:c>
      <x:c r="C16" s="7" t="str">
        <x:v>指数日线</x:v>
      </x:c>
      <x:c r="D16" s="7" t="str">
        <x:v>https://web.ifzq.gtimg.cn/appstock/app/fqkline/get?param=sh000001,day,,,80,qfq</x:v>
      </x:c>
    </x:row>
    <x:row r="17">
      <x:c r="A17" s="7" t="str">
        <x:v>IM主力</x:v>
      </x:c>
      <x:c r="B17" s="7" t="str">
        <x:v>IM0</x:v>
      </x:c>
      <x:c r="C17" s="7" t="str">
        <x:v>用主连确定交易日，再按标的列的具体合约取日线</x:v>
      </x:c>
      <x:c r="D17" s="7" t="str">
        <x:v>https://stock2.finance.sina.com.cn/futures/api/json.php/InnerFuturesNewService.getDailyKLine?symbol=IM0</x:v>
      </x:c>
    </x:row>
    <x:row r="18">
      <x:c r="A18" s="7" t="str">
        <x:v>IC主力</x:v>
      </x:c>
      <x:c r="B18" s="7" t="str">
        <x:v>IC0</x:v>
      </x:c>
      <x:c r="C18" s="7" t="str">
        <x:v>用主连确定交易日，再按标的列的具体合约取日线</x:v>
      </x:c>
      <x:c r="D18" s="7" t="str">
        <x:v>https://stock2.finance.sina.com.cn/futures/api/json.php/InnerFuturesNewService.getDailyKLine?symbol=IC0</x:v>
      </x:c>
    </x:row>
    <x:row r="19">
      <x:c r="A19" s="7" t="str">
        <x:v>IF主力</x:v>
      </x:c>
      <x:c r="B19" s="7" t="str">
        <x:v>IF0</x:v>
      </x:c>
      <x:c r="C19" s="7" t="str">
        <x:v>用主连确定交易日，再按标的列的具体合约取日线</x:v>
      </x:c>
      <x:c r="D19" s="7" t="str">
        <x:v>https://stock2.finance.sina.com.cn/futures/api/json.php/InnerFuturesNewService.getDailyKLine?symbol=IF0</x:v>
      </x:c>
    </x:row>
    <x:row r="20">
      <x:c r="A20" s="7" t="str">
        <x:v>IH主力</x:v>
      </x:c>
      <x:c r="B20" s="7" t="str">
        <x:v>IH0</x:v>
      </x:c>
      <x:c r="C20" s="7" t="str">
        <x:v>用主连确定交易日，再按标的列的具体合约取日线</x:v>
      </x:c>
      <x:c r="D20" s="7" t="str">
        <x:v>https://stock2.finance.sina.com.cn/futures/api/json.php/InnerFuturesNewService.getDailyKLine?symbol=IH0</x:v>
      </x:c>
    </x:row>
  </x:sheetData>
  <x:mergeCells>
    <x:mergeCell ref="A1:I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24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4" hidden="0" customWidth="1"/>
    <x:col min="11" max="11" width="10" hidden="0" customWidth="1"/>
  </x:cols>
  <x:sheetData>
    <x:row r="1" ht="38" customHeight="1">
      <x:c r="A1" s="15" t="str">
        <x:v>2026年8月统计 - 每周振幅统计</x:v>
      </x:c>
    </x:row>
    <x:row r="3">
      <x:c r="A3" s="17" t="str">
        <x:v>中证1000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周期</x:v>
      </x:c>
      <x:c r="C4" s="20" t="str">
        <x:v>开盘</x:v>
      </x:c>
      <x:c r="D4" s="20" t="str">
        <x:v>高点</x:v>
      </x:c>
      <x:c r="E4" s="20" t="str">
        <x:v>低点</x:v>
      </x:c>
      <x:c r="F4" s="20" t="str">
        <x:v>收盘</x:v>
      </x:c>
      <x:c r="G4" s="20" t="str">
        <x:v>涨跌点数</x:v>
      </x:c>
      <x:c r="H4" s="20" t="str">
        <x:v>涨幅</x:v>
      </x:c>
      <x:c r="I4" s="20" t="str">
        <x:v>振幅</x:v>
      </x:c>
      <x:c r="J4" s="20" t="str">
        <x:v>标的</x:v>
      </x:c>
      <x:c r="K4" s="20" t="str">
        <x:v>交易日</x:v>
      </x:c>
    </x:row>
    <x:row r="5">
      <x:c r="A5" s="22" t="n">
        <x:v>1</x:v>
      </x:c>
      <x:c r="B5" s="22" t="str">
        <x:v>8月3日</x:v>
      </x:c>
      <x:c r="C5" s="23" t="n">
        <x:v>7055.27</x:v>
      </x:c>
      <x:c r="D5" s="23" t="n">
        <x:v>7118.1</x:v>
      </x:c>
      <x:c r="E5" s="23" t="n">
        <x:v>7042.89</x:v>
      </x:c>
      <x:c r="F5" s="23" t="n">
        <x:v>7079.78</x:v>
      </x:c>
      <x:c r="G5" s="23"/>
      <x:c r="H5" s="24"/>
      <x:c r="I5" s="23" t="n">
        <x:f>ROUND(D5-E5,1)</x:f>
        <x:v>75.2</x:v>
      </x:c>
      <x:c r="J5" s="22" t="str">
        <x:v>中证1000</x:v>
      </x:c>
      <x:c r="K5" s="22" t="n">
        <x:v>1</x:v>
      </x:c>
    </x:row>
    <x:row r="6">
      <x:c r="A6" s="27" t="str">
        <x:v>合计</x:v>
      </x:c>
      <x:c r="B6" s="26" t="n">
        <x:v>1</x:v>
      </x:c>
      <x:c r="C6" s="26"/>
      <x:c r="D6" s="26"/>
      <x:c r="E6" s="26"/>
      <x:c r="F6" s="26"/>
      <x:c r="G6" s="26"/>
      <x:c r="H6" s="26"/>
      <x:c r="I6" s="28" t="n">
        <x:f>ROUND(SUM(I5:I5),1)</x:f>
        <x:v>75.2</x:v>
      </x:c>
      <x:c r="J6" s="26"/>
      <x:c r="K6" s="26"/>
    </x:row>
    <x:row r="7">
      <x:c r="A7" s="27" t="str">
        <x:v>均值</x:v>
      </x:c>
      <x:c r="B7" s="26"/>
      <x:c r="C7" s="26"/>
      <x:c r="D7" s="26"/>
      <x:c r="E7" s="26"/>
      <x:c r="F7" s="26"/>
      <x:c r="G7" s="26"/>
      <x:c r="H7" s="26"/>
      <x:c r="I7" s="30" t="n">
        <x:f>ROUND(IFERROR(AVERAGE(I5:I5),0),1)</x:f>
        <x:v>75.2</x:v>
      </x:c>
      <x:c r="J7" s="26"/>
      <x:c r="K7" s="26"/>
    </x:row>
    <x:row r="9">
      <x:c r="A9" s="17" t="str">
        <x:v>中证500</x:v>
      </x:c>
      <x:c r="B9" s="17"/>
      <x:c r="C9" s="17"/>
      <x:c r="D9" s="17"/>
      <x:c r="E9" s="17"/>
      <x:c r="F9" s="17"/>
      <x:c r="G9" s="17"/>
      <x:c r="H9" s="17"/>
      <x:c r="I9" s="17"/>
      <x:c r="J9" s="17"/>
      <x:c r="K9" s="17"/>
    </x:row>
    <x:row r="10">
      <x:c r="A10" s="20" t="str">
        <x:v>序号</x:v>
      </x:c>
      <x:c r="B10" s="20" t="str">
        <x:v>周期</x:v>
      </x:c>
      <x:c r="C10" s="20" t="str">
        <x:v>开盘</x:v>
      </x:c>
      <x:c r="D10" s="20" t="str">
        <x:v>高点</x:v>
      </x:c>
      <x:c r="E10" s="20" t="str">
        <x:v>低点</x:v>
      </x:c>
      <x:c r="F10" s="20" t="str">
        <x:v>收盘</x:v>
      </x:c>
      <x:c r="G10" s="20" t="str">
        <x:v>涨跌点数</x:v>
      </x:c>
      <x:c r="H10" s="20" t="str">
        <x:v>涨幅</x:v>
      </x:c>
      <x:c r="I10" s="20" t="str">
        <x:v>振幅</x:v>
      </x:c>
      <x:c r="J10" s="20" t="str">
        <x:v>标的</x:v>
      </x:c>
      <x:c r="K10" s="20" t="str">
        <x:v>交易日</x:v>
      </x:c>
    </x:row>
    <x:row r="11">
      <x:c r="A11" s="22" t="n">
        <x:v>1</x:v>
      </x:c>
      <x:c r="B11" s="22" t="str">
        <x:v>8月3日</x:v>
      </x:c>
      <x:c r="C11" s="23" t="n">
        <x:v>7457.12</x:v>
      </x:c>
      <x:c r="D11" s="23" t="n">
        <x:v>7499.58</x:v>
      </x:c>
      <x:c r="E11" s="23" t="n">
        <x:v>7397.94</x:v>
      </x:c>
      <x:c r="F11" s="23" t="n">
        <x:v>7414.52</x:v>
      </x:c>
      <x:c r="G11" s="23"/>
      <x:c r="H11" s="24"/>
      <x:c r="I11" s="23" t="n">
        <x:f>ROUND(D11-E11,1)</x:f>
        <x:v>101.6</x:v>
      </x:c>
      <x:c r="J11" s="22" t="str">
        <x:v>中证500</x:v>
      </x:c>
      <x:c r="K11" s="22" t="n">
        <x:v>1</x:v>
      </x:c>
    </x:row>
    <x:row r="12">
      <x:c r="A12" s="27" t="str">
        <x:v>合计</x:v>
      </x:c>
      <x:c r="B12" s="26" t="n">
        <x:v>1</x:v>
      </x:c>
      <x:c r="C12" s="26"/>
      <x:c r="D12" s="26"/>
      <x:c r="E12" s="26"/>
      <x:c r="F12" s="26"/>
      <x:c r="G12" s="26"/>
      <x:c r="H12" s="26"/>
      <x:c r="I12" s="28" t="n">
        <x:f>ROUND(SUM(I11:I11),1)</x:f>
        <x:v>101.6</x:v>
      </x:c>
      <x:c r="J12" s="26"/>
      <x:c r="K12" s="26"/>
    </x:row>
    <x:row r="13">
      <x:c r="A13" s="27" t="str">
        <x:v>均值</x:v>
      </x:c>
      <x:c r="B13" s="26"/>
      <x:c r="C13" s="26"/>
      <x:c r="D13" s="26"/>
      <x:c r="E13" s="26"/>
      <x:c r="F13" s="26"/>
      <x:c r="G13" s="26"/>
      <x:c r="H13" s="26"/>
      <x:c r="I13" s="30" t="n">
        <x:f>ROUND(IFERROR(AVERAGE(I11:I11),0),1)</x:f>
        <x:v>101.6</x:v>
      </x:c>
      <x:c r="J13" s="26"/>
      <x:c r="K13" s="26"/>
    </x:row>
    <x:row r="15">
      <x:c r="A15" s="17" t="str">
        <x:v>上证指数</x:v>
      </x:c>
      <x:c r="B15" s="17"/>
      <x:c r="C15" s="17"/>
      <x:c r="D15" s="17"/>
      <x:c r="E15" s="17"/>
      <x:c r="F15" s="17"/>
      <x:c r="G15" s="17"/>
      <x:c r="H15" s="17"/>
      <x:c r="I15" s="17"/>
      <x:c r="J15" s="17"/>
      <x:c r="K15" s="17"/>
    </x:row>
    <x:row r="16">
      <x:c r="A16" s="20" t="str">
        <x:v>序号</x:v>
      </x:c>
      <x:c r="B16" s="20" t="str">
        <x:v>周期</x:v>
      </x:c>
      <x:c r="C16" s="20" t="str">
        <x:v>开盘</x:v>
      </x:c>
      <x:c r="D16" s="20" t="str">
        <x:v>高点</x:v>
      </x:c>
      <x:c r="E16" s="20" t="str">
        <x:v>低点</x:v>
      </x:c>
      <x:c r="F16" s="20" t="str">
        <x:v>收盘</x:v>
      </x:c>
      <x:c r="G16" s="20" t="str">
        <x:v>涨跌点数</x:v>
      </x:c>
      <x:c r="H16" s="20" t="str">
        <x:v>涨幅</x:v>
      </x:c>
      <x:c r="I16" s="20" t="str">
        <x:v>振幅</x:v>
      </x:c>
      <x:c r="J16" s="20" t="str">
        <x:v>标的</x:v>
      </x:c>
      <x:c r="K16" s="20" t="str">
        <x:v>交易日</x:v>
      </x:c>
    </x:row>
    <x:row r="17">
      <x:c r="A17" s="22" t="n">
        <x:v>1</x:v>
      </x:c>
      <x:c r="B17" s="22" t="str">
        <x:v>8月3日</x:v>
      </x:c>
      <x:c r="C17" s="23" t="n">
        <x:v>3812.61</x:v>
      </x:c>
      <x:c r="D17" s="23" t="n">
        <x:v>3827.64</x:v>
      </x:c>
      <x:c r="E17" s="23" t="n">
        <x:v>3797.64</x:v>
      </x:c>
      <x:c r="F17" s="23" t="n">
        <x:v>3809.66</x:v>
      </x:c>
      <x:c r="G17" s="23"/>
      <x:c r="H17" s="24"/>
      <x:c r="I17" s="23" t="n">
        <x:f>ROUND(D17-E17,1)</x:f>
        <x:v>30</x:v>
      </x:c>
      <x:c r="J17" s="22" t="str">
        <x:v>上证指数</x:v>
      </x:c>
      <x:c r="K17" s="22" t="n">
        <x:v>1</x:v>
      </x:c>
    </x:row>
    <x:row r="18">
      <x:c r="A18" s="27" t="str">
        <x:v>合计</x:v>
      </x:c>
      <x:c r="B18" s="26" t="n">
        <x:v>1</x:v>
      </x:c>
      <x:c r="C18" s="26"/>
      <x:c r="D18" s="26"/>
      <x:c r="E18" s="26"/>
      <x:c r="F18" s="26"/>
      <x:c r="G18" s="26"/>
      <x:c r="H18" s="26"/>
      <x:c r="I18" s="28" t="n">
        <x:f>ROUND(SUM(I17:I17),1)</x:f>
        <x:v>30</x:v>
      </x:c>
      <x:c r="J18" s="26"/>
      <x:c r="K18" s="26"/>
    </x:row>
    <x:row r="19">
      <x:c r="A19" s="27" t="str">
        <x:v>均值</x:v>
      </x:c>
      <x:c r="B19" s="26"/>
      <x:c r="C19" s="26"/>
      <x:c r="D19" s="26"/>
      <x:c r="E19" s="26"/>
      <x:c r="F19" s="26"/>
      <x:c r="G19" s="26"/>
      <x:c r="H19" s="26"/>
      <x:c r="I19" s="30" t="n">
        <x:f>ROUND(IFERROR(AVERAGE(I17:I17),0),1)</x:f>
        <x:v>30</x:v>
      </x:c>
      <x:c r="J19" s="26"/>
      <x:c r="K19" s="26"/>
    </x:row>
    <x:row r="21">
      <x:c r="A21" s="17" t="str">
        <x:v>IM主力</x:v>
      </x:c>
      <x:c r="B21" s="17"/>
      <x:c r="C21" s="17"/>
      <x:c r="D21" s="17"/>
      <x:c r="E21" s="17"/>
      <x:c r="F21" s="17"/>
      <x:c r="G21" s="17"/>
      <x:c r="H21" s="17"/>
      <x:c r="I21" s="17"/>
      <x:c r="J21" s="17"/>
      <x:c r="K21" s="17"/>
    </x:row>
    <x:row r="22">
      <x:c r="A22" s="20" t="str">
        <x:v>序号</x:v>
      </x:c>
      <x:c r="B22" s="20" t="str">
        <x:v>周期</x:v>
      </x:c>
      <x:c r="C22" s="20" t="str">
        <x:v>开盘</x:v>
      </x:c>
      <x:c r="D22" s="20" t="str">
        <x:v>高点</x:v>
      </x:c>
      <x:c r="E22" s="20" t="str">
        <x:v>低点</x:v>
      </x:c>
      <x:c r="F22" s="20" t="str">
        <x:v>收盘</x:v>
      </x:c>
      <x:c r="G22" s="20" t="str">
        <x:v>涨跌点数</x:v>
      </x:c>
      <x:c r="H22" s="20" t="str">
        <x:v>涨幅</x:v>
      </x:c>
      <x:c r="I22" s="20" t="str">
        <x:v>振幅</x:v>
      </x:c>
      <x:c r="J22" s="20" t="str">
        <x:v>标的</x:v>
      </x:c>
      <x:c r="K22" s="20" t="str">
        <x:v>交易日</x:v>
      </x:c>
    </x:row>
    <x:row r="23">
      <x:c r="A23" s="22" t="n">
        <x:v>1</x:v>
      </x:c>
      <x:c r="B23" s="22" t="str">
        <x:v>8月3日</x:v>
      </x:c>
      <x:c r="C23" s="23" t="n">
        <x:v>7000</x:v>
      </x:c>
      <x:c r="D23" s="23" t="n">
        <x:v>7064.2</x:v>
      </x:c>
      <x:c r="E23" s="23" t="n">
        <x:v>6976</x:v>
      </x:c>
      <x:c r="F23" s="23" t="n">
        <x:v>7023.4</x:v>
      </x:c>
      <x:c r="G23" s="23"/>
      <x:c r="H23" s="24"/>
      <x:c r="I23" s="23" t="n">
        <x:f>ROUND(D23-E23,1)</x:f>
        <x:v>88.2</x:v>
      </x:c>
      <x:c r="J23" s="22" t="str">
        <x:v>IM2609</x:v>
      </x:c>
      <x:c r="K23" s="22" t="n">
        <x:v>1</x:v>
      </x:c>
    </x:row>
    <x:row r="24">
      <x:c r="A24" s="27" t="str">
        <x:v>合计</x:v>
      </x:c>
      <x:c r="B24" s="26" t="n">
        <x:v>1</x:v>
      </x:c>
      <x:c r="C24" s="26"/>
      <x:c r="D24" s="26"/>
      <x:c r="E24" s="26"/>
      <x:c r="F24" s="26"/>
      <x:c r="G24" s="26"/>
      <x:c r="H24" s="26"/>
      <x:c r="I24" s="28" t="n">
        <x:f>ROUND(SUM(I23:I23),1)</x:f>
        <x:v>88.2</x:v>
      </x:c>
      <x:c r="J24" s="26"/>
      <x:c r="K24" s="26"/>
    </x:row>
    <x:row r="25">
      <x:c r="A25" s="27" t="str">
        <x:v>均值</x:v>
      </x:c>
      <x:c r="B25" s="26"/>
      <x:c r="C25" s="26"/>
      <x:c r="D25" s="26"/>
      <x:c r="E25" s="26"/>
      <x:c r="F25" s="26"/>
      <x:c r="G25" s="26"/>
      <x:c r="H25" s="26"/>
      <x:c r="I25" s="30" t="n">
        <x:f>ROUND(IFERROR(AVERAGE(I23:I23),0),1)</x:f>
        <x:v>88.2</x:v>
      </x:c>
      <x:c r="J25" s="26"/>
      <x:c r="K25" s="26"/>
    </x:row>
    <x:row r="27">
      <x:c r="A27" s="17" t="str">
        <x:v>IC主力</x:v>
      </x:c>
      <x:c r="B27" s="17"/>
      <x:c r="C27" s="17"/>
      <x:c r="D27" s="17"/>
      <x:c r="E27" s="17"/>
      <x:c r="F27" s="17"/>
      <x:c r="G27" s="17"/>
      <x:c r="H27" s="17"/>
      <x:c r="I27" s="17"/>
      <x:c r="J27" s="17"/>
      <x:c r="K27" s="17"/>
    </x:row>
    <x:row r="28">
      <x:c r="A28" s="20" t="str">
        <x:v>序号</x:v>
      </x:c>
      <x:c r="B28" s="20" t="str">
        <x:v>周期</x:v>
      </x:c>
      <x:c r="C28" s="20" t="str">
        <x:v>开盘</x:v>
      </x:c>
      <x:c r="D28" s="20" t="str">
        <x:v>高点</x:v>
      </x:c>
      <x:c r="E28" s="20" t="str">
        <x:v>低点</x:v>
      </x:c>
      <x:c r="F28" s="20" t="str">
        <x:v>收盘</x:v>
      </x:c>
      <x:c r="G28" s="20" t="str">
        <x:v>涨跌点数</x:v>
      </x:c>
      <x:c r="H28" s="20" t="str">
        <x:v>涨幅</x:v>
      </x:c>
      <x:c r="I28" s="20" t="str">
        <x:v>振幅</x:v>
      </x:c>
      <x:c r="J28" s="20" t="str">
        <x:v>标的</x:v>
      </x:c>
      <x:c r="K28" s="20" t="str">
        <x:v>交易日</x:v>
      </x:c>
    </x:row>
    <x:row r="29">
      <x:c r="A29" s="22" t="n">
        <x:v>1</x:v>
      </x:c>
      <x:c r="B29" s="22" t="str">
        <x:v>8月3日</x:v>
      </x:c>
      <x:c r="C29" s="23" t="n">
        <x:v>7391</x:v>
      </x:c>
      <x:c r="D29" s="23" t="n">
        <x:v>7440</x:v>
      </x:c>
      <x:c r="E29" s="23" t="n">
        <x:v>7335</x:v>
      </x:c>
      <x:c r="F29" s="23" t="n">
        <x:v>7356</x:v>
      </x:c>
      <x:c r="G29" s="23"/>
      <x:c r="H29" s="24"/>
      <x:c r="I29" s="23" t="n">
        <x:f>ROUND(D29-E29,1)</x:f>
        <x:v>105</x:v>
      </x:c>
      <x:c r="J29" s="22" t="str">
        <x:v>IC2609</x:v>
      </x:c>
      <x:c r="K29" s="22" t="n">
        <x:v>1</x:v>
      </x:c>
    </x:row>
    <x:row r="30">
      <x:c r="A30" s="27" t="str">
        <x:v>合计</x:v>
      </x:c>
      <x:c r="B30" s="26" t="n">
        <x:v>1</x:v>
      </x:c>
      <x:c r="C30" s="26"/>
      <x:c r="D30" s="26"/>
      <x:c r="E30" s="26"/>
      <x:c r="F30" s="26"/>
      <x:c r="G30" s="26"/>
      <x:c r="H30" s="26"/>
      <x:c r="I30" s="28" t="n">
        <x:f>ROUND(SUM(I29:I29),1)</x:f>
        <x:v>105</x:v>
      </x:c>
      <x:c r="J30" s="26"/>
      <x:c r="K30" s="26"/>
    </x:row>
    <x:row r="31">
      <x:c r="A31" s="27" t="str">
        <x:v>均值</x:v>
      </x:c>
      <x:c r="B31" s="26"/>
      <x:c r="C31" s="26"/>
      <x:c r="D31" s="26"/>
      <x:c r="E31" s="26"/>
      <x:c r="F31" s="26"/>
      <x:c r="G31" s="26"/>
      <x:c r="H31" s="26"/>
      <x:c r="I31" s="30" t="n">
        <x:f>ROUND(IFERROR(AVERAGE(I29:I29),0),1)</x:f>
        <x:v>105</x:v>
      </x:c>
      <x:c r="J31" s="26"/>
      <x:c r="K31" s="26"/>
    </x:row>
    <x:row r="33">
      <x:c r="A33" s="17" t="str">
        <x:v>IF主力</x:v>
      </x:c>
      <x:c r="B33" s="17"/>
      <x:c r="C33" s="17"/>
      <x:c r="D33" s="17"/>
      <x:c r="E33" s="17"/>
      <x:c r="F33" s="17"/>
      <x:c r="G33" s="17"/>
      <x:c r="H33" s="17"/>
      <x:c r="I33" s="17"/>
      <x:c r="J33" s="17"/>
      <x:c r="K33" s="17"/>
    </x:row>
    <x:row r="34">
      <x:c r="A34" s="20" t="str">
        <x:v>序号</x:v>
      </x:c>
      <x:c r="B34" s="20" t="str">
        <x:v>周期</x:v>
      </x:c>
      <x:c r="C34" s="20" t="str">
        <x:v>开盘</x:v>
      </x:c>
      <x:c r="D34" s="20" t="str">
        <x:v>高点</x:v>
      </x:c>
      <x:c r="E34" s="20" t="str">
        <x:v>低点</x:v>
      </x:c>
      <x:c r="F34" s="20" t="str">
        <x:v>收盘</x:v>
      </x:c>
      <x:c r="G34" s="20" t="str">
        <x:v>涨跌点数</x:v>
      </x:c>
      <x:c r="H34" s="20" t="str">
        <x:v>涨幅</x:v>
      </x:c>
      <x:c r="I34" s="20" t="str">
        <x:v>振幅</x:v>
      </x:c>
      <x:c r="J34" s="20" t="str">
        <x:v>标的</x:v>
      </x:c>
      <x:c r="K34" s="20" t="str">
        <x:v>交易日</x:v>
      </x:c>
    </x:row>
    <x:row r="35">
      <x:c r="A35" s="22" t="n">
        <x:v>1</x:v>
      </x:c>
      <x:c r="B35" s="22" t="str">
        <x:v>8月3日</x:v>
      </x:c>
      <x:c r="C35" s="23" t="n">
        <x:v>4526.4</x:v>
      </x:c>
      <x:c r="D35" s="23" t="n">
        <x:v>4538</x:v>
      </x:c>
      <x:c r="E35" s="23" t="n">
        <x:v>4494.2</x:v>
      </x:c>
      <x:c r="F35" s="23" t="n">
        <x:v>4512.2</x:v>
      </x:c>
      <x:c r="G35" s="23"/>
      <x:c r="H35" s="24"/>
      <x:c r="I35" s="23" t="n">
        <x:f>ROUND(D35-E35,1)</x:f>
        <x:v>43.8</x:v>
      </x:c>
      <x:c r="J35" s="22" t="str">
        <x:v>IF2609</x:v>
      </x:c>
      <x:c r="K35" s="22" t="n">
        <x:v>1</x:v>
      </x:c>
    </x:row>
    <x:row r="36">
      <x:c r="A36" s="27" t="str">
        <x:v>合计</x:v>
      </x:c>
      <x:c r="B36" s="26" t="n">
        <x:v>1</x:v>
      </x:c>
      <x:c r="C36" s="26"/>
      <x:c r="D36" s="26"/>
      <x:c r="E36" s="26"/>
      <x:c r="F36" s="26"/>
      <x:c r="G36" s="26"/>
      <x:c r="H36" s="26"/>
      <x:c r="I36" s="28" t="n">
        <x:f>ROUND(SUM(I35:I35),1)</x:f>
        <x:v>43.8</x:v>
      </x:c>
      <x:c r="J36" s="26"/>
      <x:c r="K36" s="26"/>
    </x:row>
    <x:row r="37">
      <x:c r="A37" s="27" t="str">
        <x:v>均值</x:v>
      </x:c>
      <x:c r="B37" s="26"/>
      <x:c r="C37" s="26"/>
      <x:c r="D37" s="26"/>
      <x:c r="E37" s="26"/>
      <x:c r="F37" s="26"/>
      <x:c r="G37" s="26"/>
      <x:c r="H37" s="26"/>
      <x:c r="I37" s="30" t="n">
        <x:f>ROUND(IFERROR(AVERAGE(I35:I35),0),1)</x:f>
        <x:v>43.8</x:v>
      </x:c>
      <x:c r="J37" s="26"/>
      <x:c r="K37" s="26"/>
    </x:row>
    <x:row r="39">
      <x:c r="A39" s="17" t="str">
        <x:v>IH主力</x:v>
      </x:c>
      <x:c r="B39" s="17"/>
      <x:c r="C39" s="17"/>
      <x:c r="D39" s="17"/>
      <x:c r="E39" s="17"/>
      <x:c r="F39" s="17"/>
      <x:c r="G39" s="17"/>
      <x:c r="H39" s="17"/>
      <x:c r="I39" s="17"/>
      <x:c r="J39" s="17"/>
      <x:c r="K39" s="17"/>
    </x:row>
    <x:row r="40">
      <x:c r="A40" s="20" t="str">
        <x:v>序号</x:v>
      </x:c>
      <x:c r="B40" s="20" t="str">
        <x:v>周期</x:v>
      </x:c>
      <x:c r="C40" s="20" t="str">
        <x:v>开盘</x:v>
      </x:c>
      <x:c r="D40" s="20" t="str">
        <x:v>高点</x:v>
      </x:c>
      <x:c r="E40" s="20" t="str">
        <x:v>低点</x:v>
      </x:c>
      <x:c r="F40" s="20" t="str">
        <x:v>收盘</x:v>
      </x:c>
      <x:c r="G40" s="20" t="str">
        <x:v>涨跌点数</x:v>
      </x:c>
      <x:c r="H40" s="20" t="str">
        <x:v>涨幅</x:v>
      </x:c>
      <x:c r="I40" s="20" t="str">
        <x:v>振幅</x:v>
      </x:c>
      <x:c r="J40" s="20" t="str">
        <x:v>标的</x:v>
      </x:c>
      <x:c r="K40" s="20" t="str">
        <x:v>交易日</x:v>
      </x:c>
    </x:row>
    <x:row r="41">
      <x:c r="A41" s="22" t="n">
        <x:v>1</x:v>
      </x:c>
      <x:c r="B41" s="22" t="str">
        <x:v>8月3日</x:v>
      </x:c>
      <x:c r="C41" s="23" t="n">
        <x:v>2882.4</x:v>
      </x:c>
      <x:c r="D41" s="23" t="n">
        <x:v>2890</x:v>
      </x:c>
      <x:c r="E41" s="23" t="n">
        <x:v>2845.8</x:v>
      </x:c>
      <x:c r="F41" s="23" t="n">
        <x:v>2860</x:v>
      </x:c>
      <x:c r="G41" s="23"/>
      <x:c r="H41" s="24"/>
      <x:c r="I41" s="23" t="n">
        <x:f>ROUND(D41-E41,1)</x:f>
        <x:v>44.2</x:v>
      </x:c>
      <x:c r="J41" s="22" t="str">
        <x:v>IH2609</x:v>
      </x:c>
      <x:c r="K41" s="22" t="n">
        <x:v>1</x:v>
      </x:c>
    </x:row>
    <x:row r="42">
      <x:c r="A42" s="27" t="str">
        <x:v>合计</x:v>
      </x:c>
      <x:c r="B42" s="26" t="n">
        <x:v>1</x:v>
      </x:c>
      <x:c r="C42" s="26"/>
      <x:c r="D42" s="26"/>
      <x:c r="E42" s="26"/>
      <x:c r="F42" s="26"/>
      <x:c r="G42" s="26"/>
      <x:c r="H42" s="26"/>
      <x:c r="I42" s="28" t="n">
        <x:f>ROUND(SUM(I41:I41),1)</x:f>
        <x:v>44.2</x:v>
      </x:c>
      <x:c r="J42" s="26"/>
      <x:c r="K42" s="26"/>
    </x:row>
    <x:row r="43">
      <x:c r="A43" s="27" t="str">
        <x:v>均值</x:v>
      </x:c>
      <x:c r="B43" s="26"/>
      <x:c r="C43" s="26"/>
      <x:c r="D43" s="26"/>
      <x:c r="E43" s="26"/>
      <x:c r="F43" s="26"/>
      <x:c r="G43" s="26"/>
      <x:c r="H43" s="26"/>
      <x:c r="I43" s="30" t="n">
        <x:f>ROUND(IFERROR(AVERAGE(I41:I41),0),1)</x:f>
        <x:v>44.2</x:v>
      </x:c>
      <x:c r="J43" s="26"/>
      <x:c r="K43" s="26"/>
    </x:row>
  </x:sheetData>
  <x:mergeCells>
    <x:mergeCell ref="A1:K1"/>
    <x:mergeCell ref="A3:K3"/>
    <x:mergeCell ref="A9:K9"/>
    <x:mergeCell ref="A15:K15"/>
    <x:mergeCell ref="A21:K21"/>
    <x:mergeCell ref="A27:K27"/>
    <x:mergeCell ref="A33:K33"/>
    <x:mergeCell ref="A39:K39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2026年8月统计 - 中证1000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周一</x:v>
      </x:c>
      <x:c r="C4" s="22" t="str">
        <x:v>8月3日</x:v>
      </x:c>
      <x:c r="D4" s="23" t="n">
        <x:v>7055.27</x:v>
      </x:c>
      <x:c r="E4" s="23" t="n">
        <x:v>7118.1</x:v>
      </x:c>
      <x:c r="F4" s="23" t="n">
        <x:v>7042.89</x:v>
      </x:c>
      <x:c r="G4" s="23" t="n">
        <x:v>7079.78</x:v>
      </x:c>
      <x:c r="H4" s="23" t="n">
        <x:v>4.3</x:v>
      </x:c>
      <x:c r="I4" s="24" t="n">
        <x:v>0.0006034900664404486</x:v>
      </x:c>
      <x:c r="J4" s="23" t="n">
        <x:f>ROUND(E4-F4,1)</x:f>
        <x:v>75.2</x:v>
      </x:c>
      <x:c r="K4" s="22" t="str">
        <x:v>中证1000</x:v>
      </x:c>
    </x:row>
    <x:row r="7">
      <x:c r="A7" s="27" t="str">
        <x:v>合计</x:v>
      </x:c>
      <x:c r="B7" s="26" t="n">
        <x:v>1</x:v>
      </x:c>
      <x:c r="C7" s="26"/>
      <x:c r="D7" s="26"/>
      <x:c r="E7" s="26"/>
      <x:c r="F7" s="26"/>
      <x:c r="G7" s="26"/>
      <x:c r="H7" s="26"/>
      <x:c r="I7" s="26"/>
      <x:c r="J7" s="28" t="n">
        <x:f>SUM(J4:J4)</x:f>
        <x:v>75.2</x:v>
      </x:c>
      <x:c r="K7" s="26"/>
    </x:row>
    <x:row r="8">
      <x:c r="A8" s="27" t="str">
        <x:v>均值</x:v>
      </x:c>
      <x:c r="B8" s="26"/>
      <x:c r="C8" s="26"/>
      <x:c r="D8" s="26"/>
      <x:c r="E8" s="26"/>
      <x:c r="F8" s="26"/>
      <x:c r="G8" s="26"/>
      <x:c r="H8" s="26"/>
      <x:c r="I8" s="26"/>
      <x:c r="J8" s="30" t="n">
        <x:f>ROUND(IFERROR(AVERAGE(J4:J4),0),1)</x:f>
        <x:v>75.2</x:v>
      </x:c>
      <x:c r="K8" s="26"/>
    </x:row>
  </x:sheetData>
  <x:mergeCells>
    <x:mergeCell ref="A1:K1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2026年8月统计 - 中证500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周一</x:v>
      </x:c>
      <x:c r="C4" s="22" t="str">
        <x:v>8月3日</x:v>
      </x:c>
      <x:c r="D4" s="23" t="n">
        <x:v>7457.12</x:v>
      </x:c>
      <x:c r="E4" s="23" t="n">
        <x:v>7499.58</x:v>
      </x:c>
      <x:c r="F4" s="23" t="n">
        <x:v>7397.94</x:v>
      </x:c>
      <x:c r="G4" s="23" t="n">
        <x:v>7414.52</x:v>
      </x:c>
      <x:c r="H4" s="23" t="n">
        <x:v>-79.5</x:v>
      </x:c>
      <x:c r="I4" s="24" t="n">
        <x:v>-0.010604497737520258</x:v>
      </x:c>
      <x:c r="J4" s="23" t="n">
        <x:f>ROUND(E4-F4,1)</x:f>
        <x:v>101.6</x:v>
      </x:c>
      <x:c r="K4" s="22" t="str">
        <x:v>中证500</x:v>
      </x:c>
    </x:row>
    <x:row r="7">
      <x:c r="A7" s="27" t="str">
        <x:v>合计</x:v>
      </x:c>
      <x:c r="B7" s="26" t="n">
        <x:v>1</x:v>
      </x:c>
      <x:c r="C7" s="26"/>
      <x:c r="D7" s="26"/>
      <x:c r="E7" s="26"/>
      <x:c r="F7" s="26"/>
      <x:c r="G7" s="26"/>
      <x:c r="H7" s="26"/>
      <x:c r="I7" s="26"/>
      <x:c r="J7" s="28" t="n">
        <x:f>SUM(J4:J4)</x:f>
        <x:v>101.6</x:v>
      </x:c>
      <x:c r="K7" s="26"/>
    </x:row>
    <x:row r="8">
      <x:c r="A8" s="27" t="str">
        <x:v>均值</x:v>
      </x:c>
      <x:c r="B8" s="26"/>
      <x:c r="C8" s="26"/>
      <x:c r="D8" s="26"/>
      <x:c r="E8" s="26"/>
      <x:c r="F8" s="26"/>
      <x:c r="G8" s="26"/>
      <x:c r="H8" s="26"/>
      <x:c r="I8" s="26"/>
      <x:c r="J8" s="30" t="n">
        <x:f>ROUND(IFERROR(AVERAGE(J4:J4),0),1)</x:f>
        <x:v>101.6</x:v>
      </x:c>
      <x:c r="K8" s="26"/>
    </x:row>
  </x:sheetData>
  <x:mergeCells>
    <x:mergeCell ref="A1:K1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2026年8月统计 - 上证指数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周一</x:v>
      </x:c>
      <x:c r="C4" s="22" t="str">
        <x:v>8月3日</x:v>
      </x:c>
      <x:c r="D4" s="23" t="n">
        <x:v>3812.61</x:v>
      </x:c>
      <x:c r="E4" s="23" t="n">
        <x:v>3827.64</x:v>
      </x:c>
      <x:c r="F4" s="23" t="n">
        <x:v>3797.64</x:v>
      </x:c>
      <x:c r="G4" s="23" t="n">
        <x:v>3809.66</x:v>
      </x:c>
      <x:c r="H4" s="23" t="n">
        <x:v>-22.6</x:v>
      </x:c>
      <x:c r="I4" s="24" t="n">
        <x:v>-0.005897303418870403</x:v>
      </x:c>
      <x:c r="J4" s="23" t="n">
        <x:f>ROUND(E4-F4,1)</x:f>
        <x:v>30</x:v>
      </x:c>
      <x:c r="K4" s="22" t="str">
        <x:v>上证指数</x:v>
      </x:c>
    </x:row>
    <x:row r="7">
      <x:c r="A7" s="27" t="str">
        <x:v>合计</x:v>
      </x:c>
      <x:c r="B7" s="26" t="n">
        <x:v>1</x:v>
      </x:c>
      <x:c r="C7" s="26"/>
      <x:c r="D7" s="26"/>
      <x:c r="E7" s="26"/>
      <x:c r="F7" s="26"/>
      <x:c r="G7" s="26"/>
      <x:c r="H7" s="26"/>
      <x:c r="I7" s="26"/>
      <x:c r="J7" s="28" t="n">
        <x:f>SUM(J4:J4)</x:f>
        <x:v>30</x:v>
      </x:c>
      <x:c r="K7" s="26"/>
    </x:row>
    <x:row r="8">
      <x:c r="A8" s="27" t="str">
        <x:v>均值</x:v>
      </x:c>
      <x:c r="B8" s="26"/>
      <x:c r="C8" s="26"/>
      <x:c r="D8" s="26"/>
      <x:c r="E8" s="26"/>
      <x:c r="F8" s="26"/>
      <x:c r="G8" s="26"/>
      <x:c r="H8" s="26"/>
      <x:c r="I8" s="26"/>
      <x:c r="J8" s="30" t="n">
        <x:f>ROUND(IFERROR(AVERAGE(J4:J4),0),1)</x:f>
        <x:v>30</x:v>
      </x:c>
      <x:c r="K8" s="26"/>
    </x:row>
  </x:sheetData>
  <x:mergeCells>
    <x:mergeCell ref="A1:K1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2026年8月统计 - IM主力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周一</x:v>
      </x:c>
      <x:c r="C4" s="22" t="str">
        <x:v>8月3日</x:v>
      </x:c>
      <x:c r="D4" s="23" t="n">
        <x:v>7000</x:v>
      </x:c>
      <x:c r="E4" s="23" t="n">
        <x:v>7064.2</x:v>
      </x:c>
      <x:c r="F4" s="23" t="n">
        <x:v>6976</x:v>
      </x:c>
      <x:c r="G4" s="23" t="n">
        <x:v>7023.4</x:v>
      </x:c>
      <x:c r="H4" s="23" t="n">
        <x:v>35.6</x:v>
      </x:c>
      <x:c r="I4" s="24" t="n">
        <x:v>0.005094593434270989</x:v>
      </x:c>
      <x:c r="J4" s="23" t="n">
        <x:f>ROUND(E4-F4,1)</x:f>
        <x:v>88.2</x:v>
      </x:c>
      <x:c r="K4" s="22" t="str">
        <x:v>IM2609</x:v>
      </x:c>
    </x:row>
    <x:row r="7">
      <x:c r="A7" s="27" t="str">
        <x:v>合计</x:v>
      </x:c>
      <x:c r="B7" s="26" t="n">
        <x:v>1</x:v>
      </x:c>
      <x:c r="C7" s="26"/>
      <x:c r="D7" s="26"/>
      <x:c r="E7" s="26"/>
      <x:c r="F7" s="26"/>
      <x:c r="G7" s="26"/>
      <x:c r="H7" s="26"/>
      <x:c r="I7" s="26"/>
      <x:c r="J7" s="28" t="n">
        <x:f>SUM(J4:J4)</x:f>
        <x:v>88.2</x:v>
      </x:c>
      <x:c r="K7" s="26"/>
    </x:row>
    <x:row r="8">
      <x:c r="A8" s="27" t="str">
        <x:v>均值</x:v>
      </x:c>
      <x:c r="B8" s="26"/>
      <x:c r="C8" s="26"/>
      <x:c r="D8" s="26"/>
      <x:c r="E8" s="26"/>
      <x:c r="F8" s="26"/>
      <x:c r="G8" s="26"/>
      <x:c r="H8" s="26"/>
      <x:c r="I8" s="26"/>
      <x:c r="J8" s="30" t="n">
        <x:f>ROUND(IFERROR(AVERAGE(J4:J4),0),1)</x:f>
        <x:v>88.2</x:v>
      </x:c>
      <x:c r="K8" s="26"/>
    </x:row>
  </x:sheetData>
  <x:mergeCells>
    <x:mergeCell ref="A1:K1"/>
  </x:mergeCell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2026年8月统计 - IC主力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周一</x:v>
      </x:c>
      <x:c r="C4" s="22" t="str">
        <x:v>8月3日</x:v>
      </x:c>
      <x:c r="D4" s="23" t="n">
        <x:v>7391</x:v>
      </x:c>
      <x:c r="E4" s="23" t="n">
        <x:v>7440</x:v>
      </x:c>
      <x:c r="F4" s="23" t="n">
        <x:v>7335</x:v>
      </x:c>
      <x:c r="G4" s="23" t="n">
        <x:v>7356</x:v>
      </x:c>
      <x:c r="H4" s="23" t="n">
        <x:v>-39</x:v>
      </x:c>
      <x:c r="I4" s="24" t="n">
        <x:v>-0.005273833671399553</x:v>
      </x:c>
      <x:c r="J4" s="23" t="n">
        <x:f>ROUND(E4-F4,1)</x:f>
        <x:v>105</x:v>
      </x:c>
      <x:c r="K4" s="22" t="str">
        <x:v>IC2609</x:v>
      </x:c>
    </x:row>
    <x:row r="7">
      <x:c r="A7" s="27" t="str">
        <x:v>合计</x:v>
      </x:c>
      <x:c r="B7" s="26" t="n">
        <x:v>1</x:v>
      </x:c>
      <x:c r="C7" s="26"/>
      <x:c r="D7" s="26"/>
      <x:c r="E7" s="26"/>
      <x:c r="F7" s="26"/>
      <x:c r="G7" s="26"/>
      <x:c r="H7" s="26"/>
      <x:c r="I7" s="26"/>
      <x:c r="J7" s="28" t="n">
        <x:f>SUM(J4:J4)</x:f>
        <x:v>105</x:v>
      </x:c>
      <x:c r="K7" s="26"/>
    </x:row>
    <x:row r="8">
      <x:c r="A8" s="27" t="str">
        <x:v>均值</x:v>
      </x:c>
      <x:c r="B8" s="26"/>
      <x:c r="C8" s="26"/>
      <x:c r="D8" s="26"/>
      <x:c r="E8" s="26"/>
      <x:c r="F8" s="26"/>
      <x:c r="G8" s="26"/>
      <x:c r="H8" s="26"/>
      <x:c r="I8" s="26"/>
      <x:c r="J8" s="30" t="n">
        <x:f>ROUND(IFERROR(AVERAGE(J4:J4),0),1)</x:f>
        <x:v>105</x:v>
      </x:c>
      <x:c r="K8" s="26"/>
    </x:row>
  </x:sheetData>
  <x:mergeCells>
    <x:mergeCell ref="A1:K1"/>
  </x:mergeCell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2026年8月统计 - IF主力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周一</x:v>
      </x:c>
      <x:c r="C4" s="22" t="str">
        <x:v>8月3日</x:v>
      </x:c>
      <x:c r="D4" s="23" t="n">
        <x:v>4526.4</x:v>
      </x:c>
      <x:c r="E4" s="23" t="n">
        <x:v>4538</x:v>
      </x:c>
      <x:c r="F4" s="23" t="n">
        <x:v>4494.2</x:v>
      </x:c>
      <x:c r="G4" s="23" t="n">
        <x:v>4512.2</x:v>
      </x:c>
      <x:c r="H4" s="23" t="n">
        <x:v>-25.8</x:v>
      </x:c>
      <x:c r="I4" s="24" t="n">
        <x:v>-0.005685323931247321</x:v>
      </x:c>
      <x:c r="J4" s="23" t="n">
        <x:f>ROUND(E4-F4,1)</x:f>
        <x:v>43.8</x:v>
      </x:c>
      <x:c r="K4" s="22" t="str">
        <x:v>IF2609</x:v>
      </x:c>
    </x:row>
    <x:row r="7">
      <x:c r="A7" s="27" t="str">
        <x:v>合计</x:v>
      </x:c>
      <x:c r="B7" s="26" t="n">
        <x:v>1</x:v>
      </x:c>
      <x:c r="C7" s="26"/>
      <x:c r="D7" s="26"/>
      <x:c r="E7" s="26"/>
      <x:c r="F7" s="26"/>
      <x:c r="G7" s="26"/>
      <x:c r="H7" s="26"/>
      <x:c r="I7" s="26"/>
      <x:c r="J7" s="28" t="n">
        <x:f>SUM(J4:J4)</x:f>
        <x:v>43.8</x:v>
      </x:c>
      <x:c r="K7" s="26"/>
    </x:row>
    <x:row r="8">
      <x:c r="A8" s="27" t="str">
        <x:v>均值</x:v>
      </x:c>
      <x:c r="B8" s="26"/>
      <x:c r="C8" s="26"/>
      <x:c r="D8" s="26"/>
      <x:c r="E8" s="26"/>
      <x:c r="F8" s="26"/>
      <x:c r="G8" s="26"/>
      <x:c r="H8" s="26"/>
      <x:c r="I8" s="26"/>
      <x:c r="J8" s="30" t="n">
        <x:f>ROUND(IFERROR(AVERAGE(J4:J4),0),1)</x:f>
        <x:v>43.8</x:v>
      </x:c>
      <x:c r="K8" s="26"/>
    </x:row>
  </x:sheetData>
  <x:mergeCells>
    <x:mergeCell ref="A1:K1"/>
  </x:mergeCell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2026年8月统计 - IH主力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周一</x:v>
      </x:c>
      <x:c r="C4" s="22" t="str">
        <x:v>8月3日</x:v>
      </x:c>
      <x:c r="D4" s="23" t="n">
        <x:v>2882.4</x:v>
      </x:c>
      <x:c r="E4" s="23" t="n">
        <x:v>2890</x:v>
      </x:c>
      <x:c r="F4" s="23" t="n">
        <x:v>2845.8</x:v>
      </x:c>
      <x:c r="G4" s="23" t="n">
        <x:v>2860</x:v>
      </x:c>
      <x:c r="H4" s="23" t="n">
        <x:v>-31.8</x:v>
      </x:c>
      <x:c r="I4" s="24" t="n">
        <x:v>-0.010996611107268905</x:v>
      </x:c>
      <x:c r="J4" s="23" t="n">
        <x:f>ROUND(E4-F4,1)</x:f>
        <x:v>44.2</x:v>
      </x:c>
      <x:c r="K4" s="22" t="str">
        <x:v>IH2609</x:v>
      </x:c>
    </x:row>
    <x:row r="7">
      <x:c r="A7" s="27" t="str">
        <x:v>合计</x:v>
      </x:c>
      <x:c r="B7" s="26" t="n">
        <x:v>1</x:v>
      </x:c>
      <x:c r="C7" s="26"/>
      <x:c r="D7" s="26"/>
      <x:c r="E7" s="26"/>
      <x:c r="F7" s="26"/>
      <x:c r="G7" s="26"/>
      <x:c r="H7" s="26"/>
      <x:c r="I7" s="26"/>
      <x:c r="J7" s="28" t="n">
        <x:f>SUM(J4:J4)</x:f>
        <x:v>44.2</x:v>
      </x:c>
      <x:c r="K7" s="26"/>
    </x:row>
    <x:row r="8">
      <x:c r="A8" s="27" t="str">
        <x:v>均值</x:v>
      </x:c>
      <x:c r="B8" s="26"/>
      <x:c r="C8" s="26"/>
      <x:c r="D8" s="26"/>
      <x:c r="E8" s="26"/>
      <x:c r="F8" s="26"/>
      <x:c r="G8" s="26"/>
      <x:c r="H8" s="26"/>
      <x:c r="I8" s="26"/>
      <x:c r="J8" s="30" t="n">
        <x:f>ROUND(IFERROR(AVERAGE(J4:J4),0),1)</x:f>
        <x:v>44.2</x:v>
      </x:c>
      <x:c r="K8" s="26"/>
    </x:row>
  </x:sheetData>
  <x:mergeCells>
    <x:mergeCell ref="A1:K1"/>
  </x:mergeCells>
  <x:pageMargins left="0.7" right="0.7" top="0.75" bottom="0.75" header="0.3" footer="0.3"/>
</x:worksheet>
</file>