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ef92dc55b643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19fc4aa5e884359"/>
    <x:sheet xmlns:r="http://schemas.openxmlformats.org/officeDocument/2006/relationships" name="周振幅统计" sheetId="2" r:id="R606d2e9edec5419d"/>
    <x:sheet xmlns:r="http://schemas.openxmlformats.org/officeDocument/2006/relationships" name="中证1000" sheetId="3" r:id="R8cc5011706954b9c"/>
    <x:sheet xmlns:r="http://schemas.openxmlformats.org/officeDocument/2006/relationships" name="中证500" sheetId="4" r:id="R4016840a39de42ec"/>
    <x:sheet xmlns:r="http://schemas.openxmlformats.org/officeDocument/2006/relationships" name="上证指数" sheetId="5" r:id="R9c4e61e4cb7f48fe"/>
    <x:sheet xmlns:r="http://schemas.openxmlformats.org/officeDocument/2006/relationships" name="IM主力" sheetId="6" r:id="R5cbd679f42df44a4"/>
    <x:sheet xmlns:r="http://schemas.openxmlformats.org/officeDocument/2006/relationships" name="IC主力" sheetId="7" r:id="R207048fcaa414741"/>
    <x:sheet xmlns:r="http://schemas.openxmlformats.org/officeDocument/2006/relationships" name="IF主力" sheetId="8" r:id="R8dac8869aa744cc6"/>
    <x:sheet xmlns:r="http://schemas.openxmlformats.org/officeDocument/2006/relationships" name="IH主力" sheetId="9" r:id="Rd39ff3cd26014f1d"/>
    <x:sheet xmlns:r="http://schemas.openxmlformats.org/officeDocument/2006/relationships" name="碳酸锂2610" sheetId="10" r:id="R2a1b2802326246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1ee8c4ed6b46b1" /><Relationship Type="http://schemas.openxmlformats.org/officeDocument/2006/relationships/theme" Target="/xl/theme/theme1.xml" Id="Rb90a400ca61c409a" /><Relationship Type="http://schemas.openxmlformats.org/officeDocument/2006/relationships/sharedStrings" Target="/xl/sharedStrings.xml" Id="Rd6369c8131614d2e" /><Relationship Type="http://schemas.openxmlformats.org/officeDocument/2006/relationships/worksheet" Target="/xl/worksheets/sheet1.xml" Id="Ra19fc4aa5e884359" /><Relationship Type="http://schemas.openxmlformats.org/officeDocument/2006/relationships/worksheet" Target="/xl/worksheets/sheet2.xml" Id="R606d2e9edec5419d" /><Relationship Type="http://schemas.openxmlformats.org/officeDocument/2006/relationships/worksheet" Target="/xl/worksheets/sheet3.xml" Id="R8cc5011706954b9c" /><Relationship Type="http://schemas.openxmlformats.org/officeDocument/2006/relationships/worksheet" Target="/xl/worksheets/sheet4.xml" Id="R4016840a39de42ec" /><Relationship Type="http://schemas.openxmlformats.org/officeDocument/2006/relationships/worksheet" Target="/xl/worksheets/sheet5.xml" Id="R9c4e61e4cb7f48fe" /><Relationship Type="http://schemas.openxmlformats.org/officeDocument/2006/relationships/worksheet" Target="/xl/worksheets/sheet6.xml" Id="R5cbd679f42df44a4" /><Relationship Type="http://schemas.openxmlformats.org/officeDocument/2006/relationships/worksheet" Target="/xl/worksheets/sheet7.xml" Id="R207048fcaa414741" /><Relationship Type="http://schemas.openxmlformats.org/officeDocument/2006/relationships/worksheet" Target="/xl/worksheets/sheet8.xml" Id="R8dac8869aa744cc6" /><Relationship Type="http://schemas.openxmlformats.org/officeDocument/2006/relationships/worksheet" Target="/xl/worksheets/sheet9.xml" Id="Rd39ff3cd26014f1d" /><Relationship Type="http://schemas.openxmlformats.org/officeDocument/2006/relationships/worksheet" Target="/xl/worksheets/sheet10.xml" Id="R2a1b2802326246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2026-09-21</x:v>
      </x:c>
      <x:c r="C4" s="10" t="n">
        <x:v>7777.91</x:v>
      </x:c>
      <x:c r="D4" s="10" t="n">
        <x:v>7723.68</x:v>
      </x:c>
      <x:c r="E4" s="12" t="n">
        <x:v>54.2</x:v>
      </x:c>
      <x:c r="F4" s="9" t="n">
        <x:v>15</x:v>
      </x:c>
      <x:c r="G4" s="10" t="n">
        <x:v>1954.8</x:v>
      </x:c>
      <x:c r="H4" s="10" t="n">
        <x:v>130.3</x:v>
      </x:c>
      <x:c r="I4" s="10" t="n">
        <x:v>180</x:v>
      </x:c>
    </x:row>
    <x:row r="5">
      <x:c r="A5" s="9" t="str">
        <x:v>中证500</x:v>
      </x:c>
      <x:c r="B5" s="9" t="str">
        <x:v>2026-09-21</x:v>
      </x:c>
      <x:c r="C5" s="10" t="n">
        <x:v>7869.35</x:v>
      </x:c>
      <x:c r="D5" s="10" t="n">
        <x:v>7809.59</x:v>
      </x:c>
      <x:c r="E5" s="12" t="n">
        <x:v>59.8</x:v>
      </x:c>
      <x:c r="F5" s="9" t="n">
        <x:v>15</x:v>
      </x:c>
      <x:c r="G5" s="10" t="n">
        <x:v>1787.1</x:v>
      </x:c>
      <x:c r="H5" s="10" t="n">
        <x:v>119.1</x:v>
      </x:c>
      <x:c r="I5" s="10" t="n">
        <x:v>160</x:v>
      </x:c>
    </x:row>
    <x:row r="6">
      <x:c r="A6" s="9" t="str">
        <x:v>上证指数</x:v>
      </x:c>
      <x:c r="B6" s="9" t="str">
        <x:v>2026-09-21</x:v>
      </x:c>
      <x:c r="C6" s="10" t="n">
        <x:v>3950.94</x:v>
      </x:c>
      <x:c r="D6" s="10" t="n">
        <x:v>3918.13</x:v>
      </x:c>
      <x:c r="E6" s="12" t="n">
        <x:v>32.8</x:v>
      </x:c>
      <x:c r="F6" s="9" t="n">
        <x:v>15</x:v>
      </x:c>
      <x:c r="G6" s="10" t="n">
        <x:v>529.3</x:v>
      </x:c>
      <x:c r="H6" s="10" t="n">
        <x:v>35.3</x:v>
      </x:c>
      <x:c r="I6" s="10" t="n">
        <x:v>50</x:v>
      </x:c>
    </x:row>
    <x:row r="7">
      <x:c r="A7" s="9" t="str">
        <x:v>IM主力</x:v>
      </x:c>
      <x:c r="B7" s="9" t="str">
        <x:v>2026-09-18</x:v>
      </x:c>
      <x:c r="C7" s="10" t="n">
        <x:v>7712.4</x:v>
      </x:c>
      <x:c r="D7" s="10" t="n">
        <x:v>7606.6</x:v>
      </x:c>
      <x:c r="E7" s="12" t="n">
        <x:v>105.8</x:v>
      </x:c>
      <x:c r="F7" s="9" t="n">
        <x:v>14</x:v>
      </x:c>
      <x:c r="G7" s="10" t="n">
        <x:v>2120.2</x:v>
      </x:c>
      <x:c r="H7" s="10" t="n">
        <x:v>151.4</x:v>
      </x:c>
      <x:c r="I7" s="10" t="n">
        <x:v>190</x:v>
      </x:c>
    </x:row>
    <x:row r="8">
      <x:c r="A8" s="9" t="str">
        <x:v>IC主力</x:v>
      </x:c>
      <x:c r="B8" s="9" t="str">
        <x:v>2026-09-18</x:v>
      </x:c>
      <x:c r="C8" s="10" t="n">
        <x:v>7820</x:v>
      </x:c>
      <x:c r="D8" s="10" t="n">
        <x:v>7709.2</x:v>
      </x:c>
      <x:c r="E8" s="12" t="n">
        <x:v>110.8</x:v>
      </x:c>
      <x:c r="F8" s="9" t="n">
        <x:v>14</x:v>
      </x:c>
      <x:c r="G8" s="10" t="n">
        <x:v>2022</x:v>
      </x:c>
      <x:c r="H8" s="10" t="n">
        <x:v>144.4</x:v>
      </x:c>
      <x:c r="I8" s="10" t="n">
        <x:v>150</x:v>
      </x:c>
    </x:row>
    <x:row r="9">
      <x:c r="A9" s="9" t="str">
        <x:v>IF主力</x:v>
      </x:c>
      <x:c r="B9" s="9" t="str">
        <x:v>2026-09-18</x:v>
      </x:c>
      <x:c r="C9" s="10" t="n">
        <x:v>4520.6</x:v>
      </x:c>
      <x:c r="D9" s="10" t="n">
        <x:v>4481</x:v>
      </x:c>
      <x:c r="E9" s="12" t="n">
        <x:v>39.6</x:v>
      </x:c>
      <x:c r="F9" s="9" t="n">
        <x:v>14</x:v>
      </x:c>
      <x:c r="G9" s="10" t="n">
        <x:v>737</x:v>
      </x:c>
      <x:c r="H9" s="10" t="n">
        <x:v>52.6</x:v>
      </x:c>
      <x:c r="I9" s="10" t="n">
        <x:v>90</x:v>
      </x:c>
    </x:row>
    <x:row r="10">
      <x:c r="A10" s="9" t="str">
        <x:v>IH主力</x:v>
      </x:c>
      <x:c r="B10" s="9" t="str">
        <x:v>2026-09-18</x:v>
      </x:c>
      <x:c r="C10" s="10" t="n">
        <x:v>2870.8</x:v>
      </x:c>
      <x:c r="D10" s="10" t="n">
        <x:v>2853.4</x:v>
      </x:c>
      <x:c r="E10" s="12" t="n">
        <x:v>17.4</x:v>
      </x:c>
      <x:c r="F10" s="9" t="n">
        <x:v>14</x:v>
      </x:c>
      <x:c r="G10" s="10" t="n">
        <x:v>432.4</x:v>
      </x:c>
      <x:c r="H10" s="10" t="n">
        <x:v>30.9</x:v>
      </x:c>
      <x:c r="I10" s="10" t="n">
        <x:v>60</x:v>
      </x:c>
    </x:row>
    <x:row r="11">
      <x:c r="A11" s="9" t="str">
        <x:v>碳酸锂2610</x:v>
      </x:c>
      <x:c r="B11" s="9" t="str">
        <x:v>2026-09-21</x:v>
      </x:c>
      <x:c r="C11" s="10" t="n">
        <x:v>134800</x:v>
      </x:c>
      <x:c r="D11" s="10" t="n">
        <x:v>127100</x:v>
      </x:c>
      <x:c r="E11" s="12" t="n">
        <x:v>7700</x:v>
      </x:c>
      <x:c r="F11" s="9" t="n">
        <x:v>15</x:v>
      </x:c>
      <x:c r="G11" s="10" t="n">
        <x:v>89880</x:v>
      </x:c>
      <x:c r="H11" s="10" t="n">
        <x:v>5992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</x:v>
      </x:c>
      <x:c r="C8" s="23" t="n">
        <x:v>7723.68</x:v>
      </x:c>
      <x:c r="D8" s="23" t="n">
        <x:v>7777.91</x:v>
      </x:c>
      <x:c r="E8" s="23" t="n">
        <x:v>7723.68</x:v>
      </x:c>
      <x:c r="F8" s="23" t="n">
        <x:v>7766.33</x:v>
      </x:c>
      <x:c r="G8" s="23" t="n">
        <x:f>ROUND(F8-F7,1)</x:f>
        <x:v>78.7</x:v>
      </x:c>
      <x:c r="H8" s="24" t="n">
        <x:f>IFERROR(F8/F7-1,"")</x:f>
        <x:v>0.01024248171403519</x:v>
      </x:c>
      <x:c r="I8" s="23" t="n">
        <x:f>ROUND(D8-E8,1)</x:f>
        <x:v>54.2</x:v>
      </x:c>
      <x:c r="J8" s="22" t="str">
        <x:v>中证1000</x:v>
      </x:c>
      <x:c r="K8" s="22" t="n">
        <x:v>1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1180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295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</x:v>
      </x:c>
      <x:c r="C17" s="23" t="n">
        <x:v>7829.82</x:v>
      </x:c>
      <x:c r="D17" s="23" t="n">
        <x:v>7869.35</x:v>
      </x:c>
      <x:c r="E17" s="23" t="n">
        <x:v>7809.59</x:v>
      </x:c>
      <x:c r="F17" s="23" t="n">
        <x:v>7850.48</x:v>
      </x:c>
      <x:c r="G17" s="23" t="n">
        <x:f>ROUND(F17-F16,1)</x:f>
        <x:v>50.9</x:v>
      </x:c>
      <x:c r="H17" s="24" t="n">
        <x:f>IFERROR(F17/F16-1,"")</x:f>
        <x:v>0.0065221209778436595</x:v>
      </x:c>
      <x:c r="I17" s="23" t="n">
        <x:f>ROUND(D17-E17,1)</x:f>
        <x:v>59.8</x:v>
      </x:c>
      <x:c r="J17" s="22" t="str">
        <x:v>中证500</x:v>
      </x:c>
      <x:c r="K17" s="22" t="n">
        <x:v>1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1116.3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279.1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</x:v>
      </x:c>
      <x:c r="C26" s="23" t="n">
        <x:v>3920.27</x:v>
      </x:c>
      <x:c r="D26" s="23" t="n">
        <x:v>3950.94</x:v>
      </x:c>
      <x:c r="E26" s="23" t="n">
        <x:v>3918.13</x:v>
      </x:c>
      <x:c r="F26" s="23" t="n">
        <x:v>3949.91</x:v>
      </x:c>
      <x:c r="G26" s="23" t="n">
        <x:f>ROUND(F26-F25,1)</x:f>
        <x:v>38</x:v>
      </x:c>
      <x:c r="H26" s="24" t="n">
        <x:f>IFERROR(F26/F25-1,"")</x:f>
        <x:v>0.009724249527719442</x:v>
      </x:c>
      <x:c r="I26" s="23" t="n">
        <x:f>ROUND(D26-E26,1)</x:f>
        <x:v>32.8</x:v>
      </x:c>
      <x:c r="J26" s="22" t="str">
        <x:v>上证指数</x:v>
      </x:c>
      <x:c r="K26" s="22" t="n">
        <x:v>1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295.9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74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31" t="str">
        <x:v>合计</x:v>
      </x:c>
      <x:c r="B35" s="30" t="n">
        <x:v>3</x:v>
      </x:c>
      <x:c r="C35" s="30"/>
      <x:c r="D35" s="30"/>
      <x:c r="E35" s="30"/>
      <x:c r="F35" s="30"/>
      <x:c r="G35" s="30"/>
      <x:c r="H35" s="30"/>
      <x:c r="I35" s="32" t="n">
        <x:f>ROUND(SUM(I32:I34),1)</x:f>
        <x:v>1173.2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ROUND(IFERROR(AVERAGE(I32:I34),0),1)</x:f>
        <x:v>391.1</x:v>
      </x:c>
      <x:c r="J36" s="30"/>
      <x:c r="K36" s="30"/>
    </x:row>
    <x:row r="38">
      <x:c r="A38" s="17" t="str">
        <x:v>IC主力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7880.8</x:v>
      </x:c>
      <x:c r="D40" s="23" t="n">
        <x:v>7903</x:v>
      </x:c>
      <x:c r="E40" s="23" t="n">
        <x:v>7568</x:v>
      </x:c>
      <x:c r="F40" s="23" t="n">
        <x:v>7608</x:v>
      </x:c>
      <x:c r="G40" s="23"/>
      <x:c r="H40" s="24"/>
      <x:c r="I40" s="26" t="n">
        <x:f>ROUND(D40-E40,1)</x:f>
        <x:v>335</x:v>
      </x:c>
      <x:c r="J40" s="22" t="str">
        <x:v>IC2609</x:v>
      </x:c>
      <x:c r="K40" s="22" t="n">
        <x:v>4</x:v>
      </x:c>
    </x:row>
    <x:row r="41">
      <x:c r="A41" s="22" t="n">
        <x:v>2</x:v>
      </x:c>
      <x:c r="B41" s="22" t="str">
        <x:v>9月7日-9月11日</x:v>
      </x:c>
      <x:c r="C41" s="23" t="n">
        <x:v>7665.6</x:v>
      </x:c>
      <x:c r="D41" s="23" t="n">
        <x:v>7817.2</x:v>
      </x:c>
      <x:c r="E41" s="23" t="n">
        <x:v>7418.8</x:v>
      </x:c>
      <x:c r="F41" s="23" t="n">
        <x:v>7569</x:v>
      </x:c>
      <x:c r="G41" s="23" t="n">
        <x:f>ROUND(F41-F40,1)</x:f>
        <x:v>-39</x:v>
      </x:c>
      <x:c r="H41" s="24" t="n">
        <x:f>IFERROR(F41/F40-1,"")</x:f>
        <x:v>-0.005126182965299653</x:v>
      </x:c>
      <x:c r="I41" s="26" t="n">
        <x:f>ROUND(D41-E41,1)</x:f>
        <x:v>398.4</x:v>
      </x:c>
      <x:c r="J41" s="22" t="str">
        <x:v>IC2609</x:v>
      </x:c>
      <x:c r="K41" s="22" t="n">
        <x:v>5</x:v>
      </x:c>
    </x:row>
    <x:row r="42">
      <x:c r="A42" s="22" t="n">
        <x:v>3</x:v>
      </x:c>
      <x:c r="B42" s="22" t="str">
        <x:v>9月14日-9月18日</x:v>
      </x:c>
      <x:c r="C42" s="23" t="n">
        <x:v>7482.2</x:v>
      </x:c>
      <x:c r="D42" s="23" t="n">
        <x:v>7820</x:v>
      </x:c>
      <x:c r="E42" s="23" t="n">
        <x:v>7452.2</x:v>
      </x:c>
      <x:c r="F42" s="23" t="n">
        <x:v>7789.8</x:v>
      </x:c>
      <x:c r="G42" s="28" t="n">
        <x:f>ROUND(F42-F41,1)</x:f>
        <x:v>220.8</x:v>
      </x:c>
      <x:c r="H42" s="24" t="n">
        <x:f>IFERROR(F42/F41-1,"")</x:f>
        <x:v>0.02917162108600868</x:v>
      </x:c>
      <x:c r="I42" s="26" t="n">
        <x:f>ROUND(D42-E42,1)</x:f>
        <x:v>367.8</x:v>
      </x:c>
      <x:c r="J42" s="22" t="str">
        <x:v>IC2609</x:v>
      </x:c>
      <x:c r="K42" s="22" t="n">
        <x:v>5</x:v>
      </x:c>
    </x:row>
    <x:row r="43">
      <x:c r="A43" s="31" t="str">
        <x:v>合计</x:v>
      </x:c>
      <x:c r="B43" s="30" t="n">
        <x:v>3</x:v>
      </x:c>
      <x:c r="C43" s="30"/>
      <x:c r="D43" s="30"/>
      <x:c r="E43" s="30"/>
      <x:c r="F43" s="30"/>
      <x:c r="G43" s="30"/>
      <x:c r="H43" s="30"/>
      <x:c r="I43" s="32" t="n">
        <x:f>ROUND(SUM(I40:I42),1)</x:f>
        <x:v>1101.2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ROUND(IFERROR(AVERAGE(I40:I42),0),1)</x:f>
        <x:v>367.1</x:v>
      </x:c>
      <x:c r="J44" s="30"/>
      <x:c r="K44" s="30"/>
    </x:row>
    <x:row r="46">
      <x:c r="A46" s="17" t="str">
        <x:v>IF主力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9月1日-9月4日</x:v>
      </x:c>
      <x:c r="C48" s="23" t="n">
        <x:v>4602</x:v>
      </x:c>
      <x:c r="D48" s="23" t="n">
        <x:v>4617.8</x:v>
      </x:c>
      <x:c r="E48" s="23" t="n">
        <x:v>4497.6</x:v>
      </x:c>
      <x:c r="F48" s="23" t="n">
        <x:v>4537.4</x:v>
      </x:c>
      <x:c r="G48" s="23"/>
      <x:c r="H48" s="24"/>
      <x:c r="I48" s="26" t="n">
        <x:f>ROUND(D48-E48,1)</x:f>
        <x:v>120.2</x:v>
      </x:c>
      <x:c r="J48" s="22" t="str">
        <x:v>IF2609</x:v>
      </x:c>
      <x:c r="K48" s="22" t="n">
        <x:v>4</x:v>
      </x:c>
    </x:row>
    <x:row r="49">
      <x:c r="A49" s="22" t="n">
        <x:v>2</x:v>
      </x:c>
      <x:c r="B49" s="22" t="str">
        <x:v>9月7日-9月11日</x:v>
      </x:c>
      <x:c r="C49" s="23" t="n">
        <x:v>4562</x:v>
      </x:c>
      <x:c r="D49" s="23" t="n">
        <x:v>4584</x:v>
      </x:c>
      <x:c r="E49" s="23" t="n">
        <x:v>4451.6</x:v>
      </x:c>
      <x:c r="F49" s="23" t="n">
        <x:v>4503.4</x:v>
      </x:c>
      <x:c r="G49" s="23" t="n">
        <x:f>ROUND(F49-F48,1)</x:f>
        <x:v>-34</x:v>
      </x:c>
      <x:c r="H49" s="24" t="n">
        <x:f>IFERROR(F49/F48-1,"")</x:f>
        <x:v>-0.007493278088773314</x:v>
      </x:c>
      <x:c r="I49" s="26" t="n">
        <x:f>ROUND(D49-E49,1)</x:f>
        <x:v>132.4</x:v>
      </x:c>
      <x:c r="J49" s="22" t="str">
        <x:v>IF2609</x:v>
      </x:c>
      <x:c r="K49" s="22" t="n">
        <x:v>5</x:v>
      </x:c>
    </x:row>
    <x:row r="50">
      <x:c r="A50" s="22" t="n">
        <x:v>3</x:v>
      </x:c>
      <x:c r="B50" s="22" t="str">
        <x:v>9月14日-9月18日</x:v>
      </x:c>
      <x:c r="C50" s="23" t="n">
        <x:v>4468</x:v>
      </x:c>
      <x:c r="D50" s="23" t="n">
        <x:v>4520.6</x:v>
      </x:c>
      <x:c r="E50" s="23" t="n">
        <x:v>4412.2</x:v>
      </x:c>
      <x:c r="F50" s="23" t="n">
        <x:v>4508</x:v>
      </x:c>
      <x:c r="G50" s="23" t="n">
        <x:f>ROUND(F50-F49,1)</x:f>
        <x:v>4.6</x:v>
      </x:c>
      <x:c r="H50" s="24" t="n">
        <x:f>IFERROR(F50/F49-1,"")</x:f>
        <x:v>0.0010214504596528506</x:v>
      </x:c>
      <x:c r="I50" s="26" t="n">
        <x:f>ROUND(D50-E50,1)</x:f>
        <x:v>108.4</x:v>
      </x:c>
      <x:c r="J50" s="22" t="str">
        <x:v>IF2609</x:v>
      </x:c>
      <x:c r="K50" s="22" t="n">
        <x:v>5</x:v>
      </x:c>
    </x:row>
    <x:row r="51">
      <x:c r="A51" s="31" t="str">
        <x:v>合计</x:v>
      </x:c>
      <x:c r="B51" s="30" t="n">
        <x:v>3</x:v>
      </x:c>
      <x:c r="C51" s="30"/>
      <x:c r="D51" s="30"/>
      <x:c r="E51" s="30"/>
      <x:c r="F51" s="30"/>
      <x:c r="G51" s="30"/>
      <x:c r="H51" s="30"/>
      <x:c r="I51" s="32" t="n">
        <x:f>ROUND(SUM(I48:I50),1)</x:f>
        <x:v>361</x:v>
      </x:c>
      <x:c r="J51" s="30"/>
      <x:c r="K51" s="30"/>
    </x:row>
    <x:row r="52">
      <x:c r="A52" s="31" t="str">
        <x:v>均值</x:v>
      </x:c>
      <x:c r="B52" s="30"/>
      <x:c r="C52" s="30"/>
      <x:c r="D52" s="30"/>
      <x:c r="E52" s="30"/>
      <x:c r="F52" s="30"/>
      <x:c r="G52" s="30"/>
      <x:c r="H52" s="30"/>
      <x:c r="I52" s="34" t="n">
        <x:f>ROUND(IFERROR(AVERAGE(I48:I50),0),1)</x:f>
        <x:v>120.3</x:v>
      </x:c>
      <x:c r="J52" s="30"/>
      <x:c r="K52" s="30"/>
    </x:row>
    <x:row r="54">
      <x:c r="A54" s="17" t="str">
        <x:v>IH主力</x:v>
      </x:c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</x:row>
    <x:row r="55">
      <x:c r="A55" s="20" t="str">
        <x:v>序号</x:v>
      </x:c>
      <x:c r="B55" s="20" t="str">
        <x:v>周期</x:v>
      </x:c>
      <x:c r="C55" s="20" t="str">
        <x:v>开盘</x:v>
      </x:c>
      <x:c r="D55" s="20" t="str">
        <x:v>高点</x:v>
      </x:c>
      <x:c r="E55" s="20" t="str">
        <x:v>低点</x:v>
      </x:c>
      <x:c r="F55" s="20" t="str">
        <x:v>收盘</x:v>
      </x:c>
      <x:c r="G55" s="20" t="str">
        <x:v>涨跌点数</x:v>
      </x:c>
      <x:c r="H55" s="20" t="str">
        <x:v>涨幅</x:v>
      </x:c>
      <x:c r="I55" s="20" t="str">
        <x:v>振幅</x:v>
      </x:c>
      <x:c r="J55" s="20" t="str">
        <x:v>标的</x:v>
      </x:c>
      <x:c r="K55" s="20" t="str">
        <x:v>交易日</x:v>
      </x:c>
    </x:row>
    <x:row r="56">
      <x:c r="A56" s="22" t="n">
        <x:v>1</x:v>
      </x:c>
      <x:c r="B56" s="22" t="str">
        <x:v>9月1日-9月4日</x:v>
      </x:c>
      <x:c r="C56" s="23" t="n">
        <x:v>2913</x:v>
      </x:c>
      <x:c r="D56" s="23" t="n">
        <x:v>2949.4</x:v>
      </x:c>
      <x:c r="E56" s="23" t="n">
        <x:v>2881.4</x:v>
      </x:c>
      <x:c r="F56" s="23" t="n">
        <x:v>2915.8</x:v>
      </x:c>
      <x:c r="G56" s="23"/>
      <x:c r="H56" s="24"/>
      <x:c r="I56" s="26" t="n">
        <x:f>ROUND(D56-E56,1)</x:f>
        <x:v>68</x:v>
      </x:c>
      <x:c r="J56" s="22" t="str">
        <x:v>IH2609</x:v>
      </x:c>
      <x:c r="K56" s="22" t="n">
        <x:v>4</x:v>
      </x:c>
    </x:row>
    <x:row r="57">
      <x:c r="A57" s="22" t="n">
        <x:v>2</x:v>
      </x:c>
      <x:c r="B57" s="22" t="str">
        <x:v>9月7日-9月11日</x:v>
      </x:c>
      <x:c r="C57" s="23" t="n">
        <x:v>2923.2</x:v>
      </x:c>
      <x:c r="D57" s="23" t="n">
        <x:v>2931.4</x:v>
      </x:c>
      <x:c r="E57" s="23" t="n">
        <x:v>2836.8</x:v>
      </x:c>
      <x:c r="F57" s="23" t="n">
        <x:v>2867</x:v>
      </x:c>
      <x:c r="G57" s="23" t="n">
        <x:f>ROUND(F57-F56,1)</x:f>
        <x:v>-48.8</x:v>
      </x:c>
      <x:c r="H57" s="24" t="n">
        <x:f>IFERROR(F57/F56-1,"")</x:f>
        <x:v>-0.01673640167364021</x:v>
      </x:c>
      <x:c r="I57" s="26" t="n">
        <x:f>ROUND(D57-E57,1)</x:f>
        <x:v>94.6</x:v>
      </x:c>
      <x:c r="J57" s="22" t="str">
        <x:v>IH2609</x:v>
      </x:c>
      <x:c r="K57" s="22" t="n">
        <x:v>5</x:v>
      </x:c>
    </x:row>
    <x:row r="58">
      <x:c r="A58" s="22" t="n">
        <x:v>3</x:v>
      </x:c>
      <x:c r="B58" s="22" t="str">
        <x:v>9月14日-9月18日</x:v>
      </x:c>
      <x:c r="C58" s="23" t="n">
        <x:v>2849.2</x:v>
      </x:c>
      <x:c r="D58" s="23" t="n">
        <x:v>2873.2</x:v>
      </x:c>
      <x:c r="E58" s="23" t="n">
        <x:v>2829.4</x:v>
      </x:c>
      <x:c r="F58" s="23" t="n">
        <x:v>2862.2</x:v>
      </x:c>
      <x:c r="G58" s="23" t="n">
        <x:f>ROUND(F58-F57,1)</x:f>
        <x:v>-4.8</x:v>
      </x:c>
      <x:c r="H58" s="24" t="n">
        <x:f>IFERROR(F58/F57-1,"")</x:f>
        <x:v>-0.0016742239274503135</x:v>
      </x:c>
      <x:c r="I58" s="23" t="n">
        <x:f>ROUND(D58-E58,1)</x:f>
        <x:v>43.8</x:v>
      </x:c>
      <x:c r="J58" s="22" t="str">
        <x:v>IH2609</x:v>
      </x:c>
      <x:c r="K58" s="22" t="n">
        <x:v>5</x:v>
      </x:c>
    </x:row>
    <x:row r="59">
      <x:c r="A59" s="31" t="str">
        <x:v>合计</x:v>
      </x:c>
      <x:c r="B59" s="30" t="n">
        <x:v>3</x:v>
      </x:c>
      <x:c r="C59" s="30"/>
      <x:c r="D59" s="30"/>
      <x:c r="E59" s="30"/>
      <x:c r="F59" s="30"/>
      <x:c r="G59" s="30"/>
      <x:c r="H59" s="30"/>
      <x:c r="I59" s="32" t="n">
        <x:f>ROUND(SUM(I56:I58),1)</x:f>
        <x:v>206.4</x:v>
      </x:c>
      <x:c r="J59" s="30"/>
      <x:c r="K59" s="30"/>
    </x:row>
    <x:row r="60">
      <x:c r="A60" s="31" t="str">
        <x:v>均值</x:v>
      </x:c>
      <x:c r="B60" s="30"/>
      <x:c r="C60" s="30"/>
      <x:c r="D60" s="30"/>
      <x:c r="E60" s="30"/>
      <x:c r="F60" s="30"/>
      <x:c r="G60" s="30"/>
      <x:c r="H60" s="30"/>
      <x:c r="I60" s="34" t="n">
        <x:f>ROUND(IFERROR(AVERAGE(I56:I58),0),1)</x:f>
        <x:v>68.8</x:v>
      </x:c>
      <x:c r="J60" s="30"/>
      <x:c r="K60" s="30"/>
    </x:row>
    <x:row r="62">
      <x:c r="A62" s="17" t="str">
        <x:v>碳酸锂2610</x:v>
      </x:c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</x:row>
    <x:row r="63">
      <x:c r="A63" s="20" t="str">
        <x:v>序号</x:v>
      </x:c>
      <x:c r="B63" s="20" t="str">
        <x:v>周期</x:v>
      </x:c>
      <x:c r="C63" s="20" t="str">
        <x:v>开盘</x:v>
      </x:c>
      <x:c r="D63" s="20" t="str">
        <x:v>高点</x:v>
      </x:c>
      <x:c r="E63" s="20" t="str">
        <x:v>低点</x:v>
      </x:c>
      <x:c r="F63" s="20" t="str">
        <x:v>收盘</x:v>
      </x:c>
      <x:c r="G63" s="20" t="str">
        <x:v>涨跌点数</x:v>
      </x:c>
      <x:c r="H63" s="20" t="str">
        <x:v>涨幅</x:v>
      </x:c>
      <x:c r="I63" s="20" t="str">
        <x:v>振幅</x:v>
      </x:c>
      <x:c r="J63" s="20" t="str">
        <x:v>标的</x:v>
      </x:c>
      <x:c r="K63" s="20" t="str">
        <x:v>交易日</x:v>
      </x:c>
    </x:row>
    <x:row r="64">
      <x:c r="A64" s="22" t="n">
        <x:v>1</x:v>
      </x:c>
      <x:c r="B64" s="22" t="str">
        <x:v>9月1日-9月4日</x:v>
      </x:c>
      <x:c r="C64" s="23" t="n">
        <x:v>159280</x:v>
      </x:c>
      <x:c r="D64" s="23" t="n">
        <x:v>161280</x:v>
      </x:c>
      <x:c r="E64" s="23" t="n">
        <x:v>140220</x:v>
      </x:c>
      <x:c r="F64" s="23" t="n">
        <x:v>142000</x:v>
      </x:c>
      <x:c r="G64" s="23"/>
      <x:c r="H64" s="24"/>
      <x:c r="I64" s="26" t="n">
        <x:f>ROUND(D64-E64,1)</x:f>
        <x:v>21060</x:v>
      </x:c>
      <x:c r="J64" s="22" t="str">
        <x:v>LC2610</x:v>
      </x:c>
      <x:c r="K64" s="22" t="n">
        <x:v>4</x:v>
      </x:c>
    </x:row>
    <x:row r="65">
      <x:c r="A65" s="22" t="n">
        <x:v>2</x:v>
      </x:c>
      <x:c r="B65" s="22" t="str">
        <x:v>9月7日-9月11日</x:v>
      </x:c>
      <x:c r="C65" s="23" t="n">
        <x:v>141000</x:v>
      </x:c>
      <x:c r="D65" s="23" t="n">
        <x:v>143540</x:v>
      </x:c>
      <x:c r="E65" s="23" t="n">
        <x:v>127120</x:v>
      </x:c>
      <x:c r="F65" s="23" t="n">
        <x:v>134340</x:v>
      </x:c>
      <x:c r="G65" s="28" t="n">
        <x:f>ROUND(F65-F64,1)</x:f>
        <x:v>-7660</x:v>
      </x:c>
      <x:c r="H65" s="24" t="n">
        <x:f>IFERROR(F65/F64-1,"")</x:f>
        <x:v>-0.05394366197183098</x:v>
      </x:c>
      <x:c r="I65" s="26" t="n">
        <x:f>ROUND(D65-E65,1)</x:f>
        <x:v>16420</x:v>
      </x:c>
      <x:c r="J65" s="22" t="str">
        <x:v>LC2610</x:v>
      </x:c>
      <x:c r="K65" s="22" t="n">
        <x:v>5</x:v>
      </x:c>
    </x:row>
    <x:row r="66">
      <x:c r="A66" s="22" t="n">
        <x:v>3</x:v>
      </x:c>
      <x:c r="B66" s="22" t="str">
        <x:v>9月14日-9月18日</x:v>
      </x:c>
      <x:c r="C66" s="23" t="n">
        <x:v>133600</x:v>
      </x:c>
      <x:c r="D66" s="23" t="n">
        <x:v>135900</x:v>
      </x:c>
      <x:c r="E66" s="23" t="n">
        <x:v>126200</x:v>
      </x:c>
      <x:c r="F66" s="23" t="n">
        <x:v>128580</x:v>
      </x:c>
      <x:c r="G66" s="28" t="n">
        <x:f>ROUND(F66-F65,1)</x:f>
        <x:v>-5760</x:v>
      </x:c>
      <x:c r="H66" s="24" t="n">
        <x:f>IFERROR(F66/F65-1,"")</x:f>
        <x:v>-0.04287628405538191</x:v>
      </x:c>
      <x:c r="I66" s="26" t="n">
        <x:f>ROUND(D66-E66,1)</x:f>
        <x:v>9700</x:v>
      </x:c>
      <x:c r="J66" s="22" t="str">
        <x:v>LC2610</x:v>
      </x:c>
      <x:c r="K66" s="22" t="n">
        <x:v>5</x:v>
      </x:c>
    </x:row>
    <x:row r="67">
      <x:c r="A67" s="22" t="n">
        <x:v>4</x:v>
      </x:c>
      <x:c r="B67" s="22" t="str">
        <x:v>9月21日</x:v>
      </x:c>
      <x:c r="C67" s="23" t="n">
        <x:v>128500</x:v>
      </x:c>
      <x:c r="D67" s="23" t="n">
        <x:v>134800</x:v>
      </x:c>
      <x:c r="E67" s="23" t="n">
        <x:v>127100</x:v>
      </x:c>
      <x:c r="F67" s="23" t="n">
        <x:v>133500</x:v>
      </x:c>
      <x:c r="G67" s="28" t="n">
        <x:f>ROUND(F67-F66,1)</x:f>
        <x:v>4920</x:v>
      </x:c>
      <x:c r="H67" s="24" t="n">
        <x:f>IFERROR(F67/F66-1,"")</x:f>
        <x:v>0.038264115725618275</x:v>
      </x:c>
      <x:c r="I67" s="26" t="n">
        <x:f>ROUND(D67-E67,1)</x:f>
        <x:v>7700</x:v>
      </x:c>
      <x:c r="J67" s="22" t="str">
        <x:v>LC2610</x:v>
      </x:c>
      <x:c r="K67" s="22" t="n">
        <x:v>1</x:v>
      </x:c>
    </x:row>
    <x:row r="68">
      <x:c r="A68" s="31" t="str">
        <x:v>合计</x:v>
      </x:c>
      <x:c r="B68" s="30" t="n">
        <x:v>4</x:v>
      </x:c>
      <x:c r="C68" s="30"/>
      <x:c r="D68" s="30"/>
      <x:c r="E68" s="30"/>
      <x:c r="F68" s="30"/>
      <x:c r="G68" s="30"/>
      <x:c r="H68" s="30"/>
      <x:c r="I68" s="32" t="n">
        <x:f>ROUND(SUM(I64:I67),1)</x:f>
        <x:v>54880</x:v>
      </x:c>
      <x:c r="J68" s="30"/>
      <x:c r="K68" s="30"/>
    </x:row>
    <x:row r="69">
      <x:c r="A69" s="31" t="str">
        <x:v>均值</x:v>
      </x:c>
      <x:c r="B69" s="30"/>
      <x:c r="C69" s="30"/>
      <x:c r="D69" s="30"/>
      <x:c r="E69" s="30"/>
      <x:c r="F69" s="30"/>
      <x:c r="G69" s="30"/>
      <x:c r="H69" s="30"/>
      <x:c r="I69" s="34" t="n">
        <x:f>ROUND(IFERROR(AVERAGE(I64:I67),0),1)</x:f>
        <x:v>13720</x:v>
      </x:c>
      <x:c r="J69" s="30"/>
      <x:c r="K69" s="30"/>
    </x:row>
  </x:sheetData>
  <x:mergeCells>
    <x:mergeCell ref="A1:K1"/>
    <x:mergeCell ref="A3:K3"/>
    <x:mergeCell ref="A12:K12"/>
    <x:mergeCell ref="A21:K21"/>
    <x:mergeCell ref="A30:K30"/>
    <x:mergeCell ref="A38:K38"/>
    <x:mergeCell ref="A46:K46"/>
    <x:mergeCell ref="A54:K54"/>
    <x:mergeCell ref="A62:K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1954.8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130.3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1787.0999999999997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119.1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529.3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35.3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2120.2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151.4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2021.9999999999998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144.4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736.9999999999999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52.6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432.4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30.9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89880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5992</x:v>
      </x:c>
      <x:c r="K22" s="30"/>
    </x:row>
  </x:sheetData>
  <x:mergeCells>
    <x:mergeCell ref="A1:K1"/>
  </x:mergeCells>
  <x:pageMargins left="0.7" right="0.7" top="0.75" bottom="0.75" header="0.3" footer="0.3"/>
</x:worksheet>
</file>