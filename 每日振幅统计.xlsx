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86701e556445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f095224f0b54e20"/>
    <x:sheet xmlns:r="http://schemas.openxmlformats.org/officeDocument/2006/relationships" name="周振幅统计" sheetId="2" r:id="Rbec23985a6cd40a8"/>
    <x:sheet xmlns:r="http://schemas.openxmlformats.org/officeDocument/2006/relationships" name="中证1000" sheetId="3" r:id="Rebf08d8a599441ef"/>
    <x:sheet xmlns:r="http://schemas.openxmlformats.org/officeDocument/2006/relationships" name="中证500" sheetId="4" r:id="R33613d67fe1d45e8"/>
    <x:sheet xmlns:r="http://schemas.openxmlformats.org/officeDocument/2006/relationships" name="上证指数" sheetId="5" r:id="R71b5f3c12f894495"/>
    <x:sheet xmlns:r="http://schemas.openxmlformats.org/officeDocument/2006/relationships" name="IM主力" sheetId="6" r:id="R69702f96ad8c4bf4"/>
    <x:sheet xmlns:r="http://schemas.openxmlformats.org/officeDocument/2006/relationships" name="IC主力" sheetId="7" r:id="R8966590e630b41fa"/>
    <x:sheet xmlns:r="http://schemas.openxmlformats.org/officeDocument/2006/relationships" name="IF主力" sheetId="8" r:id="Rad8e10775929410b"/>
    <x:sheet xmlns:r="http://schemas.openxmlformats.org/officeDocument/2006/relationships" name="IH主力" sheetId="9" r:id="R0d79c7088dc843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e93a0edb89475f" /><Relationship Type="http://schemas.openxmlformats.org/officeDocument/2006/relationships/theme" Target="/xl/theme/theme1.xml" Id="Re1d9238e1ae34725" /><Relationship Type="http://schemas.openxmlformats.org/officeDocument/2006/relationships/sharedStrings" Target="/xl/sharedStrings.xml" Id="Ra06ff02f077947b4" /><Relationship Type="http://schemas.openxmlformats.org/officeDocument/2006/relationships/worksheet" Target="/xl/worksheets/sheet1.xml" Id="Raf095224f0b54e20" /><Relationship Type="http://schemas.openxmlformats.org/officeDocument/2006/relationships/worksheet" Target="/xl/worksheets/sheet2.xml" Id="Rbec23985a6cd40a8" /><Relationship Type="http://schemas.openxmlformats.org/officeDocument/2006/relationships/worksheet" Target="/xl/worksheets/sheet3.xml" Id="Rebf08d8a599441ef" /><Relationship Type="http://schemas.openxmlformats.org/officeDocument/2006/relationships/worksheet" Target="/xl/worksheets/sheet4.xml" Id="R33613d67fe1d45e8" /><Relationship Type="http://schemas.openxmlformats.org/officeDocument/2006/relationships/worksheet" Target="/xl/worksheets/sheet5.xml" Id="R71b5f3c12f894495" /><Relationship Type="http://schemas.openxmlformats.org/officeDocument/2006/relationships/worksheet" Target="/xl/worksheets/sheet6.xml" Id="R69702f96ad8c4bf4" /><Relationship Type="http://schemas.openxmlformats.org/officeDocument/2006/relationships/worksheet" Target="/xl/worksheets/sheet7.xml" Id="R8966590e630b41fa" /><Relationship Type="http://schemas.openxmlformats.org/officeDocument/2006/relationships/worksheet" Target="/xl/worksheets/sheet8.xml" Id="Rad8e10775929410b" /><Relationship Type="http://schemas.openxmlformats.org/officeDocument/2006/relationships/worksheet" Target="/xl/worksheets/sheet9.xml" Id="R0d79c7088dc8432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2026-07-31</x:v>
      </x:c>
      <x:c r="C4" s="10" t="n">
        <x:v>7218.06</x:v>
      </x:c>
      <x:c r="D4" s="10" t="n">
        <x:v>7071.05</x:v>
      </x:c>
      <x:c r="E4" s="12" t="n">
        <x:v>147</x:v>
      </x:c>
      <x:c r="F4" s="9" t="n">
        <x:v>23</x:v>
      </x:c>
      <x:c r="G4" s="10" t="n">
        <x:v>6057.6</x:v>
      </x:c>
      <x:c r="H4" s="10" t="n">
        <x:v>263.4</x:v>
      </x:c>
      <x:c r="I4" s="10" t="n">
        <x:v>180</x:v>
      </x:c>
    </x:row>
    <x:row r="5">
      <x:c r="A5" s="9" t="str">
        <x:v>中证500</x:v>
      </x:c>
      <x:c r="B5" s="9" t="str">
        <x:v>2026-07-31</x:v>
      </x:c>
      <x:c r="C5" s="10" t="n">
        <x:v>7638.78</x:v>
      </x:c>
      <x:c r="D5" s="10" t="n">
        <x:v>7487.43</x:v>
      </x:c>
      <x:c r="E5" s="12" t="n">
        <x:v>151.3</x:v>
      </x:c>
      <x:c r="F5" s="9" t="n">
        <x:v>23</x:v>
      </x:c>
      <x:c r="G5" s="10" t="n">
        <x:v>6161.7</x:v>
      </x:c>
      <x:c r="H5" s="10" t="n">
        <x:v>267.9</x:v>
      </x:c>
      <x:c r="I5" s="10" t="n">
        <x:v>160</x:v>
      </x:c>
    </x:row>
    <x:row r="6">
      <x:c r="A6" s="9" t="str">
        <x:v>上证指数</x:v>
      </x:c>
      <x:c r="B6" s="9" t="str">
        <x:v>2026-07-31</x:v>
      </x:c>
      <x:c r="C6" s="10" t="n">
        <x:v>3847.09</x:v>
      </x:c>
      <x:c r="D6" s="10" t="n">
        <x:v>3822.37</x:v>
      </x:c>
      <x:c r="E6" s="12" t="n">
        <x:v>24.7</x:v>
      </x:c>
      <x:c r="F6" s="9" t="n">
        <x:v>23</x:v>
      </x:c>
      <x:c r="G6" s="10" t="n">
        <x:v>1539.5</x:v>
      </x:c>
      <x:c r="H6" s="10" t="n">
        <x:v>66.9</x:v>
      </x:c>
      <x:c r="I6" s="10" t="n">
        <x:v>50</x:v>
      </x:c>
    </x:row>
    <x:row r="7">
      <x:c r="A7" s="9" t="str">
        <x:v>IM主力</x:v>
      </x:c>
      <x:c r="B7" s="9" t="str">
        <x:v>2026-07-31</x:v>
      </x:c>
      <x:c r="C7" s="10" t="n">
        <x:v>7205</x:v>
      </x:c>
      <x:c r="D7" s="10" t="n">
        <x:v>6986</x:v>
      </x:c>
      <x:c r="E7" s="12" t="n">
        <x:v>219</x:v>
      </x:c>
      <x:c r="F7" s="9" t="n">
        <x:v>23</x:v>
      </x:c>
      <x:c r="G7" s="10" t="n">
        <x:v>6087.2</x:v>
      </x:c>
      <x:c r="H7" s="10" t="n">
        <x:v>264.7</x:v>
      </x:c>
      <x:c r="I7" s="10" t="n">
        <x:v>190</x:v>
      </x:c>
    </x:row>
    <x:row r="8">
      <x:c r="A8" s="9" t="str">
        <x:v>IC主力</x:v>
      </x:c>
      <x:c r="B8" s="9" t="str">
        <x:v>2026-07-31</x:v>
      </x:c>
      <x:c r="C8" s="10" t="n">
        <x:v>7611.8</x:v>
      </x:c>
      <x:c r="D8" s="10" t="n">
        <x:v>7389.6</x:v>
      </x:c>
      <x:c r="E8" s="12" t="n">
        <x:v>222.2</x:v>
      </x:c>
      <x:c r="F8" s="9" t="n">
        <x:v>23</x:v>
      </x:c>
      <x:c r="G8" s="10" t="n">
        <x:v>6264.2</x:v>
      </x:c>
      <x:c r="H8" s="10" t="n">
        <x:v>272.4</x:v>
      </x:c>
      <x:c r="I8" s="10" t="n">
        <x:v>150</x:v>
      </x:c>
    </x:row>
    <x:row r="9">
      <x:c r="A9" s="9" t="str">
        <x:v>IF主力</x:v>
      </x:c>
      <x:c r="B9" s="9" t="str">
        <x:v>2026-07-31</x:v>
      </x:c>
      <x:c r="C9" s="10" t="n">
        <x:v>4619.4</x:v>
      </x:c>
      <x:c r="D9" s="10" t="n">
        <x:v>4532.2</x:v>
      </x:c>
      <x:c r="E9" s="12" t="n">
        <x:v>87.2</x:v>
      </x:c>
      <x:c r="F9" s="9" t="n">
        <x:v>23</x:v>
      </x:c>
      <x:c r="G9" s="10" t="n">
        <x:v>2304.4</x:v>
      </x:c>
      <x:c r="H9" s="10" t="n">
        <x:v>100.2</x:v>
      </x:c>
      <x:c r="I9" s="10" t="n">
        <x:v>90</x:v>
      </x:c>
    </x:row>
    <x:row r="10">
      <x:c r="A10" s="9" t="str">
        <x:v>IH主力</x:v>
      </x:c>
      <x:c r="B10" s="9" t="str">
        <x:v>2026-07-31</x:v>
      </x:c>
      <x:c r="C10" s="10" t="n">
        <x:v>2927</x:v>
      </x:c>
      <x:c r="D10" s="10" t="n">
        <x:v>2886.4</x:v>
      </x:c>
      <x:c r="E10" s="12" t="n">
        <x:v>40.6</x:v>
      </x:c>
      <x:c r="F10" s="9" t="n">
        <x:v>23</x:v>
      </x:c>
      <x:c r="G10" s="10" t="n">
        <x:v>1221.6</x:v>
      </x:c>
      <x:c r="H10" s="10" t="n">
        <x:v>53.1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2026-07-31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0" hidden="0" customWidth="1"/>
  </x:cols>
  <x:sheetData>
    <x:row r="1" ht="38" customHeight="1">
      <x:c r="A1" s="15" t="str">
        <x:v>2026年7月统计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周期</x:v>
      </x:c>
      <x:c r="C4" s="20" t="str">
        <x:v>周起始日</x:v>
      </x:c>
      <x:c r="D4" s="20" t="str">
        <x:v>周最高</x:v>
      </x:c>
      <x:c r="E4" s="20" t="str">
        <x:v>周最低</x:v>
      </x:c>
      <x:c r="F4" s="20" t="str">
        <x:v>周振幅</x:v>
      </x:c>
      <x:c r="G4" s="20" t="str">
        <x:v>交易日</x:v>
      </x:c>
    </x:row>
    <x:row r="5">
      <x:c r="A5" s="22" t="n">
        <x:v>1</x:v>
      </x:c>
      <x:c r="B5" s="22" t="str">
        <x:v>7月1日-7月3日</x:v>
      </x:c>
      <x:c r="C5" s="22" t="str">
        <x:v>2026-06-29</x:v>
      </x:c>
      <x:c r="D5" s="23" t="n">
        <x:v>8944.19</x:v>
      </x:c>
      <x:c r="E5" s="23" t="n">
        <x:v>8559.28</x:v>
      </x:c>
      <x:c r="F5" s="23" t="n">
        <x:f>ROUND(D5-E5,1)</x:f>
        <x:v>384.9</x:v>
      </x:c>
      <x:c r="G5" s="22" t="n">
        <x:v>3</x:v>
      </x:c>
    </x:row>
    <x:row r="6">
      <x:c r="A6" s="22" t="n">
        <x:v>2</x:v>
      </x:c>
      <x:c r="B6" s="22" t="str">
        <x:v>7月6日-7月10日</x:v>
      </x:c>
      <x:c r="C6" s="22" t="str">
        <x:v>2026-07-06</x:v>
      </x:c>
      <x:c r="D6" s="23" t="n">
        <x:v>8694.8</x:v>
      </x:c>
      <x:c r="E6" s="23" t="n">
        <x:v>7978.81</x:v>
      </x:c>
      <x:c r="F6" s="23" t="n">
        <x:f>ROUND(D6-E6,1)</x:f>
        <x:v>716</x:v>
      </x:c>
      <x:c r="G6" s="22" t="n">
        <x:v>5</x:v>
      </x:c>
    </x:row>
    <x:row r="7">
      <x:c r="A7" s="22" t="n">
        <x:v>3</x:v>
      </x:c>
      <x:c r="B7" s="22" t="str">
        <x:v>7月13日-7月17日</x:v>
      </x:c>
      <x:c r="C7" s="22" t="str">
        <x:v>2026-07-13</x:v>
      </x:c>
      <x:c r="D7" s="23" t="n">
        <x:v>8171.5</x:v>
      </x:c>
      <x:c r="E7" s="23" t="n">
        <x:v>7163.31</x:v>
      </x:c>
      <x:c r="F7" s="23" t="n">
        <x:f>ROUND(D7-E7,1)</x:f>
        <x:v>1008.2</x:v>
      </x:c>
      <x:c r="G7" s="22" t="n">
        <x:v>5</x:v>
      </x:c>
    </x:row>
    <x:row r="8">
      <x:c r="A8" s="22" t="n">
        <x:v>4</x:v>
      </x:c>
      <x:c r="B8" s="22" t="str">
        <x:v>7月20日-7月24日</x:v>
      </x:c>
      <x:c r="C8" s="22" t="str">
        <x:v>2026-07-20</x:v>
      </x:c>
      <x:c r="D8" s="23" t="n">
        <x:v>7302.45</x:v>
      </x:c>
      <x:c r="E8" s="23" t="n">
        <x:v>6714.19</x:v>
      </x:c>
      <x:c r="F8" s="23" t="n">
        <x:f>ROUND(D8-E8,1)</x:f>
        <x:v>588.3</x:v>
      </x:c>
      <x:c r="G8" s="22" t="n">
        <x:v>5</x:v>
      </x:c>
    </x:row>
    <x:row r="9">
      <x:c r="A9" s="22" t="n">
        <x:v>5</x:v>
      </x:c>
      <x:c r="B9" s="22" t="str">
        <x:v>7月27日-7月31日</x:v>
      </x:c>
      <x:c r="C9" s="22" t="str">
        <x:v>2026-07-27</x:v>
      </x:c>
      <x:c r="D9" s="23" t="n">
        <x:v>7228.78</x:v>
      </x:c>
      <x:c r="E9" s="23" t="n">
        <x:v>6841.75</x:v>
      </x:c>
      <x:c r="F9" s="23" t="n">
        <x:f>ROUND(D9-E9,1)</x:f>
        <x:v>387</x:v>
      </x:c>
      <x:c r="G9" s="22" t="n">
        <x:v>5</x:v>
      </x:c>
    </x:row>
    <x:row r="10">
      <x:c r="A10" s="26" t="str">
        <x:v>合计</x:v>
      </x:c>
      <x:c r="B10" s="25" t="n">
        <x:v>5</x:v>
      </x:c>
      <x:c r="C10" s="25"/>
      <x:c r="D10" s="25"/>
      <x:c r="E10" s="25"/>
      <x:c r="F10" s="27" t="n">
        <x:f>ROUND(SUM(F5:F9),1)</x:f>
        <x:v>3084.4</x:v>
      </x:c>
      <x:c r="G10" s="25"/>
    </x:row>
    <x:row r="11">
      <x:c r="A11" s="26" t="str">
        <x:v>均值</x:v>
      </x:c>
      <x:c r="B11" s="25"/>
      <x:c r="C11" s="25"/>
      <x:c r="D11" s="25"/>
      <x:c r="E11" s="25"/>
      <x:c r="F11" s="29" t="n">
        <x:f>ROUND(IFERROR(AVERAGE(F5:F9),0),1)</x:f>
        <x:v>616.9</x:v>
      </x:c>
      <x:c r="G11" s="25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</x:row>
    <x:row r="14">
      <x:c r="A14" s="20" t="str">
        <x:v>序号</x:v>
      </x:c>
      <x:c r="B14" s="20" t="str">
        <x:v>周期</x:v>
      </x:c>
      <x:c r="C14" s="20" t="str">
        <x:v>周起始日</x:v>
      </x:c>
      <x:c r="D14" s="20" t="str">
        <x:v>周最高</x:v>
      </x:c>
      <x:c r="E14" s="20" t="str">
        <x:v>周最低</x:v>
      </x:c>
      <x:c r="F14" s="20" t="str">
        <x:v>周振幅</x:v>
      </x:c>
      <x:c r="G14" s="20" t="str">
        <x:v>交易日</x:v>
      </x:c>
    </x:row>
    <x:row r="15">
      <x:c r="A15" s="22" t="n">
        <x:v>1</x:v>
      </x:c>
      <x:c r="B15" s="22" t="str">
        <x:v>7月1日-7月3日</x:v>
      </x:c>
      <x:c r="C15" s="22" t="str">
        <x:v>2026-06-29</x:v>
      </x:c>
      <x:c r="D15" s="23" t="n">
        <x:v>9147.56</x:v>
      </x:c>
      <x:c r="E15" s="23" t="n">
        <x:v>8636.15</x:v>
      </x:c>
      <x:c r="F15" s="23" t="n">
        <x:f>ROUND(D15-E15,1)</x:f>
        <x:v>511.4</x:v>
      </x:c>
      <x:c r="G15" s="22" t="n">
        <x:v>3</x:v>
      </x:c>
    </x:row>
    <x:row r="16">
      <x:c r="A16" s="22" t="n">
        <x:v>2</x:v>
      </x:c>
      <x:c r="B16" s="22" t="str">
        <x:v>7月6日-7月10日</x:v>
      </x:c>
      <x:c r="C16" s="22" t="str">
        <x:v>2026-07-06</x:v>
      </x:c>
      <x:c r="D16" s="23" t="n">
        <x:v>8823.05</x:v>
      </x:c>
      <x:c r="E16" s="23" t="n">
        <x:v>8281.95</x:v>
      </x:c>
      <x:c r="F16" s="23" t="n">
        <x:f>ROUND(D16-E16,1)</x:f>
        <x:v>541.1</x:v>
      </x:c>
      <x:c r="G16" s="22" t="n">
        <x:v>5</x:v>
      </x:c>
    </x:row>
    <x:row r="17">
      <x:c r="A17" s="22" t="n">
        <x:v>3</x:v>
      </x:c>
      <x:c r="B17" s="22" t="str">
        <x:v>7月13日-7月17日</x:v>
      </x:c>
      <x:c r="C17" s="22" t="str">
        <x:v>2026-07-13</x:v>
      </x:c>
      <x:c r="D17" s="23" t="n">
        <x:v>8457.69</x:v>
      </x:c>
      <x:c r="E17" s="23" t="n">
        <x:v>7474.15</x:v>
      </x:c>
      <x:c r="F17" s="23" t="n">
        <x:f>ROUND(D17-E17,1)</x:f>
        <x:v>983.5</x:v>
      </x:c>
      <x:c r="G17" s="22" t="n">
        <x:v>5</x:v>
      </x:c>
    </x:row>
    <x:row r="18">
      <x:c r="A18" s="22" t="n">
        <x:v>4</x:v>
      </x:c>
      <x:c r="B18" s="22" t="str">
        <x:v>7月20日-7月24日</x:v>
      </x:c>
      <x:c r="C18" s="22" t="str">
        <x:v>2026-07-20</x:v>
      </x:c>
      <x:c r="D18" s="23" t="n">
        <x:v>7889.45</x:v>
      </x:c>
      <x:c r="E18" s="23" t="n">
        <x:v>7253.52</x:v>
      </x:c>
      <x:c r="F18" s="23" t="n">
        <x:f>ROUND(D18-E18,1)</x:f>
        <x:v>635.9</x:v>
      </x:c>
      <x:c r="G18" s="22" t="n">
        <x:v>5</x:v>
      </x:c>
    </x:row>
    <x:row r="19">
      <x:c r="A19" s="22" t="n">
        <x:v>5</x:v>
      </x:c>
      <x:c r="B19" s="22" t="str">
        <x:v>7月27日-7月31日</x:v>
      </x:c>
      <x:c r="C19" s="22" t="str">
        <x:v>2026-07-27</x:v>
      </x:c>
      <x:c r="D19" s="23" t="n">
        <x:v>7721.4</x:v>
      </x:c>
      <x:c r="E19" s="23" t="n">
        <x:v>7221.95</x:v>
      </x:c>
      <x:c r="F19" s="23" t="n">
        <x:f>ROUND(D19-E19,1)</x:f>
        <x:v>499.4</x:v>
      </x:c>
      <x:c r="G19" s="22" t="n">
        <x:v>5</x:v>
      </x:c>
    </x:row>
    <x:row r="20">
      <x:c r="A20" s="26" t="str">
        <x:v>合计</x:v>
      </x:c>
      <x:c r="B20" s="25" t="n">
        <x:v>5</x:v>
      </x:c>
      <x:c r="C20" s="25"/>
      <x:c r="D20" s="25"/>
      <x:c r="E20" s="25"/>
      <x:c r="F20" s="27" t="n">
        <x:f>ROUND(SUM(F15:F19),1)</x:f>
        <x:v>3171.3</x:v>
      </x:c>
      <x:c r="G20" s="25"/>
    </x:row>
    <x:row r="21">
      <x:c r="A21" s="26" t="str">
        <x:v>均值</x:v>
      </x:c>
      <x:c r="B21" s="25"/>
      <x:c r="C21" s="25"/>
      <x:c r="D21" s="25"/>
      <x:c r="E21" s="25"/>
      <x:c r="F21" s="29" t="n">
        <x:f>ROUND(IFERROR(AVERAGE(F15:F19),0),1)</x:f>
        <x:v>634.3</x:v>
      </x:c>
      <x:c r="G21" s="25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</x:row>
    <x:row r="24">
      <x:c r="A24" s="20" t="str">
        <x:v>序号</x:v>
      </x:c>
      <x:c r="B24" s="20" t="str">
        <x:v>周期</x:v>
      </x:c>
      <x:c r="C24" s="20" t="str">
        <x:v>周起始日</x:v>
      </x:c>
      <x:c r="D24" s="20" t="str">
        <x:v>周最高</x:v>
      </x:c>
      <x:c r="E24" s="20" t="str">
        <x:v>周最低</x:v>
      </x:c>
      <x:c r="F24" s="20" t="str">
        <x:v>周振幅</x:v>
      </x:c>
      <x:c r="G24" s="20" t="str">
        <x:v>交易日</x:v>
      </x:c>
    </x:row>
    <x:row r="25">
      <x:c r="A25" s="22" t="n">
        <x:v>1</x:v>
      </x:c>
      <x:c r="B25" s="22" t="str">
        <x:v>7月1日-7月3日</x:v>
      </x:c>
      <x:c r="C25" s="22" t="str">
        <x:v>2026-06-29</x:v>
      </x:c>
      <x:c r="D25" s="23" t="n">
        <x:v>4143.31</x:v>
      </x:c>
      <x:c r="E25" s="23" t="n">
        <x:v>4019.21</x:v>
      </x:c>
      <x:c r="F25" s="23" t="n">
        <x:f>ROUND(D25-E25,1)</x:f>
        <x:v>124.1</x:v>
      </x:c>
      <x:c r="G25" s="22" t="n">
        <x:v>3</x:v>
      </x:c>
    </x:row>
    <x:row r="26">
      <x:c r="A26" s="22" t="n">
        <x:v>2</x:v>
      </x:c>
      <x:c r="B26" s="22" t="str">
        <x:v>7月6日-7月10日</x:v>
      </x:c>
      <x:c r="C26" s="22" t="str">
        <x:v>2026-07-06</x:v>
      </x:c>
      <x:c r="D26" s="23" t="n">
        <x:v>4074.83</x:v>
      </x:c>
      <x:c r="E26" s="23" t="n">
        <x:v>3938.88</x:v>
      </x:c>
      <x:c r="F26" s="23" t="n">
        <x:f>ROUND(D26-E26,1)</x:f>
        <x:v>135.9</x:v>
      </x:c>
      <x:c r="G26" s="22" t="n">
        <x:v>5</x:v>
      </x:c>
    </x:row>
    <x:row r="27">
      <x:c r="A27" s="22" t="n">
        <x:v>3</x:v>
      </x:c>
      <x:c r="B27" s="22" t="str">
        <x:v>7月13日-7月17日</x:v>
      </x:c>
      <x:c r="C27" s="22" t="str">
        <x:v>2026-07-13</x:v>
      </x:c>
      <x:c r="D27" s="23" t="n">
        <x:v>3983.05</x:v>
      </x:c>
      <x:c r="E27" s="23" t="n">
        <x:v>3745.17</x:v>
      </x:c>
      <x:c r="F27" s="23" t="n">
        <x:f>ROUND(D27-E27,1)</x:f>
        <x:v>237.9</x:v>
      </x:c>
      <x:c r="G27" s="22" t="n">
        <x:v>5</x:v>
      </x:c>
    </x:row>
    <x:row r="28">
      <x:c r="A28" s="22" t="n">
        <x:v>4</x:v>
      </x:c>
      <x:c r="B28" s="22" t="str">
        <x:v>7月20日-7月24日</x:v>
      </x:c>
      <x:c r="C28" s="22" t="str">
        <x:v>2026-07-20</x:v>
      </x:c>
      <x:c r="D28" s="23" t="n">
        <x:v>3884.44</x:v>
      </x:c>
      <x:c r="E28" s="23" t="n">
        <x:v>3741.11</x:v>
      </x:c>
      <x:c r="F28" s="23" t="n">
        <x:f>ROUND(D28-E28,1)</x:f>
        <x:v>143.3</x:v>
      </x:c>
      <x:c r="G28" s="22" t="n">
        <x:v>5</x:v>
      </x:c>
    </x:row>
    <x:row r="29">
      <x:c r="A29" s="22" t="n">
        <x:v>5</x:v>
      </x:c>
      <x:c r="B29" s="22" t="str">
        <x:v>7月27日-7月31日</x:v>
      </x:c>
      <x:c r="C29" s="22" t="str">
        <x:v>2026-07-27</x:v>
      </x:c>
      <x:c r="D29" s="23" t="n">
        <x:v>3858.31</x:v>
      </x:c>
      <x:c r="E29" s="23" t="n">
        <x:v>3767.5</x:v>
      </x:c>
      <x:c r="F29" s="23" t="n">
        <x:f>ROUND(D29-E29,1)</x:f>
        <x:v>90.8</x:v>
      </x:c>
      <x:c r="G29" s="22" t="n">
        <x:v>5</x:v>
      </x:c>
    </x:row>
    <x:row r="30">
      <x:c r="A30" s="26" t="str">
        <x:v>合计</x:v>
      </x:c>
      <x:c r="B30" s="25" t="n">
        <x:v>5</x:v>
      </x:c>
      <x:c r="C30" s="25"/>
      <x:c r="D30" s="25"/>
      <x:c r="E30" s="25"/>
      <x:c r="F30" s="27" t="n">
        <x:f>ROUND(SUM(F25:F29),1)</x:f>
        <x:v>732</x:v>
      </x:c>
      <x:c r="G30" s="25"/>
    </x:row>
    <x:row r="31">
      <x:c r="A31" s="26" t="str">
        <x:v>均值</x:v>
      </x:c>
      <x:c r="B31" s="25"/>
      <x:c r="C31" s="25"/>
      <x:c r="D31" s="25"/>
      <x:c r="E31" s="25"/>
      <x:c r="F31" s="29" t="n">
        <x:f>ROUND(IFERROR(AVERAGE(F25:F29),0),1)</x:f>
        <x:v>146.4</x:v>
      </x:c>
      <x:c r="G31" s="25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</x:row>
    <x:row r="34">
      <x:c r="A34" s="20" t="str">
        <x:v>序号</x:v>
      </x:c>
      <x:c r="B34" s="20" t="str">
        <x:v>周期</x:v>
      </x:c>
      <x:c r="C34" s="20" t="str">
        <x:v>周起始日</x:v>
      </x:c>
      <x:c r="D34" s="20" t="str">
        <x:v>周最高</x:v>
      </x:c>
      <x:c r="E34" s="20" t="str">
        <x:v>周最低</x:v>
      </x:c>
      <x:c r="F34" s="20" t="str">
        <x:v>周振幅</x:v>
      </x:c>
      <x:c r="G34" s="20" t="str">
        <x:v>交易日</x:v>
      </x:c>
    </x:row>
    <x:row r="35">
      <x:c r="A35" s="22" t="n">
        <x:v>1</x:v>
      </x:c>
      <x:c r="B35" s="22" t="str">
        <x:v>7月1日-7月3日</x:v>
      </x:c>
      <x:c r="C35" s="22" t="str">
        <x:v>2026-06-29</x:v>
      </x:c>
      <x:c r="D35" s="23" t="n">
        <x:v>8629</x:v>
      </x:c>
      <x:c r="E35" s="23" t="n">
        <x:v>8337.8</x:v>
      </x:c>
      <x:c r="F35" s="23" t="n">
        <x:f>ROUND(D35-E35,1)</x:f>
        <x:v>291.2</x:v>
      </x:c>
      <x:c r="G35" s="22" t="n">
        <x:v>3</x:v>
      </x:c>
    </x:row>
    <x:row r="36">
      <x:c r="A36" s="22" t="n">
        <x:v>2</x:v>
      </x:c>
      <x:c r="B36" s="22" t="str">
        <x:v>7月6日-7月10日</x:v>
      </x:c>
      <x:c r="C36" s="22" t="str">
        <x:v>2026-07-06</x:v>
      </x:c>
      <x:c r="D36" s="23" t="n">
        <x:v>8419.8</x:v>
      </x:c>
      <x:c r="E36" s="23" t="n">
        <x:v>7868.2</x:v>
      </x:c>
      <x:c r="F36" s="23" t="n">
        <x:f>ROUND(D36-E36,1)</x:f>
        <x:v>551.6</x:v>
      </x:c>
      <x:c r="G36" s="22" t="n">
        <x:v>5</x:v>
      </x:c>
    </x:row>
    <x:row r="37">
      <x:c r="A37" s="22" t="n">
        <x:v>3</x:v>
      </x:c>
      <x:c r="B37" s="22" t="str">
        <x:v>7月13日-7月17日</x:v>
      </x:c>
      <x:c r="C37" s="22" t="str">
        <x:v>2026-07-13</x:v>
      </x:c>
      <x:c r="D37" s="23" t="n">
        <x:v>8029.8</x:v>
      </x:c>
      <x:c r="E37" s="23" t="n">
        <x:v>7018.8</x:v>
      </x:c>
      <x:c r="F37" s="23" t="n">
        <x:f>ROUND(D37-E37,1)</x:f>
        <x:v>1011</x:v>
      </x:c>
      <x:c r="G37" s="22" t="n">
        <x:v>5</x:v>
      </x:c>
    </x:row>
    <x:row r="38">
      <x:c r="A38" s="22" t="n">
        <x:v>4</x:v>
      </x:c>
      <x:c r="B38" s="22" t="str">
        <x:v>7月20日-7月24日</x:v>
      </x:c>
      <x:c r="C38" s="22" t="str">
        <x:v>2026-07-20</x:v>
      </x:c>
      <x:c r="D38" s="23" t="n">
        <x:v>7237</x:v>
      </x:c>
      <x:c r="E38" s="23" t="n">
        <x:v>6641.8</x:v>
      </x:c>
      <x:c r="F38" s="23" t="n">
        <x:f>ROUND(D38-E38,1)</x:f>
        <x:v>595.2</x:v>
      </x:c>
      <x:c r="G38" s="22" t="n">
        <x:v>5</x:v>
      </x:c>
    </x:row>
    <x:row r="39">
      <x:c r="A39" s="22" t="n">
        <x:v>5</x:v>
      </x:c>
      <x:c r="B39" s="22" t="str">
        <x:v>7月27日-7月31日</x:v>
      </x:c>
      <x:c r="C39" s="22" t="str">
        <x:v>2026-07-27</x:v>
      </x:c>
      <x:c r="D39" s="23" t="n">
        <x:v>7205</x:v>
      </x:c>
      <x:c r="E39" s="23" t="n">
        <x:v>6757.6</x:v>
      </x:c>
      <x:c r="F39" s="23" t="n">
        <x:f>ROUND(D39-E39,1)</x:f>
        <x:v>447.4</x:v>
      </x:c>
      <x:c r="G39" s="22" t="n">
        <x:v>5</x:v>
      </x:c>
    </x:row>
    <x:row r="40">
      <x:c r="A40" s="26" t="str">
        <x:v>合计</x:v>
      </x:c>
      <x:c r="B40" s="25" t="n">
        <x:v>5</x:v>
      </x:c>
      <x:c r="C40" s="25"/>
      <x:c r="D40" s="25"/>
      <x:c r="E40" s="25"/>
      <x:c r="F40" s="27" t="n">
        <x:f>ROUND(SUM(F35:F39),1)</x:f>
        <x:v>2896.4</x:v>
      </x:c>
      <x:c r="G40" s="25"/>
    </x:row>
    <x:row r="41">
      <x:c r="A41" s="26" t="str">
        <x:v>均值</x:v>
      </x:c>
      <x:c r="B41" s="25"/>
      <x:c r="C41" s="25"/>
      <x:c r="D41" s="25"/>
      <x:c r="E41" s="25"/>
      <x:c r="F41" s="29" t="n">
        <x:f>ROUND(IFERROR(AVERAGE(F35:F39),0),1)</x:f>
        <x:v>579.3</x:v>
      </x:c>
      <x:c r="G41" s="25"/>
    </x:row>
    <x:row r="43">
      <x:c r="A43" s="17" t="str">
        <x:v>IC主力</x:v>
      </x:c>
      <x:c r="B43" s="17"/>
      <x:c r="C43" s="17"/>
      <x:c r="D43" s="17"/>
      <x:c r="E43" s="17"/>
      <x:c r="F43" s="17"/>
      <x:c r="G43" s="17"/>
    </x:row>
    <x:row r="44">
      <x:c r="A44" s="20" t="str">
        <x:v>序号</x:v>
      </x:c>
      <x:c r="B44" s="20" t="str">
        <x:v>周期</x:v>
      </x:c>
      <x:c r="C44" s="20" t="str">
        <x:v>周起始日</x:v>
      </x:c>
      <x:c r="D44" s="20" t="str">
        <x:v>周最高</x:v>
      </x:c>
      <x:c r="E44" s="20" t="str">
        <x:v>周最低</x:v>
      </x:c>
      <x:c r="F44" s="20" t="str">
        <x:v>周振幅</x:v>
      </x:c>
      <x:c r="G44" s="20" t="str">
        <x:v>交易日</x:v>
      </x:c>
    </x:row>
    <x:row r="45">
      <x:c r="A45" s="22" t="n">
        <x:v>1</x:v>
      </x:c>
      <x:c r="B45" s="22" t="str">
        <x:v>7月1日-7月3日</x:v>
      </x:c>
      <x:c r="C45" s="22" t="str">
        <x:v>2026-06-29</x:v>
      </x:c>
      <x:c r="D45" s="23" t="n">
        <x:v>8873.8</x:v>
      </x:c>
      <x:c r="E45" s="23" t="n">
        <x:v>8442</x:v>
      </x:c>
      <x:c r="F45" s="23" t="n">
        <x:f>ROUND(D45-E45,1)</x:f>
        <x:v>431.8</x:v>
      </x:c>
      <x:c r="G45" s="22" t="n">
        <x:v>3</x:v>
      </x:c>
    </x:row>
    <x:row r="46">
      <x:c r="A46" s="22" t="n">
        <x:v>2</x:v>
      </x:c>
      <x:c r="B46" s="22" t="str">
        <x:v>7月6日-7月10日</x:v>
      </x:c>
      <x:c r="C46" s="22" t="str">
        <x:v>2026-07-06</x:v>
      </x:c>
      <x:c r="D46" s="23" t="n">
        <x:v>8618</x:v>
      </x:c>
      <x:c r="E46" s="23" t="n">
        <x:v>8173</x:v>
      </x:c>
      <x:c r="F46" s="23" t="n">
        <x:f>ROUND(D46-E46,1)</x:f>
        <x:v>445</x:v>
      </x:c>
      <x:c r="G46" s="22" t="n">
        <x:v>5</x:v>
      </x:c>
    </x:row>
    <x:row r="47">
      <x:c r="A47" s="22" t="n">
        <x:v>3</x:v>
      </x:c>
      <x:c r="B47" s="22" t="str">
        <x:v>7月13日-7月17日</x:v>
      </x:c>
      <x:c r="C47" s="22" t="str">
        <x:v>2026-07-13</x:v>
      </x:c>
      <x:c r="D47" s="23" t="n">
        <x:v>8328</x:v>
      </x:c>
      <x:c r="E47" s="23" t="n">
        <x:v>7362.8</x:v>
      </x:c>
      <x:c r="F47" s="23" t="n">
        <x:f>ROUND(D47-E47,1)</x:f>
        <x:v>965.2</x:v>
      </x:c>
      <x:c r="G47" s="22" t="n">
        <x:v>5</x:v>
      </x:c>
    </x:row>
    <x:row r="48">
      <x:c r="A48" s="22" t="n">
        <x:v>4</x:v>
      </x:c>
      <x:c r="B48" s="22" t="str">
        <x:v>7月20日-7月24日</x:v>
      </x:c>
      <x:c r="C48" s="22" t="str">
        <x:v>2026-07-20</x:v>
      </x:c>
      <x:c r="D48" s="23" t="n">
        <x:v>7765.6</x:v>
      </x:c>
      <x:c r="E48" s="23" t="n">
        <x:v>7092</x:v>
      </x:c>
      <x:c r="F48" s="23" t="n">
        <x:f>ROUND(D48-E48,1)</x:f>
        <x:v>673.6</x:v>
      </x:c>
      <x:c r="G48" s="22" t="n">
        <x:v>5</x:v>
      </x:c>
    </x:row>
    <x:row r="49">
      <x:c r="A49" s="22" t="n">
        <x:v>5</x:v>
      </x:c>
      <x:c r="B49" s="22" t="str">
        <x:v>7月27日-7月31日</x:v>
      </x:c>
      <x:c r="C49" s="22" t="str">
        <x:v>2026-07-27</x:v>
      </x:c>
      <x:c r="D49" s="23" t="n">
        <x:v>7666.6</x:v>
      </x:c>
      <x:c r="E49" s="23" t="n">
        <x:v>7106</x:v>
      </x:c>
      <x:c r="F49" s="23" t="n">
        <x:f>ROUND(D49-E49,1)</x:f>
        <x:v>560.6</x:v>
      </x:c>
      <x:c r="G49" s="22" t="n">
        <x:v>5</x:v>
      </x:c>
    </x:row>
    <x:row r="50">
      <x:c r="A50" s="26" t="str">
        <x:v>合计</x:v>
      </x:c>
      <x:c r="B50" s="25" t="n">
        <x:v>5</x:v>
      </x:c>
      <x:c r="C50" s="25"/>
      <x:c r="D50" s="25"/>
      <x:c r="E50" s="25"/>
      <x:c r="F50" s="27" t="n">
        <x:f>ROUND(SUM(F45:F49),1)</x:f>
        <x:v>3076.2</x:v>
      </x:c>
      <x:c r="G50" s="25"/>
    </x:row>
    <x:row r="51">
      <x:c r="A51" s="26" t="str">
        <x:v>均值</x:v>
      </x:c>
      <x:c r="B51" s="25"/>
      <x:c r="C51" s="25"/>
      <x:c r="D51" s="25"/>
      <x:c r="E51" s="25"/>
      <x:c r="F51" s="29" t="n">
        <x:f>ROUND(IFERROR(AVERAGE(F45:F49),0),1)</x:f>
        <x:v>615.2</x:v>
      </x:c>
      <x:c r="G51" s="25"/>
    </x:row>
    <x:row r="53">
      <x:c r="A53" s="17" t="str">
        <x:v>IF主力</x:v>
      </x:c>
      <x:c r="B53" s="17"/>
      <x:c r="C53" s="17"/>
      <x:c r="D53" s="17"/>
      <x:c r="E53" s="17"/>
      <x:c r="F53" s="17"/>
      <x:c r="G53" s="17"/>
    </x:row>
    <x:row r="54">
      <x:c r="A54" s="20" t="str">
        <x:v>序号</x:v>
      </x:c>
      <x:c r="B54" s="20" t="str">
        <x:v>周期</x:v>
      </x:c>
      <x:c r="C54" s="20" t="str">
        <x:v>周起始日</x:v>
      </x:c>
      <x:c r="D54" s="20" t="str">
        <x:v>周最高</x:v>
      </x:c>
      <x:c r="E54" s="20" t="str">
        <x:v>周最低</x:v>
      </x:c>
      <x:c r="F54" s="20" t="str">
        <x:v>周振幅</x:v>
      </x:c>
      <x:c r="G54" s="20" t="str">
        <x:v>交易日</x:v>
      </x:c>
    </x:row>
    <x:row r="55">
      <x:c r="A55" s="22" t="n">
        <x:v>1</x:v>
      </x:c>
      <x:c r="B55" s="22" t="str">
        <x:v>7月1日-7月3日</x:v>
      </x:c>
      <x:c r="C55" s="22" t="str">
        <x:v>2026-06-29</x:v>
      </x:c>
      <x:c r="D55" s="23" t="n">
        <x:v>4899.6</x:v>
      </x:c>
      <x:c r="E55" s="23" t="n">
        <x:v>4705</x:v>
      </x:c>
      <x:c r="F55" s="23" t="n">
        <x:f>ROUND(D55-E55,1)</x:f>
        <x:v>194.6</x:v>
      </x:c>
      <x:c r="G55" s="22" t="n">
        <x:v>3</x:v>
      </x:c>
    </x:row>
    <x:row r="56">
      <x:c r="A56" s="22" t="n">
        <x:v>2</x:v>
      </x:c>
      <x:c r="B56" s="22" t="str">
        <x:v>7月6日-7月10日</x:v>
      </x:c>
      <x:c r="C56" s="22" t="str">
        <x:v>2026-07-06</x:v>
      </x:c>
      <x:c r="D56" s="23" t="n">
        <x:v>4822.2</x:v>
      </x:c>
      <x:c r="E56" s="23" t="n">
        <x:v>4665.2</x:v>
      </x:c>
      <x:c r="F56" s="23" t="n">
        <x:f>ROUND(D56-E56,1)</x:f>
        <x:v>157</x:v>
      </x:c>
      <x:c r="G56" s="22" t="n">
        <x:v>5</x:v>
      </x:c>
    </x:row>
    <x:row r="57">
      <x:c r="A57" s="22" t="n">
        <x:v>3</x:v>
      </x:c>
      <x:c r="B57" s="22" t="str">
        <x:v>7月13日-7月17日</x:v>
      </x:c>
      <x:c r="C57" s="22" t="str">
        <x:v>2026-07-13</x:v>
      </x:c>
      <x:c r="D57" s="23" t="n">
        <x:v>4739.4</x:v>
      </x:c>
      <x:c r="E57" s="23" t="n">
        <x:v>4441.4</x:v>
      </x:c>
      <x:c r="F57" s="23" t="n">
        <x:f>ROUND(D57-E57,1)</x:f>
        <x:v>298</x:v>
      </x:c>
      <x:c r="G57" s="22" t="n">
        <x:v>5</x:v>
      </x:c>
    </x:row>
    <x:row r="58">
      <x:c r="A58" s="22" t="n">
        <x:v>4</x:v>
      </x:c>
      <x:c r="B58" s="22" t="str">
        <x:v>7月20日-7月24日</x:v>
      </x:c>
      <x:c r="C58" s="22" t="str">
        <x:v>2026-07-20</x:v>
      </x:c>
      <x:c r="D58" s="23" t="n">
        <x:v>4707.8</x:v>
      </x:c>
      <x:c r="E58" s="23" t="n">
        <x:v>4465</x:v>
      </x:c>
      <x:c r="F58" s="23" t="n">
        <x:f>ROUND(D58-E58,1)</x:f>
        <x:v>242.8</x:v>
      </x:c>
      <x:c r="G58" s="22" t="n">
        <x:v>5</x:v>
      </x:c>
    </x:row>
    <x:row r="59">
      <x:c r="A59" s="22" t="n">
        <x:v>5</x:v>
      </x:c>
      <x:c r="B59" s="22" t="str">
        <x:v>7月27日-7月31日</x:v>
      </x:c>
      <x:c r="C59" s="22" t="str">
        <x:v>2026-07-27</x:v>
      </x:c>
      <x:c r="D59" s="23" t="n">
        <x:v>4652.2</x:v>
      </x:c>
      <x:c r="E59" s="23" t="n">
        <x:v>4420</x:v>
      </x:c>
      <x:c r="F59" s="23" t="n">
        <x:f>ROUND(D59-E59,1)</x:f>
        <x:v>232.2</x:v>
      </x:c>
      <x:c r="G59" s="22" t="n">
        <x:v>5</x:v>
      </x:c>
    </x:row>
    <x:row r="60">
      <x:c r="A60" s="26" t="str">
        <x:v>合计</x:v>
      </x:c>
      <x:c r="B60" s="25" t="n">
        <x:v>5</x:v>
      </x:c>
      <x:c r="C60" s="25"/>
      <x:c r="D60" s="25"/>
      <x:c r="E60" s="25"/>
      <x:c r="F60" s="27" t="n">
        <x:f>ROUND(SUM(F55:F59),1)</x:f>
        <x:v>1124.6</x:v>
      </x:c>
      <x:c r="G60" s="25"/>
    </x:row>
    <x:row r="61">
      <x:c r="A61" s="26" t="str">
        <x:v>均值</x:v>
      </x:c>
      <x:c r="B61" s="25"/>
      <x:c r="C61" s="25"/>
      <x:c r="D61" s="25"/>
      <x:c r="E61" s="25"/>
      <x:c r="F61" s="29" t="n">
        <x:f>ROUND(IFERROR(AVERAGE(F55:F59),0),1)</x:f>
        <x:v>224.9</x:v>
      </x:c>
      <x:c r="G61" s="25"/>
    </x:row>
    <x:row r="63">
      <x:c r="A63" s="17" t="str">
        <x:v>IH主力</x:v>
      </x:c>
      <x:c r="B63" s="17"/>
      <x:c r="C63" s="17"/>
      <x:c r="D63" s="17"/>
      <x:c r="E63" s="17"/>
      <x:c r="F63" s="17"/>
      <x:c r="G63" s="17"/>
    </x:row>
    <x:row r="64">
      <x:c r="A64" s="20" t="str">
        <x:v>序号</x:v>
      </x:c>
      <x:c r="B64" s="20" t="str">
        <x:v>周期</x:v>
      </x:c>
      <x:c r="C64" s="20" t="str">
        <x:v>周起始日</x:v>
      </x:c>
      <x:c r="D64" s="20" t="str">
        <x:v>周最高</x:v>
      </x:c>
      <x:c r="E64" s="20" t="str">
        <x:v>周最低</x:v>
      </x:c>
      <x:c r="F64" s="20" t="str">
        <x:v>周振幅</x:v>
      </x:c>
      <x:c r="G64" s="20" t="str">
        <x:v>交易日</x:v>
      </x:c>
    </x:row>
    <x:row r="65">
      <x:c r="A65" s="22" t="n">
        <x:v>1</x:v>
      </x:c>
      <x:c r="B65" s="22" t="str">
        <x:v>7月1日-7月3日</x:v>
      </x:c>
      <x:c r="C65" s="22" t="str">
        <x:v>2026-06-29</x:v>
      </x:c>
      <x:c r="D65" s="23" t="n">
        <x:v>2976</x:v>
      </x:c>
      <x:c r="E65" s="23" t="n">
        <x:v>2861.8</x:v>
      </x:c>
      <x:c r="F65" s="23" t="n">
        <x:f>ROUND(D65-E65,1)</x:f>
        <x:v>114.2</x:v>
      </x:c>
      <x:c r="G65" s="22" t="n">
        <x:v>3</x:v>
      </x:c>
    </x:row>
    <x:row r="66">
      <x:c r="A66" s="22" t="n">
        <x:v>2</x:v>
      </x:c>
      <x:c r="B66" s="22" t="str">
        <x:v>7月6日-7月10日</x:v>
      </x:c>
      <x:c r="C66" s="22" t="str">
        <x:v>2026-07-06</x:v>
      </x:c>
      <x:c r="D66" s="23" t="n">
        <x:v>2983.8</x:v>
      </x:c>
      <x:c r="E66" s="23" t="n">
        <x:v>2862.4</x:v>
      </x:c>
      <x:c r="F66" s="23" t="n">
        <x:f>ROUND(D66-E66,1)</x:f>
        <x:v>121.4</x:v>
      </x:c>
      <x:c r="G66" s="22" t="n">
        <x:v>5</x:v>
      </x:c>
    </x:row>
    <x:row r="67">
      <x:c r="A67" s="22" t="n">
        <x:v>3</x:v>
      </x:c>
      <x:c r="B67" s="22" t="str">
        <x:v>7月13日-7月17日</x:v>
      </x:c>
      <x:c r="C67" s="22" t="str">
        <x:v>2026-07-13</x:v>
      </x:c>
      <x:c r="D67" s="23" t="n">
        <x:v>2924</x:v>
      </x:c>
      <x:c r="E67" s="23" t="n">
        <x:v>2782.6</x:v>
      </x:c>
      <x:c r="F67" s="23" t="n">
        <x:f>ROUND(D67-E67,1)</x:f>
        <x:v>141.4</x:v>
      </x:c>
      <x:c r="G67" s="22" t="n">
        <x:v>5</x:v>
      </x:c>
    </x:row>
    <x:row r="68">
      <x:c r="A68" s="22" t="n">
        <x:v>4</x:v>
      </x:c>
      <x:c r="B68" s="22" t="str">
        <x:v>7月20日-7月24日</x:v>
      </x:c>
      <x:c r="C68" s="22" t="str">
        <x:v>2026-07-20</x:v>
      </x:c>
      <x:c r="D68" s="23" t="n">
        <x:v>2978</x:v>
      </x:c>
      <x:c r="E68" s="23" t="n">
        <x:v>2820</x:v>
      </x:c>
      <x:c r="F68" s="23" t="n">
        <x:f>ROUND(D68-E68,1)</x:f>
        <x:v>158</x:v>
      </x:c>
      <x:c r="G68" s="22" t="n">
        <x:v>5</x:v>
      </x:c>
    </x:row>
    <x:row r="69">
      <x:c r="A69" s="22" t="n">
        <x:v>5</x:v>
      </x:c>
      <x:c r="B69" s="22" t="str">
        <x:v>7月27日-7月31日</x:v>
      </x:c>
      <x:c r="C69" s="22" t="str">
        <x:v>2026-07-27</x:v>
      </x:c>
      <x:c r="D69" s="23" t="n">
        <x:v>2930</x:v>
      </x:c>
      <x:c r="E69" s="23" t="n">
        <x:v>2847.2</x:v>
      </x:c>
      <x:c r="F69" s="23" t="n">
        <x:f>ROUND(D69-E69,1)</x:f>
        <x:v>82.8</x:v>
      </x:c>
      <x:c r="G69" s="22" t="n">
        <x:v>5</x:v>
      </x:c>
    </x:row>
    <x:row r="70">
      <x:c r="A70" s="26" t="str">
        <x:v>合计</x:v>
      </x:c>
      <x:c r="B70" s="25" t="n">
        <x:v>5</x:v>
      </x:c>
      <x:c r="C70" s="25"/>
      <x:c r="D70" s="25"/>
      <x:c r="E70" s="25"/>
      <x:c r="F70" s="27" t="n">
        <x:f>ROUND(SUM(F65:F69),1)</x:f>
        <x:v>617.8</x:v>
      </x:c>
      <x:c r="G70" s="25"/>
    </x:row>
    <x:row r="71">
      <x:c r="A71" s="26" t="str">
        <x:v>均值</x:v>
      </x:c>
      <x:c r="B71" s="25"/>
      <x:c r="C71" s="25"/>
      <x:c r="D71" s="25"/>
      <x:c r="E71" s="25"/>
      <x:c r="F71" s="29" t="n">
        <x:f>ROUND(IFERROR(AVERAGE(F65:F69),0),1)</x:f>
        <x:v>123.6</x:v>
      </x:c>
      <x:c r="G71" s="25"/>
    </x:row>
  </x:sheetData>
  <x:mergeCells>
    <x:mergeCell ref="A1:G1"/>
    <x:mergeCell ref="A3:G3"/>
    <x:mergeCell ref="A13:G13"/>
    <x:mergeCell ref="A23:G23"/>
    <x:mergeCell ref="A33:G33"/>
    <x:mergeCell ref="A43:G43"/>
    <x:mergeCell ref="A53:G53"/>
    <x:mergeCell ref="A63:G6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8827.47</x:v>
      </x:c>
      <x:c r="E4" s="23" t="n">
        <x:v>8944.19</x:v>
      </x:c>
      <x:c r="F4" s="23" t="n">
        <x:v>8806.65</x:v>
      </x:c>
      <x:c r="G4" s="23" t="n">
        <x:v>8876.63</x:v>
      </x:c>
      <x:c r="H4" s="23" t="n">
        <x:v>66.8</x:v>
      </x:c>
      <x:c r="I4" s="33" t="n">
        <x:v>0.007587013992387925</x:v>
      </x:c>
      <x:c r="J4" s="23" t="n">
        <x:f>ROUND(E4-F4,1)</x:f>
        <x:v>137.5</x:v>
      </x:c>
      <x:c r="K4" s="22" t="str">
        <x:v>中证1000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8688.29</x:v>
      </x:c>
      <x:c r="E5" s="23" t="n">
        <x:v>8865.97</x:v>
      </x:c>
      <x:c r="F5" s="23" t="n">
        <x:v>8598.87</x:v>
      </x:c>
      <x:c r="G5" s="23" t="n">
        <x:v>8625.33</x:v>
      </x:c>
      <x:c r="H5" s="35" t="n">
        <x:v>-251.3</x:v>
      </x:c>
      <x:c r="I5" s="33" t="n">
        <x:v>-0.028310293433431277</x:v>
      </x:c>
      <x:c r="J5" s="37" t="n">
        <x:f>ROUND(E5-F5,1)</x:f>
        <x:v>267.1</x:v>
      </x:c>
      <x:c r="K5" s="22" t="str">
        <x:v>中证1000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8627.38</x:v>
      </x:c>
      <x:c r="E6" s="23" t="n">
        <x:v>8740.67</x:v>
      </x:c>
      <x:c r="F6" s="23" t="n">
        <x:v>8559.28</x:v>
      </x:c>
      <x:c r="G6" s="23" t="n">
        <x:v>8620.79</x:v>
      </x:c>
      <x:c r="H6" s="23" t="n">
        <x:v>-4.5</x:v>
      </x:c>
      <x:c r="I6" s="33" t="n">
        <x:v>-0.0005263566727300439</x:v>
      </x:c>
      <x:c r="J6" s="37" t="n">
        <x:f>ROUND(E6-F6,1)</x:f>
        <x:v>181.4</x:v>
      </x:c>
      <x:c r="K6" s="22" t="str">
        <x:v>中证1000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8669.12</x:v>
      </x:c>
      <x:c r="E7" s="23" t="n">
        <x:v>8694.8</x:v>
      </x:c>
      <x:c r="F7" s="23" t="n">
        <x:v>8432.9</x:v>
      </x:c>
      <x:c r="G7" s="23" t="n">
        <x:v>8472.6</x:v>
      </x:c>
      <x:c r="H7" s="23" t="n">
        <x:v>-148.2</x:v>
      </x:c>
      <x:c r="I7" s="33" t="n">
        <x:v>-0.01718983991026346</x:v>
      </x:c>
      <x:c r="J7" s="37" t="n">
        <x:f>ROUND(E7-F7,1)</x:f>
        <x:v>261.9</x:v>
      </x:c>
      <x:c r="K7" s="22" t="str">
        <x:v>中证1000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8436.39</x:v>
      </x:c>
      <x:c r="E8" s="23" t="n">
        <x:v>8489.48</x:v>
      </x:c>
      <x:c r="F8" s="23" t="n">
        <x:v>8261.4</x:v>
      </x:c>
      <x:c r="G8" s="23" t="n">
        <x:v>8301.8</x:v>
      </x:c>
      <x:c r="H8" s="35" t="n">
        <x:v>-170.8</x:v>
      </x:c>
      <x:c r="I8" s="33" t="n">
        <x:v>-0.020159101102377175</x:v>
      </x:c>
      <x:c r="J8" s="37" t="n">
        <x:f>ROUND(E8-F8,1)</x:f>
        <x:v>228.1</x:v>
      </x:c>
      <x:c r="K8" s="22" t="str">
        <x:v>中证1000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8315.96</x:v>
      </x:c>
      <x:c r="E9" s="23" t="n">
        <x:v>8328.96</x:v>
      </x:c>
      <x:c r="F9" s="23" t="n">
        <x:v>8117.86</x:v>
      </x:c>
      <x:c r="G9" s="23" t="n">
        <x:v>8117.86</x:v>
      </x:c>
      <x:c r="H9" s="35" t="n">
        <x:v>-183.9</x:v>
      </x:c>
      <x:c r="I9" s="33" t="n">
        <x:v>-0.02215664072851664</x:v>
      </x:c>
      <x:c r="J9" s="37" t="n">
        <x:f>ROUND(E9-F9,1)</x:f>
        <x:v>211.1</x:v>
      </x:c>
      <x:c r="K9" s="22" t="str">
        <x:v>中证1000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8161.86</x:v>
      </x:c>
      <x:c r="E10" s="23" t="n">
        <x:v>8312.62</x:v>
      </x:c>
      <x:c r="F10" s="23" t="n">
        <x:v>7978.81</x:v>
      </x:c>
      <x:c r="G10" s="23" t="n">
        <x:v>8300.08</x:v>
      </x:c>
      <x:c r="H10" s="35" t="n">
        <x:v>182.2</x:v>
      </x:c>
      <x:c r="I10" s="33" t="n">
        <x:v>0.022446802482427586</x:v>
      </x:c>
      <x:c r="J10" s="37" t="n">
        <x:f>ROUND(E10-F10,1)</x:f>
        <x:v>333.8</x:v>
      </x:c>
      <x:c r="K10" s="22" t="str">
        <x:v>中证1000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8312.49</x:v>
      </x:c>
      <x:c r="E11" s="23" t="n">
        <x:v>8438.19</x:v>
      </x:c>
      <x:c r="F11" s="23" t="n">
        <x:v>8198.31</x:v>
      </x:c>
      <x:c r="G11" s="23" t="n">
        <x:v>8198.31</x:v>
      </x:c>
      <x:c r="H11" s="23" t="n">
        <x:v>-101.8</x:v>
      </x:c>
      <x:c r="I11" s="33" t="n">
        <x:v>-0.012261327601661764</x:v>
      </x:c>
      <x:c r="J11" s="37" t="n">
        <x:f>ROUND(E11-F11,1)</x:f>
        <x:v>239.9</x:v>
      </x:c>
      <x:c r="K11" s="22" t="str">
        <x:v>中证1000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8124.36</x:v>
      </x:c>
      <x:c r="E12" s="23" t="n">
        <x:v>8171.5</x:v>
      </x:c>
      <x:c r="F12" s="23" t="n">
        <x:v>7769.29</x:v>
      </x:c>
      <x:c r="G12" s="23" t="n">
        <x:v>7787.85</x:v>
      </x:c>
      <x:c r="H12" s="35" t="n">
        <x:v>-410.5</x:v>
      </x:c>
      <x:c r="I12" s="33" t="n">
        <x:v>-0.050066416127226065</x:v>
      </x:c>
      <x:c r="J12" s="37" t="n">
        <x:f>ROUND(E12-F12,1)</x:f>
        <x:v>402.2</x:v>
      </x:c>
      <x:c r="K12" s="22" t="str">
        <x:v>中证1000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7799.81</x:v>
      </x:c>
      <x:c r="E13" s="23" t="n">
        <x:v>7934.1</x:v>
      </x:c>
      <x:c r="F13" s="23" t="n">
        <x:v>7657.67</x:v>
      </x:c>
      <x:c r="G13" s="23" t="n">
        <x:v>7925.12</x:v>
      </x:c>
      <x:c r="H13" s="23" t="n">
        <x:v>137.3</x:v>
      </x:c>
      <x:c r="I13" s="33" t="n">
        <x:v>0.017626174104534487</x:v>
      </x:c>
      <x:c r="J13" s="37" t="n">
        <x:f>ROUND(E13-F13,1)</x:f>
        <x:v>276.4</x:v>
      </x:c>
      <x:c r="K13" s="22" t="str">
        <x:v>中证1000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7959.37</x:v>
      </x:c>
      <x:c r="E14" s="23" t="n">
        <x:v>7979.08</x:v>
      </x:c>
      <x:c r="F14" s="23" t="n">
        <x:v>7783.22</x:v>
      </x:c>
      <x:c r="G14" s="23" t="n">
        <x:v>7817.83</x:v>
      </x:c>
      <x:c r="H14" s="23" t="n">
        <x:v>-107.3</x:v>
      </x:c>
      <x:c r="I14" s="33" t="n">
        <x:v>-0.013537965355729598</x:v>
      </x:c>
      <x:c r="J14" s="37" t="n">
        <x:f>ROUND(E14-F14,1)</x:f>
        <x:v>195.9</x:v>
      </x:c>
      <x:c r="K14" s="22" t="str">
        <x:v>中证1000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7713.14</x:v>
      </x:c>
      <x:c r="E15" s="23" t="n">
        <x:v>7836.39</x:v>
      </x:c>
      <x:c r="F15" s="23" t="n">
        <x:v>7591.42</x:v>
      </x:c>
      <x:c r="G15" s="23" t="n">
        <x:v>7631.76</x:v>
      </x:c>
      <x:c r="H15" s="35" t="n">
        <x:v>-186.1</x:v>
      </x:c>
      <x:c r="I15" s="33" t="n">
        <x:v>-0.023800722195289503</x:v>
      </x:c>
      <x:c r="J15" s="37" t="n">
        <x:f>ROUND(E15-F15,1)</x:f>
        <x:v>245</x:v>
      </x:c>
      <x:c r="K15" s="22" t="str">
        <x:v>中证1000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7599.39</x:v>
      </x:c>
      <x:c r="E16" s="42" t="n">
        <x:v>7605.61</x:v>
      </x:c>
      <x:c r="F16" s="42" t="n">
        <x:v>7163.31</x:v>
      </x:c>
      <x:c r="G16" s="42" t="n">
        <x:v>7168</x:v>
      </x:c>
      <x:c r="H16" s="35" t="n">
        <x:v>-463.8</x:v>
      </x:c>
      <x:c r="I16" s="43" t="n">
        <x:v>-0.06076711007683677</x:v>
      </x:c>
      <x:c r="J16" s="37" t="n">
        <x:f>ROUND(E16-F16,1)</x:f>
        <x:v>442.3</x:v>
      </x:c>
      <x:c r="K16" s="41" t="str">
        <x:v>中证1000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7256.27</x:v>
      </x:c>
      <x:c r="E17" s="23" t="n">
        <x:v>7298.12</x:v>
      </x:c>
      <x:c r="F17" s="23" t="n">
        <x:v>6824.14</x:v>
      </x:c>
      <x:c r="G17" s="23" t="n">
        <x:v>6965.38</x:v>
      </x:c>
      <x:c r="H17" s="35" t="n">
        <x:v>-202.6</x:v>
      </x:c>
      <x:c r="I17" s="33" t="n">
        <x:v>-0.028267299107142874</x:v>
      </x:c>
      <x:c r="J17" s="37" t="n">
        <x:f>ROUND(E17-F17,1)</x:f>
        <x:v>474</x:v>
      </x:c>
      <x:c r="K17" s="22" t="str">
        <x:v>中证1000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6975.89</x:v>
      </x:c>
      <x:c r="E18" s="23" t="n">
        <x:v>7264.34</x:v>
      </x:c>
      <x:c r="F18" s="23" t="n">
        <x:v>6714.19</x:v>
      </x:c>
      <x:c r="G18" s="23" t="n">
        <x:v>7259.86</x:v>
      </x:c>
      <x:c r="H18" s="35" t="n">
        <x:v>294.5</x:v>
      </x:c>
      <x:c r="I18" s="33" t="n">
        <x:v>0.042277664678739724</x:v>
      </x:c>
      <x:c r="J18" s="37" t="n">
        <x:f>ROUND(E18-F18,1)</x:f>
        <x:v>550.2</x:v>
      </x:c>
      <x:c r="K18" s="22" t="str">
        <x:v>中证1000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7196.86</x:v>
      </x:c>
      <x:c r="E19" s="23" t="n">
        <x:v>7302.45</x:v>
      </x:c>
      <x:c r="F19" s="23" t="n">
        <x:v>7118.66</x:v>
      </x:c>
      <x:c r="G19" s="23" t="n">
        <x:v>7158.76</x:v>
      </x:c>
      <x:c r="H19" s="23" t="n">
        <x:v>-101.1</x:v>
      </x:c>
      <x:c r="I19" s="33" t="n">
        <x:v>-0.013925888378012674</x:v>
      </x:c>
      <x:c r="J19" s="37" t="n">
        <x:f>ROUND(E19-F19,1)</x:f>
        <x:v>183.8</x:v>
      </x:c>
      <x:c r="K19" s="22" t="str">
        <x:v>中证1000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7169.54</x:v>
      </x:c>
      <x:c r="E20" s="23" t="n">
        <x:v>7247.14</x:v>
      </x:c>
      <x:c r="F20" s="23" t="n">
        <x:v>7113.5</x:v>
      </x:c>
      <x:c r="G20" s="23" t="n">
        <x:v>7195.5</x:v>
      </x:c>
      <x:c r="H20" s="23" t="n">
        <x:v>36.7</x:v>
      </x:c>
      <x:c r="I20" s="33" t="n">
        <x:v>0.005132173728411127</x:v>
      </x:c>
      <x:c r="J20" s="23" t="n">
        <x:f>ROUND(E20-F20,1)</x:f>
        <x:v>133.6</x:v>
      </x:c>
      <x:c r="K20" s="22" t="str">
        <x:v>中证1000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7109.25</x:v>
      </x:c>
      <x:c r="E21" s="23" t="n">
        <x:v>7174.55</x:v>
      </x:c>
      <x:c r="F21" s="23" t="n">
        <x:v>6995.69</x:v>
      </x:c>
      <x:c r="G21" s="23" t="n">
        <x:v>6995.69</x:v>
      </x:c>
      <x:c r="H21" s="35" t="n">
        <x:v>-199.8</x:v>
      </x:c>
      <x:c r="I21" s="33" t="n">
        <x:v>-0.027768744354110253</x:v>
      </x:c>
      <x:c r="J21" s="23" t="n">
        <x:f>ROUND(E21-F21,1)</x:f>
        <x:v>178.9</x:v>
      </x:c>
      <x:c r="K21" s="22" t="str">
        <x:v>中证1000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6981.16</x:v>
      </x:c>
      <x:c r="E22" s="23" t="n">
        <x:v>7228.78</x:v>
      </x:c>
      <x:c r="F22" s="23" t="n">
        <x:v>6972.28</x:v>
      </x:c>
      <x:c r="G22" s="23" t="n">
        <x:v>7228.78</x:v>
      </x:c>
      <x:c r="H22" s="35" t="n">
        <x:v>233.1</x:v>
      </x:c>
      <x:c r="I22" s="33" t="n">
        <x:v>0.03331908646609549</x:v>
      </x:c>
      <x:c r="J22" s="37" t="n">
        <x:f>ROUND(E22-F22,1)</x:f>
        <x:v>256.5</x:v>
      </x:c>
      <x:c r="K22" s="22" t="str">
        <x:v>中证1000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7135.73</x:v>
      </x:c>
      <x:c r="E23" s="23" t="n">
        <x:v>7189.18</x:v>
      </x:c>
      <x:c r="F23" s="23" t="n">
        <x:v>6992.94</x:v>
      </x:c>
      <x:c r="G23" s="23" t="n">
        <x:v>7026.28</x:v>
      </x:c>
      <x:c r="H23" s="35" t="n">
        <x:v>-202.5</x:v>
      </x:c>
      <x:c r="I23" s="33" t="n">
        <x:v>-0.028013025711115858</x:v>
      </x:c>
      <x:c r="J23" s="37" t="n">
        <x:f>ROUND(E23-F23,1)</x:f>
        <x:v>196.2</x:v>
      </x:c>
      <x:c r="K23" s="22" t="str">
        <x:v>中证1000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7020.22</x:v>
      </x:c>
      <x:c r="E24" s="23" t="n">
        <x:v>7132.35</x:v>
      </x:c>
      <x:c r="F24" s="23" t="n">
        <x:v>6897.39</x:v>
      </x:c>
      <x:c r="G24" s="23" t="n">
        <x:v>7095.19</x:v>
      </x:c>
      <x:c r="H24" s="23" t="n">
        <x:v>68.9</x:v>
      </x:c>
      <x:c r="I24" s="33" t="n">
        <x:v>0.009807465685967465</x:v>
      </x:c>
      <x:c r="J24" s="37" t="n">
        <x:f>ROUND(E24-F24,1)</x:f>
        <x:v>235</x:v>
      </x:c>
      <x:c r="K24" s="22" t="str">
        <x:v>中证1000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7053.09</x:v>
      </x:c>
      <x:c r="E25" s="23" t="n">
        <x:v>7121.52</x:v>
      </x:c>
      <x:c r="F25" s="23" t="n">
        <x:v>6841.75</x:v>
      </x:c>
      <x:c r="G25" s="23" t="n">
        <x:v>6900.66</x:v>
      </x:c>
      <x:c r="H25" s="35" t="n">
        <x:v>-194.5</x:v>
      </x:c>
      <x:c r="I25" s="33" t="n">
        <x:v>-0.027417165713673586</x:v>
      </x:c>
      <x:c r="J25" s="37" t="n">
        <x:f>ROUND(E25-F25,1)</x:f>
        <x:v>279.8</x:v>
      </x:c>
      <x:c r="K25" s="22" t="str">
        <x:v>中证1000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7082.75</x:v>
      </x:c>
      <x:c r="E26" s="23" t="n">
        <x:v>7218.06</x:v>
      </x:c>
      <x:c r="F26" s="23" t="n">
        <x:v>7071.05</x:v>
      </x:c>
      <x:c r="G26" s="23" t="n">
        <x:v>7075.51</x:v>
      </x:c>
      <x:c r="H26" s="35" t="n">
        <x:v>174.9</x:v>
      </x:c>
      <x:c r="I26" s="33" t="n">
        <x:v>0.02533815606043488</x:v>
      </x:c>
      <x:c r="J26" s="23" t="n">
        <x:f>ROUND(E26-F26,1)</x:f>
        <x:v>147</x:v>
      </x:c>
      <x:c r="K26" s="22" t="str">
        <x:v>中证1000</x:v>
      </x:c>
    </x:row>
    <x:row r="29">
      <x:c r="A29" s="26" t="str">
        <x:v>合计</x:v>
      </x:c>
      <x:c r="B29" s="25" t="n">
        <x:v>23</x:v>
      </x:c>
      <x:c r="C29" s="25"/>
      <x:c r="D29" s="25"/>
      <x:c r="E29" s="25"/>
      <x:c r="F29" s="25"/>
      <x:c r="G29" s="25"/>
      <x:c r="H29" s="25"/>
      <x:c r="I29" s="25"/>
      <x:c r="J29" s="27" t="n">
        <x:f>SUM(J4:J26)</x:f>
        <x:v>6057.6</x:v>
      </x:c>
      <x:c r="K29" s="25"/>
    </x:row>
    <x:row r="30">
      <x:c r="A30" s="26" t="str">
        <x:v>均值</x:v>
      </x:c>
      <x:c r="B30" s="25"/>
      <x:c r="C30" s="25"/>
      <x:c r="D30" s="25"/>
      <x:c r="E30" s="25"/>
      <x:c r="F30" s="25"/>
      <x:c r="G30" s="25"/>
      <x:c r="H30" s="25"/>
      <x:c r="I30" s="25"/>
      <x:c r="J30" s="29" t="n">
        <x:f>ROUND(IFERROR(AVERAGE(J4:J26),0),1)</x:f>
        <x:v>263.4</x:v>
      </x:c>
      <x:c r="K30" s="25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9052.04</x:v>
      </x:c>
      <x:c r="E4" s="23" t="n">
        <x:v>9147.56</x:v>
      </x:c>
      <x:c r="F4" s="23" t="n">
        <x:v>8956.18</x:v>
      </x:c>
      <x:c r="G4" s="23" t="n">
        <x:v>9028.93</x:v>
      </x:c>
      <x:c r="H4" s="23" t="n">
        <x:v>-2.4</x:v>
      </x:c>
      <x:c r="I4" s="33" t="n">
        <x:v>-0.000271276371938578</x:v>
      </x:c>
      <x:c r="J4" s="37" t="n">
        <x:f>ROUND(E4-F4,1)</x:f>
        <x:v>191.4</x:v>
      </x:c>
      <x:c r="K4" s="22" t="str">
        <x:v>中证500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8829.62</x:v>
      </x:c>
      <x:c r="E5" s="23" t="n">
        <x:v>8932.65</x:v>
      </x:c>
      <x:c r="F5" s="23" t="n">
        <x:v>8667.42</x:v>
      </x:c>
      <x:c r="G5" s="23" t="n">
        <x:v>8694.18</x:v>
      </x:c>
      <x:c r="H5" s="35" t="n">
        <x:v>-334.7</x:v>
      </x:c>
      <x:c r="I5" s="33" t="n">
        <x:v>-0.037075268055018706</x:v>
      </x:c>
      <x:c r="J5" s="37" t="n">
        <x:f>ROUND(E5-F5,1)</x:f>
        <x:v>265.2</x:v>
      </x:c>
      <x:c r="K5" s="22" t="str">
        <x:v>中证500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8702.33</x:v>
      </x:c>
      <x:c r="E6" s="23" t="n">
        <x:v>8860.42</x:v>
      </x:c>
      <x:c r="F6" s="23" t="n">
        <x:v>8636.15</x:v>
      </x:c>
      <x:c r="G6" s="23" t="n">
        <x:v>8745.26</x:v>
      </x:c>
      <x:c r="H6" s="23" t="n">
        <x:v>51.1</x:v>
      </x:c>
      <x:c r="I6" s="33" t="n">
        <x:v>0.005875194670457606</x:v>
      </x:c>
      <x:c r="J6" s="37" t="n">
        <x:f>ROUND(E6-F6,1)</x:f>
        <x:v>224.3</x:v>
      </x:c>
      <x:c r="K6" s="22" t="str">
        <x:v>中证500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8790.97</x:v>
      </x:c>
      <x:c r="E7" s="23" t="n">
        <x:v>8823.05</x:v>
      </x:c>
      <x:c r="F7" s="23" t="n">
        <x:v>8570.89</x:v>
      </x:c>
      <x:c r="G7" s="23" t="n">
        <x:v>8651.13</x:v>
      </x:c>
      <x:c r="H7" s="23" t="n">
        <x:v>-94.1</x:v>
      </x:c>
      <x:c r="I7" s="33" t="n">
        <x:v>-0.010763545051833856</x:v>
      </x:c>
      <x:c r="J7" s="37" t="n">
        <x:f>ROUND(E7-F7,1)</x:f>
        <x:v>252.2</x:v>
      </x:c>
      <x:c r="K7" s="22" t="str">
        <x:v>中证500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8604.08</x:v>
      </x:c>
      <x:c r="E8" s="23" t="n">
        <x:v>8663.67</x:v>
      </x:c>
      <x:c r="F8" s="23" t="n">
        <x:v>8457.58</x:v>
      </x:c>
      <x:c r="G8" s="23" t="n">
        <x:v>8508.79</x:v>
      </x:c>
      <x:c r="H8" s="23" t="n">
        <x:v>-142.3</x:v>
      </x:c>
      <x:c r="I8" s="33" t="n">
        <x:v>-0.016453341933365784</x:v>
      </x:c>
      <x:c r="J8" s="37" t="n">
        <x:f>ROUND(E8-F8,1)</x:f>
        <x:v>206.1</x:v>
      </x:c>
      <x:c r="K8" s="22" t="str">
        <x:v>中证500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8539.02</x:v>
      </x:c>
      <x:c r="E9" s="23" t="n">
        <x:v>8571.52</x:v>
      </x:c>
      <x:c r="F9" s="23" t="n">
        <x:v>8343.92</x:v>
      </x:c>
      <x:c r="G9" s="23" t="n">
        <x:v>8390.02</x:v>
      </x:c>
      <x:c r="H9" s="23" t="n">
        <x:v>-118.8</x:v>
      </x:c>
      <x:c r="I9" s="33" t="n">
        <x:v>-0.013958506438635832</x:v>
      </x:c>
      <x:c r="J9" s="37" t="n">
        <x:f>ROUND(E9-F9,1)</x:f>
        <x:v>227.6</x:v>
      </x:c>
      <x:c r="K9" s="22" t="str">
        <x:v>中证500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8437.15</x:v>
      </x:c>
      <x:c r="E10" s="23" t="n">
        <x:v>8659.65</x:v>
      </x:c>
      <x:c r="F10" s="23" t="n">
        <x:v>8281.95</x:v>
      </x:c>
      <x:c r="G10" s="23" t="n">
        <x:v>8652.79</x:v>
      </x:c>
      <x:c r="H10" s="35" t="n">
        <x:v>262.8</x:v>
      </x:c>
      <x:c r="I10" s="33" t="n">
        <x:v>0.03131935323157764</x:v>
      </x:c>
      <x:c r="J10" s="37" t="n">
        <x:f>ROUND(E10-F10,1)</x:f>
        <x:v>377.7</x:v>
      </x:c>
      <x:c r="K10" s="22" t="str">
        <x:v>中证500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8672.36</x:v>
      </x:c>
      <x:c r="E11" s="23" t="n">
        <x:v>8783.25</x:v>
      </x:c>
      <x:c r="F11" s="23" t="n">
        <x:v>8503.24</x:v>
      </x:c>
      <x:c r="G11" s="23" t="n">
        <x:v>8503.97</x:v>
      </x:c>
      <x:c r="H11" s="23" t="n">
        <x:v>-148.8</x:v>
      </x:c>
      <x:c r="I11" s="33" t="n">
        <x:v>-0.01719907682955457</x:v>
      </x:c>
      <x:c r="J11" s="37" t="n">
        <x:f>ROUND(E11-F11,1)</x:f>
        <x:v>280</x:v>
      </x:c>
      <x:c r="K11" s="22" t="str">
        <x:v>中证500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8409.14</x:v>
      </x:c>
      <x:c r="E12" s="23" t="n">
        <x:v>8457.69</x:v>
      </x:c>
      <x:c r="F12" s="23" t="n">
        <x:v>8106.27</x:v>
      </x:c>
      <x:c r="G12" s="23" t="n">
        <x:v>8138.14</x:v>
      </x:c>
      <x:c r="H12" s="35" t="n">
        <x:v>-365.8</x:v>
      </x:c>
      <x:c r="I12" s="33" t="n">
        <x:v>-0.04301873125140365</x:v>
      </x:c>
      <x:c r="J12" s="37" t="n">
        <x:f>ROUND(E12-F12,1)</x:f>
        <x:v>351.4</x:v>
      </x:c>
      <x:c r="K12" s="22" t="str">
        <x:v>中证500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8135.05</x:v>
      </x:c>
      <x:c r="E13" s="23" t="n">
        <x:v>8275.96</x:v>
      </x:c>
      <x:c r="F13" s="23" t="n">
        <x:v>7955.31</x:v>
      </x:c>
      <x:c r="G13" s="23" t="n">
        <x:v>8275.94</x:v>
      </x:c>
      <x:c r="H13" s="23" t="n">
        <x:v>137.8</x:v>
      </x:c>
      <x:c r="I13" s="33" t="n">
        <x:v>0.016932616052316662</x:v>
      </x:c>
      <x:c r="J13" s="37" t="n">
        <x:f>ROUND(E13-F13,1)</x:f>
        <x:v>320.6</x:v>
      </x:c>
      <x:c r="K13" s="22" t="str">
        <x:v>中证500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8294.14</x:v>
      </x:c>
      <x:c r="E14" s="23" t="n">
        <x:v>8305.27</x:v>
      </x:c>
      <x:c r="F14" s="23" t="n">
        <x:v>8117.46</x:v>
      </x:c>
      <x:c r="G14" s="23" t="n">
        <x:v>8147.58</x:v>
      </x:c>
      <x:c r="H14" s="23" t="n">
        <x:v>-128.4</x:v>
      </x:c>
      <x:c r="I14" s="33" t="n">
        <x:v>-0.015510020613972664</x:v>
      </x:c>
      <x:c r="J14" s="37" t="n">
        <x:f>ROUND(E14-F14,1)</x:f>
        <x:v>187.8</x:v>
      </x:c>
      <x:c r="K14" s="22" t="str">
        <x:v>中证500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8006.45</x:v>
      </x:c>
      <x:c r="E15" s="23" t="n">
        <x:v>8148.04</x:v>
      </x:c>
      <x:c r="F15" s="23" t="n">
        <x:v>7907.1</x:v>
      </x:c>
      <x:c r="G15" s="23" t="n">
        <x:v>7955.66</x:v>
      </x:c>
      <x:c r="H15" s="35" t="n">
        <x:v>-191.9</x:v>
      </x:c>
      <x:c r="I15" s="33" t="n">
        <x:v>-0.02355546063984648</x:v>
      </x:c>
      <x:c r="J15" s="37" t="n">
        <x:f>ROUND(E15-F15,1)</x:f>
        <x:v>240.9</x:v>
      </x:c>
      <x:c r="K15" s="22" t="str">
        <x:v>中证500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7900.1</x:v>
      </x:c>
      <x:c r="E16" s="42" t="n">
        <x:v>7908.74</x:v>
      </x:c>
      <x:c r="F16" s="42" t="n">
        <x:v>7474.15</x:v>
      </x:c>
      <x:c r="G16" s="42" t="n">
        <x:v>7513.76</x:v>
      </x:c>
      <x:c r="H16" s="35" t="n">
        <x:v>-441.9</x:v>
      </x:c>
      <x:c r="I16" s="43" t="n">
        <x:v>-0.05554536015867939</x:v>
      </x:c>
      <x:c r="J16" s="37" t="n">
        <x:f>ROUND(E16-F16,1)</x:f>
        <x:v>434.6</x:v>
      </x:c>
      <x:c r="K16" s="41" t="str">
        <x:v>中证500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7597.77</x:v>
      </x:c>
      <x:c r="E17" s="23" t="n">
        <x:v>7626.49</x:v>
      </x:c>
      <x:c r="F17" s="23" t="n">
        <x:v>7253.52</x:v>
      </x:c>
      <x:c r="G17" s="23" t="n">
        <x:v>7411.31</x:v>
      </x:c>
      <x:c r="H17" s="23" t="n">
        <x:v>-102.4</x:v>
      </x:c>
      <x:c r="I17" s="33" t="n">
        <x:v>-0.013634984348714907</x:v>
      </x:c>
      <x:c r="J17" s="37" t="n">
        <x:f>ROUND(E17-F17,1)</x:f>
        <x:v>373</x:v>
      </x:c>
      <x:c r="K17" s="22" t="str">
        <x:v>中证500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7437.45</x:v>
      </x:c>
      <x:c r="E18" s="23" t="n">
        <x:v>7802.75</x:v>
      </x:c>
      <x:c r="F18" s="23" t="n">
        <x:v>7270.95</x:v>
      </x:c>
      <x:c r="G18" s="23" t="n">
        <x:v>7800.61</x:v>
      </x:c>
      <x:c r="H18" s="35" t="n">
        <x:v>389.3</x:v>
      </x:c>
      <x:c r="I18" s="33" t="n">
        <x:v>0.0525278257150219</x:v>
      </x:c>
      <x:c r="J18" s="37" t="n">
        <x:f>ROUND(E18-F18,1)</x:f>
        <x:v>531.8</x:v>
      </x:c>
      <x:c r="K18" s="22" t="str">
        <x:v>中证500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7741.91</x:v>
      </x:c>
      <x:c r="E19" s="23" t="n">
        <x:v>7889.45</x:v>
      </x:c>
      <x:c r="F19" s="23" t="n">
        <x:v>7701.22</x:v>
      </x:c>
      <x:c r="G19" s="23" t="n">
        <x:v>7751.66</x:v>
      </x:c>
      <x:c r="H19" s="23" t="n">
        <x:v>-48.9</x:v>
      </x:c>
      <x:c r="I19" s="33" t="n">
        <x:v>-0.006275150276709107</x:v>
      </x:c>
      <x:c r="J19" s="37" t="n">
        <x:f>ROUND(E19-F19,1)</x:f>
        <x:v>188.2</x:v>
      </x:c>
      <x:c r="K19" s="22" t="str">
        <x:v>中证500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7750.85</x:v>
      </x:c>
      <x:c r="E20" s="23" t="n">
        <x:v>7795.35</x:v>
      </x:c>
      <x:c r="F20" s="23" t="n">
        <x:v>7659</x:v>
      </x:c>
      <x:c r="G20" s="23" t="n">
        <x:v>7734.31</x:v>
      </x:c>
      <x:c r="H20" s="23" t="n">
        <x:v>-17.3</x:v>
      </x:c>
      <x:c r="I20" s="33" t="n">
        <x:v>-0.0022382302629371242</x:v>
      </x:c>
      <x:c r="J20" s="23" t="n">
        <x:f>ROUND(E20-F20,1)</x:f>
        <x:v>136.4</x:v>
      </x:c>
      <x:c r="K20" s="22" t="str">
        <x:v>中证500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7625.2</x:v>
      </x:c>
      <x:c r="E21" s="23" t="n">
        <x:v>7703.6</x:v>
      </x:c>
      <x:c r="F21" s="23" t="n">
        <x:v>7532.67</x:v>
      </x:c>
      <x:c r="G21" s="23" t="n">
        <x:v>7532.7</x:v>
      </x:c>
      <x:c r="H21" s="35" t="n">
        <x:v>-201.6</x:v>
      </x:c>
      <x:c r="I21" s="33" t="n">
        <x:v>-0.026066966542587555</x:v>
      </x:c>
      <x:c r="J21" s="37" t="n">
        <x:f>ROUND(E21-F21,1)</x:f>
        <x:v>170.9</x:v>
      </x:c>
      <x:c r="K21" s="22" t="str">
        <x:v>中证500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7512.4</x:v>
      </x:c>
      <x:c r="E22" s="23" t="n">
        <x:v>7721.4</x:v>
      </x:c>
      <x:c r="F22" s="23" t="n">
        <x:v>7466.54</x:v>
      </x:c>
      <x:c r="G22" s="23" t="n">
        <x:v>7720.6</x:v>
      </x:c>
      <x:c r="H22" s="35" t="n">
        <x:v>187.9</x:v>
      </x:c>
      <x:c r="I22" s="33" t="n">
        <x:v>0.024944574986392798</x:v>
      </x:c>
      <x:c r="J22" s="37" t="n">
        <x:f>ROUND(E22-F22,1)</x:f>
        <x:v>254.9</x:v>
      </x:c>
      <x:c r="K22" s="22" t="str">
        <x:v>中证500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7589.76</x:v>
      </x:c>
      <x:c r="E23" s="23" t="n">
        <x:v>7646.02</x:v>
      </x:c>
      <x:c r="F23" s="23" t="n">
        <x:v>7412.63</x:v>
      </x:c>
      <x:c r="G23" s="23" t="n">
        <x:v>7443.43</x:v>
      </x:c>
      <x:c r="H23" s="35" t="n">
        <x:v>-277.2</x:v>
      </x:c>
      <x:c r="I23" s="33" t="n">
        <x:v>-0.03590005958086162</x:v>
      </x:c>
      <x:c r="J23" s="37" t="n">
        <x:f>ROUND(E23-F23,1)</x:f>
        <x:v>233.4</x:v>
      </x:c>
      <x:c r="K23" s="22" t="str">
        <x:v>中证500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7444.8</x:v>
      </x:c>
      <x:c r="E24" s="23" t="n">
        <x:v>7572.81</x:v>
      </x:c>
      <x:c r="F24" s="23" t="n">
        <x:v>7325.36</x:v>
      </x:c>
      <x:c r="G24" s="23" t="n">
        <x:v>7524.51</x:v>
      </x:c>
      <x:c r="H24" s="23" t="n">
        <x:v>81.1</x:v>
      </x:c>
      <x:c r="I24" s="33" t="n">
        <x:v>0.010892827634571667</x:v>
      </x:c>
      <x:c r="J24" s="37" t="n">
        <x:f>ROUND(E24-F24,1)</x:f>
        <x:v>247.5</x:v>
      </x:c>
      <x:c r="K24" s="22" t="str">
        <x:v>中证500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7477.31</x:v>
      </x:c>
      <x:c r="E25" s="23" t="n">
        <x:v>7536.49</x:v>
      </x:c>
      <x:c r="F25" s="23" t="n">
        <x:v>7221.95</x:v>
      </x:c>
      <x:c r="G25" s="23" t="n">
        <x:v>7309.58</x:v>
      </x:c>
      <x:c r="H25" s="35" t="n">
        <x:v>-214.9</x:v>
      </x:c>
      <x:c r="I25" s="33" t="n">
        <x:v>-0.028563986226345706</x:v>
      </x:c>
      <x:c r="J25" s="37" t="n">
        <x:f>ROUND(E25-F25,1)</x:f>
        <x:v>314.5</x:v>
      </x:c>
      <x:c r="K25" s="22" t="str">
        <x:v>中证500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7537.85</x:v>
      </x:c>
      <x:c r="E26" s="23" t="n">
        <x:v>7638.78</x:v>
      </x:c>
      <x:c r="F26" s="23" t="n">
        <x:v>7487.43</x:v>
      </x:c>
      <x:c r="G26" s="23" t="n">
        <x:v>7493.99</x:v>
      </x:c>
      <x:c r="H26" s="35" t="n">
        <x:v>184.4</x:v>
      </x:c>
      <x:c r="I26" s="33" t="n">
        <x:v>0.025228535702461752</x:v>
      </x:c>
      <x:c r="J26" s="23" t="n">
        <x:f>ROUND(E26-F26,1)</x:f>
        <x:v>151.3</x:v>
      </x:c>
      <x:c r="K26" s="22" t="str">
        <x:v>中证500</x:v>
      </x:c>
    </x:row>
    <x:row r="29">
      <x:c r="A29" s="26" t="str">
        <x:v>合计</x:v>
      </x:c>
      <x:c r="B29" s="25" t="n">
        <x:v>23</x:v>
      </x:c>
      <x:c r="C29" s="25"/>
      <x:c r="D29" s="25"/>
      <x:c r="E29" s="25"/>
      <x:c r="F29" s="25"/>
      <x:c r="G29" s="25"/>
      <x:c r="H29" s="25"/>
      <x:c r="I29" s="25"/>
      <x:c r="J29" s="27" t="n">
        <x:f>SUM(J4:J26)</x:f>
        <x:v>6161.699999999999</x:v>
      </x:c>
      <x:c r="K29" s="25"/>
    </x:row>
    <x:row r="30">
      <x:c r="A30" s="26" t="str">
        <x:v>均值</x:v>
      </x:c>
      <x:c r="B30" s="25"/>
      <x:c r="C30" s="25"/>
      <x:c r="D30" s="25"/>
      <x:c r="E30" s="25"/>
      <x:c r="F30" s="25"/>
      <x:c r="G30" s="25"/>
      <x:c r="H30" s="25"/>
      <x:c r="I30" s="25"/>
      <x:c r="J30" s="29" t="n">
        <x:f>ROUND(IFERROR(AVERAGE(J4:J26),0),1)</x:f>
        <x:v>267.9</x:v>
      </x:c>
      <x:c r="K30" s="25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4090.76</x:v>
      </x:c>
      <x:c r="E4" s="23" t="n">
        <x:v>4143.31</x:v>
      </x:c>
      <x:c r="F4" s="23" t="n">
        <x:v>4087.54</x:v>
      </x:c>
      <x:c r="G4" s="23" t="n">
        <x:v>4112.45</x:v>
      </x:c>
      <x:c r="H4" s="23" t="n">
        <x:v>18</x:v>
      </x:c>
      <x:c r="I4" s="33" t="n">
        <x:v>0.004408460336068787</x:v>
      </x:c>
      <x:c r="J4" s="37" t="n">
        <x:f>ROUND(E4-F4,1)</x:f>
        <x:v>55.8</x:v>
      </x:c>
      <x:c r="K4" s="22" t="str">
        <x:v>上证指数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4054.09</x:v>
      </x:c>
      <x:c r="E5" s="23" t="n">
        <x:v>4093.68</x:v>
      </x:c>
      <x:c r="F5" s="23" t="n">
        <x:v>4019.21</x:v>
      </x:c>
      <x:c r="G5" s="23" t="n">
        <x:v>4028.9</x:v>
      </x:c>
      <x:c r="H5" s="23" t="n">
        <x:v>-83.5</x:v>
      </x:c>
      <x:c r="I5" s="33" t="n">
        <x:v>-0.02031635642986529</x:v>
      </x:c>
      <x:c r="J5" s="37" t="n">
        <x:f>ROUND(E5-F5,1)</x:f>
        <x:v>74.5</x:v>
      </x:c>
      <x:c r="K5" s="22" t="str">
        <x:v>上证指数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4031.34</x:v>
      </x:c>
      <x:c r="E6" s="23" t="n">
        <x:v>4073.88</x:v>
      </x:c>
      <x:c r="F6" s="23" t="n">
        <x:v>4027.26</x:v>
      </x:c>
      <x:c r="G6" s="23" t="n">
        <x:v>4043.64</x:v>
      </x:c>
      <x:c r="H6" s="23" t="n">
        <x:v>14.7</x:v>
      </x:c>
      <x:c r="I6" s="33" t="n">
        <x:v>0.0036585668544764083</x:v>
      </x:c>
      <x:c r="J6" s="23" t="n">
        <x:f>ROUND(E6-F6,1)</x:f>
        <x:v>46.6</x:v>
      </x:c>
      <x:c r="K6" s="22" t="str">
        <x:v>上证指数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4059.19</x:v>
      </x:c>
      <x:c r="E7" s="23" t="n">
        <x:v>4060.07</x:v>
      </x:c>
      <x:c r="F7" s="23" t="n">
        <x:v>4005.41</x:v>
      </x:c>
      <x:c r="G7" s="23" t="n">
        <x:v>4041.24</x:v>
      </x:c>
      <x:c r="H7" s="23" t="n">
        <x:v>-2.4</x:v>
      </x:c>
      <x:c r="I7" s="33" t="n">
        <x:v>-0.0005935246461109545</x:v>
      </x:c>
      <x:c r="J7" s="37" t="n">
        <x:f>ROUND(E7-F7,1)</x:f>
        <x:v>54.7</x:v>
      </x:c>
      <x:c r="K7" s="22" t="str">
        <x:v>上证指数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4019.49</x:v>
      </x:c>
      <x:c r="E8" s="23" t="n">
        <x:v>4028.51</x:v>
      </x:c>
      <x:c r="F8" s="23" t="n">
        <x:v>3971.71</x:v>
      </x:c>
      <x:c r="G8" s="23" t="n">
        <x:v>3990.24</x:v>
      </x:c>
      <x:c r="H8" s="23" t="n">
        <x:v>-51</x:v>
      </x:c>
      <x:c r="I8" s="33" t="n">
        <x:v>-0.012619888944977231</x:v>
      </x:c>
      <x:c r="J8" s="37" t="n">
        <x:f>ROUND(E8-F8,1)</x:f>
        <x:v>56.8</x:v>
      </x:c>
      <x:c r="K8" s="22" t="str">
        <x:v>上证指数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3996.81</x:v>
      </x:c>
      <x:c r="E9" s="23" t="n">
        <x:v>4016.03</x:v>
      </x:c>
      <x:c r="F9" s="23" t="n">
        <x:v>3967.91</x:v>
      </x:c>
      <x:c r="G9" s="23" t="n">
        <x:v>3970.88</x:v>
      </x:c>
      <x:c r="H9" s="23" t="n">
        <x:v>-19.4</x:v>
      </x:c>
      <x:c r="I9" s="33" t="n">
        <x:v>-0.004851838485905535</x:v>
      </x:c>
      <x:c r="J9" s="23" t="n">
        <x:f>ROUND(E9-F9,1)</x:f>
        <x:v>48.1</x:v>
      </x:c>
      <x:c r="K9" s="22" t="str">
        <x:v>上证指数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3977.55</x:v>
      </x:c>
      <x:c r="E10" s="23" t="n">
        <x:v>4040.54</x:v>
      </x:c>
      <x:c r="F10" s="23" t="n">
        <x:v>3938.88</x:v>
      </x:c>
      <x:c r="G10" s="23" t="n">
        <x:v>4036.59</x:v>
      </x:c>
      <x:c r="H10" s="23" t="n">
        <x:v>65.7</x:v>
      </x:c>
      <x:c r="I10" s="33" t="n">
        <x:v>0.016547969215891634</x:v>
      </x:c>
      <x:c r="J10" s="37" t="n">
        <x:f>ROUND(E10-F10,1)</x:f>
        <x:v>101.7</x:v>
      </x:c>
      <x:c r="K10" s="22" t="str">
        <x:v>上证指数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4031.54</x:v>
      </x:c>
      <x:c r="E11" s="23" t="n">
        <x:v>4074.83</x:v>
      </x:c>
      <x:c r="F11" s="23" t="n">
        <x:v>3995.81</x:v>
      </x:c>
      <x:c r="G11" s="23" t="n">
        <x:v>3996.16</x:v>
      </x:c>
      <x:c r="H11" s="23" t="n">
        <x:v>-40.4</x:v>
      </x:c>
      <x:c r="I11" s="33" t="n">
        <x:v>-0.010015879740077671</x:v>
      </x:c>
      <x:c r="J11" s="37" t="n">
        <x:f>ROUND(E11-F11,1)</x:f>
        <x:v>79</x:v>
      </x:c>
      <x:c r="K11" s="22" t="str">
        <x:v>上证指数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3966.02</x:v>
      </x:c>
      <x:c r="E12" s="23" t="n">
        <x:v>3983.05</x:v>
      </x:c>
      <x:c r="F12" s="23" t="n">
        <x:v>3900.67</x:v>
      </x:c>
      <x:c r="G12" s="23" t="n">
        <x:v>3913.79</x:v>
      </x:c>
      <x:c r="H12" s="23" t="n">
        <x:v>-82.4</x:v>
      </x:c>
      <x:c r="I12" s="33" t="n">
        <x:v>-0.020612287796284434</x:v>
      </x:c>
      <x:c r="J12" s="37" t="n">
        <x:f>ROUND(E12-F12,1)</x:f>
        <x:v>82.4</x:v>
      </x:c>
      <x:c r="K12" s="22" t="str">
        <x:v>上证指数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3909.27</x:v>
      </x:c>
      <x:c r="E13" s="23" t="n">
        <x:v>3967.13</x:v>
      </x:c>
      <x:c r="F13" s="23" t="n">
        <x:v>3869.3</x:v>
      </x:c>
      <x:c r="G13" s="23" t="n">
        <x:v>3967.13</x:v>
      </x:c>
      <x:c r="H13" s="23" t="n">
        <x:v>53.3</x:v>
      </x:c>
      <x:c r="I13" s="33" t="n">
        <x:v>0.013628733273885363</x:v>
      </x:c>
      <x:c r="J13" s="37" t="n">
        <x:f>ROUND(E13-F13,1)</x:f>
        <x:v>97.8</x:v>
      </x:c>
      <x:c r="K13" s="22" t="str">
        <x:v>上证指数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3963.73</x:v>
      </x:c>
      <x:c r="E14" s="23" t="n">
        <x:v>3981.67</x:v>
      </x:c>
      <x:c r="F14" s="23" t="n">
        <x:v>3943.7</x:v>
      </x:c>
      <x:c r="G14" s="23" t="n">
        <x:v>3955.58</x:v>
      </x:c>
      <x:c r="H14" s="23" t="n">
        <x:v>-11.6</x:v>
      </x:c>
      <x:c r="I14" s="33" t="n">
        <x:v>-0.00291142463191274</x:v>
      </x:c>
      <x:c r="J14" s="23" t="n">
        <x:f>ROUND(E14-F14,1)</x:f>
        <x:v>38</x:v>
      </x:c>
      <x:c r="K14" s="22" t="str">
        <x:v>上证指数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3912.38</x:v>
      </x:c>
      <x:c r="E15" s="23" t="n">
        <x:v>3940.45</x:v>
      </x:c>
      <x:c r="F15" s="23" t="n">
        <x:v>3867.6</x:v>
      </x:c>
      <x:c r="G15" s="23" t="n">
        <x:v>3882.41</x:v>
      </x:c>
      <x:c r="H15" s="23" t="n">
        <x:v>-73.2</x:v>
      </x:c>
      <x:c r="I15" s="33" t="n">
        <x:v>-0.018497919394880213</x:v>
      </x:c>
      <x:c r="J15" s="37" t="n">
        <x:f>ROUND(E15-F15,1)</x:f>
        <x:v>72.8</x:v>
      </x:c>
      <x:c r="K15" s="22" t="str">
        <x:v>上证指数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3865.32</x:v>
      </x:c>
      <x:c r="E16" s="42" t="n">
        <x:v>3869.21</x:v>
      </x:c>
      <x:c r="F16" s="42" t="n">
        <x:v>3745.17</x:v>
      </x:c>
      <x:c r="G16" s="42" t="n">
        <x:v>3764.15</x:v>
      </x:c>
      <x:c r="H16" s="42" t="n">
        <x:v>-118.3</x:v>
      </x:c>
      <x:c r="I16" s="43" t="n">
        <x:v>-0.030460461414430706</x:v>
      </x:c>
      <x:c r="J16" s="37" t="n">
        <x:f>ROUND(E16-F16,1)</x:f>
        <x:v>124</x:v>
      </x:c>
      <x:c r="K16" s="41" t="str">
        <x:v>上证指数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3791.66</x:v>
      </x:c>
      <x:c r="E17" s="23" t="n">
        <x:v>3831.66</x:v>
      </x:c>
      <x:c r="F17" s="23" t="n">
        <x:v>3741.11</x:v>
      </x:c>
      <x:c r="G17" s="23" t="n">
        <x:v>3796.28</x:v>
      </x:c>
      <x:c r="H17" s="23" t="n">
        <x:v>32.1</x:v>
      </x:c>
      <x:c r="I17" s="33" t="n">
        <x:v>0.008535791612980459</x:v>
      </x:c>
      <x:c r="J17" s="37" t="n">
        <x:f>ROUND(E17-F17,1)</x:f>
        <x:v>90.5</x:v>
      </x:c>
      <x:c r="K17" s="22" t="str">
        <x:v>上证指数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3812.16</x:v>
      </x:c>
      <x:c r="E18" s="23" t="n">
        <x:v>3864.6</x:v>
      </x:c>
      <x:c r="F18" s="23" t="n">
        <x:v>3743.36</x:v>
      </x:c>
      <x:c r="G18" s="23" t="n">
        <x:v>3864.37</x:v>
      </x:c>
      <x:c r="H18" s="23" t="n">
        <x:v>68.1</x:v>
      </x:c>
      <x:c r="I18" s="33" t="n">
        <x:v>0.017935979432496918</x:v>
      </x:c>
      <x:c r="J18" s="37" t="n">
        <x:f>ROUND(E18-F18,1)</x:f>
        <x:v>121.2</x:v>
      </x:c>
      <x:c r="K18" s="22" t="str">
        <x:v>上证指数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3839.67</x:v>
      </x:c>
      <x:c r="E19" s="23" t="n">
        <x:v>3884.44</x:v>
      </x:c>
      <x:c r="F19" s="23" t="n">
        <x:v>3839.67</x:v>
      </x:c>
      <x:c r="G19" s="23" t="n">
        <x:v>3867.03</x:v>
      </x:c>
      <x:c r="H19" s="23" t="n">
        <x:v>2.7</x:v>
      </x:c>
      <x:c r="I19" s="33" t="n">
        <x:v>0.0006883398846384559</x:v>
      </x:c>
      <x:c r="J19" s="23" t="n">
        <x:f>ROUND(E19-F19,1)</x:f>
        <x:v>44.8</x:v>
      </x:c>
      <x:c r="K19" s="22" t="str">
        <x:v>上证指数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3868.09</x:v>
      </x:c>
      <x:c r="E20" s="23" t="n">
        <x:v>3878.83</x:v>
      </x:c>
      <x:c r="F20" s="23" t="n">
        <x:v>3851.71</x:v>
      </x:c>
      <x:c r="G20" s="23" t="n">
        <x:v>3876.78</x:v>
      </x:c>
      <x:c r="H20" s="23" t="n">
        <x:v>9.8</x:v>
      </x:c>
      <x:c r="I20" s="33" t="n">
        <x:v>0.002521314807487851</x:v>
      </x:c>
      <x:c r="J20" s="23" t="n">
        <x:f>ROUND(E20-F20,1)</x:f>
        <x:v>27.1</x:v>
      </x:c>
      <x:c r="K20" s="22" t="str">
        <x:v>上证指数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3853.63</x:v>
      </x:c>
      <x:c r="E21" s="23" t="n">
        <x:v>3861.04</x:v>
      </x:c>
      <x:c r="F21" s="23" t="n">
        <x:v>3808.64</x:v>
      </x:c>
      <x:c r="G21" s="23" t="n">
        <x:v>3814.2</x:v>
      </x:c>
      <x:c r="H21" s="23" t="n">
        <x:v>-62.6</x:v>
      </x:c>
      <x:c r="I21" s="33" t="n">
        <x:v>-0.01614226239301697</x:v>
      </x:c>
      <x:c r="J21" s="37" t="n">
        <x:f>ROUND(E21-F21,1)</x:f>
        <x:v>52.4</x:v>
      </x:c>
      <x:c r="K21" s="22" t="str">
        <x:v>上证指数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3808.9</x:v>
      </x:c>
      <x:c r="E22" s="23" t="n">
        <x:v>3858.31</x:v>
      </x:c>
      <x:c r="F22" s="23" t="n">
        <x:v>3793.45</x:v>
      </x:c>
      <x:c r="G22" s="23" t="n">
        <x:v>3858.25</x:v>
      </x:c>
      <x:c r="H22" s="23" t="n">
        <x:v>44.1</x:v>
      </x:c>
      <x:c r="I22" s="33" t="n">
        <x:v>0.011548948665513148</x:v>
      </x:c>
      <x:c r="J22" s="37" t="n">
        <x:f>ROUND(E22-F22,1)</x:f>
        <x:v>64.9</x:v>
      </x:c>
      <x:c r="K22" s="22" t="str">
        <x:v>上证指数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3823.13</x:v>
      </x:c>
      <x:c r="E23" s="23" t="n">
        <x:v>3844.01</x:v>
      </x:c>
      <x:c r="F23" s="23" t="n">
        <x:v>3797.37</x:v>
      </x:c>
      <x:c r="G23" s="23" t="n">
        <x:v>3813.31</x:v>
      </x:c>
      <x:c r="H23" s="23" t="n">
        <x:v>-44.9</x:v>
      </x:c>
      <x:c r="I23" s="33" t="n">
        <x:v>-0.01164776777036225</x:v>
      </x:c>
      <x:c r="J23" s="23" t="n">
        <x:f>ROUND(E23-F23,1)</x:f>
        <x:v>46.6</x:v>
      </x:c>
      <x:c r="K23" s="22" t="str">
        <x:v>上证指数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3823.29</x:v>
      </x:c>
      <x:c r="E24" s="23" t="n">
        <x:v>3845.77</x:v>
      </x:c>
      <x:c r="F24" s="23" t="n">
        <x:v>3782.48</x:v>
      </x:c>
      <x:c r="G24" s="23" t="n">
        <x:v>3828.47</x:v>
      </x:c>
      <x:c r="H24" s="23" t="n">
        <x:v>15.2</x:v>
      </x:c>
      <x:c r="I24" s="33" t="n">
        <x:v>0.003975548801435025</x:v>
      </x:c>
      <x:c r="J24" s="37" t="n">
        <x:f>ROUND(E24-F24,1)</x:f>
        <x:v>63.3</x:v>
      </x:c>
      <x:c r="K24" s="22" t="str">
        <x:v>上证指数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3812.11</x:v>
      </x:c>
      <x:c r="E25" s="23" t="n">
        <x:v>3839.34</x:v>
      </x:c>
      <x:c r="F25" s="23" t="n">
        <x:v>3767.5</x:v>
      </x:c>
      <x:c r="G25" s="23" t="n">
        <x:v>3804.69</x:v>
      </x:c>
      <x:c r="H25" s="23" t="n">
        <x:v>-23.8</x:v>
      </x:c>
      <x:c r="I25" s="33" t="n">
        <x:v>-0.0062113585844997266</x:v>
      </x:c>
      <x:c r="J25" s="37" t="n">
        <x:f>ROUND(E25-F25,1)</x:f>
        <x:v>71.8</x:v>
      </x:c>
      <x:c r="K25" s="22" t="str">
        <x:v>上证指数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3833.54</x:v>
      </x:c>
      <x:c r="E26" s="23" t="n">
        <x:v>3847.09</x:v>
      </x:c>
      <x:c r="F26" s="23" t="n">
        <x:v>3822.37</x:v>
      </x:c>
      <x:c r="G26" s="23" t="n">
        <x:v>3832.26</x:v>
      </x:c>
      <x:c r="H26" s="23" t="n">
        <x:v>27.6</x:v>
      </x:c>
      <x:c r="I26" s="33" t="n">
        <x:v>0.007246319673876123</x:v>
      </x:c>
      <x:c r="J26" s="23" t="n">
        <x:f>ROUND(E26-F26,1)</x:f>
        <x:v>24.7</x:v>
      </x:c>
      <x:c r="K26" s="22" t="str">
        <x:v>上证指数</x:v>
      </x:c>
    </x:row>
    <x:row r="29">
      <x:c r="A29" s="26" t="str">
        <x:v>合计</x:v>
      </x:c>
      <x:c r="B29" s="25" t="n">
        <x:v>23</x:v>
      </x:c>
      <x:c r="C29" s="25"/>
      <x:c r="D29" s="25"/>
      <x:c r="E29" s="25"/>
      <x:c r="F29" s="25"/>
      <x:c r="G29" s="25"/>
      <x:c r="H29" s="25"/>
      <x:c r="I29" s="25"/>
      <x:c r="J29" s="27" t="n">
        <x:f>SUM(J4:J26)</x:f>
        <x:v>1539.4999999999998</x:v>
      </x:c>
      <x:c r="K29" s="25"/>
    </x:row>
    <x:row r="30">
      <x:c r="A30" s="26" t="str">
        <x:v>均值</x:v>
      </x:c>
      <x:c r="B30" s="25"/>
      <x:c r="C30" s="25"/>
      <x:c r="D30" s="25"/>
      <x:c r="E30" s="25"/>
      <x:c r="F30" s="25"/>
      <x:c r="G30" s="25"/>
      <x:c r="H30" s="25"/>
      <x:c r="I30" s="25"/>
      <x:c r="J30" s="29" t="n">
        <x:f>ROUND(IFERROR(AVERAGE(J4:J26),0),1)</x:f>
        <x:v>66.9</x:v>
      </x:c>
      <x:c r="K30" s="25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8500</x:v>
      </x:c>
      <x:c r="E4" s="23" t="n">
        <x:v>8629</x:v>
      </x:c>
      <x:c r="F4" s="23" t="n">
        <x:v>8480</x:v>
      </x:c>
      <x:c r="G4" s="23" t="n">
        <x:v>8517.6</x:v>
      </x:c>
      <x:c r="H4" s="23" t="n">
        <x:v>13.4</x:v>
      </x:c>
      <x:c r="I4" s="33" t="n">
        <x:v>0.00157569201100638</x:v>
      </x:c>
      <x:c r="J4" s="23" t="n">
        <x:f>ROUND(E4-F4,1)</x:f>
        <x:v>149</x:v>
      </x:c>
      <x:c r="K4" s="22" t="str">
        <x:v>IM2609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8475.4</x:v>
      </x:c>
      <x:c r="E5" s="23" t="n">
        <x:v>8556</x:v>
      </x:c>
      <x:c r="F5" s="23" t="n">
        <x:v>8344</x:v>
      </x:c>
      <x:c r="G5" s="23" t="n">
        <x:v>8370.2</x:v>
      </x:c>
      <x:c r="H5" s="23" t="n">
        <x:v>-147.4</x:v>
      </x:c>
      <x:c r="I5" s="33" t="n">
        <x:v>-0.017305344228421116</x:v>
      </x:c>
      <x:c r="J5" s="37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8401</x:v>
      </x:c>
      <x:c r="E6" s="23" t="n">
        <x:v>8475</x:v>
      </x:c>
      <x:c r="F6" s="23" t="n">
        <x:v>8337.8</x:v>
      </x:c>
      <x:c r="G6" s="23" t="n">
        <x:v>8373</x:v>
      </x:c>
      <x:c r="H6" s="23" t="n">
        <x:v>2.8</x:v>
      </x:c>
      <x:c r="I6" s="33" t="n">
        <x:v>0.00033452008315215664</x:v>
      </x:c>
      <x:c r="J6" s="23" t="n">
        <x:f>ROUND(E6-F6,1)</x:f>
        <x:v>137.2</x:v>
      </x:c>
      <x:c r="K6" s="22" t="str">
        <x:v>IM2609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8403</x:v>
      </x:c>
      <x:c r="E7" s="23" t="n">
        <x:v>8419.8</x:v>
      </x:c>
      <x:c r="F7" s="23" t="n">
        <x:v>8213</x:v>
      </x:c>
      <x:c r="G7" s="23" t="n">
        <x:v>8265</x:v>
      </x:c>
      <x:c r="H7" s="23" t="n">
        <x:v>-108</x:v>
      </x:c>
      <x:c r="I7" s="33" t="n">
        <x:v>-0.012898602651379432</x:v>
      </x:c>
      <x:c r="J7" s="37" t="n">
        <x:f>ROUND(E7-F7,1)</x:f>
        <x:v>206.8</x:v>
      </x:c>
      <x:c r="K7" s="22" t="str">
        <x:v>IM2609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8235</x:v>
      </x:c>
      <x:c r="E8" s="23" t="n">
        <x:v>8274.2</x:v>
      </x:c>
      <x:c r="F8" s="23" t="n">
        <x:v>8068.8</x:v>
      </x:c>
      <x:c r="G8" s="23" t="n">
        <x:v>8115.2</x:v>
      </x:c>
      <x:c r="H8" s="23" t="n">
        <x:v>-149.8</x:v>
      </x:c>
      <x:c r="I8" s="33" t="n">
        <x:v>-0.018124621899576532</x:v>
      </x:c>
      <x:c r="J8" s="37" t="n">
        <x:f>ROUND(E8-F8,1)</x:f>
        <x:v>205.4</x:v>
      </x:c>
      <x:c r="K8" s="22" t="str">
        <x:v>IM2609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8140.2</x:v>
      </x:c>
      <x:c r="E9" s="23" t="n">
        <x:v>8149.8</x:v>
      </x:c>
      <x:c r="F9" s="23" t="n">
        <x:v>7965</x:v>
      </x:c>
      <x:c r="G9" s="23" t="n">
        <x:v>7974</x:v>
      </x:c>
      <x:c r="H9" s="23" t="n">
        <x:v>-141.2</x:v>
      </x:c>
      <x:c r="I9" s="33" t="n">
        <x:v>-0.017399447949526747</x:v>
      </x:c>
      <x:c r="J9" s="23" t="n">
        <x:f>ROUND(E9-F9,1)</x:f>
        <x:v>184.8</x:v>
      </x:c>
      <x:c r="K9" s="22" t="str">
        <x:v>IM2609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8034.8</x:v>
      </x:c>
      <x:c r="E10" s="23" t="n">
        <x:v>8140.2</x:v>
      </x:c>
      <x:c r="F10" s="23" t="n">
        <x:v>7868.2</x:v>
      </x:c>
      <x:c r="G10" s="23" t="n">
        <x:v>8127.4</x:v>
      </x:c>
      <x:c r="H10" s="35" t="n">
        <x:v>153.4</x:v>
      </x:c>
      <x:c r="I10" s="33" t="n">
        <x:v>0.019237521946325442</x:v>
      </x:c>
      <x:c r="J10" s="37" t="n">
        <x:f>ROUND(E10-F10,1)</x:f>
        <x:v>272</x:v>
      </x:c>
      <x:c r="K10" s="22" t="str">
        <x:v>IM2609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8140.2</x:v>
      </x:c>
      <x:c r="E11" s="23" t="n">
        <x:v>8244.8</x:v>
      </x:c>
      <x:c r="F11" s="23" t="n">
        <x:v>8016</x:v>
      </x:c>
      <x:c r="G11" s="23" t="n">
        <x:v>8019.4</x:v>
      </x:c>
      <x:c r="H11" s="23" t="n">
        <x:v>-108</x:v>
      </x:c>
      <x:c r="I11" s="33" t="n">
        <x:v>-0.013288382508551355</x:v>
      </x:c>
      <x:c r="J11" s="37" t="n">
        <x:f>ROUND(E11-F11,1)</x:f>
        <x:v>228.8</x:v>
      </x:c>
      <x:c r="K11" s="22" t="str">
        <x:v>IM2609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7995</x:v>
      </x:c>
      <x:c r="E12" s="23" t="n">
        <x:v>8029.8</x:v>
      </x:c>
      <x:c r="F12" s="23" t="n">
        <x:v>7651</x:v>
      </x:c>
      <x:c r="G12" s="23" t="n">
        <x:v>7684.4</x:v>
      </x:c>
      <x:c r="H12" s="35" t="n">
        <x:v>-335</x:v>
      </x:c>
      <x:c r="I12" s="33" t="n">
        <x:v>-0.04177369878045745</x:v>
      </x:c>
      <x:c r="J12" s="37" t="n">
        <x:f>ROUND(E12-F12,1)</x:f>
        <x:v>378.8</x:v>
      </x:c>
      <x:c r="K12" s="22" t="str">
        <x:v>IM2609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7720</x:v>
      </x:c>
      <x:c r="E13" s="23" t="n">
        <x:v>7810.6</x:v>
      </x:c>
      <x:c r="F13" s="23" t="n">
        <x:v>7580</x:v>
      </x:c>
      <x:c r="G13" s="23" t="n">
        <x:v>7788</x:v>
      </x:c>
      <x:c r="H13" s="23" t="n">
        <x:v>103.6</x:v>
      </x:c>
      <x:c r="I13" s="33" t="n">
        <x:v>0.013481859351413217</x:v>
      </x:c>
      <x:c r="J13" s="37" t="n">
        <x:f>ROUND(E13-F13,1)</x:f>
        <x:v>230.6</x:v>
      </x:c>
      <x:c r="K13" s="22" t="str">
        <x:v>IM2609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7838</x:v>
      </x:c>
      <x:c r="E14" s="23" t="n">
        <x:v>7846</x:v>
      </x:c>
      <x:c r="F14" s="23" t="n">
        <x:v>7661.4</x:v>
      </x:c>
      <x:c r="G14" s="23" t="n">
        <x:v>7723.2</x:v>
      </x:c>
      <x:c r="H14" s="23" t="n">
        <x:v>-64.8</x:v>
      </x:c>
      <x:c r="I14" s="33" t="n">
        <x:v>-0.008320493066255819</x:v>
      </x:c>
      <x:c r="J14" s="23" t="n">
        <x:f>ROUND(E14-F14,1)</x:f>
        <x:v>184.6</x:v>
      </x:c>
      <x:c r="K14" s="22" t="str">
        <x:v>IM2609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7648.6</x:v>
      </x:c>
      <x:c r="E15" s="23" t="n">
        <x:v>7750.2</x:v>
      </x:c>
      <x:c r="F15" s="23" t="n">
        <x:v>7511</x:v>
      </x:c>
      <x:c r="G15" s="23" t="n">
        <x:v>7552.6</x:v>
      </x:c>
      <x:c r="H15" s="35" t="n">
        <x:v>-170.6</x:v>
      </x:c>
      <x:c r="I15" s="33" t="n">
        <x:v>-0.022089289413714464</x:v>
      </x:c>
      <x:c r="J15" s="37" t="n">
        <x:f>ROUND(E15-F15,1)</x:f>
        <x:v>239.2</x:v>
      </x:c>
      <x:c r="K15" s="22" t="str">
        <x:v>IM2609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7520</x:v>
      </x:c>
      <x:c r="E16" s="42" t="n">
        <x:v>7534.6</x:v>
      </x:c>
      <x:c r="F16" s="42" t="n">
        <x:v>7018.8</x:v>
      </x:c>
      <x:c r="G16" s="42" t="n">
        <x:v>7065.2</x:v>
      </x:c>
      <x:c r="H16" s="35" t="n">
        <x:v>-487.4</x:v>
      </x:c>
      <x:c r="I16" s="43" t="n">
        <x:v>-0.06453406773826242</x:v>
      </x:c>
      <x:c r="J16" s="37" t="n">
        <x:f>ROUND(E16-F16,1)</x:f>
        <x:v>515.8</x:v>
      </x:c>
      <x:c r="K16" s="41" t="str">
        <x:v>IM2609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7165.2</x:v>
      </x:c>
      <x:c r="E17" s="23" t="n">
        <x:v>7237</x:v>
      </x:c>
      <x:c r="F17" s="23" t="n">
        <x:v>6652.2</x:v>
      </x:c>
      <x:c r="G17" s="23" t="n">
        <x:v>6849.8</x:v>
      </x:c>
      <x:c r="H17" s="35" t="n">
        <x:v>-215.4</x:v>
      </x:c>
      <x:c r="I17" s="33" t="n">
        <x:v>-0.030487459661439065</x:v>
      </x:c>
      <x:c r="J17" s="37" t="n">
        <x:f>ROUND(E17-F17,1)</x:f>
        <x:v>584.8</x:v>
      </x:c>
      <x:c r="K17" s="22" t="str">
        <x:v>IM2609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6920</x:v>
      </x:c>
      <x:c r="E18" s="23" t="n">
        <x:v>7175.8</x:v>
      </x:c>
      <x:c r="F18" s="23" t="n">
        <x:v>6641.8</x:v>
      </x:c>
      <x:c r="G18" s="23" t="n">
        <x:v>7164.4</x:v>
      </x:c>
      <x:c r="H18" s="35" t="n">
        <x:v>314.6</x:v>
      </x:c>
      <x:c r="I18" s="33" t="n">
        <x:v>0.04592834827294223</x:v>
      </x:c>
      <x:c r="J18" s="37" t="n">
        <x:f>ROUND(E18-F18,1)</x:f>
        <x:v>534</x:v>
      </x:c>
      <x:c r="K18" s="22" t="str">
        <x:v>IM2609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7148</x:v>
      </x:c>
      <x:c r="E19" s="23" t="n">
        <x:v>7194.6</x:v>
      </x:c>
      <x:c r="F19" s="23" t="n">
        <x:v>6985.8</x:v>
      </x:c>
      <x:c r="G19" s="23" t="n">
        <x:v>7028.8</x:v>
      </x:c>
      <x:c r="H19" s="23" t="n">
        <x:v>-135.6</x:v>
      </x:c>
      <x:c r="I19" s="33" t="n">
        <x:v>-0.018926916420076934</x:v>
      </x:c>
      <x:c r="J19" s="37" t="n">
        <x:f>ROUND(E19-F19,1)</x:f>
        <x:v>208.8</x:v>
      </x:c>
      <x:c r="K19" s="22" t="str">
        <x:v>IM2609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7061</x:v>
      </x:c>
      <x:c r="E20" s="23" t="n">
        <x:v>7159.6</x:v>
      </x:c>
      <x:c r="F20" s="23" t="n">
        <x:v>7000.6</x:v>
      </x:c>
      <x:c r="G20" s="23" t="n">
        <x:v>7071.6</x:v>
      </x:c>
      <x:c r="H20" s="23" t="n">
        <x:v>42.8</x:v>
      </x:c>
      <x:c r="I20" s="33" t="n">
        <x:v>0.0060892328704758025</x:v>
      </x:c>
      <x:c r="J20" s="23" t="n">
        <x:f>ROUND(E20-F20,1)</x:f>
        <x:v>159</x:v>
      </x:c>
      <x:c r="K20" s="22" t="str">
        <x:v>IM2609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7000</x:v>
      </x:c>
      <x:c r="E21" s="23" t="n">
        <x:v>7054.8</x:v>
      </x:c>
      <x:c r="F21" s="23" t="n">
        <x:v>6866</x:v>
      </x:c>
      <x:c r="G21" s="23" t="n">
        <x:v>6880.2</x:v>
      </x:c>
      <x:c r="H21" s="35" t="n">
        <x:v>-191.4</x:v>
      </x:c>
      <x:c r="I21" s="33" t="n">
        <x:v>-0.02706601052095714</x:v>
      </x:c>
      <x:c r="J21" s="23" t="n">
        <x:f>ROUND(E21-F21,1)</x:f>
        <x:v>188.8</x:v>
      </x:c>
      <x:c r="K21" s="22" t="str">
        <x:v>IM2609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6880.4</x:v>
      </x:c>
      <x:c r="E22" s="23" t="n">
        <x:v>7155</x:v>
      </x:c>
      <x:c r="F22" s="23" t="n">
        <x:v>6880.4</x:v>
      </x:c>
      <x:c r="G22" s="23" t="n">
        <x:v>7148.8</x:v>
      </x:c>
      <x:c r="H22" s="35" t="n">
        <x:v>268.6</x:v>
      </x:c>
      <x:c r="I22" s="33" t="n">
        <x:v>0.039039562803407035</x:v>
      </x:c>
      <x:c r="J22" s="37" t="n">
        <x:f>ROUND(E22-F22,1)</x:f>
        <x:v>274.6</x:v>
      </x:c>
      <x:c r="K22" s="22" t="str">
        <x:v>IM2609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7020</x:v>
      </x:c>
      <x:c r="E23" s="23" t="n">
        <x:v>7075.6</x:v>
      </x:c>
      <x:c r="F23" s="23" t="n">
        <x:v>6888.8</x:v>
      </x:c>
      <x:c r="G23" s="23" t="n">
        <x:v>6943.2</x:v>
      </x:c>
      <x:c r="H23" s="35" t="n">
        <x:v>-205.6</x:v>
      </x:c>
      <x:c r="I23" s="33" t="n">
        <x:v>-0.02876007162041183</x:v>
      </x:c>
      <x:c r="J23" s="23" t="n">
        <x:f>ROUND(E23-F23,1)</x:f>
        <x:v>186.8</x:v>
      </x:c>
      <x:c r="K23" s="22" t="str">
        <x:v>IM2609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6966</x:v>
      </x:c>
      <x:c r="E24" s="23" t="n">
        <x:v>7081</x:v>
      </x:c>
      <x:c r="F24" s="23" t="n">
        <x:v>6825</x:v>
      </x:c>
      <x:c r="G24" s="23" t="n">
        <x:v>7047.2</x:v>
      </x:c>
      <x:c r="H24" s="23" t="n">
        <x:v>104</x:v>
      </x:c>
      <x:c r="I24" s="33" t="n">
        <x:v>0.014978684180205093</x:v>
      </x:c>
      <x:c r="J24" s="37" t="n">
        <x:f>ROUND(E24-F24,1)</x:f>
        <x:v>256</x:v>
      </x:c>
      <x:c r="K24" s="22" t="str">
        <x:v>IM2609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7033.4</x:v>
      </x:c>
      <x:c r="E25" s="23" t="n">
        <x:v>7088</x:v>
      </x:c>
      <x:c r="F25" s="23" t="n">
        <x:v>6757.6</x:v>
      </x:c>
      <x:c r="G25" s="23" t="n">
        <x:v>6845.2</x:v>
      </x:c>
      <x:c r="H25" s="35" t="n">
        <x:v>-202</x:v>
      </x:c>
      <x:c r="I25" s="33" t="n">
        <x:v>-0.028663866500170276</x:v>
      </x:c>
      <x:c r="J25" s="37" t="n">
        <x:f>ROUND(E25-F25,1)</x:f>
        <x:v>330.4</x:v>
      </x:c>
      <x:c r="K25" s="22" t="str">
        <x:v>IM2609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7110</x:v>
      </x:c>
      <x:c r="E26" s="23" t="n">
        <x:v>7205</x:v>
      </x:c>
      <x:c r="F26" s="23" t="n">
        <x:v>6986</x:v>
      </x:c>
      <x:c r="G26" s="23" t="n">
        <x:v>6987.8</x:v>
      </x:c>
      <x:c r="H26" s="23" t="n">
        <x:v>142.6</x:v>
      </x:c>
      <x:c r="I26" s="33" t="n">
        <x:v>0.020832115935254025</x:v>
      </x:c>
      <x:c r="J26" s="37" t="n">
        <x:f>ROUND(E26-F26,1)</x:f>
        <x:v>219</x:v>
      </x:c>
      <x:c r="K26" s="22" t="str">
        <x:v>IM2609</x:v>
      </x:c>
    </x:row>
    <x:row r="29">
      <x:c r="A29" s="26" t="str">
        <x:v>合计</x:v>
      </x:c>
      <x:c r="B29" s="25" t="n">
        <x:v>23</x:v>
      </x:c>
      <x:c r="C29" s="25"/>
      <x:c r="D29" s="25"/>
      <x:c r="E29" s="25"/>
      <x:c r="F29" s="25"/>
      <x:c r="G29" s="25"/>
      <x:c r="H29" s="25"/>
      <x:c r="I29" s="25"/>
      <x:c r="J29" s="27" t="n">
        <x:f>SUM(J4:J26)</x:f>
        <x:v>6087.200000000001</x:v>
      </x:c>
      <x:c r="K29" s="25"/>
    </x:row>
    <x:row r="30">
      <x:c r="A30" s="26" t="str">
        <x:v>均值</x:v>
      </x:c>
      <x:c r="B30" s="25"/>
      <x:c r="C30" s="25"/>
      <x:c r="D30" s="25"/>
      <x:c r="E30" s="25"/>
      <x:c r="F30" s="25"/>
      <x:c r="G30" s="25"/>
      <x:c r="H30" s="25"/>
      <x:c r="I30" s="25"/>
      <x:c r="J30" s="29" t="n">
        <x:f>ROUND(IFERROR(AVERAGE(J4:J26),0),1)</x:f>
        <x:v>264.7</x:v>
      </x:c>
      <x:c r="K30" s="25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8763</x:v>
      </x:c>
      <x:c r="E4" s="23" t="n">
        <x:v>8873.8</x:v>
      </x:c>
      <x:c r="F4" s="23" t="n">
        <x:v>8656.8</x:v>
      </x:c>
      <x:c r="G4" s="23" t="n">
        <x:v>8713</x:v>
      </x:c>
      <x:c r="H4" s="23" t="n">
        <x:v>-70</x:v>
      </x:c>
      <x:c r="I4" s="33" t="n">
        <x:v>-0.007969941933280156</x:v>
      </x:c>
      <x:c r="J4" s="37" t="n">
        <x:f>ROUND(E4-F4,1)</x:f>
        <x:v>217</x:v>
      </x:c>
      <x:c r="K4" s="22" t="str">
        <x:v>IC2609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8616</x:v>
      </x:c>
      <x:c r="E5" s="23" t="n">
        <x:v>8678.6</x:v>
      </x:c>
      <x:c r="F5" s="23" t="n">
        <x:v>8456.8</x:v>
      </x:c>
      <x:c r="G5" s="23" t="n">
        <x:v>8488</x:v>
      </x:c>
      <x:c r="H5" s="35" t="n">
        <x:v>-225</x:v>
      </x:c>
      <x:c r="I5" s="33" t="n">
        <x:v>-0.025823482153104593</x:v>
      </x:c>
      <x:c r="J5" s="37" t="n">
        <x:f>ROUND(E5-F5,1)</x:f>
        <x:v>221.8</x:v>
      </x:c>
      <x:c r="K5" s="22" t="str">
        <x:v>IC2609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8519</x:v>
      </x:c>
      <x:c r="E6" s="23" t="n">
        <x:v>8650</x:v>
      </x:c>
      <x:c r="F6" s="23" t="n">
        <x:v>8442</x:v>
      </x:c>
      <x:c r="G6" s="23" t="n">
        <x:v>8538</x:v>
      </x:c>
      <x:c r="H6" s="23" t="n">
        <x:v>50</x:v>
      </x:c>
      <x:c r="I6" s="33" t="n">
        <x:v>0.005890669180018904</x:v>
      </x:c>
      <x:c r="J6" s="37" t="n">
        <x:f>ROUND(E6-F6,1)</x:f>
        <x:v>208</x:v>
      </x:c>
      <x:c r="K6" s="22" t="str">
        <x:v>IC2609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8574.4</x:v>
      </x:c>
      <x:c r="E7" s="23" t="n">
        <x:v>8584.2</x:v>
      </x:c>
      <x:c r="F7" s="23" t="n">
        <x:v>8376</x:v>
      </x:c>
      <x:c r="G7" s="23" t="n">
        <x:v>8467</x:v>
      </x:c>
      <x:c r="H7" s="23" t="n">
        <x:v>-71</x:v>
      </x:c>
      <x:c r="I7" s="33" t="n">
        <x:v>-0.008315764816116178</x:v>
      </x:c>
      <x:c r="J7" s="37" t="n">
        <x:f>ROUND(E7-F7,1)</x:f>
        <x:v>208.2</x:v>
      </x:c>
      <x:c r="K7" s="22" t="str">
        <x:v>IC2609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8420</x:v>
      </x:c>
      <x:c r="E8" s="23" t="n">
        <x:v>8478.8</x:v>
      </x:c>
      <x:c r="F8" s="23" t="n">
        <x:v>8281</x:v>
      </x:c>
      <x:c r="G8" s="23" t="n">
        <x:v>8322.6</x:v>
      </x:c>
      <x:c r="H8" s="23" t="n">
        <x:v>-144.4</x:v>
      </x:c>
      <x:c r="I8" s="33" t="n">
        <x:v>-0.01705444667532774</x:v>
      </x:c>
      <x:c r="J8" s="37" t="n">
        <x:f>ROUND(E8-F8,1)</x:f>
        <x:v>197.8</x:v>
      </x:c>
      <x:c r="K8" s="22" t="str">
        <x:v>IC2609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8376</x:v>
      </x:c>
      <x:c r="E9" s="23" t="n">
        <x:v>8376</x:v>
      </x:c>
      <x:c r="F9" s="23" t="n">
        <x:v>8203.6</x:v>
      </x:c>
      <x:c r="G9" s="23" t="n">
        <x:v>8255.2</x:v>
      </x:c>
      <x:c r="H9" s="23" t="n">
        <x:v>-67.4</x:v>
      </x:c>
      <x:c r="I9" s="33" t="n">
        <x:v>-0.008098430778843091</x:v>
      </x:c>
      <x:c r="J9" s="37" t="n">
        <x:f>ROUND(E9-F9,1)</x:f>
        <x:v>172.4</x:v>
      </x:c>
      <x:c r="K9" s="22" t="str">
        <x:v>IC2609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8300</x:v>
      </x:c>
      <x:c r="E10" s="23" t="n">
        <x:v>8509.2</x:v>
      </x:c>
      <x:c r="F10" s="23" t="n">
        <x:v>8173</x:v>
      </x:c>
      <x:c r="G10" s="23" t="n">
        <x:v>8502.4</x:v>
      </x:c>
      <x:c r="H10" s="35" t="n">
        <x:v>247.2</x:v>
      </x:c>
      <x:c r="I10" s="33" t="n">
        <x:v>0.029944762089349597</x:v>
      </x:c>
      <x:c r="J10" s="37" t="n">
        <x:f>ROUND(E10-F10,1)</x:f>
        <x:v>336.2</x:v>
      </x:c>
      <x:c r="K10" s="22" t="str">
        <x:v>IC2609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8522</x:v>
      </x:c>
      <x:c r="E11" s="23" t="n">
        <x:v>8618</x:v>
      </x:c>
      <x:c r="F11" s="23" t="n">
        <x:v>8330</x:v>
      </x:c>
      <x:c r="G11" s="23" t="n">
        <x:v>8333</x:v>
      </x:c>
      <x:c r="H11" s="35" t="n">
        <x:v>-169.4</x:v>
      </x:c>
      <x:c r="I11" s="33" t="n">
        <x:v>-0.019923786225065854</x:v>
      </x:c>
      <x:c r="J11" s="37" t="n">
        <x:f>ROUND(E11-F11,1)</x:f>
        <x:v>288</x:v>
      </x:c>
      <x:c r="K11" s="22" t="str">
        <x:v>IC2609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8303</x:v>
      </x:c>
      <x:c r="E12" s="23" t="n">
        <x:v>8328</x:v>
      </x:c>
      <x:c r="F12" s="23" t="n">
        <x:v>7995.8</x:v>
      </x:c>
      <x:c r="G12" s="23" t="n">
        <x:v>8021.6</x:v>
      </x:c>
      <x:c r="H12" s="35" t="n">
        <x:v>-311.4</x:v>
      </x:c>
      <x:c r="I12" s="33" t="n">
        <x:v>-0.037369494779791124</x:v>
      </x:c>
      <x:c r="J12" s="37" t="n">
        <x:f>ROUND(E12-F12,1)</x:f>
        <x:v>332.2</x:v>
      </x:c>
      <x:c r="K12" s="22" t="str">
        <x:v>IC2609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8043.2</x:v>
      </x:c>
      <x:c r="E13" s="23" t="n">
        <x:v>8166</x:v>
      </x:c>
      <x:c r="F13" s="23" t="n">
        <x:v>7881</x:v>
      </x:c>
      <x:c r="G13" s="23" t="n">
        <x:v>8117</x:v>
      </x:c>
      <x:c r="H13" s="23" t="n">
        <x:v>95.4</x:v>
      </x:c>
      <x:c r="I13" s="33" t="n">
        <x:v>0.011892889199162315</x:v>
      </x:c>
      <x:c r="J13" s="37" t="n">
        <x:f>ROUND(E13-F13,1)</x:f>
        <x:v>285</x:v>
      </x:c>
      <x:c r="K13" s="22" t="str">
        <x:v>IC2609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8160</x:v>
      </x:c>
      <x:c r="E14" s="23" t="n">
        <x:v>8192.2</x:v>
      </x:c>
      <x:c r="F14" s="23" t="n">
        <x:v>7983.8</x:v>
      </x:c>
      <x:c r="G14" s="23" t="n">
        <x:v>8046.4</x:v>
      </x:c>
      <x:c r="H14" s="23" t="n">
        <x:v>-70.6</x:v>
      </x:c>
      <x:c r="I14" s="33" t="n">
        <x:v>-0.008697794751755583</x:v>
      </x:c>
      <x:c r="J14" s="37" t="n">
        <x:f>ROUND(E14-F14,1)</x:f>
        <x:v>208.4</x:v>
      </x:c>
      <x:c r="K14" s="22" t="str">
        <x:v>IC2609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7955.4</x:v>
      </x:c>
      <x:c r="E15" s="23" t="n">
        <x:v>8054.4</x:v>
      </x:c>
      <x:c r="F15" s="23" t="n">
        <x:v>7823</x:v>
      </x:c>
      <x:c r="G15" s="23" t="n">
        <x:v>7869.6</x:v>
      </x:c>
      <x:c r="H15" s="35" t="n">
        <x:v>-176.8</x:v>
      </x:c>
      <x:c r="I15" s="33" t="n">
        <x:v>-0.021972559156890004</x:v>
      </x:c>
      <x:c r="J15" s="37" t="n">
        <x:f>ROUND(E15-F15,1)</x:f>
        <x:v>231.4</x:v>
      </x:c>
      <x:c r="K15" s="22" t="str">
        <x:v>IC2609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7842</x:v>
      </x:c>
      <x:c r="E16" s="42" t="n">
        <x:v>7848.2</x:v>
      </x:c>
      <x:c r="F16" s="42" t="n">
        <x:v>7362.8</x:v>
      </x:c>
      <x:c r="G16" s="42" t="n">
        <x:v>7389</x:v>
      </x:c>
      <x:c r="H16" s="35" t="n">
        <x:v>-480.6</x:v>
      </x:c>
      <x:c r="I16" s="43" t="n">
        <x:v>-0.06107044830741082</x:v>
      </x:c>
      <x:c r="J16" s="37" t="n">
        <x:f>ROUND(E16-F16,1)</x:f>
        <x:v>485.4</x:v>
      </x:c>
      <x:c r="K16" s="41" t="str">
        <x:v>IC2609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7490</x:v>
      </x:c>
      <x:c r="E17" s="23" t="n">
        <x:v>7561.8</x:v>
      </x:c>
      <x:c r="F17" s="23" t="n">
        <x:v>7092</x:v>
      </x:c>
      <x:c r="G17" s="23" t="n">
        <x:v>7302.2</x:v>
      </x:c>
      <x:c r="H17" s="23" t="n">
        <x:v>-86.8</x:v>
      </x:c>
      <x:c r="I17" s="33" t="n">
        <x:v>-0.011747191771552368</x:v>
      </x:c>
      <x:c r="J17" s="37" t="n">
        <x:f>ROUND(E17-F17,1)</x:f>
        <x:v>469.8</x:v>
      </x:c>
      <x:c r="K17" s="22" t="str">
        <x:v>IC2609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7385</x:v>
      </x:c>
      <x:c r="E18" s="23" t="n">
        <x:v>7700.6</x:v>
      </x:c>
      <x:c r="F18" s="23" t="n">
        <x:v>7201.2</x:v>
      </x:c>
      <x:c r="G18" s="23" t="n">
        <x:v>7685.8</x:v>
      </x:c>
      <x:c r="H18" s="35" t="n">
        <x:v>383.6</x:v>
      </x:c>
      <x:c r="I18" s="33" t="n">
        <x:v>0.052532113609597086</x:v>
      </x:c>
      <x:c r="J18" s="37" t="n">
        <x:f>ROUND(E18-F18,1)</x:f>
        <x:v>499.4</x:v>
      </x:c>
      <x:c r="K18" s="22" t="str">
        <x:v>IC2609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7674.8</x:v>
      </x:c>
      <x:c r="E19" s="23" t="n">
        <x:v>7765.6</x:v>
      </x:c>
      <x:c r="F19" s="23" t="n">
        <x:v>7583.8</x:v>
      </x:c>
      <x:c r="G19" s="23" t="n">
        <x:v>7611</x:v>
      </x:c>
      <x:c r="H19" s="23" t="n">
        <x:v>-74.8</x:v>
      </x:c>
      <x:c r="I19" s="33" t="n">
        <x:v>-0.009732233469515239</x:v>
      </x:c>
      <x:c r="J19" s="37" t="n">
        <x:f>ROUND(E19-F19,1)</x:f>
        <x:v>181.8</x:v>
      </x:c>
      <x:c r="K19" s="22" t="str">
        <x:v>IC2609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7675</x:v>
      </x:c>
      <x:c r="E20" s="23" t="n">
        <x:v>7693</x:v>
      </x:c>
      <x:c r="F20" s="23" t="n">
        <x:v>7538</x:v>
      </x:c>
      <x:c r="G20" s="23" t="n">
        <x:v>7602.6</x:v>
      </x:c>
      <x:c r="H20" s="23" t="n">
        <x:v>-8.4</x:v>
      </x:c>
      <x:c r="I20" s="33" t="n">
        <x:v>-0.0011036657469452038</x:v>
      </x:c>
      <x:c r="J20" s="37" t="n">
        <x:f>ROUND(E20-F20,1)</x:f>
        <x:v>155</x:v>
      </x:c>
      <x:c r="K20" s="22" t="str">
        <x:v>IC2609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7520</x:v>
      </x:c>
      <x:c r="E21" s="23" t="n">
        <x:v>7596</x:v>
      </x:c>
      <x:c r="F21" s="23" t="n">
        <x:v>7410.6</x:v>
      </x:c>
      <x:c r="G21" s="23" t="n">
        <x:v>7416</x:v>
      </x:c>
      <x:c r="H21" s="35" t="n">
        <x:v>-186.6</x:v>
      </x:c>
      <x:c r="I21" s="33" t="n">
        <x:v>-0.024544234867019177</x:v>
      </x:c>
      <x:c r="J21" s="37" t="n">
        <x:f>ROUND(E21-F21,1)</x:f>
        <x:v>185.4</x:v>
      </x:c>
      <x:c r="K21" s="22" t="str">
        <x:v>IC2609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7447</x:v>
      </x:c>
      <x:c r="E22" s="23" t="n">
        <x:v>7666.6</x:v>
      </x:c>
      <x:c r="F22" s="23" t="n">
        <x:v>7394.2</x:v>
      </x:c>
      <x:c r="G22" s="23" t="n">
        <x:v>7647</x:v>
      </x:c>
      <x:c r="H22" s="35" t="n">
        <x:v>231</x:v>
      </x:c>
      <x:c r="I22" s="33" t="n">
        <x:v>0.03114886731391575</x:v>
      </x:c>
      <x:c r="J22" s="37" t="n">
        <x:f>ROUND(E22-F22,1)</x:f>
        <x:v>272.4</x:v>
      </x:c>
      <x:c r="K22" s="22" t="str">
        <x:v>IC2609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7489</x:v>
      </x:c>
      <x:c r="E23" s="23" t="n">
        <x:v>7535.8</x:v>
      </x:c>
      <x:c r="F23" s="23" t="n">
        <x:v>7285.2</x:v>
      </x:c>
      <x:c r="G23" s="23" t="n">
        <x:v>7352.4</x:v>
      </x:c>
      <x:c r="H23" s="35" t="n">
        <x:v>-294.6</x:v>
      </x:c>
      <x:c r="I23" s="33" t="n">
        <x:v>-0.03852491173009032</x:v>
      </x:c>
      <x:c r="J23" s="37" t="n">
        <x:f>ROUND(E23-F23,1)</x:f>
        <x:v>250.6</x:v>
      </x:c>
      <x:c r="K23" s="22" t="str">
        <x:v>IC2609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7380</x:v>
      </x:c>
      <x:c r="E24" s="23" t="n">
        <x:v>7514.8</x:v>
      </x:c>
      <x:c r="F24" s="23" t="n">
        <x:v>7260.6</x:v>
      </x:c>
      <x:c r="G24" s="23" t="n">
        <x:v>7454.2</x:v>
      </x:c>
      <x:c r="H24" s="23" t="n">
        <x:v>101.8</x:v>
      </x:c>
      <x:c r="I24" s="33" t="n">
        <x:v>0.013845819052282327</x:v>
      </x:c>
      <x:c r="J24" s="37" t="n">
        <x:f>ROUND(E24-F24,1)</x:f>
        <x:v>254.2</x:v>
      </x:c>
      <x:c r="K24" s="22" t="str">
        <x:v>IC2609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7405</x:v>
      </x:c>
      <x:c r="E25" s="23" t="n">
        <x:v>7487.6</x:v>
      </x:c>
      <x:c r="F25" s="23" t="n">
        <x:v>7106</x:v>
      </x:c>
      <x:c r="G25" s="23" t="n">
        <x:v>7245.6</x:v>
      </x:c>
      <x:c r="H25" s="35" t="n">
        <x:v>-208.6</x:v>
      </x:c>
      <x:c r="I25" s="33" t="n">
        <x:v>-0.027984223659145102</x:v>
      </x:c>
      <x:c r="J25" s="37" t="n">
        <x:f>ROUND(E25-F25,1)</x:f>
        <x:v>381.6</x:v>
      </x:c>
      <x:c r="K25" s="22" t="str">
        <x:v>IC2609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7514.8</x:v>
      </x:c>
      <x:c r="E26" s="23" t="n">
        <x:v>7611.8</x:v>
      </x:c>
      <x:c r="F26" s="23" t="n">
        <x:v>7389.6</x:v>
      </x:c>
      <x:c r="G26" s="23" t="n">
        <x:v>7395</x:v>
      </x:c>
      <x:c r="H26" s="23" t="n">
        <x:v>149.4</x:v>
      </x:c>
      <x:c r="I26" s="33" t="n">
        <x:v>0.020619410400794846</x:v>
      </x:c>
      <x:c r="J26" s="37" t="n">
        <x:f>ROUND(E26-F26,1)</x:f>
        <x:v>222.2</x:v>
      </x:c>
      <x:c r="K26" s="22" t="str">
        <x:v>IC2609</x:v>
      </x:c>
    </x:row>
    <x:row r="29">
      <x:c r="A29" s="26" t="str">
        <x:v>合计</x:v>
      </x:c>
      <x:c r="B29" s="25" t="n">
        <x:v>23</x:v>
      </x:c>
      <x:c r="C29" s="25"/>
      <x:c r="D29" s="25"/>
      <x:c r="E29" s="25"/>
      <x:c r="F29" s="25"/>
      <x:c r="G29" s="25"/>
      <x:c r="H29" s="25"/>
      <x:c r="I29" s="25"/>
      <x:c r="J29" s="27" t="n">
        <x:f>SUM(J4:J26)</x:f>
        <x:v>6264.2</x:v>
      </x:c>
      <x:c r="K29" s="25"/>
    </x:row>
    <x:row r="30">
      <x:c r="A30" s="26" t="str">
        <x:v>均值</x:v>
      </x:c>
      <x:c r="B30" s="25"/>
      <x:c r="C30" s="25"/>
      <x:c r="D30" s="25"/>
      <x:c r="E30" s="25"/>
      <x:c r="F30" s="25"/>
      <x:c r="G30" s="25"/>
      <x:c r="H30" s="25"/>
      <x:c r="I30" s="25"/>
      <x:c r="J30" s="29" t="n">
        <x:f>ROUND(IFERROR(AVERAGE(J4:J26),0),1)</x:f>
        <x:v>272.4</x:v>
      </x:c>
      <x:c r="K30" s="25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4855.8</x:v>
      </x:c>
      <x:c r="E4" s="23" t="n">
        <x:v>4899.6</x:v>
      </x:c>
      <x:c r="F4" s="23" t="n">
        <x:v>4802.2</x:v>
      </x:c>
      <x:c r="G4" s="23" t="n">
        <x:v>4831.2</x:v>
      </x:c>
      <x:c r="H4" s="23" t="n">
        <x:v>-24.6</x:v>
      </x:c>
      <x:c r="I4" s="33" t="n">
        <x:v>-0.0050661065118003945</x:v>
      </x:c>
      <x:c r="J4" s="37" t="n">
        <x:f>ROUND(E4-F4,1)</x:f>
        <x:v>97.4</x:v>
      </x:c>
      <x:c r="K4" s="22" t="str">
        <x:v>IF2609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4769</x:v>
      </x:c>
      <x:c r="E5" s="23" t="n">
        <x:v>4800.2</x:v>
      </x:c>
      <x:c r="F5" s="23" t="n">
        <x:v>4705</x:v>
      </x:c>
      <x:c r="G5" s="23" t="n">
        <x:v>4719.4</x:v>
      </x:c>
      <x:c r="H5" s="23" t="n">
        <x:v>-111.8</x:v>
      </x:c>
      <x:c r="I5" s="33" t="n">
        <x:v>-0.02314124855108468</x:v>
      </x:c>
      <x:c r="J5" s="37" t="n">
        <x:f>ROUND(E5-F5,1)</x:f>
        <x:v>95.2</x:v>
      </x:c>
      <x:c r="K5" s="22" t="str">
        <x:v>IF2609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4733.8</x:v>
      </x:c>
      <x:c r="E6" s="23" t="n">
        <x:v>4810.4</x:v>
      </x:c>
      <x:c r="F6" s="23" t="n">
        <x:v>4728</x:v>
      </x:c>
      <x:c r="G6" s="23" t="n">
        <x:v>4752.2</x:v>
      </x:c>
      <x:c r="H6" s="23" t="n">
        <x:v>32.8</x:v>
      </x:c>
      <x:c r="I6" s="33" t="n">
        <x:v>0.006950036021528216</x:v>
      </x:c>
      <x:c r="J6" s="23" t="n">
        <x:f>ROUND(E6-F6,1)</x:f>
        <x:v>82.4</x:v>
      </x:c>
      <x:c r="K6" s="22" t="str">
        <x:v>IF2609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4781</x:v>
      </x:c>
      <x:c r="E7" s="23" t="n">
        <x:v>4781.2</x:v>
      </x:c>
      <x:c r="F7" s="23" t="n">
        <x:v>4701</x:v>
      </x:c>
      <x:c r="G7" s="23" t="n">
        <x:v>4753.2</x:v>
      </x:c>
      <x:c r="H7" s="23" t="n">
        <x:v>1</x:v>
      </x:c>
      <x:c r="I7" s="33" t="n">
        <x:v>0.00021042885400435196</x:v>
      </x:c>
      <x:c r="J7" s="23" t="n">
        <x:f>ROUND(E7-F7,1)</x:f>
        <x:v>80.2</x:v>
      </x:c>
      <x:c r="K7" s="22" t="str">
        <x:v>IF2609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4725.6</x:v>
      </x:c>
      <x:c r="E8" s="23" t="n">
        <x:v>4752.6</x:v>
      </x:c>
      <x:c r="F8" s="23" t="n">
        <x:v>4671.4</x:v>
      </x:c>
      <x:c r="G8" s="23" t="n">
        <x:v>4703.4</x:v>
      </x:c>
      <x:c r="H8" s="23" t="n">
        <x:v>-49.8</x:v>
      </x:c>
      <x:c r="I8" s="33" t="n">
        <x:v>-0.01047715223428436</x:v>
      </x:c>
      <x:c r="J8" s="23" t="n">
        <x:f>ROUND(E8-F8,1)</x:f>
        <x:v>81.2</x:v>
      </x:c>
      <x:c r="K8" s="22" t="str">
        <x:v>IF2609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4728</x:v>
      </x:c>
      <x:c r="E9" s="23" t="n">
        <x:v>4747.6</x:v>
      </x:c>
      <x:c r="F9" s="23" t="n">
        <x:v>4666</x:v>
      </x:c>
      <x:c r="G9" s="23" t="n">
        <x:v>4668</x:v>
      </x:c>
      <x:c r="H9" s="23" t="n">
        <x:v>-35.4</x:v>
      </x:c>
      <x:c r="I9" s="33" t="n">
        <x:v>-0.007526470213037317</x:v>
      </x:c>
      <x:c r="J9" s="23" t="n">
        <x:f>ROUND(E9-F9,1)</x:f>
        <x:v>81.6</x:v>
      </x:c>
      <x:c r="K9" s="22" t="str">
        <x:v>IF2609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4690</x:v>
      </x:c>
      <x:c r="E10" s="23" t="n">
        <x:v>4804</x:v>
      </x:c>
      <x:c r="F10" s="23" t="n">
        <x:v>4665.2</x:v>
      </x:c>
      <x:c r="G10" s="23" t="n">
        <x:v>4780.8</x:v>
      </x:c>
      <x:c r="H10" s="23" t="n">
        <x:v>112.8</x:v>
      </x:c>
      <x:c r="I10" s="33" t="n">
        <x:v>0.02416452442159378</x:v>
      </x:c>
      <x:c r="J10" s="37" t="n">
        <x:f>ROUND(E10-F10,1)</x:f>
        <x:v>138.8</x:v>
      </x:c>
      <x:c r="K10" s="22" t="str">
        <x:v>IF2609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4790.2</x:v>
      </x:c>
      <x:c r="E11" s="23" t="n">
        <x:v>4822.2</x:v>
      </x:c>
      <x:c r="F11" s="23" t="n">
        <x:v>4703.6</x:v>
      </x:c>
      <x:c r="G11" s="23" t="n">
        <x:v>4704.6</x:v>
      </x:c>
      <x:c r="H11" s="23" t="n">
        <x:v>-76.2</x:v>
      </x:c>
      <x:c r="I11" s="33" t="n">
        <x:v>-0.015938755020080242</x:v>
      </x:c>
      <x:c r="J11" s="37" t="n">
        <x:f>ROUND(E11-F11,1)</x:f>
        <x:v>118.6</x:v>
      </x:c>
      <x:c r="K11" s="22" t="str">
        <x:v>IF2609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4691</x:v>
      </x:c>
      <x:c r="E12" s="23" t="n">
        <x:v>4705</x:v>
      </x:c>
      <x:c r="F12" s="23" t="n">
        <x:v>4610.2</x:v>
      </x:c>
      <x:c r="G12" s="23" t="n">
        <x:v>4634.6</x:v>
      </x:c>
      <x:c r="H12" s="23" t="n">
        <x:v>-70</x:v>
      </x:c>
      <x:c r="I12" s="33" t="n">
        <x:v>-0.014879054542362824</x:v>
      </x:c>
      <x:c r="J12" s="37" t="n">
        <x:f>ROUND(E12-F12,1)</x:f>
        <x:v>94.8</x:v>
      </x:c>
      <x:c r="K12" s="22" t="str">
        <x:v>IF2609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4640</x:v>
      </x:c>
      <x:c r="E13" s="23" t="n">
        <x:v>4713.2</x:v>
      </x:c>
      <x:c r="F13" s="23" t="n">
        <x:v>4593</x:v>
      </x:c>
      <x:c r="G13" s="23" t="n">
        <x:v>4690</x:v>
      </x:c>
      <x:c r="H13" s="23" t="n">
        <x:v>55.4</x:v>
      </x:c>
      <x:c r="I13" s="33" t="n">
        <x:v>0.011953566650843683</x:v>
      </x:c>
      <x:c r="J13" s="37" t="n">
        <x:f>ROUND(E13-F13,1)</x:f>
        <x:v>120.2</x:v>
      </x:c>
      <x:c r="K13" s="22" t="str">
        <x:v>IF2609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4706</x:v>
      </x:c>
      <x:c r="E14" s="23" t="n">
        <x:v>4739.4</x:v>
      </x:c>
      <x:c r="F14" s="23" t="n">
        <x:v>4690.6</x:v>
      </x:c>
      <x:c r="G14" s="23" t="n">
        <x:v>4717.4</x:v>
      </x:c>
      <x:c r="H14" s="23" t="n">
        <x:v>27.4</x:v>
      </x:c>
      <x:c r="I14" s="33" t="n">
        <x:v>0.005842217484008483</x:v>
      </x:c>
      <x:c r="J14" s="23" t="n">
        <x:f>ROUND(E14-F14,1)</x:f>
        <x:v>48.8</x:v>
      </x:c>
      <x:c r="K14" s="22" t="str">
        <x:v>IF2609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4677</x:v>
      </x:c>
      <x:c r="E15" s="23" t="n">
        <x:v>4712.6</x:v>
      </x:c>
      <x:c r="F15" s="23" t="n">
        <x:v>4618</x:v>
      </x:c>
      <x:c r="G15" s="23" t="n">
        <x:v>4645.6</x:v>
      </x:c>
      <x:c r="H15" s="23" t="n">
        <x:v>-71.8</x:v>
      </x:c>
      <x:c r="I15" s="33" t="n">
        <x:v>-0.015220248441938256</x:v>
      </x:c>
      <x:c r="J15" s="37" t="n">
        <x:f>ROUND(E15-F15,1)</x:f>
        <x:v>94.6</x:v>
      </x:c>
      <x:c r="K15" s="22" t="str">
        <x:v>IF2609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4615.8</x:v>
      </x:c>
      <x:c r="E16" s="42" t="n">
        <x:v>4633.8</x:v>
      </x:c>
      <x:c r="F16" s="42" t="n">
        <x:v>4441.4</x:v>
      </x:c>
      <x:c r="G16" s="42" t="n">
        <x:v>4473.8</x:v>
      </x:c>
      <x:c r="H16" s="35" t="n">
        <x:v>-171.8</x:v>
      </x:c>
      <x:c r="I16" s="43" t="n">
        <x:v>-0.036981229550542505</x:v>
      </x:c>
      <x:c r="J16" s="37" t="n">
        <x:f>ROUND(E16-F16,1)</x:f>
        <x:v>192.4</x:v>
      </x:c>
      <x:c r="K16" s="41" t="str">
        <x:v>IF2609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4530</x:v>
      </x:c>
      <x:c r="E17" s="23" t="n">
        <x:v>4590</x:v>
      </x:c>
      <x:c r="F17" s="23" t="n">
        <x:v>4465</x:v>
      </x:c>
      <x:c r="G17" s="23" t="n">
        <x:v>4545.8</x:v>
      </x:c>
      <x:c r="H17" s="23" t="n">
        <x:v>72</x:v>
      </x:c>
      <x:c r="I17" s="33" t="n">
        <x:v>0.016093701104206604</x:v>
      </x:c>
      <x:c r="J17" s="37" t="n">
        <x:f>ROUND(E17-F17,1)</x:f>
        <x:v>125</x:v>
      </x:c>
      <x:c r="K17" s="22" t="str">
        <x:v>IF2609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4563.8</x:v>
      </x:c>
      <x:c r="E18" s="23" t="n">
        <x:v>4673.8</x:v>
      </x:c>
      <x:c r="F18" s="23" t="n">
        <x:v>4524.4</x:v>
      </x:c>
      <x:c r="G18" s="23" t="n">
        <x:v>4662.4</x:v>
      </x:c>
      <x:c r="H18" s="23" t="n">
        <x:v>116.6</x:v>
      </x:c>
      <x:c r="I18" s="33" t="n">
        <x:v>0.02565005059615455</x:v>
      </x:c>
      <x:c r="J18" s="37" t="n">
        <x:f>ROUND(E18-F18,1)</x:f>
        <x:v>149.4</x:v>
      </x:c>
      <x:c r="K18" s="22" t="str">
        <x:v>IF2609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4652</x:v>
      </x:c>
      <x:c r="E19" s="23" t="n">
        <x:v>4707.8</x:v>
      </x:c>
      <x:c r="F19" s="23" t="n">
        <x:v>4634</x:v>
      </x:c>
      <x:c r="G19" s="23" t="n">
        <x:v>4648</x:v>
      </x:c>
      <x:c r="H19" s="23" t="n">
        <x:v>-14.4</x:v>
      </x:c>
      <x:c r="I19" s="33" t="n">
        <x:v>-0.003088538091969739</x:v>
      </x:c>
      <x:c r="J19" s="23" t="n">
        <x:f>ROUND(E19-F19,1)</x:f>
        <x:v>73.8</x:v>
      </x:c>
      <x:c r="K19" s="22" t="str">
        <x:v>IF2609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4670</x:v>
      </x:c>
      <x:c r="E20" s="23" t="n">
        <x:v>4682.6</x:v>
      </x:c>
      <x:c r="F20" s="23" t="n">
        <x:v>4644</x:v>
      </x:c>
      <x:c r="G20" s="23" t="n">
        <x:v>4661.4</x:v>
      </x:c>
      <x:c r="H20" s="23" t="n">
        <x:v>13.4</x:v>
      </x:c>
      <x:c r="I20" s="33" t="n">
        <x:v>0.002882960413080893</x:v>
      </x:c>
      <x:c r="J20" s="23" t="n">
        <x:f>ROUND(E20-F20,1)</x:f>
        <x:v>38.6</x:v>
      </x:c>
      <x:c r="K20" s="22" t="str">
        <x:v>IF2609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4623</x:v>
      </x:c>
      <x:c r="E21" s="23" t="n">
        <x:v>4645</x:v>
      </x:c>
      <x:c r="F21" s="23" t="n">
        <x:v>4576</x:v>
      </x:c>
      <x:c r="G21" s="23" t="n">
        <x:v>4578.2</x:v>
      </x:c>
      <x:c r="H21" s="23" t="n">
        <x:v>-83.2</x:v>
      </x:c>
      <x:c r="I21" s="33" t="n">
        <x:v>-0.017848714978332625</x:v>
      </x:c>
      <x:c r="J21" s="23" t="n">
        <x:f>ROUND(E21-F21,1)</x:f>
        <x:v>69</x:v>
      </x:c>
      <x:c r="K21" s="22" t="str">
        <x:v>IF2609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4589.4</x:v>
      </x:c>
      <x:c r="E22" s="23" t="n">
        <x:v>4652.2</x:v>
      </x:c>
      <x:c r="F22" s="23" t="n">
        <x:v>4572.2</x:v>
      </x:c>
      <x:c r="G22" s="23" t="n">
        <x:v>4651.8</x:v>
      </x:c>
      <x:c r="H22" s="23" t="n">
        <x:v>73.6</x:v>
      </x:c>
      <x:c r="I22" s="33" t="n">
        <x:v>0.01607618714778747</x:v>
      </x:c>
      <x:c r="J22" s="23" t="n">
        <x:f>ROUND(E22-F22,1)</x:f>
        <x:v>80</x:v>
      </x:c>
      <x:c r="K22" s="22" t="str">
        <x:v>IF2609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4589</x:v>
      </x:c>
      <x:c r="E23" s="23" t="n">
        <x:v>4594</x:v>
      </x:c>
      <x:c r="F23" s="23" t="n">
        <x:v>4488.2</x:v>
      </x:c>
      <x:c r="G23" s="23" t="n">
        <x:v>4521</x:v>
      </x:c>
      <x:c r="H23" s="23" t="n">
        <x:v>-130.8</x:v>
      </x:c>
      <x:c r="I23" s="33" t="n">
        <x:v>-0.02811814781374955</x:v>
      </x:c>
      <x:c r="J23" s="37" t="n">
        <x:f>ROUND(E23-F23,1)</x:f>
        <x:v>105.8</x:v>
      </x:c>
      <x:c r="K23" s="22" t="str">
        <x:v>IF2609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4529</x:v>
      </x:c>
      <x:c r="E24" s="23" t="n">
        <x:v>4587.6</x:v>
      </x:c>
      <x:c r="F24" s="23" t="n">
        <x:v>4473.6</x:v>
      </x:c>
      <x:c r="G24" s="23" t="n">
        <x:v>4544.8</x:v>
      </x:c>
      <x:c r="H24" s="23" t="n">
        <x:v>23.8</x:v>
      </x:c>
      <x:c r="I24" s="33" t="n">
        <x:v>0.0052643220526431556</x:v>
      </x:c>
      <x:c r="J24" s="37" t="n">
        <x:f>ROUND(E24-F24,1)</x:f>
        <x:v>114</x:v>
      </x:c>
      <x:c r="K24" s="22" t="str">
        <x:v>IF2609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4520</x:v>
      </x:c>
      <x:c r="E25" s="23" t="n">
        <x:v>4555.4</x:v>
      </x:c>
      <x:c r="F25" s="23" t="n">
        <x:v>4420</x:v>
      </x:c>
      <x:c r="G25" s="23" t="n">
        <x:v>4508.2</x:v>
      </x:c>
      <x:c r="H25" s="23" t="n">
        <x:v>-36.6</x:v>
      </x:c>
      <x:c r="I25" s="33" t="n">
        <x:v>-0.008053159654990427</x:v>
      </x:c>
      <x:c r="J25" s="37" t="n">
        <x:f>ROUND(E25-F25,1)</x:f>
        <x:v>135.4</x:v>
      </x:c>
      <x:c r="K25" s="22" t="str">
        <x:v>IF2609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4589.4</x:v>
      </x:c>
      <x:c r="E26" s="23" t="n">
        <x:v>4619.4</x:v>
      </x:c>
      <x:c r="F26" s="23" t="n">
        <x:v>4532.2</x:v>
      </x:c>
      <x:c r="G26" s="23" t="n">
        <x:v>4538</x:v>
      </x:c>
      <x:c r="H26" s="23" t="n">
        <x:v>29.8</x:v>
      </x:c>
      <x:c r="I26" s="33" t="n">
        <x:v>0.0066101770107804825</x:v>
      </x:c>
      <x:c r="J26" s="23" t="n">
        <x:f>ROUND(E26-F26,1)</x:f>
        <x:v>87.2</x:v>
      </x:c>
      <x:c r="K26" s="22" t="str">
        <x:v>IF2609</x:v>
      </x:c>
    </x:row>
    <x:row r="29">
      <x:c r="A29" s="26" t="str">
        <x:v>合计</x:v>
      </x:c>
      <x:c r="B29" s="25" t="n">
        <x:v>23</x:v>
      </x:c>
      <x:c r="C29" s="25"/>
      <x:c r="D29" s="25"/>
      <x:c r="E29" s="25"/>
      <x:c r="F29" s="25"/>
      <x:c r="G29" s="25"/>
      <x:c r="H29" s="25"/>
      <x:c r="I29" s="25"/>
      <x:c r="J29" s="27" t="n">
        <x:f>SUM(J4:J26)</x:f>
        <x:v>2304.4</x:v>
      </x:c>
      <x:c r="K29" s="25"/>
    </x:row>
    <x:row r="30">
      <x:c r="A30" s="26" t="str">
        <x:v>均值</x:v>
      </x:c>
      <x:c r="B30" s="25"/>
      <x:c r="C30" s="25"/>
      <x:c r="D30" s="25"/>
      <x:c r="E30" s="25"/>
      <x:c r="F30" s="25"/>
      <x:c r="G30" s="25"/>
      <x:c r="H30" s="25"/>
      <x:c r="I30" s="25"/>
      <x:c r="J30" s="29" t="n">
        <x:f>ROUND(IFERROR(AVERAGE(J4:J26),0),1)</x:f>
        <x:v>100.2</x:v>
      </x:c>
      <x:c r="K30" s="25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2932</x:v>
      </x:c>
      <x:c r="E4" s="23" t="n">
        <x:v>2976</x:v>
      </x:c>
      <x:c r="F4" s="23" t="n">
        <x:v>2918.2</x:v>
      </x:c>
      <x:c r="G4" s="23" t="n">
        <x:v>2934.6</x:v>
      </x:c>
      <x:c r="H4" s="23" t="n">
        <x:v>-3.4</x:v>
      </x:c>
      <x:c r="I4" s="33" t="n">
        <x:v>-0.0011572498298162426</x:v>
      </x:c>
      <x:c r="J4" s="23" t="n">
        <x:f>ROUND(E4-F4,1)</x:f>
        <x:v>57.8</x:v>
      </x:c>
      <x:c r="K4" s="22" t="str">
        <x:v>IH2609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2923</x:v>
      </x:c>
      <x:c r="E5" s="23" t="n">
        <x:v>2924.8</x:v>
      </x:c>
      <x:c r="F5" s="23" t="n">
        <x:v>2861.8</x:v>
      </x:c>
      <x:c r="G5" s="23" t="n">
        <x:v>2871</x:v>
      </x:c>
      <x:c r="H5" s="23" t="n">
        <x:v>-63.6</x:v>
      </x:c>
      <x:c r="I5" s="33" t="n">
        <x:v>-0.02167245961970965</x:v>
      </x:c>
      <x:c r="J5" s="37" t="n">
        <x:f>ROUND(E5-F5,1)</x:f>
        <x:v>63</x:v>
      </x:c>
      <x:c r="K5" s="22" t="str">
        <x:v>IH2609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2876.6</x:v>
      </x:c>
      <x:c r="E6" s="23" t="n">
        <x:v>2912</x:v>
      </x:c>
      <x:c r="F6" s="23" t="n">
        <x:v>2873.6</x:v>
      </x:c>
      <x:c r="G6" s="23" t="n">
        <x:v>2886.6</x:v>
      </x:c>
      <x:c r="H6" s="23" t="n">
        <x:v>15.6</x:v>
      </x:c>
      <x:c r="I6" s="33" t="n">
        <x:v>0.005433646812957216</x:v>
      </x:c>
      <x:c r="J6" s="23" t="n">
        <x:f>ROUND(E6-F6,1)</x:f>
        <x:v>38.4</x:v>
      </x:c>
      <x:c r="K6" s="22" t="str">
        <x:v>IH2609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2899</x:v>
      </x:c>
      <x:c r="E7" s="23" t="n">
        <x:v>2915</x:v>
      </x:c>
      <x:c r="F7" s="23" t="n">
        <x:v>2877.4</x:v>
      </x:c>
      <x:c r="G7" s="23" t="n">
        <x:v>2905.2</x:v>
      </x:c>
      <x:c r="H7" s="23" t="n">
        <x:v>18.6</x:v>
      </x:c>
      <x:c r="I7" s="33" t="n">
        <x:v>0.00644356682602365</x:v>
      </x:c>
      <x:c r="J7" s="23" t="n">
        <x:f>ROUND(E7-F7,1)</x:f>
        <x:v>37.6</x:v>
      </x:c>
      <x:c r="K7" s="22" t="str">
        <x:v>IH2609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2888</x:v>
      </x:c>
      <x:c r="E8" s="23" t="n">
        <x:v>2908.4</x:v>
      </x:c>
      <x:c r="F8" s="23" t="n">
        <x:v>2862.4</x:v>
      </x:c>
      <x:c r="G8" s="23" t="n">
        <x:v>2870.6</x:v>
      </x:c>
      <x:c r="H8" s="23" t="n">
        <x:v>-34.6</x:v>
      </x:c>
      <x:c r="I8" s="33" t="n">
        <x:v>-0.01190967919592456</x:v>
      </x:c>
      <x:c r="J8" s="23" t="n">
        <x:f>ROUND(E8-F8,1)</x:f>
        <x:v>46</x:v>
      </x:c>
      <x:c r="K8" s="22" t="str">
        <x:v>IH2609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2877.4</x:v>
      </x:c>
      <x:c r="E9" s="23" t="n">
        <x:v>2911</x:v>
      </x:c>
      <x:c r="F9" s="23" t="n">
        <x:v>2866.2</x:v>
      </x:c>
      <x:c r="G9" s="23" t="n">
        <x:v>2868</x:v>
      </x:c>
      <x:c r="H9" s="23" t="n">
        <x:v>-2.6</x:v>
      </x:c>
      <x:c r="I9" s="33" t="n">
        <x:v>-0.0009057339928933983</x:v>
      </x:c>
      <x:c r="J9" s="23" t="n">
        <x:f>ROUND(E9-F9,1)</x:f>
        <x:v>44.8</x:v>
      </x:c>
      <x:c r="K9" s="22" t="str">
        <x:v>IH2609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2875</x:v>
      </x:c>
      <x:c r="E10" s="23" t="n">
        <x:v>2956.2</x:v>
      </x:c>
      <x:c r="F10" s="23" t="n">
        <x:v>2875</x:v>
      </x:c>
      <x:c r="G10" s="23" t="n">
        <x:v>2939.8</x:v>
      </x:c>
      <x:c r="H10" s="23" t="n">
        <x:v>71.8</x:v>
      </x:c>
      <x:c r="I10" s="33" t="n">
        <x:v>0.025034867503486824</x:v>
      </x:c>
      <x:c r="J10" s="37" t="n">
        <x:f>ROUND(E10-F10,1)</x:f>
        <x:v>81.2</x:v>
      </x:c>
      <x:c r="K10" s="22" t="str">
        <x:v>IH2609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2945.2</x:v>
      </x:c>
      <x:c r="E11" s="23" t="n">
        <x:v>2983.8</x:v>
      </x:c>
      <x:c r="F11" s="23" t="n">
        <x:v>2908.2</x:v>
      </x:c>
      <x:c r="G11" s="23" t="n">
        <x:v>2910.2</x:v>
      </x:c>
      <x:c r="H11" s="23" t="n">
        <x:v>-29.6</x:v>
      </x:c>
      <x:c r="I11" s="33" t="n">
        <x:v>-0.010068712157289772</x:v>
      </x:c>
      <x:c r="J11" s="37" t="n">
        <x:f>ROUND(E11-F11,1)</x:f>
        <x:v>75.6</x:v>
      </x:c>
      <x:c r="K11" s="22" t="str">
        <x:v>IH2609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2895.8</x:v>
      </x:c>
      <x:c r="E12" s="23" t="n">
        <x:v>2908.6</x:v>
      </x:c>
      <x:c r="F12" s="23" t="n">
        <x:v>2858</x:v>
      </x:c>
      <x:c r="G12" s="23" t="n">
        <x:v>2872.6</x:v>
      </x:c>
      <x:c r="H12" s="23" t="n">
        <x:v>-37.6</x:v>
      </x:c>
      <x:c r="I12" s="33" t="n">
        <x:v>-0.012920074221702937</x:v>
      </x:c>
      <x:c r="J12" s="23" t="n">
        <x:f>ROUND(E12-F12,1)</x:f>
        <x:v>50.6</x:v>
      </x:c>
      <x:c r="K12" s="22" t="str">
        <x:v>IH2609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2872</x:v>
      </x:c>
      <x:c r="E13" s="23" t="n">
        <x:v>2894</x:v>
      </x:c>
      <x:c r="F13" s="23" t="n">
        <x:v>2831.4</x:v>
      </x:c>
      <x:c r="G13" s="23" t="n">
        <x:v>2891.2</x:v>
      </x:c>
      <x:c r="H13" s="23" t="n">
        <x:v>18.6</x:v>
      </x:c>
      <x:c r="I13" s="33" t="n">
        <x:v>0.006474970410081493</x:v>
      </x:c>
      <x:c r="J13" s="37" t="n">
        <x:f>ROUND(E13-F13,1)</x:f>
        <x:v>62.6</x:v>
      </x:c>
      <x:c r="K13" s="22" t="str">
        <x:v>IH2609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2900</x:v>
      </x:c>
      <x:c r="E14" s="23" t="n">
        <x:v>2924</x:v>
      </x:c>
      <x:c r="F14" s="23" t="n">
        <x:v>2891</x:v>
      </x:c>
      <x:c r="G14" s="23" t="n">
        <x:v>2914</x:v>
      </x:c>
      <x:c r="H14" s="23" t="n">
        <x:v>22.8</x:v>
      </x:c>
      <x:c r="I14" s="33" t="n">
        <x:v>0.007885998893193191</x:v>
      </x:c>
      <x:c r="J14" s="23" t="n">
        <x:f>ROUND(E14-F14,1)</x:f>
        <x:v>33</x:v>
      </x:c>
      <x:c r="K14" s="22" t="str">
        <x:v>IH2609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2889</x:v>
      </x:c>
      <x:c r="E15" s="23" t="n">
        <x:v>2911.8</x:v>
      </x:c>
      <x:c r="F15" s="23" t="n">
        <x:v>2853.4</x:v>
      </x:c>
      <x:c r="G15" s="23" t="n">
        <x:v>2867.8</x:v>
      </x:c>
      <x:c r="H15" s="23" t="n">
        <x:v>-46.2</x:v>
      </x:c>
      <x:c r="I15" s="33" t="n">
        <x:v>-0.015854495538778268</x:v>
      </x:c>
      <x:c r="J15" s="23" t="n">
        <x:f>ROUND(E15-F15,1)</x:f>
        <x:v>58.4</x:v>
      </x:c>
      <x:c r="K15" s="22" t="str">
        <x:v>IH2609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2855</x:v>
      </x:c>
      <x:c r="E16" s="42" t="n">
        <x:v>2864.8</x:v>
      </x:c>
      <x:c r="F16" s="42" t="n">
        <x:v>2782.6</x:v>
      </x:c>
      <x:c r="G16" s="42" t="n">
        <x:v>2796.4</x:v>
      </x:c>
      <x:c r="H16" s="42" t="n">
        <x:v>-71.4</x:v>
      </x:c>
      <x:c r="I16" s="43" t="n">
        <x:v>-0.024897133691331397</x:v>
      </x:c>
      <x:c r="J16" s="37" t="n">
        <x:f>ROUND(E16-F16,1)</x:f>
        <x:v>82.2</x:v>
      </x:c>
      <x:c r="K16" s="41" t="str">
        <x:v>IH2609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2820</x:v>
      </x:c>
      <x:c r="E17" s="23" t="n">
        <x:v>2884.6</x:v>
      </x:c>
      <x:c r="F17" s="23" t="n">
        <x:v>2820</x:v>
      </x:c>
      <x:c r="G17" s="23" t="n">
        <x:v>2874</x:v>
      </x:c>
      <x:c r="H17" s="23" t="n">
        <x:v>77.6</x:v>
      </x:c>
      <x:c r="I17" s="33" t="n">
        <x:v>0.027749964239736746</x:v>
      </x:c>
      <x:c r="J17" s="37" t="n">
        <x:f>ROUND(E17-F17,1)</x:f>
        <x:v>64.6</x:v>
      </x:c>
      <x:c r="K17" s="22" t="str">
        <x:v>IH2609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2896</x:v>
      </x:c>
      <x:c r="E18" s="23" t="n">
        <x:v>2933</x:v>
      </x:c>
      <x:c r="F18" s="23" t="n">
        <x:v>2875.2</x:v>
      </x:c>
      <x:c r="G18" s="23" t="n">
        <x:v>2923.6</x:v>
      </x:c>
      <x:c r="H18" s="23" t="n">
        <x:v>49.6</x:v>
      </x:c>
      <x:c r="I18" s="33" t="n">
        <x:v>0.017258176757132926</x:v>
      </x:c>
      <x:c r="J18" s="23" t="n">
        <x:f>ROUND(E18-F18,1)</x:f>
        <x:v>57.8</x:v>
      </x:c>
      <x:c r="K18" s="22" t="str">
        <x:v>IH2609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2906</x:v>
      </x:c>
      <x:c r="E19" s="23" t="n">
        <x:v>2978</x:v>
      </x:c>
      <x:c r="F19" s="23" t="n">
        <x:v>2906</x:v>
      </x:c>
      <x:c r="G19" s="23" t="n">
        <x:v>2946.2</x:v>
      </x:c>
      <x:c r="H19" s="23" t="n">
        <x:v>22.6</x:v>
      </x:c>
      <x:c r="I19" s="33" t="n">
        <x:v>0.007730195649199523</x:v>
      </x:c>
      <x:c r="J19" s="37" t="n">
        <x:f>ROUND(E19-F19,1)</x:f>
        <x:v>72</x:v>
      </x:c>
      <x:c r="K19" s="22" t="str">
        <x:v>IH2609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2960</x:v>
      </x:c>
      <x:c r="E20" s="23" t="n">
        <x:v>2969.6</x:v>
      </x:c>
      <x:c r="F20" s="23" t="n">
        <x:v>2938.8</x:v>
      </x:c>
      <x:c r="G20" s="23" t="n">
        <x:v>2948.8</x:v>
      </x:c>
      <x:c r="H20" s="23" t="n">
        <x:v>2.6</x:v>
      </x:c>
      <x:c r="I20" s="33" t="n">
        <x:v>0.0008824927024642104</x:v>
      </x:c>
      <x:c r="J20" s="23" t="n">
        <x:f>ROUND(E20-F20,1)</x:f>
        <x:v>30.8</x:v>
      </x:c>
      <x:c r="K20" s="22" t="str">
        <x:v>IH2609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2945.8</x:v>
      </x:c>
      <x:c r="E21" s="23" t="n">
        <x:v>2945.8</x:v>
      </x:c>
      <x:c r="F21" s="23" t="n">
        <x:v>2908.4</x:v>
      </x:c>
      <x:c r="G21" s="23" t="n">
        <x:v>2910</x:v>
      </x:c>
      <x:c r="H21" s="23" t="n">
        <x:v>-38.8</x:v>
      </x:c>
      <x:c r="I21" s="33" t="n">
        <x:v>-0.013157894736842146</x:v>
      </x:c>
      <x:c r="J21" s="23" t="n">
        <x:f>ROUND(E21-F21,1)</x:f>
        <x:v>37.4</x:v>
      </x:c>
      <x:c r="K21" s="22" t="str">
        <x:v>IH2609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2929.6</x:v>
      </x:c>
      <x:c r="E22" s="23" t="n">
        <x:v>2930</x:v>
      </x:c>
      <x:c r="F22" s="23" t="n">
        <x:v>2889.8</x:v>
      </x:c>
      <x:c r="G22" s="23" t="n">
        <x:v>2923</x:v>
      </x:c>
      <x:c r="H22" s="23" t="n">
        <x:v>13</x:v>
      </x:c>
      <x:c r="I22" s="33" t="n">
        <x:v>0.0044673539518900185</x:v>
      </x:c>
      <x:c r="J22" s="23" t="n">
        <x:f>ROUND(E22-F22,1)</x:f>
        <x:v>40.2</x:v>
      </x:c>
      <x:c r="K22" s="22" t="str">
        <x:v>IH2609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2894.6</x:v>
      </x:c>
      <x:c r="E23" s="23" t="n">
        <x:v>2899.4</x:v>
      </x:c>
      <x:c r="F23" s="23" t="n">
        <x:v>2855</x:v>
      </x:c>
      <x:c r="G23" s="23" t="n">
        <x:v>2889.8</x:v>
      </x:c>
      <x:c r="H23" s="23" t="n">
        <x:v>-33.2</x:v>
      </x:c>
      <x:c r="I23" s="33" t="n">
        <x:v>-0.011358193636674563</x:v>
      </x:c>
      <x:c r="J23" s="23" t="n">
        <x:f>ROUND(E23-F23,1)</x:f>
        <x:v>44.4</x:v>
      </x:c>
      <x:c r="K23" s="22" t="str">
        <x:v>IH2609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2896</x:v>
      </x:c>
      <x:c r="E24" s="23" t="n">
        <x:v>2905.4</x:v>
      </x:c>
      <x:c r="F24" s="23" t="n">
        <x:v>2856.6</x:v>
      </x:c>
      <x:c r="G24" s="23" t="n">
        <x:v>2878.6</x:v>
      </x:c>
      <x:c r="H24" s="23" t="n">
        <x:v>-11.2</x:v>
      </x:c>
      <x:c r="I24" s="33" t="n">
        <x:v>-0.0038757007405357813</x:v>
      </x:c>
      <x:c r="J24" s="23" t="n">
        <x:f>ROUND(E24-F24,1)</x:f>
        <x:v>48.8</x:v>
      </x:c>
      <x:c r="K24" s="22" t="str">
        <x:v>IH2609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2871</x:v>
      </x:c>
      <x:c r="E25" s="23" t="n">
        <x:v>2901</x:v>
      </x:c>
      <x:c r="F25" s="23" t="n">
        <x:v>2847.2</x:v>
      </x:c>
      <x:c r="G25" s="23" t="n">
        <x:v>2885.8</x:v>
      </x:c>
      <x:c r="H25" s="23" t="n">
        <x:v>7.2</x:v>
      </x:c>
      <x:c r="I25" s="33" t="n">
        <x:v>0.002501215868825124</x:v>
      </x:c>
      <x:c r="J25" s="23" t="n">
        <x:f>ROUND(E25-F25,1)</x:f>
        <x:v>53.8</x:v>
      </x:c>
      <x:c r="K25" s="22" t="str">
        <x:v>IH2609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2910</x:v>
      </x:c>
      <x:c r="E26" s="23" t="n">
        <x:v>2927</x:v>
      </x:c>
      <x:c r="F26" s="23" t="n">
        <x:v>2886.4</x:v>
      </x:c>
      <x:c r="G26" s="23" t="n">
        <x:v>2891.8</x:v>
      </x:c>
      <x:c r="H26" s="23" t="n">
        <x:v>6</x:v>
      </x:c>
      <x:c r="I26" s="33" t="n">
        <x:v>0.0020791461639753095</x:v>
      </x:c>
      <x:c r="J26" s="23" t="n">
        <x:f>ROUND(E26-F26,1)</x:f>
        <x:v>40.6</x:v>
      </x:c>
      <x:c r="K26" s="22" t="str">
        <x:v>IH2609</x:v>
      </x:c>
    </x:row>
    <x:row r="29">
      <x:c r="A29" s="26" t="str">
        <x:v>合计</x:v>
      </x:c>
      <x:c r="B29" s="25" t="n">
        <x:v>23</x:v>
      </x:c>
      <x:c r="C29" s="25"/>
      <x:c r="D29" s="25"/>
      <x:c r="E29" s="25"/>
      <x:c r="F29" s="25"/>
      <x:c r="G29" s="25"/>
      <x:c r="H29" s="25"/>
      <x:c r="I29" s="25"/>
      <x:c r="J29" s="27" t="n">
        <x:f>SUM(J4:J26)</x:f>
        <x:v>1221.6</x:v>
      </x:c>
      <x:c r="K29" s="25"/>
    </x:row>
    <x:row r="30">
      <x:c r="A30" s="26" t="str">
        <x:v>均值</x:v>
      </x:c>
      <x:c r="B30" s="25"/>
      <x:c r="C30" s="25"/>
      <x:c r="D30" s="25"/>
      <x:c r="E30" s="25"/>
      <x:c r="F30" s="25"/>
      <x:c r="G30" s="25"/>
      <x:c r="H30" s="25"/>
      <x:c r="I30" s="25"/>
      <x:c r="J30" s="29" t="n">
        <x:f>ROUND(IFERROR(AVERAGE(J4:J26),0),1)</x:f>
        <x:v>53.1</x:v>
      </x:c>
      <x:c r="K30" s="25"/>
    </x:row>
  </x:sheetData>
  <x:mergeCells>
    <x:mergeCell ref="A1:K1"/>
  </x:mergeCells>
  <x:pageMargins left="0.7" right="0.7" top="0.75" bottom="0.75" header="0.3" footer="0.3"/>
</x:worksheet>
</file>