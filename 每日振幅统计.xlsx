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0d441cdc7642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155bcf6305e4be8"/>
    <x:sheet xmlns:r="http://schemas.openxmlformats.org/officeDocument/2006/relationships" name="周振幅统计" sheetId="2" r:id="R0265ddd84034425d"/>
    <x:sheet xmlns:r="http://schemas.openxmlformats.org/officeDocument/2006/relationships" name="中证1000" sheetId="3" r:id="Rbc4bc2058aff478a"/>
    <x:sheet xmlns:r="http://schemas.openxmlformats.org/officeDocument/2006/relationships" name="中证500" sheetId="4" r:id="R507f851da1424f62"/>
    <x:sheet xmlns:r="http://schemas.openxmlformats.org/officeDocument/2006/relationships" name="上证指数" sheetId="5" r:id="R59291e888561422c"/>
    <x:sheet xmlns:r="http://schemas.openxmlformats.org/officeDocument/2006/relationships" name="IM主力" sheetId="6" r:id="R35a21b3cceff42a1"/>
    <x:sheet xmlns:r="http://schemas.openxmlformats.org/officeDocument/2006/relationships" name="IC主力" sheetId="7" r:id="Rd6f21753894e4294"/>
    <x:sheet xmlns:r="http://schemas.openxmlformats.org/officeDocument/2006/relationships" name="IF主力" sheetId="8" r:id="Rd6c81c1d78b148ba"/>
    <x:sheet xmlns:r="http://schemas.openxmlformats.org/officeDocument/2006/relationships" name="IH主力" sheetId="9" r:id="Rb5f206676dc840e4"/>
    <x:sheet xmlns:r="http://schemas.openxmlformats.org/officeDocument/2006/relationships" name="碳酸锂2609" sheetId="10" r:id="R95e6ec74dd994b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04409356234dd0" /><Relationship Type="http://schemas.openxmlformats.org/officeDocument/2006/relationships/theme" Target="/xl/theme/theme1.xml" Id="Racb2c87a690b46a8" /><Relationship Type="http://schemas.openxmlformats.org/officeDocument/2006/relationships/sharedStrings" Target="/xl/sharedStrings.xml" Id="R907d9bd6c53948d3" /><Relationship Type="http://schemas.openxmlformats.org/officeDocument/2006/relationships/worksheet" Target="/xl/worksheets/sheet1.xml" Id="R4155bcf6305e4be8" /><Relationship Type="http://schemas.openxmlformats.org/officeDocument/2006/relationships/worksheet" Target="/xl/worksheets/sheet2.xml" Id="R0265ddd84034425d" /><Relationship Type="http://schemas.openxmlformats.org/officeDocument/2006/relationships/worksheet" Target="/xl/worksheets/sheet3.xml" Id="Rbc4bc2058aff478a" /><Relationship Type="http://schemas.openxmlformats.org/officeDocument/2006/relationships/worksheet" Target="/xl/worksheets/sheet4.xml" Id="R507f851da1424f62" /><Relationship Type="http://schemas.openxmlformats.org/officeDocument/2006/relationships/worksheet" Target="/xl/worksheets/sheet5.xml" Id="R59291e888561422c" /><Relationship Type="http://schemas.openxmlformats.org/officeDocument/2006/relationships/worksheet" Target="/xl/worksheets/sheet6.xml" Id="R35a21b3cceff42a1" /><Relationship Type="http://schemas.openxmlformats.org/officeDocument/2006/relationships/worksheet" Target="/xl/worksheets/sheet7.xml" Id="Rd6f21753894e4294" /><Relationship Type="http://schemas.openxmlformats.org/officeDocument/2006/relationships/worksheet" Target="/xl/worksheets/sheet8.xml" Id="Rd6c81c1d78b148ba" /><Relationship Type="http://schemas.openxmlformats.org/officeDocument/2006/relationships/worksheet" Target="/xl/worksheets/sheet9.xml" Id="Rb5f206676dc840e4" /><Relationship Type="http://schemas.openxmlformats.org/officeDocument/2006/relationships/worksheet" Target="/xl/worksheets/sheet10.xml" Id="R95e6ec74dd994b0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2026-09-09</x:v>
      </x:c>
      <x:c r="C4" s="10" t="n">
        <x:v>7715.08</x:v>
      </x:c>
      <x:c r="D4" s="10" t="n">
        <x:v>7602.5</x:v>
      </x:c>
      <x:c r="E4" s="12" t="n">
        <x:v>112.6</x:v>
      </x:c>
      <x:c r="F4" s="9" t="n">
        <x:v>7</x:v>
      </x:c>
      <x:c r="G4" s="10" t="n">
        <x:v>913.7</x:v>
      </x:c>
      <x:c r="H4" s="10" t="n">
        <x:v>130.5</x:v>
      </x:c>
      <x:c r="I4" s="10" t="n">
        <x:v>180</x:v>
      </x:c>
    </x:row>
    <x:row r="5">
      <x:c r="A5" s="9" t="str">
        <x:v>中证500</x:v>
      </x:c>
      <x:c r="B5" s="9" t="str">
        <x:v>2026-09-09</x:v>
      </x:c>
      <x:c r="C5" s="10" t="n">
        <x:v>7816.66</x:v>
      </x:c>
      <x:c r="D5" s="10" t="n">
        <x:v>7723.82</x:v>
      </x:c>
      <x:c r="E5" s="12" t="n">
        <x:v>92.8</x:v>
      </x:c>
      <x:c r="F5" s="9" t="n">
        <x:v>7</x:v>
      </x:c>
      <x:c r="G5" s="10" t="n">
        <x:v>851.9</x:v>
      </x:c>
      <x:c r="H5" s="10" t="n">
        <x:v>121.7</x:v>
      </x:c>
      <x:c r="I5" s="10" t="n">
        <x:v>160</x:v>
      </x:c>
    </x:row>
    <x:row r="6">
      <x:c r="A6" s="9" t="str">
        <x:v>上证指数</x:v>
      </x:c>
      <x:c r="B6" s="9" t="str">
        <x:v>2026-09-09</x:v>
      </x:c>
      <x:c r="C6" s="10" t="n">
        <x:v>3958.12</x:v>
      </x:c>
      <x:c r="D6" s="10" t="n">
        <x:v>3933.47</x:v>
      </x:c>
      <x:c r="E6" s="12" t="n">
        <x:v>24.7</x:v>
      </x:c>
      <x:c r="F6" s="9" t="n">
        <x:v>7</x:v>
      </x:c>
      <x:c r="G6" s="10" t="n">
        <x:v>237.2</x:v>
      </x:c>
      <x:c r="H6" s="10" t="n">
        <x:v>33.9</x:v>
      </x:c>
      <x:c r="I6" s="10" t="n">
        <x:v>50</x:v>
      </x:c>
    </x:row>
    <x:row r="7">
      <x:c r="A7" s="9" t="str">
        <x:v>IM主力</x:v>
      </x:c>
      <x:c r="B7" s="9" t="str">
        <x:v>2026-09-09</x:v>
      </x:c>
      <x:c r="C7" s="10" t="n">
        <x:v>7705</x:v>
      </x:c>
      <x:c r="D7" s="10" t="n">
        <x:v>7575</x:v>
      </x:c>
      <x:c r="E7" s="12" t="n">
        <x:v>130</x:v>
      </x:c>
      <x:c r="F7" s="9" t="n">
        <x:v>7</x:v>
      </x:c>
      <x:c r="G7" s="10" t="n">
        <x:v>1033.2</x:v>
      </x:c>
      <x:c r="H7" s="10" t="n">
        <x:v>147.6</x:v>
      </x:c>
      <x:c r="I7" s="10" t="n">
        <x:v>190</x:v>
      </x:c>
    </x:row>
    <x:row r="8">
      <x:c r="A8" s="9" t="str">
        <x:v>IC主力</x:v>
      </x:c>
      <x:c r="B8" s="9" t="str">
        <x:v>2026-09-08</x:v>
      </x:c>
      <x:c r="C8" s="10" t="n">
        <x:v>7817.2</x:v>
      </x:c>
      <x:c r="D8" s="10" t="n">
        <x:v>7703.2</x:v>
      </x:c>
      <x:c r="E8" s="12" t="n">
        <x:v>114</x:v>
      </x:c>
      <x:c r="F8" s="9" t="n">
        <x:v>6</x:v>
      </x:c>
      <x:c r="G8" s="10" t="n">
        <x:v>919.4</x:v>
      </x:c>
      <x:c r="H8" s="10" t="n">
        <x:v>153.2</x:v>
      </x:c>
      <x:c r="I8" s="10" t="n">
        <x:v>150</x:v>
      </x:c>
    </x:row>
    <x:row r="9">
      <x:c r="A9" s="9" t="str">
        <x:v>IF主力</x:v>
      </x:c>
      <x:c r="B9" s="9" t="str">
        <x:v>2026-09-09</x:v>
      </x:c>
      <x:c r="C9" s="10" t="n">
        <x:v>4574.2</x:v>
      </x:c>
      <x:c r="D9" s="10" t="n">
        <x:v>4535.6</x:v>
      </x:c>
      <x:c r="E9" s="12" t="n">
        <x:v>38.6</x:v>
      </x:c>
      <x:c r="F9" s="9" t="n">
        <x:v>7</x:v>
      </x:c>
      <x:c r="G9" s="10" t="n">
        <x:v>366.2</x:v>
      </x:c>
      <x:c r="H9" s="10" t="n">
        <x:v>52.3</x:v>
      </x:c>
      <x:c r="I9" s="10" t="n">
        <x:v>90</x:v>
      </x:c>
    </x:row>
    <x:row r="10">
      <x:c r="A10" s="9" t="str">
        <x:v>IH主力</x:v>
      </x:c>
      <x:c r="B10" s="9" t="str">
        <x:v>2026-09-09</x:v>
      </x:c>
      <x:c r="C10" s="10" t="n">
        <x:v>2909.8</x:v>
      </x:c>
      <x:c r="D10" s="10" t="n">
        <x:v>2887.6</x:v>
      </x:c>
      <x:c r="E10" s="12" t="n">
        <x:v>22.2</x:v>
      </x:c>
      <x:c r="F10" s="9" t="n">
        <x:v>7</x:v>
      </x:c>
      <x:c r="G10" s="10" t="n">
        <x:v>220.4</x:v>
      </x:c>
      <x:c r="H10" s="10" t="n">
        <x:v>31.5</x:v>
      </x:c>
      <x:c r="I10" s="10" t="n">
        <x:v>60</x:v>
      </x:c>
    </x:row>
    <x:row r="11">
      <x:c r="A11" s="9" t="str">
        <x:v>碳酸锂2609</x:v>
      </x:c>
      <x:c r="B11" s="9" t="str">
        <x:v>2026-09-08</x:v>
      </x:c>
      <x:c r="C11" s="10" t="n">
        <x:v>143200</x:v>
      </x:c>
      <x:c r="D11" s="10" t="n">
        <x:v>141320</x:v>
      </x:c>
      <x:c r="E11" s="12" t="n">
        <x:v>1880</x:v>
      </x:c>
      <x:c r="F11" s="9" t="n">
        <x:v>6</x:v>
      </x:c>
      <x:c r="G11" s="10" t="n">
        <x:v>31020</x:v>
      </x:c>
      <x:c r="H11" s="10" t="n">
        <x:v>5170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9月7日-9月9日</x:v>
      </x:c>
      <x:c r="C6" s="23" t="n">
        <x:v>7551.02</x:v>
      </x:c>
      <x:c r="D6" s="23" t="n">
        <x:v>7724.94</x:v>
      </x:c>
      <x:c r="E6" s="23" t="n">
        <x:v>7541.14</x:v>
      </x:c>
      <x:c r="F6" s="23" t="n">
        <x:v>7648.8</x:v>
      </x:c>
      <x:c r="G6" s="23" t="n">
        <x:f>ROUND(F6-F5,1)</x:f>
        <x:v>140.7</x:v>
      </x:c>
      <x:c r="H6" s="24" t="n">
        <x:f>IFERROR(F6/F5-1,"")</x:f>
        <x:v>0.018741117914143235</x:v>
      </x:c>
      <x:c r="I6" s="26" t="n">
        <x:f>ROUND(D6-E6,1)</x:f>
        <x:v>183.8</x:v>
      </x:c>
      <x:c r="J6" s="22" t="str">
        <x:v>中证1000</x:v>
      </x:c>
      <x:c r="K6" s="22" t="n">
        <x:v>3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491.9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246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9月7日-9月9日</x:v>
      </x:c>
      <x:c r="C13" s="23" t="n">
        <x:v>7687.47</x:v>
      </x:c>
      <x:c r="D13" s="23" t="n">
        <x:v>7830.16</x:v>
      </x:c>
      <x:c r="E13" s="23" t="n">
        <x:v>7672.99</x:v>
      </x:c>
      <x:c r="F13" s="23" t="n">
        <x:v>7768.11</x:v>
      </x:c>
      <x:c r="G13" s="23" t="n">
        <x:f>ROUND(F13-F12,1)</x:f>
        <x:v>115.4</x:v>
      </x:c>
      <x:c r="H13" s="24" t="n">
        <x:f>IFERROR(F13/F12-1,"")</x:f>
        <x:v>0.01508227825771069</x:v>
      </x:c>
      <x:c r="I13" s="23" t="n">
        <x:f>ROUND(D13-E13,1)</x:f>
        <x:v>157.2</x:v>
      </x:c>
      <x:c r="J13" s="22" t="str">
        <x:v>中证500</x:v>
      </x:c>
      <x:c r="K13" s="22" t="n">
        <x:v>3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502.2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251.1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9月7日-9月9日</x:v>
      </x:c>
      <x:c r="C20" s="23" t="n">
        <x:v>3942.51</x:v>
      </x:c>
      <x:c r="D20" s="23" t="n">
        <x:v>3958.12</x:v>
      </x:c>
      <x:c r="E20" s="23" t="n">
        <x:v>3916.49</x:v>
      </x:c>
      <x:c r="F20" s="23" t="n">
        <x:v>3951.51</x:v>
      </x:c>
      <x:c r="G20" s="23" t="n">
        <x:f>ROUND(F20-F19,1)</x:f>
        <x:v>21.4</x:v>
      </x:c>
      <x:c r="H20" s="24" t="n">
        <x:f>IFERROR(F20/F19-1,"")</x:f>
        <x:v>0.005442581905896082</x:v>
      </x:c>
      <x:c r="I20" s="23" t="n">
        <x:f>ROUND(D20-E20,1)</x:f>
        <x:v>41.6</x:v>
      </x:c>
      <x:c r="J20" s="22" t="str">
        <x:v>上证指数</x:v>
      </x:c>
      <x:c r="K20" s="22" t="n">
        <x:v>3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121.6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60.8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9月7日-9月9日</x:v>
      </x:c>
      <x:c r="C27" s="23" t="n">
        <x:v>7527.2</x:v>
      </x:c>
      <x:c r="D27" s="23" t="n">
        <x:v>7714.6</x:v>
      </x:c>
      <x:c r="E27" s="23" t="n">
        <x:v>7512.6</x:v>
      </x:c>
      <x:c r="F27" s="23" t="n">
        <x:v>7618.6</x:v>
      </x:c>
      <x:c r="G27" s="34" t="n">
        <x:f>ROUND(F27-F26,1)</x:f>
        <x:v>150.4</x:v>
      </x:c>
      <x:c r="H27" s="24" t="n">
        <x:f>IFERROR(F27/F26-1,"")</x:f>
        <x:v>0.020138721512546587</x:v>
      </x:c>
      <x:c r="I27" s="26" t="n">
        <x:f>ROUND(D27-E27,1)</x:f>
        <x:v>202</x:v>
      </x:c>
      <x:c r="J27" s="22" t="str">
        <x:v>IM2609</x:v>
      </x:c>
      <x:c r="K27" s="22" t="n">
        <x:v>3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491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245.5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9月7日-9月8日</x:v>
      </x:c>
      <x:c r="C34" s="23" t="n">
        <x:v>7665.6</x:v>
      </x:c>
      <x:c r="D34" s="23" t="n">
        <x:v>7817.2</x:v>
      </x:c>
      <x:c r="E34" s="23" t="n">
        <x:v>7651.2</x:v>
      </x:c>
      <x:c r="F34" s="23" t="n">
        <x:v>7743.4</x:v>
      </x:c>
      <x:c r="G34" s="23" t="n">
        <x:f>ROUND(F34-F33,1)</x:f>
        <x:v>135.4</x:v>
      </x:c>
      <x:c r="H34" s="24" t="n">
        <x:f>IFERROR(F34/F33-1,"")</x:f>
        <x:v>0.017797055730809586</x:v>
      </x:c>
      <x:c r="I34" s="26" t="n">
        <x:f>ROUND(D34-E34,1)</x:f>
        <x:v>166</x:v>
      </x:c>
      <x:c r="J34" s="22" t="str">
        <x:v>IC2609</x:v>
      </x:c>
      <x:c r="K34" s="22" t="n">
        <x:v>2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501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250.5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9月7日-9月9日</x:v>
      </x:c>
      <x:c r="C41" s="23" t="n">
        <x:v>4562</x:v>
      </x:c>
      <x:c r="D41" s="23" t="n">
        <x:v>4584</x:v>
      </x:c>
      <x:c r="E41" s="23" t="n">
        <x:v>4532.8</x:v>
      </x:c>
      <x:c r="F41" s="23" t="n">
        <x:v>4560</x:v>
      </x:c>
      <x:c r="G41" s="23" t="n">
        <x:f>ROUND(F41-F40,1)</x:f>
        <x:v>22.6</x:v>
      </x:c>
      <x:c r="H41" s="24" t="n">
        <x:f>IFERROR(F41/F40-1,"")</x:f>
        <x:v>0.00498082602371408</x:v>
      </x:c>
      <x:c r="I41" s="23" t="n">
        <x:f>ROUND(D41-E41,1)</x:f>
        <x:v>51.2</x:v>
      </x:c>
      <x:c r="J41" s="22" t="str">
        <x:v>IF2609</x:v>
      </x:c>
      <x:c r="K41" s="22" t="n">
        <x:v>3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171.4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85.7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9月7日-9月9日</x:v>
      </x:c>
      <x:c r="C48" s="23" t="n">
        <x:v>2923.2</x:v>
      </x:c>
      <x:c r="D48" s="23" t="n">
        <x:v>2931.4</x:v>
      </x:c>
      <x:c r="E48" s="23" t="n">
        <x:v>2887.6</x:v>
      </x:c>
      <x:c r="F48" s="23" t="n">
        <x:v>2901.2</x:v>
      </x:c>
      <x:c r="G48" s="23" t="n">
        <x:f>ROUND(F48-F47,1)</x:f>
        <x:v>-14.6</x:v>
      </x:c>
      <x:c r="H48" s="24" t="n">
        <x:f>IFERROR(F48/F47-1,"")</x:f>
        <x:v>-0.0050072021400645594</x:v>
      </x:c>
      <x:c r="I48" s="23" t="n">
        <x:f>ROUND(D48-E48,1)</x:f>
        <x:v>43.8</x:v>
      </x:c>
      <x:c r="J48" s="22" t="str">
        <x:v>IH2609</x:v>
      </x:c>
      <x:c r="K48" s="22" t="n">
        <x:v>3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111.8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55.9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9月7日-9月8日</x:v>
      </x:c>
      <x:c r="C55" s="23" t="n">
        <x:v>142120</x:v>
      </x:c>
      <x:c r="D55" s="23" t="n">
        <x:v>143200</x:v>
      </x:c>
      <x:c r="E55" s="23" t="n">
        <x:v>139880</x:v>
      </x:c>
      <x:c r="F55" s="23" t="n">
        <x:v>141320</x:v>
      </x:c>
      <x:c r="G55" s="34" t="n">
        <x:f>ROUND(F55-F54,1)</x:f>
        <x:v>340</x:v>
      </x:c>
      <x:c r="H55" s="24" t="n">
        <x:f>IFERROR(F55/F54-1,"")</x:f>
        <x:v>0.002411689601361955</x:v>
      </x:c>
      <x:c r="I55" s="23" t="n">
        <x:f>ROUND(D55-E55,1)</x:f>
        <x:v>3320</x:v>
      </x:c>
      <x:c r="J55" s="22" t="str">
        <x:v>LC2609</x:v>
      </x:c>
      <x:c r="K55" s="22" t="n">
        <x:v>2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22860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11430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913.6999999999999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130.5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851.9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121.7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237.2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33.9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1033.2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147.6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919.4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153.2</x:v>
      </x:c>
      <x:c r="K13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366.2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52.3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3">
      <x:c r="A13" s="29" t="str">
        <x:v>合计</x:v>
      </x:c>
      <x:c r="B13" s="28" t="n">
        <x:v>7</x:v>
      </x:c>
      <x:c r="C13" s="28"/>
      <x:c r="D13" s="28"/>
      <x:c r="E13" s="28"/>
      <x:c r="F13" s="28"/>
      <x:c r="G13" s="28"/>
      <x:c r="H13" s="28"/>
      <x:c r="I13" s="28"/>
      <x:c r="J13" s="30" t="n">
        <x:f>SUM(J4:J10)</x:f>
        <x:v>220.4</x:v>
      </x:c>
      <x:c r="K13" s="28"/>
    </x:row>
    <x:row r="14">
      <x:c r="A14" s="29" t="str">
        <x:v>均值</x:v>
      </x:c>
      <x:c r="B14" s="28"/>
      <x:c r="C14" s="28"/>
      <x:c r="D14" s="28"/>
      <x:c r="E14" s="28"/>
      <x:c r="F14" s="28"/>
      <x:c r="G14" s="28"/>
      <x:c r="H14" s="28"/>
      <x:c r="I14" s="28"/>
      <x:c r="J14" s="32" t="n">
        <x:f>ROUND(IFERROR(AVERAGE(J4:J10),0),1)</x:f>
        <x:v>31.5</x:v>
      </x:c>
      <x:c r="K14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2">
      <x:c r="A12" s="29" t="str">
        <x:v>合计</x:v>
      </x:c>
      <x:c r="B12" s="28" t="n">
        <x:v>6</x:v>
      </x:c>
      <x:c r="C12" s="28"/>
      <x:c r="D12" s="28"/>
      <x:c r="E12" s="28"/>
      <x:c r="F12" s="28"/>
      <x:c r="G12" s="28"/>
      <x:c r="H12" s="28"/>
      <x:c r="I12" s="28"/>
      <x:c r="J12" s="30" t="n">
        <x:f>SUM(J4:J9)</x:f>
        <x:v>31020</x:v>
      </x:c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28"/>
      <x:c r="J13" s="32" t="n">
        <x:f>ROUND(IFERROR(AVERAGE(J4:J9),0),1)</x:f>
        <x:v>5170</x:v>
      </x:c>
      <x:c r="K13" s="28"/>
    </x:row>
  </x:sheetData>
  <x:mergeCells>
    <x:mergeCell ref="A1:K1"/>
  </x:mergeCells>
  <x:pageMargins left="0.7" right="0.7" top="0.75" bottom="0.75" header="0.3" footer="0.3"/>
</x:worksheet>
</file>