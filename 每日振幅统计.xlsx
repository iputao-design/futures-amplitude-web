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d33cd59f0242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a7552cfc5e30495e"/>
    <x:sheet xmlns:r="http://schemas.openxmlformats.org/officeDocument/2006/relationships" name="周振幅统计" sheetId="2" r:id="R04568498b09d40d0"/>
    <x:sheet xmlns:r="http://schemas.openxmlformats.org/officeDocument/2006/relationships" name="中证1000" sheetId="3" r:id="Ra753228ef1ae454b"/>
    <x:sheet xmlns:r="http://schemas.openxmlformats.org/officeDocument/2006/relationships" name="中证500" sheetId="4" r:id="Rfdf532450bc14cfa"/>
    <x:sheet xmlns:r="http://schemas.openxmlformats.org/officeDocument/2006/relationships" name="上证指数" sheetId="5" r:id="Rbcddd9b08c9a4c77"/>
    <x:sheet xmlns:r="http://schemas.openxmlformats.org/officeDocument/2006/relationships" name="IM主力" sheetId="6" r:id="R850c298251934675"/>
    <x:sheet xmlns:r="http://schemas.openxmlformats.org/officeDocument/2006/relationships" name="IC主力" sheetId="7" r:id="Re6bc2b2754c54f2e"/>
    <x:sheet xmlns:r="http://schemas.openxmlformats.org/officeDocument/2006/relationships" name="IF主力" sheetId="8" r:id="Ra7f1b2b6d72d4d6c"/>
    <x:sheet xmlns:r="http://schemas.openxmlformats.org/officeDocument/2006/relationships" name="IH主力" sheetId="9" r:id="R512cdf205b3f4fd4"/>
    <x:sheet xmlns:r="http://schemas.openxmlformats.org/officeDocument/2006/relationships" name="碳酸锂2609" sheetId="10" r:id="Rf1fdb065f5bc4b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8e78819d8f4aed" /><Relationship Type="http://schemas.openxmlformats.org/officeDocument/2006/relationships/theme" Target="/xl/theme/theme1.xml" Id="R54c6f92ace12426a" /><Relationship Type="http://schemas.openxmlformats.org/officeDocument/2006/relationships/sharedStrings" Target="/xl/sharedStrings.xml" Id="Ra82fdbd0b1724ad9" /><Relationship Type="http://schemas.openxmlformats.org/officeDocument/2006/relationships/worksheet" Target="/xl/worksheets/sheet1.xml" Id="Ra7552cfc5e30495e" /><Relationship Type="http://schemas.openxmlformats.org/officeDocument/2006/relationships/worksheet" Target="/xl/worksheets/sheet2.xml" Id="R04568498b09d40d0" /><Relationship Type="http://schemas.openxmlformats.org/officeDocument/2006/relationships/worksheet" Target="/xl/worksheets/sheet3.xml" Id="Ra753228ef1ae454b" /><Relationship Type="http://schemas.openxmlformats.org/officeDocument/2006/relationships/worksheet" Target="/xl/worksheets/sheet4.xml" Id="Rfdf532450bc14cfa" /><Relationship Type="http://schemas.openxmlformats.org/officeDocument/2006/relationships/worksheet" Target="/xl/worksheets/sheet5.xml" Id="Rbcddd9b08c9a4c77" /><Relationship Type="http://schemas.openxmlformats.org/officeDocument/2006/relationships/worksheet" Target="/xl/worksheets/sheet6.xml" Id="R850c298251934675" /><Relationship Type="http://schemas.openxmlformats.org/officeDocument/2006/relationships/worksheet" Target="/xl/worksheets/sheet7.xml" Id="Re6bc2b2754c54f2e" /><Relationship Type="http://schemas.openxmlformats.org/officeDocument/2006/relationships/worksheet" Target="/xl/worksheets/sheet8.xml" Id="Ra7f1b2b6d72d4d6c" /><Relationship Type="http://schemas.openxmlformats.org/officeDocument/2006/relationships/worksheet" Target="/xl/worksheets/sheet9.xml" Id="R512cdf205b3f4fd4" /><Relationship Type="http://schemas.openxmlformats.org/officeDocument/2006/relationships/worksheet" Target="/xl/worksheets/sheet10.xml" Id="Rf1fdb065f5bc4b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2026-09-14</x:v>
      </x:c>
      <x:c r="C4" s="10" t="n">
        <x:v>7501.14</x:v>
      </x:c>
      <x:c r="D4" s="10" t="n">
        <x:v>7329.6</x:v>
      </x:c>
      <x:c r="E4" s="12" t="n">
        <x:v>171.5</x:v>
      </x:c>
      <x:c r="F4" s="9" t="n">
        <x:v>10</x:v>
      </x:c>
      <x:c r="G4" s="10" t="n">
        <x:v>1384.1</x:v>
      </x:c>
      <x:c r="H4" s="10" t="n">
        <x:v>138.4</x:v>
      </x:c>
      <x:c r="I4" s="10" t="n">
        <x:v>180</x:v>
      </x:c>
    </x:row>
    <x:row r="5">
      <x:c r="A5" s="9" t="str">
        <x:v>中证500</x:v>
      </x:c>
      <x:c r="B5" s="9" t="str">
        <x:v>2026-09-14</x:v>
      </x:c>
      <x:c r="C5" s="10" t="n">
        <x:v>7610.03</x:v>
      </x:c>
      <x:c r="D5" s="10" t="n">
        <x:v>7487.46</x:v>
      </x:c>
      <x:c r="E5" s="12" t="n">
        <x:v>122.6</x:v>
      </x:c>
      <x:c r="F5" s="9" t="n">
        <x:v>10</x:v>
      </x:c>
      <x:c r="G5" s="10" t="n">
        <x:v>1231.8</x:v>
      </x:c>
      <x:c r="H5" s="10" t="n">
        <x:v>123.2</x:v>
      </x:c>
      <x:c r="I5" s="10" t="n">
        <x:v>160</x:v>
      </x:c>
    </x:row>
    <x:row r="6">
      <x:c r="A6" s="9" t="str">
        <x:v>上证指数</x:v>
      </x:c>
      <x:c r="B6" s="9" t="str">
        <x:v>2026-09-14</x:v>
      </x:c>
      <x:c r="C6" s="10" t="n">
        <x:v>3895.51</x:v>
      </x:c>
      <x:c r="D6" s="10" t="n">
        <x:v>3867.02</x:v>
      </x:c>
      <x:c r="E6" s="12" t="n">
        <x:v>28.5</x:v>
      </x:c>
      <x:c r="F6" s="9" t="n">
        <x:v>10</x:v>
      </x:c>
      <x:c r="G6" s="10" t="n">
        <x:v>347.9</x:v>
      </x:c>
      <x:c r="H6" s="10" t="n">
        <x:v>34.8</x:v>
      </x:c>
      <x:c r="I6" s="10" t="n">
        <x:v>50</x:v>
      </x:c>
    </x:row>
    <x:row r="7">
      <x:c r="A7" s="9" t="str">
        <x:v>IM主力</x:v>
      </x:c>
      <x:c r="B7" s="9" t="str">
        <x:v>2026-09-14</x:v>
      </x:c>
      <x:c r="C7" s="10" t="n">
        <x:v>7483</x:v>
      </x:c>
      <x:c r="D7" s="10" t="n">
        <x:v>7283.4</x:v>
      </x:c>
      <x:c r="E7" s="12" t="n">
        <x:v>199.6</x:v>
      </x:c>
      <x:c r="F7" s="9" t="n">
        <x:v>10</x:v>
      </x:c>
      <x:c r="G7" s="10" t="n">
        <x:v>1556</x:v>
      </x:c>
      <x:c r="H7" s="10" t="n">
        <x:v>155.6</x:v>
      </x:c>
      <x:c r="I7" s="10" t="n">
        <x:v>190</x:v>
      </x:c>
    </x:row>
    <x:row r="8">
      <x:c r="A8" s="9" t="str">
        <x:v>IC主力</x:v>
      </x:c>
      <x:c r="B8" s="9" t="str">
        <x:v>2026-09-11</x:v>
      </x:c>
      <x:c r="C8" s="10" t="n">
        <x:v>7626</x:v>
      </x:c>
      <x:c r="D8" s="10" t="n">
        <x:v>7418.8</x:v>
      </x:c>
      <x:c r="E8" s="12" t="n">
        <x:v>207.2</x:v>
      </x:c>
      <x:c r="F8" s="9" t="n">
        <x:v>9</x:v>
      </x:c>
      <x:c r="G8" s="10" t="n">
        <x:v>1326.8</x:v>
      </x:c>
      <x:c r="H8" s="10" t="n">
        <x:v>147.4</x:v>
      </x:c>
      <x:c r="I8" s="10" t="n">
        <x:v>150</x:v>
      </x:c>
    </x:row>
    <x:row r="9">
      <x:c r="A9" s="9" t="str">
        <x:v>IF主力</x:v>
      </x:c>
      <x:c r="B9" s="9" t="str">
        <x:v>2026-09-14</x:v>
      </x:c>
      <x:c r="C9" s="10" t="n">
        <x:v>4500.6</x:v>
      </x:c>
      <x:c r="D9" s="10" t="n">
        <x:v>4458</x:v>
      </x:c>
      <x:c r="E9" s="12" t="n">
        <x:v>42.6</x:v>
      </x:c>
      <x:c r="F9" s="9" t="n">
        <x:v>10</x:v>
      </x:c>
      <x:c r="G9" s="10" t="n">
        <x:v>519.4</x:v>
      </x:c>
      <x:c r="H9" s="10" t="n">
        <x:v>51.9</x:v>
      </x:c>
      <x:c r="I9" s="10" t="n">
        <x:v>90</x:v>
      </x:c>
    </x:row>
    <x:row r="10">
      <x:c r="A10" s="9" t="str">
        <x:v>IH主力</x:v>
      </x:c>
      <x:c r="B10" s="9" t="str">
        <x:v>2026-09-14</x:v>
      </x:c>
      <x:c r="C10" s="10" t="n">
        <x:v>2864.6</x:v>
      </x:c>
      <x:c r="D10" s="10" t="n">
        <x:v>2843.8</x:v>
      </x:c>
      <x:c r="E10" s="12" t="n">
        <x:v>20.8</x:v>
      </x:c>
      <x:c r="F10" s="9" t="n">
        <x:v>10</x:v>
      </x:c>
      <x:c r="G10" s="10" t="n">
        <x:v>310.2</x:v>
      </x:c>
      <x:c r="H10" s="10" t="n">
        <x:v>31</x:v>
      </x:c>
      <x:c r="I10" s="10" t="n">
        <x:v>60</x:v>
      </x:c>
    </x:row>
    <x:row r="11">
      <x:c r="A11" s="9" t="str">
        <x:v>碳酸锂2609</x:v>
      </x:c>
      <x:c r="B11" s="9" t="str">
        <x:v>2026-09-11</x:v>
      </x:c>
      <x:c r="C11" s="10" t="n">
        <x:v>135500</x:v>
      </x:c>
      <x:c r="D11" s="10" t="n">
        <x:v>131900</x:v>
      </x:c>
      <x:c r="E11" s="12" t="n">
        <x:v>3600</x:v>
      </x:c>
      <x:c r="F11" s="9" t="n">
        <x:v>9</x:v>
      </x:c>
      <x:c r="G11" s="10" t="n">
        <x:v>41200</x:v>
      </x:c>
      <x:c r="H11" s="10" t="n">
        <x:v>4577.8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2026-09-14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</x:v>
      </x:c>
      <x:c r="C7" s="23" t="n">
        <x:v>7363.42</x:v>
      </x:c>
      <x:c r="D7" s="23" t="n">
        <x:v>7501.14</x:v>
      </x:c>
      <x:c r="E7" s="23" t="n">
        <x:v>7329.6</x:v>
      </x:c>
      <x:c r="F7" s="23" t="n">
        <x:v>7468.3</x:v>
      </x:c>
      <x:c r="G7" s="23" t="n">
        <x:f>ROUND(F7-F6,1)</x:f>
        <x:v>41.1</x:v>
      </x:c>
      <x:c r="H7" s="24" t="n">
        <x:f>IFERROR(F7/F6-1,"")</x:f>
        <x:v>0.005528298533506337</x:v>
      </x:c>
      <x:c r="I7" s="23" t="n">
        <x:f>ROUND(D7-E7,1)</x:f>
        <x:v>171.5</x:v>
      </x:c>
      <x:c r="J7" s="22" t="str">
        <x:v>中证1000</x:v>
      </x:c>
      <x:c r="K7" s="22" t="n">
        <x:v>1</x:v>
      </x:c>
    </x:row>
    <x:row r="8">
      <x:c r="A8" s="29" t="str">
        <x:v>合计</x:v>
      </x:c>
      <x:c r="B8" s="28" t="n">
        <x:v>3</x:v>
      </x:c>
      <x:c r="C8" s="28"/>
      <x:c r="D8" s="28"/>
      <x:c r="E8" s="28"/>
      <x:c r="F8" s="28"/>
      <x:c r="G8" s="28"/>
      <x:c r="H8" s="28"/>
      <x:c r="I8" s="30" t="n">
        <x:f>ROUND(SUM(I5:I7),1)</x:f>
        <x:v>920</x:v>
      </x:c>
      <x:c r="J8" s="28"/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32" t="n">
        <x:f>ROUND(IFERROR(AVERAGE(I5:I7),0),1)</x:f>
        <x:v>306.7</x:v>
      </x:c>
      <x:c r="J9" s="28"/>
      <x:c r="K9" s="28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9月1日-9月4日</x:v>
      </x:c>
      <x:c r="C13" s="23" t="n">
        <x:v>7944.29</x:v>
      </x:c>
      <x:c r="D13" s="23" t="n">
        <x:v>7955.57</x:v>
      </x:c>
      <x:c r="E13" s="23" t="n">
        <x:v>7610.58</x:v>
      </x:c>
      <x:c r="F13" s="23" t="n">
        <x:v>7652.69</x:v>
      </x:c>
      <x:c r="G13" s="23"/>
      <x:c r="H13" s="24"/>
      <x:c r="I13" s="26" t="n">
        <x:f>ROUND(D13-E13,1)</x:f>
        <x:v>345</x:v>
      </x:c>
      <x:c r="J13" s="22" t="str">
        <x:v>中证500</x:v>
      </x:c>
      <x:c r="K13" s="22" t="n">
        <x:v>4</x:v>
      </x:c>
    </x:row>
    <x:row r="14">
      <x:c r="A14" s="22" t="n">
        <x:v>2</x:v>
      </x:c>
      <x:c r="B14" s="22" t="str">
        <x:v>9月7日-9月11日</x:v>
      </x:c>
      <x:c r="C14" s="23" t="n">
        <x:v>7687.47</x:v>
      </x:c>
      <x:c r="D14" s="23" t="n">
        <x:v>7830.16</x:v>
      </x:c>
      <x:c r="E14" s="23" t="n">
        <x:v>7451.12</x:v>
      </x:c>
      <x:c r="F14" s="23" t="n">
        <x:v>7580.54</x:v>
      </x:c>
      <x:c r="G14" s="23" t="n">
        <x:f>ROUND(F14-F13,1)</x:f>
        <x:v>-72.1</x:v>
      </x:c>
      <x:c r="H14" s="24" t="n">
        <x:f>IFERROR(F14/F13-1,"")</x:f>
        <x:v>-0.009428057323633832</x:v>
      </x:c>
      <x:c r="I14" s="26" t="n">
        <x:f>ROUND(D14-E14,1)</x:f>
        <x:v>379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9月14日</x:v>
      </x:c>
      <x:c r="C15" s="23" t="n">
        <x:v>7511.04</x:v>
      </x:c>
      <x:c r="D15" s="23" t="n">
        <x:v>7610.03</x:v>
      </x:c>
      <x:c r="E15" s="23" t="n">
        <x:v>7487.46</x:v>
      </x:c>
      <x:c r="F15" s="23" t="n">
        <x:v>7571.2</x:v>
      </x:c>
      <x:c r="G15" s="23" t="n">
        <x:f>ROUND(F15-F14,1)</x:f>
        <x:v>-9.3</x:v>
      </x:c>
      <x:c r="H15" s="24" t="n">
        <x:f>IFERROR(F15/F14-1,"")</x:f>
        <x:v>-0.0012321021985240987</x:v>
      </x:c>
      <x:c r="I15" s="23" t="n">
        <x:f>ROUND(D15-E15,1)</x:f>
        <x:v>122.6</x:v>
      </x:c>
      <x:c r="J15" s="22" t="str">
        <x:v>中证500</x:v>
      </x:c>
      <x:c r="K15" s="22" t="n">
        <x:v>1</x:v>
      </x:c>
    </x:row>
    <x:row r="16">
      <x:c r="A16" s="29" t="str">
        <x:v>合计</x:v>
      </x:c>
      <x:c r="B16" s="28" t="n">
        <x:v>3</x:v>
      </x:c>
      <x:c r="C16" s="28"/>
      <x:c r="D16" s="28"/>
      <x:c r="E16" s="28"/>
      <x:c r="F16" s="28"/>
      <x:c r="G16" s="28"/>
      <x:c r="H16" s="28"/>
      <x:c r="I16" s="30" t="n">
        <x:f>ROUND(SUM(I13:I15),1)</x:f>
        <x:v>846.6</x:v>
      </x:c>
      <x:c r="J16" s="28"/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32" t="n">
        <x:f>ROUND(IFERROR(AVERAGE(I13:I15),0),1)</x:f>
        <x:v>282.2</x:v>
      </x:c>
      <x:c r="J17" s="28"/>
      <x:c r="K17" s="28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9月1日-9月4日</x:v>
      </x:c>
      <x:c r="C21" s="23" t="n">
        <x:v>3979.88</x:v>
      </x:c>
      <x:c r="D21" s="23" t="n">
        <x:v>3995.18</x:v>
      </x:c>
      <x:c r="E21" s="23" t="n">
        <x:v>3915.22</x:v>
      </x:c>
      <x:c r="F21" s="23" t="n">
        <x:v>3930.12</x:v>
      </x:c>
      <x:c r="G21" s="23"/>
      <x:c r="H21" s="24"/>
      <x:c r="I21" s="26" t="n">
        <x:f>ROUND(D21-E21,1)</x:f>
        <x:v>80</x:v>
      </x:c>
      <x:c r="J21" s="22" t="str">
        <x:v>上证指数</x:v>
      </x:c>
      <x:c r="K21" s="22" t="n">
        <x:v>4</x:v>
      </x:c>
    </x:row>
    <x:row r="22">
      <x:c r="A22" s="22" t="n">
        <x:v>2</x:v>
      </x:c>
      <x:c r="B22" s="22" t="str">
        <x:v>9月7日-9月11日</x:v>
      </x:c>
      <x:c r="C22" s="23" t="n">
        <x:v>3942.51</x:v>
      </x:c>
      <x:c r="D22" s="23" t="n">
        <x:v>3958.12</x:v>
      </x:c>
      <x:c r="E22" s="23" t="n">
        <x:v>3852.03</x:v>
      </x:c>
      <x:c r="F22" s="23" t="n">
        <x:v>3888.11</x:v>
      </x:c>
      <x:c r="G22" s="23" t="n">
        <x:f>ROUND(F22-F21,1)</x:f>
        <x:v>-42</x:v>
      </x:c>
      <x:c r="H22" s="24" t="n">
        <x:f>IFERROR(F22/F21-1,"")</x:f>
        <x:v>-0.010689241040986008</x:v>
      </x:c>
      <x:c r="I22" s="26" t="n">
        <x:f>ROUND(D22-E22,1)</x:f>
        <x:v>106.1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9月14日</x:v>
      </x:c>
      <x:c r="C23" s="23" t="n">
        <x:v>3867.02</x:v>
      </x:c>
      <x:c r="D23" s="23" t="n">
        <x:v>3895.51</x:v>
      </x:c>
      <x:c r="E23" s="23" t="n">
        <x:v>3867.02</x:v>
      </x:c>
      <x:c r="F23" s="23" t="n">
        <x:v>3885.33</x:v>
      </x:c>
      <x:c r="G23" s="23" t="n">
        <x:f>ROUND(F23-F22,1)</x:f>
        <x:v>-2.8</x:v>
      </x:c>
      <x:c r="H23" s="24" t="n">
        <x:f>IFERROR(F23/F22-1,"")</x:f>
        <x:v>-0.0007150003472125022</x:v>
      </x:c>
      <x:c r="I23" s="23" t="n">
        <x:f>ROUND(D23-E23,1)</x:f>
        <x:v>28.5</x:v>
      </x:c>
      <x:c r="J23" s="22" t="str">
        <x:v>上证指数</x:v>
      </x:c>
      <x:c r="K23" s="22" t="n">
        <x:v>1</x:v>
      </x:c>
    </x:row>
    <x:row r="24">
      <x:c r="A24" s="29" t="str">
        <x:v>合计</x:v>
      </x:c>
      <x:c r="B24" s="28" t="n">
        <x:v>3</x:v>
      </x:c>
      <x:c r="C24" s="28"/>
      <x:c r="D24" s="28"/>
      <x:c r="E24" s="28"/>
      <x:c r="F24" s="28"/>
      <x:c r="G24" s="28"/>
      <x:c r="H24" s="28"/>
      <x:c r="I24" s="30" t="n">
        <x:f>ROUND(SUM(I21:I23),1)</x:f>
        <x:v>214.6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ROUND(IFERROR(AVERAGE(I21:I23),0),1)</x:f>
        <x:v>71.5</x:v>
      </x:c>
      <x:c r="J25" s="28"/>
      <x:c r="K25" s="28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9月1日-9月4日</x:v>
      </x:c>
      <x:c r="C29" s="23" t="n">
        <x:v>7713.4</x:v>
      </x:c>
      <x:c r="D29" s="23" t="n">
        <x:v>7721</x:v>
      </x:c>
      <x:c r="E29" s="23" t="n">
        <x:v>7432</x:v>
      </x:c>
      <x:c r="F29" s="23" t="n">
        <x:v>7468.2</x:v>
      </x:c>
      <x:c r="G29" s="23"/>
      <x:c r="H29" s="24"/>
      <x:c r="I29" s="26" t="n">
        <x:f>ROUND(D29-E29,1)</x:f>
        <x:v>289</x:v>
      </x:c>
      <x:c r="J29" s="22" t="str">
        <x:v>IM2609</x:v>
      </x:c>
      <x:c r="K29" s="22" t="n">
        <x:v>4</x:v>
      </x:c>
    </x:row>
    <x:row r="30">
      <x:c r="A30" s="22" t="n">
        <x:v>2</x:v>
      </x:c>
      <x:c r="B30" s="22" t="str">
        <x:v>9月7日-9月11日</x:v>
      </x:c>
      <x:c r="C30" s="23" t="n">
        <x:v>7527.2</x:v>
      </x:c>
      <x:c r="D30" s="23" t="n">
        <x:v>7714.6</x:v>
      </x:c>
      <x:c r="E30" s="23" t="n">
        <x:v>7259.4</x:v>
      </x:c>
      <x:c r="F30" s="23" t="n">
        <x:v>7415.2</x:v>
      </x:c>
      <x:c r="G30" s="23" t="n">
        <x:f>ROUND(F30-F29,1)</x:f>
        <x:v>-53</x:v>
      </x:c>
      <x:c r="H30" s="24" t="n">
        <x:f>IFERROR(F30/F29-1,"")</x:f>
        <x:v>-0.007096756915990432</x:v>
      </x:c>
      <x:c r="I30" s="26" t="n">
        <x:f>ROUND(D30-E30,1)</x:f>
        <x:v>455.2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9月14日</x:v>
      </x:c>
      <x:c r="C31" s="23" t="n">
        <x:v>7312</x:v>
      </x:c>
      <x:c r="D31" s="23" t="n">
        <x:v>7483</x:v>
      </x:c>
      <x:c r="E31" s="23" t="n">
        <x:v>7283.4</x:v>
      </x:c>
      <x:c r="F31" s="23" t="n">
        <x:v>7470</x:v>
      </x:c>
      <x:c r="G31" s="23" t="n">
        <x:f>ROUND(F31-F30,1)</x:f>
        <x:v>54.8</x:v>
      </x:c>
      <x:c r="H31" s="24" t="n">
        <x:f>IFERROR(F31/F30-1,"")</x:f>
        <x:v>0.007390225482792223</x:v>
      </x:c>
      <x:c r="I31" s="26" t="n">
        <x:f>ROUND(D31-E31,1)</x:f>
        <x:v>199.6</x:v>
      </x:c>
      <x:c r="J31" s="22" t="str">
        <x:v>IM2609</x:v>
      </x:c>
      <x:c r="K31" s="22" t="n">
        <x:v>1</x:v>
      </x:c>
    </x:row>
    <x:row r="32">
      <x:c r="A32" s="29" t="str">
        <x:v>合计</x:v>
      </x:c>
      <x:c r="B32" s="28" t="n">
        <x:v>3</x:v>
      </x:c>
      <x:c r="C32" s="28"/>
      <x:c r="D32" s="28"/>
      <x:c r="E32" s="28"/>
      <x:c r="F32" s="28"/>
      <x:c r="G32" s="28"/>
      <x:c r="H32" s="28"/>
      <x:c r="I32" s="30" t="n">
        <x:f>ROUND(SUM(I29:I31),1)</x:f>
        <x:v>943.8</x:v>
      </x:c>
      <x:c r="J32" s="28"/>
      <x:c r="K32" s="28"/>
    </x:row>
    <x:row r="33">
      <x:c r="A33" s="29" t="str">
        <x:v>均值</x:v>
      </x:c>
      <x:c r="B33" s="28"/>
      <x:c r="C33" s="28"/>
      <x:c r="D33" s="28"/>
      <x:c r="E33" s="28"/>
      <x:c r="F33" s="28"/>
      <x:c r="G33" s="28"/>
      <x:c r="H33" s="28"/>
      <x:c r="I33" s="32" t="n">
        <x:f>ROUND(IFERROR(AVERAGE(I29:I31),0),1)</x:f>
        <x:v>314.6</x:v>
      </x:c>
      <x:c r="J33" s="28"/>
      <x:c r="K33" s="28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9月1日-9月4日</x:v>
      </x:c>
      <x:c r="C37" s="23" t="n">
        <x:v>7880.8</x:v>
      </x:c>
      <x:c r="D37" s="23" t="n">
        <x:v>7903</x:v>
      </x:c>
      <x:c r="E37" s="23" t="n">
        <x:v>7568</x:v>
      </x:c>
      <x:c r="F37" s="23" t="n">
        <x:v>7608</x:v>
      </x:c>
      <x:c r="G37" s="23"/>
      <x:c r="H37" s="24"/>
      <x:c r="I37" s="26" t="n">
        <x:f>ROUND(D37-E37,1)</x:f>
        <x:v>335</x:v>
      </x:c>
      <x:c r="J37" s="22" t="str">
        <x:v>IC2609</x:v>
      </x:c>
      <x:c r="K37" s="22" t="n">
        <x:v>4</x:v>
      </x:c>
    </x:row>
    <x:row r="38">
      <x:c r="A38" s="22" t="n">
        <x:v>2</x:v>
      </x:c>
      <x:c r="B38" s="22" t="str">
        <x:v>9月7日-9月11日</x:v>
      </x:c>
      <x:c r="C38" s="23" t="n">
        <x:v>7665.6</x:v>
      </x:c>
      <x:c r="D38" s="23" t="n">
        <x:v>7817.2</x:v>
      </x:c>
      <x:c r="E38" s="23" t="n">
        <x:v>7418.8</x:v>
      </x:c>
      <x:c r="F38" s="23" t="n">
        <x:v>7569</x:v>
      </x:c>
      <x:c r="G38" s="23" t="n">
        <x:f>ROUND(F38-F37,1)</x:f>
        <x:v>-39</x:v>
      </x:c>
      <x:c r="H38" s="24" t="n">
        <x:f>IFERROR(F38/F37-1,"")</x:f>
        <x:v>-0.005126182965299653</x:v>
      </x:c>
      <x:c r="I38" s="26" t="n">
        <x:f>ROUND(D38-E38,1)</x:f>
        <x:v>398.4</x:v>
      </x:c>
      <x:c r="J38" s="22" t="str">
        <x:v>IC2609</x:v>
      </x:c>
      <x:c r="K38" s="22" t="n">
        <x:v>5</x:v>
      </x:c>
    </x:row>
    <x:row r="39">
      <x:c r="A39" s="29" t="str">
        <x:v>合计</x:v>
      </x:c>
      <x:c r="B39" s="28" t="n">
        <x:v>2</x:v>
      </x:c>
      <x:c r="C39" s="28"/>
      <x:c r="D39" s="28"/>
      <x:c r="E39" s="28"/>
      <x:c r="F39" s="28"/>
      <x:c r="G39" s="28"/>
      <x:c r="H39" s="28"/>
      <x:c r="I39" s="30" t="n">
        <x:f>ROUND(SUM(I37:I38),1)</x:f>
        <x:v>733.4</x:v>
      </x:c>
      <x:c r="J39" s="28"/>
      <x:c r="K39" s="28"/>
    </x:row>
    <x:row r="40">
      <x:c r="A40" s="29" t="str">
        <x:v>均值</x:v>
      </x:c>
      <x:c r="B40" s="28"/>
      <x:c r="C40" s="28"/>
      <x:c r="D40" s="28"/>
      <x:c r="E40" s="28"/>
      <x:c r="F40" s="28"/>
      <x:c r="G40" s="28"/>
      <x:c r="H40" s="28"/>
      <x:c r="I40" s="32" t="n">
        <x:f>ROUND(IFERROR(AVERAGE(I37:I38),0),1)</x:f>
        <x:v>366.7</x:v>
      </x:c>
      <x:c r="J40" s="28"/>
      <x:c r="K40" s="28"/>
    </x:row>
    <x:row r="42">
      <x:c r="A42" s="17" t="str">
        <x:v>IF主力</x:v>
      </x:c>
      <x:c r="B42" s="17"/>
      <x:c r="C42" s="17"/>
      <x:c r="D42" s="17"/>
      <x:c r="E42" s="17"/>
      <x:c r="F42" s="17"/>
      <x:c r="G42" s="17"/>
      <x:c r="H42" s="17"/>
      <x:c r="I42" s="17"/>
      <x:c r="J42" s="17"/>
      <x:c r="K42" s="17"/>
    </x:row>
    <x:row r="43">
      <x:c r="A43" s="20" t="str">
        <x:v>序号</x:v>
      </x:c>
      <x:c r="B43" s="20" t="str">
        <x:v>周期</x:v>
      </x:c>
      <x:c r="C43" s="20" t="str">
        <x:v>开盘</x:v>
      </x:c>
      <x:c r="D43" s="20" t="str">
        <x:v>高点</x:v>
      </x:c>
      <x:c r="E43" s="20" t="str">
        <x:v>低点</x:v>
      </x:c>
      <x:c r="F43" s="20" t="str">
        <x:v>收盘</x:v>
      </x:c>
      <x:c r="G43" s="20" t="str">
        <x:v>涨跌点数</x:v>
      </x:c>
      <x:c r="H43" s="20" t="str">
        <x:v>涨幅</x:v>
      </x:c>
      <x:c r="I43" s="20" t="str">
        <x:v>振幅</x:v>
      </x:c>
      <x:c r="J43" s="20" t="str">
        <x:v>标的</x:v>
      </x:c>
      <x:c r="K43" s="20" t="str">
        <x:v>交易日</x:v>
      </x:c>
    </x:row>
    <x:row r="44">
      <x:c r="A44" s="22" t="n">
        <x:v>1</x:v>
      </x:c>
      <x:c r="B44" s="22" t="str">
        <x:v>9月1日-9月4日</x:v>
      </x:c>
      <x:c r="C44" s="23" t="n">
        <x:v>4602</x:v>
      </x:c>
      <x:c r="D44" s="23" t="n">
        <x:v>4617.8</x:v>
      </x:c>
      <x:c r="E44" s="23" t="n">
        <x:v>4497.6</x:v>
      </x:c>
      <x:c r="F44" s="23" t="n">
        <x:v>4537.4</x:v>
      </x:c>
      <x:c r="G44" s="23"/>
      <x:c r="H44" s="24"/>
      <x:c r="I44" s="26" t="n">
        <x:f>ROUND(D44-E44,1)</x:f>
        <x:v>120.2</x:v>
      </x:c>
      <x:c r="J44" s="22" t="str">
        <x:v>IF2609</x:v>
      </x:c>
      <x:c r="K44" s="22" t="n">
        <x:v>4</x:v>
      </x:c>
    </x:row>
    <x:row r="45">
      <x:c r="A45" s="22" t="n">
        <x:v>2</x:v>
      </x:c>
      <x:c r="B45" s="22" t="str">
        <x:v>9月7日-9月11日</x:v>
      </x:c>
      <x:c r="C45" s="23" t="n">
        <x:v>4562</x:v>
      </x:c>
      <x:c r="D45" s="23" t="n">
        <x:v>4584</x:v>
      </x:c>
      <x:c r="E45" s="23" t="n">
        <x:v>4451.6</x:v>
      </x:c>
      <x:c r="F45" s="23" t="n">
        <x:v>4503.4</x:v>
      </x:c>
      <x:c r="G45" s="23" t="n">
        <x:f>ROUND(F45-F44,1)</x:f>
        <x:v>-34</x:v>
      </x:c>
      <x:c r="H45" s="24" t="n">
        <x:f>IFERROR(F45/F44-1,"")</x:f>
        <x:v>-0.007493278088773314</x:v>
      </x:c>
      <x:c r="I45" s="26" t="n">
        <x:f>ROUND(D45-E45,1)</x:f>
        <x:v>132.4</x:v>
      </x:c>
      <x:c r="J45" s="22" t="str">
        <x:v>IF2609</x:v>
      </x:c>
      <x:c r="K45" s="22" t="n">
        <x:v>5</x:v>
      </x:c>
    </x:row>
    <x:row r="46">
      <x:c r="A46" s="22" t="n">
        <x:v>3</x:v>
      </x:c>
      <x:c r="B46" s="22" t="str">
        <x:v>9月14日</x:v>
      </x:c>
      <x:c r="C46" s="23" t="n">
        <x:v>4468</x:v>
      </x:c>
      <x:c r="D46" s="23" t="n">
        <x:v>4500.6</x:v>
      </x:c>
      <x:c r="E46" s="23" t="n">
        <x:v>4458</x:v>
      </x:c>
      <x:c r="F46" s="23" t="n">
        <x:v>4480.2</x:v>
      </x:c>
      <x:c r="G46" s="23" t="n">
        <x:f>ROUND(F46-F45,1)</x:f>
        <x:v>-23.2</x:v>
      </x:c>
      <x:c r="H46" s="24" t="n">
        <x:f>IFERROR(F46/F45-1,"")</x:f>
        <x:v>-0.005151663187813571</x:v>
      </x:c>
      <x:c r="I46" s="23" t="n">
        <x:f>ROUND(D46-E46,1)</x:f>
        <x:v>42.6</x:v>
      </x:c>
      <x:c r="J46" s="22" t="str">
        <x:v>IF2609</x:v>
      </x:c>
      <x:c r="K46" s="22" t="n">
        <x:v>1</x:v>
      </x:c>
    </x:row>
    <x:row r="47">
      <x:c r="A47" s="29" t="str">
        <x:v>合计</x:v>
      </x:c>
      <x:c r="B47" s="28" t="n">
        <x:v>3</x:v>
      </x:c>
      <x:c r="C47" s="28"/>
      <x:c r="D47" s="28"/>
      <x:c r="E47" s="28"/>
      <x:c r="F47" s="28"/>
      <x:c r="G47" s="28"/>
      <x:c r="H47" s="28"/>
      <x:c r="I47" s="30" t="n">
        <x:f>ROUND(SUM(I44:I46),1)</x:f>
        <x:v>295.2</x:v>
      </x:c>
      <x:c r="J47" s="28"/>
      <x:c r="K47" s="28"/>
    </x:row>
    <x:row r="48">
      <x:c r="A48" s="29" t="str">
        <x:v>均值</x:v>
      </x:c>
      <x:c r="B48" s="28"/>
      <x:c r="C48" s="28"/>
      <x:c r="D48" s="28"/>
      <x:c r="E48" s="28"/>
      <x:c r="F48" s="28"/>
      <x:c r="G48" s="28"/>
      <x:c r="H48" s="28"/>
      <x:c r="I48" s="32" t="n">
        <x:f>ROUND(IFERROR(AVERAGE(I44:I46),0),1)</x:f>
        <x:v>98.4</x:v>
      </x:c>
      <x:c r="J48" s="28"/>
      <x:c r="K48" s="28"/>
    </x:row>
    <x:row r="50">
      <x:c r="A50" s="17" t="str">
        <x:v>IH主力</x:v>
      </x:c>
      <x:c r="B50" s="17"/>
      <x:c r="C50" s="17"/>
      <x:c r="D50" s="17"/>
      <x:c r="E50" s="17"/>
      <x:c r="F50" s="17"/>
      <x:c r="G50" s="17"/>
      <x:c r="H50" s="17"/>
      <x:c r="I50" s="17"/>
      <x:c r="J50" s="17"/>
      <x:c r="K50" s="17"/>
    </x:row>
    <x:row r="51">
      <x:c r="A51" s="20" t="str">
        <x:v>序号</x:v>
      </x:c>
      <x:c r="B51" s="20" t="str">
        <x:v>周期</x:v>
      </x:c>
      <x:c r="C51" s="20" t="str">
        <x:v>开盘</x:v>
      </x:c>
      <x:c r="D51" s="20" t="str">
        <x:v>高点</x:v>
      </x:c>
      <x:c r="E51" s="20" t="str">
        <x:v>低点</x:v>
      </x:c>
      <x:c r="F51" s="20" t="str">
        <x:v>收盘</x:v>
      </x:c>
      <x:c r="G51" s="20" t="str">
        <x:v>涨跌点数</x:v>
      </x:c>
      <x:c r="H51" s="20" t="str">
        <x:v>涨幅</x:v>
      </x:c>
      <x:c r="I51" s="20" t="str">
        <x:v>振幅</x:v>
      </x:c>
      <x:c r="J51" s="20" t="str">
        <x:v>标的</x:v>
      </x:c>
      <x:c r="K51" s="20" t="str">
        <x:v>交易日</x:v>
      </x:c>
    </x:row>
    <x:row r="52">
      <x:c r="A52" s="22" t="n">
        <x:v>1</x:v>
      </x:c>
      <x:c r="B52" s="22" t="str">
        <x:v>9月1日-9月4日</x:v>
      </x:c>
      <x:c r="C52" s="23" t="n">
        <x:v>2913</x:v>
      </x:c>
      <x:c r="D52" s="23" t="n">
        <x:v>2949.4</x:v>
      </x:c>
      <x:c r="E52" s="23" t="n">
        <x:v>2881.4</x:v>
      </x:c>
      <x:c r="F52" s="23" t="n">
        <x:v>2915.8</x:v>
      </x:c>
      <x:c r="G52" s="23"/>
      <x:c r="H52" s="24"/>
      <x:c r="I52" s="26" t="n">
        <x:f>ROUND(D52-E52,1)</x:f>
        <x:v>68</x:v>
      </x:c>
      <x:c r="J52" s="22" t="str">
        <x:v>IH2609</x:v>
      </x:c>
      <x:c r="K52" s="22" t="n">
        <x:v>4</x:v>
      </x:c>
    </x:row>
    <x:row r="53">
      <x:c r="A53" s="22" t="n">
        <x:v>2</x:v>
      </x:c>
      <x:c r="B53" s="22" t="str">
        <x:v>9月7日-9月11日</x:v>
      </x:c>
      <x:c r="C53" s="23" t="n">
        <x:v>2923.2</x:v>
      </x:c>
      <x:c r="D53" s="23" t="n">
        <x:v>2931.4</x:v>
      </x:c>
      <x:c r="E53" s="23" t="n">
        <x:v>2836.8</x:v>
      </x:c>
      <x:c r="F53" s="23" t="n">
        <x:v>2867</x:v>
      </x:c>
      <x:c r="G53" s="23" t="n">
        <x:f>ROUND(F53-F52,1)</x:f>
        <x:v>-48.8</x:v>
      </x:c>
      <x:c r="H53" s="24" t="n">
        <x:f>IFERROR(F53/F52-1,"")</x:f>
        <x:v>-0.01673640167364021</x:v>
      </x:c>
      <x:c r="I53" s="26" t="n">
        <x:f>ROUND(D53-E53,1)</x:f>
        <x:v>94.6</x:v>
      </x:c>
      <x:c r="J53" s="22" t="str">
        <x:v>IH2609</x:v>
      </x:c>
      <x:c r="K53" s="22" t="n">
        <x:v>5</x:v>
      </x:c>
    </x:row>
    <x:row r="54">
      <x:c r="A54" s="22" t="n">
        <x:v>3</x:v>
      </x:c>
      <x:c r="B54" s="22" t="str">
        <x:v>9月14日</x:v>
      </x:c>
      <x:c r="C54" s="23" t="n">
        <x:v>2849.2</x:v>
      </x:c>
      <x:c r="D54" s="23" t="n">
        <x:v>2864.6</x:v>
      </x:c>
      <x:c r="E54" s="23" t="n">
        <x:v>2843.8</x:v>
      </x:c>
      <x:c r="F54" s="23" t="n">
        <x:v>2860.4</x:v>
      </x:c>
      <x:c r="G54" s="23" t="n">
        <x:f>ROUND(F54-F53,1)</x:f>
        <x:v>-6.6</x:v>
      </x:c>
      <x:c r="H54" s="24" t="n">
        <x:f>IFERROR(F54/F53-1,"")</x:f>
        <x:v>-0.002302057900244181</x:v>
      </x:c>
      <x:c r="I54" s="23" t="n">
        <x:f>ROUND(D54-E54,1)</x:f>
        <x:v>20.8</x:v>
      </x:c>
      <x:c r="J54" s="22" t="str">
        <x:v>IH2609</x:v>
      </x:c>
      <x:c r="K54" s="22" t="n">
        <x:v>1</x:v>
      </x:c>
    </x:row>
    <x:row r="55">
      <x:c r="A55" s="29" t="str">
        <x:v>合计</x:v>
      </x:c>
      <x:c r="B55" s="28" t="n">
        <x:v>3</x:v>
      </x:c>
      <x:c r="C55" s="28"/>
      <x:c r="D55" s="28"/>
      <x:c r="E55" s="28"/>
      <x:c r="F55" s="28"/>
      <x:c r="G55" s="28"/>
      <x:c r="H55" s="28"/>
      <x:c r="I55" s="30" t="n">
        <x:f>ROUND(SUM(I52:I54),1)</x:f>
        <x:v>183.4</x:v>
      </x:c>
      <x:c r="J55" s="28"/>
      <x:c r="K55" s="28"/>
    </x:row>
    <x:row r="56">
      <x:c r="A56" s="29" t="str">
        <x:v>均值</x:v>
      </x:c>
      <x:c r="B56" s="28"/>
      <x:c r="C56" s="28"/>
      <x:c r="D56" s="28"/>
      <x:c r="E56" s="28"/>
      <x:c r="F56" s="28"/>
      <x:c r="G56" s="28"/>
      <x:c r="H56" s="28"/>
      <x:c r="I56" s="32" t="n">
        <x:f>ROUND(IFERROR(AVERAGE(I52:I54),0),1)</x:f>
        <x:v>61.1</x:v>
      </x:c>
      <x:c r="J56" s="28"/>
      <x:c r="K56" s="28"/>
    </x:row>
    <x:row r="58">
      <x:c r="A58" s="17" t="str">
        <x:v>碳酸锂2609</x:v>
      </x:c>
      <x:c r="B58" s="17"/>
      <x:c r="C58" s="17"/>
      <x:c r="D58" s="17"/>
      <x:c r="E58" s="17"/>
      <x:c r="F58" s="17"/>
      <x:c r="G58" s="17"/>
      <x:c r="H58" s="17"/>
      <x:c r="I58" s="17"/>
      <x:c r="J58" s="17"/>
      <x:c r="K58" s="17"/>
    </x:row>
    <x:row r="59">
      <x:c r="A59" s="20" t="str">
        <x:v>序号</x:v>
      </x:c>
      <x:c r="B59" s="20" t="str">
        <x:v>周期</x:v>
      </x:c>
      <x:c r="C59" s="20" t="str">
        <x:v>开盘</x:v>
      </x:c>
      <x:c r="D59" s="20" t="str">
        <x:v>高点</x:v>
      </x:c>
      <x:c r="E59" s="20" t="str">
        <x:v>低点</x:v>
      </x:c>
      <x:c r="F59" s="20" t="str">
        <x:v>收盘</x:v>
      </x:c>
      <x:c r="G59" s="20" t="str">
        <x:v>涨跌点数</x:v>
      </x:c>
      <x:c r="H59" s="20" t="str">
        <x:v>涨幅</x:v>
      </x:c>
      <x:c r="I59" s="20" t="str">
        <x:v>振幅</x:v>
      </x:c>
      <x:c r="J59" s="20" t="str">
        <x:v>标的</x:v>
      </x:c>
      <x:c r="K59" s="20" t="str">
        <x:v>交易日</x:v>
      </x:c>
    </x:row>
    <x:row r="60">
      <x:c r="A60" s="22" t="n">
        <x:v>1</x:v>
      </x:c>
      <x:c r="B60" s="22" t="str">
        <x:v>9月1日-9月4日</x:v>
      </x:c>
      <x:c r="C60" s="23" t="n">
        <x:v>159000</x:v>
      </x:c>
      <x:c r="D60" s="23" t="n">
        <x:v>160480</x:v>
      </x:c>
      <x:c r="E60" s="23" t="n">
        <x:v>140940</x:v>
      </x:c>
      <x:c r="F60" s="23" t="n">
        <x:v>140980</x:v>
      </x:c>
      <x:c r="G60" s="23"/>
      <x:c r="H60" s="24"/>
      <x:c r="I60" s="26" t="n">
        <x:f>ROUND(D60-E60,1)</x:f>
        <x:v>19540</x:v>
      </x:c>
      <x:c r="J60" s="22" t="str">
        <x:v>LC2609</x:v>
      </x:c>
      <x:c r="K60" s="22" t="n">
        <x:v>4</x:v>
      </x:c>
    </x:row>
    <x:row r="61">
      <x:c r="A61" s="22" t="n">
        <x:v>2</x:v>
      </x:c>
      <x:c r="B61" s="22" t="str">
        <x:v>9月7日-9月11日</x:v>
      </x:c>
      <x:c r="C61" s="23" t="n">
        <x:v>142120</x:v>
      </x:c>
      <x:c r="D61" s="23" t="n">
        <x:v>143200</x:v>
      </x:c>
      <x:c r="E61" s="23" t="n">
        <x:v>131900</x:v>
      </x:c>
      <x:c r="F61" s="23" t="n">
        <x:v>135500</x:v>
      </x:c>
      <x:c r="G61" s="34" t="n">
        <x:f>ROUND(F61-F60,1)</x:f>
        <x:v>-5480</x:v>
      </x:c>
      <x:c r="H61" s="24" t="n">
        <x:f>IFERROR(F61/F60-1,"")</x:f>
        <x:v>-0.038870761810185894</x:v>
      </x:c>
      <x:c r="I61" s="26" t="n">
        <x:f>ROUND(D61-E61,1)</x:f>
        <x:v>11300</x:v>
      </x:c>
      <x:c r="J61" s="22" t="str">
        <x:v>LC2609</x:v>
      </x:c>
      <x:c r="K61" s="22" t="n">
        <x:v>5</x:v>
      </x:c>
    </x:row>
    <x:row r="62">
      <x:c r="A62" s="29" t="str">
        <x:v>合计</x:v>
      </x:c>
      <x:c r="B62" s="28" t="n">
        <x:v>2</x:v>
      </x:c>
      <x:c r="C62" s="28"/>
      <x:c r="D62" s="28"/>
      <x:c r="E62" s="28"/>
      <x:c r="F62" s="28"/>
      <x:c r="G62" s="28"/>
      <x:c r="H62" s="28"/>
      <x:c r="I62" s="30" t="n">
        <x:f>ROUND(SUM(I60:I61),1)</x:f>
        <x:v>30840</x:v>
      </x:c>
      <x:c r="J62" s="28"/>
      <x:c r="K62" s="28"/>
    </x:row>
    <x:row r="63">
      <x:c r="A63" s="29" t="str">
        <x:v>均值</x:v>
      </x:c>
      <x:c r="B63" s="28"/>
      <x:c r="C63" s="28"/>
      <x:c r="D63" s="28"/>
      <x:c r="E63" s="28"/>
      <x:c r="F63" s="28"/>
      <x:c r="G63" s="28"/>
      <x:c r="H63" s="28"/>
      <x:c r="I63" s="32" t="n">
        <x:f>ROUND(IFERROR(AVERAGE(I60:I61),0),1)</x:f>
        <x:v>15420</x:v>
      </x:c>
      <x:c r="J63" s="28"/>
      <x:c r="K63" s="28"/>
    </x:row>
  </x:sheetData>
  <x:mergeCells>
    <x:mergeCell ref="A1:K1"/>
    <x:mergeCell ref="A3:K3"/>
    <x:mergeCell ref="A11:K11"/>
    <x:mergeCell ref="A19:K19"/>
    <x:mergeCell ref="A27:K27"/>
    <x:mergeCell ref="A35:K35"/>
    <x:mergeCell ref="A42:K42"/>
    <x:mergeCell ref="A50:K50"/>
    <x:mergeCell ref="A58:K5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34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1384.1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138.4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1231.7999999999997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123.2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347.9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34.8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34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1556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155.6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1326.8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147.4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519.4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51.9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6">
      <x:c r="A16" s="29" t="str">
        <x:v>合计</x:v>
      </x:c>
      <x:c r="B16" s="28" t="n">
        <x:v>10</x:v>
      </x:c>
      <x:c r="C16" s="28"/>
      <x:c r="D16" s="28"/>
      <x:c r="E16" s="28"/>
      <x:c r="F16" s="28"/>
      <x:c r="G16" s="28"/>
      <x:c r="H16" s="28"/>
      <x:c r="I16" s="28"/>
      <x:c r="J16" s="30" t="n">
        <x:f>SUM(J4:J13)</x:f>
        <x:v>310.2</x:v>
      </x:c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28"/>
      <x:c r="J17" s="32" t="n">
        <x:f>ROUND(IFERROR(AVERAGE(J4:J13),0),1)</x:f>
        <x:v>31</x:v>
      </x:c>
      <x:c r="K17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4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4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34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34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142120</x:v>
      </x:c>
      <x:c r="E8" s="23" t="n">
        <x:v>142800</x:v>
      </x:c>
      <x:c r="F8" s="23" t="n">
        <x:v>139880</x:v>
      </x:c>
      <x:c r="G8" s="23" t="n">
        <x:v>140500</x:v>
      </x:c>
      <x:c r="H8" s="34" t="n">
        <x:v>-480</x:v>
      </x:c>
      <x:c r="I8" s="24" t="n">
        <x:v>-0.003404738260746165</x:v>
      </x:c>
      <x:c r="J8" s="23" t="n">
        <x:f>ROUND(E8-F8,1)</x:f>
        <x:v>2920</x:v>
      </x:c>
      <x:c r="K8" s="22" t="str">
        <x:v>LC2609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143200</x:v>
      </x:c>
      <x:c r="E9" s="23" t="n">
        <x:v>143200</x:v>
      </x:c>
      <x:c r="F9" s="23" t="n">
        <x:v>141320</x:v>
      </x:c>
      <x:c r="G9" s="23" t="n">
        <x:v>141320</x:v>
      </x:c>
      <x:c r="H9" s="34" t="n">
        <x:v>820</x:v>
      </x:c>
      <x:c r="I9" s="24" t="n">
        <x:v>0.005836298932384354</x:v>
      </x:c>
      <x:c r="J9" s="23" t="n">
        <x:f>ROUND(E9-F9,1)</x:f>
        <x:v>1880</x:v>
      </x:c>
      <x:c r="K9" s="22" t="str">
        <x:v>LC2609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140000</x:v>
      </x:c>
      <x:c r="E10" s="23" t="n">
        <x:v>142880</x:v>
      </x:c>
      <x:c r="F10" s="23" t="n">
        <x:v>139800</x:v>
      </x:c>
      <x:c r="G10" s="23" t="n">
        <x:v>141260</x:v>
      </x:c>
      <x:c r="H10" s="23" t="n">
        <x:v>-60</x:v>
      </x:c>
      <x:c r="I10" s="24" t="n">
        <x:v>-0.0004245683555051949</x:v>
      </x:c>
      <x:c r="J10" s="23" t="n">
        <x:f>ROUND(E10-F10,1)</x:f>
        <x:v>3080</x:v>
      </x:c>
      <x:c r="K10" s="22" t="str">
        <x:v>LC2609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141220</x:v>
      </x:c>
      <x:c r="E11" s="23" t="n">
        <x:v>142500</x:v>
      </x:c>
      <x:c r="F11" s="23" t="n">
        <x:v>139000</x:v>
      </x:c>
      <x:c r="G11" s="23" t="n">
        <x:v>140520</x:v>
      </x:c>
      <x:c r="H11" s="34" t="n">
        <x:v>-740</x:v>
      </x:c>
      <x:c r="I11" s="24" t="n">
        <x:v>-0.005238567181084508</x:v>
      </x:c>
      <x:c r="J11" s="23" t="n">
        <x:f>ROUND(E11-F11,1)</x:f>
        <x:v>3500</x:v>
      </x:c>
      <x:c r="K11" s="22" t="str">
        <x:v>LC2609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134480</x:v>
      </x:c>
      <x:c r="E12" s="23" t="n">
        <x:v>135500</x:v>
      </x:c>
      <x:c r="F12" s="23" t="n">
        <x:v>131900</x:v>
      </x:c>
      <x:c r="G12" s="23" t="n">
        <x:v>135500</x:v>
      </x:c>
      <x:c r="H12" s="34" t="n">
        <x:v>-5020</x:v>
      </x:c>
      <x:c r="I12" s="24" t="n">
        <x:v>-0.035724452035297505</x:v>
      </x:c>
      <x:c r="J12" s="23" t="n">
        <x:f>ROUND(E12-F12,1)</x:f>
        <x:v>3600</x:v>
      </x:c>
      <x:c r="K12" s="22" t="str">
        <x:v>LC2609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41200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4577.8</x:v>
      </x:c>
      <x:c r="K16" s="28"/>
    </x:row>
  </x:sheetData>
  <x:mergeCells>
    <x:mergeCell ref="A1:K1"/>
  </x:mergeCells>
  <x:pageMargins left="0.7" right="0.7" top="0.75" bottom="0.75" header="0.3" footer="0.3"/>
</x:worksheet>
</file>