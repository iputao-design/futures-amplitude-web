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863a9cddd4c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954db5c203b4c23"/>
    <x:sheet xmlns:r="http://schemas.openxmlformats.org/officeDocument/2006/relationships" name="周振幅统计" sheetId="2" r:id="R63f629d4db004466"/>
    <x:sheet xmlns:r="http://schemas.openxmlformats.org/officeDocument/2006/relationships" name="中证1000" sheetId="3" r:id="Rc8346addf64e4490"/>
    <x:sheet xmlns:r="http://schemas.openxmlformats.org/officeDocument/2006/relationships" name="中证500" sheetId="4" r:id="Rbbd1989b967045b8"/>
    <x:sheet xmlns:r="http://schemas.openxmlformats.org/officeDocument/2006/relationships" name="上证指数" sheetId="5" r:id="R3ee85475db4e4aa8"/>
    <x:sheet xmlns:r="http://schemas.openxmlformats.org/officeDocument/2006/relationships" name="IM主力" sheetId="6" r:id="R280341ffd4b2417c"/>
    <x:sheet xmlns:r="http://schemas.openxmlformats.org/officeDocument/2006/relationships" name="IC主力" sheetId="7" r:id="Rb492177ff26e4fb6"/>
    <x:sheet xmlns:r="http://schemas.openxmlformats.org/officeDocument/2006/relationships" name="IF主力" sheetId="8" r:id="Rca296e2dbc04435c"/>
    <x:sheet xmlns:r="http://schemas.openxmlformats.org/officeDocument/2006/relationships" name="IH主力" sheetId="9" r:id="Re860cb81a6fb43d0"/>
    <x:sheet xmlns:r="http://schemas.openxmlformats.org/officeDocument/2006/relationships" name="碳酸锂2609" sheetId="10" r:id="R4c27490ccbed44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50812b9b784e0a" /><Relationship Type="http://schemas.openxmlformats.org/officeDocument/2006/relationships/theme" Target="/xl/theme/theme1.xml" Id="R527cdcbf463540ae" /><Relationship Type="http://schemas.openxmlformats.org/officeDocument/2006/relationships/sharedStrings" Target="/xl/sharedStrings.xml" Id="R38a6762f85054c32" /><Relationship Type="http://schemas.openxmlformats.org/officeDocument/2006/relationships/worksheet" Target="/xl/worksheets/sheet1.xml" Id="Rd954db5c203b4c23" /><Relationship Type="http://schemas.openxmlformats.org/officeDocument/2006/relationships/worksheet" Target="/xl/worksheets/sheet2.xml" Id="R63f629d4db004466" /><Relationship Type="http://schemas.openxmlformats.org/officeDocument/2006/relationships/worksheet" Target="/xl/worksheets/sheet3.xml" Id="Rc8346addf64e4490" /><Relationship Type="http://schemas.openxmlformats.org/officeDocument/2006/relationships/worksheet" Target="/xl/worksheets/sheet4.xml" Id="Rbbd1989b967045b8" /><Relationship Type="http://schemas.openxmlformats.org/officeDocument/2006/relationships/worksheet" Target="/xl/worksheets/sheet5.xml" Id="R3ee85475db4e4aa8" /><Relationship Type="http://schemas.openxmlformats.org/officeDocument/2006/relationships/worksheet" Target="/xl/worksheets/sheet6.xml" Id="R280341ffd4b2417c" /><Relationship Type="http://schemas.openxmlformats.org/officeDocument/2006/relationships/worksheet" Target="/xl/worksheets/sheet7.xml" Id="Rb492177ff26e4fb6" /><Relationship Type="http://schemas.openxmlformats.org/officeDocument/2006/relationships/worksheet" Target="/xl/worksheets/sheet8.xml" Id="Rca296e2dbc04435c" /><Relationship Type="http://schemas.openxmlformats.org/officeDocument/2006/relationships/worksheet" Target="/xl/worksheets/sheet9.xml" Id="Re860cb81a6fb43d0" /><Relationship Type="http://schemas.openxmlformats.org/officeDocument/2006/relationships/worksheet" Target="/xl/worksheets/sheet10.xml" Id="R4c27490ccbed44f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2026-08-06</x:v>
      </x:c>
      <x:c r="C4" s="10" t="n">
        <x:v>7564.69</x:v>
      </x:c>
      <x:c r="D4" s="10" t="n">
        <x:v>7434.49</x:v>
      </x:c>
      <x:c r="E4" s="12" t="n">
        <x:v>130.2</x:v>
      </x:c>
      <x:c r="F4" s="9" t="n">
        <x:v>4</x:v>
      </x:c>
      <x:c r="G4" s="10" t="n">
        <x:v>680.4</x:v>
      </x:c>
      <x:c r="H4" s="10" t="n">
        <x:v>170.1</x:v>
      </x:c>
      <x:c r="I4" s="10" t="n">
        <x:v>180</x:v>
      </x:c>
    </x:row>
    <x:row r="5">
      <x:c r="A5" s="9" t="str">
        <x:v>中证500</x:v>
      </x:c>
      <x:c r="B5" s="9" t="str">
        <x:v>2026-08-06</x:v>
      </x:c>
      <x:c r="C5" s="10" t="n">
        <x:v>7868.85</x:v>
      </x:c>
      <x:c r="D5" s="10" t="n">
        <x:v>7722.57</x:v>
      </x:c>
      <x:c r="E5" s="12" t="n">
        <x:v>146.3</x:v>
      </x:c>
      <x:c r="F5" s="9" t="n">
        <x:v>4</x:v>
      </x:c>
      <x:c r="G5" s="10" t="n">
        <x:v>720.5</x:v>
      </x:c>
      <x:c r="H5" s="10" t="n">
        <x:v>180.1</x:v>
      </x:c>
      <x:c r="I5" s="10" t="n">
        <x:v>160</x:v>
      </x:c>
    </x:row>
    <x:row r="6">
      <x:c r="A6" s="9" t="str">
        <x:v>上证指数</x:v>
      </x:c>
      <x:c r="B6" s="9" t="str">
        <x:v>2026-08-06</x:v>
      </x:c>
      <x:c r="C6" s="10" t="n">
        <x:v>3902.05</x:v>
      </x:c>
      <x:c r="D6" s="10" t="n">
        <x:v>3864.27</x:v>
      </x:c>
      <x:c r="E6" s="12" t="n">
        <x:v>37.8</x:v>
      </x:c>
      <x:c r="F6" s="9" t="n">
        <x:v>4</x:v>
      </x:c>
      <x:c r="G6" s="10" t="n">
        <x:v>169.5</x:v>
      </x:c>
      <x:c r="H6" s="10" t="n">
        <x:v>42.4</x:v>
      </x:c>
      <x:c r="I6" s="10" t="n">
        <x:v>50</x:v>
      </x:c>
    </x:row>
    <x:row r="7">
      <x:c r="A7" s="9" t="str">
        <x:v>IM主力</x:v>
      </x:c>
      <x:c r="B7" s="9" t="str">
        <x:v>2026-08-06</x:v>
      </x:c>
      <x:c r="C7" s="10" t="n">
        <x:v>7477</x:v>
      </x:c>
      <x:c r="D7" s="10" t="n">
        <x:v>7352</x:v>
      </x:c>
      <x:c r="E7" s="12" t="n">
        <x:v>125</x:v>
      </x:c>
      <x:c r="F7" s="9" t="n">
        <x:v>4</x:v>
      </x:c>
      <x:c r="G7" s="10" t="n">
        <x:v>689.6</x:v>
      </x:c>
      <x:c r="H7" s="10" t="n">
        <x:v>172.4</x:v>
      </x:c>
      <x:c r="I7" s="10" t="n">
        <x:v>190</x:v>
      </x:c>
    </x:row>
    <x:row r="8">
      <x:c r="A8" s="9" t="str">
        <x:v>IC主力</x:v>
      </x:c>
      <x:c r="B8" s="9" t="str">
        <x:v>2026-08-06</x:v>
      </x:c>
      <x:c r="C8" s="10" t="n">
        <x:v>7768</x:v>
      </x:c>
      <x:c r="D8" s="10" t="n">
        <x:v>7640</x:v>
      </x:c>
      <x:c r="E8" s="12" t="n">
        <x:v>128</x:v>
      </x:c>
      <x:c r="F8" s="9" t="n">
        <x:v>4</x:v>
      </x:c>
      <x:c r="G8" s="10" t="n">
        <x:v>713.8</x:v>
      </x:c>
      <x:c r="H8" s="10" t="n">
        <x:v>178.5</x:v>
      </x:c>
      <x:c r="I8" s="10" t="n">
        <x:v>150</x:v>
      </x:c>
    </x:row>
    <x:row r="9">
      <x:c r="A9" s="9" t="str">
        <x:v>IF主力</x:v>
      </x:c>
      <x:c r="B9" s="9" t="str">
        <x:v>2026-08-06</x:v>
      </x:c>
      <x:c r="C9" s="10" t="n">
        <x:v>4626</x:v>
      </x:c>
      <x:c r="D9" s="10" t="n">
        <x:v>4570.8</x:v>
      </x:c>
      <x:c r="E9" s="12" t="n">
        <x:v>55.2</x:v>
      </x:c>
      <x:c r="F9" s="9" t="n">
        <x:v>4</x:v>
      </x:c>
      <x:c r="G9" s="10" t="n">
        <x:v>276.8</x:v>
      </x:c>
      <x:c r="H9" s="10" t="n">
        <x:v>69.2</x:v>
      </x:c>
      <x:c r="I9" s="10" t="n">
        <x:v>90</x:v>
      </x:c>
    </x:row>
    <x:row r="10">
      <x:c r="A10" s="9" t="str">
        <x:v>IH主力</x:v>
      </x:c>
      <x:c r="B10" s="9" t="str">
        <x:v>2026-08-06</x:v>
      </x:c>
      <x:c r="C10" s="10" t="n">
        <x:v>2897.8</x:v>
      </x:c>
      <x:c r="D10" s="10" t="n">
        <x:v>2879.8</x:v>
      </x:c>
      <x:c r="E10" s="12" t="n">
        <x:v>18</x:v>
      </x:c>
      <x:c r="F10" s="9" t="n">
        <x:v>4</x:v>
      </x:c>
      <x:c r="G10" s="10" t="n">
        <x:v>140.2</x:v>
      </x:c>
      <x:c r="H10" s="10" t="n">
        <x:v>35.1</x:v>
      </x:c>
      <x:c r="I10" s="10" t="n">
        <x:v>60</x:v>
      </x:c>
    </x:row>
    <x:row r="11">
      <x:c r="A11" s="9" t="str">
        <x:v>碳酸锂2609</x:v>
      </x:c>
      <x:c r="B11" s="9" t="str">
        <x:v>2026-08-06</x:v>
      </x:c>
      <x:c r="C11" s="10" t="n">
        <x:v>143860</x:v>
      </x:c>
      <x:c r="D11" s="10" t="n">
        <x:v>139240</x:v>
      </x:c>
      <x:c r="E11" s="12" t="n">
        <x:v>4620</x:v>
      </x:c>
      <x:c r="F11" s="9" t="n">
        <x:v>4</x:v>
      </x:c>
      <x:c r="G11" s="10" t="n">
        <x:v>19900</x:v>
      </x:c>
      <x:c r="H11" s="10" t="n">
        <x:v>4975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8月3日-8月6日</x:v>
      </x:c>
      <x:c r="C5" s="23" t="n">
        <x:v>7055.27</x:v>
      </x:c>
      <x:c r="D5" s="23" t="n">
        <x:v>7564.69</x:v>
      </x:c>
      <x:c r="E5" s="23" t="n">
        <x:v>7042.89</x:v>
      </x:c>
      <x:c r="F5" s="23" t="n">
        <x:v>7530.43</x:v>
      </x:c>
      <x:c r="G5" s="23"/>
      <x:c r="H5" s="24"/>
      <x:c r="I5" s="26" t="n">
        <x:f>ROUND(D5-E5,1)</x:f>
        <x:v>521.8</x:v>
      </x:c>
      <x:c r="J5" s="22" t="str">
        <x:v>中证1000</x:v>
      </x:c>
      <x:c r="K5" s="22" t="n">
        <x:v>4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521.8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521.8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8月3日-8月6日</x:v>
      </x:c>
      <x:c r="C11" s="23" t="n">
        <x:v>7457.12</x:v>
      </x:c>
      <x:c r="D11" s="23" t="n">
        <x:v>7868.85</x:v>
      </x:c>
      <x:c r="E11" s="23" t="n">
        <x:v>7397.94</x:v>
      </x:c>
      <x:c r="F11" s="23" t="n">
        <x:v>7829.36</x:v>
      </x:c>
      <x:c r="G11" s="23"/>
      <x:c r="H11" s="24"/>
      <x:c r="I11" s="26" t="n">
        <x:f>ROUND(D11-E11,1)</x:f>
        <x:v>470.9</x:v>
      </x:c>
      <x:c r="J11" s="22" t="str">
        <x:v>中证500</x:v>
      </x:c>
      <x:c r="K11" s="22" t="n">
        <x:v>4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470.9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470.9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8月3日-8月6日</x:v>
      </x:c>
      <x:c r="C17" s="23" t="n">
        <x:v>3812.61</x:v>
      </x:c>
      <x:c r="D17" s="23" t="n">
        <x:v>3902.05</x:v>
      </x:c>
      <x:c r="E17" s="23" t="n">
        <x:v>3797.64</x:v>
      </x:c>
      <x:c r="F17" s="23" t="n">
        <x:v>3900.35</x:v>
      </x:c>
      <x:c r="G17" s="23"/>
      <x:c r="H17" s="24"/>
      <x:c r="I17" s="26" t="n">
        <x:f>ROUND(D17-E17,1)</x:f>
        <x:v>104.4</x:v>
      </x:c>
      <x:c r="J17" s="22" t="str">
        <x:v>上证指数</x:v>
      </x:c>
      <x:c r="K17" s="22" t="n">
        <x:v>4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104.4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104.4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8月3日-8月6日</x:v>
      </x:c>
      <x:c r="C23" s="23" t="n">
        <x:v>7000</x:v>
      </x:c>
      <x:c r="D23" s="23" t="n">
        <x:v>7477</x:v>
      </x:c>
      <x:c r="E23" s="23" t="n">
        <x:v>6976</x:v>
      </x:c>
      <x:c r="F23" s="23" t="n">
        <x:v>7451.8</x:v>
      </x:c>
      <x:c r="G23" s="23"/>
      <x:c r="H23" s="24"/>
      <x:c r="I23" s="26" t="n">
        <x:f>ROUND(D23-E23,1)</x:f>
        <x:v>501</x:v>
      </x:c>
      <x:c r="J23" s="22" t="str">
        <x:v>IM2609</x:v>
      </x:c>
      <x:c r="K23" s="22" t="n">
        <x:v>4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501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501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8月3日-8月6日</x:v>
      </x:c>
      <x:c r="C29" s="23" t="n">
        <x:v>7391</x:v>
      </x:c>
      <x:c r="D29" s="23" t="n">
        <x:v>7775.6</x:v>
      </x:c>
      <x:c r="E29" s="23" t="n">
        <x:v>7335</x:v>
      </x:c>
      <x:c r="F29" s="23" t="n">
        <x:v>7730</x:v>
      </x:c>
      <x:c r="G29" s="23"/>
      <x:c r="H29" s="24"/>
      <x:c r="I29" s="26" t="n">
        <x:f>ROUND(D29-E29,1)</x:f>
        <x:v>440.6</x:v>
      </x:c>
      <x:c r="J29" s="22" t="str">
        <x:v>IC2609</x:v>
      </x:c>
      <x:c r="K29" s="22" t="n">
        <x:v>4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440.6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440.6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8月3日-8月6日</x:v>
      </x:c>
      <x:c r="C35" s="23" t="n">
        <x:v>4526.4</x:v>
      </x:c>
      <x:c r="D35" s="23" t="n">
        <x:v>4641.2</x:v>
      </x:c>
      <x:c r="E35" s="23" t="n">
        <x:v>4494.2</x:v>
      </x:c>
      <x:c r="F35" s="23" t="n">
        <x:v>4612</x:v>
      </x:c>
      <x:c r="G35" s="23"/>
      <x:c r="H35" s="24"/>
      <x:c r="I35" s="26" t="n">
        <x:f>ROUND(D35-E35,1)</x:f>
        <x:v>147</x:v>
      </x:c>
      <x:c r="J35" s="22" t="str">
        <x:v>IF2609</x:v>
      </x:c>
      <x:c r="K35" s="22" t="n">
        <x:v>4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147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147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8月3日-8月6日</x:v>
      </x:c>
      <x:c r="C41" s="23" t="n">
        <x:v>2882.4</x:v>
      </x:c>
      <x:c r="D41" s="23" t="n">
        <x:v>2907.6</x:v>
      </x:c>
      <x:c r="E41" s="23" t="n">
        <x:v>2845.8</x:v>
      </x:c>
      <x:c r="F41" s="23" t="n">
        <x:v>2897.2</x:v>
      </x:c>
      <x:c r="G41" s="23"/>
      <x:c r="H41" s="24"/>
      <x:c r="I41" s="26" t="n">
        <x:f>ROUND(D41-E41,1)</x:f>
        <x:v>61.8</x:v>
      </x:c>
      <x:c r="J41" s="22" t="str">
        <x:v>IH2609</x:v>
      </x:c>
      <x:c r="K41" s="22" t="n">
        <x:v>4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61.8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61.8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8月3日-8月6日</x:v>
      </x:c>
      <x:c r="C47" s="23" t="n">
        <x:v>137500</x:v>
      </x:c>
      <x:c r="D47" s="23" t="n">
        <x:v>144300</x:v>
      </x:c>
      <x:c r="E47" s="23" t="n">
        <x:v>135560</x:v>
      </x:c>
      <x:c r="F47" s="23" t="n">
        <x:v>141460</x:v>
      </x:c>
      <x:c r="G47" s="23"/>
      <x:c r="H47" s="24"/>
      <x:c r="I47" s="26" t="n">
        <x:f>ROUND(D47-E47,1)</x:f>
        <x:v>8740</x:v>
      </x:c>
      <x:c r="J47" s="22" t="str">
        <x:v>LC2609</x:v>
      </x:c>
      <x:c r="K47" s="22" t="n">
        <x:v>4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8740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8740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680.4000000000001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170.1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720.5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180.1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169.5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42.4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689.5999999999999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172.4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713.8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178.5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276.8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69.2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140.2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35.1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7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7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7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7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19900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4975</x:v>
      </x:c>
      <x:c r="K11" s="28"/>
    </x:row>
  </x:sheetData>
  <x:mergeCells>
    <x:mergeCell ref="A1:K1"/>
  </x:mergeCells>
  <x:pageMargins left="0.7" right="0.7" top="0.75" bottom="0.75" header="0.3" footer="0.3"/>
</x:worksheet>
</file>