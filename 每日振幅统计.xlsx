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b0600adbe143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c0a534f1afa48a1"/>
    <x:sheet xmlns:r="http://schemas.openxmlformats.org/officeDocument/2006/relationships" name="周振幅统计" sheetId="2" r:id="R2c8e19e23abc4b60"/>
    <x:sheet xmlns:r="http://schemas.openxmlformats.org/officeDocument/2006/relationships" name="中证1000" sheetId="3" r:id="Rb133448646dd4f09"/>
    <x:sheet xmlns:r="http://schemas.openxmlformats.org/officeDocument/2006/relationships" name="中证500" sheetId="4" r:id="Rf1c8bf6da86e4c3e"/>
    <x:sheet xmlns:r="http://schemas.openxmlformats.org/officeDocument/2006/relationships" name="上证指数" sheetId="5" r:id="R1b645c0efc2c4e7e"/>
    <x:sheet xmlns:r="http://schemas.openxmlformats.org/officeDocument/2006/relationships" name="IM主力" sheetId="6" r:id="Rd3265af2c18146d5"/>
    <x:sheet xmlns:r="http://schemas.openxmlformats.org/officeDocument/2006/relationships" name="IC主力" sheetId="7" r:id="R1e5af7a7149c41c9"/>
    <x:sheet xmlns:r="http://schemas.openxmlformats.org/officeDocument/2006/relationships" name="IF主力" sheetId="8" r:id="R4e89afa6042142d9"/>
    <x:sheet xmlns:r="http://schemas.openxmlformats.org/officeDocument/2006/relationships" name="IH主力" sheetId="9" r:id="Rfa0e623106174454"/>
    <x:sheet xmlns:r="http://schemas.openxmlformats.org/officeDocument/2006/relationships" name="碳酸锂2609" sheetId="10" r:id="Rb4e7f5c887524a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f850d4166840b6" /><Relationship Type="http://schemas.openxmlformats.org/officeDocument/2006/relationships/theme" Target="/xl/theme/theme1.xml" Id="R17d44924efa0439d" /><Relationship Type="http://schemas.openxmlformats.org/officeDocument/2006/relationships/sharedStrings" Target="/xl/sharedStrings.xml" Id="R3a54e7228bee46e4" /><Relationship Type="http://schemas.openxmlformats.org/officeDocument/2006/relationships/worksheet" Target="/xl/worksheets/sheet1.xml" Id="Rcc0a534f1afa48a1" /><Relationship Type="http://schemas.openxmlformats.org/officeDocument/2006/relationships/worksheet" Target="/xl/worksheets/sheet2.xml" Id="R2c8e19e23abc4b60" /><Relationship Type="http://schemas.openxmlformats.org/officeDocument/2006/relationships/worksheet" Target="/xl/worksheets/sheet3.xml" Id="Rb133448646dd4f09" /><Relationship Type="http://schemas.openxmlformats.org/officeDocument/2006/relationships/worksheet" Target="/xl/worksheets/sheet4.xml" Id="Rf1c8bf6da86e4c3e" /><Relationship Type="http://schemas.openxmlformats.org/officeDocument/2006/relationships/worksheet" Target="/xl/worksheets/sheet5.xml" Id="R1b645c0efc2c4e7e" /><Relationship Type="http://schemas.openxmlformats.org/officeDocument/2006/relationships/worksheet" Target="/xl/worksheets/sheet6.xml" Id="Rd3265af2c18146d5" /><Relationship Type="http://schemas.openxmlformats.org/officeDocument/2006/relationships/worksheet" Target="/xl/worksheets/sheet7.xml" Id="R1e5af7a7149c41c9" /><Relationship Type="http://schemas.openxmlformats.org/officeDocument/2006/relationships/worksheet" Target="/xl/worksheets/sheet8.xml" Id="R4e89afa6042142d9" /><Relationship Type="http://schemas.openxmlformats.org/officeDocument/2006/relationships/worksheet" Target="/xl/worksheets/sheet9.xml" Id="Rfa0e623106174454" /><Relationship Type="http://schemas.openxmlformats.org/officeDocument/2006/relationships/worksheet" Target="/xl/worksheets/sheet10.xml" Id="Rb4e7f5c887524a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2026-08-26</x:v>
      </x:c>
      <x:c r="C4" s="10" t="n">
        <x:v>7601.84</x:v>
      </x:c>
      <x:c r="D4" s="10" t="n">
        <x:v>7467.41</x:v>
      </x:c>
      <x:c r="E4" s="12" t="n">
        <x:v>134.4</x:v>
      </x:c>
      <x:c r="F4" s="9" t="n">
        <x:v>18</x:v>
      </x:c>
      <x:c r="G4" s="10" t="n">
        <x:v>3145.4</x:v>
      </x:c>
      <x:c r="H4" s="10" t="n">
        <x:v>174.7</x:v>
      </x:c>
      <x:c r="I4" s="10" t="n">
        <x:v>180</x:v>
      </x:c>
    </x:row>
    <x:row r="5">
      <x:c r="A5" s="9" t="str">
        <x:v>中证500</x:v>
      </x:c>
      <x:c r="B5" s="9" t="str">
        <x:v>2026-08-26</x:v>
      </x:c>
      <x:c r="C5" s="10" t="n">
        <x:v>7833.6</x:v>
      </x:c>
      <x:c r="D5" s="10" t="n">
        <x:v>7699.42</x:v>
      </x:c>
      <x:c r="E5" s="12" t="n">
        <x:v>134.2</x:v>
      </x:c>
      <x:c r="F5" s="9" t="n">
        <x:v>18</x:v>
      </x:c>
      <x:c r="G5" s="10" t="n">
        <x:v>3017.7</x:v>
      </x:c>
      <x:c r="H5" s="10" t="n">
        <x:v>167.6</x:v>
      </x:c>
      <x:c r="I5" s="10" t="n">
        <x:v>160</x:v>
      </x:c>
    </x:row>
    <x:row r="6">
      <x:c r="A6" s="9" t="str">
        <x:v>上证指数</x:v>
      </x:c>
      <x:c r="B6" s="9" t="str">
        <x:v>2026-08-26</x:v>
      </x:c>
      <x:c r="C6" s="10" t="n">
        <x:v>3926.44</x:v>
      </x:c>
      <x:c r="D6" s="10" t="n">
        <x:v>3881.74</x:v>
      </x:c>
      <x:c r="E6" s="12" t="n">
        <x:v>44.7</x:v>
      </x:c>
      <x:c r="F6" s="9" t="n">
        <x:v>18</x:v>
      </x:c>
      <x:c r="G6" s="10" t="n">
        <x:v>774.8</x:v>
      </x:c>
      <x:c r="H6" s="10" t="n">
        <x:v>43</x:v>
      </x:c>
      <x:c r="I6" s="10" t="n">
        <x:v>50</x:v>
      </x:c>
    </x:row>
    <x:row r="7">
      <x:c r="A7" s="9" t="str">
        <x:v>IM主力</x:v>
      </x:c>
      <x:c r="B7" s="9" t="str">
        <x:v>2026-08-25</x:v>
      </x:c>
      <x:c r="C7" s="10" t="n">
        <x:v>7509.6</x:v>
      </x:c>
      <x:c r="D7" s="10" t="n">
        <x:v>7300.2</x:v>
      </x:c>
      <x:c r="E7" s="12" t="n">
        <x:v>209.4</x:v>
      </x:c>
      <x:c r="F7" s="9" t="n">
        <x:v>17</x:v>
      </x:c>
      <x:c r="G7" s="10" t="n">
        <x:v>2945</x:v>
      </x:c>
      <x:c r="H7" s="10" t="n">
        <x:v>173.2</x:v>
      </x:c>
      <x:c r="I7" s="10" t="n">
        <x:v>190</x:v>
      </x:c>
    </x:row>
    <x:row r="8">
      <x:c r="A8" s="9" t="str">
        <x:v>IC主力</x:v>
      </x:c>
      <x:c r="B8" s="9" t="str">
        <x:v>2026-08-26</x:v>
      </x:c>
      <x:c r="C8" s="10" t="n">
        <x:v>7783.2</x:v>
      </x:c>
      <x:c r="D8" s="10" t="n">
        <x:v>7604</x:v>
      </x:c>
      <x:c r="E8" s="12" t="n">
        <x:v>179.2</x:v>
      </x:c>
      <x:c r="F8" s="9" t="n">
        <x:v>18</x:v>
      </x:c>
      <x:c r="G8" s="10" t="n">
        <x:v>3055.6</x:v>
      </x:c>
      <x:c r="H8" s="10" t="n">
        <x:v>169.8</x:v>
      </x:c>
      <x:c r="I8" s="10" t="n">
        <x:v>150</x:v>
      </x:c>
    </x:row>
    <x:row r="9">
      <x:c r="A9" s="9" t="str">
        <x:v>IF主力</x:v>
      </x:c>
      <x:c r="B9" s="9" t="str">
        <x:v>2026-08-25</x:v>
      </x:c>
      <x:c r="C9" s="10" t="n">
        <x:v>4544.2</x:v>
      </x:c>
      <x:c r="D9" s="10" t="n">
        <x:v>4488</x:v>
      </x:c>
      <x:c r="E9" s="12" t="n">
        <x:v>56.2</x:v>
      </x:c>
      <x:c r="F9" s="9" t="n">
        <x:v>17</x:v>
      </x:c>
      <x:c r="G9" s="10" t="n">
        <x:v>1091.2</x:v>
      </x:c>
      <x:c r="H9" s="10" t="n">
        <x:v>64.2</x:v>
      </x:c>
      <x:c r="I9" s="10" t="n">
        <x:v>90</x:v>
      </x:c>
    </x:row>
    <x:row r="10">
      <x:c r="A10" s="9" t="str">
        <x:v>IH主力</x:v>
      </x:c>
      <x:c r="B10" s="9" t="str">
        <x:v>2026-08-26</x:v>
      </x:c>
      <x:c r="C10" s="10" t="n">
        <x:v>2903.8</x:v>
      </x:c>
      <x:c r="D10" s="10" t="n">
        <x:v>2850</x:v>
      </x:c>
      <x:c r="E10" s="12" t="n">
        <x:v>53.8</x:v>
      </x:c>
      <x:c r="F10" s="9" t="n">
        <x:v>18</x:v>
      </x:c>
      <x:c r="G10" s="10" t="n">
        <x:v>616.2</x:v>
      </x:c>
      <x:c r="H10" s="10" t="n">
        <x:v>34.2</x:v>
      </x:c>
      <x:c r="I10" s="10" t="n">
        <x:v>60</x:v>
      </x:c>
    </x:row>
    <x:row r="11">
      <x:c r="A11" s="9" t="str">
        <x:v>碳酸锂2609</x:v>
      </x:c>
      <x:c r="B11" s="9" t="str">
        <x:v>2026-08-26</x:v>
      </x:c>
      <x:c r="C11" s="10" t="n">
        <x:v>153380</x:v>
      </x:c>
      <x:c r="D11" s="10" t="n">
        <x:v>147000</x:v>
      </x:c>
      <x:c r="E11" s="12" t="n">
        <x:v>6380</x:v>
      </x:c>
      <x:c r="F11" s="9" t="n">
        <x:v>18</x:v>
      </x:c>
      <x:c r="G11" s="10" t="n">
        <x:v>94880</x:v>
      </x:c>
      <x:c r="H11" s="10" t="n">
        <x:v>5271.1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8月24日-8月26日</x:v>
      </x:c>
      <x:c r="C8" s="23" t="n">
        <x:v>7614.89</x:v>
      </x:c>
      <x:c r="D8" s="23" t="n">
        <x:v>7633.34</x:v>
      </x:c>
      <x:c r="E8" s="23" t="n">
        <x:v>7347.95</x:v>
      </x:c>
      <x:c r="F8" s="23" t="n">
        <x:v>7544.67</x:v>
      </x:c>
      <x:c r="G8" s="23" t="n">
        <x:f>ROUND(F8-F7,1)</x:f>
        <x:v>-57.1</x:v>
      </x:c>
      <x:c r="H8" s="24" t="n">
        <x:f>IFERROR(F8/F7-1,"")</x:f>
        <x:v>-0.007515325317687949</x:v>
      </x:c>
      <x:c r="I8" s="26" t="n">
        <x:f>ROUND(D8-E8,1)</x:f>
        <x:v>285.4</x:v>
      </x:c>
      <x:c r="J8" s="22" t="str">
        <x:v>中证1000</x:v>
      </x:c>
      <x:c r="K8" s="22" t="n">
        <x:v>3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1709.7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427.4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8月24日-8月26日</x:v>
      </x:c>
      <x:c r="C17" s="23" t="n">
        <x:v>7861.05</x:v>
      </x:c>
      <x:c r="D17" s="23" t="n">
        <x:v>7865.54</x:v>
      </x:c>
      <x:c r="E17" s="23" t="n">
        <x:v>7572.86</x:v>
      </x:c>
      <x:c r="F17" s="23" t="n">
        <x:v>7770.53</x:v>
      </x:c>
      <x:c r="G17" s="23" t="n">
        <x:f>ROUND(F17-F16,1)</x:f>
        <x:v>-83.8</x:v>
      </x:c>
      <x:c r="H17" s="24" t="n">
        <x:f>IFERROR(F17/F16-1,"")</x:f>
        <x:v>-0.010669274145598706</x:v>
      </x:c>
      <x:c r="I17" s="26" t="n">
        <x:f>ROUND(D17-E17,1)</x:f>
        <x:v>292.7</x:v>
      </x:c>
      <x:c r="J17" s="22" t="str">
        <x:v>中证500</x:v>
      </x:c>
      <x:c r="K17" s="22" t="n">
        <x:v>3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1578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394.5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8月24日-8月26日</x:v>
      </x:c>
      <x:c r="C26" s="23" t="n">
        <x:v>3902.7</x:v>
      </x:c>
      <x:c r="D26" s="23" t="n">
        <x:v>3926.44</x:v>
      </x:c>
      <x:c r="E26" s="23" t="n">
        <x:v>3850.86</x:v>
      </x:c>
      <x:c r="F26" s="23" t="n">
        <x:v>3912.52</x:v>
      </x:c>
      <x:c r="G26" s="23" t="n">
        <x:f>ROUND(F26-F25,1)</x:f>
        <x:v>7.3</x:v>
      </x:c>
      <x:c r="H26" s="24" t="n">
        <x:f>IFERROR(F26/F25-1,"")</x:f>
        <x:v>0.0018744238451295914</x:v>
      </x:c>
      <x:c r="I26" s="26" t="n">
        <x:f>ROUND(D26-E26,1)</x:f>
        <x:v>75.6</x:v>
      </x:c>
      <x:c r="J26" s="22" t="str">
        <x:v>上证指数</x:v>
      </x:c>
      <x:c r="K26" s="22" t="n">
        <x:v>3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398.3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99.6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8月24日-8月25日</x:v>
      </x:c>
      <x:c r="C35" s="23" t="n">
        <x:v>7534.8</x:v>
      </x:c>
      <x:c r="D35" s="23" t="n">
        <x:v>7549</x:v>
      </x:c>
      <x:c r="E35" s="23" t="n">
        <x:v>7300.2</x:v>
      </x:c>
      <x:c r="F35" s="23" t="n">
        <x:v>7466.4</x:v>
      </x:c>
      <x:c r="G35" s="23" t="n">
        <x:f>ROUND(F35-F34,1)</x:f>
        <x:v>-60.6</x:v>
      </x:c>
      <x:c r="H35" s="24" t="n">
        <x:f>IFERROR(F35/F34-1,"")</x:f>
        <x:v>-0.00805101634117178</x:v>
      </x:c>
      <x:c r="I35" s="26" t="n">
        <x:f>ROUND(D35-E35,1)</x:f>
        <x:v>248.8</x:v>
      </x:c>
      <x:c r="J35" s="22" t="str">
        <x:v>IM2609</x:v>
      </x:c>
      <x:c r="K35" s="22" t="n">
        <x:v>2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1590.8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397.7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7391</x:v>
      </x:c>
      <x:c r="D41" s="23" t="n">
        <x:v>7882.6</x:v>
      </x:c>
      <x:c r="E41" s="23" t="n">
        <x:v>7335</x:v>
      </x:c>
      <x:c r="F41" s="23" t="n">
        <x:v>7877.8</x:v>
      </x:c>
      <x:c r="G41" s="23"/>
      <x:c r="H41" s="24"/>
      <x:c r="I41" s="26" t="n">
        <x:f>ROUND(D41-E41,1)</x:f>
        <x:v>547.6</x:v>
      </x:c>
      <x:c r="J41" s="22" t="str">
        <x:v>IC2609</x:v>
      </x:c>
      <x:c r="K41" s="22" t="n">
        <x:v>5</x:v>
      </x:c>
    </x:row>
    <x:row r="42">
      <x:c r="A42" s="22" t="n">
        <x:v>2</x:v>
      </x:c>
      <x:c r="B42" s="22" t="str">
        <x:v>8月10日-8月14日</x:v>
      </x:c>
      <x:c r="C42" s="23" t="n">
        <x:v>7888</x:v>
      </x:c>
      <x:c r="D42" s="23" t="n">
        <x:v>8024</x:v>
      </x:c>
      <x:c r="E42" s="23" t="n">
        <x:v>7795.8</x:v>
      </x:c>
      <x:c r="F42" s="23" t="n">
        <x:v>7861.2</x:v>
      </x:c>
      <x:c r="G42" s="23" t="n">
        <x:f>ROUND(F42-F41,1)</x:f>
        <x:v>-16.6</x:v>
      </x:c>
      <x:c r="H42" s="24" t="n">
        <x:f>IFERROR(F42/F41-1,"")</x:f>
        <x:v>-0.0021071872857905127</x:v>
      </x:c>
      <x:c r="I42" s="26" t="n">
        <x:f>ROUND(D42-E42,1)</x:f>
        <x:v>228.2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8月17日-8月21日</x:v>
      </x:c>
      <x:c r="C43" s="23" t="n">
        <x:v>7885</x:v>
      </x:c>
      <x:c r="D43" s="23" t="n">
        <x:v>8091.8</x:v>
      </x:c>
      <x:c r="E43" s="23" t="n">
        <x:v>7669.6</x:v>
      </x:c>
      <x:c r="F43" s="23" t="n">
        <x:v>7762</x:v>
      </x:c>
      <x:c r="G43" s="23" t="n">
        <x:f>ROUND(F43-F42,1)</x:f>
        <x:v>-99.2</x:v>
      </x:c>
      <x:c r="H43" s="24" t="n">
        <x:f>IFERROR(F43/F42-1,"")</x:f>
        <x:v>-0.012618938584439965</x:v>
      </x:c>
      <x:c r="I43" s="26" t="n">
        <x:f>ROUND(D43-E43,1)</x:f>
        <x:v>422.2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8月24日-8月26日</x:v>
      </x:c>
      <x:c r="C44" s="23" t="n">
        <x:v>7757</x:v>
      </x:c>
      <x:c r="D44" s="23" t="n">
        <x:v>7783.2</x:v>
      </x:c>
      <x:c r="E44" s="23" t="n">
        <x:v>7496</x:v>
      </x:c>
      <x:c r="F44" s="23" t="n">
        <x:v>7708.8</x:v>
      </x:c>
      <x:c r="G44" s="23" t="n">
        <x:f>ROUND(F44-F43,1)</x:f>
        <x:v>-53.2</x:v>
      </x:c>
      <x:c r="H44" s="24" t="n">
        <x:f>IFERROR(F44/F43-1,"")</x:f>
        <x:v>-0.006853903633084246</x:v>
      </x:c>
      <x:c r="I44" s="26" t="n">
        <x:f>ROUND(D44-E44,1)</x:f>
        <x:v>287.2</x:v>
      </x:c>
      <x:c r="J44" s="22" t="str">
        <x:v>IC2609</x:v>
      </x:c>
      <x:c r="K44" s="22" t="n">
        <x:v>3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1485.2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371.3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4526.4</x:v>
      </x:c>
      <x:c r="D50" s="23" t="n">
        <x:v>4656.2</x:v>
      </x:c>
      <x:c r="E50" s="23" t="n">
        <x:v>4494.2</x:v>
      </x:c>
      <x:c r="F50" s="23" t="n">
        <x:v>4645.6</x:v>
      </x:c>
      <x:c r="G50" s="23"/>
      <x:c r="H50" s="24"/>
      <x:c r="I50" s="26" t="n">
        <x:f>ROUND(D50-E50,1)</x:f>
        <x:v>162</x:v>
      </x:c>
      <x:c r="J50" s="22" t="str">
        <x:v>IF2609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4656.8</x:v>
      </x:c>
      <x:c r="D51" s="23" t="n">
        <x:v>4681</x:v>
      </x:c>
      <x:c r="E51" s="23" t="n">
        <x:v>4598</x:v>
      </x:c>
      <x:c r="F51" s="23" t="n">
        <x:v>4620.4</x:v>
      </x:c>
      <x:c r="G51" s="23" t="n">
        <x:f>ROUND(F51-F50,1)</x:f>
        <x:v>-25.2</x:v>
      </x:c>
      <x:c r="H51" s="24" t="n">
        <x:f>IFERROR(F51/F50-1,"")</x:f>
        <x:v>-0.005424487687274104</x:v>
      </x:c>
      <x:c r="I51" s="23" t="n">
        <x:f>ROUND(D51-E51,1)</x:f>
        <x:v>83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8月17日-8月21日</x:v>
      </x:c>
      <x:c r="C52" s="23" t="n">
        <x:v>4624</x:v>
      </x:c>
      <x:c r="D52" s="23" t="n">
        <x:v>4700.6</x:v>
      </x:c>
      <x:c r="E52" s="23" t="n">
        <x:v>4531.8</x:v>
      </x:c>
      <x:c r="F52" s="23" t="n">
        <x:v>4576</x:v>
      </x:c>
      <x:c r="G52" s="23" t="n">
        <x:f>ROUND(F52-F51,1)</x:f>
        <x:v>-44.4</x:v>
      </x:c>
      <x:c r="H52" s="24" t="n">
        <x:f>IFERROR(F52/F51-1,"")</x:f>
        <x:v>-0.00960955761405935</x:v>
      </x:c>
      <x:c r="I52" s="26" t="n">
        <x:f>ROUND(D52-E52,1)</x:f>
        <x:v>168.8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8月24日-8月25日</x:v>
      </x:c>
      <x:c r="C53" s="23" t="n">
        <x:v>4607.4</x:v>
      </x:c>
      <x:c r="D53" s="23" t="n">
        <x:v>4607.4</x:v>
      </x:c>
      <x:c r="E53" s="23" t="n">
        <x:v>4486.4</x:v>
      </x:c>
      <x:c r="F53" s="23" t="n">
        <x:v>4521.8</x:v>
      </x:c>
      <x:c r="G53" s="23" t="n">
        <x:f>ROUND(F53-F52,1)</x:f>
        <x:v>-54.2</x:v>
      </x:c>
      <x:c r="H53" s="24" t="n">
        <x:f>IFERROR(F53/F52-1,"")</x:f>
        <x:v>-0.011844405594405583</x:v>
      </x:c>
      <x:c r="I53" s="26" t="n">
        <x:f>ROUND(D53-E53,1)</x:f>
        <x:v>121</x:v>
      </x:c>
      <x:c r="J53" s="22" t="str">
        <x:v>IF2609</x:v>
      </x:c>
      <x:c r="K53" s="22" t="n">
        <x:v>2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534.8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133.7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8月3日-8月7日</x:v>
      </x:c>
      <x:c r="C59" s="23" t="n">
        <x:v>2882.4</x:v>
      </x:c>
      <x:c r="D59" s="23" t="n">
        <x:v>2930.6</x:v>
      </x:c>
      <x:c r="E59" s="23" t="n">
        <x:v>2845.8</x:v>
      </x:c>
      <x:c r="F59" s="23" t="n">
        <x:v>2930</x:v>
      </x:c>
      <x:c r="G59" s="23"/>
      <x:c r="H59" s="24"/>
      <x:c r="I59" s="26" t="n">
        <x:f>ROUND(D59-E59,1)</x:f>
        <x:v>84.8</x:v>
      </x:c>
      <x:c r="J59" s="22" t="str">
        <x:v>IH2609</x:v>
      </x:c>
      <x:c r="K59" s="22" t="n">
        <x:v>5</x:v>
      </x:c>
    </x:row>
    <x:row r="60">
      <x:c r="A60" s="22" t="n">
        <x:v>2</x:v>
      </x:c>
      <x:c r="B60" s="22" t="str">
        <x:v>8月10日-8月14日</x:v>
      </x:c>
      <x:c r="C60" s="23" t="n">
        <x:v>2930</x:v>
      </x:c>
      <x:c r="D60" s="23" t="n">
        <x:v>2949.6</x:v>
      </x:c>
      <x:c r="E60" s="23" t="n">
        <x:v>2877</x:v>
      </x:c>
      <x:c r="F60" s="23" t="n">
        <x:v>2890</x:v>
      </x:c>
      <x:c r="G60" s="23" t="n">
        <x:f>ROUND(F60-F59,1)</x:f>
        <x:v>-40</x:v>
      </x:c>
      <x:c r="H60" s="24" t="n">
        <x:f>IFERROR(F60/F59-1,"")</x:f>
        <x:v>-0.013651877133105783</x:v>
      </x:c>
      <x:c r="I60" s="26" t="n">
        <x:f>ROUND(D60-E60,1)</x:f>
        <x:v>72.6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8月17日-8月21日</x:v>
      </x:c>
      <x:c r="C61" s="23" t="n">
        <x:v>2886</x:v>
      </x:c>
      <x:c r="D61" s="23" t="n">
        <x:v>2921.2</x:v>
      </x:c>
      <x:c r="E61" s="23" t="n">
        <x:v>2843</x:v>
      </x:c>
      <x:c r="F61" s="23" t="n">
        <x:v>2861</x:v>
      </x:c>
      <x:c r="G61" s="23" t="n">
        <x:f>ROUND(F61-F60,1)</x:f>
        <x:v>-29</x:v>
      </x:c>
      <x:c r="H61" s="24" t="n">
        <x:f>IFERROR(F61/F60-1,"")</x:f>
        <x:v>-0.01003460207612461</x:v>
      </x:c>
      <x:c r="I61" s="26" t="n">
        <x:f>ROUND(D61-E61,1)</x:f>
        <x:v>78.2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8月24日-8月26日</x:v>
      </x:c>
      <x:c r="C62" s="23" t="n">
        <x:v>2856.4</x:v>
      </x:c>
      <x:c r="D62" s="23" t="n">
        <x:v>2903.8</x:v>
      </x:c>
      <x:c r="E62" s="23" t="n">
        <x:v>2837.4</x:v>
      </x:c>
      <x:c r="F62" s="23" t="n">
        <x:v>2888.8</x:v>
      </x:c>
      <x:c r="G62" s="23" t="n">
        <x:f>ROUND(F62-F61,1)</x:f>
        <x:v>27.8</x:v>
      </x:c>
      <x:c r="H62" s="24" t="n">
        <x:f>IFERROR(F62/F61-1,"")</x:f>
        <x:v>0.009716882209017896</x:v>
      </x:c>
      <x:c r="I62" s="26" t="n">
        <x:f>ROUND(D62-E62,1)</x:f>
        <x:v>66.4</x:v>
      </x:c>
      <x:c r="J62" s="22" t="str">
        <x:v>IH2609</x:v>
      </x:c>
      <x:c r="K62" s="22" t="n">
        <x:v>3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302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75.5</x:v>
      </x:c>
      <x:c r="J64" s="30"/>
      <x:c r="K64" s="30"/>
    </x:row>
    <x:row r="66">
      <x:c r="A66" s="17" t="str">
        <x:v>碳酸锂2609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8月3日-8月7日</x:v>
      </x:c>
      <x:c r="C68" s="23" t="n">
        <x:v>137500</x:v>
      </x:c>
      <x:c r="D68" s="23" t="n">
        <x:v>144800</x:v>
      </x:c>
      <x:c r="E68" s="23" t="n">
        <x:v>135560</x:v>
      </x:c>
      <x:c r="F68" s="23" t="n">
        <x:v>140000</x:v>
      </x:c>
      <x:c r="G68" s="23"/>
      <x:c r="H68" s="24"/>
      <x:c r="I68" s="26" t="n">
        <x:f>ROUND(D68-E68,1)</x:f>
        <x:v>9240</x:v>
      </x:c>
      <x:c r="J68" s="22" t="str">
        <x:v>LC2609</x:v>
      </x:c>
      <x:c r="K68" s="22" t="n">
        <x:v>5</x:v>
      </x:c>
    </x:row>
    <x:row r="69">
      <x:c r="A69" s="22" t="n">
        <x:v>2</x:v>
      </x:c>
      <x:c r="B69" s="22" t="str">
        <x:v>8月10日-8月14日</x:v>
      </x:c>
      <x:c r="C69" s="23" t="n">
        <x:v>140500</x:v>
      </x:c>
      <x:c r="D69" s="23" t="n">
        <x:v>154500</x:v>
      </x:c>
      <x:c r="E69" s="23" t="n">
        <x:v>139280</x:v>
      </x:c>
      <x:c r="F69" s="23" t="n">
        <x:v>153940</x:v>
      </x:c>
      <x:c r="G69" s="28" t="n">
        <x:f>ROUND(F69-F68,1)</x:f>
        <x:v>13940</x:v>
      </x:c>
      <x:c r="H69" s="24" t="n">
        <x:f>IFERROR(F69/F68-1,"")</x:f>
        <x:v>0.09957142857142864</x:v>
      </x:c>
      <x:c r="I69" s="26" t="n">
        <x:f>ROUND(D69-E69,1)</x:f>
        <x:v>15220</x:v>
      </x:c>
      <x:c r="J69" s="22" t="str">
        <x:v>LC2609</x:v>
      </x:c>
      <x:c r="K69" s="22" t="n">
        <x:v>5</x:v>
      </x:c>
    </x:row>
    <x:row r="70">
      <x:c r="A70" s="22" t="n">
        <x:v>3</x:v>
      </x:c>
      <x:c r="B70" s="22" t="str">
        <x:v>8月17日-8月21日</x:v>
      </x:c>
      <x:c r="C70" s="23" t="n">
        <x:v>154300</x:v>
      </x:c>
      <x:c r="D70" s="23" t="n">
        <x:v>157000</x:v>
      </x:c>
      <x:c r="E70" s="23" t="n">
        <x:v>148400</x:v>
      </x:c>
      <x:c r="F70" s="23" t="n">
        <x:v>156140</x:v>
      </x:c>
      <x:c r="G70" s="28" t="n">
        <x:f>ROUND(F70-F69,1)</x:f>
        <x:v>2200</x:v>
      </x:c>
      <x:c r="H70" s="24" t="n">
        <x:f>IFERROR(F70/F69-1,"")</x:f>
        <x:v>0.014291282317786091</x:v>
      </x:c>
      <x:c r="I70" s="26" t="n">
        <x:f>ROUND(D70-E70,1)</x:f>
        <x:v>8600</x:v>
      </x:c>
      <x:c r="J70" s="22" t="str">
        <x:v>LC2609</x:v>
      </x:c>
      <x:c r="K70" s="22" t="n">
        <x:v>5</x:v>
      </x:c>
    </x:row>
    <x:row r="71">
      <x:c r="A71" s="22" t="n">
        <x:v>4</x:v>
      </x:c>
      <x:c r="B71" s="22" t="str">
        <x:v>8月24日-8月26日</x:v>
      </x:c>
      <x:c r="C71" s="23" t="n">
        <x:v>158500</x:v>
      </x:c>
      <x:c r="D71" s="23" t="n">
        <x:v>160000</x:v>
      </x:c>
      <x:c r="E71" s="23" t="n">
        <x:v>147000</x:v>
      </x:c>
      <x:c r="F71" s="23" t="n">
        <x:v>150580</x:v>
      </x:c>
      <x:c r="G71" s="28" t="n">
        <x:f>ROUND(F71-F70,1)</x:f>
        <x:v>-5560</x:v>
      </x:c>
      <x:c r="H71" s="24" t="n">
        <x:f>IFERROR(F71/F70-1,"")</x:f>
        <x:v>-0.03560906878442427</x:v>
      </x:c>
      <x:c r="I71" s="26" t="n">
        <x:f>ROUND(D71-E71,1)</x:f>
        <x:v>13000</x:v>
      </x:c>
      <x:c r="J71" s="22" t="str">
        <x:v>LC2609</x:v>
      </x:c>
      <x:c r="K71" s="22" t="n">
        <x:v>3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46060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11515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7536.37</x:v>
      </x:c>
      <x:c r="E21" s="23" t="n">
        <x:v>7601.84</x:v>
      </x:c>
      <x:c r="F21" s="23" t="n">
        <x:v>7467.41</x:v>
      </x:c>
      <x:c r="G21" s="23" t="n">
        <x:v>7544.67</x:v>
      </x:c>
      <x:c r="H21" s="23" t="n">
        <x:v>17.2</x:v>
      </x:c>
      <x:c r="I21" s="24" t="n">
        <x:v>0.0022809697774826</x:v>
      </x:c>
      <x:c r="J21" s="23" t="n">
        <x:f>ROUND(E21-F21,1)</x:f>
        <x:v>134.4</x:v>
      </x:c>
      <x:c r="K21" s="22" t="str">
        <x:v>中证1000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3145.4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174.7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7714.84</x:v>
      </x:c>
      <x:c r="E21" s="23" t="n">
        <x:v>7833.6</x:v>
      </x:c>
      <x:c r="F21" s="23" t="n">
        <x:v>7699.42</x:v>
      </x:c>
      <x:c r="G21" s="23" t="n">
        <x:v>7770.53</x:v>
      </x:c>
      <x:c r="H21" s="23" t="n">
        <x:v>59.6</x:v>
      </x:c>
      <x:c r="I21" s="24" t="n">
        <x:v>0.007727981283734531</x:v>
      </x:c>
      <x:c r="J21" s="23" t="n">
        <x:f>ROUND(E21-F21,1)</x:f>
        <x:v>134.2</x:v>
      </x:c>
      <x:c r="K21" s="22" t="str">
        <x:v>中证500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3017.7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167.6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3881.74</x:v>
      </x:c>
      <x:c r="E21" s="23" t="n">
        <x:v>3926.44</x:v>
      </x:c>
      <x:c r="F21" s="23" t="n">
        <x:v>3881.74</x:v>
      </x:c>
      <x:c r="G21" s="23" t="n">
        <x:v>3912.52</x:v>
      </x:c>
      <x:c r="H21" s="23" t="n">
        <x:v>23.1</x:v>
      </x:c>
      <x:c r="I21" s="24" t="n">
        <x:v>0.005934016207988835</x:v>
      </x:c>
      <x:c r="J21" s="23" t="n">
        <x:f>ROUND(E21-F21,1)</x:f>
        <x:v>44.7</x:v>
      </x:c>
      <x:c r="K21" s="22" t="str">
        <x:v>上证指数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774.8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43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7380</x:v>
      </x:c>
      <x:c r="E20" s="23" t="n">
        <x:v>7509.6</x:v>
      </x:c>
      <x:c r="F20" s="23" t="n">
        <x:v>7300.2</x:v>
      </x:c>
      <x:c r="G20" s="23" t="n">
        <x:v>7466.4</x:v>
      </x:c>
      <x:c r="H20" s="23" t="n">
        <x:v>40.6</x:v>
      </x:c>
      <x:c r="I20" s="24" t="n">
        <x:v>0.005467424385251274</x:v>
      </x:c>
      <x:c r="J20" s="26" t="n">
        <x:f>ROUND(E20-F20,1)</x:f>
        <x:v>209.4</x:v>
      </x:c>
      <x:c r="K20" s="22" t="str">
        <x:v>IM2609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2945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173.2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7593</x:v>
      </x:c>
      <x:c r="E20" s="23" t="n">
        <x:v>7687.8</x:v>
      </x:c>
      <x:c r="F20" s="23" t="n">
        <x:v>7496</x:v>
      </x:c>
      <x:c r="G20" s="23" t="n">
        <x:v>7637</x:v>
      </x:c>
      <x:c r="H20" s="23" t="n">
        <x:v>8.6</x:v>
      </x:c>
      <x:c r="I20" s="24" t="n">
        <x:v>0.0011273661580410987</x:v>
      </x:c>
      <x:c r="J20" s="26" t="n">
        <x:f>ROUND(E20-F20,1)</x:f>
        <x:v>191.8</x:v>
      </x:c>
      <x:c r="K20" s="22" t="str">
        <x:v>IC2609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7633.8</x:v>
      </x:c>
      <x:c r="E21" s="23" t="n">
        <x:v>7783.2</x:v>
      </x:c>
      <x:c r="F21" s="23" t="n">
        <x:v>7604</x:v>
      </x:c>
      <x:c r="G21" s="23" t="n">
        <x:v>7708.8</x:v>
      </x:c>
      <x:c r="H21" s="23" t="n">
        <x:v>71.8</x:v>
      </x:c>
      <x:c r="I21" s="24" t="n">
        <x:v>0.00940159748592384</x:v>
      </x:c>
      <x:c r="J21" s="26" t="n">
        <x:f>ROUND(E21-F21,1)</x:f>
        <x:v>179.2</x:v>
      </x:c>
      <x:c r="K21" s="22" t="str">
        <x:v>IC2609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3055.6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169.8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4510</x:v>
      </x:c>
      <x:c r="E20" s="23" t="n">
        <x:v>4544.2</x:v>
      </x:c>
      <x:c r="F20" s="23" t="n">
        <x:v>4488</x:v>
      </x:c>
      <x:c r="G20" s="23" t="n">
        <x:v>4521.8</x:v>
      </x:c>
      <x:c r="H20" s="23" t="n">
        <x:v>-4.6</x:v>
      </x:c>
      <x:c r="I20" s="24" t="n">
        <x:v>-0.0010162601626014789</x:v>
      </x:c>
      <x:c r="J20" s="23" t="n">
        <x:f>ROUND(E20-F20,1)</x:f>
        <x:v>56.2</x:v>
      </x:c>
      <x:c r="K20" s="22" t="str">
        <x:v>IF2609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1091.2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64.2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2855.2</x:v>
      </x:c>
      <x:c r="E20" s="23" t="n">
        <x:v>2864.4</x:v>
      </x:c>
      <x:c r="F20" s="23" t="n">
        <x:v>2840</x:v>
      </x:c>
      <x:c r="G20" s="23" t="n">
        <x:v>2855.2</x:v>
      </x:c>
      <x:c r="H20" s="23" t="n">
        <x:v>4.2</x:v>
      </x:c>
      <x:c r="I20" s="24" t="n">
        <x:v>0.001473167309715917</x:v>
      </x:c>
      <x:c r="J20" s="23" t="n">
        <x:f>ROUND(E20-F20,1)</x:f>
        <x:v>24.4</x:v>
      </x:c>
      <x:c r="K20" s="22" t="str">
        <x:v>IH2609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2850</x:v>
      </x:c>
      <x:c r="E21" s="23" t="n">
        <x:v>2903.8</x:v>
      </x:c>
      <x:c r="F21" s="23" t="n">
        <x:v>2850</x:v>
      </x:c>
      <x:c r="G21" s="23" t="n">
        <x:v>2888.8</x:v>
      </x:c>
      <x:c r="H21" s="23" t="n">
        <x:v>33.6</x:v>
      </x:c>
      <x:c r="I21" s="24" t="n">
        <x:v>0.0117680022415243</x:v>
      </x:c>
      <x:c r="J21" s="23" t="n">
        <x:f>ROUND(E21-F21,1)</x:f>
        <x:v>53.8</x:v>
      </x:c>
      <x:c r="K21" s="22" t="str">
        <x:v>IH2609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616.2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34.2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156000</x:v>
      </x:c>
      <x:c r="E20" s="23" t="n">
        <x:v>157980</x:v>
      </x:c>
      <x:c r="F20" s="23" t="n">
        <x:v>149300</x:v>
      </x:c>
      <x:c r="G20" s="23" t="n">
        <x:v>149300</x:v>
      </x:c>
      <x:c r="H20" s="28" t="n">
        <x:v>-7700</x:v>
      </x:c>
      <x:c r="I20" s="24" t="n">
        <x:v>-0.049044585987261136</x:v>
      </x:c>
      <x:c r="J20" s="26" t="n">
        <x:f>ROUND(E20-F20,1)</x:f>
        <x:v>8680</x:v>
      </x:c>
      <x:c r="K20" s="22" t="str">
        <x:v>LC2609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147000</x:v>
      </x:c>
      <x:c r="E21" s="23" t="n">
        <x:v>153380</x:v>
      </x:c>
      <x:c r="F21" s="23" t="n">
        <x:v>147000</x:v>
      </x:c>
      <x:c r="G21" s="23" t="n">
        <x:v>150580</x:v>
      </x:c>
      <x:c r="H21" s="28" t="n">
        <x:v>1280</x:v>
      </x:c>
      <x:c r="I21" s="24" t="n">
        <x:v>0.008573342263898276</x:v>
      </x:c>
      <x:c r="J21" s="26" t="n">
        <x:f>ROUND(E21-F21,1)</x:f>
        <x:v>6380</x:v>
      </x:c>
      <x:c r="K21" s="22" t="str">
        <x:v>LC2609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94880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5271.1</x:v>
      </x:c>
      <x:c r="K25" s="30"/>
    </x:row>
  </x:sheetData>
  <x:mergeCells>
    <x:mergeCell ref="A1:K1"/>
  </x:mergeCells>
  <x:pageMargins left="0.7" right="0.7" top="0.75" bottom="0.75" header="0.3" footer="0.3"/>
</x:worksheet>
</file>