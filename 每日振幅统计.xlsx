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defd41013848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98ac79c3045459d"/>
    <x:sheet xmlns:r="http://schemas.openxmlformats.org/officeDocument/2006/relationships" name="周振幅统计" sheetId="2" r:id="R1e32235e70044422"/>
    <x:sheet xmlns:r="http://schemas.openxmlformats.org/officeDocument/2006/relationships" name="中证1000" sheetId="3" r:id="R0b9589bb1ba14263"/>
    <x:sheet xmlns:r="http://schemas.openxmlformats.org/officeDocument/2006/relationships" name="中证500" sheetId="4" r:id="R6392955afe0b4682"/>
    <x:sheet xmlns:r="http://schemas.openxmlformats.org/officeDocument/2006/relationships" name="上证指数" sheetId="5" r:id="R7d61c55e94f94707"/>
    <x:sheet xmlns:r="http://schemas.openxmlformats.org/officeDocument/2006/relationships" name="IM主力" sheetId="6" r:id="Rbb1f9abae6034c84"/>
    <x:sheet xmlns:r="http://schemas.openxmlformats.org/officeDocument/2006/relationships" name="IC主力" sheetId="7" r:id="R4fc77a555c104581"/>
    <x:sheet xmlns:r="http://schemas.openxmlformats.org/officeDocument/2006/relationships" name="IF主力" sheetId="8" r:id="Ra6661a5e253e411b"/>
    <x:sheet xmlns:r="http://schemas.openxmlformats.org/officeDocument/2006/relationships" name="IH主力" sheetId="9" r:id="Rb7f814ceaa614b60"/>
    <x:sheet xmlns:r="http://schemas.openxmlformats.org/officeDocument/2006/relationships" name="碳酸锂2610" sheetId="10" r:id="R6c6e19d67c184b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a3ae76471f41a6" /><Relationship Type="http://schemas.openxmlformats.org/officeDocument/2006/relationships/theme" Target="/xl/theme/theme1.xml" Id="Re09cc0e466604529" /><Relationship Type="http://schemas.openxmlformats.org/officeDocument/2006/relationships/sharedStrings" Target="/xl/sharedStrings.xml" Id="Rfc3097badfcf4b62" /><Relationship Type="http://schemas.openxmlformats.org/officeDocument/2006/relationships/worksheet" Target="/xl/worksheets/sheet1.xml" Id="R798ac79c3045459d" /><Relationship Type="http://schemas.openxmlformats.org/officeDocument/2006/relationships/worksheet" Target="/xl/worksheets/sheet2.xml" Id="R1e32235e70044422" /><Relationship Type="http://schemas.openxmlformats.org/officeDocument/2006/relationships/worksheet" Target="/xl/worksheets/sheet3.xml" Id="R0b9589bb1ba14263" /><Relationship Type="http://schemas.openxmlformats.org/officeDocument/2006/relationships/worksheet" Target="/xl/worksheets/sheet4.xml" Id="R6392955afe0b4682" /><Relationship Type="http://schemas.openxmlformats.org/officeDocument/2006/relationships/worksheet" Target="/xl/worksheets/sheet5.xml" Id="R7d61c55e94f94707" /><Relationship Type="http://schemas.openxmlformats.org/officeDocument/2006/relationships/worksheet" Target="/xl/worksheets/sheet6.xml" Id="Rbb1f9abae6034c84" /><Relationship Type="http://schemas.openxmlformats.org/officeDocument/2006/relationships/worksheet" Target="/xl/worksheets/sheet7.xml" Id="R4fc77a555c104581" /><Relationship Type="http://schemas.openxmlformats.org/officeDocument/2006/relationships/worksheet" Target="/xl/worksheets/sheet8.xml" Id="Ra6661a5e253e411b" /><Relationship Type="http://schemas.openxmlformats.org/officeDocument/2006/relationships/worksheet" Target="/xl/worksheets/sheet9.xml" Id="Rb7f814ceaa614b60" /><Relationship Type="http://schemas.openxmlformats.org/officeDocument/2006/relationships/worksheet" Target="/xl/worksheets/sheet10.xml" Id="R6c6e19d67c184b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18</x:v>
      </x:c>
      <x:c r="G4" s="10" t="n">
        <x:v>2268.3</x:v>
      </x:c>
      <x:c r="H4" s="10" t="n">
        <x:v>126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18</x:v>
      </x:c>
      <x:c r="G5" s="10" t="n">
        <x:v>2109.5</x:v>
      </x:c>
      <x:c r="H5" s="10" t="n">
        <x:v>117.2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18</x:v>
      </x:c>
      <x:c r="G6" s="10" t="n">
        <x:v>610.8</x:v>
      </x:c>
      <x:c r="H6" s="10" t="n">
        <x:v>33.9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18</x:v>
      </x:c>
      <x:c r="G7" s="10" t="n">
        <x:v>2550.4</x:v>
      </x:c>
      <x:c r="H7" s="10" t="n">
        <x:v>141.7</x:v>
      </x:c>
      <x:c r="I7" s="10" t="n">
        <x:v>190</x:v>
      </x:c>
    </x:row>
    <x:row r="8">
      <x:c r="A8" s="9" t="str">
        <x:v>IC主力</x:v>
      </x:c>
      <x:c r="B8" s="9" t="str">
        <x:v>2026-09-24</x:v>
      </x:c>
      <x:c r="C8" s="10" t="n">
        <x:v>7639.6</x:v>
      </x:c>
      <x:c r="D8" s="10" t="n">
        <x:v>7450</x:v>
      </x:c>
      <x:c r="E8" s="12" t="n">
        <x:v>189.6</x:v>
      </x:c>
      <x:c r="F8" s="9" t="n">
        <x:v>18</x:v>
      </x:c>
      <x:c r="G8" s="10" t="n">
        <x:v>2489.8</x:v>
      </x:c>
      <x:c r="H8" s="10" t="n">
        <x:v>138.3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18</x:v>
      </x:c>
      <x:c r="G9" s="10" t="n">
        <x:v>929</x:v>
      </x:c>
      <x:c r="H9" s="10" t="n">
        <x:v>51.6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18</x:v>
      </x:c>
      <x:c r="G10" s="10" t="n">
        <x:v>554</x:v>
      </x:c>
      <x:c r="H10" s="10" t="n">
        <x:v>30.8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18</x:v>
      </x:c>
      <x:c r="G11" s="10" t="n">
        <x:v>108320</x:v>
      </x:c>
      <x:c r="H11" s="10" t="n">
        <x:v>6017.8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1408.5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352.1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9月21日-9月24日</x:v>
      </x:c>
      <x:c r="C17" s="23" t="n">
        <x:v>7829.82</x:v>
      </x:c>
      <x:c r="D17" s="23" t="n">
        <x:v>7922.62</x:v>
      </x:c>
      <x:c r="E17" s="23" t="n">
        <x:v>7624.07</x:v>
      </x:c>
      <x:c r="F17" s="23" t="n">
        <x:v>7624.07</x:v>
      </x:c>
      <x:c r="G17" s="28" t="n">
        <x:f>ROUND(F17-F16,1)</x:f>
        <x:v>-175.5</x:v>
      </x:c>
      <x:c r="H17" s="24" t="n">
        <x:f>IFERROR(F17/F16-1,"")</x:f>
        <x:v>-0.02250625351780411</x:v>
      </x:c>
      <x:c r="I17" s="26" t="n">
        <x:f>ROUND(D17-E17,1)</x:f>
        <x:v>298.6</x:v>
      </x:c>
      <x:c r="J17" s="22" t="str">
        <x:v>中证500</x:v>
      </x:c>
      <x:c r="K17" s="22" t="n">
        <x:v>4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1355.1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338.8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9月21日-9月24日</x:v>
      </x:c>
      <x:c r="C26" s="23" t="n">
        <x:v>3920.27</x:v>
      </x:c>
      <x:c r="D26" s="23" t="n">
        <x:v>3967.68</x:v>
      </x:c>
      <x:c r="E26" s="23" t="n">
        <x:v>3888.37</x:v>
      </x:c>
      <x:c r="F26" s="23" t="n">
        <x:v>3888.37</x:v>
      </x:c>
      <x:c r="G26" s="23" t="n">
        <x:f>ROUND(F26-F25,1)</x:f>
        <x:v>-23.5</x:v>
      </x:c>
      <x:c r="H26" s="24" t="n">
        <x:f>IFERROR(F26/F25-1,"")</x:f>
        <x:v>-0.00600735709519995</x:v>
      </x:c>
      <x:c r="I26" s="26" t="n">
        <x:f>ROUND(D26-E26,1)</x:f>
        <x:v>79.3</x:v>
      </x:c>
      <x:c r="J26" s="22" t="str">
        <x:v>上证指数</x:v>
      </x:c>
      <x:c r="K26" s="22" t="n">
        <x:v>4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342.4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85.6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9月21日-9月24日</x:v>
      </x:c>
      <x:c r="C35" s="23" t="n">
        <x:v>7549</x:v>
      </x:c>
      <x:c r="D35" s="23" t="n">
        <x:v>7687</x:v>
      </x:c>
      <x:c r="E35" s="23" t="n">
        <x:v>7386</x:v>
      </x:c>
      <x:c r="F35" s="23" t="n">
        <x:v>7391</x:v>
      </x:c>
      <x:c r="G35" s="28" t="n">
        <x:f>ROUND(F35-F34,1)</x:f>
        <x:v>-288.2</x:v>
      </x:c>
      <x:c r="H35" s="24" t="n">
        <x:f>IFERROR(F35/F34-1,"")</x:f>
        <x:v>-0.03752995103656631</x:v>
      </x:c>
      <x:c r="I35" s="26" t="n">
        <x:f>ROUND(D35-E35,1)</x:f>
        <x:v>301</x:v>
      </x:c>
      <x:c r="J35" s="22" t="str">
        <x:v>IM2612</x:v>
      </x:c>
      <x:c r="K35" s="22" t="n">
        <x:v>4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1474.2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368.6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9月21日-9月24日</x:v>
      </x:c>
      <x:c r="C44" s="23" t="n">
        <x:v>7688</x:v>
      </x:c>
      <x:c r="D44" s="23" t="n">
        <x:v>7780</x:v>
      </x:c>
      <x:c r="E44" s="23" t="n">
        <x:v>7450</x:v>
      </x:c>
      <x:c r="F44" s="23" t="n">
        <x:v>7451.6</x:v>
      </x:c>
      <x:c r="G44" s="28" t="n">
        <x:f>ROUND(F44-F43,1)</x:f>
        <x:v>-338.2</x:v>
      </x:c>
      <x:c r="H44" s="24" t="n">
        <x:f>IFERROR(F44/F43-1,"")</x:f>
        <x:v>-0.04341574879971244</x:v>
      </x:c>
      <x:c r="I44" s="26" t="n">
        <x:f>ROUND(D44-E44,1)</x:f>
        <x:v>330</x:v>
      </x:c>
      <x:c r="J44" s="22" t="str">
        <x:v>IC2612</x:v>
      </x:c>
      <x:c r="K44" s="22" t="n">
        <x:v>4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1431.2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357.8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9月21日-9月24日</x:v>
      </x:c>
      <x:c r="C53" s="23" t="n">
        <x:v>4451</x:v>
      </x:c>
      <x:c r="D53" s="23" t="n">
        <x:v>4520</x:v>
      </x:c>
      <x:c r="E53" s="23" t="n">
        <x:v>4367</x:v>
      </x:c>
      <x:c r="F53" s="23" t="n">
        <x:v>4375</x:v>
      </x:c>
      <x:c r="G53" s="23" t="n">
        <x:f>ROUND(F53-F52,1)</x:f>
        <x:v>-133</x:v>
      </x:c>
      <x:c r="H53" s="24" t="n">
        <x:f>IFERROR(F53/F52-1,"")</x:f>
        <x:v>-0.029503105590062084</x:v>
      </x:c>
      <x:c r="I53" s="26" t="n">
        <x:f>ROUND(D53-E53,1)</x:f>
        <x:v>153</x:v>
      </x:c>
      <x:c r="J53" s="22" t="str">
        <x:v>IF2612</x:v>
      </x:c>
      <x:c r="K53" s="22" t="n">
        <x:v>4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514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128.5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9月21日-9月24日</x:v>
      </x:c>
      <x:c r="C62" s="23" t="n">
        <x:v>2830</x:v>
      </x:c>
      <x:c r="D62" s="23" t="n">
        <x:v>2881.2</x:v>
      </x:c>
      <x:c r="E62" s="23" t="n">
        <x:v>2798</x:v>
      </x:c>
      <x:c r="F62" s="23" t="n">
        <x:v>2804.6</x:v>
      </x:c>
      <x:c r="G62" s="23" t="n">
        <x:f>ROUND(F62-F61,1)</x:f>
        <x:v>-57.6</x:v>
      </x:c>
      <x:c r="H62" s="24" t="n">
        <x:f>IFERROR(F62/F61-1,"")</x:f>
        <x:v>-0.02012437984766957</x:v>
      </x:c>
      <x:c r="I62" s="26" t="n">
        <x:f>ROUND(D62-E62,1)</x:f>
        <x:v>83.2</x:v>
      </x:c>
      <x:c r="J62" s="22" t="str">
        <x:v>IH2612</x:v>
      </x:c>
      <x:c r="K62" s="22" t="n">
        <x:v>4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289.6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72.4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9月21日-9月24日</x:v>
      </x:c>
      <x:c r="C71" s="23" t="n">
        <x:v>128500</x:v>
      </x:c>
      <x:c r="D71" s="23" t="n">
        <x:v>136560</x:v>
      </x:c>
      <x:c r="E71" s="23" t="n">
        <x:v>125000</x:v>
      </x:c>
      <x:c r="F71" s="23" t="n">
        <x:v>125980</x:v>
      </x:c>
      <x:c r="G71" s="28" t="n">
        <x:f>ROUND(F71-F70,1)</x:f>
        <x:v>-2600</x:v>
      </x:c>
      <x:c r="H71" s="24" t="n">
        <x:f>IFERROR(F71/F70-1,"")</x:f>
        <x:v>-0.02022087416394458</x:v>
      </x:c>
      <x:c r="I71" s="26" t="n">
        <x:f>ROUND(D71-E71,1)</x:f>
        <x:v>11560</x:v>
      </x:c>
      <x:c r="J71" s="22" t="str">
        <x:v>LC2610</x:v>
      </x:c>
      <x:c r="K71" s="22" t="n">
        <x:v>4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58740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14685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2268.2999999999997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126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2109.4999999999995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117.2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610.8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33.9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2550.3999999999996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141.7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2489.7999999999997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138.3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928.9999999999999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51.6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554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30.8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108320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6017.8</x:v>
      </x:c>
      <x:c r="K25" s="30"/>
    </x:row>
  </x:sheetData>
  <x:mergeCells>
    <x:mergeCell ref="A1:K1"/>
  </x:mergeCells>
  <x:pageMargins left="0.7" right="0.7" top="0.75" bottom="0.75" header="0.3" footer="0.3"/>
</x:worksheet>
</file>