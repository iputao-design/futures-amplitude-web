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24bcea74664e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14655d492dd4e41"/>
    <x:sheet xmlns:r="http://schemas.openxmlformats.org/officeDocument/2006/relationships" name="中证1000" sheetId="2" r:id="R63665d8505b54c0b"/>
    <x:sheet xmlns:r="http://schemas.openxmlformats.org/officeDocument/2006/relationships" name="中证500" sheetId="3" r:id="R2a3b94c57eb44308"/>
    <x:sheet xmlns:r="http://schemas.openxmlformats.org/officeDocument/2006/relationships" name="上证指数" sheetId="4" r:id="Rc28ddba8238045d9"/>
    <x:sheet xmlns:r="http://schemas.openxmlformats.org/officeDocument/2006/relationships" name="IM主力" sheetId="5" r:id="Rb1f571463aa24452"/>
    <x:sheet xmlns:r="http://schemas.openxmlformats.org/officeDocument/2006/relationships" name="IC主力" sheetId="6" r:id="R05d5c033756346d3"/>
    <x:sheet xmlns:r="http://schemas.openxmlformats.org/officeDocument/2006/relationships" name="IF主力" sheetId="7" r:id="Rdabfcbebac744bfe"/>
    <x:sheet xmlns:r="http://schemas.openxmlformats.org/officeDocument/2006/relationships" name="IH主力" sheetId="8" r:id="R103bacfe40af47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7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6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818679f8174aaa" /><Relationship Type="http://schemas.openxmlformats.org/officeDocument/2006/relationships/theme" Target="/xl/theme/theme1.xml" Id="Rc761bc8704424797" /><Relationship Type="http://schemas.openxmlformats.org/officeDocument/2006/relationships/sharedStrings" Target="/xl/sharedStrings.xml" Id="R2418acb114154de3" /><Relationship Type="http://schemas.openxmlformats.org/officeDocument/2006/relationships/worksheet" Target="/xl/worksheets/sheet1.xml" Id="Rb14655d492dd4e41" /><Relationship Type="http://schemas.openxmlformats.org/officeDocument/2006/relationships/worksheet" Target="/xl/worksheets/sheet2.xml" Id="R63665d8505b54c0b" /><Relationship Type="http://schemas.openxmlformats.org/officeDocument/2006/relationships/worksheet" Target="/xl/worksheets/sheet3.xml" Id="R2a3b94c57eb44308" /><Relationship Type="http://schemas.openxmlformats.org/officeDocument/2006/relationships/worksheet" Target="/xl/worksheets/sheet4.xml" Id="Rc28ddba8238045d9" /><Relationship Type="http://schemas.openxmlformats.org/officeDocument/2006/relationships/worksheet" Target="/xl/worksheets/sheet5.xml" Id="Rb1f571463aa24452" /><Relationship Type="http://schemas.openxmlformats.org/officeDocument/2006/relationships/worksheet" Target="/xl/worksheets/sheet6.xml" Id="R05d5c033756346d3" /><Relationship Type="http://schemas.openxmlformats.org/officeDocument/2006/relationships/worksheet" Target="/xl/worksheets/sheet7.xml" Id="Rdabfcbebac744bfe" /><Relationship Type="http://schemas.openxmlformats.org/officeDocument/2006/relationships/worksheet" Target="/xl/worksheets/sheet8.xml" Id="R103bacfe40af47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2026-07-07</x:v>
      </x:c>
      <x:c r="C4" s="10" t="n">
        <x:v>8489.476</x:v>
      </x:c>
      <x:c r="D4" s="10" t="n">
        <x:v>8261.398</x:v>
      </x:c>
      <x:c r="E4" s="12" t="n">
        <x:v>228.1</x:v>
      </x:c>
      <x:c r="F4" s="9" t="n">
        <x:v>5</x:v>
      </x:c>
      <x:c r="G4" s="10" t="n">
        <x:v>1076</x:v>
      </x:c>
      <x:c r="H4" s="10" t="n">
        <x:v>215.2</x:v>
      </x:c>
      <x:c r="I4" s="10" t="n">
        <x:v>180</x:v>
      </x:c>
    </x:row>
    <x:row r="5">
      <x:c r="A5" s="9" t="str">
        <x:v>中证500</x:v>
      </x:c>
      <x:c r="B5" s="9" t="str">
        <x:v>2026-07-07</x:v>
      </x:c>
      <x:c r="C5" s="10" t="n">
        <x:v>8663.665</x:v>
      </x:c>
      <x:c r="D5" s="10" t="n">
        <x:v>8457.576</x:v>
      </x:c>
      <x:c r="E5" s="12" t="n">
        <x:v>206.1</x:v>
      </x:c>
      <x:c r="F5" s="9" t="n">
        <x:v>5</x:v>
      </x:c>
      <x:c r="G5" s="10" t="n">
        <x:v>1139.2</x:v>
      </x:c>
      <x:c r="H5" s="10" t="n">
        <x:v>227.8</x:v>
      </x:c>
      <x:c r="I5" s="10" t="n">
        <x:v>160</x:v>
      </x:c>
    </x:row>
    <x:row r="6">
      <x:c r="A6" s="9" t="str">
        <x:v>上证指数</x:v>
      </x:c>
      <x:c r="B6" s="9" t="str">
        <x:v>2026-07-07</x:v>
      </x:c>
      <x:c r="C6" s="10" t="n">
        <x:v>4028.514</x:v>
      </x:c>
      <x:c r="D6" s="10" t="n">
        <x:v>3971.713</x:v>
      </x:c>
      <x:c r="E6" s="12" t="n">
        <x:v>56.8</x:v>
      </x:c>
      <x:c r="F6" s="9" t="n">
        <x:v>5</x:v>
      </x:c>
      <x:c r="G6" s="10" t="n">
        <x:v>288.4</x:v>
      </x:c>
      <x:c r="H6" s="10" t="n">
        <x:v>57.7</x:v>
      </x:c>
      <x:c r="I6" s="10" t="n">
        <x:v>50</x:v>
      </x:c>
    </x:row>
    <x:row r="7">
      <x:c r="A7" s="9" t="str">
        <x:v>IM主力</x:v>
      </x:c>
      <x:c r="B7" s="9" t="str">
        <x:v>2026-07-07</x:v>
      </x:c>
      <x:c r="C7" s="10" t="n">
        <x:v>8274.2</x:v>
      </x:c>
      <x:c r="D7" s="10" t="n">
        <x:v>8068.8</x:v>
      </x:c>
      <x:c r="E7" s="12" t="n">
        <x:v>205.4</x:v>
      </x:c>
      <x:c r="F7" s="9" t="n">
        <x:v>5</x:v>
      </x:c>
      <x:c r="G7" s="10" t="n">
        <x:v>910.4</x:v>
      </x:c>
      <x:c r="H7" s="10" t="n">
        <x:v>182.1</x:v>
      </x:c>
      <x:c r="I7" s="10" t="n">
        <x:v>190</x:v>
      </x:c>
    </x:row>
    <x:row r="8">
      <x:c r="A8" s="9" t="str">
        <x:v>IC主力</x:v>
      </x:c>
      <x:c r="B8" s="9" t="str">
        <x:v>2026-07-07</x:v>
      </x:c>
      <x:c r="C8" s="10" t="n">
        <x:v>8478.8</x:v>
      </x:c>
      <x:c r="D8" s="10" t="n">
        <x:v>8281</x:v>
      </x:c>
      <x:c r="E8" s="12" t="n">
        <x:v>197.8</x:v>
      </x:c>
      <x:c r="F8" s="9" t="n">
        <x:v>5</x:v>
      </x:c>
      <x:c r="G8" s="10" t="n">
        <x:v>1052.8</x:v>
      </x:c>
      <x:c r="H8" s="10" t="n">
        <x:v>210.6</x:v>
      </x:c>
      <x:c r="I8" s="10" t="n">
        <x:v>150</x:v>
      </x:c>
    </x:row>
    <x:row r="9">
      <x:c r="A9" s="9" t="str">
        <x:v>IF主力</x:v>
      </x:c>
      <x:c r="B9" s="9" t="str">
        <x:v>2026-07-07</x:v>
      </x:c>
      <x:c r="C9" s="10" t="n">
        <x:v>4752.6</x:v>
      </x:c>
      <x:c r="D9" s="10" t="n">
        <x:v>4671.4</x:v>
      </x:c>
      <x:c r="E9" s="12" t="n">
        <x:v>81.2</x:v>
      </x:c>
      <x:c r="F9" s="9" t="n">
        <x:v>5</x:v>
      </x:c>
      <x:c r="G9" s="10" t="n">
        <x:v>436.4</x:v>
      </x:c>
      <x:c r="H9" s="10" t="n">
        <x:v>87.3</x:v>
      </x:c>
      <x:c r="I9" s="10" t="n">
        <x:v>90</x:v>
      </x:c>
    </x:row>
    <x:row r="10">
      <x:c r="A10" s="9" t="str">
        <x:v>IH主力</x:v>
      </x:c>
      <x:c r="B10" s="9" t="str">
        <x:v>2026-07-07</x:v>
      </x:c>
      <x:c r="C10" s="10" t="n">
        <x:v>2908.4</x:v>
      </x:c>
      <x:c r="D10" s="10" t="n">
        <x:v>2862.4</x:v>
      </x:c>
      <x:c r="E10" s="12" t="n">
        <x:v>46</x:v>
      </x:c>
      <x:c r="F10" s="9" t="n">
        <x:v>5</x:v>
      </x:c>
      <x:c r="G10" s="10" t="n">
        <x:v>242.8</x:v>
      </x:c>
      <x:c r="H10" s="10" t="n">
        <x:v>48.6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2026-07-07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3" t="n">
        <x:v>0.007587471477740637</x:v>
      </x:c>
      <x:c r="I4" s="22" t="n">
        <x:f>ROUND(E4-F4,1)</x:f>
        <x:v>137.5</x:v>
      </x:c>
      <x:c r="J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3" t="n">
        <x:v>-0.02830984281196791</x:v>
      </x:c>
      <x:c r="I5" s="25" t="n">
        <x:f>ROUND(E5-F5,1)</x:f>
        <x:v>267.1</x:v>
      </x:c>
      <x:c r="J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3" t="n">
        <x:v>-0.0005269361163289243</x:v>
      </x:c>
      <x:c r="I6" s="25" t="n">
        <x:f>ROUND(E6-F6,1)</x:f>
        <x:v>181.4</x:v>
      </x:c>
      <x:c r="J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3" t="n">
        <x:v>-0.01718937790960917</x:v>
      </x:c>
      <x:c r="I7" s="25" t="n">
        <x:f>ROUND(E7-F7,1)</x:f>
        <x:v>261.9</x:v>
      </x:c>
      <x:c r="J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3" t="n">
        <x:v>-0.02015897593691085</x:v>
      </x:c>
      <x:c r="I8" s="25" t="n">
        <x:f>ROUND(E8-F8,1)</x:f>
        <x:v>228.1</x:v>
      </x:c>
      <x:c r="J8" s="21" t="str">
        <x:v>中证1000</x:v>
      </x:c>
    </x:row>
    <x:row r="11">
      <x:c r="A11" s="28" t="str">
        <x:v>合计</x:v>
      </x:c>
      <x:c r="B11" s="29" t="n">
        <x:v>5</x:v>
      </x:c>
      <x:c r="C11" s="29"/>
      <x:c r="D11" s="29"/>
      <x:c r="E11" s="29"/>
      <x:c r="F11" s="29"/>
      <x:c r="G11" s="29"/>
      <x:c r="H11" s="29"/>
      <x:c r="I11" s="30" t="n">
        <x:f>SUM(I4:I8)</x:f>
        <x:v>1076</x:v>
      </x:c>
      <x:c r="J11" s="29"/>
    </x:row>
    <x:row r="12">
      <x:c r="A12" s="28" t="str">
        <x:v>均值</x:v>
      </x:c>
      <x:c r="B12" s="29"/>
      <x:c r="C12" s="29"/>
      <x:c r="D12" s="29"/>
      <x:c r="E12" s="29"/>
      <x:c r="F12" s="29"/>
      <x:c r="G12" s="29"/>
      <x:c r="H12" s="29"/>
      <x:c r="I12" s="32" t="n">
        <x:f>ROUND(IFERROR(AVERAGE(I4:I8),0),1)</x:f>
        <x:v>215.2</x:v>
      </x:c>
      <x:c r="J12" s="29"/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3" t="n">
        <x:v>-0.0002708335017277408</x:v>
      </x:c>
      <x:c r="I4" s="25" t="n">
        <x:f>ROUND(E4-F4,1)</x:f>
        <x:v>191.4</x:v>
      </x:c>
      <x:c r="J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3" t="n">
        <x:v>-0.03707603102160595</x:v>
      </x:c>
      <x:c r="I5" s="25" t="n">
        <x:f>ROUND(E5-F5,1)</x:f>
        <x:v>265.2</x:v>
      </x:c>
      <x:c r="J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3" t="n">
        <x:v>0.00587577247113491</x:v>
      </x:c>
      <x:c r="I6" s="25" t="n">
        <x:f>ROUND(E6-F6,1)</x:f>
        <x:v>224.3</x:v>
      </x:c>
      <x:c r="J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3" t="n">
        <x:v>-0.01076320077811288</x:v>
      </x:c>
      <x:c r="I7" s="25" t="n">
        <x:f>ROUND(E7-F7,1)</x:f>
        <x:v>252.2</x:v>
      </x:c>
      <x:c r="J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3" t="n">
        <x:v>-0.01645391228479398</x:v>
      </x:c>
      <x:c r="I8" s="25" t="n">
        <x:f>ROUND(E8-F8,1)</x:f>
        <x:v>206.1</x:v>
      </x:c>
      <x:c r="J8" s="21" t="str">
        <x:v>中证500</x:v>
      </x:c>
    </x:row>
    <x:row r="11">
      <x:c r="A11" s="28" t="str">
        <x:v>合计</x:v>
      </x:c>
      <x:c r="B11" s="29" t="n">
        <x:v>5</x:v>
      </x:c>
      <x:c r="C11" s="29"/>
      <x:c r="D11" s="29"/>
      <x:c r="E11" s="29"/>
      <x:c r="F11" s="29"/>
      <x:c r="G11" s="29"/>
      <x:c r="H11" s="29"/>
      <x:c r="I11" s="30" t="n">
        <x:f>SUM(I4:I8)</x:f>
        <x:v>1139.2</x:v>
      </x:c>
      <x:c r="J11" s="29"/>
    </x:row>
    <x:row r="12">
      <x:c r="A12" s="28" t="str">
        <x:v>均值</x:v>
      </x:c>
      <x:c r="B12" s="29"/>
      <x:c r="C12" s="29"/>
      <x:c r="D12" s="29"/>
      <x:c r="E12" s="29"/>
      <x:c r="F12" s="29"/>
      <x:c r="G12" s="29"/>
      <x:c r="H12" s="29"/>
      <x:c r="I12" s="32" t="n">
        <x:f>ROUND(IFERROR(AVERAGE(I4:I8),0),1)</x:f>
        <x:v>227.8</x:v>
      </x:c>
      <x:c r="J12" s="29"/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3" t="n">
        <x:v>0.004407975093768224</x:v>
      </x:c>
      <x:c r="I4" s="25" t="n">
        <x:f>ROUND(E4-F4,1)</x:f>
        <x:v>55.8</x:v>
      </x:c>
      <x:c r="J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3" t="n">
        <x:v>-0.020314192651816554</x:v>
      </x:c>
      <x:c r="I5" s="25" t="n">
        <x:f>ROUND(E5-F5,1)</x:f>
        <x:v>74.5</x:v>
      </x:c>
      <x:c r="J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3" t="n">
        <x:v>0.0036583150156965782</x:v>
      </x:c>
      <x:c r="I6" s="22" t="n">
        <x:f>ROUND(E6-F6,1)</x:f>
        <x:v>46.6</x:v>
      </x:c>
      <x:c r="J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3" t="n">
        <x:v>-0.000594760714533904</x:v>
      </x:c>
      <x:c r="I7" s="25" t="n">
        <x:f>ROUND(E7-F7,1)</x:f>
        <x:v>54.7</x:v>
      </x:c>
      <x:c r="J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3" t="n">
        <x:v>-0.01262063753730902</x:v>
      </x:c>
      <x:c r="I8" s="25" t="n">
        <x:f>ROUND(E8-F8,1)</x:f>
        <x:v>56.8</x:v>
      </x:c>
      <x:c r="J8" s="21" t="str">
        <x:v>上证指数</x:v>
      </x:c>
    </x:row>
    <x:row r="11">
      <x:c r="A11" s="28" t="str">
        <x:v>合计</x:v>
      </x:c>
      <x:c r="B11" s="29" t="n">
        <x:v>5</x:v>
      </x:c>
      <x:c r="C11" s="29"/>
      <x:c r="D11" s="29"/>
      <x:c r="E11" s="29"/>
      <x:c r="F11" s="29"/>
      <x:c r="G11" s="29"/>
      <x:c r="H11" s="29"/>
      <x:c r="I11" s="30" t="n">
        <x:f>SUM(I4:I8)</x:f>
        <x:v>288.40000000000003</x:v>
      </x:c>
      <x:c r="J11" s="29"/>
    </x:row>
    <x:row r="12">
      <x:c r="A12" s="28" t="str">
        <x:v>均值</x:v>
      </x:c>
      <x:c r="B12" s="29"/>
      <x:c r="C12" s="29"/>
      <x:c r="D12" s="29"/>
      <x:c r="E12" s="29"/>
      <x:c r="F12" s="29"/>
      <x:c r="G12" s="29"/>
      <x:c r="H12" s="29"/>
      <x:c r="I12" s="32" t="n">
        <x:f>ROUND(IFERROR(AVERAGE(I4:I8),0),1)</x:f>
        <x:v>57.7</x:v>
      </x:c>
      <x:c r="J12" s="29"/>
    </x:row>
  </x:sheetData>
  <x:mergeCells>
    <x:mergeCell ref="A1:J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3" t="n">
        <x:v>0.00157569201100638</x:v>
      </x:c>
      <x:c r="I4" s="22" t="n">
        <x:f>ROUND(E4-F4,1)</x:f>
        <x:v>149</x:v>
      </x:c>
      <x:c r="J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3" t="n">
        <x:v>-0.017305344228421116</x:v>
      </x:c>
      <x:c r="I5" s="25" t="n">
        <x:f>ROUND(E5-F5,1)</x:f>
        <x:v>212</x:v>
      </x:c>
      <x:c r="J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3" t="n">
        <x:v>0.00033452008315215664</x:v>
      </x:c>
      <x:c r="I6" s="22" t="n">
        <x:f>ROUND(E6-F6,1)</x:f>
        <x:v>137.2</x:v>
      </x:c>
      <x:c r="J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3" t="n">
        <x:v>-0.012898602651379432</x:v>
      </x:c>
      <x:c r="I7" s="25" t="n">
        <x:f>ROUND(E7-F7,1)</x:f>
        <x:v>206.8</x:v>
      </x:c>
      <x:c r="J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3" t="n">
        <x:v>-0.018124621899576532</x:v>
      </x:c>
      <x:c r="I8" s="25" t="n">
        <x:f>ROUND(E8-F8,1)</x:f>
        <x:v>205.4</x:v>
      </x:c>
      <x:c r="J8" s="21" t="str">
        <x:v>IM2609</x:v>
      </x:c>
    </x:row>
    <x:row r="11">
      <x:c r="A11" s="28" t="str">
        <x:v>合计</x:v>
      </x:c>
      <x:c r="B11" s="29" t="n">
        <x:v>5</x:v>
      </x:c>
      <x:c r="C11" s="29"/>
      <x:c r="D11" s="29"/>
      <x:c r="E11" s="29"/>
      <x:c r="F11" s="29"/>
      <x:c r="G11" s="29"/>
      <x:c r="H11" s="29"/>
      <x:c r="I11" s="30" t="n">
        <x:f>SUM(I4:I8)</x:f>
        <x:v>910.4</x:v>
      </x:c>
      <x:c r="J11" s="29"/>
    </x:row>
    <x:row r="12">
      <x:c r="A12" s="28" t="str">
        <x:v>均值</x:v>
      </x:c>
      <x:c r="B12" s="29"/>
      <x:c r="C12" s="29"/>
      <x:c r="D12" s="29"/>
      <x:c r="E12" s="29"/>
      <x:c r="F12" s="29"/>
      <x:c r="G12" s="29"/>
      <x:c r="H12" s="29"/>
      <x:c r="I12" s="32" t="n">
        <x:f>ROUND(IFERROR(AVERAGE(I4:I8),0),1)</x:f>
        <x:v>182.1</x:v>
      </x:c>
      <x:c r="J12" s="29"/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3" t="n">
        <x:v>-0.007969941933280156</x:v>
      </x:c>
      <x:c r="I4" s="25" t="n">
        <x:f>ROUND(E4-F4,1)</x:f>
        <x:v>217</x:v>
      </x:c>
      <x:c r="J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3" t="n">
        <x:v>-0.025823482153104593</x:v>
      </x:c>
      <x:c r="I5" s="25" t="n">
        <x:f>ROUND(E5-F5,1)</x:f>
        <x:v>221.8</x:v>
      </x:c>
      <x:c r="J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3" t="n">
        <x:v>0.005890669180018904</x:v>
      </x:c>
      <x:c r="I6" s="25" t="n">
        <x:f>ROUND(E6-F6,1)</x:f>
        <x:v>208</x:v>
      </x:c>
      <x:c r="J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3" t="n">
        <x:v>-0.008315764816116178</x:v>
      </x:c>
      <x:c r="I7" s="25" t="n">
        <x:f>ROUND(E7-F7,1)</x:f>
        <x:v>208.2</x:v>
      </x:c>
      <x:c r="J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3" t="n">
        <x:v>-0.01705444667532774</x:v>
      </x:c>
      <x:c r="I8" s="25" t="n">
        <x:f>ROUND(E8-F8,1)</x:f>
        <x:v>197.8</x:v>
      </x:c>
      <x:c r="J8" s="21" t="str">
        <x:v>IC2609</x:v>
      </x:c>
    </x:row>
    <x:row r="11">
      <x:c r="A11" s="28" t="str">
        <x:v>合计</x:v>
      </x:c>
      <x:c r="B11" s="29" t="n">
        <x:v>5</x:v>
      </x:c>
      <x:c r="C11" s="29"/>
      <x:c r="D11" s="29"/>
      <x:c r="E11" s="29"/>
      <x:c r="F11" s="29"/>
      <x:c r="G11" s="29"/>
      <x:c r="H11" s="29"/>
      <x:c r="I11" s="30" t="n">
        <x:f>SUM(I4:I8)</x:f>
        <x:v>1052.8</x:v>
      </x:c>
      <x:c r="J11" s="29"/>
    </x:row>
    <x:row r="12">
      <x:c r="A12" s="28" t="str">
        <x:v>均值</x:v>
      </x:c>
      <x:c r="B12" s="29"/>
      <x:c r="C12" s="29"/>
      <x:c r="D12" s="29"/>
      <x:c r="E12" s="29"/>
      <x:c r="F12" s="29"/>
      <x:c r="G12" s="29"/>
      <x:c r="H12" s="29"/>
      <x:c r="I12" s="32" t="n">
        <x:f>ROUND(IFERROR(AVERAGE(I4:I8),0),1)</x:f>
        <x:v>210.6</x:v>
      </x:c>
      <x:c r="J12" s="29"/>
    </x:row>
  </x:sheetData>
  <x:mergeCells>
    <x:mergeCell ref="A1:J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3" t="n">
        <x:v>-0.0050661065118003945</x:v>
      </x:c>
      <x:c r="I4" s="25" t="n">
        <x:f>ROUND(E4-F4,1)</x:f>
        <x:v>97.4</x:v>
      </x:c>
      <x:c r="J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3" t="n">
        <x:v>-0.02314124855108468</x:v>
      </x:c>
      <x:c r="I5" s="25" t="n">
        <x:f>ROUND(E5-F5,1)</x:f>
        <x:v>95.2</x:v>
      </x:c>
      <x:c r="J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3" t="n">
        <x:v>0.006950036021528216</x:v>
      </x:c>
      <x:c r="I6" s="22" t="n">
        <x:f>ROUND(E6-F6,1)</x:f>
        <x:v>82.4</x:v>
      </x:c>
      <x:c r="J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3" t="n">
        <x:v>0.00021042885400435196</x:v>
      </x:c>
      <x:c r="I7" s="22" t="n">
        <x:f>ROUND(E7-F7,1)</x:f>
        <x:v>80.2</x:v>
      </x:c>
      <x:c r="J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3" t="n">
        <x:v>-0.01047715223428436</x:v>
      </x:c>
      <x:c r="I8" s="22" t="n">
        <x:f>ROUND(E8-F8,1)</x:f>
        <x:v>81.2</x:v>
      </x:c>
      <x:c r="J8" s="21" t="str">
        <x:v>IF2609</x:v>
      </x:c>
    </x:row>
    <x:row r="11">
      <x:c r="A11" s="28" t="str">
        <x:v>合计</x:v>
      </x:c>
      <x:c r="B11" s="29" t="n">
        <x:v>5</x:v>
      </x:c>
      <x:c r="C11" s="29"/>
      <x:c r="D11" s="29"/>
      <x:c r="E11" s="29"/>
      <x:c r="F11" s="29"/>
      <x:c r="G11" s="29"/>
      <x:c r="H11" s="29"/>
      <x:c r="I11" s="30" t="n">
        <x:f>SUM(I4:I8)</x:f>
        <x:v>436.4</x:v>
      </x:c>
      <x:c r="J11" s="29"/>
    </x:row>
    <x:row r="12">
      <x:c r="A12" s="28" t="str">
        <x:v>均值</x:v>
      </x:c>
      <x:c r="B12" s="29"/>
      <x:c r="C12" s="29"/>
      <x:c r="D12" s="29"/>
      <x:c r="E12" s="29"/>
      <x:c r="F12" s="29"/>
      <x:c r="G12" s="29"/>
      <x:c r="H12" s="29"/>
      <x:c r="I12" s="32" t="n">
        <x:f>ROUND(IFERROR(AVERAGE(I4:I8),0),1)</x:f>
        <x:v>87.3</x:v>
      </x:c>
      <x:c r="J12" s="29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3" t="n">
        <x:v>-0.0011572498298162426</x:v>
      </x:c>
      <x:c r="I4" s="22" t="n">
        <x:f>ROUND(E4-F4,1)</x:f>
        <x:v>57.8</x:v>
      </x:c>
      <x:c r="J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3" t="n">
        <x:v>-0.02167245961970965</x:v>
      </x:c>
      <x:c r="I5" s="25" t="n">
        <x:f>ROUND(E5-F5,1)</x:f>
        <x:v>63</x:v>
      </x:c>
      <x:c r="J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3" t="n">
        <x:v>0.005433646812957216</x:v>
      </x:c>
      <x:c r="I6" s="22" t="n">
        <x:f>ROUND(E6-F6,1)</x:f>
        <x:v>38.4</x:v>
      </x:c>
      <x:c r="J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3" t="n">
        <x:v>0.00644356682602365</x:v>
      </x:c>
      <x:c r="I7" s="22" t="n">
        <x:f>ROUND(E7-F7,1)</x:f>
        <x:v>37.6</x:v>
      </x:c>
      <x:c r="J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3" t="n">
        <x:v>-0.01190967919592456</x:v>
      </x:c>
      <x:c r="I8" s="22" t="n">
        <x:f>ROUND(E8-F8,1)</x:f>
        <x:v>46</x:v>
      </x:c>
      <x:c r="J8" s="21" t="str">
        <x:v>IH2609</x:v>
      </x:c>
    </x:row>
    <x:row r="11">
      <x:c r="A11" s="28" t="str">
        <x:v>合计</x:v>
      </x:c>
      <x:c r="B11" s="29" t="n">
        <x:v>5</x:v>
      </x:c>
      <x:c r="C11" s="29"/>
      <x:c r="D11" s="29"/>
      <x:c r="E11" s="29"/>
      <x:c r="F11" s="29"/>
      <x:c r="G11" s="29"/>
      <x:c r="H11" s="29"/>
      <x:c r="I11" s="30" t="n">
        <x:f>SUM(I4:I8)</x:f>
        <x:v>242.79999999999998</x:v>
      </x:c>
      <x:c r="J11" s="29"/>
    </x:row>
    <x:row r="12">
      <x:c r="A12" s="28" t="str">
        <x:v>均值</x:v>
      </x:c>
      <x:c r="B12" s="29"/>
      <x:c r="C12" s="29"/>
      <x:c r="D12" s="29"/>
      <x:c r="E12" s="29"/>
      <x:c r="F12" s="29"/>
      <x:c r="G12" s="29"/>
      <x:c r="H12" s="29"/>
      <x:c r="I12" s="32" t="n">
        <x:f>ROUND(IFERROR(AVERAGE(I4:I8),0),1)</x:f>
        <x:v>48.6</x:v>
      </x:c>
      <x:c r="J12" s="29"/>
    </x:row>
  </x:sheetData>
  <x:mergeCells>
    <x:mergeCell ref="A1:J1"/>
  </x:mergeCells>
  <x:pageMargins left="0.7" right="0.7" top="0.75" bottom="0.75" header="0.3" footer="0.3"/>
</x:worksheet>
</file>