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64b845cda40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342cb50a6244bd6"/>
    <x:sheet xmlns:r="http://schemas.openxmlformats.org/officeDocument/2006/relationships" name="周振幅统计" sheetId="2" r:id="R5e46c218d3f94309"/>
    <x:sheet xmlns:r="http://schemas.openxmlformats.org/officeDocument/2006/relationships" name="中证1000" sheetId="3" r:id="Rb5f1158e97ca4969"/>
    <x:sheet xmlns:r="http://schemas.openxmlformats.org/officeDocument/2006/relationships" name="中证500" sheetId="4" r:id="R56eeea034f5c411b"/>
    <x:sheet xmlns:r="http://schemas.openxmlformats.org/officeDocument/2006/relationships" name="上证指数" sheetId="5" r:id="R33c8a99264e9493b"/>
    <x:sheet xmlns:r="http://schemas.openxmlformats.org/officeDocument/2006/relationships" name="IM主力" sheetId="6" r:id="R1ffd55d13c7440ca"/>
    <x:sheet xmlns:r="http://schemas.openxmlformats.org/officeDocument/2006/relationships" name="IC主力" sheetId="7" r:id="Reecbc1b6ccfe447b"/>
    <x:sheet xmlns:r="http://schemas.openxmlformats.org/officeDocument/2006/relationships" name="IF主力" sheetId="8" r:id="R9577debbf1054023"/>
    <x:sheet xmlns:r="http://schemas.openxmlformats.org/officeDocument/2006/relationships" name="IH主力" sheetId="9" r:id="Rbcfd2782d0fe4839"/>
    <x:sheet xmlns:r="http://schemas.openxmlformats.org/officeDocument/2006/relationships" name="碳酸锂2609" sheetId="10" r:id="Rbef552fdff6e47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16406ad7ea4e29" /><Relationship Type="http://schemas.openxmlformats.org/officeDocument/2006/relationships/theme" Target="/xl/theme/theme1.xml" Id="R210f5a916b654592" /><Relationship Type="http://schemas.openxmlformats.org/officeDocument/2006/relationships/sharedStrings" Target="/xl/sharedStrings.xml" Id="Rb55252e84a794fc8" /><Relationship Type="http://schemas.openxmlformats.org/officeDocument/2006/relationships/worksheet" Target="/xl/worksheets/sheet1.xml" Id="R3342cb50a6244bd6" /><Relationship Type="http://schemas.openxmlformats.org/officeDocument/2006/relationships/worksheet" Target="/xl/worksheets/sheet2.xml" Id="R5e46c218d3f94309" /><Relationship Type="http://schemas.openxmlformats.org/officeDocument/2006/relationships/worksheet" Target="/xl/worksheets/sheet3.xml" Id="Rb5f1158e97ca4969" /><Relationship Type="http://schemas.openxmlformats.org/officeDocument/2006/relationships/worksheet" Target="/xl/worksheets/sheet4.xml" Id="R56eeea034f5c411b" /><Relationship Type="http://schemas.openxmlformats.org/officeDocument/2006/relationships/worksheet" Target="/xl/worksheets/sheet5.xml" Id="R33c8a99264e9493b" /><Relationship Type="http://schemas.openxmlformats.org/officeDocument/2006/relationships/worksheet" Target="/xl/worksheets/sheet6.xml" Id="R1ffd55d13c7440ca" /><Relationship Type="http://schemas.openxmlformats.org/officeDocument/2006/relationships/worksheet" Target="/xl/worksheets/sheet7.xml" Id="Reecbc1b6ccfe447b" /><Relationship Type="http://schemas.openxmlformats.org/officeDocument/2006/relationships/worksheet" Target="/xl/worksheets/sheet8.xml" Id="R9577debbf1054023" /><Relationship Type="http://schemas.openxmlformats.org/officeDocument/2006/relationships/worksheet" Target="/xl/worksheets/sheet9.xml" Id="Rbcfd2782d0fe4839" /><Relationship Type="http://schemas.openxmlformats.org/officeDocument/2006/relationships/worksheet" Target="/xl/worksheets/sheet10.xml" Id="Rbef552fdff6e47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2026-08-24</x:v>
      </x:c>
      <x:c r="C4" s="10" t="n">
        <x:v>7633.34</x:v>
      </x:c>
      <x:c r="D4" s="10" t="n">
        <x:v>7377.72</x:v>
      </x:c>
      <x:c r="E4" s="12" t="n">
        <x:v>255.6</x:v>
      </x:c>
      <x:c r="F4" s="9" t="n">
        <x:v>16</x:v>
      </x:c>
      <x:c r="G4" s="10" t="n">
        <x:v>2802.9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2026-08-24</x:v>
      </x:c>
      <x:c r="C5" s="10" t="n">
        <x:v>7865.54</x:v>
      </x:c>
      <x:c r="D5" s="10" t="n">
        <x:v>7615.45</x:v>
      </x:c>
      <x:c r="E5" s="12" t="n">
        <x:v>250.1</x:v>
      </x:c>
      <x:c r="F5" s="9" t="n">
        <x:v>16</x:v>
      </x:c>
      <x:c r="G5" s="10" t="n">
        <x:v>2700.6</x:v>
      </x:c>
      <x:c r="H5" s="10" t="n">
        <x:v>168.8</x:v>
      </x:c>
      <x:c r="I5" s="10" t="n">
        <x:v>160</x:v>
      </x:c>
    </x:row>
    <x:row r="6">
      <x:c r="A6" s="9" t="str">
        <x:v>上证指数</x:v>
      </x:c>
      <x:c r="B6" s="9" t="str">
        <x:v>2026-08-24</x:v>
      </x:c>
      <x:c r="C6" s="10" t="n">
        <x:v>3910.24</x:v>
      </x:c>
      <x:c r="D6" s="10" t="n">
        <x:v>3855.35</x:v>
      </x:c>
      <x:c r="E6" s="12" t="n">
        <x:v>54.9</x:v>
      </x:c>
      <x:c r="F6" s="9" t="n">
        <x:v>16</x:v>
      </x:c>
      <x:c r="G6" s="10" t="n">
        <x:v>684.8</x:v>
      </x:c>
      <x:c r="H6" s="10" t="n">
        <x:v>42.8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</x:v>
      </x:c>
      <x:c r="G7" s="10" t="n">
        <x:v>2495.4</x:v>
      </x:c>
      <x:c r="H7" s="10" t="n">
        <x:v>166.4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16</x:v>
      </x:c>
      <x:c r="G8" s="10" t="n">
        <x:v>2684.6</x:v>
      </x:c>
      <x:c r="H8" s="10" t="n">
        <x:v>167.8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16</x:v>
      </x:c>
      <x:c r="G9" s="10" t="n">
        <x:v>1035</x:v>
      </x:c>
      <x:c r="H9" s="10" t="n">
        <x:v>64.7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16</x:v>
      </x:c>
      <x:c r="G10" s="10" t="n">
        <x:v>538</x:v>
      </x:c>
      <x:c r="H10" s="10" t="n">
        <x:v>33.6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16</x:v>
      </x:c>
      <x:c r="G11" s="10" t="n">
        <x:v>79820</x:v>
      </x:c>
      <x:c r="H11" s="10" t="n">
        <x:v>4988.8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</x:v>
      </x:c>
      <x:c r="C8" s="23" t="n">
        <x:v>7614.89</x:v>
      </x:c>
      <x:c r="D8" s="23" t="n">
        <x:v>7633.34</x:v>
      </x:c>
      <x:c r="E8" s="23" t="n">
        <x:v>7377.72</x:v>
      </x:c>
      <x:c r="F8" s="23" t="n">
        <x:v>7491.49</x:v>
      </x:c>
      <x:c r="G8" s="23" t="n">
        <x:f>ROUND(F8-F7,1)</x:f>
        <x:v>-110.3</x:v>
      </x:c>
      <x:c r="H8" s="24" t="n">
        <x:f>IFERROR(F8/F7-1,"")</x:f>
        <x:v>-0.014511036859691129</x:v>
      </x:c>
      <x:c r="I8" s="26" t="n">
        <x:f>ROUND(D8-E8,1)</x:f>
        <x:v>255.6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1679.9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420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</x:v>
      </x:c>
      <x:c r="C17" s="23" t="n">
        <x:v>7861.05</x:v>
      </x:c>
      <x:c r="D17" s="23" t="n">
        <x:v>7865.54</x:v>
      </x:c>
      <x:c r="E17" s="23" t="n">
        <x:v>7615.45</x:v>
      </x:c>
      <x:c r="F17" s="23" t="n">
        <x:v>7717.09</x:v>
      </x:c>
      <x:c r="G17" s="23" t="n">
        <x:f>ROUND(F17-F16,1)</x:f>
        <x:v>-137.2</x:v>
      </x:c>
      <x:c r="H17" s="24" t="n">
        <x:f>IFERROR(F17/F16-1,"")</x:f>
        <x:v>-0.017473164483794212</x:v>
      </x:c>
      <x:c r="I17" s="26" t="n">
        <x:f>ROUND(D17-E17,1)</x:f>
        <x:v>250.1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1535.4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383.9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</x:v>
      </x:c>
      <x:c r="C26" s="23" t="n">
        <x:v>3902.7</x:v>
      </x:c>
      <x:c r="D26" s="23" t="n">
        <x:v>3910.24</x:v>
      </x:c>
      <x:c r="E26" s="23" t="n">
        <x:v>3855.35</x:v>
      </x:c>
      <x:c r="F26" s="23" t="n">
        <x:v>3882.01</x:v>
      </x:c>
      <x:c r="G26" s="23" t="n">
        <x:f>ROUND(F26-F25,1)</x:f>
        <x:v>-23.2</x:v>
      </x:c>
      <x:c r="H26" s="24" t="n">
        <x:f>IFERROR(F26/F25-1,"")</x:f>
        <x:v>-0.005938236197889912</x:v>
      </x:c>
      <x:c r="I26" s="26" t="n">
        <x:f>ROUND(D26-E26,1)</x:f>
        <x:v>54.9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377.6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94.4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31" t="str">
        <x:v>合计</x:v>
      </x:c>
      <x:c r="B35" s="30" t="n">
        <x:v>3</x:v>
      </x:c>
      <x:c r="C35" s="30"/>
      <x:c r="D35" s="30"/>
      <x:c r="E35" s="30"/>
      <x:c r="F35" s="30"/>
      <x:c r="G35" s="30"/>
      <x:c r="H35" s="30"/>
      <x:c r="I35" s="32" t="n">
        <x:f>ROUND(SUM(I32:I34),1)</x:f>
        <x:v>1342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ROUND(IFERROR(AVERAGE(I32:I34),0),1)</x:f>
        <x:v>447.3</x:v>
      </x:c>
      <x:c r="J36" s="30"/>
      <x:c r="K36" s="30"/>
    </x:row>
    <x:row r="38">
      <x:c r="A38" s="17" t="str">
        <x:v>IC主力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7391</x:v>
      </x:c>
      <x:c r="D40" s="23" t="n">
        <x:v>7882.6</x:v>
      </x:c>
      <x:c r="E40" s="23" t="n">
        <x:v>7335</x:v>
      </x:c>
      <x:c r="F40" s="23" t="n">
        <x:v>7877.8</x:v>
      </x:c>
      <x:c r="G40" s="23"/>
      <x:c r="H40" s="24"/>
      <x:c r="I40" s="26" t="n">
        <x:f>ROUND(D40-E40,1)</x:f>
        <x:v>547.6</x:v>
      </x:c>
      <x:c r="J40" s="22" t="str">
        <x:v>IC2609</x:v>
      </x:c>
      <x:c r="K40" s="22" t="n">
        <x:v>5</x:v>
      </x:c>
    </x:row>
    <x:row r="41">
      <x:c r="A41" s="22" t="n">
        <x:v>2</x:v>
      </x:c>
      <x:c r="B41" s="22" t="str">
        <x:v>8月10日-8月14日</x:v>
      </x:c>
      <x:c r="C41" s="23" t="n">
        <x:v>7888</x:v>
      </x:c>
      <x:c r="D41" s="23" t="n">
        <x:v>8024</x:v>
      </x:c>
      <x:c r="E41" s="23" t="n">
        <x:v>7795.8</x:v>
      </x:c>
      <x:c r="F41" s="23" t="n">
        <x:v>7861.2</x:v>
      </x:c>
      <x:c r="G41" s="23" t="n">
        <x:f>ROUND(F41-F40,1)</x:f>
        <x:v>-16.6</x:v>
      </x:c>
      <x:c r="H41" s="24" t="n">
        <x:f>IFERROR(F41/F40-1,"")</x:f>
        <x:v>-0.0021071872857905127</x:v>
      </x:c>
      <x:c r="I41" s="26" t="n">
        <x:f>ROUND(D41-E41,1)</x:f>
        <x:v>228.2</x:v>
      </x:c>
      <x:c r="J41" s="22" t="str">
        <x:v>IC2609</x:v>
      </x:c>
      <x:c r="K41" s="22" t="n">
        <x:v>5</x:v>
      </x:c>
    </x:row>
    <x:row r="42">
      <x:c r="A42" s="22" t="n">
        <x:v>3</x:v>
      </x:c>
      <x:c r="B42" s="22" t="str">
        <x:v>8月17日-8月21日</x:v>
      </x:c>
      <x:c r="C42" s="23" t="n">
        <x:v>7885</x:v>
      </x:c>
      <x:c r="D42" s="23" t="n">
        <x:v>8091.8</x:v>
      </x:c>
      <x:c r="E42" s="23" t="n">
        <x:v>7669.6</x:v>
      </x:c>
      <x:c r="F42" s="23" t="n">
        <x:v>7762</x:v>
      </x:c>
      <x:c r="G42" s="23" t="n">
        <x:f>ROUND(F42-F41,1)</x:f>
        <x:v>-99.2</x:v>
      </x:c>
      <x:c r="H42" s="24" t="n">
        <x:f>IFERROR(F42/F41-1,"")</x:f>
        <x:v>-0.012618938584439965</x:v>
      </x:c>
      <x:c r="I42" s="26" t="n">
        <x:f>ROUND(D42-E42,1)</x:f>
        <x:v>422.2</x:v>
      </x:c>
      <x:c r="J42" s="22" t="str">
        <x:v>IC2609</x:v>
      </x:c>
      <x:c r="K42" s="22" t="n">
        <x:v>5</x:v>
      </x:c>
    </x:row>
    <x:row r="43">
      <x:c r="A43" s="22" t="n">
        <x:v>4</x:v>
      </x:c>
      <x:c r="B43" s="22" t="str">
        <x:v>8月24日</x:v>
      </x:c>
      <x:c r="C43" s="23" t="n">
        <x:v>7757</x:v>
      </x:c>
      <x:c r="D43" s="23" t="n">
        <x:v>7764.4</x:v>
      </x:c>
      <x:c r="E43" s="23" t="n">
        <x:v>7514.4</x:v>
      </x:c>
      <x:c r="F43" s="23" t="n">
        <x:v>7628.4</x:v>
      </x:c>
      <x:c r="G43" s="23" t="n">
        <x:f>ROUND(F43-F42,1)</x:f>
        <x:v>-133.6</x:v>
      </x:c>
      <x:c r="H43" s="24" t="n">
        <x:f>IFERROR(F43/F42-1,"")</x:f>
        <x:v>-0.01721205874774545</x:v>
      </x:c>
      <x:c r="I43" s="26" t="n">
        <x:f>ROUND(D43-E43,1)</x:f>
        <x:v>250</x:v>
      </x:c>
      <x:c r="J43" s="22" t="str">
        <x:v>IC2609</x:v>
      </x:c>
      <x:c r="K43" s="22" t="n">
        <x:v>1</x:v>
      </x:c>
    </x:row>
    <x:row r="44">
      <x:c r="A44" s="31" t="str">
        <x:v>合计</x:v>
      </x:c>
      <x:c r="B44" s="30" t="n">
        <x:v>4</x:v>
      </x:c>
      <x:c r="C44" s="30"/>
      <x:c r="D44" s="30"/>
      <x:c r="E44" s="30"/>
      <x:c r="F44" s="30"/>
      <x:c r="G44" s="30"/>
      <x:c r="H44" s="30"/>
      <x:c r="I44" s="32" t="n">
        <x:f>ROUND(SUM(I40:I43),1)</x:f>
        <x:v>1448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ROUND(IFERROR(AVERAGE(I40:I43),0),1)</x:f>
        <x:v>362</x:v>
      </x:c>
      <x:c r="J45" s="30"/>
      <x:c r="K45" s="30"/>
    </x:row>
    <x:row r="47">
      <x:c r="A47" s="17" t="str">
        <x:v>IF主力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8月3日-8月7日</x:v>
      </x:c>
      <x:c r="C49" s="23" t="n">
        <x:v>4526.4</x:v>
      </x:c>
      <x:c r="D49" s="23" t="n">
        <x:v>4656.2</x:v>
      </x:c>
      <x:c r="E49" s="23" t="n">
        <x:v>4494.2</x:v>
      </x:c>
      <x:c r="F49" s="23" t="n">
        <x:v>4645.6</x:v>
      </x:c>
      <x:c r="G49" s="23"/>
      <x:c r="H49" s="24"/>
      <x:c r="I49" s="26" t="n">
        <x:f>ROUND(D49-E49,1)</x:f>
        <x:v>162</x:v>
      </x:c>
      <x:c r="J49" s="22" t="str">
        <x:v>IF2609</x:v>
      </x:c>
      <x:c r="K49" s="22" t="n">
        <x:v>5</x:v>
      </x:c>
    </x:row>
    <x:row r="50">
      <x:c r="A50" s="22" t="n">
        <x:v>2</x:v>
      </x:c>
      <x:c r="B50" s="22" t="str">
        <x:v>8月10日-8月14日</x:v>
      </x:c>
      <x:c r="C50" s="23" t="n">
        <x:v>4656.8</x:v>
      </x:c>
      <x:c r="D50" s="23" t="n">
        <x:v>4681</x:v>
      </x:c>
      <x:c r="E50" s="23" t="n">
        <x:v>4598</x:v>
      </x:c>
      <x:c r="F50" s="23" t="n">
        <x:v>4620.4</x:v>
      </x:c>
      <x:c r="G50" s="23" t="n">
        <x:f>ROUND(F50-F49,1)</x:f>
        <x:v>-25.2</x:v>
      </x:c>
      <x:c r="H50" s="24" t="n">
        <x:f>IFERROR(F50/F49-1,"")</x:f>
        <x:v>-0.005424487687274104</x:v>
      </x:c>
      <x:c r="I50" s="23" t="n">
        <x:f>ROUND(D50-E50,1)</x:f>
        <x:v>83</x:v>
      </x:c>
      <x:c r="J50" s="22" t="str">
        <x:v>IF2609</x:v>
      </x:c>
      <x:c r="K50" s="22" t="n">
        <x:v>5</x:v>
      </x:c>
    </x:row>
    <x:row r="51">
      <x:c r="A51" s="22" t="n">
        <x:v>3</x:v>
      </x:c>
      <x:c r="B51" s="22" t="str">
        <x:v>8月17日-8月21日</x:v>
      </x:c>
      <x:c r="C51" s="23" t="n">
        <x:v>4624</x:v>
      </x:c>
      <x:c r="D51" s="23" t="n">
        <x:v>4700.6</x:v>
      </x:c>
      <x:c r="E51" s="23" t="n">
        <x:v>4531.8</x:v>
      </x:c>
      <x:c r="F51" s="23" t="n">
        <x:v>4576</x:v>
      </x:c>
      <x:c r="G51" s="23" t="n">
        <x:f>ROUND(F51-F50,1)</x:f>
        <x:v>-44.4</x:v>
      </x:c>
      <x:c r="H51" s="24" t="n">
        <x:f>IFERROR(F51/F50-1,"")</x:f>
        <x:v>-0.00960955761405935</x:v>
      </x:c>
      <x:c r="I51" s="26" t="n">
        <x:f>ROUND(D51-E51,1)</x:f>
        <x:v>168.8</x:v>
      </x:c>
      <x:c r="J51" s="22" t="str">
        <x:v>IF2609</x:v>
      </x:c>
      <x:c r="K51" s="22" t="n">
        <x:v>5</x:v>
      </x:c>
    </x:row>
    <x:row r="52">
      <x:c r="A52" s="22" t="n">
        <x:v>4</x:v>
      </x:c>
      <x:c r="B52" s="22" t="str">
        <x:v>8月24日</x:v>
      </x:c>
      <x:c r="C52" s="23" t="n">
        <x:v>4607.4</x:v>
      </x:c>
      <x:c r="D52" s="23" t="n">
        <x:v>4607.4</x:v>
      </x:c>
      <x:c r="E52" s="23" t="n">
        <x:v>4486.4</x:v>
      </x:c>
      <x:c r="F52" s="23" t="n">
        <x:v>4526.4</x:v>
      </x:c>
      <x:c r="G52" s="23" t="n">
        <x:f>ROUND(F52-F51,1)</x:f>
        <x:v>-49.6</x:v>
      </x:c>
      <x:c r="H52" s="24" t="n">
        <x:f>IFERROR(F52/F51-1,"")</x:f>
        <x:v>-0.010839160839160922</x:v>
      </x:c>
      <x:c r="I52" s="26" t="n">
        <x:f>ROUND(D52-E52,1)</x:f>
        <x:v>121</x:v>
      </x:c>
      <x:c r="J52" s="22" t="str">
        <x:v>IF2609</x:v>
      </x:c>
      <x:c r="K52" s="22" t="n">
        <x:v>1</x:v>
      </x:c>
    </x:row>
    <x:row r="53">
      <x:c r="A53" s="31" t="str">
        <x:v>合计</x:v>
      </x:c>
      <x:c r="B53" s="30" t="n">
        <x:v>4</x:v>
      </x:c>
      <x:c r="C53" s="30"/>
      <x:c r="D53" s="30"/>
      <x:c r="E53" s="30"/>
      <x:c r="F53" s="30"/>
      <x:c r="G53" s="30"/>
      <x:c r="H53" s="30"/>
      <x:c r="I53" s="32" t="n">
        <x:f>ROUND(SUM(I49:I52),1)</x:f>
        <x:v>534.8</x:v>
      </x:c>
      <x:c r="J53" s="30"/>
      <x:c r="K53" s="30"/>
    </x:row>
    <x:row r="54">
      <x:c r="A54" s="31" t="str">
        <x:v>均值</x:v>
      </x:c>
      <x:c r="B54" s="30"/>
      <x:c r="C54" s="30"/>
      <x:c r="D54" s="30"/>
      <x:c r="E54" s="30"/>
      <x:c r="F54" s="30"/>
      <x:c r="G54" s="30"/>
      <x:c r="H54" s="30"/>
      <x:c r="I54" s="34" t="n">
        <x:f>ROUND(IFERROR(AVERAGE(I49:I52),0),1)</x:f>
        <x:v>133.7</x:v>
      </x:c>
      <x:c r="J54" s="30"/>
      <x:c r="K54" s="30"/>
    </x:row>
    <x:row r="56">
      <x:c r="A56" s="17" t="str">
        <x:v>IH主力</x:v>
      </x:c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</x:row>
    <x:row r="57">
      <x:c r="A57" s="20" t="str">
        <x:v>序号</x:v>
      </x:c>
      <x:c r="B57" s="20" t="str">
        <x:v>周期</x:v>
      </x:c>
      <x:c r="C57" s="20" t="str">
        <x:v>开盘</x:v>
      </x:c>
      <x:c r="D57" s="20" t="str">
        <x:v>高点</x:v>
      </x:c>
      <x:c r="E57" s="20" t="str">
        <x:v>低点</x:v>
      </x:c>
      <x:c r="F57" s="20" t="str">
        <x:v>收盘</x:v>
      </x:c>
      <x:c r="G57" s="20" t="str">
        <x:v>涨跌点数</x:v>
      </x:c>
      <x:c r="H57" s="20" t="str">
        <x:v>涨幅</x:v>
      </x:c>
      <x:c r="I57" s="20" t="str">
        <x:v>振幅</x:v>
      </x:c>
      <x:c r="J57" s="20" t="str">
        <x:v>标的</x:v>
      </x:c>
      <x:c r="K57" s="20" t="str">
        <x:v>交易日</x:v>
      </x:c>
    </x:row>
    <x:row r="58">
      <x:c r="A58" s="22" t="n">
        <x:v>1</x:v>
      </x:c>
      <x:c r="B58" s="22" t="str">
        <x:v>8月3日-8月7日</x:v>
      </x:c>
      <x:c r="C58" s="23" t="n">
        <x:v>2882.4</x:v>
      </x:c>
      <x:c r="D58" s="23" t="n">
        <x:v>2930.6</x:v>
      </x:c>
      <x:c r="E58" s="23" t="n">
        <x:v>2845.8</x:v>
      </x:c>
      <x:c r="F58" s="23" t="n">
        <x:v>2930</x:v>
      </x:c>
      <x:c r="G58" s="23"/>
      <x:c r="H58" s="24"/>
      <x:c r="I58" s="26" t="n">
        <x:f>ROUND(D58-E58,1)</x:f>
        <x:v>84.8</x:v>
      </x:c>
      <x:c r="J58" s="22" t="str">
        <x:v>IH2609</x:v>
      </x:c>
      <x:c r="K58" s="22" t="n">
        <x:v>5</x:v>
      </x:c>
    </x:row>
    <x:row r="59">
      <x:c r="A59" s="22" t="n">
        <x:v>2</x:v>
      </x:c>
      <x:c r="B59" s="22" t="str">
        <x:v>8月10日-8月14日</x:v>
      </x:c>
      <x:c r="C59" s="23" t="n">
        <x:v>2930</x:v>
      </x:c>
      <x:c r="D59" s="23" t="n">
        <x:v>2949.6</x:v>
      </x:c>
      <x:c r="E59" s="23" t="n">
        <x:v>2877</x:v>
      </x:c>
      <x:c r="F59" s="23" t="n">
        <x:v>2890</x:v>
      </x:c>
      <x:c r="G59" s="23" t="n">
        <x:f>ROUND(F59-F58,1)</x:f>
        <x:v>-40</x:v>
      </x:c>
      <x:c r="H59" s="24" t="n">
        <x:f>IFERROR(F59/F58-1,"")</x:f>
        <x:v>-0.013651877133105783</x:v>
      </x:c>
      <x:c r="I59" s="26" t="n">
        <x:f>ROUND(D59-E59,1)</x:f>
        <x:v>72.6</x:v>
      </x:c>
      <x:c r="J59" s="22" t="str">
        <x:v>IH2609</x:v>
      </x:c>
      <x:c r="K59" s="22" t="n">
        <x:v>5</x:v>
      </x:c>
    </x:row>
    <x:row r="60">
      <x:c r="A60" s="22" t="n">
        <x:v>3</x:v>
      </x:c>
      <x:c r="B60" s="22" t="str">
        <x:v>8月17日-8月21日</x:v>
      </x:c>
      <x:c r="C60" s="23" t="n">
        <x:v>2886</x:v>
      </x:c>
      <x:c r="D60" s="23" t="n">
        <x:v>2921.2</x:v>
      </x:c>
      <x:c r="E60" s="23" t="n">
        <x:v>2843</x:v>
      </x:c>
      <x:c r="F60" s="23" t="n">
        <x:v>2861</x:v>
      </x:c>
      <x:c r="G60" s="23" t="n">
        <x:f>ROUND(F60-F59,1)</x:f>
        <x:v>-29</x:v>
      </x:c>
      <x:c r="H60" s="24" t="n">
        <x:f>IFERROR(F60/F59-1,"")</x:f>
        <x:v>-0.01003460207612461</x:v>
      </x:c>
      <x:c r="I60" s="26" t="n">
        <x:f>ROUND(D60-E60,1)</x:f>
        <x:v>78.2</x:v>
      </x:c>
      <x:c r="J60" s="22" t="str">
        <x:v>IH2609</x:v>
      </x:c>
      <x:c r="K60" s="22" t="n">
        <x:v>5</x:v>
      </x:c>
    </x:row>
    <x:row r="61">
      <x:c r="A61" s="22" t="n">
        <x:v>4</x:v>
      </x:c>
      <x:c r="B61" s="22" t="str">
        <x:v>8月24日</x:v>
      </x:c>
      <x:c r="C61" s="23" t="n">
        <x:v>2856.4</x:v>
      </x:c>
      <x:c r="D61" s="23" t="n">
        <x:v>2866.8</x:v>
      </x:c>
      <x:c r="E61" s="23" t="n">
        <x:v>2837.4</x:v>
      </x:c>
      <x:c r="F61" s="23" t="n">
        <x:v>2851</x:v>
      </x:c>
      <x:c r="G61" s="23" t="n">
        <x:f>ROUND(F61-F60,1)</x:f>
        <x:v>-10</x:v>
      </x:c>
      <x:c r="H61" s="24" t="n">
        <x:f>IFERROR(F61/F60-1,"")</x:f>
        <x:v>-0.003495281370150316</x:v>
      </x:c>
      <x:c r="I61" s="23" t="n">
        <x:f>ROUND(D61-E61,1)</x:f>
        <x:v>29.4</x:v>
      </x:c>
      <x:c r="J61" s="22" t="str">
        <x:v>IH2609</x:v>
      </x:c>
      <x:c r="K61" s="22" t="n">
        <x:v>1</x:v>
      </x:c>
    </x:row>
    <x:row r="62">
      <x:c r="A62" s="31" t="str">
        <x:v>合计</x:v>
      </x:c>
      <x:c r="B62" s="30" t="n">
        <x:v>4</x:v>
      </x:c>
      <x:c r="C62" s="30"/>
      <x:c r="D62" s="30"/>
      <x:c r="E62" s="30"/>
      <x:c r="F62" s="30"/>
      <x:c r="G62" s="30"/>
      <x:c r="H62" s="30"/>
      <x:c r="I62" s="32" t="n">
        <x:f>ROUND(SUM(I58:I61),1)</x:f>
        <x:v>265</x:v>
      </x:c>
      <x:c r="J62" s="30"/>
      <x:c r="K62" s="30"/>
    </x:row>
    <x:row r="63">
      <x:c r="A63" s="31" t="str">
        <x:v>均值</x:v>
      </x:c>
      <x:c r="B63" s="30"/>
      <x:c r="C63" s="30"/>
      <x:c r="D63" s="30"/>
      <x:c r="E63" s="30"/>
      <x:c r="F63" s="30"/>
      <x:c r="G63" s="30"/>
      <x:c r="H63" s="30"/>
      <x:c r="I63" s="34" t="n">
        <x:f>ROUND(IFERROR(AVERAGE(I58:I61),0),1)</x:f>
        <x:v>66.2</x:v>
      </x:c>
      <x:c r="J63" s="30"/>
      <x:c r="K63" s="30"/>
    </x:row>
    <x:row r="65">
      <x:c r="A65" s="17" t="str">
        <x:v>碳酸锂2609</x:v>
      </x:c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</x:row>
    <x:row r="66">
      <x:c r="A66" s="20" t="str">
        <x:v>序号</x:v>
      </x:c>
      <x:c r="B66" s="20" t="str">
        <x:v>周期</x:v>
      </x:c>
      <x:c r="C66" s="20" t="str">
        <x:v>开盘</x:v>
      </x:c>
      <x:c r="D66" s="20" t="str">
        <x:v>高点</x:v>
      </x:c>
      <x:c r="E66" s="20" t="str">
        <x:v>低点</x:v>
      </x:c>
      <x:c r="F66" s="20" t="str">
        <x:v>收盘</x:v>
      </x:c>
      <x:c r="G66" s="20" t="str">
        <x:v>涨跌点数</x:v>
      </x:c>
      <x:c r="H66" s="20" t="str">
        <x:v>涨幅</x:v>
      </x:c>
      <x:c r="I66" s="20" t="str">
        <x:v>振幅</x:v>
      </x:c>
      <x:c r="J66" s="20" t="str">
        <x:v>标的</x:v>
      </x:c>
      <x:c r="K66" s="20" t="str">
        <x:v>交易日</x:v>
      </x:c>
    </x:row>
    <x:row r="67">
      <x:c r="A67" s="22" t="n">
        <x:v>1</x:v>
      </x:c>
      <x:c r="B67" s="22" t="str">
        <x:v>8月3日-8月7日</x:v>
      </x:c>
      <x:c r="C67" s="23" t="n">
        <x:v>137500</x:v>
      </x:c>
      <x:c r="D67" s="23" t="n">
        <x:v>144800</x:v>
      </x:c>
      <x:c r="E67" s="23" t="n">
        <x:v>135560</x:v>
      </x:c>
      <x:c r="F67" s="23" t="n">
        <x:v>140000</x:v>
      </x:c>
      <x:c r="G67" s="23"/>
      <x:c r="H67" s="24"/>
      <x:c r="I67" s="26" t="n">
        <x:f>ROUND(D67-E67,1)</x:f>
        <x:v>9240</x:v>
      </x:c>
      <x:c r="J67" s="22" t="str">
        <x:v>LC2609</x:v>
      </x:c>
      <x:c r="K67" s="22" t="n">
        <x:v>5</x:v>
      </x:c>
    </x:row>
    <x:row r="68">
      <x:c r="A68" s="22" t="n">
        <x:v>2</x:v>
      </x:c>
      <x:c r="B68" s="22" t="str">
        <x:v>8月10日-8月14日</x:v>
      </x:c>
      <x:c r="C68" s="23" t="n">
        <x:v>140500</x:v>
      </x:c>
      <x:c r="D68" s="23" t="n">
        <x:v>154500</x:v>
      </x:c>
      <x:c r="E68" s="23" t="n">
        <x:v>139280</x:v>
      </x:c>
      <x:c r="F68" s="23" t="n">
        <x:v>153940</x:v>
      </x:c>
      <x:c r="G68" s="28" t="n">
        <x:f>ROUND(F68-F67,1)</x:f>
        <x:v>13940</x:v>
      </x:c>
      <x:c r="H68" s="24" t="n">
        <x:f>IFERROR(F68/F67-1,"")</x:f>
        <x:v>0.09957142857142864</x:v>
      </x:c>
      <x:c r="I68" s="26" t="n">
        <x:f>ROUND(D68-E68,1)</x:f>
        <x:v>15220</x:v>
      </x:c>
      <x:c r="J68" s="22" t="str">
        <x:v>LC2609</x:v>
      </x:c>
      <x:c r="K68" s="22" t="n">
        <x:v>5</x:v>
      </x:c>
    </x:row>
    <x:row r="69">
      <x:c r="A69" s="22" t="n">
        <x:v>3</x:v>
      </x:c>
      <x:c r="B69" s="22" t="str">
        <x:v>8月17日-8月21日</x:v>
      </x:c>
      <x:c r="C69" s="23" t="n">
        <x:v>154300</x:v>
      </x:c>
      <x:c r="D69" s="23" t="n">
        <x:v>157000</x:v>
      </x:c>
      <x:c r="E69" s="23" t="n">
        <x:v>148400</x:v>
      </x:c>
      <x:c r="F69" s="23" t="n">
        <x:v>156140</x:v>
      </x:c>
      <x:c r="G69" s="28" t="n">
        <x:f>ROUND(F69-F68,1)</x:f>
        <x:v>2200</x:v>
      </x:c>
      <x:c r="H69" s="24" t="n">
        <x:f>IFERROR(F69/F68-1,"")</x:f>
        <x:v>0.014291282317786091</x:v>
      </x:c>
      <x:c r="I69" s="26" t="n">
        <x:f>ROUND(D69-E69,1)</x:f>
        <x:v>8600</x:v>
      </x:c>
      <x:c r="J69" s="22" t="str">
        <x:v>LC2609</x:v>
      </x:c>
      <x:c r="K69" s="22" t="n">
        <x:v>5</x:v>
      </x:c>
    </x:row>
    <x:row r="70">
      <x:c r="A70" s="22" t="n">
        <x:v>4</x:v>
      </x:c>
      <x:c r="B70" s="22" t="str">
        <x:v>8月24日</x:v>
      </x:c>
      <x:c r="C70" s="23" t="n">
        <x:v>158500</x:v>
      </x:c>
      <x:c r="D70" s="23" t="n">
        <x:v>160000</x:v>
      </x:c>
      <x:c r="E70" s="23" t="n">
        <x:v>154280</x:v>
      </x:c>
      <x:c r="F70" s="23" t="n">
        <x:v>157000</x:v>
      </x:c>
      <x:c r="G70" s="28" t="n">
        <x:f>ROUND(F70-F69,1)</x:f>
        <x:v>860</x:v>
      </x:c>
      <x:c r="H70" s="24" t="n">
        <x:f>IFERROR(F70/F69-1,"")</x:f>
        <x:v>0.005507877545792184</x:v>
      </x:c>
      <x:c r="I70" s="23" t="n">
        <x:f>ROUND(D70-E70,1)</x:f>
        <x:v>5720</x:v>
      </x:c>
      <x:c r="J70" s="22" t="str">
        <x:v>LC2609</x:v>
      </x:c>
      <x:c r="K70" s="22" t="n">
        <x:v>1</x:v>
      </x:c>
    </x:row>
    <x:row r="71">
      <x:c r="A71" s="31" t="str">
        <x:v>合计</x:v>
      </x:c>
      <x:c r="B71" s="30" t="n">
        <x:v>4</x:v>
      </x:c>
      <x:c r="C71" s="30"/>
      <x:c r="D71" s="30"/>
      <x:c r="E71" s="30"/>
      <x:c r="F71" s="30"/>
      <x:c r="G71" s="30"/>
      <x:c r="H71" s="30"/>
      <x:c r="I71" s="32" t="n">
        <x:f>ROUND(SUM(I67:I70),1)</x:f>
        <x:v>38780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ROUND(IFERROR(AVERAGE(I67:I70),0),1)</x:f>
        <x:v>9695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8:K38"/>
    <x:mergeCell ref="A47:K47"/>
    <x:mergeCell ref="A56:K56"/>
    <x:mergeCell ref="A65:K6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2802.9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175.2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2700.6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168.8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684.8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42.8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2495.4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166.4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2684.6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167.8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1035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64.7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538.0000000000001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33.6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79820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4988.8</x:v>
      </x:c>
      <x:c r="K23" s="30"/>
    </x:row>
  </x:sheetData>
  <x:mergeCells>
    <x:mergeCell ref="A1:K1"/>
  </x:mergeCells>
  <x:pageMargins left="0.7" right="0.7" top="0.75" bottom="0.75" header="0.3" footer="0.3"/>
</x:worksheet>
</file>