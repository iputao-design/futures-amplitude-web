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bc570c21884a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9ecc966a6754092"/>
    <x:sheet xmlns:r="http://schemas.openxmlformats.org/officeDocument/2006/relationships" name="周振幅统计" sheetId="2" r:id="Re13ad99ac5c04d0e"/>
    <x:sheet xmlns:r="http://schemas.openxmlformats.org/officeDocument/2006/relationships" name="中证1000" sheetId="3" r:id="R9bb186c20a464d6b"/>
    <x:sheet xmlns:r="http://schemas.openxmlformats.org/officeDocument/2006/relationships" name="中证500" sheetId="4" r:id="Rbcdc6dad17124e93"/>
    <x:sheet xmlns:r="http://schemas.openxmlformats.org/officeDocument/2006/relationships" name="上证指数" sheetId="5" r:id="Re2b6498de3f1483c"/>
    <x:sheet xmlns:r="http://schemas.openxmlformats.org/officeDocument/2006/relationships" name="IM主力" sheetId="6" r:id="R532d55d27f22493d"/>
    <x:sheet xmlns:r="http://schemas.openxmlformats.org/officeDocument/2006/relationships" name="IC主力" sheetId="7" r:id="R943bfa7204e14ba2"/>
    <x:sheet xmlns:r="http://schemas.openxmlformats.org/officeDocument/2006/relationships" name="IF主力" sheetId="8" r:id="Rcd8be6849a964954"/>
    <x:sheet xmlns:r="http://schemas.openxmlformats.org/officeDocument/2006/relationships" name="IH主力" sheetId="9" r:id="R05bbcb41cd654a83"/>
    <x:sheet xmlns:r="http://schemas.openxmlformats.org/officeDocument/2006/relationships" name="碳酸锂2610" sheetId="10" r:id="Raaa2b0782d404b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fb171b13784ae1" /><Relationship Type="http://schemas.openxmlformats.org/officeDocument/2006/relationships/theme" Target="/xl/theme/theme1.xml" Id="R2368abe5e98546f7" /><Relationship Type="http://schemas.openxmlformats.org/officeDocument/2006/relationships/sharedStrings" Target="/xl/sharedStrings.xml" Id="Rd1c4b402794a4555" /><Relationship Type="http://schemas.openxmlformats.org/officeDocument/2006/relationships/worksheet" Target="/xl/worksheets/sheet1.xml" Id="Rf9ecc966a6754092" /><Relationship Type="http://schemas.openxmlformats.org/officeDocument/2006/relationships/worksheet" Target="/xl/worksheets/sheet2.xml" Id="Re13ad99ac5c04d0e" /><Relationship Type="http://schemas.openxmlformats.org/officeDocument/2006/relationships/worksheet" Target="/xl/worksheets/sheet3.xml" Id="R9bb186c20a464d6b" /><Relationship Type="http://schemas.openxmlformats.org/officeDocument/2006/relationships/worksheet" Target="/xl/worksheets/sheet4.xml" Id="Rbcdc6dad17124e93" /><Relationship Type="http://schemas.openxmlformats.org/officeDocument/2006/relationships/worksheet" Target="/xl/worksheets/sheet5.xml" Id="Re2b6498de3f1483c" /><Relationship Type="http://schemas.openxmlformats.org/officeDocument/2006/relationships/worksheet" Target="/xl/worksheets/sheet6.xml" Id="R532d55d27f22493d" /><Relationship Type="http://schemas.openxmlformats.org/officeDocument/2006/relationships/worksheet" Target="/xl/worksheets/sheet7.xml" Id="R943bfa7204e14ba2" /><Relationship Type="http://schemas.openxmlformats.org/officeDocument/2006/relationships/worksheet" Target="/xl/worksheets/sheet8.xml" Id="Rcd8be6849a964954" /><Relationship Type="http://schemas.openxmlformats.org/officeDocument/2006/relationships/worksheet" Target="/xl/worksheets/sheet9.xml" Id="R05bbcb41cd654a83" /><Relationship Type="http://schemas.openxmlformats.org/officeDocument/2006/relationships/worksheet" Target="/xl/worksheets/sheet10.xml" Id="Raaa2b0782d404b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2026-10-13</x:v>
      </x:c>
      <x:c r="C4" s="10" t="n">
        <x:v>7087.89</x:v>
      </x:c>
      <x:c r="D4" s="10" t="n">
        <x:v>6796.58</x:v>
      </x:c>
      <x:c r="E4" s="12" t="n">
        <x:v>291.3</x:v>
      </x:c>
      <x:c r="F4" s="9" t="n">
        <x:v>4</x:v>
      </x:c>
      <x:c r="G4" s="10" t="n">
        <x:v>951</x:v>
      </x:c>
      <x:c r="H4" s="10" t="n">
        <x:v>237.8</x:v>
      </x:c>
      <x:c r="I4" s="10" t="n">
        <x:v>180</x:v>
      </x:c>
    </x:row>
    <x:row r="5">
      <x:c r="A5" s="9" t="str">
        <x:v>中证500</x:v>
      </x:c>
      <x:c r="B5" s="9" t="str">
        <x:v>2026-10-13</x:v>
      </x:c>
      <x:c r="C5" s="10" t="n">
        <x:v>7152.45</x:v>
      </x:c>
      <x:c r="D5" s="10" t="n">
        <x:v>6904.6</x:v>
      </x:c>
      <x:c r="E5" s="12" t="n">
        <x:v>247.8</x:v>
      </x:c>
      <x:c r="F5" s="9" t="n">
        <x:v>4</x:v>
      </x:c>
      <x:c r="G5" s="10" t="n">
        <x:v>882.6</x:v>
      </x:c>
      <x:c r="H5" s="10" t="n">
        <x:v>220.7</x:v>
      </x:c>
      <x:c r="I5" s="10" t="n">
        <x:v>160</x:v>
      </x:c>
    </x:row>
    <x:row r="6">
      <x:c r="A6" s="9" t="str">
        <x:v>上证指数</x:v>
      </x:c>
      <x:c r="B6" s="9" t="str">
        <x:v>2026-10-13</x:v>
      </x:c>
      <x:c r="C6" s="10" t="n">
        <x:v>3822.11</x:v>
      </x:c>
      <x:c r="D6" s="10" t="n">
        <x:v>3741.53</x:v>
      </x:c>
      <x:c r="E6" s="12" t="n">
        <x:v>80.6</x:v>
      </x:c>
      <x:c r="F6" s="9" t="n">
        <x:v>4</x:v>
      </x:c>
      <x:c r="G6" s="10" t="n">
        <x:v>257.2</x:v>
      </x:c>
      <x:c r="H6" s="10" t="n">
        <x:v>64.3</x:v>
      </x:c>
      <x:c r="I6" s="10" t="n">
        <x:v>50</x:v>
      </x:c>
    </x:row>
    <x:row r="7">
      <x:c r="A7" s="9" t="str">
        <x:v>IM主力</x:v>
      </x:c>
      <x:c r="B7" s="9" t="str">
        <x:v>2026-10-13</x:v>
      </x:c>
      <x:c r="C7" s="10" t="n">
        <x:v>6971.6</x:v>
      </x:c>
      <x:c r="D7" s="10" t="n">
        <x:v>6680</x:v>
      </x:c>
      <x:c r="E7" s="12" t="n">
        <x:v>291.6</x:v>
      </x:c>
      <x:c r="F7" s="9" t="n">
        <x:v>4</x:v>
      </x:c>
      <x:c r="G7" s="10" t="n">
        <x:v>969.6</x:v>
      </x:c>
      <x:c r="H7" s="10" t="n">
        <x:v>242.4</x:v>
      </x:c>
      <x:c r="I7" s="10" t="n">
        <x:v>190</x:v>
      </x:c>
    </x:row>
    <x:row r="8">
      <x:c r="A8" s="9" t="str">
        <x:v>IC主力</x:v>
      </x:c>
      <x:c r="B8" s="9" t="str">
        <x:v>2026-10-13</x:v>
      </x:c>
      <x:c r="C8" s="10" t="n">
        <x:v>7029.2</x:v>
      </x:c>
      <x:c r="D8" s="10" t="n">
        <x:v>6778.4</x:v>
      </x:c>
      <x:c r="E8" s="12" t="n">
        <x:v>250.8</x:v>
      </x:c>
      <x:c r="F8" s="9" t="n">
        <x:v>4</x:v>
      </x:c>
      <x:c r="G8" s="10" t="n">
        <x:v>937.4</x:v>
      </x:c>
      <x:c r="H8" s="10" t="n">
        <x:v>234.4</x:v>
      </x:c>
      <x:c r="I8" s="10" t="n">
        <x:v>150</x:v>
      </x:c>
    </x:row>
    <x:row r="9">
      <x:c r="A9" s="9" t="str">
        <x:v>IF主力</x:v>
      </x:c>
      <x:c r="B9" s="9" t="str">
        <x:v>2026-10-13</x:v>
      </x:c>
      <x:c r="C9" s="10" t="n">
        <x:v>4257.4</x:v>
      </x:c>
      <x:c r="D9" s="10" t="n">
        <x:v>4151</x:v>
      </x:c>
      <x:c r="E9" s="12" t="n">
        <x:v>106.4</x:v>
      </x:c>
      <x:c r="F9" s="9" t="n">
        <x:v>4</x:v>
      </x:c>
      <x:c r="G9" s="10" t="n">
        <x:v>363.4</x:v>
      </x:c>
      <x:c r="H9" s="10" t="n">
        <x:v>90.9</x:v>
      </x:c>
      <x:c r="I9" s="10" t="n">
        <x:v>90</x:v>
      </x:c>
    </x:row>
    <x:row r="10">
      <x:c r="A10" s="9" t="str">
        <x:v>IH主力</x:v>
      </x:c>
      <x:c r="B10" s="9" t="str">
        <x:v>2026-10-13</x:v>
      </x:c>
      <x:c r="C10" s="10" t="n">
        <x:v>2785.4</x:v>
      </x:c>
      <x:c r="D10" s="10" t="n">
        <x:v>2733.8</x:v>
      </x:c>
      <x:c r="E10" s="12" t="n">
        <x:v>51.6</x:v>
      </x:c>
      <x:c r="F10" s="9" t="n">
        <x:v>4</x:v>
      </x:c>
      <x:c r="G10" s="10" t="n">
        <x:v>179</x:v>
      </x:c>
      <x:c r="H10" s="10" t="n">
        <x:v>44.8</x:v>
      </x:c>
      <x:c r="I10" s="10" t="n">
        <x:v>60</x:v>
      </x:c>
    </x:row>
    <x:row r="11">
      <x:c r="A11" s="9" t="str">
        <x:v>碳酸锂2610</x:v>
      </x:c>
      <x:c r="B11" s="9" t="str">
        <x:v>2026-10-13</x:v>
      </x:c>
      <x:c r="C11" s="10" t="n">
        <x:v>111320</x:v>
      </x:c>
      <x:c r="D11" s="10" t="n">
        <x:v>101000</x:v>
      </x:c>
      <x:c r="E11" s="12" t="n">
        <x:v>10320</x:v>
      </x:c>
      <x:c r="F11" s="9" t="n">
        <x:v>4</x:v>
      </x:c>
      <x:c r="G11" s="10" t="n">
        <x:v>40180</x:v>
      </x:c>
      <x:c r="H11" s="10" t="n">
        <x:v>10045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10月12日-10月13日</x:v>
      </x:c>
      <x:c r="C6" s="23" t="n">
        <x:v>7132.68</x:v>
      </x:c>
      <x:c r="D6" s="23" t="n">
        <x:v>7145.06</x:v>
      </x:c>
      <x:c r="E6" s="23" t="n">
        <x:v>6796.58</x:v>
      </x:c>
      <x:c r="F6" s="23" t="n">
        <x:v>7023.22</x:v>
      </x:c>
      <x:c r="G6" s="23" t="n">
        <x:f>ROUND(F6-F5,1)</x:f>
        <x:v>-132.7</x:v>
      </x:c>
      <x:c r="H6" s="24" t="n">
        <x:f>IFERROR(F6/F5-1,"")</x:f>
        <x:v>-0.018542715042531244</x:v>
      </x:c>
      <x:c r="I6" s="26" t="n">
        <x:f>ROUND(D6-E6,1)</x:f>
        <x:v>348.5</x:v>
      </x:c>
      <x:c r="J6" s="22" t="str">
        <x:v>中证1000</x:v>
      </x:c>
      <x:c r="K6" s="22" t="n">
        <x:v>2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789.9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395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10月12日-10月13日</x:v>
      </x:c>
      <x:c r="C13" s="23" t="n">
        <x:v>7226.07</x:v>
      </x:c>
      <x:c r="D13" s="23" t="n">
        <x:v>7236.78</x:v>
      </x:c>
      <x:c r="E13" s="23" t="n">
        <x:v>6904.6</x:v>
      </x:c>
      <x:c r="F13" s="23" t="n">
        <x:v>7085.09</x:v>
      </x:c>
      <x:c r="G13" s="34" t="n">
        <x:f>ROUND(F13-F12,1)</x:f>
        <x:v>-165.9</x:v>
      </x:c>
      <x:c r="H13" s="24" t="n">
        <x:f>IFERROR(F13/F12-1,"")</x:f>
        <x:v>-0.022882329496166753</x:v>
      </x:c>
      <x:c r="I13" s="26" t="n">
        <x:f>ROUND(D13-E13,1)</x:f>
        <x:v>332.2</x:v>
      </x:c>
      <x:c r="J13" s="22" t="str">
        <x:v>中证500</x:v>
      </x:c>
      <x:c r="K13" s="22" t="n">
        <x:v>2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745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372.5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10月12日-10月13日</x:v>
      </x:c>
      <x:c r="C20" s="23" t="n">
        <x:v>3806.98</x:v>
      </x:c>
      <x:c r="D20" s="23" t="n">
        <x:v>3828.22</x:v>
      </x:c>
      <x:c r="E20" s="23" t="n">
        <x:v>3741.53</x:v>
      </x:c>
      <x:c r="F20" s="23" t="n">
        <x:v>3800.86</x:v>
      </x:c>
      <x:c r="G20" s="23" t="n">
        <x:f>ROUND(F20-F19,1)</x:f>
        <x:v>-12.9</x:v>
      </x:c>
      <x:c r="H20" s="24" t="n">
        <x:f>IFERROR(F20/F19-1,"")</x:f>
        <x:v>-0.0033903282561441594</x:v>
      </x:c>
      <x:c r="I20" s="26" t="n">
        <x:f>ROUND(D20-E20,1)</x:f>
        <x:v>86.7</x:v>
      </x:c>
      <x:c r="J20" s="22" t="str">
        <x:v>上证指数</x:v>
      </x:c>
      <x:c r="K20" s="22" t="n">
        <x:v>2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196.7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98.4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10月12日-10月13日</x:v>
      </x:c>
      <x:c r="C27" s="23" t="n">
        <x:v>7000</x:v>
      </x:c>
      <x:c r="D27" s="23" t="n">
        <x:v>7031.2</x:v>
      </x:c>
      <x:c r="E27" s="23" t="n">
        <x:v>6680</x:v>
      </x:c>
      <x:c r="F27" s="23" t="n">
        <x:v>6901.8</x:v>
      </x:c>
      <x:c r="G27" s="23" t="n">
        <x:f>ROUND(F27-F26,1)</x:f>
        <x:v>-114</x:v>
      </x:c>
      <x:c r="H27" s="24" t="n">
        <x:f>IFERROR(F27/F26-1,"")</x:f>
        <x:v>-0.016249037885914697</x:v>
      </x:c>
      <x:c r="I27" s="26" t="n">
        <x:f>ROUND(D27-E27,1)</x:f>
        <x:v>351.2</x:v>
      </x:c>
      <x:c r="J27" s="22" t="str">
        <x:v>IM2612</x:v>
      </x:c>
      <x:c r="K27" s="22" t="n">
        <x:v>2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783.8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391.9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10月12日-10月13日</x:v>
      </x:c>
      <x:c r="C34" s="23" t="n">
        <x:v>7076.6</x:v>
      </x:c>
      <x:c r="D34" s="23" t="n">
        <x:v>7115.6</x:v>
      </x:c>
      <x:c r="E34" s="23" t="n">
        <x:v>6778.4</x:v>
      </x:c>
      <x:c r="F34" s="23" t="n">
        <x:v>6962.2</x:v>
      </x:c>
      <x:c r="G34" s="23" t="n">
        <x:f>ROUND(F34-F33,1)</x:f>
        <x:v>-148.8</x:v>
      </x:c>
      <x:c r="H34" s="24" t="n">
        <x:f>IFERROR(F34/F33-1,"")</x:f>
        <x:v>-0.020925326958233792</x:v>
      </x:c>
      <x:c r="I34" s="26" t="n">
        <x:f>ROUND(D34-E34,1)</x:f>
        <x:v>337.2</x:v>
      </x:c>
      <x:c r="J34" s="22" t="str">
        <x:v>IC2612</x:v>
      </x:c>
      <x:c r="K34" s="22" t="n">
        <x:v>2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760.2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380.1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10月12日-10月13日</x:v>
      </x:c>
      <x:c r="C41" s="23" t="n">
        <x:v>4240.4</x:v>
      </x:c>
      <x:c r="D41" s="23" t="n">
        <x:v>4273.6</x:v>
      </x:c>
      <x:c r="E41" s="23" t="n">
        <x:v>4151</x:v>
      </x:c>
      <x:c r="F41" s="23" t="n">
        <x:v>4217.6</x:v>
      </x:c>
      <x:c r="G41" s="23" t="n">
        <x:f>ROUND(F41-F40,1)</x:f>
        <x:v>-27.2</x:v>
      </x:c>
      <x:c r="H41" s="24" t="n">
        <x:f>IFERROR(F41/F40-1,"")</x:f>
        <x:v>-0.006407840180927216</x:v>
      </x:c>
      <x:c r="I41" s="26" t="n">
        <x:f>ROUND(D41-E41,1)</x:f>
        <x:v>122.6</x:v>
      </x:c>
      <x:c r="J41" s="22" t="str">
        <x:v>IF2612</x:v>
      </x:c>
      <x:c r="K41" s="22" t="n">
        <x:v>2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273.8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136.9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10月12日-10月13日</x:v>
      </x:c>
      <x:c r="C48" s="23" t="n">
        <x:v>2762</x:v>
      </x:c>
      <x:c r="D48" s="23" t="n">
        <x:v>2794</x:v>
      </x:c>
      <x:c r="E48" s="23" t="n">
        <x:v>2733.8</x:v>
      </x:c>
      <x:c r="F48" s="23" t="n">
        <x:v>2762</x:v>
      </x:c>
      <x:c r="G48" s="23" t="n">
        <x:f>ROUND(F48-F47,1)</x:f>
        <x:v>-2</x:v>
      </x:c>
      <x:c r="H48" s="24" t="n">
        <x:f>IFERROR(F48/F47-1,"")</x:f>
        <x:v>-0.0007235890014472002</x:v>
      </x:c>
      <x:c r="I48" s="26" t="n">
        <x:f>ROUND(D48-E48,1)</x:f>
        <x:v>60.2</x:v>
      </x:c>
      <x:c r="J48" s="22" t="str">
        <x:v>IH2612</x:v>
      </x:c>
      <x:c r="K48" s="22" t="n">
        <x:v>2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123.6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61.8</x:v>
      </x:c>
      <x:c r="J50" s="28"/>
      <x:c r="K50" s="28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10月12日-10月13日</x:v>
      </x:c>
      <x:c r="C55" s="23" t="n">
        <x:v>125960</x:v>
      </x:c>
      <x:c r="D55" s="23" t="n">
        <x:v>125960</x:v>
      </x:c>
      <x:c r="E55" s="23" t="n">
        <x:v>101000</x:v>
      </x:c>
      <x:c r="F55" s="23" t="n">
        <x:v>109500</x:v>
      </x:c>
      <x:c r="G55" s="34" t="n">
        <x:f>ROUND(F55-F54,1)</x:f>
        <x:v>-11500</x:v>
      </x:c>
      <x:c r="H55" s="24" t="n">
        <x:f>IFERROR(F55/F54-1,"")</x:f>
        <x:v>-0.0950413223140496</x:v>
      </x:c>
      <x:c r="I55" s="26" t="n">
        <x:f>ROUND(D55-E55,1)</x:f>
        <x:v>24960</x:v>
      </x:c>
      <x:c r="J55" s="22" t="str">
        <x:v>LC2610</x:v>
      </x:c>
      <x:c r="K55" s="22" t="n">
        <x:v>2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32760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16380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4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951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237.8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4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34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882.5999999999999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220.7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257.19999999999993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64.3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969.6000000000001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242.4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4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937.4000000000001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234.4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363.4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90.9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179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44.8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4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34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34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34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40180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10045</x:v>
      </x:c>
      <x:c r="K11" s="28"/>
    </x:row>
  </x:sheetData>
  <x:mergeCells>
    <x:mergeCell ref="A1:K1"/>
  </x:mergeCells>
  <x:pageMargins left="0.7" right="0.7" top="0.75" bottom="0.75" header="0.3" footer="0.3"/>
</x:worksheet>
</file>