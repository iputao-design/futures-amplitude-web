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e6798b05744d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48f89910c824b72"/>
    <x:sheet xmlns:r="http://schemas.openxmlformats.org/officeDocument/2006/relationships" name="周振幅统计" sheetId="2" r:id="Rd0aee85c2a2f4fd9"/>
    <x:sheet xmlns:r="http://schemas.openxmlformats.org/officeDocument/2006/relationships" name="中证1000" sheetId="3" r:id="R12d4154117994afc"/>
    <x:sheet xmlns:r="http://schemas.openxmlformats.org/officeDocument/2006/relationships" name="中证500" sheetId="4" r:id="Rb0c236f0956240ab"/>
    <x:sheet xmlns:r="http://schemas.openxmlformats.org/officeDocument/2006/relationships" name="上证指数" sheetId="5" r:id="Rcc8e13d97d8e4242"/>
    <x:sheet xmlns:r="http://schemas.openxmlformats.org/officeDocument/2006/relationships" name="IM主力" sheetId="6" r:id="R742f4380623c4b7a"/>
    <x:sheet xmlns:r="http://schemas.openxmlformats.org/officeDocument/2006/relationships" name="IC主力" sheetId="7" r:id="Rc8f7bd3c6ff946a2"/>
    <x:sheet xmlns:r="http://schemas.openxmlformats.org/officeDocument/2006/relationships" name="IF主力" sheetId="8" r:id="R638833992ffc4ecf"/>
    <x:sheet xmlns:r="http://schemas.openxmlformats.org/officeDocument/2006/relationships" name="IH主力" sheetId="9" r:id="R3e9c3e94fa0b41c6"/>
    <x:sheet xmlns:r="http://schemas.openxmlformats.org/officeDocument/2006/relationships" name="碳酸锂2610" sheetId="10" r:id="R461e53fccac243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bdbf90f23445f9" /><Relationship Type="http://schemas.openxmlformats.org/officeDocument/2006/relationships/theme" Target="/xl/theme/theme1.xml" Id="Rbe5c1bc6c46d433c" /><Relationship Type="http://schemas.openxmlformats.org/officeDocument/2006/relationships/sharedStrings" Target="/xl/sharedStrings.xml" Id="R6d7b6122fd684505" /><Relationship Type="http://schemas.openxmlformats.org/officeDocument/2006/relationships/worksheet" Target="/xl/worksheets/sheet1.xml" Id="R148f89910c824b72" /><Relationship Type="http://schemas.openxmlformats.org/officeDocument/2006/relationships/worksheet" Target="/xl/worksheets/sheet2.xml" Id="Rd0aee85c2a2f4fd9" /><Relationship Type="http://schemas.openxmlformats.org/officeDocument/2006/relationships/worksheet" Target="/xl/worksheets/sheet3.xml" Id="R12d4154117994afc" /><Relationship Type="http://schemas.openxmlformats.org/officeDocument/2006/relationships/worksheet" Target="/xl/worksheets/sheet4.xml" Id="Rb0c236f0956240ab" /><Relationship Type="http://schemas.openxmlformats.org/officeDocument/2006/relationships/worksheet" Target="/xl/worksheets/sheet5.xml" Id="Rcc8e13d97d8e4242" /><Relationship Type="http://schemas.openxmlformats.org/officeDocument/2006/relationships/worksheet" Target="/xl/worksheets/sheet6.xml" Id="R742f4380623c4b7a" /><Relationship Type="http://schemas.openxmlformats.org/officeDocument/2006/relationships/worksheet" Target="/xl/worksheets/sheet7.xml" Id="Rc8f7bd3c6ff946a2" /><Relationship Type="http://schemas.openxmlformats.org/officeDocument/2006/relationships/worksheet" Target="/xl/worksheets/sheet8.xml" Id="R638833992ffc4ecf" /><Relationship Type="http://schemas.openxmlformats.org/officeDocument/2006/relationships/worksheet" Target="/xl/worksheets/sheet9.xml" Id="R3e9c3e94fa0b41c6" /><Relationship Type="http://schemas.openxmlformats.org/officeDocument/2006/relationships/worksheet" Target="/xl/worksheets/sheet10.xml" Id="R461e53fccac2432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2026-10-15</x:v>
      </x:c>
      <x:c r="C4" s="10" t="n">
        <x:v>6805.19</x:v>
      </x:c>
      <x:c r="D4" s="10" t="n">
        <x:v>6652.55</x:v>
      </x:c>
      <x:c r="E4" s="12" t="n">
        <x:v>152.6</x:v>
      </x:c>
      <x:c r="F4" s="9" t="n">
        <x:v>6</x:v>
      </x:c>
      <x:c r="G4" s="10" t="n">
        <x:v>1247.2</x:v>
      </x:c>
      <x:c r="H4" s="10" t="n">
        <x:v>207.9</x:v>
      </x:c>
      <x:c r="I4" s="10" t="n">
        <x:v>180</x:v>
      </x:c>
    </x:row>
    <x:row r="5">
      <x:c r="A5" s="9" t="str">
        <x:v>中证500</x:v>
      </x:c>
      <x:c r="B5" s="9" t="str">
        <x:v>2026-10-15</x:v>
      </x:c>
      <x:c r="C5" s="10" t="n">
        <x:v>6870.95</x:v>
      </x:c>
      <x:c r="D5" s="10" t="n">
        <x:v>6725.59</x:v>
      </x:c>
      <x:c r="E5" s="12" t="n">
        <x:v>145.4</x:v>
      </x:c>
      <x:c r="F5" s="9" t="n">
        <x:v>6</x:v>
      </x:c>
      <x:c r="G5" s="10" t="n">
        <x:v>1179.1</x:v>
      </x:c>
      <x:c r="H5" s="10" t="n">
        <x:v>196.5</x:v>
      </x:c>
      <x:c r="I5" s="10" t="n">
        <x:v>160</x:v>
      </x:c>
    </x:row>
    <x:row r="6">
      <x:c r="A6" s="9" t="str">
        <x:v>上证指数</x:v>
      </x:c>
      <x:c r="B6" s="9" t="str">
        <x:v>2026-10-15</x:v>
      </x:c>
      <x:c r="C6" s="10" t="n">
        <x:v>3724.56</x:v>
      </x:c>
      <x:c r="D6" s="10" t="n">
        <x:v>3674.82</x:v>
      </x:c>
      <x:c r="E6" s="12" t="n">
        <x:v>49.7</x:v>
      </x:c>
      <x:c r="F6" s="9" t="n">
        <x:v>6</x:v>
      </x:c>
      <x:c r="G6" s="10" t="n">
        <x:v>356.7</x:v>
      </x:c>
      <x:c r="H6" s="10" t="n">
        <x:v>59.4</x:v>
      </x:c>
      <x:c r="I6" s="10" t="n">
        <x:v>50</x:v>
      </x:c>
    </x:row>
    <x:row r="7">
      <x:c r="A7" s="9" t="str">
        <x:v>IM主力</x:v>
      </x:c>
      <x:c r="B7" s="9" t="str">
        <x:v>2026-10-15</x:v>
      </x:c>
      <x:c r="C7" s="10" t="n">
        <x:v>6706.6</x:v>
      </x:c>
      <x:c r="D7" s="10" t="n">
        <x:v>6532.4</x:v>
      </x:c>
      <x:c r="E7" s="12" t="n">
        <x:v>174.2</x:v>
      </x:c>
      <x:c r="F7" s="9" t="n">
        <x:v>6</x:v>
      </x:c>
      <x:c r="G7" s="10" t="n">
        <x:v>1308</x:v>
      </x:c>
      <x:c r="H7" s="10" t="n">
        <x:v>218</x:v>
      </x:c>
      <x:c r="I7" s="10" t="n">
        <x:v>190</x:v>
      </x:c>
    </x:row>
    <x:row r="8">
      <x:c r="A8" s="9" t="str">
        <x:v>IC主力</x:v>
      </x:c>
      <x:c r="B8" s="9" t="str">
        <x:v>2026-10-14</x:v>
      </x:c>
      <x:c r="C8" s="10" t="n">
        <x:v>6994.8</x:v>
      </x:c>
      <x:c r="D8" s="10" t="n">
        <x:v>6828.6</x:v>
      </x:c>
      <x:c r="E8" s="12" t="n">
        <x:v>166.2</x:v>
      </x:c>
      <x:c r="F8" s="9" t="n">
        <x:v>5</x:v>
      </x:c>
      <x:c r="G8" s="10" t="n">
        <x:v>1103.6</x:v>
      </x:c>
      <x:c r="H8" s="10" t="n">
        <x:v>220.7</x:v>
      </x:c>
      <x:c r="I8" s="10" t="n">
        <x:v>150</x:v>
      </x:c>
    </x:row>
    <x:row r="9">
      <x:c r="A9" s="9" t="str">
        <x:v>IF主力</x:v>
      </x:c>
      <x:c r="B9" s="9" t="str">
        <x:v>2026-10-14</x:v>
      </x:c>
      <x:c r="C9" s="10" t="n">
        <x:v>4217.6</x:v>
      </x:c>
      <x:c r="D9" s="10" t="n">
        <x:v>4141</x:v>
      </x:c>
      <x:c r="E9" s="12" t="n">
        <x:v>76.6</x:v>
      </x:c>
      <x:c r="F9" s="9" t="n">
        <x:v>5</x:v>
      </x:c>
      <x:c r="G9" s="10" t="n">
        <x:v>440</x:v>
      </x:c>
      <x:c r="H9" s="10" t="n">
        <x:v>88</x:v>
      </x:c>
      <x:c r="I9" s="10" t="n">
        <x:v>90</x:v>
      </x:c>
    </x:row>
    <x:row r="10">
      <x:c r="A10" s="9" t="str">
        <x:v>IH主力</x:v>
      </x:c>
      <x:c r="B10" s="9" t="str">
        <x:v>2026-10-15</x:v>
      </x:c>
      <x:c r="C10" s="10" t="n">
        <x:v>2719.8</x:v>
      </x:c>
      <x:c r="D10" s="10" t="n">
        <x:v>2677.6</x:v>
      </x:c>
      <x:c r="E10" s="12" t="n">
        <x:v>42.2</x:v>
      </x:c>
      <x:c r="F10" s="9" t="n">
        <x:v>6</x:v>
      </x:c>
      <x:c r="G10" s="10" t="n">
        <x:v>259.6</x:v>
      </x:c>
      <x:c r="H10" s="10" t="n">
        <x:v>43.3</x:v>
      </x:c>
      <x:c r="I10" s="10" t="n">
        <x:v>60</x:v>
      </x:c>
    </x:row>
    <x:row r="11">
      <x:c r="A11" s="9" t="str">
        <x:v>碳酸锂2610</x:v>
      </x:c>
      <x:c r="B11" s="9" t="str">
        <x:v>2026-10-15</x:v>
      </x:c>
      <x:c r="C11" s="10" t="n">
        <x:v>103400</x:v>
      </x:c>
      <x:c r="D11" s="10" t="n">
        <x:v>102000</x:v>
      </x:c>
      <x:c r="E11" s="12" t="n">
        <x:v>1400</x:v>
      </x:c>
      <x:c r="F11" s="9" t="n">
        <x:v>6</x:v>
      </x:c>
      <x:c r="G11" s="10" t="n">
        <x:v>46960</x:v>
      </x:c>
      <x:c r="H11" s="10" t="n">
        <x:v>7826.7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10月12日-10月15日</x:v>
      </x:c>
      <x:c r="C6" s="23" t="n">
        <x:v>7132.68</x:v>
      </x:c>
      <x:c r="D6" s="23" t="n">
        <x:v>7145.06</x:v>
      </x:c>
      <x:c r="E6" s="23" t="n">
        <x:v>6652.55</x:v>
      </x:c>
      <x:c r="F6" s="23" t="n">
        <x:v>6678.65</x:v>
      </x:c>
      <x:c r="G6" s="28" t="n">
        <x:f>ROUND(F6-F5,1)</x:f>
        <x:v>-477.3</x:v>
      </x:c>
      <x:c r="H6" s="24" t="n">
        <x:f>IFERROR(F6/F5-1,"")</x:f>
        <x:v>-0.06669452242971197</x:v>
      </x:c>
      <x:c r="I6" s="26" t="n">
        <x:f>ROUND(D6-E6,1)</x:f>
        <x:v>492.5</x:v>
      </x:c>
      <x:c r="J6" s="22" t="str">
        <x:v>中证1000</x:v>
      </x:c>
      <x:c r="K6" s="22" t="n">
        <x:v>4</x:v>
      </x:c>
    </x:row>
    <x:row r="7">
      <x:c r="A7" s="31" t="str">
        <x:v>合计</x:v>
      </x:c>
      <x:c r="B7" s="30" t="n">
        <x:v>2</x:v>
      </x:c>
      <x:c r="C7" s="30"/>
      <x:c r="D7" s="30"/>
      <x:c r="E7" s="30"/>
      <x:c r="F7" s="30"/>
      <x:c r="G7" s="30"/>
      <x:c r="H7" s="30"/>
      <x:c r="I7" s="32" t="n">
        <x:f>ROUND(SUM(I5:I6),1)</x:f>
        <x:v>933.9</x:v>
      </x:c>
      <x:c r="J7" s="30"/>
      <x:c r="K7" s="30"/>
    </x:row>
    <x:row r="8">
      <x:c r="A8" s="31" t="str">
        <x:v>均值</x:v>
      </x:c>
      <x:c r="B8" s="30"/>
      <x:c r="C8" s="30"/>
      <x:c r="D8" s="30"/>
      <x:c r="E8" s="30"/>
      <x:c r="F8" s="30"/>
      <x:c r="G8" s="30"/>
      <x:c r="H8" s="30"/>
      <x:c r="I8" s="34" t="n">
        <x:f>ROUND(IFERROR(AVERAGE(I5:I6),0),1)</x:f>
        <x:v>467</x:v>
      </x:c>
      <x:c r="J8" s="30"/>
      <x:c r="K8" s="30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10月8日-10月9日</x:v>
      </x:c>
      <x:c r="C12" s="23" t="n">
        <x:v>7420.44</x:v>
      </x:c>
      <x:c r="D12" s="23" t="n">
        <x:v>7461.24</x:v>
      </x:c>
      <x:c r="E12" s="23" t="n">
        <x:v>7048.45</x:v>
      </x:c>
      <x:c r="F12" s="23" t="n">
        <x:v>7251.01</x:v>
      </x:c>
      <x:c r="G12" s="23"/>
      <x:c r="H12" s="24"/>
      <x:c r="I12" s="26" t="n">
        <x:f>ROUND(D12-E12,1)</x:f>
        <x:v>412.8</x:v>
      </x:c>
      <x:c r="J12" s="22" t="str">
        <x:v>中证500</x:v>
      </x:c>
      <x:c r="K12" s="22" t="n">
        <x:v>2</x:v>
      </x:c>
    </x:row>
    <x:row r="13">
      <x:c r="A13" s="22" t="n">
        <x:v>2</x:v>
      </x:c>
      <x:c r="B13" s="22" t="str">
        <x:v>10月12日-10月15日</x:v>
      </x:c>
      <x:c r="C13" s="23" t="n">
        <x:v>7226.07</x:v>
      </x:c>
      <x:c r="D13" s="23" t="n">
        <x:v>7236.78</x:v>
      </x:c>
      <x:c r="E13" s="23" t="n">
        <x:v>6725.59</x:v>
      </x:c>
      <x:c r="F13" s="23" t="n">
        <x:v>6769.25</x:v>
      </x:c>
      <x:c r="G13" s="28" t="n">
        <x:f>ROUND(F13-F12,1)</x:f>
        <x:v>-481.8</x:v>
      </x:c>
      <x:c r="H13" s="24" t="n">
        <x:f>IFERROR(F13/F12-1,"")</x:f>
        <x:v>-0.06644039933747159</x:v>
      </x:c>
      <x:c r="I13" s="26" t="n">
        <x:f>ROUND(D13-E13,1)</x:f>
        <x:v>511.2</x:v>
      </x:c>
      <x:c r="J13" s="22" t="str">
        <x:v>中证500</x:v>
      </x:c>
      <x:c r="K13" s="22" t="n">
        <x:v>4</x:v>
      </x:c>
    </x:row>
    <x:row r="14">
      <x:c r="A14" s="31" t="str">
        <x:v>合计</x:v>
      </x:c>
      <x:c r="B14" s="30" t="n">
        <x:v>2</x:v>
      </x:c>
      <x:c r="C14" s="30"/>
      <x:c r="D14" s="30"/>
      <x:c r="E14" s="30"/>
      <x:c r="F14" s="30"/>
      <x:c r="G14" s="30"/>
      <x:c r="H14" s="30"/>
      <x:c r="I14" s="32" t="n">
        <x:f>ROUND(SUM(I12:I13),1)</x:f>
        <x:v>924</x:v>
      </x:c>
      <x:c r="J14" s="30"/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4" t="n">
        <x:f>ROUND(IFERROR(AVERAGE(I12:I13),0),1)</x:f>
        <x:v>462</x:v>
      </x:c>
      <x:c r="J15" s="30"/>
      <x:c r="K15" s="30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10月8日-10月9日</x:v>
      </x:c>
      <x:c r="C19" s="23" t="n">
        <x:v>3838.98</x:v>
      </x:c>
      <x:c r="D19" s="23" t="n">
        <x:v>3864.12</x:v>
      </x:c>
      <x:c r="E19" s="23" t="n">
        <x:v>3754.14</x:v>
      </x:c>
      <x:c r="F19" s="23" t="n">
        <x:v>3813.79</x:v>
      </x:c>
      <x:c r="G19" s="23"/>
      <x:c r="H19" s="24"/>
      <x:c r="I19" s="26" t="n">
        <x:f>ROUND(D19-E19,1)</x:f>
        <x:v>110</x:v>
      </x:c>
      <x:c r="J19" s="22" t="str">
        <x:v>上证指数</x:v>
      </x:c>
      <x:c r="K19" s="22" t="n">
        <x:v>2</x:v>
      </x:c>
    </x:row>
    <x:row r="20">
      <x:c r="A20" s="22" t="n">
        <x:v>2</x:v>
      </x:c>
      <x:c r="B20" s="22" t="str">
        <x:v>10月12日-10月15日</x:v>
      </x:c>
      <x:c r="C20" s="23" t="n">
        <x:v>3806.98</x:v>
      </x:c>
      <x:c r="D20" s="23" t="n">
        <x:v>3828.22</x:v>
      </x:c>
      <x:c r="E20" s="23" t="n">
        <x:v>3674.82</x:v>
      </x:c>
      <x:c r="F20" s="23" t="n">
        <x:v>3707.48</x:v>
      </x:c>
      <x:c r="G20" s="23" t="n">
        <x:f>ROUND(F20-F19,1)</x:f>
        <x:v>-106.3</x:v>
      </x:c>
      <x:c r="H20" s="24" t="n">
        <x:f>IFERROR(F20/F19-1,"")</x:f>
        <x:v>-0.027875158307090864</x:v>
      </x:c>
      <x:c r="I20" s="26" t="n">
        <x:f>ROUND(D20-E20,1)</x:f>
        <x:v>153.4</x:v>
      </x:c>
      <x:c r="J20" s="22" t="str">
        <x:v>上证指数</x:v>
      </x:c>
      <x:c r="K20" s="22" t="n">
        <x:v>4</x:v>
      </x:c>
    </x:row>
    <x:row r="21">
      <x:c r="A21" s="31" t="str">
        <x:v>合计</x:v>
      </x:c>
      <x:c r="B21" s="30" t="n">
        <x:v>2</x:v>
      </x:c>
      <x:c r="C21" s="30"/>
      <x:c r="D21" s="30"/>
      <x:c r="E21" s="30"/>
      <x:c r="F21" s="30"/>
      <x:c r="G21" s="30"/>
      <x:c r="H21" s="30"/>
      <x:c r="I21" s="32" t="n">
        <x:f>ROUND(SUM(I19:I20),1)</x:f>
        <x:v>263.4</x:v>
      </x:c>
      <x:c r="J21" s="30"/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4" t="n">
        <x:f>ROUND(IFERROR(AVERAGE(I19:I20),0),1)</x:f>
        <x:v>131.7</x:v>
      </x:c>
      <x:c r="J22" s="30"/>
      <x:c r="K22" s="30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10月8日-10月9日</x:v>
      </x:c>
      <x:c r="C26" s="23" t="n">
        <x:v>7182.8</x:v>
      </x:c>
      <x:c r="D26" s="23" t="n">
        <x:v>7251.8</x:v>
      </x:c>
      <x:c r="E26" s="23" t="n">
        <x:v>6819.2</x:v>
      </x:c>
      <x:c r="F26" s="23" t="n">
        <x:v>7015.8</x:v>
      </x:c>
      <x:c r="G26" s="23"/>
      <x:c r="H26" s="24"/>
      <x:c r="I26" s="26" t="n">
        <x:f>ROUND(D26-E26,1)</x:f>
        <x:v>432.6</x:v>
      </x:c>
      <x:c r="J26" s="22" t="str">
        <x:v>IM2612</x:v>
      </x:c>
      <x:c r="K26" s="22" t="n">
        <x:v>2</x:v>
      </x:c>
    </x:row>
    <x:row r="27">
      <x:c r="A27" s="22" t="n">
        <x:v>2</x:v>
      </x:c>
      <x:c r="B27" s="22" t="str">
        <x:v>10月12日-10月15日</x:v>
      </x:c>
      <x:c r="C27" s="23" t="n">
        <x:v>7000</x:v>
      </x:c>
      <x:c r="D27" s="23" t="n">
        <x:v>7031.2</x:v>
      </x:c>
      <x:c r="E27" s="23" t="n">
        <x:v>6532.4</x:v>
      </x:c>
      <x:c r="F27" s="23" t="n">
        <x:v>6553.6</x:v>
      </x:c>
      <x:c r="G27" s="28" t="n">
        <x:f>ROUND(F27-F26,1)</x:f>
        <x:v>-462.2</x:v>
      </x:c>
      <x:c r="H27" s="24" t="n">
        <x:f>IFERROR(F27/F26-1,"")</x:f>
        <x:v>-0.06587987114798022</x:v>
      </x:c>
      <x:c r="I27" s="26" t="n">
        <x:f>ROUND(D27-E27,1)</x:f>
        <x:v>498.8</x:v>
      </x:c>
      <x:c r="J27" s="22" t="str">
        <x:v>IM2612</x:v>
      </x:c>
      <x:c r="K27" s="22" t="n">
        <x:v>4</x:v>
      </x:c>
    </x:row>
    <x:row r="28">
      <x:c r="A28" s="31" t="str">
        <x:v>合计</x:v>
      </x:c>
      <x:c r="B28" s="30" t="n">
        <x:v>2</x:v>
      </x:c>
      <x:c r="C28" s="30"/>
      <x:c r="D28" s="30"/>
      <x:c r="E28" s="30"/>
      <x:c r="F28" s="30"/>
      <x:c r="G28" s="30"/>
      <x:c r="H28" s="30"/>
      <x:c r="I28" s="32" t="n">
        <x:f>ROUND(SUM(I26:I27),1)</x:f>
        <x:v>931.4</x:v>
      </x:c>
      <x:c r="J28" s="30"/>
      <x:c r="K28" s="30"/>
    </x:row>
    <x:row r="29">
      <x:c r="A29" s="31" t="str">
        <x:v>均值</x:v>
      </x:c>
      <x:c r="B29" s="30"/>
      <x:c r="C29" s="30"/>
      <x:c r="D29" s="30"/>
      <x:c r="E29" s="30"/>
      <x:c r="F29" s="30"/>
      <x:c r="G29" s="30"/>
      <x:c r="H29" s="30"/>
      <x:c r="I29" s="34" t="n">
        <x:f>ROUND(IFERROR(AVERAGE(I26:I27),0),1)</x:f>
        <x:v>465.7</x:v>
      </x:c>
      <x:c r="J29" s="30"/>
      <x:c r="K29" s="30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10月8日-10月9日</x:v>
      </x:c>
      <x:c r="C33" s="23" t="n">
        <x:v>7295</x:v>
      </x:c>
      <x:c r="D33" s="23" t="n">
        <x:v>7355</x:v>
      </x:c>
      <x:c r="E33" s="23" t="n">
        <x:v>6932</x:v>
      </x:c>
      <x:c r="F33" s="23" t="n">
        <x:v>7111</x:v>
      </x:c>
      <x:c r="G33" s="23"/>
      <x:c r="H33" s="24"/>
      <x:c r="I33" s="26" t="n">
        <x:f>ROUND(D33-E33,1)</x:f>
        <x:v>423</x:v>
      </x:c>
      <x:c r="J33" s="22" t="str">
        <x:v>IC2612</x:v>
      </x:c>
      <x:c r="K33" s="22" t="n">
        <x:v>2</x:v>
      </x:c>
    </x:row>
    <x:row r="34">
      <x:c r="A34" s="22" t="n">
        <x:v>2</x:v>
      </x:c>
      <x:c r="B34" s="22" t="str">
        <x:v>10月12日-10月14日</x:v>
      </x:c>
      <x:c r="C34" s="23" t="n">
        <x:v>7076.6</x:v>
      </x:c>
      <x:c r="D34" s="23" t="n">
        <x:v>7115.6</x:v>
      </x:c>
      <x:c r="E34" s="23" t="n">
        <x:v>6778.4</x:v>
      </x:c>
      <x:c r="F34" s="23" t="n">
        <x:v>6874.6</x:v>
      </x:c>
      <x:c r="G34" s="28" t="n">
        <x:f>ROUND(F34-F33,1)</x:f>
        <x:v>-236.4</x:v>
      </x:c>
      <x:c r="H34" s="24" t="n">
        <x:f>IFERROR(F34/F33-1,"")</x:f>
        <x:v>-0.033244269441709995</x:v>
      </x:c>
      <x:c r="I34" s="26" t="n">
        <x:f>ROUND(D34-E34,1)</x:f>
        <x:v>337.2</x:v>
      </x:c>
      <x:c r="J34" s="22" t="str">
        <x:v>IC2612</x:v>
      </x:c>
      <x:c r="K34" s="22" t="n">
        <x:v>3</x:v>
      </x:c>
    </x:row>
    <x:row r="35">
      <x:c r="A35" s="31" t="str">
        <x:v>合计</x:v>
      </x:c>
      <x:c r="B35" s="30" t="n">
        <x:v>2</x:v>
      </x:c>
      <x:c r="C35" s="30"/>
      <x:c r="D35" s="30"/>
      <x:c r="E35" s="30"/>
      <x:c r="F35" s="30"/>
      <x:c r="G35" s="30"/>
      <x:c r="H35" s="30"/>
      <x:c r="I35" s="32" t="n">
        <x:f>ROUND(SUM(I33:I34),1)</x:f>
        <x:v>760.2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ROUND(IFERROR(AVERAGE(I33:I34),0),1)</x:f>
        <x:v>380.1</x:v>
      </x:c>
      <x:c r="J36" s="30"/>
      <x:c r="K36" s="30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10月8日-10月9日</x:v>
      </x:c>
      <x:c r="C40" s="23" t="n">
        <x:v>4300.8</x:v>
      </x:c>
      <x:c r="D40" s="23" t="n">
        <x:v>4331.6</x:v>
      </x:c>
      <x:c r="E40" s="23" t="n">
        <x:v>4180.4</x:v>
      </x:c>
      <x:c r="F40" s="23" t="n">
        <x:v>4244.8</x:v>
      </x:c>
      <x:c r="G40" s="23"/>
      <x:c r="H40" s="24"/>
      <x:c r="I40" s="26" t="n">
        <x:f>ROUND(D40-E40,1)</x:f>
        <x:v>151.2</x:v>
      </x:c>
      <x:c r="J40" s="22" t="str">
        <x:v>IF2612</x:v>
      </x:c>
      <x:c r="K40" s="22" t="n">
        <x:v>2</x:v>
      </x:c>
    </x:row>
    <x:row r="41">
      <x:c r="A41" s="22" t="n">
        <x:v>2</x:v>
      </x:c>
      <x:c r="B41" s="22" t="str">
        <x:v>10月12日-10月14日</x:v>
      </x:c>
      <x:c r="C41" s="23" t="n">
        <x:v>4240.4</x:v>
      </x:c>
      <x:c r="D41" s="23" t="n">
        <x:v>4273.6</x:v>
      </x:c>
      <x:c r="E41" s="23" t="n">
        <x:v>4141</x:v>
      </x:c>
      <x:c r="F41" s="23" t="n">
        <x:v>4160.6</x:v>
      </x:c>
      <x:c r="G41" s="23" t="n">
        <x:f>ROUND(F41-F40,1)</x:f>
        <x:v>-84.2</x:v>
      </x:c>
      <x:c r="H41" s="24" t="n">
        <x:f>IFERROR(F41/F40-1,"")</x:f>
        <x:v>-0.019836034677723324</x:v>
      </x:c>
      <x:c r="I41" s="26" t="n">
        <x:f>ROUND(D41-E41,1)</x:f>
        <x:v>132.6</x:v>
      </x:c>
      <x:c r="J41" s="22" t="str">
        <x:v>IF2612</x:v>
      </x:c>
      <x:c r="K41" s="22" t="n">
        <x:v>3</x:v>
      </x:c>
    </x:row>
    <x:row r="42">
      <x:c r="A42" s="31" t="str">
        <x:v>合计</x:v>
      </x:c>
      <x:c r="B42" s="30" t="n">
        <x:v>2</x:v>
      </x:c>
      <x:c r="C42" s="30"/>
      <x:c r="D42" s="30"/>
      <x:c r="E42" s="30"/>
      <x:c r="F42" s="30"/>
      <x:c r="G42" s="30"/>
      <x:c r="H42" s="30"/>
      <x:c r="I42" s="32" t="n">
        <x:f>ROUND(SUM(I40:I41),1)</x:f>
        <x:v>283.8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ROUND(IFERROR(AVERAGE(I40:I41),0),1)</x:f>
        <x:v>141.9</x:v>
      </x:c>
      <x:c r="J43" s="30"/>
      <x:c r="K43" s="30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10月8日-10月9日</x:v>
      </x:c>
      <x:c r="C47" s="23" t="n">
        <x:v>2764</x:v>
      </x:c>
      <x:c r="D47" s="23" t="n">
        <x:v>2798.4</x:v>
      </x:c>
      <x:c r="E47" s="23" t="n">
        <x:v>2735</x:v>
      </x:c>
      <x:c r="F47" s="23" t="n">
        <x:v>2764</x:v>
      </x:c>
      <x:c r="G47" s="23"/>
      <x:c r="H47" s="24"/>
      <x:c r="I47" s="26" t="n">
        <x:f>ROUND(D47-E47,1)</x:f>
        <x:v>63.4</x:v>
      </x:c>
      <x:c r="J47" s="22" t="str">
        <x:v>IH2612</x:v>
      </x:c>
      <x:c r="K47" s="22" t="n">
        <x:v>2</x:v>
      </x:c>
    </x:row>
    <x:row r="48">
      <x:c r="A48" s="22" t="n">
        <x:v>2</x:v>
      </x:c>
      <x:c r="B48" s="22" t="str">
        <x:v>10月12日-10月15日</x:v>
      </x:c>
      <x:c r="C48" s="23" t="n">
        <x:v>2762</x:v>
      </x:c>
      <x:c r="D48" s="23" t="n">
        <x:v>2794</x:v>
      </x:c>
      <x:c r="E48" s="23" t="n">
        <x:v>2677.6</x:v>
      </x:c>
      <x:c r="F48" s="23" t="n">
        <x:v>2718.6</x:v>
      </x:c>
      <x:c r="G48" s="23" t="n">
        <x:f>ROUND(F48-F47,1)</x:f>
        <x:v>-45.4</x:v>
      </x:c>
      <x:c r="H48" s="24" t="n">
        <x:f>IFERROR(F48/F47-1,"")</x:f>
        <x:v>-0.016425470332851022</x:v>
      </x:c>
      <x:c r="I48" s="26" t="n">
        <x:f>ROUND(D48-E48,1)</x:f>
        <x:v>116.4</x:v>
      </x:c>
      <x:c r="J48" s="22" t="str">
        <x:v>IH2612</x:v>
      </x:c>
      <x:c r="K48" s="22" t="n">
        <x:v>4</x:v>
      </x:c>
    </x:row>
    <x:row r="49">
      <x:c r="A49" s="31" t="str">
        <x:v>合计</x:v>
      </x:c>
      <x:c r="B49" s="30" t="n">
        <x:v>2</x:v>
      </x:c>
      <x:c r="C49" s="30"/>
      <x:c r="D49" s="30"/>
      <x:c r="E49" s="30"/>
      <x:c r="F49" s="30"/>
      <x:c r="G49" s="30"/>
      <x:c r="H49" s="30"/>
      <x:c r="I49" s="32" t="n">
        <x:f>ROUND(SUM(I47:I48),1)</x:f>
        <x:v>179.8</x:v>
      </x:c>
      <x:c r="J49" s="30"/>
      <x:c r="K49" s="30"/>
    </x:row>
    <x:row r="50">
      <x:c r="A50" s="31" t="str">
        <x:v>均值</x:v>
      </x:c>
      <x:c r="B50" s="30"/>
      <x:c r="C50" s="30"/>
      <x:c r="D50" s="30"/>
      <x:c r="E50" s="30"/>
      <x:c r="F50" s="30"/>
      <x:c r="G50" s="30"/>
      <x:c r="H50" s="30"/>
      <x:c r="I50" s="34" t="n">
        <x:f>ROUND(IFERROR(AVERAGE(I47:I48),0),1)</x:f>
        <x:v>89.9</x:v>
      </x:c>
      <x:c r="J50" s="30"/>
      <x:c r="K50" s="30"/>
    </x:row>
    <x:row r="52">
      <x:c r="A52" s="17" t="str">
        <x:v>碳酸锂2610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10月8日-10月9日</x:v>
      </x:c>
      <x:c r="C54" s="23" t="n">
        <x:v>120020</x:v>
      </x:c>
      <x:c r="D54" s="23" t="n">
        <x:v>126800</x:v>
      </x:c>
      <x:c r="E54" s="23" t="n">
        <x:v>119000</x:v>
      </x:c>
      <x:c r="F54" s="23" t="n">
        <x:v>121000</x:v>
      </x:c>
      <x:c r="G54" s="23"/>
      <x:c r="H54" s="24"/>
      <x:c r="I54" s="26" t="n">
        <x:f>ROUND(D54-E54,1)</x:f>
        <x:v>7800</x:v>
      </x:c>
      <x:c r="J54" s="22" t="str">
        <x:v>LC2610</x:v>
      </x:c>
      <x:c r="K54" s="22" t="n">
        <x:v>2</x:v>
      </x:c>
    </x:row>
    <x:row r="55">
      <x:c r="A55" s="22" t="n">
        <x:v>2</x:v>
      </x:c>
      <x:c r="B55" s="22" t="str">
        <x:v>10月12日-10月15日</x:v>
      </x:c>
      <x:c r="C55" s="23" t="n">
        <x:v>125960</x:v>
      </x:c>
      <x:c r="D55" s="23" t="n">
        <x:v>125960</x:v>
      </x:c>
      <x:c r="E55" s="23" t="n">
        <x:v>101000</x:v>
      </x:c>
      <x:c r="F55" s="23" t="n">
        <x:v>102000</x:v>
      </x:c>
      <x:c r="G55" s="28" t="n">
        <x:f>ROUND(F55-F54,1)</x:f>
        <x:v>-19000</x:v>
      </x:c>
      <x:c r="H55" s="24" t="n">
        <x:f>IFERROR(F55/F54-1,"")</x:f>
        <x:v>-0.15702479338842978</x:v>
      </x:c>
      <x:c r="I55" s="26" t="n">
        <x:f>ROUND(D55-E55,1)</x:f>
        <x:v>24960</x:v>
      </x:c>
      <x:c r="J55" s="22" t="str">
        <x:v>LC2610</x:v>
      </x:c>
      <x:c r="K55" s="22" t="n">
        <x:v>4</x:v>
      </x:c>
    </x:row>
    <x:row r="56">
      <x:c r="A56" s="31" t="str">
        <x:v>合计</x:v>
      </x:c>
      <x:c r="B56" s="30" t="n">
        <x:v>2</x:v>
      </x:c>
      <x:c r="C56" s="30"/>
      <x:c r="D56" s="30"/>
      <x:c r="E56" s="30"/>
      <x:c r="F56" s="30"/>
      <x:c r="G56" s="30"/>
      <x:c r="H56" s="30"/>
      <x:c r="I56" s="32" t="n">
        <x:f>ROUND(SUM(I54:I55),1)</x:f>
        <x:v>32760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ROUND(IFERROR(AVERAGE(I54:I55),0),1)</x:f>
        <x:v>16380</x:v>
      </x:c>
      <x:c r="J57" s="30"/>
      <x:c r="K57" s="30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1247.1999999999998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207.9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1179.1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196.5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356.69999999999993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59.4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1308.0000000000002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218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1103.6000000000001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220.7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440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88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259.6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43.3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46960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7826.7</x:v>
      </x:c>
      <x:c r="K13" s="30"/>
    </x:row>
  </x:sheetData>
  <x:mergeCells>
    <x:mergeCell ref="A1:K1"/>
  </x:mergeCells>
  <x:pageMargins left="0.7" right="0.7" top="0.75" bottom="0.75" header="0.3" footer="0.3"/>
</x:worksheet>
</file>