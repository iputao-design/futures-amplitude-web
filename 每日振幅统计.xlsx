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88387c21b44e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8b344b38b44459d"/>
    <x:sheet xmlns:r="http://schemas.openxmlformats.org/officeDocument/2006/relationships" name="周振幅统计" sheetId="2" r:id="R711cda8eb463459e"/>
    <x:sheet xmlns:r="http://schemas.openxmlformats.org/officeDocument/2006/relationships" name="中证1000" sheetId="3" r:id="R1e142a4a35064902"/>
    <x:sheet xmlns:r="http://schemas.openxmlformats.org/officeDocument/2006/relationships" name="中证500" sheetId="4" r:id="Rb836b5fa1e764f03"/>
    <x:sheet xmlns:r="http://schemas.openxmlformats.org/officeDocument/2006/relationships" name="上证指数" sheetId="5" r:id="R24376b17c80b419a"/>
    <x:sheet xmlns:r="http://schemas.openxmlformats.org/officeDocument/2006/relationships" name="IM主力" sheetId="6" r:id="Rb6fa3dabee2042b2"/>
    <x:sheet xmlns:r="http://schemas.openxmlformats.org/officeDocument/2006/relationships" name="IC主力" sheetId="7" r:id="Ra85b1af222714f10"/>
    <x:sheet xmlns:r="http://schemas.openxmlformats.org/officeDocument/2006/relationships" name="IF主力" sheetId="8" r:id="Re49f4f014b0142e4"/>
    <x:sheet xmlns:r="http://schemas.openxmlformats.org/officeDocument/2006/relationships" name="IH主力" sheetId="9" r:id="R51337ba6f5234d67"/>
    <x:sheet xmlns:r="http://schemas.openxmlformats.org/officeDocument/2006/relationships" name="碳酸锂2610" sheetId="10" r:id="R961e34da99e64a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3b354297e64d37" /><Relationship Type="http://schemas.openxmlformats.org/officeDocument/2006/relationships/theme" Target="/xl/theme/theme1.xml" Id="R73193329104040a7" /><Relationship Type="http://schemas.openxmlformats.org/officeDocument/2006/relationships/sharedStrings" Target="/xl/sharedStrings.xml" Id="Raafe0255279e488b" /><Relationship Type="http://schemas.openxmlformats.org/officeDocument/2006/relationships/worksheet" Target="/xl/worksheets/sheet1.xml" Id="R28b344b38b44459d" /><Relationship Type="http://schemas.openxmlformats.org/officeDocument/2006/relationships/worksheet" Target="/xl/worksheets/sheet2.xml" Id="R711cda8eb463459e" /><Relationship Type="http://schemas.openxmlformats.org/officeDocument/2006/relationships/worksheet" Target="/xl/worksheets/sheet3.xml" Id="R1e142a4a35064902" /><Relationship Type="http://schemas.openxmlformats.org/officeDocument/2006/relationships/worksheet" Target="/xl/worksheets/sheet4.xml" Id="Rb836b5fa1e764f03" /><Relationship Type="http://schemas.openxmlformats.org/officeDocument/2006/relationships/worksheet" Target="/xl/worksheets/sheet5.xml" Id="R24376b17c80b419a" /><Relationship Type="http://schemas.openxmlformats.org/officeDocument/2006/relationships/worksheet" Target="/xl/worksheets/sheet6.xml" Id="Rb6fa3dabee2042b2" /><Relationship Type="http://schemas.openxmlformats.org/officeDocument/2006/relationships/worksheet" Target="/xl/worksheets/sheet7.xml" Id="Ra85b1af222714f10" /><Relationship Type="http://schemas.openxmlformats.org/officeDocument/2006/relationships/worksheet" Target="/xl/worksheets/sheet8.xml" Id="Re49f4f014b0142e4" /><Relationship Type="http://schemas.openxmlformats.org/officeDocument/2006/relationships/worksheet" Target="/xl/worksheets/sheet9.xml" Id="R51337ba6f5234d67" /><Relationship Type="http://schemas.openxmlformats.org/officeDocument/2006/relationships/worksheet" Target="/xl/worksheets/sheet10.xml" Id="R961e34da99e64a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2026-10-26</x:v>
      </x:c>
      <x:c r="C4" s="10" t="n">
        <x:v>6704.68</x:v>
      </x:c>
      <x:c r="D4" s="10" t="n">
        <x:v>6589.13</x:v>
      </x:c>
      <x:c r="E4" s="12" t="n">
        <x:v>115.6</x:v>
      </x:c>
      <x:c r="F4" s="9" t="n">
        <x:v>13</x:v>
      </x:c>
      <x:c r="G4" s="10" t="n">
        <x:v>2686.4</x:v>
      </x:c>
      <x:c r="H4" s="10" t="n">
        <x:v>206.6</x:v>
      </x:c>
      <x:c r="I4" s="10" t="n">
        <x:v>180</x:v>
      </x:c>
    </x:row>
    <x:row r="5">
      <x:c r="A5" s="9" t="str">
        <x:v>中证500</x:v>
      </x:c>
      <x:c r="B5" s="9" t="str">
        <x:v>2026-10-26</x:v>
      </x:c>
      <x:c r="C5" s="10" t="n">
        <x:v>6787.32</x:v>
      </x:c>
      <x:c r="D5" s="10" t="n">
        <x:v>6674.4</x:v>
      </x:c>
      <x:c r="E5" s="12" t="n">
        <x:v>112.9</x:v>
      </x:c>
      <x:c r="F5" s="9" t="n">
        <x:v>13</x:v>
      </x:c>
      <x:c r="G5" s="10" t="n">
        <x:v>2497.5</x:v>
      </x:c>
      <x:c r="H5" s="10" t="n">
        <x:v>192.1</x:v>
      </x:c>
      <x:c r="I5" s="10" t="n">
        <x:v>160</x:v>
      </x:c>
    </x:row>
    <x:row r="6">
      <x:c r="A6" s="9" t="str">
        <x:v>上证指数</x:v>
      </x:c>
      <x:c r="B6" s="9" t="str">
        <x:v>2026-10-26</x:v>
      </x:c>
      <x:c r="C6" s="10" t="n">
        <x:v>3699.01</x:v>
      </x:c>
      <x:c r="D6" s="10" t="n">
        <x:v>3664.82</x:v>
      </x:c>
      <x:c r="E6" s="12" t="n">
        <x:v>34.2</x:v>
      </x:c>
      <x:c r="F6" s="9" t="n">
        <x:v>13</x:v>
      </x:c>
      <x:c r="G6" s="10" t="n">
        <x:v>771.2</x:v>
      </x:c>
      <x:c r="H6" s="10" t="n">
        <x:v>59.3</x:v>
      </x:c>
      <x:c r="I6" s="10" t="n">
        <x:v>50</x:v>
      </x:c>
    </x:row>
    <x:row r="7">
      <x:c r="A7" s="9" t="str">
        <x:v>IM主力</x:v>
      </x:c>
      <x:c r="B7" s="9" t="str">
        <x:v>2026-10-23</x:v>
      </x:c>
      <x:c r="C7" s="10" t="n">
        <x:v>6677</x:v>
      </x:c>
      <x:c r="D7" s="10" t="n">
        <x:v>6212.6</x:v>
      </x:c>
      <x:c r="E7" s="12" t="n">
        <x:v>464.4</x:v>
      </x:c>
      <x:c r="F7" s="9" t="n">
        <x:v>12</x:v>
      </x:c>
      <x:c r="G7" s="10" t="n">
        <x:v>2732</x:v>
      </x:c>
      <x:c r="H7" s="10" t="n">
        <x:v>227.7</x:v>
      </x:c>
      <x:c r="I7" s="10" t="n">
        <x:v>190</x:v>
      </x:c>
    </x:row>
    <x:row r="8">
      <x:c r="A8" s="9" t="str">
        <x:v>IC主力</x:v>
      </x:c>
      <x:c r="B8" s="9" t="str">
        <x:v>2026-10-26</x:v>
      </x:c>
      <x:c r="C8" s="10" t="n">
        <x:v>6711.4</x:v>
      </x:c>
      <x:c r="D8" s="10" t="n">
        <x:v>6573.6</x:v>
      </x:c>
      <x:c r="E8" s="12" t="n">
        <x:v>137.8</x:v>
      </x:c>
      <x:c r="F8" s="9" t="n">
        <x:v>13</x:v>
      </x:c>
      <x:c r="G8" s="10" t="n">
        <x:v>2768.4</x:v>
      </x:c>
      <x:c r="H8" s="10" t="n">
        <x:v>213</x:v>
      </x:c>
      <x:c r="I8" s="10" t="n">
        <x:v>150</x:v>
      </x:c>
    </x:row>
    <x:row r="9">
      <x:c r="A9" s="9" t="str">
        <x:v>IF主力</x:v>
      </x:c>
      <x:c r="B9" s="9" t="str">
        <x:v>2026-10-26</x:v>
      </x:c>
      <x:c r="C9" s="10" t="n">
        <x:v>4049.8</x:v>
      </x:c>
      <x:c r="D9" s="10" t="n">
        <x:v>3996.4</x:v>
      </x:c>
      <x:c r="E9" s="12" t="n">
        <x:v>53.4</x:v>
      </x:c>
      <x:c r="F9" s="9" t="n">
        <x:v>13</x:v>
      </x:c>
      <x:c r="G9" s="10" t="n">
        <x:v>1124</x:v>
      </x:c>
      <x:c r="H9" s="10" t="n">
        <x:v>86.5</x:v>
      </x:c>
      <x:c r="I9" s="10" t="n">
        <x:v>90</x:v>
      </x:c>
    </x:row>
    <x:row r="10">
      <x:c r="A10" s="9" t="str">
        <x:v>IH主力</x:v>
      </x:c>
      <x:c r="B10" s="9" t="str">
        <x:v>2026-10-23</x:v>
      </x:c>
      <x:c r="C10" s="10" t="n">
        <x:v>2721.2</x:v>
      </x:c>
      <x:c r="D10" s="10" t="n">
        <x:v>2638</x:v>
      </x:c>
      <x:c r="E10" s="12" t="n">
        <x:v>83.2</x:v>
      </x:c>
      <x:c r="F10" s="9" t="n">
        <x:v>12</x:v>
      </x:c>
      <x:c r="G10" s="10" t="n">
        <x:v>585.4</x:v>
      </x:c>
      <x:c r="H10" s="10" t="n">
        <x:v>48.8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</x:v>
      </x:c>
      <x:c r="C8" s="23" t="n">
        <x:v>6684.93</x:v>
      </x:c>
      <x:c r="D8" s="23" t="n">
        <x:v>6704.68</x:v>
      </x:c>
      <x:c r="E8" s="23" t="n">
        <x:v>6589.13</x:v>
      </x:c>
      <x:c r="F8" s="23" t="n">
        <x:v>6630.78</x:v>
      </x:c>
      <x:c r="G8" s="23" t="n">
        <x:f>ROUND(F8-F7,1)</x:f>
        <x:v>-103.8</x:v>
      </x:c>
      <x:c r="H8" s="24" t="n">
        <x:f>IFERROR(F8/F7-1,"")</x:f>
        <x:v>-0.015408601911040876</x:v>
      </x:c>
      <x:c r="I8" s="23" t="n">
        <x:f>ROUND(D8-E8,1)</x:f>
        <x:v>115.6</x:v>
      </x:c>
      <x:c r="J8" s="22" t="str">
        <x:v>中证1000</x:v>
      </x:c>
      <x:c r="K8" s="22" t="n">
        <x:v>1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1654.2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413.6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</x:v>
      </x:c>
      <x:c r="C17" s="23" t="n">
        <x:v>6756.46</x:v>
      </x:c>
      <x:c r="D17" s="23" t="n">
        <x:v>6787.32</x:v>
      </x:c>
      <x:c r="E17" s="23" t="n">
        <x:v>6674.4</x:v>
      </x:c>
      <x:c r="F17" s="23" t="n">
        <x:v>6712.73</x:v>
      </x:c>
      <x:c r="G17" s="23" t="n">
        <x:f>ROUND(F17-F16,1)</x:f>
        <x:v>-101.7</x:v>
      </x:c>
      <x:c r="H17" s="24" t="n">
        <x:f>IFERROR(F17/F16-1,"")</x:f>
        <x:v>-0.0149256578677045</x:v>
      </x:c>
      <x:c r="I17" s="23" t="n">
        <x:f>ROUND(D17-E17,1)</x:f>
        <x:v>112.9</x:v>
      </x:c>
      <x:c r="J17" s="22" t="str">
        <x:v>中证500</x:v>
      </x:c>
      <x:c r="K17" s="22" t="n">
        <x:v>1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1543.9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386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</x:v>
      </x:c>
      <x:c r="C26" s="23" t="n">
        <x:v>3671</x:v>
      </x:c>
      <x:c r="D26" s="23" t="n">
        <x:v>3699.01</x:v>
      </x:c>
      <x:c r="E26" s="23" t="n">
        <x:v>3664.82</x:v>
      </x:c>
      <x:c r="F26" s="23" t="n">
        <x:v>3697.52</x:v>
      </x:c>
      <x:c r="G26" s="23" t="n">
        <x:f>ROUND(F26-F25,1)</x:f>
        <x:v>7</x:v>
      </x:c>
      <x:c r="H26" s="24" t="n">
        <x:f>IFERROR(F26/F25-1,"")</x:f>
        <x:v>0.0019076109340789849</x:v>
      </x:c>
      <x:c r="I26" s="23" t="n">
        <x:f>ROUND(D26-E26,1)</x:f>
        <x:v>34.2</x:v>
      </x:c>
      <x:c r="J26" s="22" t="str">
        <x:v>上证指数</x:v>
      </x:c>
      <x:c r="K26" s="22" t="n">
        <x:v>1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467.1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116.8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31" t="str">
        <x:v>合计</x:v>
      </x:c>
      <x:c r="B35" s="30" t="n">
        <x:v>3</x:v>
      </x:c>
      <x:c r="C35" s="30"/>
      <x:c r="D35" s="30"/>
      <x:c r="E35" s="30"/>
      <x:c r="F35" s="30"/>
      <x:c r="G35" s="30"/>
      <x:c r="H35" s="30"/>
      <x:c r="I35" s="32" t="n">
        <x:f>ROUND(SUM(I32:I34),1)</x:f>
        <x:v>1531.2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ROUND(IFERROR(AVERAGE(I32:I34),0),1)</x:f>
        <x:v>510.4</x:v>
      </x:c>
      <x:c r="J36" s="30"/>
      <x:c r="K36" s="30"/>
    </x:row>
    <x:row r="38">
      <x:c r="A38" s="17" t="str">
        <x:v>IC主力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7295</x:v>
      </x:c>
      <x:c r="D40" s="23" t="n">
        <x:v>7355</x:v>
      </x:c>
      <x:c r="E40" s="23" t="n">
        <x:v>6932</x:v>
      </x:c>
      <x:c r="F40" s="23" t="n">
        <x:v>7111</x:v>
      </x:c>
      <x:c r="G40" s="23"/>
      <x:c r="H40" s="24"/>
      <x:c r="I40" s="26" t="n">
        <x:f>ROUND(D40-E40,1)</x:f>
        <x:v>423</x:v>
      </x:c>
      <x:c r="J40" s="22" t="str">
        <x:v>IC2612</x:v>
      </x:c>
      <x:c r="K40" s="22" t="n">
        <x:v>2</x:v>
      </x:c>
    </x:row>
    <x:row r="41">
      <x:c r="A41" s="22" t="n">
        <x:v>2</x:v>
      </x:c>
      <x:c r="B41" s="22" t="str">
        <x:v>10月12日-10月16日</x:v>
      </x:c>
      <x:c r="C41" s="23" t="n">
        <x:v>7076.6</x:v>
      </x:c>
      <x:c r="D41" s="23" t="n">
        <x:v>7115.6</x:v>
      </x:c>
      <x:c r="E41" s="23" t="n">
        <x:v>6583.2</x:v>
      </x:c>
      <x:c r="F41" s="23" t="n">
        <x:v>6667.8</x:v>
      </x:c>
      <x:c r="G41" s="28" t="n">
        <x:f>ROUND(F41-F40,1)</x:f>
        <x:v>-443.2</x:v>
      </x:c>
      <x:c r="H41" s="24" t="n">
        <x:f>IFERROR(F41/F40-1,"")</x:f>
        <x:v>-0.062325973843341265</x:v>
      </x:c>
      <x:c r="I41" s="26" t="n">
        <x:f>ROUND(D41-E41,1)</x:f>
        <x:v>532.4</x:v>
      </x:c>
      <x:c r="J41" s="22" t="str">
        <x:v>IC2612</x:v>
      </x:c>
      <x:c r="K41" s="22" t="n">
        <x:v>5</x:v>
      </x:c>
    </x:row>
    <x:row r="42">
      <x:c r="A42" s="22" t="n">
        <x:v>3</x:v>
      </x:c>
      <x:c r="B42" s="22" t="str">
        <x:v>10月19日-10月23日</x:v>
      </x:c>
      <x:c r="C42" s="23" t="n">
        <x:v>6670.2</x:v>
      </x:c>
      <x:c r="D42" s="23" t="n">
        <x:v>6864</x:v>
      </x:c>
      <x:c r="E42" s="23" t="n">
        <x:v>6340</x:v>
      </x:c>
      <x:c r="F42" s="23" t="n">
        <x:v>6742</x:v>
      </x:c>
      <x:c r="G42" s="23" t="n">
        <x:f>ROUND(F42-F41,1)</x:f>
        <x:v>74.2</x:v>
      </x:c>
      <x:c r="H42" s="24" t="n">
        <x:f>IFERROR(F42/F41-1,"")</x:f>
        <x:v>0.011128108221602373</x:v>
      </x:c>
      <x:c r="I42" s="26" t="n">
        <x:f>ROUND(D42-E42,1)</x:f>
        <x:v>524</x:v>
      </x:c>
      <x:c r="J42" s="22" t="str">
        <x:v>IC2612</x:v>
      </x:c>
      <x:c r="K42" s="22" t="n">
        <x:v>5</x:v>
      </x:c>
    </x:row>
    <x:row r="43">
      <x:c r="A43" s="22" t="n">
        <x:v>4</x:v>
      </x:c>
      <x:c r="B43" s="22" t="str">
        <x:v>10月26日</x:v>
      </x:c>
      <x:c r="C43" s="23" t="n">
        <x:v>6700</x:v>
      </x:c>
      <x:c r="D43" s="23" t="n">
        <x:v>6711.4</x:v>
      </x:c>
      <x:c r="E43" s="23" t="n">
        <x:v>6573.6</x:v>
      </x:c>
      <x:c r="F43" s="23" t="n">
        <x:v>6637</x:v>
      </x:c>
      <x:c r="G43" s="23" t="n">
        <x:f>ROUND(F43-F42,1)</x:f>
        <x:v>-105</x:v>
      </x:c>
      <x:c r="H43" s="24" t="n">
        <x:f>IFERROR(F43/F42-1,"")</x:f>
        <x:v>-0.015574013645802465</x:v>
      </x:c>
      <x:c r="I43" s="23" t="n">
        <x:f>ROUND(D43-E43,1)</x:f>
        <x:v>137.8</x:v>
      </x:c>
      <x:c r="J43" s="22" t="str">
        <x:v>IC2612</x:v>
      </x:c>
      <x:c r="K43" s="22" t="n">
        <x:v>1</x:v>
      </x:c>
    </x:row>
    <x:row r="44">
      <x:c r="A44" s="31" t="str">
        <x:v>合计</x:v>
      </x:c>
      <x:c r="B44" s="30" t="n">
        <x:v>4</x:v>
      </x:c>
      <x:c r="C44" s="30"/>
      <x:c r="D44" s="30"/>
      <x:c r="E44" s="30"/>
      <x:c r="F44" s="30"/>
      <x:c r="G44" s="30"/>
      <x:c r="H44" s="30"/>
      <x:c r="I44" s="32" t="n">
        <x:f>ROUND(SUM(I40:I43),1)</x:f>
        <x:v>1617.2</x:v>
      </x:c>
      <x:c r="J44" s="30"/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4" t="n">
        <x:f>ROUND(IFERROR(AVERAGE(I40:I43),0),1)</x:f>
        <x:v>404.3</x:v>
      </x:c>
      <x:c r="J45" s="30"/>
      <x:c r="K45" s="30"/>
    </x:row>
    <x:row r="47">
      <x:c r="A47" s="17" t="str">
        <x:v>IF主力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周期</x:v>
      </x:c>
      <x:c r="C48" s="20" t="str">
        <x:v>开盘</x:v>
      </x:c>
      <x:c r="D48" s="20" t="str">
        <x:v>高点</x:v>
      </x:c>
      <x:c r="E48" s="20" t="str">
        <x:v>低点</x:v>
      </x:c>
      <x:c r="F48" s="20" t="str">
        <x:v>收盘</x:v>
      </x:c>
      <x:c r="G48" s="20" t="str">
        <x:v>涨跌点数</x:v>
      </x:c>
      <x:c r="H48" s="20" t="str">
        <x:v>涨幅</x:v>
      </x:c>
      <x:c r="I48" s="20" t="str">
        <x:v>振幅</x:v>
      </x:c>
      <x:c r="J48" s="20" t="str">
        <x:v>标的</x:v>
      </x:c>
      <x:c r="K48" s="20" t="str">
        <x:v>交易日</x:v>
      </x:c>
    </x:row>
    <x:row r="49">
      <x:c r="A49" s="22" t="n">
        <x:v>1</x:v>
      </x:c>
      <x:c r="B49" s="22" t="str">
        <x:v>10月8日-10月9日</x:v>
      </x:c>
      <x:c r="C49" s="23" t="n">
        <x:v>4300.8</x:v>
      </x:c>
      <x:c r="D49" s="23" t="n">
        <x:v>4331.6</x:v>
      </x:c>
      <x:c r="E49" s="23" t="n">
        <x:v>4180.4</x:v>
      </x:c>
      <x:c r="F49" s="23" t="n">
        <x:v>4244.8</x:v>
      </x:c>
      <x:c r="G49" s="23"/>
      <x:c r="H49" s="24"/>
      <x:c r="I49" s="26" t="n">
        <x:f>ROUND(D49-E49,1)</x:f>
        <x:v>151.2</x:v>
      </x:c>
      <x:c r="J49" s="22" t="str">
        <x:v>IF2612</x:v>
      </x:c>
      <x:c r="K49" s="22" t="n">
        <x:v>2</x:v>
      </x:c>
    </x:row>
    <x:row r="50">
      <x:c r="A50" s="22" t="n">
        <x:v>2</x:v>
      </x:c>
      <x:c r="B50" s="22" t="str">
        <x:v>10月12日-10月16日</x:v>
      </x:c>
      <x:c r="C50" s="23" t="n">
        <x:v>4240.4</x:v>
      </x:c>
      <x:c r="D50" s="23" t="n">
        <x:v>4273.6</x:v>
      </x:c>
      <x:c r="E50" s="23" t="n">
        <x:v>4045.2</x:v>
      </x:c>
      <x:c r="F50" s="23" t="n">
        <x:v>4088.8</x:v>
      </x:c>
      <x:c r="G50" s="28" t="n">
        <x:f>ROUND(F50-F49,1)</x:f>
        <x:v>-156</x:v>
      </x:c>
      <x:c r="H50" s="24" t="n">
        <x:f>IFERROR(F50/F49-1,"")</x:f>
        <x:v>-0.03675084809649454</x:v>
      </x:c>
      <x:c r="I50" s="26" t="n">
        <x:f>ROUND(D50-E50,1)</x:f>
        <x:v>228.4</x:v>
      </x:c>
      <x:c r="J50" s="22" t="str">
        <x:v>IF2612</x:v>
      </x:c>
      <x:c r="K50" s="22" t="n">
        <x:v>5</x:v>
      </x:c>
    </x:row>
    <x:row r="51">
      <x:c r="A51" s="22" t="n">
        <x:v>3</x:v>
      </x:c>
      <x:c r="B51" s="22" t="str">
        <x:v>10月19日-10月23日</x:v>
      </x:c>
      <x:c r="C51" s="23" t="n">
        <x:v>4086.4</x:v>
      </x:c>
      <x:c r="D51" s="23" t="n">
        <x:v>4140.2</x:v>
      </x:c>
      <x:c r="E51" s="23" t="n">
        <x:v>3897.6</x:v>
      </x:c>
      <x:c r="F51" s="23" t="n">
        <x:v>4055</x:v>
      </x:c>
      <x:c r="G51" s="23" t="n">
        <x:f>ROUND(F51-F50,1)</x:f>
        <x:v>-33.8</x:v>
      </x:c>
      <x:c r="H51" s="24" t="n">
        <x:f>IFERROR(F51/F50-1,"")</x:f>
        <x:v>-0.00826648405400121</x:v>
      </x:c>
      <x:c r="I51" s="26" t="n">
        <x:f>ROUND(D51-E51,1)</x:f>
        <x:v>242.6</x:v>
      </x:c>
      <x:c r="J51" s="22" t="str">
        <x:v>IF2612</x:v>
      </x:c>
      <x:c r="K51" s="22" t="n">
        <x:v>5</x:v>
      </x:c>
    </x:row>
    <x:row r="52">
      <x:c r="A52" s="22" t="n">
        <x:v>4</x:v>
      </x:c>
      <x:c r="B52" s="22" t="str">
        <x:v>10月26日</x:v>
      </x:c>
      <x:c r="C52" s="23" t="n">
        <x:v>4034</x:v>
      </x:c>
      <x:c r="D52" s="23" t="n">
        <x:v>4049.8</x:v>
      </x:c>
      <x:c r="E52" s="23" t="n">
        <x:v>3996.4</x:v>
      </x:c>
      <x:c r="F52" s="23" t="n">
        <x:v>4049</x:v>
      </x:c>
      <x:c r="G52" s="23" t="n">
        <x:f>ROUND(F52-F51,1)</x:f>
        <x:v>-6</x:v>
      </x:c>
      <x:c r="H52" s="24" t="n">
        <x:f>IFERROR(F52/F51-1,"")</x:f>
        <x:v>-0.0014796547472256671</x:v>
      </x:c>
      <x:c r="I52" s="23" t="n">
        <x:f>ROUND(D52-E52,1)</x:f>
        <x:v>53.4</x:v>
      </x:c>
      <x:c r="J52" s="22" t="str">
        <x:v>IF2612</x:v>
      </x:c>
      <x:c r="K52" s="22" t="n">
        <x:v>1</x:v>
      </x:c>
    </x:row>
    <x:row r="53">
      <x:c r="A53" s="31" t="str">
        <x:v>合计</x:v>
      </x:c>
      <x:c r="B53" s="30" t="n">
        <x:v>4</x:v>
      </x:c>
      <x:c r="C53" s="30"/>
      <x:c r="D53" s="30"/>
      <x:c r="E53" s="30"/>
      <x:c r="F53" s="30"/>
      <x:c r="G53" s="30"/>
      <x:c r="H53" s="30"/>
      <x:c r="I53" s="32" t="n">
        <x:f>ROUND(SUM(I49:I52),1)</x:f>
        <x:v>675.6</x:v>
      </x:c>
      <x:c r="J53" s="30"/>
      <x:c r="K53" s="30"/>
    </x:row>
    <x:row r="54">
      <x:c r="A54" s="31" t="str">
        <x:v>均值</x:v>
      </x:c>
      <x:c r="B54" s="30"/>
      <x:c r="C54" s="30"/>
      <x:c r="D54" s="30"/>
      <x:c r="E54" s="30"/>
      <x:c r="F54" s="30"/>
      <x:c r="G54" s="30"/>
      <x:c r="H54" s="30"/>
      <x:c r="I54" s="34" t="n">
        <x:f>ROUND(IFERROR(AVERAGE(I49:I52),0),1)</x:f>
        <x:v>168.9</x:v>
      </x:c>
      <x:c r="J54" s="30"/>
      <x:c r="K54" s="30"/>
    </x:row>
    <x:row r="56">
      <x:c r="A56" s="17" t="str">
        <x:v>IH主力</x:v>
      </x:c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</x:row>
    <x:row r="57">
      <x:c r="A57" s="20" t="str">
        <x:v>序号</x:v>
      </x:c>
      <x:c r="B57" s="20" t="str">
        <x:v>周期</x:v>
      </x:c>
      <x:c r="C57" s="20" t="str">
        <x:v>开盘</x:v>
      </x:c>
      <x:c r="D57" s="20" t="str">
        <x:v>高点</x:v>
      </x:c>
      <x:c r="E57" s="20" t="str">
        <x:v>低点</x:v>
      </x:c>
      <x:c r="F57" s="20" t="str">
        <x:v>收盘</x:v>
      </x:c>
      <x:c r="G57" s="20" t="str">
        <x:v>涨跌点数</x:v>
      </x:c>
      <x:c r="H57" s="20" t="str">
        <x:v>涨幅</x:v>
      </x:c>
      <x:c r="I57" s="20" t="str">
        <x:v>振幅</x:v>
      </x:c>
      <x:c r="J57" s="20" t="str">
        <x:v>标的</x:v>
      </x:c>
      <x:c r="K57" s="20" t="str">
        <x:v>交易日</x:v>
      </x:c>
    </x:row>
    <x:row r="58">
      <x:c r="A58" s="22" t="n">
        <x:v>1</x:v>
      </x:c>
      <x:c r="B58" s="22" t="str">
        <x:v>10月8日-10月9日</x:v>
      </x:c>
      <x:c r="C58" s="23" t="n">
        <x:v>2764</x:v>
      </x:c>
      <x:c r="D58" s="23" t="n">
        <x:v>2798.4</x:v>
      </x:c>
      <x:c r="E58" s="23" t="n">
        <x:v>2735</x:v>
      </x:c>
      <x:c r="F58" s="23" t="n">
        <x:v>2764</x:v>
      </x:c>
      <x:c r="G58" s="23"/>
      <x:c r="H58" s="24"/>
      <x:c r="I58" s="26" t="n">
        <x:f>ROUND(D58-E58,1)</x:f>
        <x:v>63.4</x:v>
      </x:c>
      <x:c r="J58" s="22" t="str">
        <x:v>IH2612</x:v>
      </x:c>
      <x:c r="K58" s="22" t="n">
        <x:v>2</x:v>
      </x:c>
    </x:row>
    <x:row r="59">
      <x:c r="A59" s="22" t="n">
        <x:v>2</x:v>
      </x:c>
      <x:c r="B59" s="22" t="str">
        <x:v>10月12日-10月16日</x:v>
      </x:c>
      <x:c r="C59" s="23" t="n">
        <x:v>2762</x:v>
      </x:c>
      <x:c r="D59" s="23" t="n">
        <x:v>2794</x:v>
      </x:c>
      <x:c r="E59" s="23" t="n">
        <x:v>2677.6</x:v>
      </x:c>
      <x:c r="F59" s="23" t="n">
        <x:v>2704.6</x:v>
      </x:c>
      <x:c r="G59" s="23" t="n">
        <x:f>ROUND(F59-F58,1)</x:f>
        <x:v>-59.4</x:v>
      </x:c>
      <x:c r="H59" s="24" t="n">
        <x:f>IFERROR(F59/F58-1,"")</x:f>
        <x:v>-0.0214905933429812</x:v>
      </x:c>
      <x:c r="I59" s="26" t="n">
        <x:f>ROUND(D59-E59,1)</x:f>
        <x:v>116.4</x:v>
      </x:c>
      <x:c r="J59" s="22" t="str">
        <x:v>IH2612</x:v>
      </x:c>
      <x:c r="K59" s="22" t="n">
        <x:v>5</x:v>
      </x:c>
    </x:row>
    <x:row r="60">
      <x:c r="A60" s="22" t="n">
        <x:v>3</x:v>
      </x:c>
      <x:c r="B60" s="22" t="str">
        <x:v>10月19日-10月23日</x:v>
      </x:c>
      <x:c r="C60" s="23" t="n">
        <x:v>2690</x:v>
      </x:c>
      <x:c r="D60" s="23" t="n">
        <x:v>2754.6</x:v>
      </x:c>
      <x:c r="E60" s="23" t="n">
        <x:v>2638</x:v>
      </x:c>
      <x:c r="F60" s="23" t="n">
        <x:v>2719</x:v>
      </x:c>
      <x:c r="G60" s="23" t="n">
        <x:f>ROUND(F60-F59,1)</x:f>
        <x:v>14.4</x:v>
      </x:c>
      <x:c r="H60" s="24" t="n">
        <x:f>IFERROR(F60/F59-1,"")</x:f>
        <x:v>0.0053242623678178</x:v>
      </x:c>
      <x:c r="I60" s="26" t="n">
        <x:f>ROUND(D60-E60,1)</x:f>
        <x:v>116.6</x:v>
      </x:c>
      <x:c r="J60" s="22" t="str">
        <x:v>IH2612</x:v>
      </x:c>
      <x:c r="K60" s="22" t="n">
        <x:v>5</x:v>
      </x:c>
    </x:row>
    <x:row r="61">
      <x:c r="A61" s="31" t="str">
        <x:v>合计</x:v>
      </x:c>
      <x:c r="B61" s="30" t="n">
        <x:v>3</x:v>
      </x:c>
      <x:c r="C61" s="30"/>
      <x:c r="D61" s="30"/>
      <x:c r="E61" s="30"/>
      <x:c r="F61" s="30"/>
      <x:c r="G61" s="30"/>
      <x:c r="H61" s="30"/>
      <x:c r="I61" s="32" t="n">
        <x:f>ROUND(SUM(I58:I60),1)</x:f>
        <x:v>296.4</x:v>
      </x:c>
      <x:c r="J61" s="30"/>
      <x:c r="K61" s="30"/>
    </x:row>
    <x:row r="62">
      <x:c r="A62" s="31" t="str">
        <x:v>均值</x:v>
      </x:c>
      <x:c r="B62" s="30"/>
      <x:c r="C62" s="30"/>
      <x:c r="D62" s="30"/>
      <x:c r="E62" s="30"/>
      <x:c r="F62" s="30"/>
      <x:c r="G62" s="30"/>
      <x:c r="H62" s="30"/>
      <x:c r="I62" s="34" t="n">
        <x:f>ROUND(IFERROR(AVERAGE(I58:I60),0),1)</x:f>
        <x:v>98.8</x:v>
      </x:c>
      <x:c r="J62" s="30"/>
      <x:c r="K62" s="30"/>
    </x:row>
    <x:row r="64">
      <x:c r="A64" s="17" t="str">
        <x:v>碳酸锂2610</x:v>
      </x:c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</x:row>
    <x:row r="65">
      <x:c r="A65" s="20" t="str">
        <x:v>序号</x:v>
      </x:c>
      <x:c r="B65" s="20" t="str">
        <x:v>周期</x:v>
      </x:c>
      <x:c r="C65" s="20" t="str">
        <x:v>开盘</x:v>
      </x:c>
      <x:c r="D65" s="20" t="str">
        <x:v>高点</x:v>
      </x:c>
      <x:c r="E65" s="20" t="str">
        <x:v>低点</x:v>
      </x:c>
      <x:c r="F65" s="20" t="str">
        <x:v>收盘</x:v>
      </x:c>
      <x:c r="G65" s="20" t="str">
        <x:v>涨跌点数</x:v>
      </x:c>
      <x:c r="H65" s="20" t="str">
        <x:v>涨幅</x:v>
      </x:c>
      <x:c r="I65" s="20" t="str">
        <x:v>振幅</x:v>
      </x:c>
      <x:c r="J65" s="20" t="str">
        <x:v>标的</x:v>
      </x:c>
      <x:c r="K65" s="20" t="str">
        <x:v>交易日</x:v>
      </x:c>
    </x:row>
    <x:row r="66">
      <x:c r="A66" s="22" t="n">
        <x:v>1</x:v>
      </x:c>
      <x:c r="B66" s="22" t="str">
        <x:v>10月8日-10月9日</x:v>
      </x:c>
      <x:c r="C66" s="23" t="n">
        <x:v>120020</x:v>
      </x:c>
      <x:c r="D66" s="23" t="n">
        <x:v>126800</x:v>
      </x:c>
      <x:c r="E66" s="23" t="n">
        <x:v>119000</x:v>
      </x:c>
      <x:c r="F66" s="23" t="n">
        <x:v>121000</x:v>
      </x:c>
      <x:c r="G66" s="23"/>
      <x:c r="H66" s="24"/>
      <x:c r="I66" s="26" t="n">
        <x:f>ROUND(D66-E66,1)</x:f>
        <x:v>7800</x:v>
      </x:c>
      <x:c r="J66" s="22" t="str">
        <x:v>LC2610</x:v>
      </x:c>
      <x:c r="K66" s="22" t="n">
        <x:v>2</x:v>
      </x:c>
    </x:row>
    <x:row r="67">
      <x:c r="A67" s="22" t="n">
        <x:v>2</x:v>
      </x:c>
      <x:c r="B67" s="22" t="str">
        <x:v>10月12日-10月16日</x:v>
      </x:c>
      <x:c r="C67" s="23" t="n">
        <x:v>125960</x:v>
      </x:c>
      <x:c r="D67" s="23" t="n">
        <x:v>125960</x:v>
      </x:c>
      <x:c r="E67" s="23" t="n">
        <x:v>99500</x:v>
      </x:c>
      <x:c r="F67" s="23" t="n">
        <x:v>99500</x:v>
      </x:c>
      <x:c r="G67" s="28" t="n">
        <x:f>ROUND(F67-F66,1)</x:f>
        <x:v>-21500</x:v>
      </x:c>
      <x:c r="H67" s="24" t="n">
        <x:f>IFERROR(F67/F66-1,"")</x:f>
        <x:v>-0.1776859504132231</x:v>
      </x:c>
      <x:c r="I67" s="26" t="n">
        <x:f>ROUND(D67-E67,1)</x:f>
        <x:v>26460</x:v>
      </x:c>
      <x:c r="J67" s="22" t="str">
        <x:v>LC2610</x:v>
      </x:c>
      <x:c r="K67" s="22" t="n">
        <x:v>5</x:v>
      </x:c>
    </x:row>
    <x:row r="68">
      <x:c r="A68" s="22" t="n">
        <x:v>3</x:v>
      </x:c>
      <x:c r="B68" s="22" t="str">
        <x:v>10月19日-10月21日</x:v>
      </x:c>
      <x:c r="C68" s="23" t="n">
        <x:v>99600</x:v>
      </x:c>
      <x:c r="D68" s="23" t="n">
        <x:v>103420</x:v>
      </x:c>
      <x:c r="E68" s="23" t="n">
        <x:v>98000</x:v>
      </x:c>
      <x:c r="F68" s="23" t="n">
        <x:v>98540</x:v>
      </x:c>
      <x:c r="G68" s="28" t="n">
        <x:f>ROUND(F68-F67,1)</x:f>
        <x:v>-960</x:v>
      </x:c>
      <x:c r="H68" s="24" t="n">
        <x:f>IFERROR(F68/F67-1,"")</x:f>
        <x:v>-0.00964824120603014</x:v>
      </x:c>
      <x:c r="I68" s="23" t="n">
        <x:f>ROUND(D68-E68,1)</x:f>
        <x:v>5420</x:v>
      </x:c>
      <x:c r="J68" s="22" t="str">
        <x:v>LC2610</x:v>
      </x:c>
      <x:c r="K68" s="22" t="n">
        <x:v>3</x:v>
      </x:c>
    </x:row>
    <x:row r="69">
      <x:c r="A69" s="31" t="str">
        <x:v>合计</x:v>
      </x:c>
      <x:c r="B69" s="30" t="n">
        <x:v>3</x:v>
      </x:c>
      <x:c r="C69" s="30"/>
      <x:c r="D69" s="30"/>
      <x:c r="E69" s="30"/>
      <x:c r="F69" s="30"/>
      <x:c r="G69" s="30"/>
      <x:c r="H69" s="30"/>
      <x:c r="I69" s="32" t="n">
        <x:f>ROUND(SUM(I66:I68),1)</x:f>
        <x:v>39680</x:v>
      </x:c>
      <x:c r="J69" s="30"/>
      <x:c r="K69" s="30"/>
    </x:row>
    <x:row r="70">
      <x:c r="A70" s="31" t="str">
        <x:v>均值</x:v>
      </x:c>
      <x:c r="B70" s="30"/>
      <x:c r="C70" s="30"/>
      <x:c r="D70" s="30"/>
      <x:c r="E70" s="30"/>
      <x:c r="F70" s="30"/>
      <x:c r="G70" s="30"/>
      <x:c r="H70" s="30"/>
      <x:c r="I70" s="34" t="n">
        <x:f>ROUND(IFERROR(AVERAGE(I66:I68),0),1)</x:f>
        <x:v>13226.7</x:v>
      </x:c>
      <x:c r="J70" s="30"/>
      <x:c r="K70" s="30"/>
    </x:row>
  </x:sheetData>
  <x:mergeCells>
    <x:mergeCell ref="A1:K1"/>
    <x:mergeCell ref="A3:K3"/>
    <x:mergeCell ref="A12:K12"/>
    <x:mergeCell ref="A21:K21"/>
    <x:mergeCell ref="A30:K30"/>
    <x:mergeCell ref="A38:K38"/>
    <x:mergeCell ref="A47:K47"/>
    <x:mergeCell ref="A56:K56"/>
    <x:mergeCell ref="A64:K6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2686.3999999999996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206.6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2497.5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192.1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771.2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59.3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2732.0000000000005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227.7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2768.4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213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1124.0000000000002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86.5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585.4000000000001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48.8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