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a83e7f78ad49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b8f84ef15b5403e"/>
    <x:sheet xmlns:r="http://schemas.openxmlformats.org/officeDocument/2006/relationships" name="周振幅统计" sheetId="2" r:id="R67406c5c72f74673"/>
    <x:sheet xmlns:r="http://schemas.openxmlformats.org/officeDocument/2006/relationships" name="中证1000" sheetId="3" r:id="R7a27c73c8c024793"/>
    <x:sheet xmlns:r="http://schemas.openxmlformats.org/officeDocument/2006/relationships" name="中证500" sheetId="4" r:id="R6ffeb826dc6345b1"/>
    <x:sheet xmlns:r="http://schemas.openxmlformats.org/officeDocument/2006/relationships" name="上证指数" sheetId="5" r:id="R0f40cc9df2c642a4"/>
    <x:sheet xmlns:r="http://schemas.openxmlformats.org/officeDocument/2006/relationships" name="IM主力" sheetId="6" r:id="Rcb39d0cece19407d"/>
    <x:sheet xmlns:r="http://schemas.openxmlformats.org/officeDocument/2006/relationships" name="IC主力" sheetId="7" r:id="R3acd99b4868c4758"/>
    <x:sheet xmlns:r="http://schemas.openxmlformats.org/officeDocument/2006/relationships" name="IF主力" sheetId="8" r:id="R59ca3723fa374df0"/>
    <x:sheet xmlns:r="http://schemas.openxmlformats.org/officeDocument/2006/relationships" name="IH主力" sheetId="9" r:id="R4ba5e433155f4b00"/>
    <x:sheet xmlns:r="http://schemas.openxmlformats.org/officeDocument/2006/relationships" name="碳酸锂2610" sheetId="10" r:id="R15d751f6690b4e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3bfe0ff023446a" /><Relationship Type="http://schemas.openxmlformats.org/officeDocument/2006/relationships/theme" Target="/xl/theme/theme1.xml" Id="Rfab078f53592457a" /><Relationship Type="http://schemas.openxmlformats.org/officeDocument/2006/relationships/sharedStrings" Target="/xl/sharedStrings.xml" Id="R3e89a2b64cbd40b0" /><Relationship Type="http://schemas.openxmlformats.org/officeDocument/2006/relationships/worksheet" Target="/xl/worksheets/sheet1.xml" Id="Rcb8f84ef15b5403e" /><Relationship Type="http://schemas.openxmlformats.org/officeDocument/2006/relationships/worksheet" Target="/xl/worksheets/sheet2.xml" Id="R67406c5c72f74673" /><Relationship Type="http://schemas.openxmlformats.org/officeDocument/2006/relationships/worksheet" Target="/xl/worksheets/sheet3.xml" Id="R7a27c73c8c024793" /><Relationship Type="http://schemas.openxmlformats.org/officeDocument/2006/relationships/worksheet" Target="/xl/worksheets/sheet4.xml" Id="R6ffeb826dc6345b1" /><Relationship Type="http://schemas.openxmlformats.org/officeDocument/2006/relationships/worksheet" Target="/xl/worksheets/sheet5.xml" Id="R0f40cc9df2c642a4" /><Relationship Type="http://schemas.openxmlformats.org/officeDocument/2006/relationships/worksheet" Target="/xl/worksheets/sheet6.xml" Id="Rcb39d0cece19407d" /><Relationship Type="http://schemas.openxmlformats.org/officeDocument/2006/relationships/worksheet" Target="/xl/worksheets/sheet7.xml" Id="R3acd99b4868c4758" /><Relationship Type="http://schemas.openxmlformats.org/officeDocument/2006/relationships/worksheet" Target="/xl/worksheets/sheet8.xml" Id="R59ca3723fa374df0" /><Relationship Type="http://schemas.openxmlformats.org/officeDocument/2006/relationships/worksheet" Target="/xl/worksheets/sheet9.xml" Id="R4ba5e433155f4b00" /><Relationship Type="http://schemas.openxmlformats.org/officeDocument/2006/relationships/worksheet" Target="/xl/worksheets/sheet10.xml" Id="R15d751f6690b4e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2026-10-21</x:v>
      </x:c>
      <x:c r="C4" s="10" t="n">
        <x:v>6880.55</x:v>
      </x:c>
      <x:c r="D4" s="10" t="n">
        <x:v>6763.45</x:v>
      </x:c>
      <x:c r="E4" s="12" t="n">
        <x:v>117.1</x:v>
      </x:c>
      <x:c r="F4" s="9" t="n">
        <x:v>10</x:v>
      </x:c>
      <x:c r="G4" s="10" t="n">
        <x:v>1914.7</x:v>
      </x:c>
      <x:c r="H4" s="10" t="n">
        <x:v>191.5</x:v>
      </x:c>
      <x:c r="I4" s="10" t="n">
        <x:v>180</x:v>
      </x:c>
    </x:row>
    <x:row r="5">
      <x:c r="A5" s="9" t="str">
        <x:v>中证500</x:v>
      </x:c>
      <x:c r="B5" s="9" t="str">
        <x:v>2026-10-21</x:v>
      </x:c>
      <x:c r="C5" s="10" t="n">
        <x:v>6941.51</x:v>
      </x:c>
      <x:c r="D5" s="10" t="n">
        <x:v>6821.39</x:v>
      </x:c>
      <x:c r="E5" s="12" t="n">
        <x:v>120.1</x:v>
      </x:c>
      <x:c r="F5" s="9" t="n">
        <x:v>10</x:v>
      </x:c>
      <x:c r="G5" s="10" t="n">
        <x:v>1799.4</x:v>
      </x:c>
      <x:c r="H5" s="10" t="n">
        <x:v>179.9</x:v>
      </x:c>
      <x:c r="I5" s="10" t="n">
        <x:v>160</x:v>
      </x:c>
    </x:row>
    <x:row r="6">
      <x:c r="A6" s="9" t="str">
        <x:v>上证指数</x:v>
      </x:c>
      <x:c r="B6" s="9" t="str">
        <x:v>2026-10-21</x:v>
      </x:c>
      <x:c r="C6" s="10" t="n">
        <x:v>3743.08</x:v>
      </x:c>
      <x:c r="D6" s="10" t="n">
        <x:v>3703.12</x:v>
      </x:c>
      <x:c r="E6" s="12" t="n">
        <x:v>40</x:v>
      </x:c>
      <x:c r="F6" s="9" t="n">
        <x:v>10</x:v>
      </x:c>
      <x:c r="G6" s="10" t="n">
        <x:v>555.3</x:v>
      </x:c>
      <x:c r="H6" s="10" t="n">
        <x:v>55.5</x:v>
      </x:c>
      <x:c r="I6" s="10" t="n">
        <x:v>50</x:v>
      </x:c>
    </x:row>
    <x:row r="7">
      <x:c r="A7" s="9" t="str">
        <x:v>IM主力</x:v>
      </x:c>
      <x:c r="B7" s="9" t="str">
        <x:v>2026-10-21</x:v>
      </x:c>
      <x:c r="C7" s="10" t="n">
        <x:v>6799.6</x:v>
      </x:c>
      <x:c r="D7" s="10" t="n">
        <x:v>6658.2</x:v>
      </x:c>
      <x:c r="E7" s="12" t="n">
        <x:v>141.4</x:v>
      </x:c>
      <x:c r="F7" s="9" t="n">
        <x:v>10</x:v>
      </x:c>
      <x:c r="G7" s="10" t="n">
        <x:v>2045.4</x:v>
      </x:c>
      <x:c r="H7" s="10" t="n">
        <x:v>204.5</x:v>
      </x:c>
      <x:c r="I7" s="10" t="n">
        <x:v>190</x:v>
      </x:c>
    </x:row>
    <x:row r="8">
      <x:c r="A8" s="9" t="str">
        <x:v>IC主力</x:v>
      </x:c>
      <x:c r="B8" s="9" t="str">
        <x:v>2026-10-20</x:v>
      </x:c>
      <x:c r="C8" s="10" t="n">
        <x:v>6828</x:v>
      </x:c>
      <x:c r="D8" s="10" t="n">
        <x:v>6645</x:v>
      </x:c>
      <x:c r="E8" s="12" t="n">
        <x:v>183</x:v>
      </x:c>
      <x:c r="F8" s="9" t="n">
        <x:v>9</x:v>
      </x:c>
      <x:c r="G8" s="10" t="n">
        <x:v>1855.4</x:v>
      </x:c>
      <x:c r="H8" s="10" t="n">
        <x:v>206.2</x:v>
      </x:c>
      <x:c r="I8" s="10" t="n">
        <x:v>150</x:v>
      </x:c>
    </x:row>
    <x:row r="9">
      <x:c r="A9" s="9" t="str">
        <x:v>IF主力</x:v>
      </x:c>
      <x:c r="B9" s="9" t="str">
        <x:v>2026-10-20</x:v>
      </x:c>
      <x:c r="C9" s="10" t="n">
        <x:v>4123.2</x:v>
      </x:c>
      <x:c r="D9" s="10" t="n">
        <x:v>4049</x:v>
      </x:c>
      <x:c r="E9" s="12" t="n">
        <x:v>74.2</x:v>
      </x:c>
      <x:c r="F9" s="9" t="n">
        <x:v>9</x:v>
      </x:c>
      <x:c r="G9" s="10" t="n">
        <x:v>735.2</x:v>
      </x:c>
      <x:c r="H9" s="10" t="n">
        <x:v>81.7</x:v>
      </x:c>
      <x:c r="I9" s="10" t="n">
        <x:v>90</x:v>
      </x:c>
    </x:row>
    <x:row r="10">
      <x:c r="A10" s="9" t="str">
        <x:v>IH主力</x:v>
      </x:c>
      <x:c r="B10" s="9" t="str">
        <x:v>2026-10-20</x:v>
      </x:c>
      <x:c r="C10" s="10" t="n">
        <x:v>2737.4</x:v>
      </x:c>
      <x:c r="D10" s="10" t="n">
        <x:v>2690.8</x:v>
      </x:c>
      <x:c r="E10" s="12" t="n">
        <x:v>46.6</x:v>
      </x:c>
      <x:c r="F10" s="9" t="n">
        <x:v>9</x:v>
      </x:c>
      <x:c r="G10" s="10" t="n">
        <x:v>423.4</x:v>
      </x:c>
      <x:c r="H10" s="10" t="n">
        <x:v>47</x:v>
      </x:c>
      <x:c r="I10" s="10" t="n">
        <x:v>60</x:v>
      </x:c>
    </x:row>
    <x:row r="11">
      <x:c r="A11" s="9" t="str">
        <x:v>碳酸锂2610</x:v>
      </x:c>
      <x:c r="B11" s="9" t="str">
        <x:v>2026-10-20</x:v>
      </x:c>
      <x:c r="C11" s="10" t="n">
        <x:v>103420</x:v>
      </x:c>
      <x:c r="D11" s="10" t="n">
        <x:v>101520</x:v>
      </x:c>
      <x:c r="E11" s="12" t="n">
        <x:v>1900</x:v>
      </x:c>
      <x:c r="F11" s="9" t="n">
        <x:v>9</x:v>
      </x:c>
      <x:c r="G11" s="10" t="n">
        <x:v>55320</x:v>
      </x:c>
      <x:c r="H11" s="10" t="n">
        <x:v>6146.7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10月19日-10月21日</x:v>
      </x:c>
      <x:c r="C7" s="23" t="n">
        <x:v>6639.94</x:v>
      </x:c>
      <x:c r="D7" s="23" t="n">
        <x:v>6880.55</x:v>
      </x:c>
      <x:c r="E7" s="23" t="n">
        <x:v>6578.94</x:v>
      </x:c>
      <x:c r="F7" s="23" t="n">
        <x:v>6780.26</x:v>
      </x:c>
      <x:c r="G7" s="23" t="n">
        <x:f>ROUND(F7-F6,1)</x:f>
        <x:v>98.3</x:v>
      </x:c>
      <x:c r="H7" s="24" t="n">
        <x:f>IFERROR(F7/F6-1,"")</x:f>
        <x:v>0.014714289562612226</x:v>
      </x:c>
      <x:c r="I7" s="26" t="n">
        <x:f>ROUND(D7-E7,1)</x:f>
        <x:v>301.6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1261.5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420.5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10月19日-10月21日</x:v>
      </x:c>
      <x:c r="C15" s="23" t="n">
        <x:v>6735.53</x:v>
      </x:c>
      <x:c r="D15" s="23" t="n">
        <x:v>6941.51</x:v>
      </x:c>
      <x:c r="E15" s="23" t="n">
        <x:v>6692.83</x:v>
      </x:c>
      <x:c r="F15" s="23" t="n">
        <x:v>6840.56</x:v>
      </x:c>
      <x:c r="G15" s="23" t="n">
        <x:f>ROUND(F15-F14,1)</x:f>
        <x:v>67.8</x:v>
      </x:c>
      <x:c r="H15" s="24" t="n">
        <x:f>IFERROR(F15/F14-1,"")</x:f>
        <x:v>0.010012181167177392</x:v>
      </x:c>
      <x:c r="I15" s="26" t="n">
        <x:f>ROUND(D15-E15,1)</x:f>
        <x:v>248.7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1178.5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392.8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10月19日-10月21日</x:v>
      </x:c>
      <x:c r="C23" s="23" t="n">
        <x:v>3694.12</x:v>
      </x:c>
      <x:c r="D23" s="23" t="n">
        <x:v>3743.8</x:v>
      </x:c>
      <x:c r="E23" s="23" t="n">
        <x:v>3692.29</x:v>
      </x:c>
      <x:c r="F23" s="23" t="n">
        <x:v>3713.03</x:v>
      </x:c>
      <x:c r="G23" s="23" t="n">
        <x:f>ROUND(F23-F22,1)</x:f>
        <x:v>-3.2</x:v>
      </x:c>
      <x:c r="H23" s="24" t="n">
        <x:f>IFERROR(F23/F22-1,"")</x:f>
        <x:v>-0.0008745304444228719</x:v>
      </x:c>
      <x:c r="I23" s="26" t="n">
        <x:f>ROUND(D23-E23,1)</x:f>
        <x:v>51.5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314.9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105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10月19日-10月21日</x:v>
      </x:c>
      <x:c r="C31" s="23" t="n">
        <x:v>6577.2</x:v>
      </x:c>
      <x:c r="D31" s="23" t="n">
        <x:v>6799.6</x:v>
      </x:c>
      <x:c r="E31" s="23" t="n">
        <x:v>6505</x:v>
      </x:c>
      <x:c r="F31" s="23" t="n">
        <x:v>6659.2</x:v>
      </x:c>
      <x:c r="G31" s="23" t="n">
        <x:f>ROUND(F31-F30,1)</x:f>
        <x:v>75.6</x:v>
      </x:c>
      <x:c r="H31" s="24" t="n">
        <x:f>IFERROR(F31/F30-1,"")</x:f>
        <x:v>0.011483079166413335</x:v>
      </x:c>
      <x:c r="I31" s="26" t="n">
        <x:f>ROUND(D31-E31,1)</x:f>
        <x:v>294.6</x:v>
      </x:c>
      <x:c r="J31" s="22" t="str">
        <x:v>IM2612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1238.8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412.9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10月19日-10月20日</x:v>
      </x:c>
      <x:c r="C39" s="23" t="n">
        <x:v>6670.2</x:v>
      </x:c>
      <x:c r="D39" s="23" t="n">
        <x:v>6828</x:v>
      </x:c>
      <x:c r="E39" s="23" t="n">
        <x:v>6608.2</x:v>
      </x:c>
      <x:c r="F39" s="23" t="n">
        <x:v>6737.8</x:v>
      </x:c>
      <x:c r="G39" s="23" t="n">
        <x:f>ROUND(F39-F38,1)</x:f>
        <x:v>70</x:v>
      </x:c>
      <x:c r="H39" s="24" t="n">
        <x:f>IFERROR(F39/F38-1,"")</x:f>
        <x:v>0.01049821530339834</x:v>
      </x:c>
      <x:c r="I39" s="26" t="n">
        <x:f>ROUND(D39-E39,1)</x:f>
        <x:v>219.8</x:v>
      </x:c>
      <x:c r="J39" s="22" t="str">
        <x:v>IC2612</x:v>
      </x:c>
      <x:c r="K39" s="22" t="n">
        <x:v>2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1175.2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391.7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10月19日-10月20日</x:v>
      </x:c>
      <x:c r="C47" s="23" t="n">
        <x:v>4086.4</x:v>
      </x:c>
      <x:c r="D47" s="23" t="n">
        <x:v>4140.2</x:v>
      </x:c>
      <x:c r="E47" s="23" t="n">
        <x:v>4049</x:v>
      </x:c>
      <x:c r="F47" s="23" t="n">
        <x:v>4082.8</x:v>
      </x:c>
      <x:c r="G47" s="23" t="n">
        <x:f>ROUND(F47-F46,1)</x:f>
        <x:v>-6</x:v>
      </x:c>
      <x:c r="H47" s="24" t="n">
        <x:f>IFERROR(F47/F46-1,"")</x:f>
        <x:v>-0.0014674232048522695</x:v>
      </x:c>
      <x:c r="I47" s="26" t="n">
        <x:f>ROUND(D47-E47,1)</x:f>
        <x:v>91.2</x:v>
      </x:c>
      <x:c r="J47" s="22" t="str">
        <x:v>IF2612</x:v>
      </x:c>
      <x:c r="K47" s="22" t="n">
        <x:v>2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470.8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156.9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10月19日-10月20日</x:v>
      </x:c>
      <x:c r="C55" s="23" t="n">
        <x:v>2690</x:v>
      </x:c>
      <x:c r="D55" s="23" t="n">
        <x:v>2754.6</x:v>
      </x:c>
      <x:c r="E55" s="23" t="n">
        <x:v>2690</x:v>
      </x:c>
      <x:c r="F55" s="23" t="n">
        <x:v>2717.6</x:v>
      </x:c>
      <x:c r="G55" s="23" t="n">
        <x:f>ROUND(F55-F54,1)</x:f>
        <x:v>13</x:v>
      </x:c>
      <x:c r="H55" s="24" t="n">
        <x:f>IFERROR(F55/F54-1,"")</x:f>
        <x:v>0.00480662574872448</x:v>
      </x:c>
      <x:c r="I55" s="26" t="n">
        <x:f>ROUND(D55-E55,1)</x:f>
        <x:v>64.6</x:v>
      </x:c>
      <x:c r="J55" s="22" t="str">
        <x:v>IH2612</x:v>
      </x:c>
      <x:c r="K55" s="22" t="n">
        <x:v>2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244.4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81.5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10月19日-10月20日</x:v>
      </x:c>
      <x:c r="C63" s="23" t="n">
        <x:v>99600</x:v>
      </x:c>
      <x:c r="D63" s="23" t="n">
        <x:v>103420</x:v>
      </x:c>
      <x:c r="E63" s="23" t="n">
        <x:v>99600</x:v>
      </x:c>
      <x:c r="F63" s="23" t="n">
        <x:v>103400</x:v>
      </x:c>
      <x:c r="G63" s="28" t="n">
        <x:f>ROUND(F63-F62,1)</x:f>
        <x:v>3900</x:v>
      </x:c>
      <x:c r="H63" s="24" t="n">
        <x:f>IFERROR(F63/F62-1,"")</x:f>
        <x:v>0.03919597989949741</x:v>
      </x:c>
      <x:c r="I63" s="23" t="n">
        <x:f>ROUND(D63-E63,1)</x:f>
        <x:v>3820</x:v>
      </x:c>
      <x:c r="J63" s="22" t="str">
        <x:v>LC2610</x:v>
      </x:c>
      <x:c r="K63" s="22" t="n">
        <x:v>2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38080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12693.3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1914.6999999999998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191.5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1799.3999999999999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179.9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555.3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55.5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2045.4000000000003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204.5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1855.4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206.2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735.2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81.7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423.4000000000001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47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55320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6146.7</x:v>
      </x:c>
      <x:c r="K16" s="30"/>
    </x:row>
  </x:sheetData>
  <x:mergeCells>
    <x:mergeCell ref="A1:K1"/>
  </x:mergeCells>
  <x:pageMargins left="0.7" right="0.7" top="0.75" bottom="0.75" header="0.3" footer="0.3"/>
</x:worksheet>
</file>