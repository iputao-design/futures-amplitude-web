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0db56edc8148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a40fa45999e468d"/>
    <x:sheet xmlns:r="http://schemas.openxmlformats.org/officeDocument/2006/relationships" name="周振幅统计" sheetId="2" r:id="Rf2c7ebd4555845f3"/>
    <x:sheet xmlns:r="http://schemas.openxmlformats.org/officeDocument/2006/relationships" name="中证1000" sheetId="3" r:id="Rdc4704ad74fb4342"/>
    <x:sheet xmlns:r="http://schemas.openxmlformats.org/officeDocument/2006/relationships" name="中证500" sheetId="4" r:id="R2ad581b18bc545e2"/>
    <x:sheet xmlns:r="http://schemas.openxmlformats.org/officeDocument/2006/relationships" name="上证指数" sheetId="5" r:id="R27e71e30e7fd4178"/>
    <x:sheet xmlns:r="http://schemas.openxmlformats.org/officeDocument/2006/relationships" name="IM主力" sheetId="6" r:id="R181475442dc54c2b"/>
    <x:sheet xmlns:r="http://schemas.openxmlformats.org/officeDocument/2006/relationships" name="IC主力" sheetId="7" r:id="R9d92942dcefd4673"/>
    <x:sheet xmlns:r="http://schemas.openxmlformats.org/officeDocument/2006/relationships" name="IF主力" sheetId="8" r:id="Raf01773fa0ab4f40"/>
    <x:sheet xmlns:r="http://schemas.openxmlformats.org/officeDocument/2006/relationships" name="IH主力" sheetId="9" r:id="Rc4e0559725ea4ffe"/>
    <x:sheet xmlns:r="http://schemas.openxmlformats.org/officeDocument/2006/relationships" name="碳酸锂2610" sheetId="10" r:id="R2d713a5fe4c141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ce3ce89edc4e71" /><Relationship Type="http://schemas.openxmlformats.org/officeDocument/2006/relationships/theme" Target="/xl/theme/theme1.xml" Id="Rbb537c9391464dba" /><Relationship Type="http://schemas.openxmlformats.org/officeDocument/2006/relationships/sharedStrings" Target="/xl/sharedStrings.xml" Id="Ra319a44ed79a4e85" /><Relationship Type="http://schemas.openxmlformats.org/officeDocument/2006/relationships/worksheet" Target="/xl/worksheets/sheet1.xml" Id="Rda40fa45999e468d" /><Relationship Type="http://schemas.openxmlformats.org/officeDocument/2006/relationships/worksheet" Target="/xl/worksheets/sheet2.xml" Id="Rf2c7ebd4555845f3" /><Relationship Type="http://schemas.openxmlformats.org/officeDocument/2006/relationships/worksheet" Target="/xl/worksheets/sheet3.xml" Id="Rdc4704ad74fb4342" /><Relationship Type="http://schemas.openxmlformats.org/officeDocument/2006/relationships/worksheet" Target="/xl/worksheets/sheet4.xml" Id="R2ad581b18bc545e2" /><Relationship Type="http://schemas.openxmlformats.org/officeDocument/2006/relationships/worksheet" Target="/xl/worksheets/sheet5.xml" Id="R27e71e30e7fd4178" /><Relationship Type="http://schemas.openxmlformats.org/officeDocument/2006/relationships/worksheet" Target="/xl/worksheets/sheet6.xml" Id="R181475442dc54c2b" /><Relationship Type="http://schemas.openxmlformats.org/officeDocument/2006/relationships/worksheet" Target="/xl/worksheets/sheet7.xml" Id="R9d92942dcefd4673" /><Relationship Type="http://schemas.openxmlformats.org/officeDocument/2006/relationships/worksheet" Target="/xl/worksheets/sheet8.xml" Id="Raf01773fa0ab4f40" /><Relationship Type="http://schemas.openxmlformats.org/officeDocument/2006/relationships/worksheet" Target="/xl/worksheets/sheet9.xml" Id="Rc4e0559725ea4ffe" /><Relationship Type="http://schemas.openxmlformats.org/officeDocument/2006/relationships/worksheet" Target="/xl/worksheets/sheet10.xml" Id="R2d713a5fe4c141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2026-09-29</x:v>
      </x:c>
      <x:c r="C4" s="10" t="n">
        <x:v>7357.03</x:v>
      </x:c>
      <x:c r="D4" s="10" t="n">
        <x:v>7256.25</x:v>
      </x:c>
      <x:c r="E4" s="12" t="n">
        <x:v>100.8</x:v>
      </x:c>
      <x:c r="F4" s="9" t="n">
        <x:v>20</x:v>
      </x:c>
      <x:c r="G4" s="10" t="n">
        <x:v>2673.7</x:v>
      </x:c>
      <x:c r="H4" s="10" t="n">
        <x:v>133.7</x:v>
      </x:c>
      <x:c r="I4" s="10" t="n">
        <x:v>180</x:v>
      </x:c>
    </x:row>
    <x:row r="5">
      <x:c r="A5" s="9" t="str">
        <x:v>中证500</x:v>
      </x:c>
      <x:c r="B5" s="9" t="str">
        <x:v>2026-09-29</x:v>
      </x:c>
      <x:c r="C5" s="10" t="n">
        <x:v>7473.7</x:v>
      </x:c>
      <x:c r="D5" s="10" t="n">
        <x:v>7386.14</x:v>
      </x:c>
      <x:c r="E5" s="12" t="n">
        <x:v>87.6</x:v>
      </x:c>
      <x:c r="F5" s="9" t="n">
        <x:v>20</x:v>
      </x:c>
      <x:c r="G5" s="10" t="n">
        <x:v>2433.8</x:v>
      </x:c>
      <x:c r="H5" s="10" t="n">
        <x:v>121.7</x:v>
      </x:c>
      <x:c r="I5" s="10" t="n">
        <x:v>160</x:v>
      </x:c>
    </x:row>
    <x:row r="6">
      <x:c r="A6" s="9" t="str">
        <x:v>上证指数</x:v>
      </x:c>
      <x:c r="B6" s="9" t="str">
        <x:v>2026-09-29</x:v>
      </x:c>
      <x:c r="C6" s="10" t="n">
        <x:v>3843.84</x:v>
      </x:c>
      <x:c r="D6" s="10" t="n">
        <x:v>3810.81</x:v>
      </x:c>
      <x:c r="E6" s="12" t="n">
        <x:v>33</x:v>
      </x:c>
      <x:c r="F6" s="9" t="n">
        <x:v>20</x:v>
      </x:c>
      <x:c r="G6" s="10" t="n">
        <x:v>715.5</x:v>
      </x:c>
      <x:c r="H6" s="10" t="n">
        <x:v>35.8</x:v>
      </x:c>
      <x:c r="I6" s="10" t="n">
        <x:v>50</x:v>
      </x:c>
    </x:row>
    <x:row r="7">
      <x:c r="A7" s="9" t="str">
        <x:v>IM主力</x:v>
      </x:c>
      <x:c r="B7" s="9" t="str">
        <x:v>2026-09-29</x:v>
      </x:c>
      <x:c r="C7" s="10" t="n">
        <x:v>7226.4</x:v>
      </x:c>
      <x:c r="D7" s="10" t="n">
        <x:v>7123</x:v>
      </x:c>
      <x:c r="E7" s="12" t="n">
        <x:v>103.4</x:v>
      </x:c>
      <x:c r="F7" s="9" t="n">
        <x:v>20</x:v>
      </x:c>
      <x:c r="G7" s="10" t="n">
        <x:v>2970.6</x:v>
      </x:c>
      <x:c r="H7" s="10" t="n">
        <x:v>148.5</x:v>
      </x:c>
      <x:c r="I7" s="10" t="n">
        <x:v>190</x:v>
      </x:c>
    </x:row>
    <x:row r="8">
      <x:c r="A8" s="9" t="str">
        <x:v>IC主力</x:v>
      </x:c>
      <x:c r="B8" s="9" t="str">
        <x:v>2026-09-29</x:v>
      </x:c>
      <x:c r="C8" s="10" t="n">
        <x:v>7352.8</x:v>
      </x:c>
      <x:c r="D8" s="10" t="n">
        <x:v>7238</x:v>
      </x:c>
      <x:c r="E8" s="12" t="n">
        <x:v>114.8</x:v>
      </x:c>
      <x:c r="F8" s="9" t="n">
        <x:v>20</x:v>
      </x:c>
      <x:c r="G8" s="10" t="n">
        <x:v>2877</x:v>
      </x:c>
      <x:c r="H8" s="10" t="n">
        <x:v>143.9</x:v>
      </x:c>
      <x:c r="I8" s="10" t="n">
        <x:v>150</x:v>
      </x:c>
    </x:row>
    <x:row r="9">
      <x:c r="A9" s="9" t="str">
        <x:v>IF主力</x:v>
      </x:c>
      <x:c r="B9" s="9" t="str">
        <x:v>2026-09-29</x:v>
      </x:c>
      <x:c r="C9" s="10" t="n">
        <x:v>4297.4</x:v>
      </x:c>
      <x:c r="D9" s="10" t="n">
        <x:v>4257.6</x:v>
      </x:c>
      <x:c r="E9" s="12" t="n">
        <x:v>39.8</x:v>
      </x:c>
      <x:c r="F9" s="9" t="n">
        <x:v>20</x:v>
      </x:c>
      <x:c r="G9" s="10" t="n">
        <x:v>1089.6</x:v>
      </x:c>
      <x:c r="H9" s="10" t="n">
        <x:v>54.5</x:v>
      </x:c>
      <x:c r="I9" s="10" t="n">
        <x:v>90</x:v>
      </x:c>
    </x:row>
    <x:row r="10">
      <x:c r="A10" s="9" t="str">
        <x:v>IH主力</x:v>
      </x:c>
      <x:c r="B10" s="9" t="str">
        <x:v>2026-09-29</x:v>
      </x:c>
      <x:c r="C10" s="10" t="n">
        <x:v>2777.8</x:v>
      </x:c>
      <x:c r="D10" s="10" t="n">
        <x:v>2752</x:v>
      </x:c>
      <x:c r="E10" s="12" t="n">
        <x:v>25.8</x:v>
      </x:c>
      <x:c r="F10" s="9" t="n">
        <x:v>20</x:v>
      </x:c>
      <x:c r="G10" s="10" t="n">
        <x:v>637.6</x:v>
      </x:c>
      <x:c r="H10" s="10" t="n">
        <x:v>31.9</x:v>
      </x:c>
      <x:c r="I10" s="10" t="n">
        <x:v>60</x:v>
      </x:c>
    </x:row>
    <x:row r="11">
      <x:c r="A11" s="9" t="str">
        <x:v>碳酸锂2610</x:v>
      </x:c>
      <x:c r="B11" s="9" t="str">
        <x:v>2026-09-29</x:v>
      </x:c>
      <x:c r="C11" s="10" t="n">
        <x:v>122480</x:v>
      </x:c>
      <x:c r="D11" s="10" t="n">
        <x:v>118100</x:v>
      </x:c>
      <x:c r="E11" s="12" t="n">
        <x:v>4380</x:v>
      </x:c>
      <x:c r="F11" s="9" t="n">
        <x:v>20</x:v>
      </x:c>
      <x:c r="G11" s="10" t="n">
        <x:v>117840</x:v>
      </x:c>
      <x:c r="H11" s="10" t="n">
        <x:v>5892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9月28日-9月29日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7325.35</x:v>
      </x:c>
      <x:c r="G9" s="28" t="n">
        <x:f>ROUND(F9-F8,1)</x:f>
        <x:v>-244.8</x:v>
      </x:c>
      <x:c r="H9" s="24" t="n">
        <x:f>IFERROR(F9/F8-1,"")</x:f>
        <x:v>-0.03233625798201878</x:v>
      </x:c>
      <x:c r="I9" s="26" t="n">
        <x:f>ROUND(D9-E9,1)</x:f>
        <x:v>304.6</x:v>
      </x:c>
      <x:c r="J9" s="22" t="str">
        <x:v>中证1000</x:v>
      </x:c>
      <x:c r="K9" s="22" t="n">
        <x:v>2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9月28日-9月29日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7439.63</x:v>
      </x:c>
      <x:c r="G19" s="28" t="n">
        <x:f>ROUND(F19-F18,1)</x:f>
        <x:v>-184.4</x:v>
      </x:c>
      <x:c r="H19" s="24" t="n">
        <x:f>IFERROR(F19/F18-1,"")</x:f>
        <x:v>-0.024191803065816475</x:v>
      </x:c>
      <x:c r="I19" s="26" t="n">
        <x:f>ROUND(D19-E19,1)</x:f>
        <x:v>236.7</x:v>
      </x:c>
      <x:c r="J19" s="22" t="str">
        <x:v>中证500</x:v>
      </x:c>
      <x:c r="K19" s="22" t="n">
        <x:v>2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9月28日-9月29日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3830.45</x:v>
      </x:c>
      <x:c r="G29" s="23" t="n">
        <x:f>ROUND(F29-F28,1)</x:f>
        <x:v>-57.9</x:v>
      </x:c>
      <x:c r="H29" s="24" t="n">
        <x:f>IFERROR(F29/F28-1,"")</x:f>
        <x:v>-0.014895701797925653</x:v>
      </x:c>
      <x:c r="I29" s="26" t="n">
        <x:f>ROUND(D29-E29,1)</x:f>
        <x:v>71.7</x:v>
      </x:c>
      <x:c r="J29" s="22" t="str">
        <x:v>上证指数</x:v>
      </x:c>
      <x:c r="K29" s="22" t="n">
        <x:v>2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22" t="n">
        <x:v>5</x:v>
      </x:c>
      <x:c r="B39" s="22" t="str">
        <x:v>9月28日-9月29日</x:v>
      </x:c>
      <x:c r="C39" s="23" t="n">
        <x:v>7390</x:v>
      </x:c>
      <x:c r="D39" s="23" t="n">
        <x:v>7393</x:v>
      </x:c>
      <x:c r="E39" s="23" t="n">
        <x:v>7076.2</x:v>
      </x:c>
      <x:c r="F39" s="23" t="n">
        <x:v>7191.2</x:v>
      </x:c>
      <x:c r="G39" s="28" t="n">
        <x:f>ROUND(F39-F38,1)</x:f>
        <x:v>-199.8</x:v>
      </x:c>
      <x:c r="H39" s="24" t="n">
        <x:f>IFERROR(F39/F38-1,"")</x:f>
        <x:v>-0.02703287782438102</x:v>
      </x:c>
      <x:c r="I39" s="26" t="n">
        <x:f>ROUND(D39-E39,1)</x:f>
        <x:v>316.8</x:v>
      </x:c>
      <x:c r="J39" s="22" t="str">
        <x:v>IM2612</x:v>
      </x:c>
      <x:c r="K39" s="22" t="n">
        <x:v>2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1791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358.2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7880.8</x:v>
      </x:c>
      <x:c r="D45" s="23" t="n">
        <x:v>7903</x:v>
      </x:c>
      <x:c r="E45" s="23" t="n">
        <x:v>7568</x:v>
      </x:c>
      <x:c r="F45" s="23" t="n">
        <x:v>7608</x:v>
      </x:c>
      <x:c r="G45" s="23"/>
      <x:c r="H45" s="24"/>
      <x:c r="I45" s="26" t="n">
        <x:f>ROUND(D45-E45,1)</x:f>
        <x:v>335</x:v>
      </x:c>
      <x:c r="J45" s="22" t="str">
        <x:v>IC2609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7665.6</x:v>
      </x:c>
      <x:c r="D46" s="23" t="n">
        <x:v>7817.2</x:v>
      </x:c>
      <x:c r="E46" s="23" t="n">
        <x:v>7418.8</x:v>
      </x:c>
      <x:c r="F46" s="23" t="n">
        <x:v>7569</x:v>
      </x:c>
      <x:c r="G46" s="23" t="n">
        <x:f>ROUND(F46-F45,1)</x:f>
        <x:v>-39</x:v>
      </x:c>
      <x:c r="H46" s="24" t="n">
        <x:f>IFERROR(F46/F45-1,"")</x:f>
        <x:v>-0.005126182965299653</x:v>
      </x:c>
      <x:c r="I46" s="26" t="n">
        <x:f>ROUND(D46-E46,1)</x:f>
        <x:v>398.4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9月14日-9月18日</x:v>
      </x:c>
      <x:c r="C47" s="23" t="n">
        <x:v>7482.2</x:v>
      </x:c>
      <x:c r="D47" s="23" t="n">
        <x:v>7820</x:v>
      </x:c>
      <x:c r="E47" s="23" t="n">
        <x:v>7452.2</x:v>
      </x:c>
      <x:c r="F47" s="23" t="n">
        <x:v>7789.8</x:v>
      </x:c>
      <x:c r="G47" s="28" t="n">
        <x:f>ROUND(F47-F46,1)</x:f>
        <x:v>220.8</x:v>
      </x:c>
      <x:c r="H47" s="24" t="n">
        <x:f>IFERROR(F47/F46-1,"")</x:f>
        <x:v>0.02917162108600868</x:v>
      </x:c>
      <x:c r="I47" s="26" t="n">
        <x:f>ROUND(D47-E47,1)</x:f>
        <x:v>367.8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9月21日-9月24日</x:v>
      </x:c>
      <x:c r="C48" s="23" t="n">
        <x:v>7688</x:v>
      </x:c>
      <x:c r="D48" s="23" t="n">
        <x:v>7780</x:v>
      </x:c>
      <x:c r="E48" s="23" t="n">
        <x:v>7450</x:v>
      </x:c>
      <x:c r="F48" s="23" t="n">
        <x:v>7451.6</x:v>
      </x:c>
      <x:c r="G48" s="28" t="n">
        <x:f>ROUND(F48-F47,1)</x:f>
        <x:v>-338.2</x:v>
      </x:c>
      <x:c r="H48" s="24" t="n">
        <x:f>IFERROR(F48/F47-1,"")</x:f>
        <x:v>-0.04341574879971244</x:v>
      </x:c>
      <x:c r="I48" s="26" t="n">
        <x:f>ROUND(D48-E48,1)</x:f>
        <x:v>330</x:v>
      </x:c>
      <x:c r="J48" s="22" t="str">
        <x:v>IC2612</x:v>
      </x:c>
      <x:c r="K48" s="22" t="n">
        <x:v>4</x:v>
      </x:c>
    </x:row>
    <x:row r="49">
      <x:c r="A49" s="22" t="n">
        <x:v>5</x:v>
      </x:c>
      <x:c r="B49" s="22" t="str">
        <x:v>9月28日-9月29日</x:v>
      </x:c>
      <x:c r="C49" s="23" t="n">
        <x:v>7440.8</x:v>
      </x:c>
      <x:c r="D49" s="23" t="n">
        <x:v>7458.4</x:v>
      </x:c>
      <x:c r="E49" s="23" t="n">
        <x:v>7186</x:v>
      </x:c>
      <x:c r="F49" s="23" t="n">
        <x:v>7309.6</x:v>
      </x:c>
      <x:c r="G49" s="23" t="n">
        <x:f>ROUND(F49-F48,1)</x:f>
        <x:v>-142</x:v>
      </x:c>
      <x:c r="H49" s="24" t="n">
        <x:f>IFERROR(F49/F48-1,"")</x:f>
        <x:v>-0.019056310054216596</x:v>
      </x:c>
      <x:c r="I49" s="26" t="n">
        <x:f>ROUND(D49-E49,1)</x:f>
        <x:v>272.4</x:v>
      </x:c>
      <x:c r="J49" s="22" t="str">
        <x:v>IC2612</x:v>
      </x:c>
      <x:c r="K49" s="22" t="n">
        <x:v>2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1703.6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340.7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9月1日-9月4日</x:v>
      </x:c>
      <x:c r="C55" s="23" t="n">
        <x:v>4602</x:v>
      </x:c>
      <x:c r="D55" s="23" t="n">
        <x:v>4617.8</x:v>
      </x:c>
      <x:c r="E55" s="23" t="n">
        <x:v>4497.6</x:v>
      </x:c>
      <x:c r="F55" s="23" t="n">
        <x:v>4537.4</x:v>
      </x:c>
      <x:c r="G55" s="23"/>
      <x:c r="H55" s="24"/>
      <x:c r="I55" s="26" t="n">
        <x:f>ROUND(D55-E55,1)</x:f>
        <x:v>120.2</x:v>
      </x:c>
      <x:c r="J55" s="22" t="str">
        <x:v>IF2609</x:v>
      </x:c>
      <x:c r="K55" s="22" t="n">
        <x:v>4</x:v>
      </x:c>
    </x:row>
    <x:row r="56">
      <x:c r="A56" s="22" t="n">
        <x:v>2</x:v>
      </x:c>
      <x:c r="B56" s="22" t="str">
        <x:v>9月7日-9月11日</x:v>
      </x:c>
      <x:c r="C56" s="23" t="n">
        <x:v>4562</x:v>
      </x:c>
      <x:c r="D56" s="23" t="n">
        <x:v>4584</x:v>
      </x:c>
      <x:c r="E56" s="23" t="n">
        <x:v>4451.6</x:v>
      </x:c>
      <x:c r="F56" s="23" t="n">
        <x:v>4503.4</x:v>
      </x:c>
      <x:c r="G56" s="23" t="n">
        <x:f>ROUND(F56-F55,1)</x:f>
        <x:v>-34</x:v>
      </x:c>
      <x:c r="H56" s="24" t="n">
        <x:f>IFERROR(F56/F55-1,"")</x:f>
        <x:v>-0.007493278088773314</x:v>
      </x:c>
      <x:c r="I56" s="26" t="n">
        <x:f>ROUND(D56-E56,1)</x:f>
        <x:v>132.4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9月14日-9月18日</x:v>
      </x:c>
      <x:c r="C57" s="23" t="n">
        <x:v>4468</x:v>
      </x:c>
      <x:c r="D57" s="23" t="n">
        <x:v>4520.6</x:v>
      </x:c>
      <x:c r="E57" s="23" t="n">
        <x:v>4412.2</x:v>
      </x:c>
      <x:c r="F57" s="23" t="n">
        <x:v>4508</x:v>
      </x:c>
      <x:c r="G57" s="23" t="n">
        <x:f>ROUND(F57-F56,1)</x:f>
        <x:v>4.6</x:v>
      </x:c>
      <x:c r="H57" s="24" t="n">
        <x:f>IFERROR(F57/F56-1,"")</x:f>
        <x:v>0.0010214504596528506</x:v>
      </x:c>
      <x:c r="I57" s="26" t="n">
        <x:f>ROUND(D57-E57,1)</x:f>
        <x:v>108.4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9月21日-9月24日</x:v>
      </x:c>
      <x:c r="C58" s="23" t="n">
        <x:v>4451</x:v>
      </x:c>
      <x:c r="D58" s="23" t="n">
        <x:v>4520</x:v>
      </x:c>
      <x:c r="E58" s="23" t="n">
        <x:v>4367</x:v>
      </x:c>
      <x:c r="F58" s="23" t="n">
        <x:v>4375</x:v>
      </x:c>
      <x:c r="G58" s="23" t="n">
        <x:f>ROUND(F58-F57,1)</x:f>
        <x:v>-133</x:v>
      </x:c>
      <x:c r="H58" s="24" t="n">
        <x:f>IFERROR(F58/F57-1,"")</x:f>
        <x:v>-0.029503105590062084</x:v>
      </x:c>
      <x:c r="I58" s="26" t="n">
        <x:f>ROUND(D58-E58,1)</x:f>
        <x:v>153</x:v>
      </x:c>
      <x:c r="J58" s="22" t="str">
        <x:v>IF2612</x:v>
      </x:c>
      <x:c r="K58" s="22" t="n">
        <x:v>4</x:v>
      </x:c>
    </x:row>
    <x:row r="59">
      <x:c r="A59" s="22" t="n">
        <x:v>5</x:v>
      </x:c>
      <x:c r="B59" s="22" t="str">
        <x:v>9月28日-9月29日</x:v>
      </x:c>
      <x:c r="C59" s="23" t="n">
        <x:v>4365</x:v>
      </x:c>
      <x:c r="D59" s="23" t="n">
        <x:v>4366.8</x:v>
      </x:c>
      <x:c r="E59" s="23" t="n">
        <x:v>4246</x:v>
      </x:c>
      <x:c r="F59" s="23" t="n">
        <x:v>4277.2</x:v>
      </x:c>
      <x:c r="G59" s="23" t="n">
        <x:f>ROUND(F59-F58,1)</x:f>
        <x:v>-97.8</x:v>
      </x:c>
      <x:c r="H59" s="24" t="n">
        <x:f>IFERROR(F59/F58-1,"")</x:f>
        <x:v>-0.02235428571428577</x:v>
      </x:c>
      <x:c r="I59" s="26" t="n">
        <x:f>ROUND(D59-E59,1)</x:f>
        <x:v>120.8</x:v>
      </x:c>
      <x:c r="J59" s="22" t="str">
        <x:v>IF2612</x:v>
      </x:c>
      <x:c r="K59" s="22" t="n">
        <x:v>2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634.8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127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9月1日-9月4日</x:v>
      </x:c>
      <x:c r="C65" s="23" t="n">
        <x:v>2913</x:v>
      </x:c>
      <x:c r="D65" s="23" t="n">
        <x:v>2949.4</x:v>
      </x:c>
      <x:c r="E65" s="23" t="n">
        <x:v>2881.4</x:v>
      </x:c>
      <x:c r="F65" s="23" t="n">
        <x:v>2915.8</x:v>
      </x:c>
      <x:c r="G65" s="23"/>
      <x:c r="H65" s="24"/>
      <x:c r="I65" s="26" t="n">
        <x:f>ROUND(D65-E65,1)</x:f>
        <x:v>68</x:v>
      </x:c>
      <x:c r="J65" s="22" t="str">
        <x:v>IH2609</x:v>
      </x:c>
      <x:c r="K65" s="22" t="n">
        <x:v>4</x:v>
      </x:c>
    </x:row>
    <x:row r="66">
      <x:c r="A66" s="22" t="n">
        <x:v>2</x:v>
      </x:c>
      <x:c r="B66" s="22" t="str">
        <x:v>9月7日-9月11日</x:v>
      </x:c>
      <x:c r="C66" s="23" t="n">
        <x:v>2923.2</x:v>
      </x:c>
      <x:c r="D66" s="23" t="n">
        <x:v>2931.4</x:v>
      </x:c>
      <x:c r="E66" s="23" t="n">
        <x:v>2836.8</x:v>
      </x:c>
      <x:c r="F66" s="23" t="n">
        <x:v>2867</x:v>
      </x:c>
      <x:c r="G66" s="23" t="n">
        <x:f>ROUND(F66-F65,1)</x:f>
        <x:v>-48.8</x:v>
      </x:c>
      <x:c r="H66" s="24" t="n">
        <x:f>IFERROR(F66/F65-1,"")</x:f>
        <x:v>-0.01673640167364021</x:v>
      </x:c>
      <x:c r="I66" s="26" t="n">
        <x:f>ROUND(D66-E66,1)</x:f>
        <x:v>94.6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9月14日-9月18日</x:v>
      </x:c>
      <x:c r="C67" s="23" t="n">
        <x:v>2849.2</x:v>
      </x:c>
      <x:c r="D67" s="23" t="n">
        <x:v>2873.2</x:v>
      </x:c>
      <x:c r="E67" s="23" t="n">
        <x:v>2829.4</x:v>
      </x:c>
      <x:c r="F67" s="23" t="n">
        <x:v>2862.2</x:v>
      </x:c>
      <x:c r="G67" s="23" t="n">
        <x:f>ROUND(F67-F66,1)</x:f>
        <x:v>-4.8</x:v>
      </x:c>
      <x:c r="H67" s="24" t="n">
        <x:f>IFERROR(F67/F66-1,"")</x:f>
        <x:v>-0.0016742239274503135</x:v>
      </x:c>
      <x:c r="I67" s="23" t="n">
        <x:f>ROUND(D67-E67,1)</x:f>
        <x:v>43.8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9月21日-9月24日</x:v>
      </x:c>
      <x:c r="C68" s="23" t="n">
        <x:v>2830</x:v>
      </x:c>
      <x:c r="D68" s="23" t="n">
        <x:v>2881.2</x:v>
      </x:c>
      <x:c r="E68" s="23" t="n">
        <x:v>2798</x:v>
      </x:c>
      <x:c r="F68" s="23" t="n">
        <x:v>2804.6</x:v>
      </x:c>
      <x:c r="G68" s="23" t="n">
        <x:f>ROUND(F68-F67,1)</x:f>
        <x:v>-57.6</x:v>
      </x:c>
      <x:c r="H68" s="24" t="n">
        <x:f>IFERROR(F68/F67-1,"")</x:f>
        <x:v>-0.02012437984766957</x:v>
      </x:c>
      <x:c r="I68" s="26" t="n">
        <x:f>ROUND(D68-E68,1)</x:f>
        <x:v>83.2</x:v>
      </x:c>
      <x:c r="J68" s="22" t="str">
        <x:v>IH2612</x:v>
      </x:c>
      <x:c r="K68" s="22" t="n">
        <x:v>4</x:v>
      </x:c>
    </x:row>
    <x:row r="69">
      <x:c r="A69" s="22" t="n">
        <x:v>5</x:v>
      </x:c>
      <x:c r="B69" s="22" t="str">
        <x:v>9月28日-9月29日</x:v>
      </x:c>
      <x:c r="C69" s="23" t="n">
        <x:v>2802</x:v>
      </x:c>
      <x:c r="D69" s="23" t="n">
        <x:v>2803.8</x:v>
      </x:c>
      <x:c r="E69" s="23" t="n">
        <x:v>2746</x:v>
      </x:c>
      <x:c r="F69" s="23" t="n">
        <x:v>2763.6</x:v>
      </x:c>
      <x:c r="G69" s="23" t="n">
        <x:f>ROUND(F69-F68,1)</x:f>
        <x:v>-41</x:v>
      </x:c>
      <x:c r="H69" s="24" t="n">
        <x:f>IFERROR(F69/F68-1,"")</x:f>
        <x:v>-0.014618840476360306</x:v>
      </x:c>
      <x:c r="I69" s="23" t="n">
        <x:f>ROUND(D69-E69,1)</x:f>
        <x:v>57.8</x:v>
      </x:c>
      <x:c r="J69" s="22" t="str">
        <x:v>IH2612</x:v>
      </x:c>
      <x:c r="K69" s="22" t="n">
        <x:v>2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347.4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69.5</x:v>
      </x:c>
      <x:c r="J71" s="30"/>
      <x:c r="K71" s="30"/>
    </x:row>
    <x:row r="73">
      <x:c r="A73" s="17" t="str">
        <x:v>碳酸锂2610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9月1日-9月4日</x:v>
      </x:c>
      <x:c r="C75" s="23" t="n">
        <x:v>159280</x:v>
      </x:c>
      <x:c r="D75" s="23" t="n">
        <x:v>161280</x:v>
      </x:c>
      <x:c r="E75" s="23" t="n">
        <x:v>140220</x:v>
      </x:c>
      <x:c r="F75" s="23" t="n">
        <x:v>142000</x:v>
      </x:c>
      <x:c r="G75" s="23"/>
      <x:c r="H75" s="24"/>
      <x:c r="I75" s="26" t="n">
        <x:f>ROUND(D75-E75,1)</x:f>
        <x:v>21060</x:v>
      </x:c>
      <x:c r="J75" s="22" t="str">
        <x:v>LC2610</x:v>
      </x:c>
      <x:c r="K75" s="22" t="n">
        <x:v>4</x:v>
      </x:c>
    </x:row>
    <x:row r="76">
      <x:c r="A76" s="22" t="n">
        <x:v>2</x:v>
      </x:c>
      <x:c r="B76" s="22" t="str">
        <x:v>9月7日-9月11日</x:v>
      </x:c>
      <x:c r="C76" s="23" t="n">
        <x:v>141000</x:v>
      </x:c>
      <x:c r="D76" s="23" t="n">
        <x:v>143540</x:v>
      </x:c>
      <x:c r="E76" s="23" t="n">
        <x:v>127120</x:v>
      </x:c>
      <x:c r="F76" s="23" t="n">
        <x:v>134340</x:v>
      </x:c>
      <x:c r="G76" s="28" t="n">
        <x:f>ROUND(F76-F75,1)</x:f>
        <x:v>-7660</x:v>
      </x:c>
      <x:c r="H76" s="24" t="n">
        <x:f>IFERROR(F76/F75-1,"")</x:f>
        <x:v>-0.05394366197183098</x:v>
      </x:c>
      <x:c r="I76" s="26" t="n">
        <x:f>ROUND(D76-E76,1)</x:f>
        <x:v>16420</x:v>
      </x:c>
      <x:c r="J76" s="22" t="str">
        <x:v>LC2610</x:v>
      </x:c>
      <x:c r="K76" s="22" t="n">
        <x:v>5</x:v>
      </x:c>
    </x:row>
    <x:row r="77">
      <x:c r="A77" s="22" t="n">
        <x:v>3</x:v>
      </x:c>
      <x:c r="B77" s="22" t="str">
        <x:v>9月14日-9月18日</x:v>
      </x:c>
      <x:c r="C77" s="23" t="n">
        <x:v>133600</x:v>
      </x:c>
      <x:c r="D77" s="23" t="n">
        <x:v>135900</x:v>
      </x:c>
      <x:c r="E77" s="23" t="n">
        <x:v>126200</x:v>
      </x:c>
      <x:c r="F77" s="23" t="n">
        <x:v>128580</x:v>
      </x:c>
      <x:c r="G77" s="28" t="n">
        <x:f>ROUND(F77-F76,1)</x:f>
        <x:v>-5760</x:v>
      </x:c>
      <x:c r="H77" s="24" t="n">
        <x:f>IFERROR(F77/F76-1,"")</x:f>
        <x:v>-0.04287628405538191</x:v>
      </x:c>
      <x:c r="I77" s="26" t="n">
        <x:f>ROUND(D77-E77,1)</x:f>
        <x:v>9700</x:v>
      </x:c>
      <x:c r="J77" s="22" t="str">
        <x:v>LC2610</x:v>
      </x:c>
      <x:c r="K77" s="22" t="n">
        <x:v>5</x:v>
      </x:c>
    </x:row>
    <x:row r="78">
      <x:c r="A78" s="22" t="n">
        <x:v>4</x:v>
      </x:c>
      <x:c r="B78" s="22" t="str">
        <x:v>9月21日-9月24日</x:v>
      </x:c>
      <x:c r="C78" s="23" t="n">
        <x:v>128500</x:v>
      </x:c>
      <x:c r="D78" s="23" t="n">
        <x:v>136560</x:v>
      </x:c>
      <x:c r="E78" s="23" t="n">
        <x:v>125000</x:v>
      </x:c>
      <x:c r="F78" s="23" t="n">
        <x:v>125980</x:v>
      </x:c>
      <x:c r="G78" s="28" t="n">
        <x:f>ROUND(F78-F77,1)</x:f>
        <x:v>-2600</x:v>
      </x:c>
      <x:c r="H78" s="24" t="n">
        <x:f>IFERROR(F78/F77-1,"")</x:f>
        <x:v>-0.02022087416394458</x:v>
      </x:c>
      <x:c r="I78" s="26" t="n">
        <x:f>ROUND(D78-E78,1)</x:f>
        <x:v>11560</x:v>
      </x:c>
      <x:c r="J78" s="22" t="str">
        <x:v>LC2610</x:v>
      </x:c>
      <x:c r="K78" s="22" t="n">
        <x:v>4</x:v>
      </x:c>
    </x:row>
    <x:row r="79">
      <x:c r="A79" s="22" t="n">
        <x:v>5</x:v>
      </x:c>
      <x:c r="B79" s="22" t="str">
        <x:v>9月28日-9月29日</x:v>
      </x:c>
      <x:c r="C79" s="23" t="n">
        <x:v>124280</x:v>
      </x:c>
      <x:c r="D79" s="23" t="n">
        <x:v>124660</x:v>
      </x:c>
      <x:c r="E79" s="23" t="n">
        <x:v>118100</x:v>
      </x:c>
      <x:c r="F79" s="23" t="n">
        <x:v>120000</x:v>
      </x:c>
      <x:c r="G79" s="28" t="n">
        <x:f>ROUND(F79-F78,1)</x:f>
        <x:v>-5980</x:v>
      </x:c>
      <x:c r="H79" s="24" t="n">
        <x:f>IFERROR(F79/F78-1,"")</x:f>
        <x:v>-0.047467852040006364</x:v>
      </x:c>
      <x:c r="I79" s="26" t="n">
        <x:f>ROUND(D79-E79,1)</x:f>
        <x:v>6560</x:v>
      </x:c>
      <x:c r="J79" s="22" t="str">
        <x:v>LC2610</x:v>
      </x:c>
      <x:c r="K79" s="22" t="n">
        <x:v>2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65300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13060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7265.51</x:v>
      </x:c>
      <x:c r="E23" s="23" t="n">
        <x:v>7357.03</x:v>
      </x:c>
      <x:c r="F23" s="23" t="n">
        <x:v>7256.25</x:v>
      </x:c>
      <x:c r="G23" s="23" t="n">
        <x:v>7325.35</x:v>
      </x:c>
      <x:c r="H23" s="23" t="n">
        <x:v>31.2</x:v>
      </x:c>
      <x:c r="I23" s="24" t="n">
        <x:v>0.004274646738422705</x:v>
      </x:c>
      <x:c r="J23" s="23" t="n">
        <x:f>ROUND(E23-F23,1)</x:f>
        <x:v>100.8</x:v>
      </x:c>
      <x:c r="K23" s="22" t="str">
        <x:v>中证1000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2673.7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133.7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7388.11</x:v>
      </x:c>
      <x:c r="E23" s="23" t="n">
        <x:v>7473.7</x:v>
      </x:c>
      <x:c r="F23" s="23" t="n">
        <x:v>7386.14</x:v>
      </x:c>
      <x:c r="G23" s="23" t="n">
        <x:v>7439.63</x:v>
      </x:c>
      <x:c r="H23" s="23" t="n">
        <x:v>37.3</x:v>
      </x:c>
      <x:c r="I23" s="24" t="n">
        <x:v>0.005043027167231706</x:v>
      </x:c>
      <x:c r="J23" s="23" t="n">
        <x:f>ROUND(E23-F23,1)</x:f>
        <x:v>87.6</x:v>
      </x:c>
      <x:c r="K23" s="22" t="str">
        <x:v>中证500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2433.7999999999993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121.7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3816.15</x:v>
      </x:c>
      <x:c r="E23" s="23" t="n">
        <x:v>3843.84</x:v>
      </x:c>
      <x:c r="F23" s="23" t="n">
        <x:v>3810.81</x:v>
      </x:c>
      <x:c r="G23" s="23" t="n">
        <x:v>3830.45</x:v>
      </x:c>
      <x:c r="H23" s="23" t="n">
        <x:v>6.8</x:v>
      </x:c>
      <x:c r="I23" s="24" t="n">
        <x:v>0.0017862653715587928</x:v>
      </x:c>
      <x:c r="J23" s="23" t="n">
        <x:f>ROUND(E23-F23,1)</x:f>
        <x:v>33</x:v>
      </x:c>
      <x:c r="K23" s="22" t="str">
        <x:v>上证指数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715.5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35.8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7390</x:v>
      </x:c>
      <x:c r="E22" s="23" t="n">
        <x:v>7393</x:v>
      </x:c>
      <x:c r="F22" s="23" t="n">
        <x:v>7076.2</x:v>
      </x:c>
      <x:c r="G22" s="23" t="n">
        <x:v>7157.2</x:v>
      </x:c>
      <x:c r="H22" s="28" t="n">
        <x:v>-233.8</x:v>
      </x:c>
      <x:c r="I22" s="24" t="n">
        <x:v>-0.03163306724394532</x:v>
      </x:c>
      <x:c r="J22" s="26" t="n">
        <x:f>ROUND(E22-F22,1)</x:f>
        <x:v>316.8</x:v>
      </x:c>
      <x:c r="K22" s="22" t="str">
        <x:v>IM2612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7144</x:v>
      </x:c>
      <x:c r="E23" s="23" t="n">
        <x:v>7226.4</x:v>
      </x:c>
      <x:c r="F23" s="23" t="n">
        <x:v>7123</x:v>
      </x:c>
      <x:c r="G23" s="23" t="n">
        <x:v>7191.2</x:v>
      </x:c>
      <x:c r="H23" s="23" t="n">
        <x:v>34</x:v>
      </x:c>
      <x:c r="I23" s="24" t="n">
        <x:v>0.004750461074163104</x:v>
      </x:c>
      <x:c r="J23" s="23" t="n">
        <x:f>ROUND(E23-F23,1)</x:f>
        <x:v>103.4</x:v>
      </x:c>
      <x:c r="K23" s="22" t="str">
        <x:v>IM2612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2970.6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148.5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7270</x:v>
      </x:c>
      <x:c r="E23" s="23" t="n">
        <x:v>7352.8</x:v>
      </x:c>
      <x:c r="F23" s="23" t="n">
        <x:v>7238</x:v>
      </x:c>
      <x:c r="G23" s="23" t="n">
        <x:v>7309.6</x:v>
      </x:c>
      <x:c r="H23" s="23" t="n">
        <x:v>39.6</x:v>
      </x:c>
      <x:c r="I23" s="24" t="n">
        <x:v>0.005447042640990496</x:v>
      </x:c>
      <x:c r="J23" s="23" t="n">
        <x:f>ROUND(E23-F23,1)</x:f>
        <x:v>114.8</x:v>
      </x:c>
      <x:c r="K23" s="22" t="str">
        <x:v>IC2612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2877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143.9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4365</x:v>
      </x:c>
      <x:c r="E22" s="23" t="n">
        <x:v>4366.8</x:v>
      </x:c>
      <x:c r="F22" s="23" t="n">
        <x:v>4246</x:v>
      </x:c>
      <x:c r="G22" s="23" t="n">
        <x:v>4280.8</x:v>
      </x:c>
      <x:c r="H22" s="23" t="n">
        <x:v>-94.2</x:v>
      </x:c>
      <x:c r="I22" s="24" t="n">
        <x:v>-0.021531428571428535</x:v>
      </x:c>
      <x:c r="J22" s="26" t="n">
        <x:f>ROUND(E22-F22,1)</x:f>
        <x:v>120.8</x:v>
      </x:c>
      <x:c r="K22" s="22" t="str">
        <x:v>IF2612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4271</x:v>
      </x:c>
      <x:c r="E23" s="23" t="n">
        <x:v>4297.4</x:v>
      </x:c>
      <x:c r="F23" s="23" t="n">
        <x:v>4257.6</x:v>
      </x:c>
      <x:c r="G23" s="23" t="n">
        <x:v>4277.2</x:v>
      </x:c>
      <x:c r="H23" s="23" t="n">
        <x:v>-3.6</x:v>
      </x:c>
      <x:c r="I23" s="24" t="n">
        <x:v>-0.000840964305737324</x:v>
      </x:c>
      <x:c r="J23" s="23" t="n">
        <x:f>ROUND(E23-F23,1)</x:f>
        <x:v>39.8</x:v>
      </x:c>
      <x:c r="K23" s="22" t="str">
        <x:v>IF2612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1089.6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54.5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2802</x:v>
      </x:c>
      <x:c r="E22" s="23" t="n">
        <x:v>2803.8</x:v>
      </x:c>
      <x:c r="F22" s="23" t="n">
        <x:v>2746</x:v>
      </x:c>
      <x:c r="G22" s="23" t="n">
        <x:v>2770.2</x:v>
      </x:c>
      <x:c r="H22" s="23" t="n">
        <x:v>-34.4</x:v>
      </x:c>
      <x:c r="I22" s="24" t="n">
        <x:v>-0.012265563716751138</x:v>
      </x:c>
      <x:c r="J22" s="23" t="n">
        <x:f>ROUND(E22-F22,1)</x:f>
        <x:v>57.8</x:v>
      </x:c>
      <x:c r="K22" s="22" t="str">
        <x:v>IH2612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2769.2</x:v>
      </x:c>
      <x:c r="E23" s="23" t="n">
        <x:v>2777.8</x:v>
      </x:c>
      <x:c r="F23" s="23" t="n">
        <x:v>2752</x:v>
      </x:c>
      <x:c r="G23" s="23" t="n">
        <x:v>2763.6</x:v>
      </x:c>
      <x:c r="H23" s="23" t="n">
        <x:v>-6.6</x:v>
      </x:c>
      <x:c r="I23" s="24" t="n">
        <x:v>-0.0023824994585228687</x:v>
      </x:c>
      <x:c r="J23" s="23" t="n">
        <x:f>ROUND(E23-F23,1)</x:f>
        <x:v>25.8</x:v>
      </x:c>
      <x:c r="K23" s="22" t="str">
        <x:v>IH2612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637.5999999999999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31.9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124280</x:v>
      </x:c>
      <x:c r="E22" s="23" t="n">
        <x:v>124660</x:v>
      </x:c>
      <x:c r="F22" s="23" t="n">
        <x:v>119520</x:v>
      </x:c>
      <x:c r="G22" s="23" t="n">
        <x:v>119980</x:v>
      </x:c>
      <x:c r="H22" s="28" t="n">
        <x:v>-6000</x:v>
      </x:c>
      <x:c r="I22" s="24" t="n">
        <x:v>-0.04762660739799973</x:v>
      </x:c>
      <x:c r="J22" s="23" t="n">
        <x:f>ROUND(E22-F22,1)</x:f>
        <x:v>5140</x:v>
      </x:c>
      <x:c r="K22" s="22" t="str">
        <x:v>LC2610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119080</x:v>
      </x:c>
      <x:c r="E23" s="23" t="n">
        <x:v>122480</x:v>
      </x:c>
      <x:c r="F23" s="23" t="n">
        <x:v>118100</x:v>
      </x:c>
      <x:c r="G23" s="23" t="n">
        <x:v>120000</x:v>
      </x:c>
      <x:c r="H23" s="23" t="n">
        <x:v>20</x:v>
      </x:c>
      <x:c r="I23" s="24" t="n">
        <x:v>0.00016669444907480013</x:v>
      </x:c>
      <x:c r="J23" s="23" t="n">
        <x:f>ROUND(E23-F23,1)</x:f>
        <x:v>4380</x:v>
      </x:c>
      <x:c r="K23" s="22" t="str">
        <x:v>LC2610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117840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5892</x:v>
      </x:c>
      <x:c r="K27" s="30"/>
    </x:row>
  </x:sheetData>
  <x:mergeCells>
    <x:mergeCell ref="A1:K1"/>
  </x:mergeCells>
  <x:pageMargins left="0.7" right="0.7" top="0.75" bottom="0.75" header="0.3" footer="0.3"/>
</x:worksheet>
</file>