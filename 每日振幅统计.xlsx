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07ddd668584e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98584401f894a61"/>
    <x:sheet xmlns:r="http://schemas.openxmlformats.org/officeDocument/2006/relationships" name="周振幅统计" sheetId="2" r:id="R15011e453f45439b"/>
    <x:sheet xmlns:r="http://schemas.openxmlformats.org/officeDocument/2006/relationships" name="中证1000" sheetId="3" r:id="R1e62f5d1263647dd"/>
    <x:sheet xmlns:r="http://schemas.openxmlformats.org/officeDocument/2006/relationships" name="中证500" sheetId="4" r:id="Ra5f545b31e0e4ad1"/>
    <x:sheet xmlns:r="http://schemas.openxmlformats.org/officeDocument/2006/relationships" name="上证指数" sheetId="5" r:id="R6e01058089c94c9b"/>
    <x:sheet xmlns:r="http://schemas.openxmlformats.org/officeDocument/2006/relationships" name="IM主力" sheetId="6" r:id="Rb940b55884824437"/>
    <x:sheet xmlns:r="http://schemas.openxmlformats.org/officeDocument/2006/relationships" name="IC主力" sheetId="7" r:id="R4f24abca041f4398"/>
    <x:sheet xmlns:r="http://schemas.openxmlformats.org/officeDocument/2006/relationships" name="IF主力" sheetId="8" r:id="Rdbd614f5820c4d83"/>
    <x:sheet xmlns:r="http://schemas.openxmlformats.org/officeDocument/2006/relationships" name="IH主力" sheetId="9" r:id="R9630211abb7140d1"/>
    <x:sheet xmlns:r="http://schemas.openxmlformats.org/officeDocument/2006/relationships" name="碳酸锂2610" sheetId="10" r:id="Rf53979a5f5b54c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2ab820ba564cdb" /><Relationship Type="http://schemas.openxmlformats.org/officeDocument/2006/relationships/theme" Target="/xl/theme/theme1.xml" Id="R7cd19fd51a3a4109" /><Relationship Type="http://schemas.openxmlformats.org/officeDocument/2006/relationships/sharedStrings" Target="/xl/sharedStrings.xml" Id="Rdee338a168744869" /><Relationship Type="http://schemas.openxmlformats.org/officeDocument/2006/relationships/worksheet" Target="/xl/worksheets/sheet1.xml" Id="R998584401f894a61" /><Relationship Type="http://schemas.openxmlformats.org/officeDocument/2006/relationships/worksheet" Target="/xl/worksheets/sheet2.xml" Id="R15011e453f45439b" /><Relationship Type="http://schemas.openxmlformats.org/officeDocument/2006/relationships/worksheet" Target="/xl/worksheets/sheet3.xml" Id="R1e62f5d1263647dd" /><Relationship Type="http://schemas.openxmlformats.org/officeDocument/2006/relationships/worksheet" Target="/xl/worksheets/sheet4.xml" Id="Ra5f545b31e0e4ad1" /><Relationship Type="http://schemas.openxmlformats.org/officeDocument/2006/relationships/worksheet" Target="/xl/worksheets/sheet5.xml" Id="R6e01058089c94c9b" /><Relationship Type="http://schemas.openxmlformats.org/officeDocument/2006/relationships/worksheet" Target="/xl/worksheets/sheet6.xml" Id="Rb940b55884824437" /><Relationship Type="http://schemas.openxmlformats.org/officeDocument/2006/relationships/worksheet" Target="/xl/worksheets/sheet7.xml" Id="R4f24abca041f4398" /><Relationship Type="http://schemas.openxmlformats.org/officeDocument/2006/relationships/worksheet" Target="/xl/worksheets/sheet8.xml" Id="Rdbd614f5820c4d83" /><Relationship Type="http://schemas.openxmlformats.org/officeDocument/2006/relationships/worksheet" Target="/xl/worksheets/sheet9.xml" Id="R9630211abb7140d1" /><Relationship Type="http://schemas.openxmlformats.org/officeDocument/2006/relationships/worksheet" Target="/xl/worksheets/sheet10.xml" Id="Rf53979a5f5b54c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2026-10-12</x:v>
      </x:c>
      <x:c r="C4" s="10" t="n">
        <x:v>7145.06</x:v>
      </x:c>
      <x:c r="D4" s="10" t="n">
        <x:v>7014.37</x:v>
      </x:c>
      <x:c r="E4" s="12" t="n">
        <x:v>130.7</x:v>
      </x:c>
      <x:c r="F4" s="9" t="n">
        <x:v>3</x:v>
      </x:c>
      <x:c r="G4" s="10" t="n">
        <x:v>659.7</x:v>
      </x:c>
      <x:c r="H4" s="10" t="n">
        <x:v>219.9</x:v>
      </x:c>
      <x:c r="I4" s="10" t="n">
        <x:v>180</x:v>
      </x:c>
    </x:row>
    <x:row r="5">
      <x:c r="A5" s="9" t="str">
        <x:v>中证500</x:v>
      </x:c>
      <x:c r="B5" s="9" t="str">
        <x:v>2026-10-12</x:v>
      </x:c>
      <x:c r="C5" s="10" t="n">
        <x:v>7236.78</x:v>
      </x:c>
      <x:c r="D5" s="10" t="n">
        <x:v>7085.92</x:v>
      </x:c>
      <x:c r="E5" s="12" t="n">
        <x:v>150.9</x:v>
      </x:c>
      <x:c r="F5" s="9" t="n">
        <x:v>3</x:v>
      </x:c>
      <x:c r="G5" s="10" t="n">
        <x:v>634.8</x:v>
      </x:c>
      <x:c r="H5" s="10" t="n">
        <x:v>211.6</x:v>
      </x:c>
      <x:c r="I5" s="10" t="n">
        <x:v>160</x:v>
      </x:c>
    </x:row>
    <x:row r="6">
      <x:c r="A6" s="9" t="str">
        <x:v>上证指数</x:v>
      </x:c>
      <x:c r="B6" s="9" t="str">
        <x:v>2026-10-12</x:v>
      </x:c>
      <x:c r="C6" s="10" t="n">
        <x:v>3828.22</x:v>
      </x:c>
      <x:c r="D6" s="10" t="n">
        <x:v>3791</x:v>
      </x:c>
      <x:c r="E6" s="12" t="n">
        <x:v>37.2</x:v>
      </x:c>
      <x:c r="F6" s="9" t="n">
        <x:v>3</x:v>
      </x:c>
      <x:c r="G6" s="10" t="n">
        <x:v>176.6</x:v>
      </x:c>
      <x:c r="H6" s="10" t="n">
        <x:v>58.9</x:v>
      </x:c>
      <x:c r="I6" s="10" t="n">
        <x:v>50</x:v>
      </x:c>
    </x:row>
    <x:row r="7">
      <x:c r="A7" s="9" t="str">
        <x:v>IM主力</x:v>
      </x:c>
      <x:c r="B7" s="9" t="str">
        <x:v>2026-10-12</x:v>
      </x:c>
      <x:c r="C7" s="10" t="n">
        <x:v>7031.2</x:v>
      </x:c>
      <x:c r="D7" s="10" t="n">
        <x:v>6886.6</x:v>
      </x:c>
      <x:c r="E7" s="12" t="n">
        <x:v>144.6</x:v>
      </x:c>
      <x:c r="F7" s="9" t="n">
        <x:v>3</x:v>
      </x:c>
      <x:c r="G7" s="10" t="n">
        <x:v>678</x:v>
      </x:c>
      <x:c r="H7" s="10" t="n">
        <x:v>226</x:v>
      </x:c>
      <x:c r="I7" s="10" t="n">
        <x:v>190</x:v>
      </x:c>
    </x:row>
    <x:row r="8">
      <x:c r="A8" s="9" t="str">
        <x:v>IC主力</x:v>
      </x:c>
      <x:c r="B8" s="9" t="str">
        <x:v>2026-10-09</x:v>
      </x:c>
      <x:c r="C8" s="10" t="n">
        <x:v>7148</x:v>
      </x:c>
      <x:c r="D8" s="10" t="n">
        <x:v>6932</x:v>
      </x:c>
      <x:c r="E8" s="12" t="n">
        <x:v>216</x:v>
      </x:c>
      <x:c r="F8" s="9" t="n">
        <x:v>2</x:v>
      </x:c>
      <x:c r="G8" s="10" t="n">
        <x:v>514.6</x:v>
      </x:c>
      <x:c r="H8" s="10" t="n">
        <x:v>257.3</x:v>
      </x:c>
      <x:c r="I8" s="10" t="n">
        <x:v>150</x:v>
      </x:c>
    </x:row>
    <x:row r="9">
      <x:c r="A9" s="9" t="str">
        <x:v>IF主力</x:v>
      </x:c>
      <x:c r="B9" s="9" t="str">
        <x:v>2026-10-12</x:v>
      </x:c>
      <x:c r="C9" s="10" t="n">
        <x:v>4273.6</x:v>
      </x:c>
      <x:c r="D9" s="10" t="n">
        <x:v>4213.8</x:v>
      </x:c>
      <x:c r="E9" s="12" t="n">
        <x:v>59.8</x:v>
      </x:c>
      <x:c r="F9" s="9" t="n">
        <x:v>3</x:v>
      </x:c>
      <x:c r="G9" s="10" t="n">
        <x:v>257</x:v>
      </x:c>
      <x:c r="H9" s="10" t="n">
        <x:v>85.7</x:v>
      </x:c>
      <x:c r="I9" s="10" t="n">
        <x:v>90</x:v>
      </x:c>
    </x:row>
    <x:row r="10">
      <x:c r="A10" s="9" t="str">
        <x:v>IH主力</x:v>
      </x:c>
      <x:c r="B10" s="9" t="str">
        <x:v>2026-10-12</x:v>
      </x:c>
      <x:c r="C10" s="10" t="n">
        <x:v>2794</x:v>
      </x:c>
      <x:c r="D10" s="10" t="n">
        <x:v>2761.2</x:v>
      </x:c>
      <x:c r="E10" s="12" t="n">
        <x:v>32.8</x:v>
      </x:c>
      <x:c r="F10" s="9" t="n">
        <x:v>3</x:v>
      </x:c>
      <x:c r="G10" s="10" t="n">
        <x:v>127.4</x:v>
      </x:c>
      <x:c r="H10" s="10" t="n">
        <x:v>42.5</x:v>
      </x:c>
      <x:c r="I10" s="10" t="n">
        <x:v>60</x:v>
      </x:c>
    </x:row>
    <x:row r="11">
      <x:c r="A11" s="9" t="str">
        <x:v>碳酸锂2610</x:v>
      </x:c>
      <x:c r="B11" s="9" t="str">
        <x:v>2026-10-09</x:v>
      </x:c>
      <x:c r="C11" s="10" t="n">
        <x:v>123200</x:v>
      </x:c>
      <x:c r="D11" s="10" t="n">
        <x:v>119000</x:v>
      </x:c>
      <x:c r="E11" s="12" t="n">
        <x:v>4200</x:v>
      </x:c>
      <x:c r="F11" s="9" t="n">
        <x:v>2</x:v>
      </x:c>
      <x:c r="G11" s="10" t="n">
        <x:v>11000</x:v>
      </x:c>
      <x:c r="H11" s="10" t="n">
        <x:v>5500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</x:v>
      </x:c>
      <x:c r="C6" s="23" t="n">
        <x:v>7132.68</x:v>
      </x:c>
      <x:c r="D6" s="23" t="n">
        <x:v>7145.06</x:v>
      </x:c>
      <x:c r="E6" s="23" t="n">
        <x:v>7014.37</x:v>
      </x:c>
      <x:c r="F6" s="23" t="n">
        <x:v>7021.47</x:v>
      </x:c>
      <x:c r="G6" s="23" t="n">
        <x:f>ROUND(F6-F5,1)</x:f>
        <x:v>-134.4</x:v>
      </x:c>
      <x:c r="H6" s="24" t="n">
        <x:f>IFERROR(F6/F5-1,"")</x:f>
        <x:v>-0.018787268146189584</x:v>
      </x:c>
      <x:c r="I6" s="23" t="n">
        <x:f>ROUND(D6-E6,1)</x:f>
        <x:v>130.7</x:v>
      </x:c>
      <x:c r="J6" s="22" t="str">
        <x:v>中证1000</x:v>
      </x:c>
      <x:c r="K6" s="22" t="n">
        <x:v>1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572.1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286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</x:v>
      </x:c>
      <x:c r="C13" s="23" t="n">
        <x:v>7226.07</x:v>
      </x:c>
      <x:c r="D13" s="23" t="n">
        <x:v>7236.78</x:v>
      </x:c>
      <x:c r="E13" s="23" t="n">
        <x:v>7085.92</x:v>
      </x:c>
      <x:c r="F13" s="23" t="n">
        <x:v>7093.02</x:v>
      </x:c>
      <x:c r="G13" s="34" t="n">
        <x:f>ROUND(F13-F12,1)</x:f>
        <x:v>-158</x:v>
      </x:c>
      <x:c r="H13" s="24" t="n">
        <x:f>IFERROR(F13/F12-1,"")</x:f>
        <x:v>-0.02178868874818818</x:v>
      </x:c>
      <x:c r="I13" s="23" t="n">
        <x:f>ROUND(D13-E13,1)</x:f>
        <x:v>150.9</x:v>
      </x:c>
      <x:c r="J13" s="22" t="str">
        <x:v>中证500</x:v>
      </x:c>
      <x:c r="K13" s="22" t="n">
        <x:v>1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563.7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281.9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</x:v>
      </x:c>
      <x:c r="C20" s="23" t="n">
        <x:v>3806.98</x:v>
      </x:c>
      <x:c r="D20" s="23" t="n">
        <x:v>3828.22</x:v>
      </x:c>
      <x:c r="E20" s="23" t="n">
        <x:v>3791</x:v>
      </x:c>
      <x:c r="F20" s="23" t="n">
        <x:v>3797.24</x:v>
      </x:c>
      <x:c r="G20" s="23" t="n">
        <x:f>ROUND(F20-F19,1)</x:f>
        <x:v>-16.6</x:v>
      </x:c>
      <x:c r="H20" s="24" t="n">
        <x:f>IFERROR(F20/F19-1,"")</x:f>
        <x:v>-0.00433951528531995</x:v>
      </x:c>
      <x:c r="I20" s="23" t="n">
        <x:f>ROUND(D20-E20,1)</x:f>
        <x:v>37.2</x:v>
      </x:c>
      <x:c r="J20" s="22" t="str">
        <x:v>上证指数</x:v>
      </x:c>
      <x:c r="K20" s="22" t="n">
        <x:v>1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147.2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73.6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</x:v>
      </x:c>
      <x:c r="C27" s="23" t="n">
        <x:v>7000</x:v>
      </x:c>
      <x:c r="D27" s="23" t="n">
        <x:v>7031.2</x:v>
      </x:c>
      <x:c r="E27" s="23" t="n">
        <x:v>6886.6</x:v>
      </x:c>
      <x:c r="F27" s="23" t="n">
        <x:v>6921</x:v>
      </x:c>
      <x:c r="G27" s="23" t="n">
        <x:f>ROUND(F27-F26,1)</x:f>
        <x:v>-94.8</x:v>
      </x:c>
      <x:c r="H27" s="24" t="n">
        <x:f>IFERROR(F27/F26-1,"")</x:f>
        <x:v>-0.01351235782091853</x:v>
      </x:c>
      <x:c r="I27" s="23" t="n">
        <x:f>ROUND(D27-E27,1)</x:f>
        <x:v>144.6</x:v>
      </x:c>
      <x:c r="J27" s="22" t="str">
        <x:v>IM2612</x:v>
      </x:c>
      <x:c r="K27" s="22" t="n">
        <x:v>1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577.2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288.6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9" t="str">
        <x:v>合计</x:v>
      </x:c>
      <x:c r="B34" s="28" t="n">
        <x:v>1</x:v>
      </x:c>
      <x:c r="C34" s="28"/>
      <x:c r="D34" s="28"/>
      <x:c r="E34" s="28"/>
      <x:c r="F34" s="28"/>
      <x:c r="G34" s="28"/>
      <x:c r="H34" s="28"/>
      <x:c r="I34" s="30" t="n">
        <x:f>ROUND(SUM(I33:I33),1)</x:f>
        <x:v>423</x:v>
      </x:c>
      <x:c r="J34" s="28"/>
      <x:c r="K34" s="28"/>
    </x:row>
    <x:row r="35">
      <x:c r="A35" s="29" t="str">
        <x:v>均值</x:v>
      </x:c>
      <x:c r="B35" s="28"/>
      <x:c r="C35" s="28"/>
      <x:c r="D35" s="28"/>
      <x:c r="E35" s="28"/>
      <x:c r="F35" s="28"/>
      <x:c r="G35" s="28"/>
      <x:c r="H35" s="28"/>
      <x:c r="I35" s="32" t="n">
        <x:f>ROUND(IFERROR(AVERAGE(I33:I33),0),1)</x:f>
        <x:v>423</x:v>
      </x:c>
      <x:c r="J35" s="28"/>
      <x:c r="K35" s="28"/>
    </x:row>
    <x:row r="37">
      <x:c r="A37" s="17" t="str">
        <x:v>IF主力</x:v>
      </x:c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</x:row>
    <x:row r="38">
      <x:c r="A38" s="20" t="str">
        <x:v>序号</x:v>
      </x:c>
      <x:c r="B38" s="20" t="str">
        <x:v>周期</x:v>
      </x:c>
      <x:c r="C38" s="20" t="str">
        <x:v>开盘</x:v>
      </x:c>
      <x:c r="D38" s="20" t="str">
        <x:v>高点</x:v>
      </x:c>
      <x:c r="E38" s="20" t="str">
        <x:v>低点</x:v>
      </x:c>
      <x:c r="F38" s="20" t="str">
        <x:v>收盘</x:v>
      </x:c>
      <x:c r="G38" s="20" t="str">
        <x:v>涨跌点数</x:v>
      </x:c>
      <x:c r="H38" s="20" t="str">
        <x:v>涨幅</x:v>
      </x:c>
      <x:c r="I38" s="20" t="str">
        <x:v>振幅</x:v>
      </x:c>
      <x:c r="J38" s="20" t="str">
        <x:v>标的</x:v>
      </x:c>
      <x:c r="K38" s="20" t="str">
        <x:v>交易日</x:v>
      </x:c>
    </x:row>
    <x:row r="39">
      <x:c r="A39" s="22" t="n">
        <x:v>1</x:v>
      </x:c>
      <x:c r="B39" s="22" t="str">
        <x:v>10月8日-10月9日</x:v>
      </x:c>
      <x:c r="C39" s="23" t="n">
        <x:v>4300.8</x:v>
      </x:c>
      <x:c r="D39" s="23" t="n">
        <x:v>4331.6</x:v>
      </x:c>
      <x:c r="E39" s="23" t="n">
        <x:v>4180.4</x:v>
      </x:c>
      <x:c r="F39" s="23" t="n">
        <x:v>4244.8</x:v>
      </x:c>
      <x:c r="G39" s="23"/>
      <x:c r="H39" s="24"/>
      <x:c r="I39" s="26" t="n">
        <x:f>ROUND(D39-E39,1)</x:f>
        <x:v>151.2</x:v>
      </x:c>
      <x:c r="J39" s="22" t="str">
        <x:v>IF2612</x:v>
      </x:c>
      <x:c r="K39" s="22" t="n">
        <x:v>2</x:v>
      </x:c>
    </x:row>
    <x:row r="40">
      <x:c r="A40" s="22" t="n">
        <x:v>2</x:v>
      </x:c>
      <x:c r="B40" s="22" t="str">
        <x:v>10月12日</x:v>
      </x:c>
      <x:c r="C40" s="23" t="n">
        <x:v>4240.4</x:v>
      </x:c>
      <x:c r="D40" s="23" t="n">
        <x:v>4273.6</x:v>
      </x:c>
      <x:c r="E40" s="23" t="n">
        <x:v>4213.8</x:v>
      </x:c>
      <x:c r="F40" s="23" t="n">
        <x:v>4233.6</x:v>
      </x:c>
      <x:c r="G40" s="23" t="n">
        <x:f>ROUND(F40-F39,1)</x:f>
        <x:v>-11.2</x:v>
      </x:c>
      <x:c r="H40" s="24" t="n">
        <x:f>IFERROR(F40/F39-1,"")</x:f>
        <x:v>-0.0026385224274405594</x:v>
      </x:c>
      <x:c r="I40" s="23" t="n">
        <x:f>ROUND(D40-E40,1)</x:f>
        <x:v>59.8</x:v>
      </x:c>
      <x:c r="J40" s="22" t="str">
        <x:v>IF2612</x:v>
      </x:c>
      <x:c r="K40" s="22" t="n">
        <x:v>1</x:v>
      </x:c>
    </x:row>
    <x:row r="41">
      <x:c r="A41" s="29" t="str">
        <x:v>合计</x:v>
      </x:c>
      <x:c r="B41" s="28" t="n">
        <x:v>2</x:v>
      </x:c>
      <x:c r="C41" s="28"/>
      <x:c r="D41" s="28"/>
      <x:c r="E41" s="28"/>
      <x:c r="F41" s="28"/>
      <x:c r="G41" s="28"/>
      <x:c r="H41" s="28"/>
      <x:c r="I41" s="30" t="n">
        <x:f>ROUND(SUM(I39:I40),1)</x:f>
        <x:v>211</x:v>
      </x:c>
      <x:c r="J41" s="28"/>
      <x:c r="K41" s="28"/>
    </x:row>
    <x:row r="42">
      <x:c r="A42" s="29" t="str">
        <x:v>均值</x:v>
      </x:c>
      <x:c r="B42" s="28"/>
      <x:c r="C42" s="28"/>
      <x:c r="D42" s="28"/>
      <x:c r="E42" s="28"/>
      <x:c r="F42" s="28"/>
      <x:c r="G42" s="28"/>
      <x:c r="H42" s="28"/>
      <x:c r="I42" s="32" t="n">
        <x:f>ROUND(IFERROR(AVERAGE(I39:I40),0),1)</x:f>
        <x:v>105.5</x:v>
      </x:c>
      <x:c r="J42" s="28"/>
      <x:c r="K42" s="28"/>
    </x:row>
    <x:row r="44">
      <x:c r="A44" s="17" t="str">
        <x:v>IH主力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10月8日-10月9日</x:v>
      </x:c>
      <x:c r="C46" s="23" t="n">
        <x:v>2764</x:v>
      </x:c>
      <x:c r="D46" s="23" t="n">
        <x:v>2798.4</x:v>
      </x:c>
      <x:c r="E46" s="23" t="n">
        <x:v>2735</x:v>
      </x:c>
      <x:c r="F46" s="23" t="n">
        <x:v>2764</x:v>
      </x:c>
      <x:c r="G46" s="23"/>
      <x:c r="H46" s="24"/>
      <x:c r="I46" s="26" t="n">
        <x:f>ROUND(D46-E46,1)</x:f>
        <x:v>63.4</x:v>
      </x:c>
      <x:c r="J46" s="22" t="str">
        <x:v>IH2612</x:v>
      </x:c>
      <x:c r="K46" s="22" t="n">
        <x:v>2</x:v>
      </x:c>
    </x:row>
    <x:row r="47">
      <x:c r="A47" s="22" t="n">
        <x:v>2</x:v>
      </x:c>
      <x:c r="B47" s="22" t="str">
        <x:v>10月12日</x:v>
      </x:c>
      <x:c r="C47" s="23" t="n">
        <x:v>2762</x:v>
      </x:c>
      <x:c r="D47" s="23" t="n">
        <x:v>2794</x:v>
      </x:c>
      <x:c r="E47" s="23" t="n">
        <x:v>2761.2</x:v>
      </x:c>
      <x:c r="F47" s="23" t="n">
        <x:v>2779</x:v>
      </x:c>
      <x:c r="G47" s="23" t="n">
        <x:f>ROUND(F47-F46,1)</x:f>
        <x:v>15</x:v>
      </x:c>
      <x:c r="H47" s="24" t="n">
        <x:f>IFERROR(F47/F46-1,"")</x:f>
        <x:v>0.00542691751085389</x:v>
      </x:c>
      <x:c r="I47" s="23" t="n">
        <x:f>ROUND(D47-E47,1)</x:f>
        <x:v>32.8</x:v>
      </x:c>
      <x:c r="J47" s="22" t="str">
        <x:v>IH2612</x:v>
      </x:c>
      <x:c r="K47" s="22" t="n">
        <x:v>1</x:v>
      </x:c>
    </x:row>
    <x:row r="48">
      <x:c r="A48" s="29" t="str">
        <x:v>合计</x:v>
      </x:c>
      <x:c r="B48" s="28" t="n">
        <x:v>2</x:v>
      </x:c>
      <x:c r="C48" s="28"/>
      <x:c r="D48" s="28"/>
      <x:c r="E48" s="28"/>
      <x:c r="F48" s="28"/>
      <x:c r="G48" s="28"/>
      <x:c r="H48" s="28"/>
      <x:c r="I48" s="30" t="n">
        <x:f>ROUND(SUM(I46:I47),1)</x:f>
        <x:v>96.2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ROUND(IFERROR(AVERAGE(I46:I47),0),1)</x:f>
        <x:v>48.1</x:v>
      </x:c>
      <x:c r="J49" s="28"/>
      <x:c r="K49" s="28"/>
    </x:row>
    <x:row r="51">
      <x:c r="A51" s="17" t="str">
        <x:v>碳酸锂2610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120020</x:v>
      </x:c>
      <x:c r="D53" s="23" t="n">
        <x:v>126800</x:v>
      </x:c>
      <x:c r="E53" s="23" t="n">
        <x:v>119000</x:v>
      </x:c>
      <x:c r="F53" s="23" t="n">
        <x:v>121000</x:v>
      </x:c>
      <x:c r="G53" s="23"/>
      <x:c r="H53" s="24"/>
      <x:c r="I53" s="26" t="n">
        <x:f>ROUND(D53-E53,1)</x:f>
        <x:v>7800</x:v>
      </x:c>
      <x:c r="J53" s="22" t="str">
        <x:v>LC2610</x:v>
      </x:c>
      <x:c r="K53" s="22" t="n">
        <x:v>2</x:v>
      </x:c>
    </x:row>
    <x:row r="54">
      <x:c r="A54" s="29" t="str">
        <x:v>合计</x:v>
      </x:c>
      <x:c r="B54" s="28" t="n">
        <x:v>1</x:v>
      </x:c>
      <x:c r="C54" s="28"/>
      <x:c r="D54" s="28"/>
      <x:c r="E54" s="28"/>
      <x:c r="F54" s="28"/>
      <x:c r="G54" s="28"/>
      <x:c r="H54" s="28"/>
      <x:c r="I54" s="30" t="n">
        <x:f>ROUND(SUM(I53:I53),1)</x:f>
        <x:v>7800</x:v>
      </x:c>
      <x:c r="J54" s="28"/>
      <x:c r="K54" s="28"/>
    </x:row>
    <x:row r="55">
      <x:c r="A55" s="29" t="str">
        <x:v>均值</x:v>
      </x:c>
      <x:c r="B55" s="28"/>
      <x:c r="C55" s="28"/>
      <x:c r="D55" s="28"/>
      <x:c r="E55" s="28"/>
      <x:c r="F55" s="28"/>
      <x:c r="G55" s="28"/>
      <x:c r="H55" s="28"/>
      <x:c r="I55" s="32" t="n">
        <x:f>ROUND(IFERROR(AVERAGE(I53:I53),0),1)</x:f>
        <x:v>7800</x:v>
      </x:c>
      <x:c r="J55" s="28"/>
      <x:c r="K55" s="28"/>
    </x:row>
  </x:sheetData>
  <x:mergeCells>
    <x:mergeCell ref="A1:K1"/>
    <x:mergeCell ref="A3:K3"/>
    <x:mergeCell ref="A10:K10"/>
    <x:mergeCell ref="A17:K17"/>
    <x:mergeCell ref="A24:K24"/>
    <x:mergeCell ref="A31:K31"/>
    <x:mergeCell ref="A37:K37"/>
    <x:mergeCell ref="A44:K44"/>
    <x:mergeCell ref="A51:K5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34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659.7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219.9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34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34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634.8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211.6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176.59999999999997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58.9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678.0000000000001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226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34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514.6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257.3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257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85.7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9">
      <x:c r="A9" s="29" t="str">
        <x:v>合计</x:v>
      </x:c>
      <x:c r="B9" s="28" t="n">
        <x:v>3</x:v>
      </x:c>
      <x:c r="C9" s="28"/>
      <x:c r="D9" s="28"/>
      <x:c r="E9" s="28"/>
      <x:c r="F9" s="28"/>
      <x:c r="G9" s="28"/>
      <x:c r="H9" s="28"/>
      <x:c r="I9" s="28"/>
      <x:c r="J9" s="30" t="n">
        <x:f>SUM(J4:J6)</x:f>
        <x:v>127.39999999999999</x:v>
      </x:c>
      <x:c r="K9" s="28"/>
    </x:row>
    <x:row r="10">
      <x:c r="A10" s="29" t="str">
        <x:v>均值</x:v>
      </x:c>
      <x:c r="B10" s="28"/>
      <x:c r="C10" s="28"/>
      <x:c r="D10" s="28"/>
      <x:c r="E10" s="28"/>
      <x:c r="F10" s="28"/>
      <x:c r="G10" s="28"/>
      <x:c r="H10" s="28"/>
      <x:c r="I10" s="28"/>
      <x:c r="J10" s="32" t="n">
        <x:f>ROUND(IFERROR(AVERAGE(J4:J6),0),1)</x:f>
        <x:v>42.5</x:v>
      </x:c>
      <x:c r="K10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34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34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11000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5500</x:v>
      </x:c>
      <x:c r="K9" s="28"/>
    </x:row>
  </x:sheetData>
  <x:mergeCells>
    <x:mergeCell ref="A1:K1"/>
  </x:mergeCells>
  <x:pageMargins left="0.7" right="0.7" top="0.75" bottom="0.75" header="0.3" footer="0.3"/>
</x:worksheet>
</file>