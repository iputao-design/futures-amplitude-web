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a69342266d45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d1f068488684b2e"/>
    <x:sheet xmlns:r="http://schemas.openxmlformats.org/officeDocument/2006/relationships" name="周振幅统计" sheetId="2" r:id="Re7e6d556698145dd"/>
    <x:sheet xmlns:r="http://schemas.openxmlformats.org/officeDocument/2006/relationships" name="中证1000" sheetId="3" r:id="R7daa132653714ded"/>
    <x:sheet xmlns:r="http://schemas.openxmlformats.org/officeDocument/2006/relationships" name="中证500" sheetId="4" r:id="R6e67cbe7636c48d9"/>
    <x:sheet xmlns:r="http://schemas.openxmlformats.org/officeDocument/2006/relationships" name="上证指数" sheetId="5" r:id="Rba3ba5fc066a415c"/>
    <x:sheet xmlns:r="http://schemas.openxmlformats.org/officeDocument/2006/relationships" name="IM主力" sheetId="6" r:id="R80847e72e40f49dd"/>
    <x:sheet xmlns:r="http://schemas.openxmlformats.org/officeDocument/2006/relationships" name="IC主力" sheetId="7" r:id="Rd6fb8a1fc73c44f1"/>
    <x:sheet xmlns:r="http://schemas.openxmlformats.org/officeDocument/2006/relationships" name="IF主力" sheetId="8" r:id="R2d776c6d3aa54908"/>
    <x:sheet xmlns:r="http://schemas.openxmlformats.org/officeDocument/2006/relationships" name="IH主力" sheetId="9" r:id="R45447e35c16544e6"/>
    <x:sheet xmlns:r="http://schemas.openxmlformats.org/officeDocument/2006/relationships" name="碳酸锂2609" sheetId="10" r:id="R9cc8930fc00943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8a5777ca0b4eb6" /><Relationship Type="http://schemas.openxmlformats.org/officeDocument/2006/relationships/theme" Target="/xl/theme/theme1.xml" Id="R0275697f82bc46e1" /><Relationship Type="http://schemas.openxmlformats.org/officeDocument/2006/relationships/sharedStrings" Target="/xl/sharedStrings.xml" Id="R8c4e0faf073f439a" /><Relationship Type="http://schemas.openxmlformats.org/officeDocument/2006/relationships/worksheet" Target="/xl/worksheets/sheet1.xml" Id="R1d1f068488684b2e" /><Relationship Type="http://schemas.openxmlformats.org/officeDocument/2006/relationships/worksheet" Target="/xl/worksheets/sheet2.xml" Id="Re7e6d556698145dd" /><Relationship Type="http://schemas.openxmlformats.org/officeDocument/2006/relationships/worksheet" Target="/xl/worksheets/sheet3.xml" Id="R7daa132653714ded" /><Relationship Type="http://schemas.openxmlformats.org/officeDocument/2006/relationships/worksheet" Target="/xl/worksheets/sheet4.xml" Id="R6e67cbe7636c48d9" /><Relationship Type="http://schemas.openxmlformats.org/officeDocument/2006/relationships/worksheet" Target="/xl/worksheets/sheet5.xml" Id="Rba3ba5fc066a415c" /><Relationship Type="http://schemas.openxmlformats.org/officeDocument/2006/relationships/worksheet" Target="/xl/worksheets/sheet6.xml" Id="R80847e72e40f49dd" /><Relationship Type="http://schemas.openxmlformats.org/officeDocument/2006/relationships/worksheet" Target="/xl/worksheets/sheet7.xml" Id="Rd6fb8a1fc73c44f1" /><Relationship Type="http://schemas.openxmlformats.org/officeDocument/2006/relationships/worksheet" Target="/xl/worksheets/sheet8.xml" Id="R2d776c6d3aa54908" /><Relationship Type="http://schemas.openxmlformats.org/officeDocument/2006/relationships/worksheet" Target="/xl/worksheets/sheet9.xml" Id="R45447e35c16544e6" /><Relationship Type="http://schemas.openxmlformats.org/officeDocument/2006/relationships/worksheet" Target="/xl/worksheets/sheet10.xml" Id="R9cc8930fc00943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2026-08-17</x:v>
      </x:c>
      <x:c r="C4" s="10" t="n">
        <x:v>7968.38</x:v>
      </x:c>
      <x:c r="D4" s="10" t="n">
        <x:v>7750.43</x:v>
      </x:c>
      <x:c r="E4" s="12" t="n">
        <x:v>217.9</x:v>
      </x:c>
      <x:c r="F4" s="9" t="n">
        <x:v>11</x:v>
      </x:c>
      <x:c r="G4" s="10" t="n">
        <x:v>1786.3</x:v>
      </x:c>
      <x:c r="H4" s="10" t="n">
        <x:v>162.4</x:v>
      </x:c>
      <x:c r="I4" s="10" t="n">
        <x:v>180</x:v>
      </x:c>
    </x:row>
    <x:row r="5">
      <x:c r="A5" s="9" t="str">
        <x:v>中证500</x:v>
      </x:c>
      <x:c r="B5" s="9" t="str">
        <x:v>2026-08-17</x:v>
      </x:c>
      <x:c r="C5" s="10" t="n">
        <x:v>8184.64</x:v>
      </x:c>
      <x:c r="D5" s="10" t="n">
        <x:v>7992.36</x:v>
      </x:c>
      <x:c r="E5" s="12" t="n">
        <x:v>192.3</x:v>
      </x:c>
      <x:c r="F5" s="9" t="n">
        <x:v>11</x:v>
      </x:c>
      <x:c r="G5" s="10" t="n">
        <x:v>1772.5</x:v>
      </x:c>
      <x:c r="H5" s="10" t="n">
        <x:v>161.1</x:v>
      </x:c>
      <x:c r="I5" s="10" t="n">
        <x:v>160</x:v>
      </x:c>
    </x:row>
    <x:row r="6">
      <x:c r="A6" s="9" t="str">
        <x:v>上证指数</x:v>
      </x:c>
      <x:c r="B6" s="9" t="str">
        <x:v>2026-08-17</x:v>
      </x:c>
      <x:c r="C6" s="10" t="n">
        <x:v>3983.51</x:v>
      </x:c>
      <x:c r="D6" s="10" t="n">
        <x:v>3924.47</x:v>
      </x:c>
      <x:c r="E6" s="12" t="n">
        <x:v>59</x:v>
      </x:c>
      <x:c r="F6" s="9" t="n">
        <x:v>11</x:v>
      </x:c>
      <x:c r="G6" s="10" t="n">
        <x:v>444.4</x:v>
      </x:c>
      <x:c r="H6" s="10" t="n">
        <x:v>40.4</x:v>
      </x:c>
      <x:c r="I6" s="10" t="n">
        <x:v>50</x:v>
      </x:c>
    </x:row>
    <x:row r="7">
      <x:c r="A7" s="9" t="str">
        <x:v>IM主力</x:v>
      </x:c>
      <x:c r="B7" s="9" t="str">
        <x:v>2026-08-14</x:v>
      </x:c>
      <x:c r="C7" s="10" t="n">
        <x:v>7695</x:v>
      </x:c>
      <x:c r="D7" s="10" t="n">
        <x:v>7597.6</x:v>
      </x:c>
      <x:c r="E7" s="12" t="n">
        <x:v>97.4</x:v>
      </x:c>
      <x:c r="F7" s="9" t="n">
        <x:v>10</x:v>
      </x:c>
      <x:c r="G7" s="10" t="n">
        <x:v>1525</x:v>
      </x:c>
      <x:c r="H7" s="10" t="n">
        <x:v>152.5</x:v>
      </x:c>
      <x:c r="I7" s="10" t="n">
        <x:v>190</x:v>
      </x:c>
    </x:row>
    <x:row r="8">
      <x:c r="A8" s="9" t="str">
        <x:v>IC主力</x:v>
      </x:c>
      <x:c r="B8" s="9" t="str">
        <x:v>2026-08-14</x:v>
      </x:c>
      <x:c r="C8" s="10" t="n">
        <x:v>7914</x:v>
      </x:c>
      <x:c r="D8" s="10" t="n">
        <x:v>7802</x:v>
      </x:c>
      <x:c r="E8" s="12" t="n">
        <x:v>112</x:v>
      </x:c>
      <x:c r="F8" s="9" t="n">
        <x:v>10</x:v>
      </x:c>
      <x:c r="G8" s="10" t="n">
        <x:v>1573</x:v>
      </x:c>
      <x:c r="H8" s="10" t="n">
        <x:v>157.3</x:v>
      </x:c>
      <x:c r="I8" s="10" t="n">
        <x:v>150</x:v>
      </x:c>
    </x:row>
    <x:row r="9">
      <x:c r="A9" s="9" t="str">
        <x:v>IF主力</x:v>
      </x:c>
      <x:c r="B9" s="9" t="str">
        <x:v>2026-08-14</x:v>
      </x:c>
      <x:c r="C9" s="10" t="n">
        <x:v>4639.6</x:v>
      </x:c>
      <x:c r="D9" s="10" t="n">
        <x:v>4598</x:v>
      </x:c>
      <x:c r="E9" s="12" t="n">
        <x:v>41.6</x:v>
      </x:c>
      <x:c r="F9" s="9" t="n">
        <x:v>10</x:v>
      </x:c>
      <x:c r="G9" s="10" t="n">
        <x:v>569.8</x:v>
      </x:c>
      <x:c r="H9" s="10" t="n">
        <x:v>57</x:v>
      </x:c>
      <x:c r="I9" s="10" t="n">
        <x:v>90</x:v>
      </x:c>
    </x:row>
    <x:row r="10">
      <x:c r="A10" s="9" t="str">
        <x:v>IH主力</x:v>
      </x:c>
      <x:c r="B10" s="9" t="str">
        <x:v>2026-08-14</x:v>
      </x:c>
      <x:c r="C10" s="10" t="n">
        <x:v>2910.2</x:v>
      </x:c>
      <x:c r="D10" s="10" t="n">
        <x:v>2877</x:v>
      </x:c>
      <x:c r="E10" s="12" t="n">
        <x:v>33.2</x:v>
      </x:c>
      <x:c r="F10" s="9" t="n">
        <x:v>10</x:v>
      </x:c>
      <x:c r="G10" s="10" t="n">
        <x:v>328.8</x:v>
      </x:c>
      <x:c r="H10" s="10" t="n">
        <x:v>32.9</x:v>
      </x:c>
      <x:c r="I10" s="10" t="n">
        <x:v>60</x:v>
      </x:c>
    </x:row>
    <x:row r="11">
      <x:c r="A11" s="9" t="str">
        <x:v>碳酸锂2609</x:v>
      </x:c>
      <x:c r="B11" s="9" t="str">
        <x:v>2026-08-14</x:v>
      </x:c>
      <x:c r="C11" s="10" t="n">
        <x:v>154500</x:v>
      </x:c>
      <x:c r="D11" s="10" t="n">
        <x:v>149700</x:v>
      </x:c>
      <x:c r="E11" s="12" t="n">
        <x:v>4800</x:v>
      </x:c>
      <x:c r="F11" s="9" t="n">
        <x:v>10</x:v>
      </x:c>
      <x:c r="G11" s="10" t="n">
        <x:v>50340</x:v>
      </x:c>
      <x:c r="H11" s="10" t="n">
        <x:v>5034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</x:v>
      </x:c>
      <x:c r="C7" s="23" t="n">
        <x:v>7797.18</x:v>
      </x:c>
      <x:c r="D7" s="23" t="n">
        <x:v>7968.38</x:v>
      </x:c>
      <x:c r="E7" s="23" t="n">
        <x:v>7750.43</x:v>
      </x:c>
      <x:c r="F7" s="23" t="n">
        <x:v>7968.38</x:v>
      </x:c>
      <x:c r="G7" s="28" t="n">
        <x:f>ROUND(F7-F6,1)</x:f>
        <x:v>198.6</x:v>
      </x:c>
      <x:c r="H7" s="24" t="n">
        <x:f>IFERROR(F7/F6-1,"")</x:f>
        <x:v>0.02555528956912778</x:v>
      </x:c>
      <x:c r="I7" s="26" t="n">
        <x:f>ROUND(D7-E7,1)</x:f>
        <x:v>217.9</x:v>
      </x:c>
      <x:c r="J7" s="22" t="str">
        <x:v>中证1000</x:v>
      </x:c>
      <x:c r="K7" s="22" t="n">
        <x:v>1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1119.2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373.1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8月3日-8月7日</x:v>
      </x:c>
      <x:c r="C13" s="23" t="n">
        <x:v>7457.12</x:v>
      </x:c>
      <x:c r="D13" s="23" t="n">
        <x:v>7983.17</x:v>
      </x:c>
      <x:c r="E13" s="23" t="n">
        <x:v>7397.94</x:v>
      </x:c>
      <x:c r="F13" s="23" t="n">
        <x:v>7980.12</x:v>
      </x:c>
      <x:c r="G13" s="23"/>
      <x:c r="H13" s="24"/>
      <x:c r="I13" s="26" t="n">
        <x:f>ROUND(D13-E13,1)</x:f>
        <x:v>585.2</x:v>
      </x:c>
      <x:c r="J13" s="22" t="str">
        <x:v>中证500</x:v>
      </x:c>
      <x:c r="K13" s="22" t="n">
        <x:v>5</x:v>
      </x:c>
    </x:row>
    <x:row r="14">
      <x:c r="A14" s="22" t="n">
        <x:v>2</x:v>
      </x:c>
      <x:c r="B14" s="22" t="str">
        <x:v>8月10日-8月14日</x:v>
      </x:c>
      <x:c r="C14" s="23" t="n">
        <x:v>8003.92</x:v>
      </x:c>
      <x:c r="D14" s="23" t="n">
        <x:v>8142.33</x:v>
      </x:c>
      <x:c r="E14" s="23" t="n">
        <x:v>7897.24</x:v>
      </x:c>
      <x:c r="F14" s="23" t="n">
        <x:v>7990.33</x:v>
      </x:c>
      <x:c r="G14" s="23" t="n">
        <x:f>ROUND(F14-F13,1)</x:f>
        <x:v>10.2</x:v>
      </x:c>
      <x:c r="H14" s="24" t="n">
        <x:f>IFERROR(F14/F13-1,"")</x:f>
        <x:v>0.0012794293820144187</x:v>
      </x:c>
      <x:c r="I14" s="26" t="n">
        <x:f>ROUND(D14-E14,1)</x:f>
        <x:v>245.1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8月17日</x:v>
      </x:c>
      <x:c r="C15" s="23" t="n">
        <x:v>8007.87</x:v>
      </x:c>
      <x:c r="D15" s="23" t="n">
        <x:v>8184.64</x:v>
      </x:c>
      <x:c r="E15" s="23" t="n">
        <x:v>7992.36</x:v>
      </x:c>
      <x:c r="F15" s="23" t="n">
        <x:v>8184.64</x:v>
      </x:c>
      <x:c r="G15" s="28" t="n">
        <x:f>ROUND(F15-F14,1)</x:f>
        <x:v>194.3</x:v>
      </x:c>
      <x:c r="H15" s="24" t="n">
        <x:f>IFERROR(F15/F14-1,"")</x:f>
        <x:v>0.02431814455723358</x:v>
      </x:c>
      <x:c r="I15" s="26" t="n">
        <x:f>ROUND(D15-E15,1)</x:f>
        <x:v>192.3</x:v>
      </x:c>
      <x:c r="J15" s="22" t="str">
        <x:v>中证500</x:v>
      </x:c>
      <x:c r="K15" s="22" t="n">
        <x:v>1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1022.6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340.9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8月3日-8月7日</x:v>
      </x:c>
      <x:c r="C21" s="23" t="n">
        <x:v>3812.61</x:v>
      </x:c>
      <x:c r="D21" s="23" t="n">
        <x:v>3940.93</x:v>
      </x:c>
      <x:c r="E21" s="23" t="n">
        <x:v>3797.64</x:v>
      </x:c>
      <x:c r="F21" s="23" t="n">
        <x:v>3940.04</x:v>
      </x:c>
      <x:c r="G21" s="23"/>
      <x:c r="H21" s="24"/>
      <x:c r="I21" s="26" t="n">
        <x:f>ROUND(D21-E21,1)</x:f>
        <x:v>143.3</x:v>
      </x:c>
      <x:c r="J21" s="22" t="str">
        <x:v>上证指数</x:v>
      </x:c>
      <x:c r="K21" s="22" t="n">
        <x:v>5</x:v>
      </x:c>
    </x:row>
    <x:row r="22">
      <x:c r="A22" s="22" t="n">
        <x:v>2</x:v>
      </x:c>
      <x:c r="B22" s="22" t="str">
        <x:v>8月10日-8月14日</x:v>
      </x:c>
      <x:c r="C22" s="23" t="n">
        <x:v>3943.82</x:v>
      </x:c>
      <x:c r="D22" s="23" t="n">
        <x:v>3968.48</x:v>
      </x:c>
      <x:c r="E22" s="23" t="n">
        <x:v>3903.7</x:v>
      </x:c>
      <x:c r="F22" s="23" t="n">
        <x:v>3927.18</x:v>
      </x:c>
      <x:c r="G22" s="23" t="n">
        <x:f>ROUND(F22-F21,1)</x:f>
        <x:v>-12.9</x:v>
      </x:c>
      <x:c r="H22" s="24" t="n">
        <x:f>IFERROR(F22/F21-1,"")</x:f>
        <x:v>-0.003263926254555849</x:v>
      </x:c>
      <x:c r="I22" s="26" t="n">
        <x:f>ROUND(D22-E22,1)</x:f>
        <x:v>64.8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8月17日</x:v>
      </x:c>
      <x:c r="C23" s="23" t="n">
        <x:v>3930.1</x:v>
      </x:c>
      <x:c r="D23" s="23" t="n">
        <x:v>3983.51</x:v>
      </x:c>
      <x:c r="E23" s="23" t="n">
        <x:v>3924.47</x:v>
      </x:c>
      <x:c r="F23" s="23" t="n">
        <x:v>3982.65</x:v>
      </x:c>
      <x:c r="G23" s="23" t="n">
        <x:f>ROUND(F23-F22,1)</x:f>
        <x:v>55.5</x:v>
      </x:c>
      <x:c r="H23" s="24" t="n">
        <x:f>IFERROR(F23/F22-1,"")</x:f>
        <x:v>0.014124639053977761</x:v>
      </x:c>
      <x:c r="I23" s="26" t="n">
        <x:f>ROUND(D23-E23,1)</x:f>
        <x:v>59</x:v>
      </x:c>
      <x:c r="J23" s="22" t="str">
        <x:v>上证指数</x:v>
      </x:c>
      <x:c r="K23" s="22" t="n">
        <x:v>1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267.1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89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8月3日-8月7日</x:v>
      </x:c>
      <x:c r="C29" s="23" t="n">
        <x:v>7000</x:v>
      </x:c>
      <x:c r="D29" s="23" t="n">
        <x:v>7594.2</x:v>
      </x:c>
      <x:c r="E29" s="23" t="n">
        <x:v>6976</x:v>
      </x:c>
      <x:c r="F29" s="23" t="n">
        <x:v>7590.6</x:v>
      </x:c>
      <x:c r="G29" s="23"/>
      <x:c r="H29" s="24"/>
      <x:c r="I29" s="26" t="n">
        <x:f>ROUND(D29-E29,1)</x:f>
        <x:v>618.2</x:v>
      </x:c>
      <x:c r="J29" s="22" t="str">
        <x:v>IM2609</x:v>
      </x:c>
      <x:c r="K29" s="22" t="n">
        <x:v>5</x:v>
      </x:c>
    </x:row>
    <x:row r="30">
      <x:c r="A30" s="22" t="n">
        <x:v>2</x:v>
      </x:c>
      <x:c r="B30" s="22" t="str">
        <x:v>8月10日-8月14日</x:v>
      </x:c>
      <x:c r="C30" s="23" t="n">
        <x:v>7628.8</x:v>
      </x:c>
      <x:c r="D30" s="23" t="n">
        <x:v>7776</x:v>
      </x:c>
      <x:c r="E30" s="23" t="n">
        <x:v>7525</x:v>
      </x:c>
      <x:c r="F30" s="23" t="n">
        <x:v>7650.2</x:v>
      </x:c>
      <x:c r="G30" s="23" t="n">
        <x:f>ROUND(F30-F29,1)</x:f>
        <x:v>59.6</x:v>
      </x:c>
      <x:c r="H30" s="24" t="n">
        <x:f>IFERROR(F30/F29-1,"")</x:f>
        <x:v>0.007851816720680693</x:v>
      </x:c>
      <x:c r="I30" s="26" t="n">
        <x:f>ROUND(D30-E30,1)</x:f>
        <x:v>251</x:v>
      </x:c>
      <x:c r="J30" s="22" t="str">
        <x:v>IM2609</x:v>
      </x:c>
      <x:c r="K30" s="22" t="n">
        <x:v>5</x:v>
      </x:c>
    </x:row>
    <x:row r="31">
      <x:c r="A31" s="31" t="str">
        <x:v>合计</x:v>
      </x:c>
      <x:c r="B31" s="30" t="n">
        <x:v>2</x:v>
      </x:c>
      <x:c r="C31" s="30"/>
      <x:c r="D31" s="30"/>
      <x:c r="E31" s="30"/>
      <x:c r="F31" s="30"/>
      <x:c r="G31" s="30"/>
      <x:c r="H31" s="30"/>
      <x:c r="I31" s="32" t="n">
        <x:f>ROUND(SUM(I29:I30),1)</x:f>
        <x:v>869.2</x:v>
      </x:c>
      <x:c r="J31" s="30"/>
      <x:c r="K31" s="30"/>
    </x:row>
    <x:row r="32">
      <x:c r="A32" s="31" t="str">
        <x:v>均值</x:v>
      </x:c>
      <x:c r="B32" s="30"/>
      <x:c r="C32" s="30"/>
      <x:c r="D32" s="30"/>
      <x:c r="E32" s="30"/>
      <x:c r="F32" s="30"/>
      <x:c r="G32" s="30"/>
      <x:c r="H32" s="30"/>
      <x:c r="I32" s="34" t="n">
        <x:f>ROUND(IFERROR(AVERAGE(I29:I30),0),1)</x:f>
        <x:v>434.6</x:v>
      </x:c>
      <x:c r="J32" s="30"/>
      <x:c r="K32" s="30"/>
    </x:row>
    <x:row r="34">
      <x:c r="A34" s="17" t="str">
        <x:v>IC主力</x:v>
      </x:c>
      <x:c r="B34" s="17"/>
      <x:c r="C34" s="17"/>
      <x:c r="D34" s="17"/>
      <x:c r="E34" s="17"/>
      <x:c r="F34" s="17"/>
      <x:c r="G34" s="17"/>
      <x:c r="H34" s="17"/>
      <x:c r="I34" s="17"/>
      <x:c r="J34" s="17"/>
      <x:c r="K34" s="17"/>
    </x:row>
    <x:row r="35">
      <x:c r="A35" s="20" t="str">
        <x:v>序号</x:v>
      </x:c>
      <x:c r="B35" s="20" t="str">
        <x:v>周期</x:v>
      </x:c>
      <x:c r="C35" s="20" t="str">
        <x:v>开盘</x:v>
      </x:c>
      <x:c r="D35" s="20" t="str">
        <x:v>高点</x:v>
      </x:c>
      <x:c r="E35" s="20" t="str">
        <x:v>低点</x:v>
      </x:c>
      <x:c r="F35" s="20" t="str">
        <x:v>收盘</x:v>
      </x:c>
      <x:c r="G35" s="20" t="str">
        <x:v>涨跌点数</x:v>
      </x:c>
      <x:c r="H35" s="20" t="str">
        <x:v>涨幅</x:v>
      </x:c>
      <x:c r="I35" s="20" t="str">
        <x:v>振幅</x:v>
      </x:c>
      <x:c r="J35" s="20" t="str">
        <x:v>标的</x:v>
      </x:c>
      <x:c r="K35" s="20" t="str">
        <x:v>交易日</x:v>
      </x:c>
    </x:row>
    <x:row r="36">
      <x:c r="A36" s="22" t="n">
        <x:v>1</x:v>
      </x:c>
      <x:c r="B36" s="22" t="str">
        <x:v>8月3日-8月7日</x:v>
      </x:c>
      <x:c r="C36" s="23" t="n">
        <x:v>7391</x:v>
      </x:c>
      <x:c r="D36" s="23" t="n">
        <x:v>7882.6</x:v>
      </x:c>
      <x:c r="E36" s="23" t="n">
        <x:v>7335</x:v>
      </x:c>
      <x:c r="F36" s="23" t="n">
        <x:v>7877.8</x:v>
      </x:c>
      <x:c r="G36" s="23"/>
      <x:c r="H36" s="24"/>
      <x:c r="I36" s="26" t="n">
        <x:f>ROUND(D36-E36,1)</x:f>
        <x:v>547.6</x:v>
      </x:c>
      <x:c r="J36" s="22" t="str">
        <x:v>IC2609</x:v>
      </x:c>
      <x:c r="K36" s="22" t="n">
        <x:v>5</x:v>
      </x:c>
    </x:row>
    <x:row r="37">
      <x:c r="A37" s="22" t="n">
        <x:v>2</x:v>
      </x:c>
      <x:c r="B37" s="22" t="str">
        <x:v>8月10日-8月14日</x:v>
      </x:c>
      <x:c r="C37" s="23" t="n">
        <x:v>7888</x:v>
      </x:c>
      <x:c r="D37" s="23" t="n">
        <x:v>8024</x:v>
      </x:c>
      <x:c r="E37" s="23" t="n">
        <x:v>7795.8</x:v>
      </x:c>
      <x:c r="F37" s="23" t="n">
        <x:v>7861.2</x:v>
      </x:c>
      <x:c r="G37" s="23" t="n">
        <x:f>ROUND(F37-F36,1)</x:f>
        <x:v>-16.6</x:v>
      </x:c>
      <x:c r="H37" s="24" t="n">
        <x:f>IFERROR(F37/F36-1,"")</x:f>
        <x:v>-0.0021071872857905127</x:v>
      </x:c>
      <x:c r="I37" s="26" t="n">
        <x:f>ROUND(D37-E37,1)</x:f>
        <x:v>228.2</x:v>
      </x:c>
      <x:c r="J37" s="22" t="str">
        <x:v>IC2609</x:v>
      </x:c>
      <x:c r="K37" s="22" t="n">
        <x:v>5</x:v>
      </x:c>
    </x:row>
    <x:row r="38">
      <x:c r="A38" s="31" t="str">
        <x:v>合计</x:v>
      </x:c>
      <x:c r="B38" s="30" t="n">
        <x:v>2</x:v>
      </x:c>
      <x:c r="C38" s="30"/>
      <x:c r="D38" s="30"/>
      <x:c r="E38" s="30"/>
      <x:c r="F38" s="30"/>
      <x:c r="G38" s="30"/>
      <x:c r="H38" s="30"/>
      <x:c r="I38" s="32" t="n">
        <x:f>ROUND(SUM(I36:I37),1)</x:f>
        <x:v>775.8</x:v>
      </x:c>
      <x:c r="J38" s="30"/>
      <x:c r="K38" s="30"/>
    </x:row>
    <x:row r="39">
      <x:c r="A39" s="31" t="str">
        <x:v>均值</x:v>
      </x:c>
      <x:c r="B39" s="30"/>
      <x:c r="C39" s="30"/>
      <x:c r="D39" s="30"/>
      <x:c r="E39" s="30"/>
      <x:c r="F39" s="30"/>
      <x:c r="G39" s="30"/>
      <x:c r="H39" s="30"/>
      <x:c r="I39" s="34" t="n">
        <x:f>ROUND(IFERROR(AVERAGE(I36:I37),0),1)</x:f>
        <x:v>387.9</x:v>
      </x:c>
      <x:c r="J39" s="30"/>
      <x:c r="K39" s="30"/>
    </x:row>
    <x:row r="41">
      <x:c r="A41" s="17" t="str">
        <x:v>IF主力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22" t="n">
        <x:v>1</x:v>
      </x:c>
      <x:c r="B43" s="22" t="str">
        <x:v>8月3日-8月7日</x:v>
      </x:c>
      <x:c r="C43" s="23" t="n">
        <x:v>4526.4</x:v>
      </x:c>
      <x:c r="D43" s="23" t="n">
        <x:v>4656.2</x:v>
      </x:c>
      <x:c r="E43" s="23" t="n">
        <x:v>4494.2</x:v>
      </x:c>
      <x:c r="F43" s="23" t="n">
        <x:v>4645.6</x:v>
      </x:c>
      <x:c r="G43" s="23"/>
      <x:c r="H43" s="24"/>
      <x:c r="I43" s="26" t="n">
        <x:f>ROUND(D43-E43,1)</x:f>
        <x:v>162</x:v>
      </x:c>
      <x:c r="J43" s="22" t="str">
        <x:v>IF2609</x:v>
      </x:c>
      <x:c r="K43" s="22" t="n">
        <x:v>5</x:v>
      </x:c>
    </x:row>
    <x:row r="44">
      <x:c r="A44" s="22" t="n">
        <x:v>2</x:v>
      </x:c>
      <x:c r="B44" s="22" t="str">
        <x:v>8月10日-8月14日</x:v>
      </x:c>
      <x:c r="C44" s="23" t="n">
        <x:v>4656.8</x:v>
      </x:c>
      <x:c r="D44" s="23" t="n">
        <x:v>4681</x:v>
      </x:c>
      <x:c r="E44" s="23" t="n">
        <x:v>4598</x:v>
      </x:c>
      <x:c r="F44" s="23" t="n">
        <x:v>4620.4</x:v>
      </x:c>
      <x:c r="G44" s="23" t="n">
        <x:f>ROUND(F44-F43,1)</x:f>
        <x:v>-25.2</x:v>
      </x:c>
      <x:c r="H44" s="24" t="n">
        <x:f>IFERROR(F44/F43-1,"")</x:f>
        <x:v>-0.005424487687274104</x:v>
      </x:c>
      <x:c r="I44" s="23" t="n">
        <x:f>ROUND(D44-E44,1)</x:f>
        <x:v>83</x:v>
      </x:c>
      <x:c r="J44" s="22" t="str">
        <x:v>IF2609</x:v>
      </x:c>
      <x:c r="K44" s="22" t="n">
        <x:v>5</x:v>
      </x:c>
    </x:row>
    <x:row r="45">
      <x:c r="A45" s="31" t="str">
        <x:v>合计</x:v>
      </x:c>
      <x:c r="B45" s="30" t="n">
        <x:v>2</x:v>
      </x:c>
      <x:c r="C45" s="30"/>
      <x:c r="D45" s="30"/>
      <x:c r="E45" s="30"/>
      <x:c r="F45" s="30"/>
      <x:c r="G45" s="30"/>
      <x:c r="H45" s="30"/>
      <x:c r="I45" s="32" t="n">
        <x:f>ROUND(SUM(I43:I44),1)</x:f>
        <x:v>245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ROUND(IFERROR(AVERAGE(I43:I44),0),1)</x:f>
        <x:v>122.5</x:v>
      </x:c>
      <x:c r="J46" s="30"/>
      <x:c r="K46" s="30"/>
    </x:row>
    <x:row r="48">
      <x:c r="A48" s="17" t="str">
        <x:v>IH主力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8月3日-8月7日</x:v>
      </x:c>
      <x:c r="C50" s="23" t="n">
        <x:v>2882.4</x:v>
      </x:c>
      <x:c r="D50" s="23" t="n">
        <x:v>2930.6</x:v>
      </x:c>
      <x:c r="E50" s="23" t="n">
        <x:v>2845.8</x:v>
      </x:c>
      <x:c r="F50" s="23" t="n">
        <x:v>2930</x:v>
      </x:c>
      <x:c r="G50" s="23"/>
      <x:c r="H50" s="24"/>
      <x:c r="I50" s="26" t="n">
        <x:f>ROUND(D50-E50,1)</x:f>
        <x:v>84.8</x:v>
      </x:c>
      <x:c r="J50" s="22" t="str">
        <x:v>IH2609</x:v>
      </x:c>
      <x:c r="K50" s="22" t="n">
        <x:v>5</x:v>
      </x:c>
    </x:row>
    <x:row r="51">
      <x:c r="A51" s="22" t="n">
        <x:v>2</x:v>
      </x:c>
      <x:c r="B51" s="22" t="str">
        <x:v>8月10日-8月14日</x:v>
      </x:c>
      <x:c r="C51" s="23" t="n">
        <x:v>2930</x:v>
      </x:c>
      <x:c r="D51" s="23" t="n">
        <x:v>2949.6</x:v>
      </x:c>
      <x:c r="E51" s="23" t="n">
        <x:v>2877</x:v>
      </x:c>
      <x:c r="F51" s="23" t="n">
        <x:v>2890</x:v>
      </x:c>
      <x:c r="G51" s="23" t="n">
        <x:f>ROUND(F51-F50,1)</x:f>
        <x:v>-40</x:v>
      </x:c>
      <x:c r="H51" s="24" t="n">
        <x:f>IFERROR(F51/F50-1,"")</x:f>
        <x:v>-0.013651877133105783</x:v>
      </x:c>
      <x:c r="I51" s="26" t="n">
        <x:f>ROUND(D51-E51,1)</x:f>
        <x:v>72.6</x:v>
      </x:c>
      <x:c r="J51" s="22" t="str">
        <x:v>IH2609</x:v>
      </x:c>
      <x:c r="K51" s="22" t="n">
        <x:v>5</x:v>
      </x:c>
    </x:row>
    <x:row r="52">
      <x:c r="A52" s="31" t="str">
        <x:v>合计</x:v>
      </x:c>
      <x:c r="B52" s="30" t="n">
        <x:v>2</x:v>
      </x:c>
      <x:c r="C52" s="30"/>
      <x:c r="D52" s="30"/>
      <x:c r="E52" s="30"/>
      <x:c r="F52" s="30"/>
      <x:c r="G52" s="30"/>
      <x:c r="H52" s="30"/>
      <x:c r="I52" s="32" t="n">
        <x:f>ROUND(SUM(I50:I51),1)</x:f>
        <x:v>157.4</x:v>
      </x:c>
      <x:c r="J52" s="30"/>
      <x:c r="K52" s="30"/>
    </x:row>
    <x:row r="53">
      <x:c r="A53" s="31" t="str">
        <x:v>均值</x:v>
      </x:c>
      <x:c r="B53" s="30"/>
      <x:c r="C53" s="30"/>
      <x:c r="D53" s="30"/>
      <x:c r="E53" s="30"/>
      <x:c r="F53" s="30"/>
      <x:c r="G53" s="30"/>
      <x:c r="H53" s="30"/>
      <x:c r="I53" s="34" t="n">
        <x:f>ROUND(IFERROR(AVERAGE(I50:I51),0),1)</x:f>
        <x:v>78.7</x:v>
      </x:c>
      <x:c r="J53" s="30"/>
      <x:c r="K53" s="30"/>
    </x:row>
    <x:row r="55">
      <x:c r="A55" s="17" t="str">
        <x:v>碳酸锂2609</x:v>
      </x:c>
      <x:c r="B55" s="17"/>
      <x:c r="C55" s="17"/>
      <x:c r="D55" s="17"/>
      <x:c r="E55" s="17"/>
      <x:c r="F55" s="17"/>
      <x:c r="G55" s="17"/>
      <x:c r="H55" s="17"/>
      <x:c r="I55" s="17"/>
      <x:c r="J55" s="17"/>
      <x:c r="K55" s="17"/>
    </x:row>
    <x:row r="56">
      <x:c r="A56" s="20" t="str">
        <x:v>序号</x:v>
      </x:c>
      <x:c r="B56" s="20" t="str">
        <x:v>周期</x:v>
      </x:c>
      <x:c r="C56" s="20" t="str">
        <x:v>开盘</x:v>
      </x:c>
      <x:c r="D56" s="20" t="str">
        <x:v>高点</x:v>
      </x:c>
      <x:c r="E56" s="20" t="str">
        <x:v>低点</x:v>
      </x:c>
      <x:c r="F56" s="20" t="str">
        <x:v>收盘</x:v>
      </x:c>
      <x:c r="G56" s="20" t="str">
        <x:v>涨跌点数</x:v>
      </x:c>
      <x:c r="H56" s="20" t="str">
        <x:v>涨幅</x:v>
      </x:c>
      <x:c r="I56" s="20" t="str">
        <x:v>振幅</x:v>
      </x:c>
      <x:c r="J56" s="20" t="str">
        <x:v>标的</x:v>
      </x:c>
      <x:c r="K56" s="20" t="str">
        <x:v>交易日</x:v>
      </x:c>
    </x:row>
    <x:row r="57">
      <x:c r="A57" s="22" t="n">
        <x:v>1</x:v>
      </x:c>
      <x:c r="B57" s="22" t="str">
        <x:v>8月3日-8月7日</x:v>
      </x:c>
      <x:c r="C57" s="23" t="n">
        <x:v>137500</x:v>
      </x:c>
      <x:c r="D57" s="23" t="n">
        <x:v>144800</x:v>
      </x:c>
      <x:c r="E57" s="23" t="n">
        <x:v>135560</x:v>
      </x:c>
      <x:c r="F57" s="23" t="n">
        <x:v>140000</x:v>
      </x:c>
      <x:c r="G57" s="23"/>
      <x:c r="H57" s="24"/>
      <x:c r="I57" s="26" t="n">
        <x:f>ROUND(D57-E57,1)</x:f>
        <x:v>9240</x:v>
      </x:c>
      <x:c r="J57" s="22" t="str">
        <x:v>LC2609</x:v>
      </x:c>
      <x:c r="K57" s="22" t="n">
        <x:v>5</x:v>
      </x:c>
    </x:row>
    <x:row r="58">
      <x:c r="A58" s="22" t="n">
        <x:v>2</x:v>
      </x:c>
      <x:c r="B58" s="22" t="str">
        <x:v>8月10日-8月14日</x:v>
      </x:c>
      <x:c r="C58" s="23" t="n">
        <x:v>140500</x:v>
      </x:c>
      <x:c r="D58" s="23" t="n">
        <x:v>154500</x:v>
      </x:c>
      <x:c r="E58" s="23" t="n">
        <x:v>139280</x:v>
      </x:c>
      <x:c r="F58" s="23" t="n">
        <x:v>153940</x:v>
      </x:c>
      <x:c r="G58" s="28" t="n">
        <x:f>ROUND(F58-F57,1)</x:f>
        <x:v>13940</x:v>
      </x:c>
      <x:c r="H58" s="24" t="n">
        <x:f>IFERROR(F58/F57-1,"")</x:f>
        <x:v>0.09957142857142864</x:v>
      </x:c>
      <x:c r="I58" s="26" t="n">
        <x:f>ROUND(D58-E58,1)</x:f>
        <x:v>15220</x:v>
      </x:c>
      <x:c r="J58" s="22" t="str">
        <x:v>LC2609</x:v>
      </x:c>
      <x:c r="K58" s="22" t="n">
        <x:v>5</x:v>
      </x:c>
    </x:row>
    <x:row r="59">
      <x:c r="A59" s="31" t="str">
        <x:v>合计</x:v>
      </x:c>
      <x:c r="B59" s="30" t="n">
        <x:v>2</x:v>
      </x:c>
      <x:c r="C59" s="30"/>
      <x:c r="D59" s="30"/>
      <x:c r="E59" s="30"/>
      <x:c r="F59" s="30"/>
      <x:c r="G59" s="30"/>
      <x:c r="H59" s="30"/>
      <x:c r="I59" s="32" t="n">
        <x:f>ROUND(SUM(I57:I58),1)</x:f>
        <x:v>24460</x:v>
      </x:c>
      <x:c r="J59" s="30"/>
      <x:c r="K59" s="30"/>
    </x:row>
    <x:row r="60">
      <x:c r="A60" s="31" t="str">
        <x:v>均值</x:v>
      </x:c>
      <x:c r="B60" s="30"/>
      <x:c r="C60" s="30"/>
      <x:c r="D60" s="30"/>
      <x:c r="E60" s="30"/>
      <x:c r="F60" s="30"/>
      <x:c r="G60" s="30"/>
      <x:c r="H60" s="30"/>
      <x:c r="I60" s="34" t="n">
        <x:f>ROUND(IFERROR(AVERAGE(I57:I58),0),1)</x:f>
        <x:v>12230</x:v>
      </x:c>
      <x:c r="J60" s="30"/>
      <x:c r="K60" s="30"/>
    </x:row>
  </x:sheetData>
  <x:mergeCells>
    <x:mergeCell ref="A1:K1"/>
    <x:mergeCell ref="A3:K3"/>
    <x:mergeCell ref="A11:K11"/>
    <x:mergeCell ref="A19:K19"/>
    <x:mergeCell ref="A27:K27"/>
    <x:mergeCell ref="A34:K34"/>
    <x:mergeCell ref="A41:K41"/>
    <x:mergeCell ref="A48:K48"/>
    <x:mergeCell ref="A55:K5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1786.3000000000002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162.4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1772.5000000000002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161.1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7">
      <x:c r="A17" s="31" t="str">
        <x:v>合计</x:v>
      </x:c>
      <x:c r="B17" s="30" t="n">
        <x:v>11</x:v>
      </x:c>
      <x:c r="C17" s="30"/>
      <x:c r="D17" s="30"/>
      <x:c r="E17" s="30"/>
      <x:c r="F17" s="30"/>
      <x:c r="G17" s="30"/>
      <x:c r="H17" s="30"/>
      <x:c r="I17" s="30"/>
      <x:c r="J17" s="32" t="n">
        <x:f>SUM(J4:J14)</x:f>
        <x:v>444.40000000000003</x:v>
      </x:c>
      <x:c r="K17" s="30"/>
    </x:row>
    <x:row r="18">
      <x:c r="A18" s="31" t="str">
        <x:v>均值</x:v>
      </x:c>
      <x:c r="B18" s="30"/>
      <x:c r="C18" s="30"/>
      <x:c r="D18" s="30"/>
      <x:c r="E18" s="30"/>
      <x:c r="F18" s="30"/>
      <x:c r="G18" s="30"/>
      <x:c r="H18" s="30"/>
      <x:c r="I18" s="30"/>
      <x:c r="J18" s="34" t="n">
        <x:f>ROUND(IFERROR(AVERAGE(J4:J14),0),1)</x:f>
        <x:v>40.4</x:v>
      </x:c>
      <x:c r="K18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1525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152.5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1573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157.3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569.8000000000001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57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328.8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32.9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50340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5034</x:v>
      </x:c>
      <x:c r="K17" s="30"/>
    </x:row>
  </x:sheetData>
  <x:mergeCells>
    <x:mergeCell ref="A1:K1"/>
  </x:mergeCells>
  <x:pageMargins left="0.7" right="0.7" top="0.75" bottom="0.75" header="0.3" footer="0.3"/>
</x:worksheet>
</file>