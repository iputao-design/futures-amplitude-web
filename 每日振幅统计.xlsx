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fe6affbe6a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a3c3f1d677e4f0c"/>
    <x:sheet xmlns:r="http://schemas.openxmlformats.org/officeDocument/2006/relationships" name="周振幅统计" sheetId="2" r:id="Rd1cc03d6886d4424"/>
    <x:sheet xmlns:r="http://schemas.openxmlformats.org/officeDocument/2006/relationships" name="中证1000" sheetId="3" r:id="R9bf5d91f434f4119"/>
    <x:sheet xmlns:r="http://schemas.openxmlformats.org/officeDocument/2006/relationships" name="中证500" sheetId="4" r:id="Rd7fffb31a6b748b2"/>
    <x:sheet xmlns:r="http://schemas.openxmlformats.org/officeDocument/2006/relationships" name="上证指数" sheetId="5" r:id="Re165c48dff9548c6"/>
    <x:sheet xmlns:r="http://schemas.openxmlformats.org/officeDocument/2006/relationships" name="IM主力" sheetId="6" r:id="R31fe2982e1504c63"/>
    <x:sheet xmlns:r="http://schemas.openxmlformats.org/officeDocument/2006/relationships" name="IC主力" sheetId="7" r:id="Radc10241dd2543af"/>
    <x:sheet xmlns:r="http://schemas.openxmlformats.org/officeDocument/2006/relationships" name="IF主力" sheetId="8" r:id="Rb9b29311feea4aa2"/>
    <x:sheet xmlns:r="http://schemas.openxmlformats.org/officeDocument/2006/relationships" name="IH主力" sheetId="9" r:id="R72694fe6b8a94b5d"/>
    <x:sheet xmlns:r="http://schemas.openxmlformats.org/officeDocument/2006/relationships" name="碳酸锂2610" sheetId="10" r:id="Rabf1671d1f7644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7578bec1014653" /><Relationship Type="http://schemas.openxmlformats.org/officeDocument/2006/relationships/theme" Target="/xl/theme/theme1.xml" Id="R0bcf1b6fe8aa45a3" /><Relationship Type="http://schemas.openxmlformats.org/officeDocument/2006/relationships/sharedStrings" Target="/xl/sharedStrings.xml" Id="Rf495e09218774d56" /><Relationship Type="http://schemas.openxmlformats.org/officeDocument/2006/relationships/worksheet" Target="/xl/worksheets/sheet1.xml" Id="R9a3c3f1d677e4f0c" /><Relationship Type="http://schemas.openxmlformats.org/officeDocument/2006/relationships/worksheet" Target="/xl/worksheets/sheet2.xml" Id="Rd1cc03d6886d4424" /><Relationship Type="http://schemas.openxmlformats.org/officeDocument/2006/relationships/worksheet" Target="/xl/worksheets/sheet3.xml" Id="R9bf5d91f434f4119" /><Relationship Type="http://schemas.openxmlformats.org/officeDocument/2006/relationships/worksheet" Target="/xl/worksheets/sheet4.xml" Id="Rd7fffb31a6b748b2" /><Relationship Type="http://schemas.openxmlformats.org/officeDocument/2006/relationships/worksheet" Target="/xl/worksheets/sheet5.xml" Id="Re165c48dff9548c6" /><Relationship Type="http://schemas.openxmlformats.org/officeDocument/2006/relationships/worksheet" Target="/xl/worksheets/sheet6.xml" Id="R31fe2982e1504c63" /><Relationship Type="http://schemas.openxmlformats.org/officeDocument/2006/relationships/worksheet" Target="/xl/worksheets/sheet7.xml" Id="Radc10241dd2543af" /><Relationship Type="http://schemas.openxmlformats.org/officeDocument/2006/relationships/worksheet" Target="/xl/worksheets/sheet8.xml" Id="Rb9b29311feea4aa2" /><Relationship Type="http://schemas.openxmlformats.org/officeDocument/2006/relationships/worksheet" Target="/xl/worksheets/sheet9.xml" Id="R72694fe6b8a94b5d" /><Relationship Type="http://schemas.openxmlformats.org/officeDocument/2006/relationships/worksheet" Target="/xl/worksheets/sheet10.xml" Id="Rabf1671d1f7644a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2026-09-21</x:v>
      </x:c>
      <x:c r="C4" s="10" t="n">
        <x:v>7777.91</x:v>
      </x:c>
      <x:c r="D4" s="10" t="n">
        <x:v>7723.68</x:v>
      </x:c>
      <x:c r="E4" s="12" t="n">
        <x:v>54.2</x:v>
      </x:c>
      <x:c r="F4" s="9" t="n">
        <x:v>15</x:v>
      </x:c>
      <x:c r="G4" s="10" t="n">
        <x:v>1954.8</x:v>
      </x:c>
      <x:c r="H4" s="10" t="n">
        <x:v>130.3</x:v>
      </x:c>
      <x:c r="I4" s="10" t="n">
        <x:v>180</x:v>
      </x:c>
    </x:row>
    <x:row r="5">
      <x:c r="A5" s="9" t="str">
        <x:v>中证500</x:v>
      </x:c>
      <x:c r="B5" s="9" t="str">
        <x:v>2026-09-21</x:v>
      </x:c>
      <x:c r="C5" s="10" t="n">
        <x:v>7869.35</x:v>
      </x:c>
      <x:c r="D5" s="10" t="n">
        <x:v>7809.59</x:v>
      </x:c>
      <x:c r="E5" s="12" t="n">
        <x:v>59.8</x:v>
      </x:c>
      <x:c r="F5" s="9" t="n">
        <x:v>15</x:v>
      </x:c>
      <x:c r="G5" s="10" t="n">
        <x:v>1787.1</x:v>
      </x:c>
      <x:c r="H5" s="10" t="n">
        <x:v>119.1</x:v>
      </x:c>
      <x:c r="I5" s="10" t="n">
        <x:v>160</x:v>
      </x:c>
    </x:row>
    <x:row r="6">
      <x:c r="A6" s="9" t="str">
        <x:v>上证指数</x:v>
      </x:c>
      <x:c r="B6" s="9" t="str">
        <x:v>2026-09-21</x:v>
      </x:c>
      <x:c r="C6" s="10" t="n">
        <x:v>3950.94</x:v>
      </x:c>
      <x:c r="D6" s="10" t="n">
        <x:v>3918.13</x:v>
      </x:c>
      <x:c r="E6" s="12" t="n">
        <x:v>32.8</x:v>
      </x:c>
      <x:c r="F6" s="9" t="n">
        <x:v>15</x:v>
      </x:c>
      <x:c r="G6" s="10" t="n">
        <x:v>529.3</x:v>
      </x:c>
      <x:c r="H6" s="10" t="n">
        <x:v>35.3</x:v>
      </x:c>
      <x:c r="I6" s="10" t="n">
        <x:v>50</x:v>
      </x:c>
    </x:row>
    <x:row r="7">
      <x:c r="A7" s="9" t="str">
        <x:v>IM主力</x:v>
      </x:c>
      <x:c r="B7" s="9" t="str">
        <x:v>2026-09-21</x:v>
      </x:c>
      <x:c r="C7" s="10" t="n">
        <x:v>7599</x:v>
      </x:c>
      <x:c r="D7" s="10" t="n">
        <x:v>7527</x:v>
      </x:c>
      <x:c r="E7" s="12" t="n">
        <x:v>72</x:v>
      </x:c>
      <x:c r="F7" s="9" t="n">
        <x:v>15</x:v>
      </x:c>
      <x:c r="G7" s="10" t="n">
        <x:v>2192.2</x:v>
      </x:c>
      <x:c r="H7" s="10" t="n">
        <x:v>146.1</x:v>
      </x:c>
      <x:c r="I7" s="10" t="n">
        <x:v>190</x:v>
      </x:c>
    </x:row>
    <x:row r="8">
      <x:c r="A8" s="9" t="str">
        <x:v>IC主力</x:v>
      </x:c>
      <x:c r="B8" s="9" t="str">
        <x:v>2026-09-21</x:v>
      </x:c>
      <x:c r="C8" s="10" t="n">
        <x:v>7728</x:v>
      </x:c>
      <x:c r="D8" s="10" t="n">
        <x:v>7640</x:v>
      </x:c>
      <x:c r="E8" s="12" t="n">
        <x:v>88</x:v>
      </x:c>
      <x:c r="F8" s="9" t="n">
        <x:v>15</x:v>
      </x:c>
      <x:c r="G8" s="10" t="n">
        <x:v>2110</x:v>
      </x:c>
      <x:c r="H8" s="10" t="n">
        <x:v>140.7</x:v>
      </x:c>
      <x:c r="I8" s="10" t="n">
        <x:v>150</x:v>
      </x:c>
    </x:row>
    <x:row r="9">
      <x:c r="A9" s="9" t="str">
        <x:v>IF主力</x:v>
      </x:c>
      <x:c r="B9" s="9" t="str">
        <x:v>2026-09-21</x:v>
      </x:c>
      <x:c r="C9" s="10" t="n">
        <x:v>4474.6</x:v>
      </x:c>
      <x:c r="D9" s="10" t="n">
        <x:v>4434.8</x:v>
      </x:c>
      <x:c r="E9" s="12" t="n">
        <x:v>39.8</x:v>
      </x:c>
      <x:c r="F9" s="9" t="n">
        <x:v>15</x:v>
      </x:c>
      <x:c r="G9" s="10" t="n">
        <x:v>776.8</x:v>
      </x:c>
      <x:c r="H9" s="10" t="n">
        <x:v>51.8</x:v>
      </x:c>
      <x:c r="I9" s="10" t="n">
        <x:v>90</x:v>
      </x:c>
    </x:row>
    <x:row r="10">
      <x:c r="A10" s="9" t="str">
        <x:v>IH主力</x:v>
      </x:c>
      <x:c r="B10" s="9" t="str">
        <x:v>2026-09-21</x:v>
      </x:c>
      <x:c r="C10" s="10" t="n">
        <x:v>2849.8</x:v>
      </x:c>
      <x:c r="D10" s="10" t="n">
        <x:v>2822</x:v>
      </x:c>
      <x:c r="E10" s="12" t="n">
        <x:v>27.8</x:v>
      </x:c>
      <x:c r="F10" s="9" t="n">
        <x:v>15</x:v>
      </x:c>
      <x:c r="G10" s="10" t="n">
        <x:v>460.2</x:v>
      </x:c>
      <x:c r="H10" s="10" t="n">
        <x:v>30.7</x:v>
      </x:c>
      <x:c r="I10" s="10" t="n">
        <x:v>60</x:v>
      </x:c>
    </x:row>
    <x:row r="11">
      <x:c r="A11" s="9" t="str">
        <x:v>碳酸锂2610</x:v>
      </x:c>
      <x:c r="B11" s="9" t="str">
        <x:v>2026-09-21</x:v>
      </x:c>
      <x:c r="C11" s="10" t="n">
        <x:v>134800</x:v>
      </x:c>
      <x:c r="D11" s="10" t="n">
        <x:v>127100</x:v>
      </x:c>
      <x:c r="E11" s="12" t="n">
        <x:v>7700</x:v>
      </x:c>
      <x:c r="F11" s="9" t="n">
        <x:v>15</x:v>
      </x:c>
      <x:c r="G11" s="10" t="n">
        <x:v>89880</x:v>
      </x:c>
      <x:c r="H11" s="10" t="n">
        <x:v>5992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</x:v>
      </x:c>
      <x:c r="C8" s="23" t="n">
        <x:v>7723.68</x:v>
      </x:c>
      <x:c r="D8" s="23" t="n">
        <x:v>7777.91</x:v>
      </x:c>
      <x:c r="E8" s="23" t="n">
        <x:v>7723.68</x:v>
      </x:c>
      <x:c r="F8" s="23" t="n">
        <x:v>7766.33</x:v>
      </x:c>
      <x:c r="G8" s="23" t="n">
        <x:f>ROUND(F8-F7,1)</x:f>
        <x:v>78.7</x:v>
      </x:c>
      <x:c r="H8" s="24" t="n">
        <x:f>IFERROR(F8/F7-1,"")</x:f>
        <x:v>0.01024248171403519</x:v>
      </x:c>
      <x:c r="I8" s="23" t="n">
        <x:f>ROUND(D8-E8,1)</x:f>
        <x:v>54.2</x:v>
      </x:c>
      <x:c r="J8" s="22" t="str">
        <x:v>中证1000</x:v>
      </x:c>
      <x:c r="K8" s="22" t="n">
        <x:v>1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1180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295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9月1日-9月4日</x:v>
      </x:c>
      <x:c r="C14" s="23" t="n">
        <x:v>7944.29</x:v>
      </x:c>
      <x:c r="D14" s="23" t="n">
        <x:v>7955.57</x:v>
      </x:c>
      <x:c r="E14" s="23" t="n">
        <x:v>7610.58</x:v>
      </x:c>
      <x:c r="F14" s="23" t="n">
        <x:v>7652.69</x:v>
      </x:c>
      <x:c r="G14" s="23"/>
      <x:c r="H14" s="24"/>
      <x:c r="I14" s="26" t="n">
        <x:f>ROUND(D14-E14,1)</x:f>
        <x:v>345</x:v>
      </x:c>
      <x:c r="J14" s="22" t="str">
        <x:v>中证500</x:v>
      </x:c>
      <x:c r="K14" s="22" t="n">
        <x:v>4</x:v>
      </x:c>
    </x:row>
    <x:row r="15">
      <x:c r="A15" s="22" t="n">
        <x:v>2</x:v>
      </x:c>
      <x:c r="B15" s="22" t="str">
        <x:v>9月7日-9月11日</x:v>
      </x:c>
      <x:c r="C15" s="23" t="n">
        <x:v>7687.47</x:v>
      </x:c>
      <x:c r="D15" s="23" t="n">
        <x:v>7830.16</x:v>
      </x:c>
      <x:c r="E15" s="23" t="n">
        <x:v>7451.12</x:v>
      </x:c>
      <x:c r="F15" s="23" t="n">
        <x:v>7580.54</x:v>
      </x:c>
      <x:c r="G15" s="23" t="n">
        <x:f>ROUND(F15-F14,1)</x:f>
        <x:v>-72.1</x:v>
      </x:c>
      <x:c r="H15" s="24" t="n">
        <x:f>IFERROR(F15/F14-1,"")</x:f>
        <x:v>-0.009428057323633832</x:v>
      </x:c>
      <x:c r="I15" s="26" t="n">
        <x:f>ROUND(D15-E15,1)</x:f>
        <x:v>379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9月14日-9月18日</x:v>
      </x:c>
      <x:c r="C16" s="23" t="n">
        <x:v>7511.04</x:v>
      </x:c>
      <x:c r="D16" s="23" t="n">
        <x:v>7819.98</x:v>
      </x:c>
      <x:c r="E16" s="23" t="n">
        <x:v>7487.46</x:v>
      </x:c>
      <x:c r="F16" s="23" t="n">
        <x:v>7799.61</x:v>
      </x:c>
      <x:c r="G16" s="28" t="n">
        <x:f>ROUND(F16-F15,1)</x:f>
        <x:v>219.1</x:v>
      </x:c>
      <x:c r="H16" s="24" t="n">
        <x:f>IFERROR(F16/F15-1,"")</x:f>
        <x:v>0.028898996641400165</x:v>
      </x:c>
      <x:c r="I16" s="26" t="n">
        <x:f>ROUND(D16-E16,1)</x:f>
        <x:v>332.5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9月21日</x:v>
      </x:c>
      <x:c r="C17" s="23" t="n">
        <x:v>7829.82</x:v>
      </x:c>
      <x:c r="D17" s="23" t="n">
        <x:v>7869.35</x:v>
      </x:c>
      <x:c r="E17" s="23" t="n">
        <x:v>7809.59</x:v>
      </x:c>
      <x:c r="F17" s="23" t="n">
        <x:v>7850.48</x:v>
      </x:c>
      <x:c r="G17" s="23" t="n">
        <x:f>ROUND(F17-F16,1)</x:f>
        <x:v>50.9</x:v>
      </x:c>
      <x:c r="H17" s="24" t="n">
        <x:f>IFERROR(F17/F16-1,"")</x:f>
        <x:v>0.0065221209778436595</x:v>
      </x:c>
      <x:c r="I17" s="23" t="n">
        <x:f>ROUND(D17-E17,1)</x:f>
        <x:v>59.8</x:v>
      </x:c>
      <x:c r="J17" s="22" t="str">
        <x:v>中证500</x:v>
      </x:c>
      <x:c r="K17" s="22" t="n">
        <x:v>1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1116.3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279.1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9月1日-9月4日</x:v>
      </x:c>
      <x:c r="C23" s="23" t="n">
        <x:v>3979.88</x:v>
      </x:c>
      <x:c r="D23" s="23" t="n">
        <x:v>3995.18</x:v>
      </x:c>
      <x:c r="E23" s="23" t="n">
        <x:v>3915.22</x:v>
      </x:c>
      <x:c r="F23" s="23" t="n">
        <x:v>3930.12</x:v>
      </x:c>
      <x:c r="G23" s="23"/>
      <x:c r="H23" s="24"/>
      <x:c r="I23" s="26" t="n">
        <x:f>ROUND(D23-E23,1)</x:f>
        <x:v>80</x:v>
      </x:c>
      <x:c r="J23" s="22" t="str">
        <x:v>上证指数</x:v>
      </x:c>
      <x:c r="K23" s="22" t="n">
        <x:v>4</x:v>
      </x:c>
    </x:row>
    <x:row r="24">
      <x:c r="A24" s="22" t="n">
        <x:v>2</x:v>
      </x:c>
      <x:c r="B24" s="22" t="str">
        <x:v>9月7日-9月11日</x:v>
      </x:c>
      <x:c r="C24" s="23" t="n">
        <x:v>3942.51</x:v>
      </x:c>
      <x:c r="D24" s="23" t="n">
        <x:v>3958.12</x:v>
      </x:c>
      <x:c r="E24" s="23" t="n">
        <x:v>3852.03</x:v>
      </x:c>
      <x:c r="F24" s="23" t="n">
        <x:v>3888.11</x:v>
      </x:c>
      <x:c r="G24" s="23" t="n">
        <x:f>ROUND(F24-F23,1)</x:f>
        <x:v>-42</x:v>
      </x:c>
      <x:c r="H24" s="24" t="n">
        <x:f>IFERROR(F24/F23-1,"")</x:f>
        <x:v>-0.010689241040986008</x:v>
      </x:c>
      <x:c r="I24" s="26" t="n">
        <x:f>ROUND(D24-E24,1)</x:f>
        <x:v>106.1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9月14日-9月18日</x:v>
      </x:c>
      <x:c r="C25" s="23" t="n">
        <x:v>3867.02</x:v>
      </x:c>
      <x:c r="D25" s="23" t="n">
        <x:v>3919.67</x:v>
      </x:c>
      <x:c r="E25" s="23" t="n">
        <x:v>3842.72</x:v>
      </x:c>
      <x:c r="F25" s="23" t="n">
        <x:v>3911.87</x:v>
      </x:c>
      <x:c r="G25" s="23" t="n">
        <x:f>ROUND(F25-F24,1)</x:f>
        <x:v>23.8</x:v>
      </x:c>
      <x:c r="H25" s="24" t="n">
        <x:f>IFERROR(F25/F24-1,"")</x:f>
        <x:v>0.0061109382193405</x:v>
      </x:c>
      <x:c r="I25" s="26" t="n">
        <x:f>ROUND(D25-E25,1)</x:f>
        <x:v>77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9月21日</x:v>
      </x:c>
      <x:c r="C26" s="23" t="n">
        <x:v>3920.27</x:v>
      </x:c>
      <x:c r="D26" s="23" t="n">
        <x:v>3950.94</x:v>
      </x:c>
      <x:c r="E26" s="23" t="n">
        <x:v>3918.13</x:v>
      </x:c>
      <x:c r="F26" s="23" t="n">
        <x:v>3949.91</x:v>
      </x:c>
      <x:c r="G26" s="23" t="n">
        <x:f>ROUND(F26-F25,1)</x:f>
        <x:v>38</x:v>
      </x:c>
      <x:c r="H26" s="24" t="n">
        <x:f>IFERROR(F26/F25-1,"")</x:f>
        <x:v>0.009724249527719442</x:v>
      </x:c>
      <x:c r="I26" s="23" t="n">
        <x:f>ROUND(D26-E26,1)</x:f>
        <x:v>32.8</x:v>
      </x:c>
      <x:c r="J26" s="22" t="str">
        <x:v>上证指数</x:v>
      </x:c>
      <x:c r="K26" s="22" t="n">
        <x:v>1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295.9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74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9月1日-9月4日</x:v>
      </x:c>
      <x:c r="C32" s="23" t="n">
        <x:v>7713.4</x:v>
      </x:c>
      <x:c r="D32" s="23" t="n">
        <x:v>7721</x:v>
      </x:c>
      <x:c r="E32" s="23" t="n">
        <x:v>7432</x:v>
      </x:c>
      <x:c r="F32" s="23" t="n">
        <x:v>7468.2</x:v>
      </x:c>
      <x:c r="G32" s="23"/>
      <x:c r="H32" s="24"/>
      <x:c r="I32" s="26" t="n">
        <x:f>ROUND(D32-E32,1)</x:f>
        <x:v>289</x:v>
      </x:c>
      <x:c r="J32" s="22" t="str">
        <x:v>IM2609</x:v>
      </x:c>
      <x:c r="K32" s="22" t="n">
        <x:v>4</x:v>
      </x:c>
    </x:row>
    <x:row r="33">
      <x:c r="A33" s="22" t="n">
        <x:v>2</x:v>
      </x:c>
      <x:c r="B33" s="22" t="str">
        <x:v>9月7日-9月11日</x:v>
      </x:c>
      <x:c r="C33" s="23" t="n">
        <x:v>7527.2</x:v>
      </x:c>
      <x:c r="D33" s="23" t="n">
        <x:v>7714.6</x:v>
      </x:c>
      <x:c r="E33" s="23" t="n">
        <x:v>7259.4</x:v>
      </x:c>
      <x:c r="F33" s="23" t="n">
        <x:v>7415.2</x:v>
      </x:c>
      <x:c r="G33" s="23" t="n">
        <x:f>ROUND(F33-F32,1)</x:f>
        <x:v>-53</x:v>
      </x:c>
      <x:c r="H33" s="24" t="n">
        <x:f>IFERROR(F33/F32-1,"")</x:f>
        <x:v>-0.007096756915990432</x:v>
      </x:c>
      <x:c r="I33" s="26" t="n">
        <x:f>ROUND(D33-E33,1)</x:f>
        <x:v>455.2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9月14日-9月18日</x:v>
      </x:c>
      <x:c r="C34" s="23" t="n">
        <x:v>7312</x:v>
      </x:c>
      <x:c r="D34" s="23" t="n">
        <x:v>7712.4</x:v>
      </x:c>
      <x:c r="E34" s="23" t="n">
        <x:v>7283.4</x:v>
      </x:c>
      <x:c r="F34" s="23" t="n">
        <x:v>7679.2</x:v>
      </x:c>
      <x:c r="G34" s="28" t="n">
        <x:f>ROUND(F34-F33,1)</x:f>
        <x:v>264</x:v>
      </x:c>
      <x:c r="H34" s="24" t="n">
        <x:f>IFERROR(F34/F33-1,"")</x:f>
        <x:v>0.03560254612148017</x:v>
      </x:c>
      <x:c r="I34" s="26" t="n">
        <x:f>ROUND(D34-E34,1)</x:f>
        <x:v>429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9月21日</x:v>
      </x:c>
      <x:c r="C35" s="23" t="n">
        <x:v>7549</x:v>
      </x:c>
      <x:c r="D35" s="23" t="n">
        <x:v>7599</x:v>
      </x:c>
      <x:c r="E35" s="23" t="n">
        <x:v>7527</x:v>
      </x:c>
      <x:c r="F35" s="23" t="n">
        <x:v>7560.6</x:v>
      </x:c>
      <x:c r="G35" s="23" t="n">
        <x:f>ROUND(F35-F34,1)</x:f>
        <x:v>-118.6</x:v>
      </x:c>
      <x:c r="H35" s="24" t="n">
        <x:f>IFERROR(F35/F34-1,"")</x:f>
        <x:v>-0.01544431711636618</x:v>
      </x:c>
      <x:c r="I35" s="23" t="n">
        <x:f>ROUND(D35-E35,1)</x:f>
        <x:v>72</x:v>
      </x:c>
      <x:c r="J35" s="22" t="str">
        <x:v>IM2612</x:v>
      </x:c>
      <x:c r="K35" s="22" t="n">
        <x:v>1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1245.2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311.3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9月1日-9月4日</x:v>
      </x:c>
      <x:c r="C41" s="23" t="n">
        <x:v>7880.8</x:v>
      </x:c>
      <x:c r="D41" s="23" t="n">
        <x:v>7903</x:v>
      </x:c>
      <x:c r="E41" s="23" t="n">
        <x:v>7568</x:v>
      </x:c>
      <x:c r="F41" s="23" t="n">
        <x:v>7608</x:v>
      </x:c>
      <x:c r="G41" s="23"/>
      <x:c r="H41" s="24"/>
      <x:c r="I41" s="26" t="n">
        <x:f>ROUND(D41-E41,1)</x:f>
        <x:v>335</x:v>
      </x:c>
      <x:c r="J41" s="22" t="str">
        <x:v>IC2609</x:v>
      </x:c>
      <x:c r="K41" s="22" t="n">
        <x:v>4</x:v>
      </x:c>
    </x:row>
    <x:row r="42">
      <x:c r="A42" s="22" t="n">
        <x:v>2</x:v>
      </x:c>
      <x:c r="B42" s="22" t="str">
        <x:v>9月7日-9月11日</x:v>
      </x:c>
      <x:c r="C42" s="23" t="n">
        <x:v>7665.6</x:v>
      </x:c>
      <x:c r="D42" s="23" t="n">
        <x:v>7817.2</x:v>
      </x:c>
      <x:c r="E42" s="23" t="n">
        <x:v>7418.8</x:v>
      </x:c>
      <x:c r="F42" s="23" t="n">
        <x:v>7569</x:v>
      </x:c>
      <x:c r="G42" s="23" t="n">
        <x:f>ROUND(F42-F41,1)</x:f>
        <x:v>-39</x:v>
      </x:c>
      <x:c r="H42" s="24" t="n">
        <x:f>IFERROR(F42/F41-1,"")</x:f>
        <x:v>-0.005126182965299653</x:v>
      </x:c>
      <x:c r="I42" s="26" t="n">
        <x:f>ROUND(D42-E42,1)</x:f>
        <x:v>398.4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9月14日-9月18日</x:v>
      </x:c>
      <x:c r="C43" s="23" t="n">
        <x:v>7482.2</x:v>
      </x:c>
      <x:c r="D43" s="23" t="n">
        <x:v>7820</x:v>
      </x:c>
      <x:c r="E43" s="23" t="n">
        <x:v>7452.2</x:v>
      </x:c>
      <x:c r="F43" s="23" t="n">
        <x:v>7789.8</x:v>
      </x:c>
      <x:c r="G43" s="28" t="n">
        <x:f>ROUND(F43-F42,1)</x:f>
        <x:v>220.8</x:v>
      </x:c>
      <x:c r="H43" s="24" t="n">
        <x:f>IFERROR(F43/F42-1,"")</x:f>
        <x:v>0.02917162108600868</x:v>
      </x:c>
      <x:c r="I43" s="26" t="n">
        <x:f>ROUND(D43-E43,1)</x:f>
        <x:v>367.8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9月21日</x:v>
      </x:c>
      <x:c r="C44" s="23" t="n">
        <x:v>7688</x:v>
      </x:c>
      <x:c r="D44" s="23" t="n">
        <x:v>7728</x:v>
      </x:c>
      <x:c r="E44" s="23" t="n">
        <x:v>7640</x:v>
      </x:c>
      <x:c r="F44" s="23" t="n">
        <x:v>7672.6</x:v>
      </x:c>
      <x:c r="G44" s="23" t="n">
        <x:f>ROUND(F44-F43,1)</x:f>
        <x:v>-117.2</x:v>
      </x:c>
      <x:c r="H44" s="24" t="n">
        <x:f>IFERROR(F44/F43-1,"")</x:f>
        <x:v>-0.015045315669208414</x:v>
      </x:c>
      <x:c r="I44" s="23" t="n">
        <x:f>ROUND(D44-E44,1)</x:f>
        <x:v>88</x:v>
      </x:c>
      <x:c r="J44" s="22" t="str">
        <x:v>IC2612</x:v>
      </x:c>
      <x:c r="K44" s="22" t="n">
        <x:v>1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1189.2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297.3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9月1日-9月4日</x:v>
      </x:c>
      <x:c r="C50" s="23" t="n">
        <x:v>4602</x:v>
      </x:c>
      <x:c r="D50" s="23" t="n">
        <x:v>4617.8</x:v>
      </x:c>
      <x:c r="E50" s="23" t="n">
        <x:v>4497.6</x:v>
      </x:c>
      <x:c r="F50" s="23" t="n">
        <x:v>4537.4</x:v>
      </x:c>
      <x:c r="G50" s="23"/>
      <x:c r="H50" s="24"/>
      <x:c r="I50" s="26" t="n">
        <x:f>ROUND(D50-E50,1)</x:f>
        <x:v>120.2</x:v>
      </x:c>
      <x:c r="J50" s="22" t="str">
        <x:v>IF2609</x:v>
      </x:c>
      <x:c r="K50" s="22" t="n">
        <x:v>4</x:v>
      </x:c>
    </x:row>
    <x:row r="51">
      <x:c r="A51" s="22" t="n">
        <x:v>2</x:v>
      </x:c>
      <x:c r="B51" s="22" t="str">
        <x:v>9月7日-9月11日</x:v>
      </x:c>
      <x:c r="C51" s="23" t="n">
        <x:v>4562</x:v>
      </x:c>
      <x:c r="D51" s="23" t="n">
        <x:v>4584</x:v>
      </x:c>
      <x:c r="E51" s="23" t="n">
        <x:v>4451.6</x:v>
      </x:c>
      <x:c r="F51" s="23" t="n">
        <x:v>4503.4</x:v>
      </x:c>
      <x:c r="G51" s="23" t="n">
        <x:f>ROUND(F51-F50,1)</x:f>
        <x:v>-34</x:v>
      </x:c>
      <x:c r="H51" s="24" t="n">
        <x:f>IFERROR(F51/F50-1,"")</x:f>
        <x:v>-0.007493278088773314</x:v>
      </x:c>
      <x:c r="I51" s="26" t="n">
        <x:f>ROUND(D51-E51,1)</x:f>
        <x:v>132.4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9月14日-9月18日</x:v>
      </x:c>
      <x:c r="C52" s="23" t="n">
        <x:v>4468</x:v>
      </x:c>
      <x:c r="D52" s="23" t="n">
        <x:v>4520.6</x:v>
      </x:c>
      <x:c r="E52" s="23" t="n">
        <x:v>4412.2</x:v>
      </x:c>
      <x:c r="F52" s="23" t="n">
        <x:v>4508</x:v>
      </x:c>
      <x:c r="G52" s="23" t="n">
        <x:f>ROUND(F52-F51,1)</x:f>
        <x:v>4.6</x:v>
      </x:c>
      <x:c r="H52" s="24" t="n">
        <x:f>IFERROR(F52/F51-1,"")</x:f>
        <x:v>0.0010214504596528506</x:v>
      </x:c>
      <x:c r="I52" s="26" t="n">
        <x:f>ROUND(D52-E52,1)</x:f>
        <x:v>108.4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9月21日</x:v>
      </x:c>
      <x:c r="C53" s="23" t="n">
        <x:v>4451</x:v>
      </x:c>
      <x:c r="D53" s="23" t="n">
        <x:v>4474.6</x:v>
      </x:c>
      <x:c r="E53" s="23" t="n">
        <x:v>4434.8</x:v>
      </x:c>
      <x:c r="F53" s="23" t="n">
        <x:v>4464.8</x:v>
      </x:c>
      <x:c r="G53" s="23" t="n">
        <x:f>ROUND(F53-F52,1)</x:f>
        <x:v>-43.2</x:v>
      </x:c>
      <x:c r="H53" s="24" t="n">
        <x:f>IFERROR(F53/F52-1,"")</x:f>
        <x:v>-0.0095829636202307</x:v>
      </x:c>
      <x:c r="I53" s="23" t="n">
        <x:f>ROUND(D53-E53,1)</x:f>
        <x:v>39.8</x:v>
      </x:c>
      <x:c r="J53" s="22" t="str">
        <x:v>IF2612</x:v>
      </x:c>
      <x:c r="K53" s="22" t="n">
        <x:v>1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400.8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100.2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9月1日-9月4日</x:v>
      </x:c>
      <x:c r="C59" s="23" t="n">
        <x:v>2913</x:v>
      </x:c>
      <x:c r="D59" s="23" t="n">
        <x:v>2949.4</x:v>
      </x:c>
      <x:c r="E59" s="23" t="n">
        <x:v>2881.4</x:v>
      </x:c>
      <x:c r="F59" s="23" t="n">
        <x:v>2915.8</x:v>
      </x:c>
      <x:c r="G59" s="23"/>
      <x:c r="H59" s="24"/>
      <x:c r="I59" s="26" t="n">
        <x:f>ROUND(D59-E59,1)</x:f>
        <x:v>68</x:v>
      </x:c>
      <x:c r="J59" s="22" t="str">
        <x:v>IH2609</x:v>
      </x:c>
      <x:c r="K59" s="22" t="n">
        <x:v>4</x:v>
      </x:c>
    </x:row>
    <x:row r="60">
      <x:c r="A60" s="22" t="n">
        <x:v>2</x:v>
      </x:c>
      <x:c r="B60" s="22" t="str">
        <x:v>9月7日-9月11日</x:v>
      </x:c>
      <x:c r="C60" s="23" t="n">
        <x:v>2923.2</x:v>
      </x:c>
      <x:c r="D60" s="23" t="n">
        <x:v>2931.4</x:v>
      </x:c>
      <x:c r="E60" s="23" t="n">
        <x:v>2836.8</x:v>
      </x:c>
      <x:c r="F60" s="23" t="n">
        <x:v>2867</x:v>
      </x:c>
      <x:c r="G60" s="23" t="n">
        <x:f>ROUND(F60-F59,1)</x:f>
        <x:v>-48.8</x:v>
      </x:c>
      <x:c r="H60" s="24" t="n">
        <x:f>IFERROR(F60/F59-1,"")</x:f>
        <x:v>-0.01673640167364021</x:v>
      </x:c>
      <x:c r="I60" s="26" t="n">
        <x:f>ROUND(D60-E60,1)</x:f>
        <x:v>94.6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9月14日-9月18日</x:v>
      </x:c>
      <x:c r="C61" s="23" t="n">
        <x:v>2849.2</x:v>
      </x:c>
      <x:c r="D61" s="23" t="n">
        <x:v>2873.2</x:v>
      </x:c>
      <x:c r="E61" s="23" t="n">
        <x:v>2829.4</x:v>
      </x:c>
      <x:c r="F61" s="23" t="n">
        <x:v>2862.2</x:v>
      </x:c>
      <x:c r="G61" s="23" t="n">
        <x:f>ROUND(F61-F60,1)</x:f>
        <x:v>-4.8</x:v>
      </x:c>
      <x:c r="H61" s="24" t="n">
        <x:f>IFERROR(F61/F60-1,"")</x:f>
        <x:v>-0.0016742239274503135</x:v>
      </x:c>
      <x:c r="I61" s="23" t="n">
        <x:f>ROUND(D61-E61,1)</x:f>
        <x:v>43.8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9月21日</x:v>
      </x:c>
      <x:c r="C62" s="23" t="n">
        <x:v>2830</x:v>
      </x:c>
      <x:c r="D62" s="23" t="n">
        <x:v>2849.8</x:v>
      </x:c>
      <x:c r="E62" s="23" t="n">
        <x:v>2822</x:v>
      </x:c>
      <x:c r="F62" s="23" t="n">
        <x:v>2847.4</x:v>
      </x:c>
      <x:c r="G62" s="23" t="n">
        <x:f>ROUND(F62-F61,1)</x:f>
        <x:v>-14.8</x:v>
      </x:c>
      <x:c r="H62" s="24" t="n">
        <x:f>IFERROR(F62/F61-1,"")</x:f>
        <x:v>-0.005170847599748396</x:v>
      </x:c>
      <x:c r="I62" s="23" t="n">
        <x:f>ROUND(D62-E62,1)</x:f>
        <x:v>27.8</x:v>
      </x:c>
      <x:c r="J62" s="22" t="str">
        <x:v>IH2612</x:v>
      </x:c>
      <x:c r="K62" s="22" t="n">
        <x:v>1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234.2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58.6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9月1日-9月4日</x:v>
      </x:c>
      <x:c r="C68" s="23" t="n">
        <x:v>159280</x:v>
      </x:c>
      <x:c r="D68" s="23" t="n">
        <x:v>161280</x:v>
      </x:c>
      <x:c r="E68" s="23" t="n">
        <x:v>140220</x:v>
      </x:c>
      <x:c r="F68" s="23" t="n">
        <x:v>142000</x:v>
      </x:c>
      <x:c r="G68" s="23"/>
      <x:c r="H68" s="24"/>
      <x:c r="I68" s="26" t="n">
        <x:f>ROUND(D68-E68,1)</x:f>
        <x:v>21060</x:v>
      </x:c>
      <x:c r="J68" s="22" t="str">
        <x:v>LC2610</x:v>
      </x:c>
      <x:c r="K68" s="22" t="n">
        <x:v>4</x:v>
      </x:c>
    </x:row>
    <x:row r="69">
      <x:c r="A69" s="22" t="n">
        <x:v>2</x:v>
      </x:c>
      <x:c r="B69" s="22" t="str">
        <x:v>9月7日-9月11日</x:v>
      </x:c>
      <x:c r="C69" s="23" t="n">
        <x:v>141000</x:v>
      </x:c>
      <x:c r="D69" s="23" t="n">
        <x:v>143540</x:v>
      </x:c>
      <x:c r="E69" s="23" t="n">
        <x:v>127120</x:v>
      </x:c>
      <x:c r="F69" s="23" t="n">
        <x:v>134340</x:v>
      </x:c>
      <x:c r="G69" s="28" t="n">
        <x:f>ROUND(F69-F68,1)</x:f>
        <x:v>-7660</x:v>
      </x:c>
      <x:c r="H69" s="24" t="n">
        <x:f>IFERROR(F69/F68-1,"")</x:f>
        <x:v>-0.05394366197183098</x:v>
      </x:c>
      <x:c r="I69" s="26" t="n">
        <x:f>ROUND(D69-E69,1)</x:f>
        <x:v>16420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9月14日-9月18日</x:v>
      </x:c>
      <x:c r="C70" s="23" t="n">
        <x:v>133600</x:v>
      </x:c>
      <x:c r="D70" s="23" t="n">
        <x:v>135900</x:v>
      </x:c>
      <x:c r="E70" s="23" t="n">
        <x:v>126200</x:v>
      </x:c>
      <x:c r="F70" s="23" t="n">
        <x:v>128580</x:v>
      </x:c>
      <x:c r="G70" s="28" t="n">
        <x:f>ROUND(F70-F69,1)</x:f>
        <x:v>-5760</x:v>
      </x:c>
      <x:c r="H70" s="24" t="n">
        <x:f>IFERROR(F70/F69-1,"")</x:f>
        <x:v>-0.04287628405538191</x:v>
      </x:c>
      <x:c r="I70" s="26" t="n">
        <x:f>ROUND(D70-E70,1)</x:f>
        <x:v>9700</x:v>
      </x:c>
      <x:c r="J70" s="22" t="str">
        <x:v>LC2610</x:v>
      </x:c>
      <x:c r="K70" s="22" t="n">
        <x:v>5</x:v>
      </x:c>
    </x:row>
    <x:row r="71">
      <x:c r="A71" s="22" t="n">
        <x:v>4</x:v>
      </x:c>
      <x:c r="B71" s="22" t="str">
        <x:v>9月21日</x:v>
      </x:c>
      <x:c r="C71" s="23" t="n">
        <x:v>128500</x:v>
      </x:c>
      <x:c r="D71" s="23" t="n">
        <x:v>134800</x:v>
      </x:c>
      <x:c r="E71" s="23" t="n">
        <x:v>127100</x:v>
      </x:c>
      <x:c r="F71" s="23" t="n">
        <x:v>133500</x:v>
      </x:c>
      <x:c r="G71" s="28" t="n">
        <x:f>ROUND(F71-F70,1)</x:f>
        <x:v>4920</x:v>
      </x:c>
      <x:c r="H71" s="24" t="n">
        <x:f>IFERROR(F71/F70-1,"")</x:f>
        <x:v>0.038264115725618275</x:v>
      </x:c>
      <x:c r="I71" s="26" t="n">
        <x:f>ROUND(D71-E71,1)</x:f>
        <x:v>7700</x:v>
      </x:c>
      <x:c r="J71" s="22" t="str">
        <x:v>LC2610</x:v>
      </x:c>
      <x:c r="K71" s="22" t="n">
        <x:v>1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54880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13720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1954.8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130.3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1787.0999999999997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119.1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529.3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35.3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2192.2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146.1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2110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140.7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776.7999999999998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51.8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460.2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30.7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89880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5992</x:v>
      </x:c>
      <x:c r="K22" s="30"/>
    </x:row>
  </x:sheetData>
  <x:mergeCells>
    <x:mergeCell ref="A1:K1"/>
  </x:mergeCells>
  <x:pageMargins left="0.7" right="0.7" top="0.75" bottom="0.75" header="0.3" footer="0.3"/>
</x:worksheet>
</file>