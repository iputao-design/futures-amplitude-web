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27c8e63ef34c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9bdd3e5cb794024"/>
    <x:sheet xmlns:r="http://schemas.openxmlformats.org/officeDocument/2006/relationships" name="中证1000" sheetId="2" r:id="R3e60d3916414416e"/>
    <x:sheet xmlns:r="http://schemas.openxmlformats.org/officeDocument/2006/relationships" name="中证500" sheetId="3" r:id="R658ef4cbc5994f41"/>
    <x:sheet xmlns:r="http://schemas.openxmlformats.org/officeDocument/2006/relationships" name="上证指数" sheetId="4" r:id="Rba894c1ec1c64c92"/>
    <x:sheet xmlns:r="http://schemas.openxmlformats.org/officeDocument/2006/relationships" name="IM主力" sheetId="5" r:id="R39a72d6c91904221"/>
    <x:sheet xmlns:r="http://schemas.openxmlformats.org/officeDocument/2006/relationships" name="IC主力" sheetId="6" r:id="Rd358df731760489a"/>
    <x:sheet xmlns:r="http://schemas.openxmlformats.org/officeDocument/2006/relationships" name="IF主力" sheetId="7" r:id="R96f9a9d047c04617"/>
    <x:sheet xmlns:r="http://schemas.openxmlformats.org/officeDocument/2006/relationships" name="IH主力" sheetId="8" r:id="R08ddc178ad2b4b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e066d7fb704d9e" /><Relationship Type="http://schemas.openxmlformats.org/officeDocument/2006/relationships/theme" Target="/xl/theme/theme1.xml" Id="R09995fb8367e4f1c" /><Relationship Type="http://schemas.openxmlformats.org/officeDocument/2006/relationships/sharedStrings" Target="/xl/sharedStrings.xml" Id="R3821a2abce064bd0" /><Relationship Type="http://schemas.openxmlformats.org/officeDocument/2006/relationships/worksheet" Target="/xl/worksheets/sheet1.xml" Id="R99bdd3e5cb794024" /><Relationship Type="http://schemas.openxmlformats.org/officeDocument/2006/relationships/worksheet" Target="/xl/worksheets/sheet2.xml" Id="R3e60d3916414416e" /><Relationship Type="http://schemas.openxmlformats.org/officeDocument/2006/relationships/worksheet" Target="/xl/worksheets/sheet3.xml" Id="R658ef4cbc5994f41" /><Relationship Type="http://schemas.openxmlformats.org/officeDocument/2006/relationships/worksheet" Target="/xl/worksheets/sheet4.xml" Id="Rba894c1ec1c64c92" /><Relationship Type="http://schemas.openxmlformats.org/officeDocument/2006/relationships/worksheet" Target="/xl/worksheets/sheet5.xml" Id="R39a72d6c91904221" /><Relationship Type="http://schemas.openxmlformats.org/officeDocument/2006/relationships/worksheet" Target="/xl/worksheets/sheet6.xml" Id="Rd358df731760489a" /><Relationship Type="http://schemas.openxmlformats.org/officeDocument/2006/relationships/worksheet" Target="/xl/worksheets/sheet7.xml" Id="R96f9a9d047c04617" /><Relationship Type="http://schemas.openxmlformats.org/officeDocument/2006/relationships/worksheet" Target="/xl/worksheets/sheet8.xml" Id="R08ddc178ad2b4b9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2026-07-20</x:v>
      </x:c>
      <x:c r="C4" s="10" t="n">
        <x:v>7298.122</x:v>
      </x:c>
      <x:c r="D4" s="10" t="n">
        <x:v>6824.145</x:v>
      </x:c>
      <x:c r="E4" s="12" t="n">
        <x:v>474</x:v>
      </x:c>
      <x:c r="F4" s="9" t="n">
        <x:v>14</x:v>
      </x:c>
      <x:c r="G4" s="10" t="n">
        <x:v>3896.6</x:v>
      </x:c>
      <x:c r="H4" s="10" t="n">
        <x:v>278.3</x:v>
      </x:c>
      <x:c r="I4" s="10" t="n">
        <x:v>180</x:v>
      </x:c>
    </x:row>
    <x:row r="5">
      <x:c r="A5" s="9" t="str">
        <x:v>中证500</x:v>
      </x:c>
      <x:c r="B5" s="9" t="str">
        <x:v>2026-07-20</x:v>
      </x:c>
      <x:c r="C5" s="10" t="n">
        <x:v>7626.489</x:v>
      </x:c>
      <x:c r="D5" s="10" t="n">
        <x:v>7253.518</x:v>
      </x:c>
      <x:c r="E5" s="12" t="n">
        <x:v>373</x:v>
      </x:c>
      <x:c r="F5" s="9" t="n">
        <x:v>14</x:v>
      </x:c>
      <x:c r="G5" s="10" t="n">
        <x:v>3932.9</x:v>
      </x:c>
      <x:c r="H5" s="10" t="n">
        <x:v>280.9</x:v>
      </x:c>
      <x:c r="I5" s="10" t="n">
        <x:v>160</x:v>
      </x:c>
    </x:row>
    <x:row r="6">
      <x:c r="A6" s="9" t="str">
        <x:v>上证指数</x:v>
      </x:c>
      <x:c r="B6" s="9" t="str">
        <x:v>2026-07-20</x:v>
      </x:c>
      <x:c r="C6" s="10" t="n">
        <x:v>3831.659</x:v>
      </x:c>
      <x:c r="D6" s="10" t="n">
        <x:v>3741.11</x:v>
      </x:c>
      <x:c r="E6" s="12" t="n">
        <x:v>90.5</x:v>
      </x:c>
      <x:c r="F6" s="9" t="n">
        <x:v>14</x:v>
      </x:c>
      <x:c r="G6" s="10" t="n">
        <x:v>1022.7</x:v>
      </x:c>
      <x:c r="H6" s="10" t="n">
        <x:v>73.1</x:v>
      </x:c>
      <x:c r="I6" s="10" t="n">
        <x:v>50</x:v>
      </x:c>
    </x:row>
    <x:row r="7">
      <x:c r="A7" s="9" t="str">
        <x:v>IM主力</x:v>
      </x:c>
      <x:c r="B7" s="9" t="str">
        <x:v>2026-07-20</x:v>
      </x:c>
      <x:c r="C7" s="10" t="n">
        <x:v>7237</x:v>
      </x:c>
      <x:c r="D7" s="10" t="n">
        <x:v>6652.2</x:v>
      </x:c>
      <x:c r="E7" s="12" t="n">
        <x:v>584.8</x:v>
      </x:c>
      <x:c r="F7" s="9" t="n">
        <x:v>14</x:v>
      </x:c>
      <x:c r="G7" s="10" t="n">
        <x:v>3729.8</x:v>
      </x:c>
      <x:c r="H7" s="10" t="n">
        <x:v>266.4</x:v>
      </x:c>
      <x:c r="I7" s="10" t="n">
        <x:v>190</x:v>
      </x:c>
    </x:row>
    <x:row r="8">
      <x:c r="A8" s="9" t="str">
        <x:v>IC主力</x:v>
      </x:c>
      <x:c r="B8" s="9" t="str">
        <x:v>2026-07-20</x:v>
      </x:c>
      <x:c r="C8" s="10" t="n">
        <x:v>7561.8</x:v>
      </x:c>
      <x:c r="D8" s="10" t="n">
        <x:v>7092</x:v>
      </x:c>
      <x:c r="E8" s="12" t="n">
        <x:v>469.8</x:v>
      </x:c>
      <x:c r="F8" s="9" t="n">
        <x:v>14</x:v>
      </x:c>
      <x:c r="G8" s="10" t="n">
        <x:v>3861.6</x:v>
      </x:c>
      <x:c r="H8" s="10" t="n">
        <x:v>275.8</x:v>
      </x:c>
      <x:c r="I8" s="10" t="n">
        <x:v>150</x:v>
      </x:c>
    </x:row>
    <x:row r="9">
      <x:c r="A9" s="9" t="str">
        <x:v>IF主力</x:v>
      </x:c>
      <x:c r="B9" s="9" t="str">
        <x:v>2026-07-20</x:v>
      </x:c>
      <x:c r="C9" s="10" t="n">
        <x:v>4590</x:v>
      </x:c>
      <x:c r="D9" s="10" t="n">
        <x:v>4465</x:v>
      </x:c>
      <x:c r="E9" s="12" t="n">
        <x:v>125</x:v>
      </x:c>
      <x:c r="F9" s="9" t="n">
        <x:v>14</x:v>
      </x:c>
      <x:c r="G9" s="10" t="n">
        <x:v>1451.2</x:v>
      </x:c>
      <x:c r="H9" s="10" t="n">
        <x:v>103.7</x:v>
      </x:c>
      <x:c r="I9" s="10" t="n">
        <x:v>90</x:v>
      </x:c>
    </x:row>
    <x:row r="10">
      <x:c r="A10" s="9" t="str">
        <x:v>IH主力</x:v>
      </x:c>
      <x:c r="B10" s="9" t="str">
        <x:v>2026-07-20</x:v>
      </x:c>
      <x:c r="C10" s="10" t="n">
        <x:v>2884.6</x:v>
      </x:c>
      <x:c r="D10" s="10" t="n">
        <x:v>2820</x:v>
      </x:c>
      <x:c r="E10" s="12" t="n">
        <x:v>64.6</x:v>
      </x:c>
      <x:c r="F10" s="9" t="n">
        <x:v>14</x:v>
      </x:c>
      <x:c r="G10" s="10" t="n">
        <x:v>795.8</x:v>
      </x:c>
      <x:c r="H10" s="10" t="n">
        <x:v>56.8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2026-07-20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3896.6000000000004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278.3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3932.9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280.9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1022.6999999999999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73.1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3729.8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266.4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3861.6000000000004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275.8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1451.2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103.7</x:v>
      </x:c>
      <x:c r="K21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20">
      <x:c r="A20" s="38" t="str">
        <x:v>合计</x:v>
      </x:c>
      <x:c r="B20" s="39" t="n">
        <x:v>14</x:v>
      </x:c>
      <x:c r="C20" s="39"/>
      <x:c r="D20" s="39"/>
      <x:c r="E20" s="39"/>
      <x:c r="F20" s="39"/>
      <x:c r="G20" s="39"/>
      <x:c r="H20" s="39"/>
      <x:c r="I20" s="39"/>
      <x:c r="J20" s="40" t="n">
        <x:f>SUM(J4:J17)</x:f>
        <x:v>795.8000000000001</x:v>
      </x:c>
      <x:c r="K20" s="39"/>
    </x:row>
    <x:row r="21">
      <x:c r="A21" s="38" t="str">
        <x:v>均值</x:v>
      </x:c>
      <x:c r="B21" s="39"/>
      <x:c r="C21" s="39"/>
      <x:c r="D21" s="39"/>
      <x:c r="E21" s="39"/>
      <x:c r="F21" s="39"/>
      <x:c r="G21" s="39"/>
      <x:c r="H21" s="39"/>
      <x:c r="I21" s="39"/>
      <x:c r="J21" s="42" t="n">
        <x:f>ROUND(IFERROR(AVERAGE(J4:J17),0),1)</x:f>
        <x:v>56.8</x:v>
      </x:c>
      <x:c r="K21" s="39"/>
    </x:row>
  </x:sheetData>
  <x:mergeCells>
    <x:mergeCell ref="A1:K1"/>
  </x:mergeCells>
  <x:pageMargins left="0.7" right="0.7" top="0.75" bottom="0.75" header="0.3" footer="0.3"/>
</x:worksheet>
</file>