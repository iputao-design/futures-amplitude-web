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ba76fb4a743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eb99358909e4470"/>
    <x:sheet xmlns:r="http://schemas.openxmlformats.org/officeDocument/2006/relationships" name="周振幅统计" sheetId="2" r:id="Rab4098f4a80c46cf"/>
    <x:sheet xmlns:r="http://schemas.openxmlformats.org/officeDocument/2006/relationships" name="中证1000" sheetId="3" r:id="R69789068a91d4475"/>
    <x:sheet xmlns:r="http://schemas.openxmlformats.org/officeDocument/2006/relationships" name="中证500" sheetId="4" r:id="R72b6a386f42347dd"/>
    <x:sheet xmlns:r="http://schemas.openxmlformats.org/officeDocument/2006/relationships" name="上证指数" sheetId="5" r:id="Rd02a9c305cf64837"/>
    <x:sheet xmlns:r="http://schemas.openxmlformats.org/officeDocument/2006/relationships" name="IM主力" sheetId="6" r:id="R0aace50fe9a5411b"/>
    <x:sheet xmlns:r="http://schemas.openxmlformats.org/officeDocument/2006/relationships" name="IC主力" sheetId="7" r:id="Rd6f3951509a244f8"/>
    <x:sheet xmlns:r="http://schemas.openxmlformats.org/officeDocument/2006/relationships" name="IF主力" sheetId="8" r:id="Red87e8a83e134046"/>
    <x:sheet xmlns:r="http://schemas.openxmlformats.org/officeDocument/2006/relationships" name="IH主力" sheetId="9" r:id="Rf636a6311d77490a"/>
    <x:sheet xmlns:r="http://schemas.openxmlformats.org/officeDocument/2006/relationships" name="碳酸锂2610" sheetId="10" r:id="Rcf686a871c8842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7735d7f53f497e" /><Relationship Type="http://schemas.openxmlformats.org/officeDocument/2006/relationships/theme" Target="/xl/theme/theme1.xml" Id="R4e443d909608444c" /><Relationship Type="http://schemas.openxmlformats.org/officeDocument/2006/relationships/sharedStrings" Target="/xl/sharedStrings.xml" Id="R9de084a1573f45a3" /><Relationship Type="http://schemas.openxmlformats.org/officeDocument/2006/relationships/worksheet" Target="/xl/worksheets/sheet1.xml" Id="Rbeb99358909e4470" /><Relationship Type="http://schemas.openxmlformats.org/officeDocument/2006/relationships/worksheet" Target="/xl/worksheets/sheet2.xml" Id="Rab4098f4a80c46cf" /><Relationship Type="http://schemas.openxmlformats.org/officeDocument/2006/relationships/worksheet" Target="/xl/worksheets/sheet3.xml" Id="R69789068a91d4475" /><Relationship Type="http://schemas.openxmlformats.org/officeDocument/2006/relationships/worksheet" Target="/xl/worksheets/sheet4.xml" Id="R72b6a386f42347dd" /><Relationship Type="http://schemas.openxmlformats.org/officeDocument/2006/relationships/worksheet" Target="/xl/worksheets/sheet5.xml" Id="Rd02a9c305cf64837" /><Relationship Type="http://schemas.openxmlformats.org/officeDocument/2006/relationships/worksheet" Target="/xl/worksheets/sheet6.xml" Id="R0aace50fe9a5411b" /><Relationship Type="http://schemas.openxmlformats.org/officeDocument/2006/relationships/worksheet" Target="/xl/worksheets/sheet7.xml" Id="Rd6f3951509a244f8" /><Relationship Type="http://schemas.openxmlformats.org/officeDocument/2006/relationships/worksheet" Target="/xl/worksheets/sheet8.xml" Id="Red87e8a83e134046" /><Relationship Type="http://schemas.openxmlformats.org/officeDocument/2006/relationships/worksheet" Target="/xl/worksheets/sheet9.xml" Id="Rf636a6311d77490a" /><Relationship Type="http://schemas.openxmlformats.org/officeDocument/2006/relationships/worksheet" Target="/xl/worksheets/sheet10.xml" Id="Rcf686a871c8842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21</x:v>
      </x:c>
      <x:c r="G4" s="10" t="n">
        <x:v>2760.2</x:v>
      </x:c>
      <x:c r="H4" s="10" t="n">
        <x:v>131.4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21</x:v>
      </x:c>
      <x:c r="G5" s="10" t="n">
        <x:v>2501.4</x:v>
      </x:c>
      <x:c r="H5" s="10" t="n">
        <x:v>119.1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21</x:v>
      </x:c>
      <x:c r="G6" s="10" t="n">
        <x:v>733.6</x:v>
      </x:c>
      <x:c r="H6" s="10" t="n">
        <x:v>34.9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21</x:v>
      </x:c>
      <x:c r="G7" s="10" t="n">
        <x:v>3049.6</x:v>
      </x:c>
      <x:c r="H7" s="10" t="n">
        <x:v>145.2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21</x:v>
      </x:c>
      <x:c r="G8" s="10" t="n">
        <x:v>2939</x:v>
      </x:c>
      <x:c r="H8" s="10" t="n">
        <x:v>140</x:v>
      </x:c>
      <x:c r="I8" s="10" t="n">
        <x:v>150</x:v>
      </x:c>
    </x:row>
    <x:row r="9">
      <x:c r="A9" s="9" t="str">
        <x:v>IF主力</x:v>
      </x:c>
      <x:c r="B9" s="9" t="str">
        <x:v>2026-09-29</x:v>
      </x:c>
      <x:c r="C9" s="10" t="n">
        <x:v>4297.4</x:v>
      </x:c>
      <x:c r="D9" s="10" t="n">
        <x:v>4257.6</x:v>
      </x:c>
      <x:c r="E9" s="12" t="n">
        <x:v>39.8</x:v>
      </x:c>
      <x:c r="F9" s="9" t="n">
        <x:v>20</x:v>
      </x:c>
      <x:c r="G9" s="10" t="n">
        <x:v>1089.6</x:v>
      </x:c>
      <x:c r="H9" s="10" t="n">
        <x:v>54.5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21</x:v>
      </x:c>
      <x:c r="G10" s="10" t="n">
        <x:v>657.8</x:v>
      </x:c>
      <x:c r="H10" s="10" t="n">
        <x:v>31.3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20</x:v>
      </x:c>
      <x:c r="G11" s="10" t="n">
        <x:v>117840</x:v>
      </x:c>
      <x:c r="H11" s="10" t="n">
        <x:v>5892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9月28日-9月30日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7298.82</x:v>
      </x:c>
      <x:c r="G9" s="28" t="n">
        <x:f>ROUND(F9-F8,1)</x:f>
        <x:v>-271.3</x:v>
      </x:c>
      <x:c r="H9" s="24" t="n">
        <x:f>IFERROR(F9/F8-1,"")</x:f>
        <x:v>-0.03584081668238637</x:v>
      </x:c>
      <x:c r="I9" s="26" t="n">
        <x:f>ROUND(D9-E9,1)</x:f>
        <x:v>304.6</x:v>
      </x:c>
      <x:c r="J9" s="22" t="str">
        <x:v>中证1000</x:v>
      </x:c>
      <x:c r="K9" s="22" t="n">
        <x:v>3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9月28日-9月30日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7435.16</x:v>
      </x:c>
      <x:c r="G19" s="28" t="n">
        <x:f>ROUND(F19-F18,1)</x:f>
        <x:v>-188.9</x:v>
      </x:c>
      <x:c r="H19" s="24" t="n">
        <x:f>IFERROR(F19/F18-1,"")</x:f>
        <x:v>-0.02477810408351444</x:v>
      </x:c>
      <x:c r="I19" s="26" t="n">
        <x:f>ROUND(D19-E19,1)</x:f>
        <x:v>236.7</x:v>
      </x:c>
      <x:c r="J19" s="22" t="str">
        <x:v>中证500</x:v>
      </x:c>
      <x:c r="K19" s="22" t="n">
        <x:v>3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9月28日-9月30日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3842.19</x:v>
      </x:c>
      <x:c r="G29" s="23" t="n">
        <x:f>ROUND(F29-F28,1)</x:f>
        <x:v>-46.2</x:v>
      </x:c>
      <x:c r="H29" s="24" t="n">
        <x:f>IFERROR(F29/F28-1,"")</x:f>
        <x:v>-0.011876441799520077</x:v>
      </x:c>
      <x:c r="I29" s="26" t="n">
        <x:f>ROUND(D29-E29,1)</x:f>
        <x:v>71.7</x:v>
      </x:c>
      <x:c r="J29" s="22" t="str">
        <x:v>上证指数</x:v>
      </x:c>
      <x:c r="K29" s="22" t="n">
        <x:v>3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9月28日-9月30日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7168.8</x:v>
      </x:c>
      <x:c r="G39" s="28" t="n">
        <x:f>ROUND(F39-F38,1)</x:f>
        <x:v>-222.2</x:v>
      </x:c>
      <x:c r="H39" s="24" t="n">
        <x:f>IFERROR(F39/F38-1,"")</x:f>
        <x:v>-0.030063590853740996</x:v>
      </x:c>
      <x:c r="I39" s="26" t="n">
        <x:f>ROUND(D39-E39,1)</x:f>
        <x:v>316.8</x:v>
      </x:c>
      <x:c r="J39" s="22" t="str">
        <x:v>IM2612</x:v>
      </x:c>
      <x:c r="K39" s="22" t="n">
        <x:v>3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9月28日-9月30日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7310.2</x:v>
      </x:c>
      <x:c r="G49" s="23" t="n">
        <x:f>ROUND(F49-F48,1)</x:f>
        <x:v>-141.4</x:v>
      </x:c>
      <x:c r="H49" s="24" t="n">
        <x:f>IFERROR(F49/F48-1,"")</x:f>
        <x:v>-0.018975790434269224</x:v>
      </x:c>
      <x:c r="I49" s="26" t="n">
        <x:f>ROUND(D49-E49,1)</x:f>
        <x:v>272.4</x:v>
      </x:c>
      <x:c r="J49" s="22" t="str">
        <x:v>IC2612</x:v>
      </x:c>
      <x:c r="K49" s="22" t="n">
        <x:v>3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9月28日-9月29日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4277.2</x:v>
      </x:c>
      <x:c r="G59" s="23" t="n">
        <x:f>ROUND(F59-F58,1)</x:f>
        <x:v>-97.8</x:v>
      </x:c>
      <x:c r="H59" s="24" t="n">
        <x:f>IFERROR(F59/F58-1,"")</x:f>
        <x:v>-0.02235428571428577</x:v>
      </x:c>
      <x:c r="I59" s="26" t="n">
        <x:f>ROUND(D59-E59,1)</x:f>
        <x:v>120.8</x:v>
      </x:c>
      <x:c r="J59" s="22" t="str">
        <x:v>IF2612</x:v>
      </x:c>
      <x:c r="K59" s="22" t="n">
        <x:v>2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9月28日-9月30日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2778.8</x:v>
      </x:c>
      <x:c r="G69" s="23" t="n">
        <x:f>ROUND(F69-F68,1)</x:f>
        <x:v>-25.8</x:v>
      </x:c>
      <x:c r="H69" s="24" t="n">
        <x:f>IFERROR(F69/F68-1,"")</x:f>
        <x:v>-0.009199172787563215</x:v>
      </x:c>
      <x:c r="I69" s="23" t="n">
        <x:f>ROUND(D69-E69,1)</x:f>
        <x:v>57.8</x:v>
      </x:c>
      <x:c r="J69" s="22" t="str">
        <x:v>IH2612</x:v>
      </x:c>
      <x:c r="K69" s="22" t="n">
        <x:v>3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9月28日-9月29日</x:v>
      </x:c>
      <x:c r="C79" s="23" t="n">
        <x:v>124280</x:v>
      </x:c>
      <x:c r="D79" s="23" t="n">
        <x:v>124660</x:v>
      </x:c>
      <x:c r="E79" s="23" t="n">
        <x:v>118100</x:v>
      </x:c>
      <x:c r="F79" s="23" t="n">
        <x:v>120000</x:v>
      </x:c>
      <x:c r="G79" s="28" t="n">
        <x:f>ROUND(F79-F78,1)</x:f>
        <x:v>-5980</x:v>
      </x:c>
      <x:c r="H79" s="24" t="n">
        <x:f>IFERROR(F79/F78-1,"")</x:f>
        <x:v>-0.047467852040006364</x:v>
      </x:c>
      <x:c r="I79" s="26" t="n">
        <x:f>ROUND(D79-E79,1)</x:f>
        <x:v>6560</x:v>
      </x:c>
      <x:c r="J79" s="22" t="str">
        <x:v>LC2610</x:v>
      </x:c>
      <x:c r="K79" s="22" t="n">
        <x:v>2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65300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13060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7265.51</x:v>
      </x:c>
      <x:c r="E23" s="23" t="n">
        <x:v>7357.03</x:v>
      </x:c>
      <x:c r="F23" s="23" t="n">
        <x:v>7256.25</x:v>
      </x:c>
      <x:c r="G23" s="23" t="n">
        <x:v>7325.35</x:v>
      </x:c>
      <x:c r="H23" s="23" t="n">
        <x:v>31.2</x:v>
      </x:c>
      <x:c r="I23" s="24" t="n">
        <x:v>0.004274646738422705</x:v>
      </x:c>
      <x:c r="J23" s="23" t="n">
        <x:f>ROUND(E23-F23,1)</x:f>
        <x:v>100.8</x:v>
      </x:c>
      <x:c r="K23" s="22" t="str">
        <x:v>中证1000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7361.14</x:v>
      </x:c>
      <x:c r="E24" s="23" t="n">
        <x:v>7375.44</x:v>
      </x:c>
      <x:c r="F24" s="23" t="n">
        <x:v>7288.98</x:v>
      </x:c>
      <x:c r="G24" s="23" t="n">
        <x:v>7298.82</x:v>
      </x:c>
      <x:c r="H24" s="23" t="n">
        <x:v>-26.5</x:v>
      </x:c>
      <x:c r="I24" s="24" t="n">
        <x:v>-0.0036216699543367703</x:v>
      </x:c>
      <x:c r="J24" s="23" t="n">
        <x:f>ROUND(E24-F24,1)</x:f>
        <x:v>86.5</x:v>
      </x:c>
      <x:c r="K24" s="22" t="str">
        <x:v>中证1000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2760.2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131.4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7388.11</x:v>
      </x:c>
      <x:c r="E23" s="23" t="n">
        <x:v>7473.7</x:v>
      </x:c>
      <x:c r="F23" s="23" t="n">
        <x:v>7386.14</x:v>
      </x:c>
      <x:c r="G23" s="23" t="n">
        <x:v>7439.63</x:v>
      </x:c>
      <x:c r="H23" s="23" t="n">
        <x:v>37.3</x:v>
      </x:c>
      <x:c r="I23" s="24" t="n">
        <x:v>0.005043027167231706</x:v>
      </x:c>
      <x:c r="J23" s="23" t="n">
        <x:f>ROUND(E23-F23,1)</x:f>
        <x:v>87.6</x:v>
      </x:c>
      <x:c r="K23" s="22" t="str">
        <x:v>中证500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7469.05</x:v>
      </x:c>
      <x:c r="E24" s="23" t="n">
        <x:v>7485.11</x:v>
      </x:c>
      <x:c r="F24" s="23" t="n">
        <x:v>7417.49</x:v>
      </x:c>
      <x:c r="G24" s="23" t="n">
        <x:v>7435.16</x:v>
      </x:c>
      <x:c r="H24" s="23" t="n">
        <x:v>-4.5</x:v>
      </x:c>
      <x:c r="I24" s="24" t="n">
        <x:v>-0.0006008363319144339</x:v>
      </x:c>
      <x:c r="J24" s="23" t="n">
        <x:f>ROUND(E24-F24,1)</x:f>
        <x:v>67.6</x:v>
      </x:c>
      <x:c r="K24" s="22" t="str">
        <x:v>中证500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2501.399999999999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119.1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3816.15</x:v>
      </x:c>
      <x:c r="E23" s="23" t="n">
        <x:v>3843.84</x:v>
      </x:c>
      <x:c r="F23" s="23" t="n">
        <x:v>3810.81</x:v>
      </x:c>
      <x:c r="G23" s="23" t="n">
        <x:v>3830.45</x:v>
      </x:c>
      <x:c r="H23" s="23" t="n">
        <x:v>6.8</x:v>
      </x:c>
      <x:c r="I23" s="24" t="n">
        <x:v>0.0017862653715587928</x:v>
      </x:c>
      <x:c r="J23" s="23" t="n">
        <x:f>ROUND(E23-F23,1)</x:f>
        <x:v>33</x:v>
      </x:c>
      <x:c r="K23" s="22" t="str">
        <x:v>上证指数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3839.25</x:v>
      </x:c>
      <x:c r="E24" s="23" t="n">
        <x:v>3851.22</x:v>
      </x:c>
      <x:c r="F24" s="23" t="n">
        <x:v>3833.09</x:v>
      </x:c>
      <x:c r="G24" s="23" t="n">
        <x:v>3842.19</x:v>
      </x:c>
      <x:c r="H24" s="23" t="n">
        <x:v>11.7</x:v>
      </x:c>
      <x:c r="I24" s="24" t="n">
        <x:v>0.0030649140440419664</x:v>
      </x:c>
      <x:c r="J24" s="23" t="n">
        <x:f>ROUND(E24-F24,1)</x:f>
        <x:v>18.1</x:v>
      </x:c>
      <x:c r="K24" s="22" t="str">
        <x:v>上证指数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733.6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34.9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7144</x:v>
      </x:c>
      <x:c r="E23" s="23" t="n">
        <x:v>7226.4</x:v>
      </x:c>
      <x:c r="F23" s="23" t="n">
        <x:v>7123</x:v>
      </x:c>
      <x:c r="G23" s="23" t="n">
        <x:v>7191.2</x:v>
      </x:c>
      <x:c r="H23" s="23" t="n">
        <x:v>34</x:v>
      </x:c>
      <x:c r="I23" s="24" t="n">
        <x:v>0.004750461074163104</x:v>
      </x:c>
      <x:c r="J23" s="23" t="n">
        <x:f>ROUND(E23-F23,1)</x:f>
        <x:v>103.4</x:v>
      </x:c>
      <x:c r="K23" s="22" t="str">
        <x:v>IM2612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7223.6</x:v>
      </x:c>
      <x:c r="E24" s="23" t="n">
        <x:v>7232</x:v>
      </x:c>
      <x:c r="F24" s="23" t="n">
        <x:v>7153</x:v>
      </x:c>
      <x:c r="G24" s="23" t="n">
        <x:v>7168.8</x:v>
      </x:c>
      <x:c r="H24" s="23" t="n">
        <x:v>-22.4</x:v>
      </x:c>
      <x:c r="I24" s="24" t="n">
        <x:v>-0.003114918233396269</x:v>
      </x:c>
      <x:c r="J24" s="23" t="n">
        <x:f>ROUND(E24-F24,1)</x:f>
        <x:v>79</x:v>
      </x:c>
      <x:c r="K24" s="22" t="str">
        <x:v>IM2612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3049.6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145.2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7270</x:v>
      </x:c>
      <x:c r="E23" s="23" t="n">
        <x:v>7352.8</x:v>
      </x:c>
      <x:c r="F23" s="23" t="n">
        <x:v>7238</x:v>
      </x:c>
      <x:c r="G23" s="23" t="n">
        <x:v>7309.6</x:v>
      </x:c>
      <x:c r="H23" s="23" t="n">
        <x:v>39.6</x:v>
      </x:c>
      <x:c r="I23" s="24" t="n">
        <x:v>0.005447042640990496</x:v>
      </x:c>
      <x:c r="J23" s="23" t="n">
        <x:f>ROUND(E23-F23,1)</x:f>
        <x:v>114.8</x:v>
      </x:c>
      <x:c r="K23" s="22" t="str">
        <x:v>IC2612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7332</x:v>
      </x:c>
      <x:c r="E24" s="23" t="n">
        <x:v>7344</x:v>
      </x:c>
      <x:c r="F24" s="23" t="n">
        <x:v>7282</x:v>
      </x:c>
      <x:c r="G24" s="23" t="n">
        <x:v>7310.2</x:v>
      </x:c>
      <x:c r="H24" s="23" t="n">
        <x:v>0.6</x:v>
      </x:c>
      <x:c r="I24" s="24" t="n">
        <x:v>0.00008208383495666993</x:v>
      </x:c>
      <x:c r="J24" s="23" t="n">
        <x:f>ROUND(E24-F24,1)</x:f>
        <x:v>62</x:v>
      </x:c>
      <x:c r="K24" s="22" t="str">
        <x:v>IC2612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2939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140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4271</x:v>
      </x:c>
      <x:c r="E23" s="23" t="n">
        <x:v>4297.4</x:v>
      </x:c>
      <x:c r="F23" s="23" t="n">
        <x:v>4257.6</x:v>
      </x:c>
      <x:c r="G23" s="23" t="n">
        <x:v>4277.2</x:v>
      </x:c>
      <x:c r="H23" s="23" t="n">
        <x:v>-3.6</x:v>
      </x:c>
      <x:c r="I23" s="24" t="n">
        <x:v>-0.000840964305737324</x:v>
      </x:c>
      <x:c r="J23" s="23" t="n">
        <x:f>ROUND(E23-F23,1)</x:f>
        <x:v>39.8</x:v>
      </x:c>
      <x:c r="K23" s="22" t="str">
        <x:v>IF2612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1089.6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54.5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2769.2</x:v>
      </x:c>
      <x:c r="E23" s="23" t="n">
        <x:v>2777.8</x:v>
      </x:c>
      <x:c r="F23" s="23" t="n">
        <x:v>2752</x:v>
      </x:c>
      <x:c r="G23" s="23" t="n">
        <x:v>2763.6</x:v>
      </x:c>
      <x:c r="H23" s="23" t="n">
        <x:v>-6.6</x:v>
      </x:c>
      <x:c r="I23" s="24" t="n">
        <x:v>-0.0023824994585228687</x:v>
      </x:c>
      <x:c r="J23" s="23" t="n">
        <x:f>ROUND(E23-F23,1)</x:f>
        <x:v>25.8</x:v>
      </x:c>
      <x:c r="K23" s="22" t="str">
        <x:v>IH2612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2769.6</x:v>
      </x:c>
      <x:c r="E24" s="23" t="n">
        <x:v>2782.2</x:v>
      </x:c>
      <x:c r="F24" s="23" t="n">
        <x:v>2762</x:v>
      </x:c>
      <x:c r="G24" s="23" t="n">
        <x:v>2778.8</x:v>
      </x:c>
      <x:c r="H24" s="23" t="n">
        <x:v>15.2</x:v>
      </x:c>
      <x:c r="I24" s="24" t="n">
        <x:v>0.005500072369373443</x:v>
      </x:c>
      <x:c r="J24" s="23" t="n">
        <x:f>ROUND(E24-F24,1)</x:f>
        <x:v>20.2</x:v>
      </x:c>
      <x:c r="K24" s="22" t="str">
        <x:v>IH2612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657.8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31.3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119080</x:v>
      </x:c>
      <x:c r="E23" s="23" t="n">
        <x:v>122480</x:v>
      </x:c>
      <x:c r="F23" s="23" t="n">
        <x:v>118100</x:v>
      </x:c>
      <x:c r="G23" s="23" t="n">
        <x:v>120000</x:v>
      </x:c>
      <x:c r="H23" s="23" t="n">
        <x:v>20</x:v>
      </x:c>
      <x:c r="I23" s="24" t="n">
        <x:v>0.00016669444907480013</x:v>
      </x:c>
      <x:c r="J23" s="23" t="n">
        <x:f>ROUND(E23-F23,1)</x:f>
        <x:v>4380</x:v>
      </x:c>
      <x:c r="K23" s="22" t="str">
        <x:v>LC2610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117840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5892</x:v>
      </x:c>
      <x:c r="K27" s="30"/>
    </x:row>
  </x:sheetData>
  <x:mergeCells>
    <x:mergeCell ref="A1:K1"/>
  </x:mergeCells>
  <x:pageMargins left="0.7" right="0.7" top="0.75" bottom="0.75" header="0.3" footer="0.3"/>
</x:worksheet>
</file>