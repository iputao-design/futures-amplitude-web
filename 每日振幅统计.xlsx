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03994aefeb4a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834f71009204e72"/>
    <x:sheet xmlns:r="http://schemas.openxmlformats.org/officeDocument/2006/relationships" name="周振幅统计" sheetId="2" r:id="Rbb9922ace82045e9"/>
    <x:sheet xmlns:r="http://schemas.openxmlformats.org/officeDocument/2006/relationships" name="中证1000" sheetId="3" r:id="Rf5b9d785544b4b99"/>
    <x:sheet xmlns:r="http://schemas.openxmlformats.org/officeDocument/2006/relationships" name="中证500" sheetId="4" r:id="Rdbdb1c5d96ba4a32"/>
    <x:sheet xmlns:r="http://schemas.openxmlformats.org/officeDocument/2006/relationships" name="上证指数" sheetId="5" r:id="R78f14a59bdd24910"/>
    <x:sheet xmlns:r="http://schemas.openxmlformats.org/officeDocument/2006/relationships" name="IM主力" sheetId="6" r:id="R479b397834d542ee"/>
    <x:sheet xmlns:r="http://schemas.openxmlformats.org/officeDocument/2006/relationships" name="IC主力" sheetId="7" r:id="R47c0d5543ef44199"/>
    <x:sheet xmlns:r="http://schemas.openxmlformats.org/officeDocument/2006/relationships" name="IF主力" sheetId="8" r:id="R1395b0f3dd7f4db2"/>
    <x:sheet xmlns:r="http://schemas.openxmlformats.org/officeDocument/2006/relationships" name="IH主力" sheetId="9" r:id="Rf4f9d07d3f2d4970"/>
    <x:sheet xmlns:r="http://schemas.openxmlformats.org/officeDocument/2006/relationships" name="碳酸锂2610" sheetId="10" r:id="R232877d2cdfd44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3731f4a6654ee4" /><Relationship Type="http://schemas.openxmlformats.org/officeDocument/2006/relationships/theme" Target="/xl/theme/theme1.xml" Id="R69814568b4214ba2" /><Relationship Type="http://schemas.openxmlformats.org/officeDocument/2006/relationships/sharedStrings" Target="/xl/sharedStrings.xml" Id="R1e0657ccd6bb4d84" /><Relationship Type="http://schemas.openxmlformats.org/officeDocument/2006/relationships/worksheet" Target="/xl/worksheets/sheet1.xml" Id="R6834f71009204e72" /><Relationship Type="http://schemas.openxmlformats.org/officeDocument/2006/relationships/worksheet" Target="/xl/worksheets/sheet2.xml" Id="Rbb9922ace82045e9" /><Relationship Type="http://schemas.openxmlformats.org/officeDocument/2006/relationships/worksheet" Target="/xl/worksheets/sheet3.xml" Id="Rf5b9d785544b4b99" /><Relationship Type="http://schemas.openxmlformats.org/officeDocument/2006/relationships/worksheet" Target="/xl/worksheets/sheet4.xml" Id="Rdbdb1c5d96ba4a32" /><Relationship Type="http://schemas.openxmlformats.org/officeDocument/2006/relationships/worksheet" Target="/xl/worksheets/sheet5.xml" Id="R78f14a59bdd24910" /><Relationship Type="http://schemas.openxmlformats.org/officeDocument/2006/relationships/worksheet" Target="/xl/worksheets/sheet6.xml" Id="R479b397834d542ee" /><Relationship Type="http://schemas.openxmlformats.org/officeDocument/2006/relationships/worksheet" Target="/xl/worksheets/sheet7.xml" Id="R47c0d5543ef44199" /><Relationship Type="http://schemas.openxmlformats.org/officeDocument/2006/relationships/worksheet" Target="/xl/worksheets/sheet8.xml" Id="R1395b0f3dd7f4db2" /><Relationship Type="http://schemas.openxmlformats.org/officeDocument/2006/relationships/worksheet" Target="/xl/worksheets/sheet9.xml" Id="Rf4f9d07d3f2d4970" /><Relationship Type="http://schemas.openxmlformats.org/officeDocument/2006/relationships/worksheet" Target="/xl/worksheets/sheet10.xml" Id="R232877d2cdfd44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2026-10-30</x:v>
      </x:c>
      <x:c r="C4" s="10" t="n">
        <x:v>6428.58</x:v>
      </x:c>
      <x:c r="D4" s="10" t="n">
        <x:v>6161.23</x:v>
      </x:c>
      <x:c r="E4" s="12" t="n">
        <x:v>267.4</x:v>
      </x:c>
      <x:c r="F4" s="9" t="n">
        <x:v>17</x:v>
      </x:c>
      <x:c r="G4" s="10" t="n">
        <x:v>3595.2</x:v>
      </x:c>
      <x:c r="H4" s="10" t="n">
        <x:v>211.5</x:v>
      </x:c>
      <x:c r="I4" s="10" t="n">
        <x:v>180</x:v>
      </x:c>
    </x:row>
    <x:row r="5">
      <x:c r="A5" s="9" t="str">
        <x:v>中证500</x:v>
      </x:c>
      <x:c r="B5" s="9" t="str">
        <x:v>2026-10-30</x:v>
      </x:c>
      <x:c r="C5" s="10" t="n">
        <x:v>6483.01</x:v>
      </x:c>
      <x:c r="D5" s="10" t="n">
        <x:v>6266.19</x:v>
      </x:c>
      <x:c r="E5" s="12" t="n">
        <x:v>216.8</x:v>
      </x:c>
      <x:c r="F5" s="9" t="n">
        <x:v>17</x:v>
      </x:c>
      <x:c r="G5" s="10" t="n">
        <x:v>3301.3</x:v>
      </x:c>
      <x:c r="H5" s="10" t="n">
        <x:v>194.2</x:v>
      </x:c>
      <x:c r="I5" s="10" t="n">
        <x:v>160</x:v>
      </x:c>
    </x:row>
    <x:row r="6">
      <x:c r="A6" s="9" t="str">
        <x:v>上证指数</x:v>
      </x:c>
      <x:c r="B6" s="9" t="str">
        <x:v>2026-10-30</x:v>
      </x:c>
      <x:c r="C6" s="10" t="n">
        <x:v>3660.21</x:v>
      </x:c>
      <x:c r="D6" s="10" t="n">
        <x:v>3595.26</x:v>
      </x:c>
      <x:c r="E6" s="12" t="n">
        <x:v>64.9</x:v>
      </x:c>
      <x:c r="F6" s="9" t="n">
        <x:v>17</x:v>
      </x:c>
      <x:c r="G6" s="10" t="n">
        <x:v>961.3</x:v>
      </x:c>
      <x:c r="H6" s="10" t="n">
        <x:v>56.5</x:v>
      </x:c>
      <x:c r="I6" s="10" t="n">
        <x:v>50</x:v>
      </x:c>
    </x:row>
    <x:row r="7">
      <x:c r="A7" s="9" t="str">
        <x:v>IM主力</x:v>
      </x:c>
      <x:c r="B7" s="9" t="str">
        <x:v>2026-10-29</x:v>
      </x:c>
      <x:c r="C7" s="10" t="n">
        <x:v>6465</x:v>
      </x:c>
      <x:c r="D7" s="10" t="n">
        <x:v>6289</x:v>
      </x:c>
      <x:c r="E7" s="12" t="n">
        <x:v>176</x:v>
      </x:c>
      <x:c r="F7" s="9" t="n">
        <x:v>16</x:v>
      </x:c>
      <x:c r="G7" s="10" t="n">
        <x:v>3586</x:v>
      </x:c>
      <x:c r="H7" s="10" t="n">
        <x:v>224.1</x:v>
      </x:c>
      <x:c r="I7" s="10" t="n">
        <x:v>190</x:v>
      </x:c>
    </x:row>
    <x:row r="8">
      <x:c r="A8" s="9" t="str">
        <x:v>IC主力</x:v>
      </x:c>
      <x:c r="B8" s="9" t="str">
        <x:v>2026-10-30</x:v>
      </x:c>
      <x:c r="C8" s="10" t="n">
        <x:v>6416.8</x:v>
      </x:c>
      <x:c r="D8" s="10" t="n">
        <x:v>6186</x:v>
      </x:c>
      <x:c r="E8" s="12" t="n">
        <x:v>230.8</x:v>
      </x:c>
      <x:c r="F8" s="9" t="n">
        <x:v>17</x:v>
      </x:c>
      <x:c r="G8" s="10" t="n">
        <x:v>3679.6</x:v>
      </x:c>
      <x:c r="H8" s="10" t="n">
        <x:v>216.4</x:v>
      </x:c>
      <x:c r="I8" s="10" t="n">
        <x:v>150</x:v>
      </x:c>
    </x:row>
    <x:row r="9">
      <x:c r="A9" s="9" t="str">
        <x:v>IF主力</x:v>
      </x:c>
      <x:c r="B9" s="9" t="str">
        <x:v>2026-10-30</x:v>
      </x:c>
      <x:c r="C9" s="10" t="n">
        <x:v>4000.8</x:v>
      </x:c>
      <x:c r="D9" s="10" t="n">
        <x:v>3914.2</x:v>
      </x:c>
      <x:c r="E9" s="12" t="n">
        <x:v>86.6</x:v>
      </x:c>
      <x:c r="F9" s="9" t="n">
        <x:v>17</x:v>
      </x:c>
      <x:c r="G9" s="10" t="n">
        <x:v>1379.4</x:v>
      </x:c>
      <x:c r="H9" s="10" t="n">
        <x:v>81.1</x:v>
      </x:c>
      <x:c r="I9" s="10" t="n">
        <x:v>90</x:v>
      </x:c>
    </x:row>
    <x:row r="10">
      <x:c r="A10" s="9" t="str">
        <x:v>IH主力</x:v>
      </x:c>
      <x:c r="B10" s="9" t="str">
        <x:v>2026-10-29</x:v>
      </x:c>
      <x:c r="C10" s="10" t="n">
        <x:v>2728.8</x:v>
      </x:c>
      <x:c r="D10" s="10" t="n">
        <x:v>2696.4</x:v>
      </x:c>
      <x:c r="E10" s="12" t="n">
        <x:v>32.4</x:v>
      </x:c>
      <x:c r="F10" s="9" t="n">
        <x:v>16</x:v>
      </x:c>
      <x:c r="G10" s="10" t="n">
        <x:v>703.4</x:v>
      </x:c>
      <x:c r="H10" s="10" t="n">
        <x:v>44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10月26日-10月30日</x:v>
      </x:c>
      <x:c r="C8" s="23" t="n">
        <x:v>6684.93</x:v>
      </x:c>
      <x:c r="D8" s="23" t="n">
        <x:v>6717.99</x:v>
      </x:c>
      <x:c r="E8" s="23" t="n">
        <x:v>6161.23</x:v>
      </x:c>
      <x:c r="F8" s="23" t="n">
        <x:v>6161.23</x:v>
      </x:c>
      <x:c r="G8" s="28" t="n">
        <x:f>ROUND(F8-F7,1)</x:f>
        <x:v>-573.3</x:v>
      </x:c>
      <x:c r="H8" s="24" t="n">
        <x:f>IFERROR(F8/F7-1,"")</x:f>
        <x:v>-0.08513115204430888</x:v>
      </x:c>
      <x:c r="I8" s="26" t="n">
        <x:f>ROUND(D8-E8,1)</x:f>
        <x:v>556.8</x:v>
      </x:c>
      <x:c r="J8" s="22" t="str">
        <x:v>中证1000</x:v>
      </x:c>
      <x:c r="K8" s="22" t="n">
        <x:v>5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2095.4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523.8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10月26日-10月30日</x:v>
      </x:c>
      <x:c r="C17" s="23" t="n">
        <x:v>6756.46</x:v>
      </x:c>
      <x:c r="D17" s="23" t="n">
        <x:v>6787.32</x:v>
      </x:c>
      <x:c r="E17" s="23" t="n">
        <x:v>6266.19</x:v>
      </x:c>
      <x:c r="F17" s="23" t="n">
        <x:v>6266.19</x:v>
      </x:c>
      <x:c r="G17" s="28" t="n">
        <x:f>ROUND(F17-F16,1)</x:f>
        <x:v>-548.2</x:v>
      </x:c>
      <x:c r="H17" s="24" t="n">
        <x:f>IFERROR(F17/F16-1,"")</x:f>
        <x:v>-0.08045415323929772</x:v>
      </x:c>
      <x:c r="I17" s="26" t="n">
        <x:f>ROUND(D17-E17,1)</x:f>
        <x:v>521.1</x:v>
      </x:c>
      <x:c r="J17" s="22" t="str">
        <x:v>中证500</x:v>
      </x:c>
      <x:c r="K17" s="22" t="n">
        <x:v>5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1952.1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488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10月26日-10月30日</x:v>
      </x:c>
      <x:c r="C26" s="23" t="n">
        <x:v>3671</x:v>
      </x:c>
      <x:c r="D26" s="23" t="n">
        <x:v>3708.2</x:v>
      </x:c>
      <x:c r="E26" s="23" t="n">
        <x:v>3595.26</x:v>
      </x:c>
      <x:c r="F26" s="23" t="n">
        <x:v>3599.02</x:v>
      </x:c>
      <x:c r="G26" s="23" t="n">
        <x:f>ROUND(F26-F25,1)</x:f>
        <x:v>-91.5</x:v>
      </x:c>
      <x:c r="H26" s="24" t="n">
        <x:f>IFERROR(F26/F25-1,"")</x:f>
        <x:v>-0.024782684095293828</x:v>
      </x:c>
      <x:c r="I26" s="26" t="n">
        <x:f>ROUND(D26-E26,1)</x:f>
        <x:v>112.9</x:v>
      </x:c>
      <x:c r="J26" s="22" t="str">
        <x:v>上证指数</x:v>
      </x:c>
      <x:c r="K26" s="22" t="n">
        <x:v>5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545.8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136.5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10月26日-10月29日</x:v>
      </x:c>
      <x:c r="C35" s="23" t="n">
        <x:v>6618</x:v>
      </x:c>
      <x:c r="D35" s="23" t="n">
        <x:v>6670.8</x:v>
      </x:c>
      <x:c r="E35" s="23" t="n">
        <x:v>6289</x:v>
      </x:c>
      <x:c r="F35" s="23" t="n">
        <x:v>6304.4</x:v>
      </x:c>
      <x:c r="G35" s="28" t="n">
        <x:f>ROUND(F35-F34,1)</x:f>
        <x:v>-355.6</x:v>
      </x:c>
      <x:c r="H35" s="24" t="n">
        <x:f>IFERROR(F35/F34-1,"")</x:f>
        <x:v>-0.05339339339339344</x:v>
      </x:c>
      <x:c r="I35" s="26" t="n">
        <x:f>ROUND(D35-E35,1)</x:f>
        <x:v>381.8</x:v>
      </x:c>
      <x:c r="J35" s="22" t="str">
        <x:v>IM2612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1913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478.3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10月26日-10月30日</x:v>
      </x:c>
      <x:c r="C44" s="23" t="n">
        <x:v>6700</x:v>
      </x:c>
      <x:c r="D44" s="23" t="n">
        <x:v>6732.2</x:v>
      </x:c>
      <x:c r="E44" s="23" t="n">
        <x:v>6186</x:v>
      </x:c>
      <x:c r="F44" s="23" t="n">
        <x:v>6187.2</x:v>
      </x:c>
      <x:c r="G44" s="28" t="n">
        <x:f>ROUND(F44-F43,1)</x:f>
        <x:v>-554.8</x:v>
      </x:c>
      <x:c r="H44" s="24" t="n">
        <x:f>IFERROR(F44/F43-1,"")</x:f>
        <x:v>-0.08229012162563043</x:v>
      </x:c>
      <x:c r="I44" s="26" t="n">
        <x:f>ROUND(D44-E44,1)</x:f>
        <x:v>546.2</x:v>
      </x:c>
      <x:c r="J44" s="22" t="str">
        <x:v>IC2612</x:v>
      </x:c>
      <x:c r="K44" s="22" t="n">
        <x:v>5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2025.6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506.4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10月26日-10月30日</x:v>
      </x:c>
      <x:c r="C53" s="23" t="n">
        <x:v>4034</x:v>
      </x:c>
      <x:c r="D53" s="23" t="n">
        <x:v>4066.6</x:v>
      </x:c>
      <x:c r="E53" s="23" t="n">
        <x:v>3914.2</x:v>
      </x:c>
      <x:c r="F53" s="23" t="n">
        <x:v>3928</x:v>
      </x:c>
      <x:c r="G53" s="23" t="n">
        <x:f>ROUND(F53-F52,1)</x:f>
        <x:v>-127</x:v>
      </x:c>
      <x:c r="H53" s="24" t="n">
        <x:f>IFERROR(F53/F52-1,"")</x:f>
        <x:v>-0.03131935881627623</x:v>
      </x:c>
      <x:c r="I53" s="26" t="n">
        <x:f>ROUND(D53-E53,1)</x:f>
        <x:v>152.4</x:v>
      </x:c>
      <x:c r="J53" s="22" t="str">
        <x:v>IF2612</x:v>
      </x:c>
      <x:c r="K53" s="22" t="n">
        <x:v>5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774.6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193.7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10月26日-10月29日</x:v>
      </x:c>
      <x:c r="C62" s="23" t="n">
        <x:v>2711</x:v>
      </x:c>
      <x:c r="D62" s="23" t="n">
        <x:v>2732.2</x:v>
      </x:c>
      <x:c r="E62" s="23" t="n">
        <x:v>2691.2</x:v>
      </x:c>
      <x:c r="F62" s="23" t="n">
        <x:v>2714</x:v>
      </x:c>
      <x:c r="G62" s="23" t="n">
        <x:f>ROUND(F62-F61,1)</x:f>
        <x:v>-5</x:v>
      </x:c>
      <x:c r="H62" s="24" t="n">
        <x:f>IFERROR(F62/F61-1,"")</x:f>
        <x:v>-0.0018389113644722288</x:v>
      </x:c>
      <x:c r="I62" s="23" t="n">
        <x:f>ROUND(D62-E62,1)</x:f>
        <x:v>41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337.4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84.4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6538.05</x:v>
      </x:c>
      <x:c r="E19" s="23" t="n">
        <x:v>6538.05</x:v>
      </x:c>
      <x:c r="F19" s="23" t="n">
        <x:v>6378.01</x:v>
      </x:c>
      <x:c r="G19" s="23" t="n">
        <x:v>6378.78</x:v>
      </x:c>
      <x:c r="H19" s="28" t="n">
        <x:v>-199.3</x:v>
      </x:c>
      <x:c r="I19" s="24" t="n">
        <x:v>-0.030300542709901124</x:v>
      </x:c>
      <x:c r="J19" s="23" t="n">
        <x:f>ROUND(E19-F19,1)</x:f>
        <x:v>160</x:v>
      </x:c>
      <x:c r="K19" s="22" t="str">
        <x:v>中证1000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6243.98</x:v>
      </x:c>
      <x:c r="E20" s="23" t="n">
        <x:v>6428.58</x:v>
      </x:c>
      <x:c r="F20" s="23" t="n">
        <x:v>6161.23</x:v>
      </x:c>
      <x:c r="G20" s="23" t="n">
        <x:v>6161.23</x:v>
      </x:c>
      <x:c r="H20" s="28" t="n">
        <x:v>-217.6</x:v>
      </x:c>
      <x:c r="I20" s="24" t="n">
        <x:v>-0.034105267778478</x:v>
      </x:c>
      <x:c r="J20" s="26" t="n">
        <x:f>ROUND(E20-F20,1)</x:f>
        <x:v>267.4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3595.2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211.5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6604.65</x:v>
      </x:c>
      <x:c r="E19" s="23" t="n">
        <x:v>6604.65</x:v>
      </x:c>
      <x:c r="F19" s="23" t="n">
        <x:v>6450.54</x:v>
      </x:c>
      <x:c r="G19" s="23" t="n">
        <x:v>6453.72</x:v>
      </x:c>
      <x:c r="H19" s="28" t="n">
        <x:v>-187.2</x:v>
      </x:c>
      <x:c r="I19" s="24" t="n">
        <x:v>-0.028184475273645537</x:v>
      </x:c>
      <x:c r="J19" s="23" t="n">
        <x:f>ROUND(E19-F19,1)</x:f>
        <x:v>154.1</x:v>
      </x:c>
      <x:c r="K19" s="22" t="str">
        <x:v>中证500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6318.16</x:v>
      </x:c>
      <x:c r="E20" s="23" t="n">
        <x:v>6483.01</x:v>
      </x:c>
      <x:c r="F20" s="23" t="n">
        <x:v>6266.19</x:v>
      </x:c>
      <x:c r="G20" s="23" t="n">
        <x:v>6266.19</x:v>
      </x:c>
      <x:c r="H20" s="28" t="n">
        <x:v>-187.5</x:v>
      </x:c>
      <x:c r="I20" s="24" t="n">
        <x:v>-0.029057659768319755</x:v>
      </x:c>
      <x:c r="J20" s="26" t="n">
        <x:f>ROUND(E20-F20,1)</x:f>
        <x:v>216.8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3301.3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194.2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3676.77</x:v>
      </x:c>
      <x:c r="E19" s="23" t="n">
        <x:v>3678.46</x:v>
      </x:c>
      <x:c r="F19" s="23" t="n">
        <x:v>3645.26</x:v>
      </x:c>
      <x:c r="G19" s="23" t="n">
        <x:v>3651.43</x:v>
      </x:c>
      <x:c r="H19" s="23" t="n">
        <x:v>-30</x:v>
      </x:c>
      <x:c r="I19" s="24" t="n">
        <x:v>-0.008159783999326375</x:v>
      </x:c>
      <x:c r="J19" s="23" t="n">
        <x:f>ROUND(E19-F19,1)</x:f>
        <x:v>33.2</x:v>
      </x:c>
      <x:c r="K19" s="22" t="str">
        <x:v>上证指数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3605.65</x:v>
      </x:c>
      <x:c r="E20" s="23" t="n">
        <x:v>3660.21</x:v>
      </x:c>
      <x:c r="F20" s="23" t="n">
        <x:v>3595.26</x:v>
      </x:c>
      <x:c r="G20" s="23" t="n">
        <x:v>3599.02</x:v>
      </x:c>
      <x:c r="H20" s="23" t="n">
        <x:v>-52.4</x:v>
      </x:c>
      <x:c r="I20" s="24" t="n">
        <x:v>-0.01435328076945197</x:v>
      </x:c>
      <x:c r="J20" s="26" t="n">
        <x:f>ROUND(E20-F20,1)</x:f>
        <x:v>64.9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961.3000000000001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56.5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6421</x:v>
      </x:c>
      <x:c r="E18" s="23" t="n">
        <x:v>6580.6</x:v>
      </x:c>
      <x:c r="F18" s="23" t="n">
        <x:v>6376.2</x:v>
      </x:c>
      <x:c r="G18" s="23" t="n">
        <x:v>6502</x:v>
      </x:c>
      <x:c r="H18" s="28" t="n">
        <x:v>162.8</x:v>
      </x:c>
      <x:c r="I18" s="24" t="n">
        <x:v>0.025681474003028892</x:v>
      </x:c>
      <x:c r="J18" s="26" t="n">
        <x:f>ROUND(E18-F18,1)</x:f>
        <x:v>204.4</x:v>
      </x:c>
      <x:c r="K18" s="22" t="str">
        <x:v>IM2612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6463.6</x:v>
      </x:c>
      <x:c r="E19" s="23" t="n">
        <x:v>6465</x:v>
      </x:c>
      <x:c r="F19" s="23" t="n">
        <x:v>6289</x:v>
      </x:c>
      <x:c r="G19" s="23" t="n">
        <x:v>6304.4</x:v>
      </x:c>
      <x:c r="H19" s="28" t="n">
        <x:v>-197.6</x:v>
      </x:c>
      <x:c r="I19" s="24" t="n">
        <x:v>-0.030390649031067474</x:v>
      </x:c>
      <x:c r="J19" s="23" t="n">
        <x:f>ROUND(E19-F19,1)</x:f>
        <x:v>176</x:v>
      </x:c>
      <x:c r="K19" s="22" t="str">
        <x:v>IM2612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3586.0000000000005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224.1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6532.8</x:v>
      </x:c>
      <x:c r="E19" s="23" t="n">
        <x:v>6533</x:v>
      </x:c>
      <x:c r="F19" s="23" t="n">
        <x:v>6358.8</x:v>
      </x:c>
      <x:c r="G19" s="23" t="n">
        <x:v>6374.6</x:v>
      </x:c>
      <x:c r="H19" s="28" t="n">
        <x:v>-189.4</x:v>
      </x:c>
      <x:c r="I19" s="24" t="n">
        <x:v>-0.028854357099329597</x:v>
      </x:c>
      <x:c r="J19" s="26" t="n">
        <x:f>ROUND(E19-F19,1)</x:f>
        <x:v>174.2</x:v>
      </x:c>
      <x:c r="K19" s="22" t="str">
        <x:v>IC2612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6247.8</x:v>
      </x:c>
      <x:c r="E20" s="23" t="n">
        <x:v>6416.8</x:v>
      </x:c>
      <x:c r="F20" s="23" t="n">
        <x:v>6186</x:v>
      </x:c>
      <x:c r="G20" s="23" t="n">
        <x:v>6187.2</x:v>
      </x:c>
      <x:c r="H20" s="28" t="n">
        <x:v>-187.4</x:v>
      </x:c>
      <x:c r="I20" s="24" t="n">
        <x:v>-0.02939792300693389</x:v>
      </x:c>
      <x:c r="J20" s="26" t="n">
        <x:f>ROUND(E20-F20,1)</x:f>
        <x:v>230.8</x:v>
      </x:c>
      <x:c r="K20" s="22" t="str">
        <x:v>IC2612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3679.6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216.4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4020</x:v>
      </x:c>
      <x:c r="E18" s="23" t="n">
        <x:v>4046</x:v>
      </x:c>
      <x:c r="F18" s="23" t="n">
        <x:v>4005.4</x:v>
      </x:c>
      <x:c r="G18" s="23" t="n">
        <x:v>4027.2</x:v>
      </x:c>
      <x:c r="H18" s="23" t="n">
        <x:v>36</x:v>
      </x:c>
      <x:c r="I18" s="24" t="n">
        <x:v>0.009019843656043358</x:v>
      </x:c>
      <x:c r="J18" s="23" t="n">
        <x:f>ROUND(E18-F18,1)</x:f>
        <x:v>40.6</x:v>
      </x:c>
      <x:c r="K18" s="22" t="str">
        <x:v>IF2612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4021.8</x:v>
      </x:c>
      <x:c r="E19" s="23" t="n">
        <x:v>4021.8</x:v>
      </x:c>
      <x:c r="F19" s="23" t="n">
        <x:v>3970.4</x:v>
      </x:c>
      <x:c r="G19" s="23" t="n">
        <x:v>3980.4</x:v>
      </x:c>
      <x:c r="H19" s="23" t="n">
        <x:v>-46.8</x:v>
      </x:c>
      <x:c r="I19" s="24" t="n">
        <x:v>-0.011620977353992812</x:v>
      </x:c>
      <x:c r="J19" s="23" t="n">
        <x:f>ROUND(E19-F19,1)</x:f>
        <x:v>51.4</x:v>
      </x:c>
      <x:c r="K19" s="22" t="str">
        <x:v>IF2612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3936.4</x:v>
      </x:c>
      <x:c r="E20" s="23" t="n">
        <x:v>4000.8</x:v>
      </x:c>
      <x:c r="F20" s="23" t="n">
        <x:v>3914.2</x:v>
      </x:c>
      <x:c r="G20" s="23" t="n">
        <x:v>3928</x:v>
      </x:c>
      <x:c r="H20" s="23" t="n">
        <x:v>-52.4</x:v>
      </x:c>
      <x:c r="I20" s="24" t="n">
        <x:v>-0.013164506079791027</x:v>
      </x:c>
      <x:c r="J20" s="23" t="n">
        <x:f>ROUND(E20-F20,1)</x:f>
        <x:v>86.6</x:v>
      </x:c>
      <x:c r="K20" s="22" t="str">
        <x:v>IF2612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1379.4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81.1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2731</x:v>
      </x:c>
      <x:c r="E18" s="23" t="n">
        <x:v>2732.2</x:v>
      </x:c>
      <x:c r="F18" s="23" t="n">
        <x:v>2703</x:v>
      </x:c>
      <x:c r="G18" s="23" t="n">
        <x:v>2713.4</x:v>
      </x:c>
      <x:c r="H18" s="23" t="n">
        <x:v>4.2</x:v>
      </x:c>
      <x:c r="I18" s="24" t="n">
        <x:v>0.0015502731433634231</x:v>
      </x:c>
      <x:c r="J18" s="23" t="n">
        <x:f>ROUND(E18-F18,1)</x:f>
        <x:v>29.2</x:v>
      </x:c>
      <x:c r="K18" s="22" t="str">
        <x:v>IH2612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2715.2</x:v>
      </x:c>
      <x:c r="E19" s="23" t="n">
        <x:v>2728.8</x:v>
      </x:c>
      <x:c r="F19" s="23" t="n">
        <x:v>2696.4</x:v>
      </x:c>
      <x:c r="G19" s="23" t="n">
        <x:v>2714</x:v>
      </x:c>
      <x:c r="H19" s="23" t="n">
        <x:v>0.6</x:v>
      </x:c>
      <x:c r="I19" s="24" t="n">
        <x:v>0.0002211247880887779</x:v>
      </x:c>
      <x:c r="J19" s="23" t="n">
        <x:f>ROUND(E19-F19,1)</x:f>
        <x:v>32.4</x:v>
      </x:c>
      <x:c r="K19" s="22" t="str">
        <x:v>IH2612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703.4000000000001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44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