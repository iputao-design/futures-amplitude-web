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ac7c852dcd4a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8e8a498c4814f8b"/>
    <x:sheet xmlns:r="http://schemas.openxmlformats.org/officeDocument/2006/relationships" name="中证1000" sheetId="2" r:id="R0ed5dd17dd7640c6"/>
    <x:sheet xmlns:r="http://schemas.openxmlformats.org/officeDocument/2006/relationships" name="中证500" sheetId="3" r:id="Rfc3f07345f2940e1"/>
    <x:sheet xmlns:r="http://schemas.openxmlformats.org/officeDocument/2006/relationships" name="上证指数" sheetId="4" r:id="Rbbc8fc1d26594eae"/>
    <x:sheet xmlns:r="http://schemas.openxmlformats.org/officeDocument/2006/relationships" name="IM主力" sheetId="5" r:id="R0d490363f08d44f4"/>
    <x:sheet xmlns:r="http://schemas.openxmlformats.org/officeDocument/2006/relationships" name="IC主力" sheetId="6" r:id="Ra73225998cf1411f"/>
    <x:sheet xmlns:r="http://schemas.openxmlformats.org/officeDocument/2006/relationships" name="IF主力" sheetId="7" r:id="R88cb62827fa144b0"/>
    <x:sheet xmlns:r="http://schemas.openxmlformats.org/officeDocument/2006/relationships" name="IH主力" sheetId="8" r:id="Re99638923f2f43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dd9222cfd444ed" /><Relationship Type="http://schemas.openxmlformats.org/officeDocument/2006/relationships/theme" Target="/xl/theme/theme1.xml" Id="R9f9ec477babe4b4c" /><Relationship Type="http://schemas.openxmlformats.org/officeDocument/2006/relationships/sharedStrings" Target="/xl/sharedStrings.xml" Id="Rfa27017b0b1a41ec" /><Relationship Type="http://schemas.openxmlformats.org/officeDocument/2006/relationships/worksheet" Target="/xl/worksheets/sheet1.xml" Id="Ra8e8a498c4814f8b" /><Relationship Type="http://schemas.openxmlformats.org/officeDocument/2006/relationships/worksheet" Target="/xl/worksheets/sheet2.xml" Id="R0ed5dd17dd7640c6" /><Relationship Type="http://schemas.openxmlformats.org/officeDocument/2006/relationships/worksheet" Target="/xl/worksheets/sheet3.xml" Id="Rfc3f07345f2940e1" /><Relationship Type="http://schemas.openxmlformats.org/officeDocument/2006/relationships/worksheet" Target="/xl/worksheets/sheet4.xml" Id="Rbbc8fc1d26594eae" /><Relationship Type="http://schemas.openxmlformats.org/officeDocument/2006/relationships/worksheet" Target="/xl/worksheets/sheet5.xml" Id="R0d490363f08d44f4" /><Relationship Type="http://schemas.openxmlformats.org/officeDocument/2006/relationships/worksheet" Target="/xl/worksheets/sheet6.xml" Id="Ra73225998cf1411f" /><Relationship Type="http://schemas.openxmlformats.org/officeDocument/2006/relationships/worksheet" Target="/xl/worksheets/sheet7.xml" Id="R88cb62827fa144b0" /><Relationship Type="http://schemas.openxmlformats.org/officeDocument/2006/relationships/worksheet" Target="/xl/worksheets/sheet8.xml" Id="Re99638923f2f43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2026-07-21</x:v>
      </x:c>
      <x:c r="C4" s="10" t="n">
        <x:v>7264.338</x:v>
      </x:c>
      <x:c r="D4" s="10" t="n">
        <x:v>6714.187</x:v>
      </x:c>
      <x:c r="E4" s="12" t="n">
        <x:v>550.2</x:v>
      </x:c>
      <x:c r="F4" s="9" t="n">
        <x:v>15</x:v>
      </x:c>
      <x:c r="G4" s="10" t="n">
        <x:v>4446.8</x:v>
      </x:c>
      <x:c r="H4" s="10" t="n">
        <x:v>296.5</x:v>
      </x:c>
      <x:c r="I4" s="10" t="n">
        <x:v>180</x:v>
      </x:c>
    </x:row>
    <x:row r="5">
      <x:c r="A5" s="9" t="str">
        <x:v>中证500</x:v>
      </x:c>
      <x:c r="B5" s="9" t="str">
        <x:v>2026-07-21</x:v>
      </x:c>
      <x:c r="C5" s="10" t="n">
        <x:v>7802.755</x:v>
      </x:c>
      <x:c r="D5" s="10" t="n">
        <x:v>7270.954</x:v>
      </x:c>
      <x:c r="E5" s="12" t="n">
        <x:v>531.8</x:v>
      </x:c>
      <x:c r="F5" s="9" t="n">
        <x:v>15</x:v>
      </x:c>
      <x:c r="G5" s="10" t="n">
        <x:v>4464.7</x:v>
      </x:c>
      <x:c r="H5" s="10" t="n">
        <x:v>297.6</x:v>
      </x:c>
      <x:c r="I5" s="10" t="n">
        <x:v>160</x:v>
      </x:c>
    </x:row>
    <x:row r="6">
      <x:c r="A6" s="9" t="str">
        <x:v>上证指数</x:v>
      </x:c>
      <x:c r="B6" s="9" t="str">
        <x:v>2026-07-21</x:v>
      </x:c>
      <x:c r="C6" s="10" t="n">
        <x:v>3864.6</x:v>
      </x:c>
      <x:c r="D6" s="10" t="n">
        <x:v>3743.36</x:v>
      </x:c>
      <x:c r="E6" s="12" t="n">
        <x:v>121.2</x:v>
      </x:c>
      <x:c r="F6" s="9" t="n">
        <x:v>15</x:v>
      </x:c>
      <x:c r="G6" s="10" t="n">
        <x:v>1143.9</x:v>
      </x:c>
      <x:c r="H6" s="10" t="n">
        <x:v>76.3</x:v>
      </x:c>
      <x:c r="I6" s="10" t="n">
        <x:v>50</x:v>
      </x:c>
    </x:row>
    <x:row r="7">
      <x:c r="A7" s="9" t="str">
        <x:v>IM主力</x:v>
      </x:c>
      <x:c r="B7" s="9" t="str">
        <x:v>2026-07-21</x:v>
      </x:c>
      <x:c r="C7" s="10" t="n">
        <x:v>7175.8</x:v>
      </x:c>
      <x:c r="D7" s="10" t="n">
        <x:v>6641.8</x:v>
      </x:c>
      <x:c r="E7" s="12" t="n">
        <x:v>534</x:v>
      </x:c>
      <x:c r="F7" s="9" t="n">
        <x:v>15</x:v>
      </x:c>
      <x:c r="G7" s="10" t="n">
        <x:v>4263.8</x:v>
      </x:c>
      <x:c r="H7" s="10" t="n">
        <x:v>284.3</x:v>
      </x:c>
      <x:c r="I7" s="10" t="n">
        <x:v>190</x:v>
      </x:c>
    </x:row>
    <x:row r="8">
      <x:c r="A8" s="9" t="str">
        <x:v>IC主力</x:v>
      </x:c>
      <x:c r="B8" s="9" t="str">
        <x:v>2026-07-21</x:v>
      </x:c>
      <x:c r="C8" s="10" t="n">
        <x:v>7700.6</x:v>
      </x:c>
      <x:c r="D8" s="10" t="n">
        <x:v>7201.2</x:v>
      </x:c>
      <x:c r="E8" s="12" t="n">
        <x:v>499.4</x:v>
      </x:c>
      <x:c r="F8" s="9" t="n">
        <x:v>15</x:v>
      </x:c>
      <x:c r="G8" s="10" t="n">
        <x:v>4361</x:v>
      </x:c>
      <x:c r="H8" s="10" t="n">
        <x:v>290.7</x:v>
      </x:c>
      <x:c r="I8" s="10" t="n">
        <x:v>150</x:v>
      </x:c>
    </x:row>
    <x:row r="9">
      <x:c r="A9" s="9" t="str">
        <x:v>IF主力</x:v>
      </x:c>
      <x:c r="B9" s="9" t="str">
        <x:v>2026-07-21</x:v>
      </x:c>
      <x:c r="C9" s="10" t="n">
        <x:v>4673.8</x:v>
      </x:c>
      <x:c r="D9" s="10" t="n">
        <x:v>4524.4</x:v>
      </x:c>
      <x:c r="E9" s="12" t="n">
        <x:v>149.4</x:v>
      </x:c>
      <x:c r="F9" s="9" t="n">
        <x:v>15</x:v>
      </x:c>
      <x:c r="G9" s="10" t="n">
        <x:v>1600.6</x:v>
      </x:c>
      <x:c r="H9" s="10" t="n">
        <x:v>106.7</x:v>
      </x:c>
      <x:c r="I9" s="10" t="n">
        <x:v>90</x:v>
      </x:c>
    </x:row>
    <x:row r="10">
      <x:c r="A10" s="9" t="str">
        <x:v>IH主力</x:v>
      </x:c>
      <x:c r="B10" s="9" t="str">
        <x:v>2026-07-21</x:v>
      </x:c>
      <x:c r="C10" s="10" t="n">
        <x:v>2933</x:v>
      </x:c>
      <x:c r="D10" s="10" t="n">
        <x:v>2875.2</x:v>
      </x:c>
      <x:c r="E10" s="12" t="n">
        <x:v>57.8</x:v>
      </x:c>
      <x:c r="F10" s="9" t="n">
        <x:v>15</x:v>
      </x:c>
      <x:c r="G10" s="10" t="n">
        <x:v>853.6</x:v>
      </x:c>
      <x:c r="H10" s="10" t="n">
        <x:v>56.9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6975.893</x:v>
      </x:c>
      <x:c r="E18" s="22" t="n">
        <x:v>7264.338</x:v>
      </x:c>
      <x:c r="F18" s="22" t="n">
        <x:v>6714.187</x:v>
      </x:c>
      <x:c r="G18" s="22" t="n">
        <x:v>7259.863</x:v>
      </x:c>
      <x:c r="H18" s="25" t="n">
        <x:v>294.5</x:v>
      </x:c>
      <x:c r="I18" s="23" t="n">
        <x:v>0.042278693928367916</x:v>
      </x:c>
      <x:c r="J18" s="27" t="n">
        <x:f>ROUND(E18-F18,1)</x:f>
        <x:v>550.2</x:v>
      </x:c>
      <x:c r="K18" s="21" t="str">
        <x:v>中证1000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4446.8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296.5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7437.452</x:v>
      </x:c>
      <x:c r="E18" s="22" t="n">
        <x:v>7802.755</x:v>
      </x:c>
      <x:c r="F18" s="22" t="n">
        <x:v>7270.954</x:v>
      </x:c>
      <x:c r="G18" s="22" t="n">
        <x:v>7800.609</x:v>
      </x:c>
      <x:c r="H18" s="25" t="n">
        <x:v>389.3</x:v>
      </x:c>
      <x:c r="I18" s="23" t="n">
        <x:v>0.052527264737031176</x:v>
      </x:c>
      <x:c r="J18" s="27" t="n">
        <x:f>ROUND(E18-F18,1)</x:f>
        <x:v>531.8</x:v>
      </x:c>
      <x:c r="K18" s="21" t="str">
        <x:v>中证500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4464.7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297.6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3812.162</x:v>
      </x:c>
      <x:c r="E18" s="22" t="n">
        <x:v>3864.6</x:v>
      </x:c>
      <x:c r="F18" s="22" t="n">
        <x:v>3743.36</x:v>
      </x:c>
      <x:c r="G18" s="22" t="n">
        <x:v>3864.367</x:v>
      </x:c>
      <x:c r="H18" s="22" t="n">
        <x:v>68.1</x:v>
      </x:c>
      <x:c r="I18" s="23" t="n">
        <x:v>0.01793492104509653</x:v>
      </x:c>
      <x:c r="J18" s="27" t="n">
        <x:f>ROUND(E18-F18,1)</x:f>
        <x:v>121.2</x:v>
      </x:c>
      <x:c r="K18" s="21" t="str">
        <x:v>上证指数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1143.8999999999999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76.3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6920</x:v>
      </x:c>
      <x:c r="E18" s="22" t="n">
        <x:v>7175.8</x:v>
      </x:c>
      <x:c r="F18" s="22" t="n">
        <x:v>6641.8</x:v>
      </x:c>
      <x:c r="G18" s="22" t="n">
        <x:v>7164.4</x:v>
      </x:c>
      <x:c r="H18" s="25" t="n">
        <x:v>314.6</x:v>
      </x:c>
      <x:c r="I18" s="23" t="n">
        <x:v>0.04592834827294223</x:v>
      </x:c>
      <x:c r="J18" s="27" t="n">
        <x:f>ROUND(E18-F18,1)</x:f>
        <x:v>534</x:v>
      </x:c>
      <x:c r="K18" s="21" t="str">
        <x:v>IM2609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4263.8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284.3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7385</x:v>
      </x:c>
      <x:c r="E18" s="22" t="n">
        <x:v>7700.6</x:v>
      </x:c>
      <x:c r="F18" s="22" t="n">
        <x:v>7201.2</x:v>
      </x:c>
      <x:c r="G18" s="22" t="n">
        <x:v>7685.8</x:v>
      </x:c>
      <x:c r="H18" s="25" t="n">
        <x:v>383.6</x:v>
      </x:c>
      <x:c r="I18" s="23" t="n">
        <x:v>0.052532113609597086</x:v>
      </x:c>
      <x:c r="J18" s="27" t="n">
        <x:f>ROUND(E18-F18,1)</x:f>
        <x:v>499.4</x:v>
      </x:c>
      <x:c r="K18" s="21" t="str">
        <x:v>IC2609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4361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290.7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4563.8</x:v>
      </x:c>
      <x:c r="E18" s="22" t="n">
        <x:v>4673.8</x:v>
      </x:c>
      <x:c r="F18" s="22" t="n">
        <x:v>4524.4</x:v>
      </x:c>
      <x:c r="G18" s="22" t="n">
        <x:v>4662.4</x:v>
      </x:c>
      <x:c r="H18" s="22" t="n">
        <x:v>116.6</x:v>
      </x:c>
      <x:c r="I18" s="23" t="n">
        <x:v>0.02565005059615455</x:v>
      </x:c>
      <x:c r="J18" s="27" t="n">
        <x:f>ROUND(E18-F18,1)</x:f>
        <x:v>149.4</x:v>
      </x:c>
      <x:c r="K18" s="21" t="str">
        <x:v>IF2609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1600.6000000000001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106.7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2896</x:v>
      </x:c>
      <x:c r="E18" s="22" t="n">
        <x:v>2933</x:v>
      </x:c>
      <x:c r="F18" s="22" t="n">
        <x:v>2875.2</x:v>
      </x:c>
      <x:c r="G18" s="22" t="n">
        <x:v>2923.6</x:v>
      </x:c>
      <x:c r="H18" s="22" t="n">
        <x:v>49.6</x:v>
      </x:c>
      <x:c r="I18" s="23" t="n">
        <x:v>0.017258176757132926</x:v>
      </x:c>
      <x:c r="J18" s="22" t="n">
        <x:f>ROUND(E18-F18,1)</x:f>
        <x:v>57.8</x:v>
      </x:c>
      <x:c r="K18" s="21" t="str">
        <x:v>IH2609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853.6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56.9</x:v>
      </x:c>
      <x:c r="K22" s="39"/>
    </x:row>
  </x:sheetData>
  <x:mergeCells>
    <x:mergeCell ref="A1:K1"/>
  </x:mergeCells>
  <x:pageMargins left="0.7" right="0.7" top="0.75" bottom="0.75" header="0.3" footer="0.3"/>
</x:worksheet>
</file>