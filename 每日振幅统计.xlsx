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6a8fcc03174b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b8fc48de09c4777"/>
    <x:sheet xmlns:r="http://schemas.openxmlformats.org/officeDocument/2006/relationships" name="周振幅统计" sheetId="2" r:id="R2a97bf1645b84953"/>
    <x:sheet xmlns:r="http://schemas.openxmlformats.org/officeDocument/2006/relationships" name="中证1000" sheetId="3" r:id="Rc0a2b9296d3a4d94"/>
    <x:sheet xmlns:r="http://schemas.openxmlformats.org/officeDocument/2006/relationships" name="中证500" sheetId="4" r:id="Rbb8e02c1a8d846c5"/>
    <x:sheet xmlns:r="http://schemas.openxmlformats.org/officeDocument/2006/relationships" name="上证指数" sheetId="5" r:id="R9ceb2ba781f14468"/>
    <x:sheet xmlns:r="http://schemas.openxmlformats.org/officeDocument/2006/relationships" name="IM主力" sheetId="6" r:id="Rd6646227e1374f9f"/>
    <x:sheet xmlns:r="http://schemas.openxmlformats.org/officeDocument/2006/relationships" name="IC主力" sheetId="7" r:id="Rb6f5714077ff4147"/>
    <x:sheet xmlns:r="http://schemas.openxmlformats.org/officeDocument/2006/relationships" name="IF主力" sheetId="8" r:id="R4f69930df5a94d7b"/>
    <x:sheet xmlns:r="http://schemas.openxmlformats.org/officeDocument/2006/relationships" name="IH主力" sheetId="9" r:id="R997f1229234b4a0e"/>
    <x:sheet xmlns:r="http://schemas.openxmlformats.org/officeDocument/2006/relationships" name="碳酸锂2609" sheetId="10" r:id="R3111d0df69b044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624b01abb4dcf" /><Relationship Type="http://schemas.openxmlformats.org/officeDocument/2006/relationships/theme" Target="/xl/theme/theme1.xml" Id="Ra6263da644f84b85" /><Relationship Type="http://schemas.openxmlformats.org/officeDocument/2006/relationships/sharedStrings" Target="/xl/sharedStrings.xml" Id="Rba47fddd49ba44ad" /><Relationship Type="http://schemas.openxmlformats.org/officeDocument/2006/relationships/worksheet" Target="/xl/worksheets/sheet1.xml" Id="R5b8fc48de09c4777" /><Relationship Type="http://schemas.openxmlformats.org/officeDocument/2006/relationships/worksheet" Target="/xl/worksheets/sheet2.xml" Id="R2a97bf1645b84953" /><Relationship Type="http://schemas.openxmlformats.org/officeDocument/2006/relationships/worksheet" Target="/xl/worksheets/sheet3.xml" Id="Rc0a2b9296d3a4d94" /><Relationship Type="http://schemas.openxmlformats.org/officeDocument/2006/relationships/worksheet" Target="/xl/worksheets/sheet4.xml" Id="Rbb8e02c1a8d846c5" /><Relationship Type="http://schemas.openxmlformats.org/officeDocument/2006/relationships/worksheet" Target="/xl/worksheets/sheet5.xml" Id="R9ceb2ba781f14468" /><Relationship Type="http://schemas.openxmlformats.org/officeDocument/2006/relationships/worksheet" Target="/xl/worksheets/sheet6.xml" Id="Rd6646227e1374f9f" /><Relationship Type="http://schemas.openxmlformats.org/officeDocument/2006/relationships/worksheet" Target="/xl/worksheets/sheet7.xml" Id="Rb6f5714077ff4147" /><Relationship Type="http://schemas.openxmlformats.org/officeDocument/2006/relationships/worksheet" Target="/xl/worksheets/sheet8.xml" Id="R4f69930df5a94d7b" /><Relationship Type="http://schemas.openxmlformats.org/officeDocument/2006/relationships/worksheet" Target="/xl/worksheets/sheet9.xml" Id="R997f1229234b4a0e" /><Relationship Type="http://schemas.openxmlformats.org/officeDocument/2006/relationships/worksheet" Target="/xl/worksheets/sheet10.xml" Id="R3111d0df69b044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2026-08-12</x:v>
      </x:c>
      <x:c r="C4" s="10" t="n">
        <x:v>7805.27</x:v>
      </x:c>
      <x:c r="D4" s="10" t="n">
        <x:v>7692.44</x:v>
      </x:c>
      <x:c r="E4" s="12" t="n">
        <x:v>112.8</x:v>
      </x:c>
      <x:c r="F4" s="9" t="n">
        <x:v>8</x:v>
      </x:c>
      <x:c r="G4" s="10" t="n">
        <x:v>1291.6</x:v>
      </x:c>
      <x:c r="H4" s="10" t="n">
        <x:v>161.5</x:v>
      </x:c>
      <x:c r="I4" s="10" t="n">
        <x:v>180</x:v>
      </x:c>
    </x:row>
    <x:row r="5">
      <x:c r="A5" s="9" t="str">
        <x:v>中证500</x:v>
      </x:c>
      <x:c r="B5" s="9" t="str">
        <x:v>2026-08-12</x:v>
      </x:c>
      <x:c r="C5" s="10" t="n">
        <x:v>8067.53</x:v>
      </x:c>
      <x:c r="D5" s="10" t="n">
        <x:v>7961.83</x:v>
      </x:c>
      <x:c r="E5" s="12" t="n">
        <x:v>105.7</x:v>
      </x:c>
      <x:c r="F5" s="9" t="n">
        <x:v>8</x:v>
      </x:c>
      <x:c r="G5" s="10" t="n">
        <x:v>1296.8</x:v>
      </x:c>
      <x:c r="H5" s="10" t="n">
        <x:v>162.1</x:v>
      </x:c>
      <x:c r="I5" s="10" t="n">
        <x:v>160</x:v>
      </x:c>
    </x:row>
    <x:row r="6">
      <x:c r="A6" s="9" t="str">
        <x:v>上证指数</x:v>
      </x:c>
      <x:c r="B6" s="9" t="str">
        <x:v>2026-08-12</x:v>
      </x:c>
      <x:c r="C6" s="10" t="n">
        <x:v>3950.62</x:v>
      </x:c>
      <x:c r="D6" s="10" t="n">
        <x:v>3927.55</x:v>
      </x:c>
      <x:c r="E6" s="12" t="n">
        <x:v>23.1</x:v>
      </x:c>
      <x:c r="F6" s="9" t="n">
        <x:v>8</x:v>
      </x:c>
      <x:c r="G6" s="10" t="n">
        <x:v>312.7</x:v>
      </x:c>
      <x:c r="H6" s="10" t="n">
        <x:v>39.1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8</x:v>
      </x:c>
      <x:c r="G7" s="10" t="n">
        <x:v>1278.6</x:v>
      </x:c>
      <x:c r="H7" s="10" t="n">
        <x:v>159.8</x:v>
      </x:c>
      <x:c r="I7" s="10" t="n">
        <x:v>190</x:v>
      </x:c>
    </x:row>
    <x:row r="8">
      <x:c r="A8" s="9" t="str">
        <x:v>IC主力</x:v>
      </x:c>
      <x:c r="B8" s="9" t="str">
        <x:v>2026-08-11</x:v>
      </x:c>
      <x:c r="C8" s="10" t="n">
        <x:v>7963.8</x:v>
      </x:c>
      <x:c r="D8" s="10" t="n">
        <x:v>7830</x:v>
      </x:c>
      <x:c r="E8" s="12" t="n">
        <x:v>133.8</x:v>
      </x:c>
      <x:c r="F8" s="9" t="n">
        <x:v>7</x:v>
      </x:c>
      <x:c r="G8" s="10" t="n">
        <x:v>1185</x:v>
      </x:c>
      <x:c r="H8" s="10" t="n">
        <x:v>169.3</x:v>
      </x:c>
      <x:c r="I8" s="10" t="n">
        <x:v>150</x:v>
      </x:c>
    </x:row>
    <x:row r="9">
      <x:c r="A9" s="9" t="str">
        <x:v>IF主力</x:v>
      </x:c>
      <x:c r="B9" s="9" t="str">
        <x:v>2026-08-11</x:v>
      </x:c>
      <x:c r="C9" s="10" t="n">
        <x:v>4665</x:v>
      </x:c>
      <x:c r="D9" s="10" t="n">
        <x:v>4617.2</x:v>
      </x:c>
      <x:c r="E9" s="12" t="n">
        <x:v>47.8</x:v>
      </x:c>
      <x:c r="F9" s="9" t="n">
        <x:v>7</x:v>
      </x:c>
      <x:c r="G9" s="10" t="n">
        <x:v>428.2</x:v>
      </x:c>
      <x:c r="H9" s="10" t="n">
        <x:v>61.2</x:v>
      </x:c>
      <x:c r="I9" s="10" t="n">
        <x:v>90</x:v>
      </x:c>
    </x:row>
    <x:row r="10">
      <x:c r="A10" s="9" t="str">
        <x:v>IH主力</x:v>
      </x:c>
      <x:c r="B10" s="9" t="str">
        <x:v>2026-08-11</x:v>
      </x:c>
      <x:c r="C10" s="10" t="n">
        <x:v>2942.8</x:v>
      </x:c>
      <x:c r="D10" s="10" t="n">
        <x:v>2904.6</x:v>
      </x:c>
      <x:c r="E10" s="12" t="n">
        <x:v>38.2</x:v>
      </x:c>
      <x:c r="F10" s="9" t="n">
        <x:v>7</x:v>
      </x:c>
      <x:c r="G10" s="10" t="n">
        <x:v>246.8</x:v>
      </x:c>
      <x:c r="H10" s="10" t="n">
        <x:v>35.3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7</x:v>
      </x:c>
      <x:c r="G11" s="10" t="n">
        <x:v>35380</x:v>
      </x:c>
      <x:c r="H11" s="10" t="n">
        <x:v>5054.3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8月10日-8月12日</x:v>
      </x:c>
      <x:c r="C6" s="23" t="n">
        <x:v>7723.38</x:v>
      </x:c>
      <x:c r="D6" s="23" t="n">
        <x:v>7805.27</x:v>
      </x:c>
      <x:c r="E6" s="23" t="n">
        <x:v>7621.65</x:v>
      </x:c>
      <x:c r="F6" s="23" t="n">
        <x:v>7793.72</x:v>
      </x:c>
      <x:c r="G6" s="23" t="n">
        <x:f>ROUND(F6-F5,1)</x:f>
        <x:v>114.2</x:v>
      </x:c>
      <x:c r="H6" s="24" t="n">
        <x:f>IFERROR(F6/F5-1,"")</x:f>
        <x:v>0.014869399559608532</x:v>
      </x:c>
      <x:c r="I6" s="26" t="n">
        <x:f>ROUND(D6-E6,1)</x:f>
        <x:v>183.6</x:v>
      </x:c>
      <x:c r="J6" s="22" t="str">
        <x:v>中证1000</x:v>
      </x:c>
      <x:c r="K6" s="22" t="n">
        <x:v>3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826.3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413.2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8月10日-8月12日</x:v>
      </x:c>
      <x:c r="C13" s="23" t="n">
        <x:v>8003.92</x:v>
      </x:c>
      <x:c r="D13" s="23" t="n">
        <x:v>8078.36</x:v>
      </x:c>
      <x:c r="E13" s="23" t="n">
        <x:v>7910.84</x:v>
      </x:c>
      <x:c r="F13" s="23" t="n">
        <x:v>8045.31</x:v>
      </x:c>
      <x:c r="G13" s="23" t="n">
        <x:f>ROUND(F13-F12,1)</x:f>
        <x:v>65.2</x:v>
      </x:c>
      <x:c r="H13" s="24" t="n">
        <x:f>IFERROR(F13/F12-1,"")</x:f>
        <x:v>0.00816905008947244</x:v>
      </x:c>
      <x:c r="I13" s="26" t="n">
        <x:f>ROUND(D13-E13,1)</x:f>
        <x:v>167.5</x:v>
      </x:c>
      <x:c r="J13" s="22" t="str">
        <x:v>中证500</x:v>
      </x:c>
      <x:c r="K13" s="22" t="n">
        <x:v>3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752.7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376.4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8月10日-8月12日</x:v>
      </x:c>
      <x:c r="C20" s="23" t="n">
        <x:v>3943.82</x:v>
      </x:c>
      <x:c r="D20" s="23" t="n">
        <x:v>3967.59</x:v>
      </x:c>
      <x:c r="E20" s="23" t="n">
        <x:v>3927.55</x:v>
      </x:c>
      <x:c r="F20" s="23" t="n">
        <x:v>3946.68</x:v>
      </x:c>
      <x:c r="G20" s="23" t="n">
        <x:f>ROUND(F20-F19,1)</x:f>
        <x:v>6.6</x:v>
      </x:c>
      <x:c r="H20" s="24" t="n">
        <x:f>IFERROR(F20/F19-1,"")</x:f>
        <x:v>0.001685262078557459</x:v>
      </x:c>
      <x:c r="I20" s="23" t="n">
        <x:f>ROUND(D20-E20,1)</x:f>
        <x:v>40</x:v>
      </x:c>
      <x:c r="J20" s="22" t="str">
        <x:v>上证指数</x:v>
      </x:c>
      <x:c r="K20" s="22" t="n">
        <x:v>3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183.3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91.7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8月10日-8月12日</x:v>
      </x:c>
      <x:c r="C27" s="23" t="n">
        <x:v>7628.8</x:v>
      </x:c>
      <x:c r="D27" s="23" t="n">
        <x:v>7712.8</x:v>
      </x:c>
      <x:c r="E27" s="23" t="n">
        <x:v>7525</x:v>
      </x:c>
      <x:c r="F27" s="23" t="n">
        <x:v>7677.4</x:v>
      </x:c>
      <x:c r="G27" s="23" t="n">
        <x:f>ROUND(F27-F26,1)</x:f>
        <x:v>86.8</x:v>
      </x:c>
      <x:c r="H27" s="24" t="n">
        <x:f>IFERROR(F27/F26-1,"")</x:f>
        <x:v>0.011435196163676054</x:v>
      </x:c>
      <x:c r="I27" s="23" t="n">
        <x:f>ROUND(D27-E27,1)</x:f>
        <x:v>187.8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806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403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8月10日-8月11日</x:v>
      </x:c>
      <x:c r="C34" s="23" t="n">
        <x:v>7888</x:v>
      </x:c>
      <x:c r="D34" s="23" t="n">
        <x:v>7963.8</x:v>
      </x:c>
      <x:c r="E34" s="23" t="n">
        <x:v>7795.8</x:v>
      </x:c>
      <x:c r="F34" s="23" t="n">
        <x:v>7872</x:v>
      </x:c>
      <x:c r="G34" s="23" t="n">
        <x:f>ROUND(F34-F33,1)</x:f>
        <x:v>-5.8</x:v>
      </x:c>
      <x:c r="H34" s="24" t="n">
        <x:f>IFERROR(F34/F33-1,"")</x:f>
        <x:v>-0.0007362461600954884</x:v>
      </x:c>
      <x:c r="I34" s="26" t="n">
        <x:f>ROUND(D34-E34,1)</x:f>
        <x:v>168</x:v>
      </x:c>
      <x:c r="J34" s="22" t="str">
        <x:v>IC2609</x:v>
      </x:c>
      <x:c r="K34" s="22" t="n">
        <x:v>2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715.6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357.8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8月10日-8月11日</x:v>
      </x:c>
      <x:c r="C41" s="23" t="n">
        <x:v>4656.8</x:v>
      </x:c>
      <x:c r="D41" s="23" t="n">
        <x:v>4665</x:v>
      </x:c>
      <x:c r="E41" s="23" t="n">
        <x:v>4611</x:v>
      </x:c>
      <x:c r="F41" s="23" t="n">
        <x:v>4625</x:v>
      </x:c>
      <x:c r="G41" s="23" t="n">
        <x:f>ROUND(F41-F40,1)</x:f>
        <x:v>-20.6</x:v>
      </x:c>
      <x:c r="H41" s="24" t="n">
        <x:f>IFERROR(F41/F40-1,"")</x:f>
        <x:v>-0.004434303426898656</x:v>
      </x:c>
      <x:c r="I41" s="23" t="n">
        <x:f>ROUND(D41-E41,1)</x:f>
        <x:v>54</x:v>
      </x:c>
      <x:c r="J41" s="22" t="str">
        <x:v>IF2609</x:v>
      </x:c>
      <x:c r="K41" s="22" t="n">
        <x:v>2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108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8月10日-8月11日</x:v>
      </x:c>
      <x:c r="C48" s="23" t="n">
        <x:v>2930</x:v>
      </x:c>
      <x:c r="D48" s="23" t="n">
        <x:v>2949.6</x:v>
      </x:c>
      <x:c r="E48" s="23" t="n">
        <x:v>2904.6</x:v>
      </x:c>
      <x:c r="F48" s="23" t="n">
        <x:v>2909</x:v>
      </x:c>
      <x:c r="G48" s="23" t="n">
        <x:f>ROUND(F48-F47,1)</x:f>
        <x:v>-21</x:v>
      </x:c>
      <x:c r="H48" s="24" t="n">
        <x:f>IFERROR(F48/F47-1,"")</x:f>
        <x:v>-0.0071672354948805195</x:v>
      </x:c>
      <x:c r="I48" s="23" t="n">
        <x:f>ROUND(D48-E48,1)</x:f>
        <x:v>45</x:v>
      </x:c>
      <x:c r="J48" s="22" t="str">
        <x:v>IH2609</x:v>
      </x:c>
      <x:c r="K48" s="22" t="n">
        <x:v>2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129.8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64.9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8月10日-8月11日</x:v>
      </x:c>
      <x:c r="C55" s="23" t="n">
        <x:v>140500</x:v>
      </x:c>
      <x:c r="D55" s="23" t="n">
        <x:v>146680</x:v>
      </x:c>
      <x:c r="E55" s="23" t="n">
        <x:v>139280</x:v>
      </x:c>
      <x:c r="F55" s="23" t="n">
        <x:v>145860</x:v>
      </x:c>
      <x:c r="G55" s="34" t="n">
        <x:f>ROUND(F55-F54,1)</x:f>
        <x:v>5860</x:v>
      </x:c>
      <x:c r="H55" s="24" t="n">
        <x:f>IFERROR(F55/F54-1,"")</x:f>
        <x:v>0.041857142857142815</x:v>
      </x:c>
      <x:c r="I55" s="26" t="n">
        <x:f>ROUND(D55-E55,1)</x:f>
        <x:v>7400</x:v>
      </x:c>
      <x:c r="J55" s="22" t="str">
        <x:v>LC2609</x:v>
      </x:c>
      <x:c r="K55" s="22" t="n">
        <x:v>2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16640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8320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1291.6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161.5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1296.8000000000002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162.1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312.70000000000005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39.1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1278.6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159.8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1185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169.3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428.20000000000005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61.2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246.8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35.3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35380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5054.3</x:v>
      </x:c>
      <x:c r="K14" s="28"/>
    </x:row>
  </x:sheetData>
  <x:mergeCells>
    <x:mergeCell ref="A1:K1"/>
  </x:mergeCells>
  <x:pageMargins left="0.7" right="0.7" top="0.75" bottom="0.75" header="0.3" footer="0.3"/>
</x:worksheet>
</file>