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597d789bff4b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a3221fd35d14075"/>
    <x:sheet xmlns:r="http://schemas.openxmlformats.org/officeDocument/2006/relationships" name="周振幅统计" sheetId="2" r:id="R1b63c839501340ae"/>
    <x:sheet xmlns:r="http://schemas.openxmlformats.org/officeDocument/2006/relationships" name="中证1000" sheetId="3" r:id="Rfc40bec8f66143d5"/>
    <x:sheet xmlns:r="http://schemas.openxmlformats.org/officeDocument/2006/relationships" name="中证500" sheetId="4" r:id="R2125c6092d9e4211"/>
    <x:sheet xmlns:r="http://schemas.openxmlformats.org/officeDocument/2006/relationships" name="上证指数" sheetId="5" r:id="Rf33c6e2a146d4a83"/>
    <x:sheet xmlns:r="http://schemas.openxmlformats.org/officeDocument/2006/relationships" name="IM主力" sheetId="6" r:id="Rda83f680401e4aee"/>
    <x:sheet xmlns:r="http://schemas.openxmlformats.org/officeDocument/2006/relationships" name="IC主力" sheetId="7" r:id="R082b64e0c3d242e8"/>
    <x:sheet xmlns:r="http://schemas.openxmlformats.org/officeDocument/2006/relationships" name="IF主力" sheetId="8" r:id="Rcd01c5cdc7d840d7"/>
    <x:sheet xmlns:r="http://schemas.openxmlformats.org/officeDocument/2006/relationships" name="IH主力" sheetId="9" r:id="R5949b5edc26f4a1b"/>
    <x:sheet xmlns:r="http://schemas.openxmlformats.org/officeDocument/2006/relationships" name="碳酸锂2609" sheetId="10" r:id="R94db2b6370d840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608ad88ead44af" /><Relationship Type="http://schemas.openxmlformats.org/officeDocument/2006/relationships/theme" Target="/xl/theme/theme1.xml" Id="Rfbdf37fe475c40df" /><Relationship Type="http://schemas.openxmlformats.org/officeDocument/2006/relationships/sharedStrings" Target="/xl/sharedStrings.xml" Id="R0f24047492294e6d" /><Relationship Type="http://schemas.openxmlformats.org/officeDocument/2006/relationships/worksheet" Target="/xl/worksheets/sheet1.xml" Id="Rba3221fd35d14075" /><Relationship Type="http://schemas.openxmlformats.org/officeDocument/2006/relationships/worksheet" Target="/xl/worksheets/sheet2.xml" Id="R1b63c839501340ae" /><Relationship Type="http://schemas.openxmlformats.org/officeDocument/2006/relationships/worksheet" Target="/xl/worksheets/sheet3.xml" Id="Rfc40bec8f66143d5" /><Relationship Type="http://schemas.openxmlformats.org/officeDocument/2006/relationships/worksheet" Target="/xl/worksheets/sheet4.xml" Id="R2125c6092d9e4211" /><Relationship Type="http://schemas.openxmlformats.org/officeDocument/2006/relationships/worksheet" Target="/xl/worksheets/sheet5.xml" Id="Rf33c6e2a146d4a83" /><Relationship Type="http://schemas.openxmlformats.org/officeDocument/2006/relationships/worksheet" Target="/xl/worksheets/sheet6.xml" Id="Rda83f680401e4aee" /><Relationship Type="http://schemas.openxmlformats.org/officeDocument/2006/relationships/worksheet" Target="/xl/worksheets/sheet7.xml" Id="R082b64e0c3d242e8" /><Relationship Type="http://schemas.openxmlformats.org/officeDocument/2006/relationships/worksheet" Target="/xl/worksheets/sheet8.xml" Id="Rcd01c5cdc7d840d7" /><Relationship Type="http://schemas.openxmlformats.org/officeDocument/2006/relationships/worksheet" Target="/xl/worksheets/sheet9.xml" Id="R5949b5edc26f4a1b" /><Relationship Type="http://schemas.openxmlformats.org/officeDocument/2006/relationships/worksheet" Target="/xl/worksheets/sheet10.xml" Id="R94db2b6370d840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2026-08-10</x:v>
      </x:c>
      <x:c r="C4" s="10" t="n">
        <x:v>7736.1</x:v>
      </x:c>
      <x:c r="D4" s="10" t="n">
        <x:v>7621.65</x:v>
      </x:c>
      <x:c r="E4" s="12" t="n">
        <x:v>114.5</x:v>
      </x:c>
      <x:c r="F4" s="9" t="n">
        <x:v>6</x:v>
      </x:c>
      <x:c r="G4" s="10" t="n">
        <x:v>1032</x:v>
      </x:c>
      <x:c r="H4" s="10" t="n">
        <x:v>172</x:v>
      </x:c>
      <x:c r="I4" s="10" t="n">
        <x:v>180</x:v>
      </x:c>
    </x:row>
    <x:row r="5">
      <x:c r="A5" s="9" t="str">
        <x:v>中证500</x:v>
      </x:c>
      <x:c r="B5" s="9" t="str">
        <x:v>2026-08-10</x:v>
      </x:c>
      <x:c r="C5" s="10" t="n">
        <x:v>8031.16</x:v>
      </x:c>
      <x:c r="D5" s="10" t="n">
        <x:v>7910.84</x:v>
      </x:c>
      <x:c r="E5" s="12" t="n">
        <x:v>120.3</x:v>
      </x:c>
      <x:c r="F5" s="9" t="n">
        <x:v>6</x:v>
      </x:c>
      <x:c r="G5" s="10" t="n">
        <x:v>1060.4</x:v>
      </x:c>
      <x:c r="H5" s="10" t="n">
        <x:v>176.7</x:v>
      </x:c>
      <x:c r="I5" s="10" t="n">
        <x:v>160</x:v>
      </x:c>
    </x:row>
    <x:row r="6">
      <x:c r="A6" s="9" t="str">
        <x:v>上证指数</x:v>
      </x:c>
      <x:c r="B6" s="9" t="str">
        <x:v>2026-08-10</x:v>
      </x:c>
      <x:c r="C6" s="10" t="n">
        <x:v>3967.59</x:v>
      </x:c>
      <x:c r="D6" s="10" t="n">
        <x:v>3938.63</x:v>
      </x:c>
      <x:c r="E6" s="12" t="n">
        <x:v>29</x:v>
      </x:c>
      <x:c r="F6" s="9" t="n">
        <x:v>6</x:v>
      </x:c>
      <x:c r="G6" s="10" t="n">
        <x:v>253.8</x:v>
      </x:c>
      <x:c r="H6" s="10" t="n">
        <x:v>42.3</x:v>
      </x:c>
      <x:c r="I6" s="10" t="n">
        <x:v>50</x:v>
      </x:c>
    </x:row>
    <x:row r="7">
      <x:c r="A7" s="9" t="str">
        <x:v>IM主力</x:v>
      </x:c>
      <x:c r="B7" s="9" t="str">
        <x:v>2026-08-10</x:v>
      </x:c>
      <x:c r="C7" s="10" t="n">
        <x:v>7631.2</x:v>
      </x:c>
      <x:c r="D7" s="10" t="n">
        <x:v>7525</x:v>
      </x:c>
      <x:c r="E7" s="12" t="n">
        <x:v>106.2</x:v>
      </x:c>
      <x:c r="F7" s="9" t="n">
        <x:v>6</x:v>
      </x:c>
      <x:c r="G7" s="10" t="n">
        <x:v>1021</x:v>
      </x:c>
      <x:c r="H7" s="10" t="n">
        <x:v>170.2</x:v>
      </x:c>
      <x:c r="I7" s="10" t="n">
        <x:v>190</x:v>
      </x:c>
    </x:row>
    <x:row r="8">
      <x:c r="A8" s="9" t="str">
        <x:v>IC主力</x:v>
      </x:c>
      <x:c r="B8" s="9" t="str">
        <x:v>2026-08-07</x:v>
      </x:c>
      <x:c r="C8" s="10" t="n">
        <x:v>7882.6</x:v>
      </x:c>
      <x:c r="D8" s="10" t="n">
        <x:v>7667.4</x:v>
      </x:c>
      <x:c r="E8" s="12" t="n">
        <x:v>215.2</x:v>
      </x:c>
      <x:c r="F8" s="9" t="n">
        <x:v>5</x:v>
      </x:c>
      <x:c r="G8" s="10" t="n">
        <x:v>929</x:v>
      </x:c>
      <x:c r="H8" s="10" t="n">
        <x:v>185.8</x:v>
      </x:c>
      <x:c r="I8" s="10" t="n">
        <x:v>150</x:v>
      </x:c>
    </x:row>
    <x:row r="9">
      <x:c r="A9" s="9" t="str">
        <x:v>IF主力</x:v>
      </x:c>
      <x:c r="B9" s="9" t="str">
        <x:v>2026-08-07</x:v>
      </x:c>
      <x:c r="C9" s="10" t="n">
        <x:v>4656.2</x:v>
      </x:c>
      <x:c r="D9" s="10" t="n">
        <x:v>4604.6</x:v>
      </x:c>
      <x:c r="E9" s="12" t="n">
        <x:v>51.6</x:v>
      </x:c>
      <x:c r="F9" s="9" t="n">
        <x:v>5</x:v>
      </x:c>
      <x:c r="G9" s="10" t="n">
        <x:v>328.4</x:v>
      </x:c>
      <x:c r="H9" s="10" t="n">
        <x:v>65.7</x:v>
      </x:c>
      <x:c r="I9" s="10" t="n">
        <x:v>90</x:v>
      </x:c>
    </x:row>
    <x:row r="10">
      <x:c r="A10" s="9" t="str">
        <x:v>IH主力</x:v>
      </x:c>
      <x:c r="B10" s="9" t="str">
        <x:v>2026-08-07</x:v>
      </x:c>
      <x:c r="C10" s="10" t="n">
        <x:v>2930.6</x:v>
      </x:c>
      <x:c r="D10" s="10" t="n">
        <x:v>2884</x:v>
      </x:c>
      <x:c r="E10" s="12" t="n">
        <x:v>46.6</x:v>
      </x:c>
      <x:c r="F10" s="9" t="n">
        <x:v>5</x:v>
      </x:c>
      <x:c r="G10" s="10" t="n">
        <x:v>186.8</x:v>
      </x:c>
      <x:c r="H10" s="10" t="n">
        <x:v>37.4</x:v>
      </x:c>
      <x:c r="I10" s="10" t="n">
        <x:v>60</x:v>
      </x:c>
    </x:row>
    <x:row r="11">
      <x:c r="A11" s="9" t="str">
        <x:v>碳酸锂2609</x:v>
      </x:c>
      <x:c r="B11" s="9" t="str">
        <x:v>2026-08-07</x:v>
      </x:c>
      <x:c r="C11" s="10" t="n">
        <x:v>144800</x:v>
      </x:c>
      <x:c r="D11" s="10" t="n">
        <x:v>139600</x:v>
      </x:c>
      <x:c r="E11" s="12" t="n">
        <x:v>5200</x:v>
      </x:c>
      <x:c r="F11" s="9" t="n">
        <x:v>5</x:v>
      </x:c>
      <x:c r="G11" s="10" t="n">
        <x:v>25100</x:v>
      </x:c>
      <x:c r="H11" s="10" t="n">
        <x:v>5020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</x:v>
      </x:c>
      <x:c r="C6" s="23" t="n">
        <x:v>7723.38</x:v>
      </x:c>
      <x:c r="D6" s="23" t="n">
        <x:v>7736.1</x:v>
      </x:c>
      <x:c r="E6" s="23" t="n">
        <x:v>7621.65</x:v>
      </x:c>
      <x:c r="F6" s="23" t="n">
        <x:v>7733.9</x:v>
      </x:c>
      <x:c r="G6" s="23" t="n">
        <x:f>ROUND(F6-F5,1)</x:f>
        <x:v>54.4</x:v>
      </x:c>
      <x:c r="H6" s="24" t="n">
        <x:f>IFERROR(F6/F5-1,"")</x:f>
        <x:v>0.00707986035603736</x:v>
      </x:c>
      <x:c r="I6" s="23" t="n">
        <x:f>ROUND(D6-E6,1)</x:f>
        <x:v>114.5</x:v>
      </x:c>
      <x:c r="J6" s="22" t="str">
        <x:v>中证1000</x:v>
      </x:c>
      <x:c r="K6" s="22" t="n">
        <x:v>1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757.2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378.6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</x:v>
      </x:c>
      <x:c r="C13" s="23" t="n">
        <x:v>8003.92</x:v>
      </x:c>
      <x:c r="D13" s="23" t="n">
        <x:v>8031.16</x:v>
      </x:c>
      <x:c r="E13" s="23" t="n">
        <x:v>7910.84</x:v>
      </x:c>
      <x:c r="F13" s="23" t="n">
        <x:v>8030.95</x:v>
      </x:c>
      <x:c r="G13" s="23" t="n">
        <x:f>ROUND(F13-F12,1)</x:f>
        <x:v>50.8</x:v>
      </x:c>
      <x:c r="H13" s="24" t="n">
        <x:f>IFERROR(F13/F12-1,"")</x:f>
        <x:v>0.0063695784023298785</x:v>
      </x:c>
      <x:c r="I13" s="23" t="n">
        <x:f>ROUND(D13-E13,1)</x:f>
        <x:v>120.3</x:v>
      </x:c>
      <x:c r="J13" s="22" t="str">
        <x:v>中证500</x:v>
      </x:c>
      <x:c r="K13" s="22" t="n">
        <x:v>1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705.5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352.8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</x:v>
      </x:c>
      <x:c r="C20" s="23" t="n">
        <x:v>3943.82</x:v>
      </x:c>
      <x:c r="D20" s="23" t="n">
        <x:v>3967.59</x:v>
      </x:c>
      <x:c r="E20" s="23" t="n">
        <x:v>3938.63</x:v>
      </x:c>
      <x:c r="F20" s="23" t="n">
        <x:v>3966.59</x:v>
      </x:c>
      <x:c r="G20" s="23" t="n">
        <x:f>ROUND(F20-F19,1)</x:f>
        <x:v>26.6</x:v>
      </x:c>
      <x:c r="H20" s="24" t="n">
        <x:f>IFERROR(F20/F19-1,"")</x:f>
        <x:v>0.0067385102689312415</x:v>
      </x:c>
      <x:c r="I20" s="23" t="n">
        <x:f>ROUND(D20-E20,1)</x:f>
        <x:v>29</x:v>
      </x:c>
      <x:c r="J20" s="22" t="str">
        <x:v>上证指数</x:v>
      </x:c>
      <x:c r="K20" s="22" t="n">
        <x:v>1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172.3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86.2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</x:v>
      </x:c>
      <x:c r="C27" s="23" t="n">
        <x:v>7628.8</x:v>
      </x:c>
      <x:c r="D27" s="23" t="n">
        <x:v>7631.2</x:v>
      </x:c>
      <x:c r="E27" s="23" t="n">
        <x:v>7525</x:v>
      </x:c>
      <x:c r="F27" s="23" t="n">
        <x:v>7607.2</x:v>
      </x:c>
      <x:c r="G27" s="23" t="n">
        <x:f>ROUND(F27-F26,1)</x:f>
        <x:v>16.6</x:v>
      </x:c>
      <x:c r="H27" s="24" t="n">
        <x:f>IFERROR(F27/F26-1,"")</x:f>
        <x:v>0.002186915395357314</x:v>
      </x:c>
      <x:c r="I27" s="23" t="n">
        <x:f>ROUND(D27-E27,1)</x:f>
        <x:v>106.2</x:v>
      </x:c>
      <x:c r="J27" s="22" t="str">
        <x:v>IM2609</x:v>
      </x:c>
      <x:c r="K27" s="22" t="n">
        <x:v>1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724.4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362.2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9" t="str">
        <x:v>合计</x:v>
      </x:c>
      <x:c r="B34" s="28" t="n">
        <x:v>1</x:v>
      </x:c>
      <x:c r="C34" s="28"/>
      <x:c r="D34" s="28"/>
      <x:c r="E34" s="28"/>
      <x:c r="F34" s="28"/>
      <x:c r="G34" s="28"/>
      <x:c r="H34" s="28"/>
      <x:c r="I34" s="30" t="n">
        <x:f>ROUND(SUM(I33:I33),1)</x:f>
        <x:v>547.6</x:v>
      </x:c>
      <x:c r="J34" s="28"/>
      <x:c r="K34" s="28"/>
    </x:row>
    <x:row r="35">
      <x:c r="A35" s="29" t="str">
        <x:v>均值</x:v>
      </x:c>
      <x:c r="B35" s="28"/>
      <x:c r="C35" s="28"/>
      <x:c r="D35" s="28"/>
      <x:c r="E35" s="28"/>
      <x:c r="F35" s="28"/>
      <x:c r="G35" s="28"/>
      <x:c r="H35" s="28"/>
      <x:c r="I35" s="32" t="n">
        <x:f>ROUND(IFERROR(AVERAGE(I33:I33),0),1)</x:f>
        <x:v>547.6</x:v>
      </x:c>
      <x:c r="J35" s="28"/>
      <x:c r="K35" s="28"/>
    </x:row>
    <x:row r="37">
      <x:c r="A37" s="17" t="str">
        <x:v>IF主力</x:v>
      </x:c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</x:row>
    <x:row r="38">
      <x:c r="A38" s="20" t="str">
        <x:v>序号</x:v>
      </x:c>
      <x:c r="B38" s="20" t="str">
        <x:v>周期</x:v>
      </x:c>
      <x:c r="C38" s="20" t="str">
        <x:v>开盘</x:v>
      </x:c>
      <x:c r="D38" s="20" t="str">
        <x:v>高点</x:v>
      </x:c>
      <x:c r="E38" s="20" t="str">
        <x:v>低点</x:v>
      </x:c>
      <x:c r="F38" s="20" t="str">
        <x:v>收盘</x:v>
      </x:c>
      <x:c r="G38" s="20" t="str">
        <x:v>涨跌点数</x:v>
      </x:c>
      <x:c r="H38" s="20" t="str">
        <x:v>涨幅</x:v>
      </x:c>
      <x:c r="I38" s="20" t="str">
        <x:v>振幅</x:v>
      </x:c>
      <x:c r="J38" s="20" t="str">
        <x:v>标的</x:v>
      </x:c>
      <x:c r="K38" s="20" t="str">
        <x:v>交易日</x:v>
      </x:c>
    </x:row>
    <x:row r="39">
      <x:c r="A39" s="22" t="n">
        <x:v>1</x:v>
      </x:c>
      <x:c r="B39" s="22" t="str">
        <x:v>8月3日-8月7日</x:v>
      </x:c>
      <x:c r="C39" s="23" t="n">
        <x:v>4526.4</x:v>
      </x:c>
      <x:c r="D39" s="23" t="n">
        <x:v>4656.2</x:v>
      </x:c>
      <x:c r="E39" s="23" t="n">
        <x:v>4494.2</x:v>
      </x:c>
      <x:c r="F39" s="23" t="n">
        <x:v>4645.6</x:v>
      </x:c>
      <x:c r="G39" s="23"/>
      <x:c r="H39" s="24"/>
      <x:c r="I39" s="26" t="n">
        <x:f>ROUND(D39-E39,1)</x:f>
        <x:v>162</x:v>
      </x:c>
      <x:c r="J39" s="22" t="str">
        <x:v>IF2609</x:v>
      </x:c>
      <x:c r="K39" s="22" t="n">
        <x:v>5</x:v>
      </x:c>
    </x:row>
    <x:row r="40">
      <x:c r="A40" s="29" t="str">
        <x:v>合计</x:v>
      </x:c>
      <x:c r="B40" s="28" t="n">
        <x:v>1</x:v>
      </x:c>
      <x:c r="C40" s="28"/>
      <x:c r="D40" s="28"/>
      <x:c r="E40" s="28"/>
      <x:c r="F40" s="28"/>
      <x:c r="G40" s="28"/>
      <x:c r="H40" s="28"/>
      <x:c r="I40" s="30" t="n">
        <x:f>ROUND(SUM(I39:I39),1)</x:f>
        <x:v>162</x:v>
      </x:c>
      <x:c r="J40" s="28"/>
      <x:c r="K40" s="28"/>
    </x:row>
    <x:row r="41">
      <x:c r="A41" s="29" t="str">
        <x:v>均值</x:v>
      </x:c>
      <x:c r="B41" s="28"/>
      <x:c r="C41" s="28"/>
      <x:c r="D41" s="28"/>
      <x:c r="E41" s="28"/>
      <x:c r="F41" s="28"/>
      <x:c r="G41" s="28"/>
      <x:c r="H41" s="28"/>
      <x:c r="I41" s="32" t="n">
        <x:f>ROUND(IFERROR(AVERAGE(I39:I39),0),1)</x:f>
        <x:v>162</x:v>
      </x:c>
      <x:c r="J41" s="28"/>
      <x:c r="K41" s="28"/>
    </x:row>
    <x:row r="43">
      <x:c r="A43" s="17" t="str">
        <x:v>IH主力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2882.4</x:v>
      </x:c>
      <x:c r="D45" s="23" t="n">
        <x:v>2930.6</x:v>
      </x:c>
      <x:c r="E45" s="23" t="n">
        <x:v>2845.8</x:v>
      </x:c>
      <x:c r="F45" s="23" t="n">
        <x:v>2930</x:v>
      </x:c>
      <x:c r="G45" s="23"/>
      <x:c r="H45" s="24"/>
      <x:c r="I45" s="26" t="n">
        <x:f>ROUND(D45-E45,1)</x:f>
        <x:v>84.8</x:v>
      </x:c>
      <x:c r="J45" s="22" t="str">
        <x:v>IH2609</x:v>
      </x:c>
      <x:c r="K45" s="22" t="n">
        <x:v>5</x:v>
      </x:c>
    </x:row>
    <x:row r="46">
      <x:c r="A46" s="29" t="str">
        <x:v>合计</x:v>
      </x:c>
      <x:c r="B46" s="28" t="n">
        <x:v>1</x:v>
      </x:c>
      <x:c r="C46" s="28"/>
      <x:c r="D46" s="28"/>
      <x:c r="E46" s="28"/>
      <x:c r="F46" s="28"/>
      <x:c r="G46" s="28"/>
      <x:c r="H46" s="28"/>
      <x:c r="I46" s="30" t="n">
        <x:f>ROUND(SUM(I45:I45),1)</x:f>
        <x:v>84.8</x:v>
      </x:c>
      <x:c r="J46" s="28"/>
      <x:c r="K46" s="28"/>
    </x:row>
    <x:row r="47">
      <x:c r="A47" s="29" t="str">
        <x:v>均值</x:v>
      </x:c>
      <x:c r="B47" s="28"/>
      <x:c r="C47" s="28"/>
      <x:c r="D47" s="28"/>
      <x:c r="E47" s="28"/>
      <x:c r="F47" s="28"/>
      <x:c r="G47" s="28"/>
      <x:c r="H47" s="28"/>
      <x:c r="I47" s="32" t="n">
        <x:f>ROUND(IFERROR(AVERAGE(I45:I45),0),1)</x:f>
        <x:v>84.8</x:v>
      </x:c>
      <x:c r="J47" s="28"/>
      <x:c r="K47" s="28"/>
    </x:row>
    <x:row r="49">
      <x:c r="A49" s="17" t="str">
        <x:v>碳酸锂2609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8月3日-8月7日</x:v>
      </x:c>
      <x:c r="C51" s="23" t="n">
        <x:v>137500</x:v>
      </x:c>
      <x:c r="D51" s="23" t="n">
        <x:v>144800</x:v>
      </x:c>
      <x:c r="E51" s="23" t="n">
        <x:v>135560</x:v>
      </x:c>
      <x:c r="F51" s="23" t="n">
        <x:v>140000</x:v>
      </x:c>
      <x:c r="G51" s="23"/>
      <x:c r="H51" s="24"/>
      <x:c r="I51" s="26" t="n">
        <x:f>ROUND(D51-E51,1)</x:f>
        <x:v>9240</x:v>
      </x:c>
      <x:c r="J51" s="22" t="str">
        <x:v>LC2609</x:v>
      </x:c>
      <x:c r="K51" s="22" t="n">
        <x:v>5</x:v>
      </x:c>
    </x:row>
    <x:row r="52">
      <x:c r="A52" s="29" t="str">
        <x:v>合计</x:v>
      </x:c>
      <x:c r="B52" s="28" t="n">
        <x:v>1</x:v>
      </x:c>
      <x:c r="C52" s="28"/>
      <x:c r="D52" s="28"/>
      <x:c r="E52" s="28"/>
      <x:c r="F52" s="28"/>
      <x:c r="G52" s="28"/>
      <x:c r="H52" s="28"/>
      <x:c r="I52" s="30" t="n">
        <x:f>ROUND(SUM(I51:I51),1)</x:f>
        <x:v>9240</x:v>
      </x:c>
      <x:c r="J52" s="28"/>
      <x:c r="K52" s="28"/>
    </x:row>
    <x:row r="53">
      <x:c r="A53" s="29" t="str">
        <x:v>均值</x:v>
      </x:c>
      <x:c r="B53" s="28"/>
      <x:c r="C53" s="28"/>
      <x:c r="D53" s="28"/>
      <x:c r="E53" s="28"/>
      <x:c r="F53" s="28"/>
      <x:c r="G53" s="28"/>
      <x:c r="H53" s="28"/>
      <x:c r="I53" s="32" t="n">
        <x:f>ROUND(IFERROR(AVERAGE(I51:I51),0),1)</x:f>
        <x:v>9240</x:v>
      </x:c>
      <x:c r="J53" s="28"/>
      <x:c r="K53" s="28"/>
    </x:row>
  </x:sheetData>
  <x:mergeCells>
    <x:mergeCell ref="A1:K1"/>
    <x:mergeCell ref="A3:K3"/>
    <x:mergeCell ref="A10:K10"/>
    <x:mergeCell ref="A17:K17"/>
    <x:mergeCell ref="A24:K24"/>
    <x:mergeCell ref="A31:K31"/>
    <x:mergeCell ref="A37:K37"/>
    <x:mergeCell ref="A43:K43"/>
    <x:mergeCell ref="A49:K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1032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7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1060.4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176.7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253.8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42.3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1021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170.2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7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929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185.8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328.40000000000003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65.7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186.79999999999998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37.4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7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7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7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7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7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25100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5020</x:v>
      </x:c>
      <x:c r="K12" s="28"/>
    </x:row>
  </x:sheetData>
  <x:mergeCells>
    <x:mergeCell ref="A1:K1"/>
  </x:mergeCells>
  <x:pageMargins left="0.7" right="0.7" top="0.75" bottom="0.75" header="0.3" footer="0.3"/>
</x:worksheet>
</file>