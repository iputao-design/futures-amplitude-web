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7149a553d744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7e250ea3f9c4c9e"/>
    <x:sheet xmlns:r="http://schemas.openxmlformats.org/officeDocument/2006/relationships" name="周振幅统计" sheetId="2" r:id="R433ce4d67b5a4684"/>
    <x:sheet xmlns:r="http://schemas.openxmlformats.org/officeDocument/2006/relationships" name="中证1000" sheetId="3" r:id="R2188f34d2db04945"/>
    <x:sheet xmlns:r="http://schemas.openxmlformats.org/officeDocument/2006/relationships" name="中证500" sheetId="4" r:id="R0daecf9607a142a6"/>
    <x:sheet xmlns:r="http://schemas.openxmlformats.org/officeDocument/2006/relationships" name="上证指数" sheetId="5" r:id="Rc88c5f856d2e4417"/>
    <x:sheet xmlns:r="http://schemas.openxmlformats.org/officeDocument/2006/relationships" name="IM主力" sheetId="6" r:id="Rf76cef010dc84479"/>
    <x:sheet xmlns:r="http://schemas.openxmlformats.org/officeDocument/2006/relationships" name="IC主力" sheetId="7" r:id="Rf19f0aba53994194"/>
    <x:sheet xmlns:r="http://schemas.openxmlformats.org/officeDocument/2006/relationships" name="IF主力" sheetId="8" r:id="Rdc822ae1d9f34e77"/>
    <x:sheet xmlns:r="http://schemas.openxmlformats.org/officeDocument/2006/relationships" name="IH主力" sheetId="9" r:id="R7d718ae58f124b44"/>
    <x:sheet xmlns:r="http://schemas.openxmlformats.org/officeDocument/2006/relationships" name="碳酸锂2610" sheetId="10" r:id="R778f353ac0c54d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961248d79a4db0" /><Relationship Type="http://schemas.openxmlformats.org/officeDocument/2006/relationships/theme" Target="/xl/theme/theme1.xml" Id="Rd824cfda70854b89" /><Relationship Type="http://schemas.openxmlformats.org/officeDocument/2006/relationships/sharedStrings" Target="/xl/sharedStrings.xml" Id="Rdd64494fb0ba4bab" /><Relationship Type="http://schemas.openxmlformats.org/officeDocument/2006/relationships/worksheet" Target="/xl/worksheets/sheet1.xml" Id="R27e250ea3f9c4c9e" /><Relationship Type="http://schemas.openxmlformats.org/officeDocument/2006/relationships/worksheet" Target="/xl/worksheets/sheet2.xml" Id="R433ce4d67b5a4684" /><Relationship Type="http://schemas.openxmlformats.org/officeDocument/2006/relationships/worksheet" Target="/xl/worksheets/sheet3.xml" Id="R2188f34d2db04945" /><Relationship Type="http://schemas.openxmlformats.org/officeDocument/2006/relationships/worksheet" Target="/xl/worksheets/sheet4.xml" Id="R0daecf9607a142a6" /><Relationship Type="http://schemas.openxmlformats.org/officeDocument/2006/relationships/worksheet" Target="/xl/worksheets/sheet5.xml" Id="Rc88c5f856d2e4417" /><Relationship Type="http://schemas.openxmlformats.org/officeDocument/2006/relationships/worksheet" Target="/xl/worksheets/sheet6.xml" Id="Rf76cef010dc84479" /><Relationship Type="http://schemas.openxmlformats.org/officeDocument/2006/relationships/worksheet" Target="/xl/worksheets/sheet7.xml" Id="Rf19f0aba53994194" /><Relationship Type="http://schemas.openxmlformats.org/officeDocument/2006/relationships/worksheet" Target="/xl/worksheets/sheet8.xml" Id="Rdc822ae1d9f34e77" /><Relationship Type="http://schemas.openxmlformats.org/officeDocument/2006/relationships/worksheet" Target="/xl/worksheets/sheet9.xml" Id="R7d718ae58f124b44" /><Relationship Type="http://schemas.openxmlformats.org/officeDocument/2006/relationships/worksheet" Target="/xl/worksheets/sheet10.xml" Id="R778f353ac0c54d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2026-10-12</x:v>
      </x:c>
      <x:c r="C4" s="10" t="n">
        <x:v>7145.06</x:v>
      </x:c>
      <x:c r="D4" s="10" t="n">
        <x:v>7014.37</x:v>
      </x:c>
      <x:c r="E4" s="12" t="n">
        <x:v>130.7</x:v>
      </x:c>
      <x:c r="F4" s="9" t="n">
        <x:v>3</x:v>
      </x:c>
      <x:c r="G4" s="10" t="n">
        <x:v>659.7</x:v>
      </x:c>
      <x:c r="H4" s="10" t="n">
        <x:v>219.9</x:v>
      </x:c>
      <x:c r="I4" s="10" t="n">
        <x:v>180</x:v>
      </x:c>
    </x:row>
    <x:row r="5">
      <x:c r="A5" s="9" t="str">
        <x:v>中证500</x:v>
      </x:c>
      <x:c r="B5" s="9" t="str">
        <x:v>2026-10-12</x:v>
      </x:c>
      <x:c r="C5" s="10" t="n">
        <x:v>7236.78</x:v>
      </x:c>
      <x:c r="D5" s="10" t="n">
        <x:v>7085.92</x:v>
      </x:c>
      <x:c r="E5" s="12" t="n">
        <x:v>150.9</x:v>
      </x:c>
      <x:c r="F5" s="9" t="n">
        <x:v>3</x:v>
      </x:c>
      <x:c r="G5" s="10" t="n">
        <x:v>634.8</x:v>
      </x:c>
      <x:c r="H5" s="10" t="n">
        <x:v>211.6</x:v>
      </x:c>
      <x:c r="I5" s="10" t="n">
        <x:v>160</x:v>
      </x:c>
    </x:row>
    <x:row r="6">
      <x:c r="A6" s="9" t="str">
        <x:v>上证指数</x:v>
      </x:c>
      <x:c r="B6" s="9" t="str">
        <x:v>2026-10-12</x:v>
      </x:c>
      <x:c r="C6" s="10" t="n">
        <x:v>3828.22</x:v>
      </x:c>
      <x:c r="D6" s="10" t="n">
        <x:v>3791</x:v>
      </x:c>
      <x:c r="E6" s="12" t="n">
        <x:v>37.2</x:v>
      </x:c>
      <x:c r="F6" s="9" t="n">
        <x:v>3</x:v>
      </x:c>
      <x:c r="G6" s="10" t="n">
        <x:v>176.6</x:v>
      </x:c>
      <x:c r="H6" s="10" t="n">
        <x:v>58.9</x:v>
      </x:c>
      <x:c r="I6" s="10" t="n">
        <x:v>50</x:v>
      </x:c>
    </x:row>
    <x:row r="7">
      <x:c r="A7" s="9" t="str">
        <x:v>IM主力</x:v>
      </x:c>
      <x:c r="B7" s="9" t="str">
        <x:v>2026-10-12</x:v>
      </x:c>
      <x:c r="C7" s="10" t="n">
        <x:v>7031.2</x:v>
      </x:c>
      <x:c r="D7" s="10" t="n">
        <x:v>6886.6</x:v>
      </x:c>
      <x:c r="E7" s="12" t="n">
        <x:v>144.6</x:v>
      </x:c>
      <x:c r="F7" s="9" t="n">
        <x:v>3</x:v>
      </x:c>
      <x:c r="G7" s="10" t="n">
        <x:v>678</x:v>
      </x:c>
      <x:c r="H7" s="10" t="n">
        <x:v>226</x:v>
      </x:c>
      <x:c r="I7" s="10" t="n">
        <x:v>190</x:v>
      </x:c>
    </x:row>
    <x:row r="8">
      <x:c r="A8" s="9" t="str">
        <x:v>IC主力</x:v>
      </x:c>
      <x:c r="B8" s="9" t="str">
        <x:v>2026-10-12</x:v>
      </x:c>
      <x:c r="C8" s="10" t="n">
        <x:v>7115.6</x:v>
      </x:c>
      <x:c r="D8" s="10" t="n">
        <x:v>6943.6</x:v>
      </x:c>
      <x:c r="E8" s="12" t="n">
        <x:v>172</x:v>
      </x:c>
      <x:c r="F8" s="9" t="n">
        <x:v>3</x:v>
      </x:c>
      <x:c r="G8" s="10" t="n">
        <x:v>686.6</x:v>
      </x:c>
      <x:c r="H8" s="10" t="n">
        <x:v>228.9</x:v>
      </x:c>
      <x:c r="I8" s="10" t="n">
        <x:v>150</x:v>
      </x:c>
    </x:row>
    <x:row r="9">
      <x:c r="A9" s="9" t="str">
        <x:v>IF主力</x:v>
      </x:c>
      <x:c r="B9" s="9" t="str">
        <x:v>2026-10-12</x:v>
      </x:c>
      <x:c r="C9" s="10" t="n">
        <x:v>4273.6</x:v>
      </x:c>
      <x:c r="D9" s="10" t="n">
        <x:v>4213.8</x:v>
      </x:c>
      <x:c r="E9" s="12" t="n">
        <x:v>59.8</x:v>
      </x:c>
      <x:c r="F9" s="9" t="n">
        <x:v>3</x:v>
      </x:c>
      <x:c r="G9" s="10" t="n">
        <x:v>257</x:v>
      </x:c>
      <x:c r="H9" s="10" t="n">
        <x:v>85.7</x:v>
      </x:c>
      <x:c r="I9" s="10" t="n">
        <x:v>90</x:v>
      </x:c>
    </x:row>
    <x:row r="10">
      <x:c r="A10" s="9" t="str">
        <x:v>IH主力</x:v>
      </x:c>
      <x:c r="B10" s="9" t="str">
        <x:v>2026-10-12</x:v>
      </x:c>
      <x:c r="C10" s="10" t="n">
        <x:v>2794</x:v>
      </x:c>
      <x:c r="D10" s="10" t="n">
        <x:v>2761.2</x:v>
      </x:c>
      <x:c r="E10" s="12" t="n">
        <x:v>32.8</x:v>
      </x:c>
      <x:c r="F10" s="9" t="n">
        <x:v>3</x:v>
      </x:c>
      <x:c r="G10" s="10" t="n">
        <x:v>127.4</x:v>
      </x:c>
      <x:c r="H10" s="10" t="n">
        <x:v>42.5</x:v>
      </x:c>
      <x:c r="I10" s="10" t="n">
        <x:v>60</x:v>
      </x:c>
    </x:row>
    <x:row r="11">
      <x:c r="A11" s="9" t="str">
        <x:v>碳酸锂2610</x:v>
      </x:c>
      <x:c r="B11" s="9" t="str">
        <x:v>2026-10-12</x:v>
      </x:c>
      <x:c r="C11" s="10" t="n">
        <x:v>125960</x:v>
      </x:c>
      <x:c r="D11" s="10" t="n">
        <x:v>107100</x:v>
      </x:c>
      <x:c r="E11" s="12" t="n">
        <x:v>18860</x:v>
      </x:c>
      <x:c r="F11" s="9" t="n">
        <x:v>3</x:v>
      </x:c>
      <x:c r="G11" s="10" t="n">
        <x:v>29860</x:v>
      </x:c>
      <x:c r="H11" s="10" t="n">
        <x:v>9953.3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</x:v>
      </x:c>
      <x:c r="C6" s="23" t="n">
        <x:v>7132.68</x:v>
      </x:c>
      <x:c r="D6" s="23" t="n">
        <x:v>7145.06</x:v>
      </x:c>
      <x:c r="E6" s="23" t="n">
        <x:v>7014.37</x:v>
      </x:c>
      <x:c r="F6" s="23" t="n">
        <x:v>7021.47</x:v>
      </x:c>
      <x:c r="G6" s="23" t="n">
        <x:f>ROUND(F6-F5,1)</x:f>
        <x:v>-134.4</x:v>
      </x:c>
      <x:c r="H6" s="24" t="n">
        <x:f>IFERROR(F6/F5-1,"")</x:f>
        <x:v>-0.018787268146189584</x:v>
      </x:c>
      <x:c r="I6" s="23" t="n">
        <x:f>ROUND(D6-E6,1)</x:f>
        <x:v>130.7</x:v>
      </x:c>
      <x:c r="J6" s="22" t="str">
        <x:v>中证1000</x:v>
      </x:c>
      <x:c r="K6" s="22" t="n">
        <x:v>1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572.1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286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</x:v>
      </x:c>
      <x:c r="C13" s="23" t="n">
        <x:v>7226.07</x:v>
      </x:c>
      <x:c r="D13" s="23" t="n">
        <x:v>7236.78</x:v>
      </x:c>
      <x:c r="E13" s="23" t="n">
        <x:v>7085.92</x:v>
      </x:c>
      <x:c r="F13" s="23" t="n">
        <x:v>7093.02</x:v>
      </x:c>
      <x:c r="G13" s="34" t="n">
        <x:f>ROUND(F13-F12,1)</x:f>
        <x:v>-158</x:v>
      </x:c>
      <x:c r="H13" s="24" t="n">
        <x:f>IFERROR(F13/F12-1,"")</x:f>
        <x:v>-0.02178868874818818</x:v>
      </x:c>
      <x:c r="I13" s="23" t="n">
        <x:f>ROUND(D13-E13,1)</x:f>
        <x:v>150.9</x:v>
      </x:c>
      <x:c r="J13" s="22" t="str">
        <x:v>中证500</x:v>
      </x:c>
      <x:c r="K13" s="22" t="n">
        <x:v>1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563.7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281.9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</x:v>
      </x:c>
      <x:c r="C20" s="23" t="n">
        <x:v>3806.98</x:v>
      </x:c>
      <x:c r="D20" s="23" t="n">
        <x:v>3828.22</x:v>
      </x:c>
      <x:c r="E20" s="23" t="n">
        <x:v>3791</x:v>
      </x:c>
      <x:c r="F20" s="23" t="n">
        <x:v>3797.24</x:v>
      </x:c>
      <x:c r="G20" s="23" t="n">
        <x:f>ROUND(F20-F19,1)</x:f>
        <x:v>-16.6</x:v>
      </x:c>
      <x:c r="H20" s="24" t="n">
        <x:f>IFERROR(F20/F19-1,"")</x:f>
        <x:v>-0.00433951528531995</x:v>
      </x:c>
      <x:c r="I20" s="23" t="n">
        <x:f>ROUND(D20-E20,1)</x:f>
        <x:v>37.2</x:v>
      </x:c>
      <x:c r="J20" s="22" t="str">
        <x:v>上证指数</x:v>
      </x:c>
      <x:c r="K20" s="22" t="n">
        <x:v>1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147.2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73.6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</x:v>
      </x:c>
      <x:c r="C27" s="23" t="n">
        <x:v>7000</x:v>
      </x:c>
      <x:c r="D27" s="23" t="n">
        <x:v>7031.2</x:v>
      </x:c>
      <x:c r="E27" s="23" t="n">
        <x:v>6886.6</x:v>
      </x:c>
      <x:c r="F27" s="23" t="n">
        <x:v>6921</x:v>
      </x:c>
      <x:c r="G27" s="23" t="n">
        <x:f>ROUND(F27-F26,1)</x:f>
        <x:v>-94.8</x:v>
      </x:c>
      <x:c r="H27" s="24" t="n">
        <x:f>IFERROR(F27/F26-1,"")</x:f>
        <x:v>-0.01351235782091853</x:v>
      </x:c>
      <x:c r="I27" s="23" t="n">
        <x:f>ROUND(D27-E27,1)</x:f>
        <x:v>144.6</x:v>
      </x:c>
      <x:c r="J27" s="22" t="str">
        <x:v>IM2612</x:v>
      </x:c>
      <x:c r="K27" s="22" t="n">
        <x:v>1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577.2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288.6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</x:v>
      </x:c>
      <x:c r="C34" s="23" t="n">
        <x:v>7076.6</x:v>
      </x:c>
      <x:c r="D34" s="23" t="n">
        <x:v>7115.6</x:v>
      </x:c>
      <x:c r="E34" s="23" t="n">
        <x:v>6943.6</x:v>
      </x:c>
      <x:c r="F34" s="23" t="n">
        <x:v>6986</x:v>
      </x:c>
      <x:c r="G34" s="23" t="n">
        <x:f>ROUND(F34-F33,1)</x:f>
        <x:v>-125</x:v>
      </x:c>
      <x:c r="H34" s="24" t="n">
        <x:f>IFERROR(F34/F33-1,"")</x:f>
        <x:v>-0.017578399662494748</x:v>
      </x:c>
      <x:c r="I34" s="26" t="n">
        <x:f>ROUND(D34-E34,1)</x:f>
        <x:v>172</x:v>
      </x:c>
      <x:c r="J34" s="22" t="str">
        <x:v>IC2612</x:v>
      </x:c>
      <x:c r="K34" s="22" t="n">
        <x:v>1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595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297.5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</x:v>
      </x:c>
      <x:c r="C41" s="23" t="n">
        <x:v>4240.4</x:v>
      </x:c>
      <x:c r="D41" s="23" t="n">
        <x:v>4273.6</x:v>
      </x:c>
      <x:c r="E41" s="23" t="n">
        <x:v>4213.8</x:v>
      </x:c>
      <x:c r="F41" s="23" t="n">
        <x:v>4233.6</x:v>
      </x:c>
      <x:c r="G41" s="23" t="n">
        <x:f>ROUND(F41-F40,1)</x:f>
        <x:v>-11.2</x:v>
      </x:c>
      <x:c r="H41" s="24" t="n">
        <x:f>IFERROR(F41/F40-1,"")</x:f>
        <x:v>-0.0026385224274405594</x:v>
      </x:c>
      <x:c r="I41" s="23" t="n">
        <x:f>ROUND(D41-E41,1)</x:f>
        <x:v>59.8</x:v>
      </x:c>
      <x:c r="J41" s="22" t="str">
        <x:v>IF2612</x:v>
      </x:c>
      <x:c r="K41" s="22" t="n">
        <x:v>1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211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105.5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</x:v>
      </x:c>
      <x:c r="C48" s="23" t="n">
        <x:v>2762</x:v>
      </x:c>
      <x:c r="D48" s="23" t="n">
        <x:v>2794</x:v>
      </x:c>
      <x:c r="E48" s="23" t="n">
        <x:v>2761.2</x:v>
      </x:c>
      <x:c r="F48" s="23" t="n">
        <x:v>2779</x:v>
      </x:c>
      <x:c r="G48" s="23" t="n">
        <x:f>ROUND(F48-F47,1)</x:f>
        <x:v>15</x:v>
      </x:c>
      <x:c r="H48" s="24" t="n">
        <x:f>IFERROR(F48/F47-1,"")</x:f>
        <x:v>0.00542691751085389</x:v>
      </x:c>
      <x:c r="I48" s="23" t="n">
        <x:f>ROUND(D48-E48,1)</x:f>
        <x:v>32.8</x:v>
      </x:c>
      <x:c r="J48" s="22" t="str">
        <x:v>IH2612</x:v>
      </x:c>
      <x:c r="K48" s="22" t="n">
        <x:v>1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96.2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48.1</x:v>
      </x:c>
      <x:c r="J50" s="28"/>
      <x:c r="K50" s="28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</x:v>
      </x:c>
      <x:c r="C55" s="23" t="n">
        <x:v>125960</x:v>
      </x:c>
      <x:c r="D55" s="23" t="n">
        <x:v>125960</x:v>
      </x:c>
      <x:c r="E55" s="23" t="n">
        <x:v>107100</x:v>
      </x:c>
      <x:c r="F55" s="23" t="n">
        <x:v>107100</x:v>
      </x:c>
      <x:c r="G55" s="34" t="n">
        <x:f>ROUND(F55-F54,1)</x:f>
        <x:v>-13900</x:v>
      </x:c>
      <x:c r="H55" s="24" t="n">
        <x:f>IFERROR(F55/F54-1,"")</x:f>
        <x:v>-0.11487603305785121</x:v>
      </x:c>
      <x:c r="I55" s="26" t="n">
        <x:f>ROUND(D55-E55,1)</x:f>
        <x:v>18860</x:v>
      </x:c>
      <x:c r="J55" s="22" t="str">
        <x:v>LC2610</x:v>
      </x:c>
      <x:c r="K55" s="22" t="n">
        <x:v>1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26660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13330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4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659.7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219.9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4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34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634.8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211.6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176.59999999999997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58.9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678.0000000000001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226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4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686.6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228.9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257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85.7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127.39999999999999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42.5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34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34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34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29860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9953.3</x:v>
      </x:c>
      <x:c r="K10" s="28"/>
    </x:row>
  </x:sheetData>
  <x:mergeCells>
    <x:mergeCell ref="A1:K1"/>
  </x:mergeCells>
  <x:pageMargins left="0.7" right="0.7" top="0.75" bottom="0.75" header="0.3" footer="0.3"/>
</x:worksheet>
</file>