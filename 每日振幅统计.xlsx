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1d6add51e44f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b68d53e0cc743fc"/>
    <x:sheet xmlns:r="http://schemas.openxmlformats.org/officeDocument/2006/relationships" name="周振幅统计" sheetId="2" r:id="R113afc4f93ed4be8"/>
    <x:sheet xmlns:r="http://schemas.openxmlformats.org/officeDocument/2006/relationships" name="中证1000" sheetId="3" r:id="Rda78812c1cf143ee"/>
    <x:sheet xmlns:r="http://schemas.openxmlformats.org/officeDocument/2006/relationships" name="中证500" sheetId="4" r:id="Rdaeca1abd9c34fca"/>
    <x:sheet xmlns:r="http://schemas.openxmlformats.org/officeDocument/2006/relationships" name="上证指数" sheetId="5" r:id="R40b3d909f50e4c43"/>
    <x:sheet xmlns:r="http://schemas.openxmlformats.org/officeDocument/2006/relationships" name="IM主力" sheetId="6" r:id="Ra3c55fdfbbb648de"/>
    <x:sheet xmlns:r="http://schemas.openxmlformats.org/officeDocument/2006/relationships" name="IC主力" sheetId="7" r:id="Raf1b3dfd22d0412a"/>
    <x:sheet xmlns:r="http://schemas.openxmlformats.org/officeDocument/2006/relationships" name="IF主力" sheetId="8" r:id="R9c3b3f775c794233"/>
    <x:sheet xmlns:r="http://schemas.openxmlformats.org/officeDocument/2006/relationships" name="IH主力" sheetId="9" r:id="Red132be2df254248"/>
    <x:sheet xmlns:r="http://schemas.openxmlformats.org/officeDocument/2006/relationships" name="碳酸锂2609" sheetId="10" r:id="Rd6ff078e4e724c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554478797d4d04" /><Relationship Type="http://schemas.openxmlformats.org/officeDocument/2006/relationships/theme" Target="/xl/theme/theme1.xml" Id="R0ef1d194d8e442dd" /><Relationship Type="http://schemas.openxmlformats.org/officeDocument/2006/relationships/sharedStrings" Target="/xl/sharedStrings.xml" Id="R9c5931f891f44221" /><Relationship Type="http://schemas.openxmlformats.org/officeDocument/2006/relationships/worksheet" Target="/xl/worksheets/sheet1.xml" Id="R5b68d53e0cc743fc" /><Relationship Type="http://schemas.openxmlformats.org/officeDocument/2006/relationships/worksheet" Target="/xl/worksheets/sheet2.xml" Id="R113afc4f93ed4be8" /><Relationship Type="http://schemas.openxmlformats.org/officeDocument/2006/relationships/worksheet" Target="/xl/worksheets/sheet3.xml" Id="Rda78812c1cf143ee" /><Relationship Type="http://schemas.openxmlformats.org/officeDocument/2006/relationships/worksheet" Target="/xl/worksheets/sheet4.xml" Id="Rdaeca1abd9c34fca" /><Relationship Type="http://schemas.openxmlformats.org/officeDocument/2006/relationships/worksheet" Target="/xl/worksheets/sheet5.xml" Id="R40b3d909f50e4c43" /><Relationship Type="http://schemas.openxmlformats.org/officeDocument/2006/relationships/worksheet" Target="/xl/worksheets/sheet6.xml" Id="Ra3c55fdfbbb648de" /><Relationship Type="http://schemas.openxmlformats.org/officeDocument/2006/relationships/worksheet" Target="/xl/worksheets/sheet7.xml" Id="Raf1b3dfd22d0412a" /><Relationship Type="http://schemas.openxmlformats.org/officeDocument/2006/relationships/worksheet" Target="/xl/worksheets/sheet8.xml" Id="R9c3b3f775c794233" /><Relationship Type="http://schemas.openxmlformats.org/officeDocument/2006/relationships/worksheet" Target="/xl/worksheets/sheet9.xml" Id="Red132be2df254248" /><Relationship Type="http://schemas.openxmlformats.org/officeDocument/2006/relationships/worksheet" Target="/xl/worksheets/sheet10.xml" Id="Rd6ff078e4e724c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2026-08-21</x:v>
      </x:c>
      <x:c r="C4" s="10" t="n">
        <x:v>7634.08</x:v>
      </x:c>
      <x:c r="D4" s="10" t="n">
        <x:v>7472.49</x:v>
      </x:c>
      <x:c r="E4" s="12" t="n">
        <x:v>161.6</x:v>
      </x:c>
      <x:c r="F4" s="9" t="n">
        <x:v>15</x:v>
      </x:c>
      <x:c r="G4" s="10" t="n">
        <x:v>2547.3</x:v>
      </x:c>
      <x:c r="H4" s="10" t="n">
        <x:v>169.8</x:v>
      </x:c>
      <x:c r="I4" s="10" t="n">
        <x:v>180</x:v>
      </x:c>
    </x:row>
    <x:row r="5">
      <x:c r="A5" s="9" t="str">
        <x:v>中证500</x:v>
      </x:c>
      <x:c r="B5" s="9" t="str">
        <x:v>2026-08-21</x:v>
      </x:c>
      <x:c r="C5" s="10" t="n">
        <x:v>7877.34</x:v>
      </x:c>
      <x:c r="D5" s="10" t="n">
        <x:v>7756.28</x:v>
      </x:c>
      <x:c r="E5" s="12" t="n">
        <x:v>121.1</x:v>
      </x:c>
      <x:c r="F5" s="9" t="n">
        <x:v>15</x:v>
      </x:c>
      <x:c r="G5" s="10" t="n">
        <x:v>2450.5</x:v>
      </x:c>
      <x:c r="H5" s="10" t="n">
        <x:v>163.4</x:v>
      </x:c>
      <x:c r="I5" s="10" t="n">
        <x:v>160</x:v>
      </x:c>
    </x:row>
    <x:row r="6">
      <x:c r="A6" s="9" t="str">
        <x:v>上证指数</x:v>
      </x:c>
      <x:c r="B6" s="9" t="str">
        <x:v>2026-08-21</x:v>
      </x:c>
      <x:c r="C6" s="10" t="n">
        <x:v>3912.13</x:v>
      </x:c>
      <x:c r="D6" s="10" t="n">
        <x:v>3883.79</x:v>
      </x:c>
      <x:c r="E6" s="12" t="n">
        <x:v>28.3</x:v>
      </x:c>
      <x:c r="F6" s="9" t="n">
        <x:v>15</x:v>
      </x:c>
      <x:c r="G6" s="10" t="n">
        <x:v>629.9</x:v>
      </x:c>
      <x:c r="H6" s="10" t="n">
        <x:v>42</x:v>
      </x:c>
      <x:c r="I6" s="10" t="n">
        <x:v>50</x:v>
      </x:c>
    </x:row>
    <x:row r="7">
      <x:c r="A7" s="9" t="str">
        <x:v>IM主力</x:v>
      </x:c>
      <x:c r="B7" s="9" t="str">
        <x:v>2026-08-21</x:v>
      </x:c>
      <x:c r="C7" s="10" t="n">
        <x:v>7575</x:v>
      </x:c>
      <x:c r="D7" s="10" t="n">
        <x:v>7410</x:v>
      </x:c>
      <x:c r="E7" s="12" t="n">
        <x:v>165</x:v>
      </x:c>
      <x:c r="F7" s="9" t="n">
        <x:v>15</x:v>
      </x:c>
      <x:c r="G7" s="10" t="n">
        <x:v>2495.4</x:v>
      </x:c>
      <x:c r="H7" s="10" t="n">
        <x:v>166.4</x:v>
      </x:c>
      <x:c r="I7" s="10" t="n">
        <x:v>190</x:v>
      </x:c>
    </x:row>
    <x:row r="8">
      <x:c r="A8" s="9" t="str">
        <x:v>IC主力</x:v>
      </x:c>
      <x:c r="B8" s="9" t="str">
        <x:v>2026-08-20</x:v>
      </x:c>
      <x:c r="C8" s="10" t="n">
        <x:v>7811</x:v>
      </x:c>
      <x:c r="D8" s="10" t="n">
        <x:v>7713</x:v>
      </x:c>
      <x:c r="E8" s="12" t="n">
        <x:v>98</x:v>
      </x:c>
      <x:c r="F8" s="9" t="n">
        <x:v>14</x:v>
      </x:c>
      <x:c r="G8" s="10" t="n">
        <x:v>2307</x:v>
      </x:c>
      <x:c r="H8" s="10" t="n">
        <x:v>164.8</x:v>
      </x:c>
      <x:c r="I8" s="10" t="n">
        <x:v>150</x:v>
      </x:c>
    </x:row>
    <x:row r="9">
      <x:c r="A9" s="9" t="str">
        <x:v>IF主力</x:v>
      </x:c>
      <x:c r="B9" s="9" t="str">
        <x:v>2026-08-20</x:v>
      </x:c>
      <x:c r="C9" s="10" t="n">
        <x:v>4585</x:v>
      </x:c>
      <x:c r="D9" s="10" t="n">
        <x:v>4532.4</x:v>
      </x:c>
      <x:c r="E9" s="12" t="n">
        <x:v>52.6</x:v>
      </x:c>
      <x:c r="F9" s="9" t="n">
        <x:v>14</x:v>
      </x:c>
      <x:c r="G9" s="10" t="n">
        <x:v>860.6</x:v>
      </x:c>
      <x:c r="H9" s="10" t="n">
        <x:v>61.5</x:v>
      </x:c>
      <x:c r="I9" s="10" t="n">
        <x:v>90</x:v>
      </x:c>
    </x:row>
    <x:row r="10">
      <x:c r="A10" s="9" t="str">
        <x:v>IH主力</x:v>
      </x:c>
      <x:c r="B10" s="9" t="str">
        <x:v>2026-08-20</x:v>
      </x:c>
      <x:c r="C10" s="10" t="n">
        <x:v>2880.8</x:v>
      </x:c>
      <x:c r="D10" s="10" t="n">
        <x:v>2848</x:v>
      </x:c>
      <x:c r="E10" s="12" t="n">
        <x:v>32.8</x:v>
      </x:c>
      <x:c r="F10" s="9" t="n">
        <x:v>14</x:v>
      </x:c>
      <x:c r="G10" s="10" t="n">
        <x:v>482.8</x:v>
      </x:c>
      <x:c r="H10" s="10" t="n">
        <x:v>34.5</x:v>
      </x:c>
      <x:c r="I10" s="10" t="n">
        <x:v>60</x:v>
      </x:c>
    </x:row>
    <x:row r="11">
      <x:c r="A11" s="9" t="str">
        <x:v>碳酸锂2609</x:v>
      </x:c>
      <x:c r="B11" s="9" t="str">
        <x:v>2026-08-21</x:v>
      </x:c>
      <x:c r="C11" s="10" t="n">
        <x:v>157000</x:v>
      </x:c>
      <x:c r="D11" s="10" t="n">
        <x:v>150020</x:v>
      </x:c>
      <x:c r="E11" s="12" t="n">
        <x:v>6980</x:v>
      </x:c>
      <x:c r="F11" s="9" t="n">
        <x:v>15</x:v>
      </x:c>
      <x:c r="G11" s="10" t="n">
        <x:v>74100</x:v>
      </x:c>
      <x:c r="H11" s="10" t="n">
        <x:v>4940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1424.3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474.8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8月17日-8月21日</x:v>
      </x:c>
      <x:c r="C15" s="23" t="n">
        <x:v>8007.87</x:v>
      </x:c>
      <x:c r="D15" s="23" t="n">
        <x:v>8211.31</x:v>
      </x:c>
      <x:c r="E15" s="23" t="n">
        <x:v>7756.28</x:v>
      </x:c>
      <x:c r="F15" s="23" t="n">
        <x:v>7854.33</x:v>
      </x:c>
      <x:c r="G15" s="23" t="n">
        <x:f>ROUND(F15-F14,1)</x:f>
        <x:v>-136</x:v>
      </x:c>
      <x:c r="H15" s="24" t="n">
        <x:f>IFERROR(F15/F14-1,"")</x:f>
        <x:v>-0.01702057361836118</x:v>
      </x:c>
      <x:c r="I15" s="26" t="n">
        <x:f>ROUND(D15-E15,1)</x:f>
        <x:v>455</x:v>
      </x:c>
      <x:c r="J15" s="22" t="str">
        <x:v>中证500</x:v>
      </x:c>
      <x:c r="K15" s="22" t="n">
        <x:v>5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1285.3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428.4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8月17日-8月21日</x:v>
      </x:c>
      <x:c r="C23" s="23" t="n">
        <x:v>3930.1</x:v>
      </x:c>
      <x:c r="D23" s="23" t="n">
        <x:v>3994.18</x:v>
      </x:c>
      <x:c r="E23" s="23" t="n">
        <x:v>3879.58</x:v>
      </x:c>
      <x:c r="F23" s="23" t="n">
        <x:v>3905.2</x:v>
      </x:c>
      <x:c r="G23" s="23" t="n">
        <x:f>ROUND(F23-F22,1)</x:f>
        <x:v>-22</x:v>
      </x:c>
      <x:c r="H23" s="24" t="n">
        <x:f>IFERROR(F23/F22-1,"")</x:f>
        <x:v>-0.00559689140808417</x:v>
      </x:c>
      <x:c r="I23" s="26" t="n">
        <x:f>ROUND(D23-E23,1)</x:f>
        <x:v>114.6</x:v>
      </x:c>
      <x:c r="J23" s="22" t="str">
        <x:v>上证指数</x:v>
      </x:c>
      <x:c r="K23" s="22" t="n">
        <x:v>5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322.7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107.6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8月17日-8月21日</x:v>
      </x:c>
      <x:c r="C31" s="23" t="n">
        <x:v>7675</x:v>
      </x:c>
      <x:c r="D31" s="23" t="n">
        <x:v>7882.8</x:v>
      </x:c>
      <x:c r="E31" s="23" t="n">
        <x:v>7410</x:v>
      </x:c>
      <x:c r="F31" s="23" t="n">
        <x:v>7527</x:v>
      </x:c>
      <x:c r="G31" s="23" t="n">
        <x:f>ROUND(F31-F30,1)</x:f>
        <x:v>-123.2</x:v>
      </x:c>
      <x:c r="H31" s="24" t="n">
        <x:f>IFERROR(F31/F30-1,"")</x:f>
        <x:v>-0.016104154139761073</x:v>
      </x:c>
      <x:c r="I31" s="26" t="n">
        <x:f>ROUND(D31-E31,1)</x:f>
        <x:v>472.8</x:v>
      </x:c>
      <x:c r="J31" s="22" t="str">
        <x:v>IM2609</x:v>
      </x:c>
      <x:c r="K31" s="22" t="n">
        <x:v>5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1342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447.3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8月17日-8月20日</x:v>
      </x:c>
      <x:c r="C39" s="23" t="n">
        <x:v>7885</x:v>
      </x:c>
      <x:c r="D39" s="23" t="n">
        <x:v>8091.8</x:v>
      </x:c>
      <x:c r="E39" s="23" t="n">
        <x:v>7680.2</x:v>
      </x:c>
      <x:c r="F39" s="23" t="n">
        <x:v>7761</x:v>
      </x:c>
      <x:c r="G39" s="23" t="n">
        <x:f>ROUND(F39-F38,1)</x:f>
        <x:v>-100.2</x:v>
      </x:c>
      <x:c r="H39" s="24" t="n">
        <x:f>IFERROR(F39/F38-1,"")</x:f>
        <x:v>-0.012746145626621908</x:v>
      </x:c>
      <x:c r="I39" s="26" t="n">
        <x:f>ROUND(D39-E39,1)</x:f>
        <x:v>411.6</x:v>
      </x:c>
      <x:c r="J39" s="22" t="str">
        <x:v>IC2609</x:v>
      </x:c>
      <x:c r="K39" s="22" t="n">
        <x:v>4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1187.4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395.8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8月17日-8月20日</x:v>
      </x:c>
      <x:c r="C47" s="23" t="n">
        <x:v>4624</x:v>
      </x:c>
      <x:c r="D47" s="23" t="n">
        <x:v>4700.6</x:v>
      </x:c>
      <x:c r="E47" s="23" t="n">
        <x:v>4531.8</x:v>
      </x:c>
      <x:c r="F47" s="23" t="n">
        <x:v>4554</x:v>
      </x:c>
      <x:c r="G47" s="23" t="n">
        <x:f>ROUND(F47-F46,1)</x:f>
        <x:v>-66.4</x:v>
      </x:c>
      <x:c r="H47" s="24" t="n">
        <x:f>IFERROR(F47/F46-1,"")</x:f>
        <x:v>-0.014371050125530194</x:v>
      </x:c>
      <x:c r="I47" s="26" t="n">
        <x:f>ROUND(D47-E47,1)</x:f>
        <x:v>168.8</x:v>
      </x:c>
      <x:c r="J47" s="22" t="str">
        <x:v>IF2609</x:v>
      </x:c>
      <x:c r="K47" s="22" t="n">
        <x:v>4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413.8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137.9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8月17日-8月20日</x:v>
      </x:c>
      <x:c r="C55" s="23" t="n">
        <x:v>2886</x:v>
      </x:c>
      <x:c r="D55" s="23" t="n">
        <x:v>2921.2</x:v>
      </x:c>
      <x:c r="E55" s="23" t="n">
        <x:v>2843</x:v>
      </x:c>
      <x:c r="F55" s="23" t="n">
        <x:v>2858.8</x:v>
      </x:c>
      <x:c r="G55" s="23" t="n">
        <x:f>ROUND(F55-F54,1)</x:f>
        <x:v>-31.2</x:v>
      </x:c>
      <x:c r="H55" s="24" t="n">
        <x:f>IFERROR(F55/F54-1,"")</x:f>
        <x:v>-0.01079584775086495</x:v>
      </x:c>
      <x:c r="I55" s="26" t="n">
        <x:f>ROUND(D55-E55,1)</x:f>
        <x:v>78.2</x:v>
      </x:c>
      <x:c r="J55" s="22" t="str">
        <x:v>IH2609</x:v>
      </x:c>
      <x:c r="K55" s="22" t="n">
        <x:v>4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235.6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78.5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8月17日-8月21日</x:v>
      </x:c>
      <x:c r="C63" s="23" t="n">
        <x:v>154300</x:v>
      </x:c>
      <x:c r="D63" s="23" t="n">
        <x:v>157000</x:v>
      </x:c>
      <x:c r="E63" s="23" t="n">
        <x:v>148400</x:v>
      </x:c>
      <x:c r="F63" s="23" t="n">
        <x:v>156140</x:v>
      </x:c>
      <x:c r="G63" s="28" t="n">
        <x:f>ROUND(F63-F62,1)</x:f>
        <x:v>2200</x:v>
      </x:c>
      <x:c r="H63" s="24" t="n">
        <x:f>IFERROR(F63/F62-1,"")</x:f>
        <x:v>0.014291282317786091</x:v>
      </x:c>
      <x:c r="I63" s="26" t="n">
        <x:f>ROUND(D63-E63,1)</x:f>
        <x:v>8600</x:v>
      </x:c>
      <x:c r="J63" s="22" t="str">
        <x:v>LC2609</x:v>
      </x:c>
      <x:c r="K63" s="22" t="n">
        <x:v>5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33060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11020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2547.3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169.8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2450.5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163.4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629.9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42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2495.4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166.4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2307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164.8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860.6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61.5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482.80000000000007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34.5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74100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4940</x:v>
      </x:c>
      <x:c r="K22" s="30"/>
    </x:row>
  </x:sheetData>
  <x:mergeCells>
    <x:mergeCell ref="A1:K1"/>
  </x:mergeCells>
  <x:pageMargins left="0.7" right="0.7" top="0.75" bottom="0.75" header="0.3" footer="0.3"/>
</x:worksheet>
</file>