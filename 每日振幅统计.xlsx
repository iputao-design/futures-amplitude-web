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b8400d2f0249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eeb824f84fc43f7"/>
    <x:sheet xmlns:r="http://schemas.openxmlformats.org/officeDocument/2006/relationships" name="周振幅统计" sheetId="2" r:id="R1553f5ec4fab4fdc"/>
    <x:sheet xmlns:r="http://schemas.openxmlformats.org/officeDocument/2006/relationships" name="中证1000" sheetId="3" r:id="R5decb48900ce4eec"/>
    <x:sheet xmlns:r="http://schemas.openxmlformats.org/officeDocument/2006/relationships" name="中证500" sheetId="4" r:id="Ra891618fc7e340cd"/>
    <x:sheet xmlns:r="http://schemas.openxmlformats.org/officeDocument/2006/relationships" name="上证指数" sheetId="5" r:id="Rccf88655455c442d"/>
    <x:sheet xmlns:r="http://schemas.openxmlformats.org/officeDocument/2006/relationships" name="IM主力" sheetId="6" r:id="Ra428059fb02341b8"/>
    <x:sheet xmlns:r="http://schemas.openxmlformats.org/officeDocument/2006/relationships" name="IC主力" sheetId="7" r:id="Rd3f48608e70b4b98"/>
    <x:sheet xmlns:r="http://schemas.openxmlformats.org/officeDocument/2006/relationships" name="IF主力" sheetId="8" r:id="R06a55abf84d34c86"/>
    <x:sheet xmlns:r="http://schemas.openxmlformats.org/officeDocument/2006/relationships" name="IH主力" sheetId="9" r:id="R96e8a5b4afa74683"/>
    <x:sheet xmlns:r="http://schemas.openxmlformats.org/officeDocument/2006/relationships" name="碳酸锂2610" sheetId="10" r:id="R0d19c911689746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3b16fde6104ae9" /><Relationship Type="http://schemas.openxmlformats.org/officeDocument/2006/relationships/theme" Target="/xl/theme/theme1.xml" Id="Rb9616779a3514ddc" /><Relationship Type="http://schemas.openxmlformats.org/officeDocument/2006/relationships/sharedStrings" Target="/xl/sharedStrings.xml" Id="R9b04d9a666c8400e" /><Relationship Type="http://schemas.openxmlformats.org/officeDocument/2006/relationships/worksheet" Target="/xl/worksheets/sheet1.xml" Id="Rbeeb824f84fc43f7" /><Relationship Type="http://schemas.openxmlformats.org/officeDocument/2006/relationships/worksheet" Target="/xl/worksheets/sheet2.xml" Id="R1553f5ec4fab4fdc" /><Relationship Type="http://schemas.openxmlformats.org/officeDocument/2006/relationships/worksheet" Target="/xl/worksheets/sheet3.xml" Id="R5decb48900ce4eec" /><Relationship Type="http://schemas.openxmlformats.org/officeDocument/2006/relationships/worksheet" Target="/xl/worksheets/sheet4.xml" Id="Ra891618fc7e340cd" /><Relationship Type="http://schemas.openxmlformats.org/officeDocument/2006/relationships/worksheet" Target="/xl/worksheets/sheet5.xml" Id="Rccf88655455c442d" /><Relationship Type="http://schemas.openxmlformats.org/officeDocument/2006/relationships/worksheet" Target="/xl/worksheets/sheet6.xml" Id="Ra428059fb02341b8" /><Relationship Type="http://schemas.openxmlformats.org/officeDocument/2006/relationships/worksheet" Target="/xl/worksheets/sheet7.xml" Id="Rd3f48608e70b4b98" /><Relationship Type="http://schemas.openxmlformats.org/officeDocument/2006/relationships/worksheet" Target="/xl/worksheets/sheet8.xml" Id="R06a55abf84d34c86" /><Relationship Type="http://schemas.openxmlformats.org/officeDocument/2006/relationships/worksheet" Target="/xl/worksheets/sheet9.xml" Id="R96e8a5b4afa74683" /><Relationship Type="http://schemas.openxmlformats.org/officeDocument/2006/relationships/worksheet" Target="/xl/worksheets/sheet10.xml" Id="R0d19c9116897461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2026-10-30</x:v>
      </x:c>
      <x:c r="C4" s="10" t="n">
        <x:v>6428.58</x:v>
      </x:c>
      <x:c r="D4" s="10" t="n">
        <x:v>6161.23</x:v>
      </x:c>
      <x:c r="E4" s="12" t="n">
        <x:v>267.4</x:v>
      </x:c>
      <x:c r="F4" s="9" t="n">
        <x:v>17</x:v>
      </x:c>
      <x:c r="G4" s="10" t="n">
        <x:v>3595.2</x:v>
      </x:c>
      <x:c r="H4" s="10" t="n">
        <x:v>211.5</x:v>
      </x:c>
      <x:c r="I4" s="10" t="n">
        <x:v>180</x:v>
      </x:c>
    </x:row>
    <x:row r="5">
      <x:c r="A5" s="9" t="str">
        <x:v>中证500</x:v>
      </x:c>
      <x:c r="B5" s="9" t="str">
        <x:v>2026-10-30</x:v>
      </x:c>
      <x:c r="C5" s="10" t="n">
        <x:v>6483.01</x:v>
      </x:c>
      <x:c r="D5" s="10" t="n">
        <x:v>6266.19</x:v>
      </x:c>
      <x:c r="E5" s="12" t="n">
        <x:v>216.8</x:v>
      </x:c>
      <x:c r="F5" s="9" t="n">
        <x:v>17</x:v>
      </x:c>
      <x:c r="G5" s="10" t="n">
        <x:v>3301.3</x:v>
      </x:c>
      <x:c r="H5" s="10" t="n">
        <x:v>194.2</x:v>
      </x:c>
      <x:c r="I5" s="10" t="n">
        <x:v>160</x:v>
      </x:c>
    </x:row>
    <x:row r="6">
      <x:c r="A6" s="9" t="str">
        <x:v>上证指数</x:v>
      </x:c>
      <x:c r="B6" s="9" t="str">
        <x:v>2026-10-30</x:v>
      </x:c>
      <x:c r="C6" s="10" t="n">
        <x:v>3660.21</x:v>
      </x:c>
      <x:c r="D6" s="10" t="n">
        <x:v>3595.26</x:v>
      </x:c>
      <x:c r="E6" s="12" t="n">
        <x:v>64.9</x:v>
      </x:c>
      <x:c r="F6" s="9" t="n">
        <x:v>17</x:v>
      </x:c>
      <x:c r="G6" s="10" t="n">
        <x:v>961.3</x:v>
      </x:c>
      <x:c r="H6" s="10" t="n">
        <x:v>56.5</x:v>
      </x:c>
      <x:c r="I6" s="10" t="n">
        <x:v>50</x:v>
      </x:c>
    </x:row>
    <x:row r="7">
      <x:c r="A7" s="9" t="str">
        <x:v>IM主力</x:v>
      </x:c>
      <x:c r="B7" s="9" t="str">
        <x:v>2026-10-30</x:v>
      </x:c>
      <x:c r="C7" s="10" t="n">
        <x:v>6368</x:v>
      </x:c>
      <x:c r="D7" s="10" t="n">
        <x:v>6081</x:v>
      </x:c>
      <x:c r="E7" s="12" t="n">
        <x:v>287</x:v>
      </x:c>
      <x:c r="F7" s="9" t="n">
        <x:v>17</x:v>
      </x:c>
      <x:c r="G7" s="10" t="n">
        <x:v>3873</x:v>
      </x:c>
      <x:c r="H7" s="10" t="n">
        <x:v>227.8</x:v>
      </x:c>
      <x:c r="I7" s="10" t="n">
        <x:v>190</x:v>
      </x:c>
    </x:row>
    <x:row r="8">
      <x:c r="A8" s="9" t="str">
        <x:v>IC主力</x:v>
      </x:c>
      <x:c r="B8" s="9" t="str">
        <x:v>2026-10-30</x:v>
      </x:c>
      <x:c r="C8" s="10" t="n">
        <x:v>6416.8</x:v>
      </x:c>
      <x:c r="D8" s="10" t="n">
        <x:v>6186</x:v>
      </x:c>
      <x:c r="E8" s="12" t="n">
        <x:v>230.8</x:v>
      </x:c>
      <x:c r="F8" s="9" t="n">
        <x:v>17</x:v>
      </x:c>
      <x:c r="G8" s="10" t="n">
        <x:v>3679.6</x:v>
      </x:c>
      <x:c r="H8" s="10" t="n">
        <x:v>216.4</x:v>
      </x:c>
      <x:c r="I8" s="10" t="n">
        <x:v>150</x:v>
      </x:c>
    </x:row>
    <x:row r="9">
      <x:c r="A9" s="9" t="str">
        <x:v>IF主力</x:v>
      </x:c>
      <x:c r="B9" s="9" t="str">
        <x:v>2026-10-30</x:v>
      </x:c>
      <x:c r="C9" s="10" t="n">
        <x:v>4000.8</x:v>
      </x:c>
      <x:c r="D9" s="10" t="n">
        <x:v>3914.2</x:v>
      </x:c>
      <x:c r="E9" s="12" t="n">
        <x:v>86.6</x:v>
      </x:c>
      <x:c r="F9" s="9" t="n">
        <x:v>17</x:v>
      </x:c>
      <x:c r="G9" s="10" t="n">
        <x:v>1379.4</x:v>
      </x:c>
      <x:c r="H9" s="10" t="n">
        <x:v>81.1</x:v>
      </x:c>
      <x:c r="I9" s="10" t="n">
        <x:v>90</x:v>
      </x:c>
    </x:row>
    <x:row r="10">
      <x:c r="A10" s="9" t="str">
        <x:v>IH主力</x:v>
      </x:c>
      <x:c r="B10" s="9" t="str">
        <x:v>2026-10-30</x:v>
      </x:c>
      <x:c r="C10" s="10" t="n">
        <x:v>2733</x:v>
      </x:c>
      <x:c r="D10" s="10" t="n">
        <x:v>2688.4</x:v>
      </x:c>
      <x:c r="E10" s="12" t="n">
        <x:v>44.6</x:v>
      </x:c>
      <x:c r="F10" s="9" t="n">
        <x:v>17</x:v>
      </x:c>
      <x:c r="G10" s="10" t="n">
        <x:v>748</x:v>
      </x:c>
      <x:c r="H10" s="10" t="n">
        <x:v>44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10</x:v>
      </x:c>
      <x:c r="G11" s="10" t="n">
        <x:v>58980</x:v>
      </x:c>
      <x:c r="H11" s="10" t="n">
        <x:v>5898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2026-10-30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10月19日-10月23日</x:v>
      </x:c>
      <x:c r="C7" s="23" t="n">
        <x:v>6639.94</x:v>
      </x:c>
      <x:c r="D7" s="23" t="n">
        <x:v>6880.55</x:v>
      </x:c>
      <x:c r="E7" s="23" t="n">
        <x:v>6301.81</x:v>
      </x:c>
      <x:c r="F7" s="23" t="n">
        <x:v>6734.55</x:v>
      </x:c>
      <x:c r="G7" s="23" t="n">
        <x:f>ROUND(F7-F6,1)</x:f>
        <x:v>52.6</x:v>
      </x:c>
      <x:c r="H7" s="24" t="n">
        <x:f>IFERROR(F7/F6-1,"")</x:f>
        <x:v>0.007873461898789902</x:v>
      </x:c>
      <x:c r="I7" s="26" t="n">
        <x:f>ROUND(D7-E7,1)</x:f>
        <x:v>578.7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10月26日-10月30日</x:v>
      </x:c>
      <x:c r="C8" s="23" t="n">
        <x:v>6684.93</x:v>
      </x:c>
      <x:c r="D8" s="23" t="n">
        <x:v>6717.99</x:v>
      </x:c>
      <x:c r="E8" s="23" t="n">
        <x:v>6161.23</x:v>
      </x:c>
      <x:c r="F8" s="23" t="n">
        <x:v>6161.23</x:v>
      </x:c>
      <x:c r="G8" s="28" t="n">
        <x:f>ROUND(F8-F7,1)</x:f>
        <x:v>-573.3</x:v>
      </x:c>
      <x:c r="H8" s="24" t="n">
        <x:f>IFERROR(F8/F7-1,"")</x:f>
        <x:v>-0.08513115204430888</x:v>
      </x:c>
      <x:c r="I8" s="26" t="n">
        <x:f>ROUND(D8-E8,1)</x:f>
        <x:v>556.8</x:v>
      </x:c>
      <x:c r="J8" s="22" t="str">
        <x:v>中证1000</x:v>
      </x:c>
      <x:c r="K8" s="22" t="n">
        <x:v>5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2095.4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523.8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10月8日-10月9日</x:v>
      </x:c>
      <x:c r="C14" s="23" t="n">
        <x:v>7420.44</x:v>
      </x:c>
      <x:c r="D14" s="23" t="n">
        <x:v>7461.24</x:v>
      </x:c>
      <x:c r="E14" s="23" t="n">
        <x:v>7048.45</x:v>
      </x:c>
      <x:c r="F14" s="23" t="n">
        <x:v>7251.01</x:v>
      </x:c>
      <x:c r="G14" s="23"/>
      <x:c r="H14" s="24"/>
      <x:c r="I14" s="26" t="n">
        <x:f>ROUND(D14-E14,1)</x:f>
        <x:v>412.8</x:v>
      </x:c>
      <x:c r="J14" s="22" t="str">
        <x:v>中证500</x:v>
      </x:c>
      <x:c r="K14" s="22" t="n">
        <x:v>2</x:v>
      </x:c>
    </x:row>
    <x:row r="15">
      <x:c r="A15" s="22" t="n">
        <x:v>2</x:v>
      </x:c>
      <x:c r="B15" s="22" t="str">
        <x:v>10月12日-10月16日</x:v>
      </x:c>
      <x:c r="C15" s="23" t="n">
        <x:v>7226.07</x:v>
      </x:c>
      <x:c r="D15" s="23" t="n">
        <x:v>7236.78</x:v>
      </x:c>
      <x:c r="E15" s="23" t="n">
        <x:v>6719.82</x:v>
      </x:c>
      <x:c r="F15" s="23" t="n">
        <x:v>6772.75</x:v>
      </x:c>
      <x:c r="G15" s="28" t="n">
        <x:f>ROUND(F15-F14,1)</x:f>
        <x:v>-478.3</x:v>
      </x:c>
      <x:c r="H15" s="24" t="n">
        <x:f>IFERROR(F15/F14-1,"")</x:f>
        <x:v>-0.06595770796068412</x:v>
      </x:c>
      <x:c r="I15" s="26" t="n">
        <x:f>ROUND(D15-E15,1)</x:f>
        <x:v>517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10月19日-10月23日</x:v>
      </x:c>
      <x:c r="C16" s="23" t="n">
        <x:v>6735.53</x:v>
      </x:c>
      <x:c r="D16" s="23" t="n">
        <x:v>6941.51</x:v>
      </x:c>
      <x:c r="E16" s="23" t="n">
        <x:v>6440.29</x:v>
      </x:c>
      <x:c r="F16" s="23" t="n">
        <x:v>6814.44</x:v>
      </x:c>
      <x:c r="G16" s="23" t="n">
        <x:f>ROUND(F16-F15,1)</x:f>
        <x:v>41.7</x:v>
      </x:c>
      <x:c r="H16" s="24" t="n">
        <x:f>IFERROR(F16/F15-1,"")</x:f>
        <x:v>0.006155549813591232</x:v>
      </x:c>
      <x:c r="I16" s="26" t="n">
        <x:f>ROUND(D16-E16,1)</x:f>
        <x:v>501.2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10月26日-10月30日</x:v>
      </x:c>
      <x:c r="C17" s="23" t="n">
        <x:v>6756.46</x:v>
      </x:c>
      <x:c r="D17" s="23" t="n">
        <x:v>6787.32</x:v>
      </x:c>
      <x:c r="E17" s="23" t="n">
        <x:v>6266.19</x:v>
      </x:c>
      <x:c r="F17" s="23" t="n">
        <x:v>6266.19</x:v>
      </x:c>
      <x:c r="G17" s="28" t="n">
        <x:f>ROUND(F17-F16,1)</x:f>
        <x:v>-548.2</x:v>
      </x:c>
      <x:c r="H17" s="24" t="n">
        <x:f>IFERROR(F17/F16-1,"")</x:f>
        <x:v>-0.08045415323929772</x:v>
      </x:c>
      <x:c r="I17" s="26" t="n">
        <x:f>ROUND(D17-E17,1)</x:f>
        <x:v>521.1</x:v>
      </x:c>
      <x:c r="J17" s="22" t="str">
        <x:v>中证500</x:v>
      </x:c>
      <x:c r="K17" s="22" t="n">
        <x:v>5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1952.1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488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10月8日-10月9日</x:v>
      </x:c>
      <x:c r="C23" s="23" t="n">
        <x:v>3838.98</x:v>
      </x:c>
      <x:c r="D23" s="23" t="n">
        <x:v>3864.12</x:v>
      </x:c>
      <x:c r="E23" s="23" t="n">
        <x:v>3754.14</x:v>
      </x:c>
      <x:c r="F23" s="23" t="n">
        <x:v>3813.79</x:v>
      </x:c>
      <x:c r="G23" s="23"/>
      <x:c r="H23" s="24"/>
      <x:c r="I23" s="26" t="n">
        <x:f>ROUND(D23-E23,1)</x:f>
        <x:v>110</x:v>
      </x:c>
      <x:c r="J23" s="22" t="str">
        <x:v>上证指数</x:v>
      </x:c>
      <x:c r="K23" s="22" t="n">
        <x:v>2</x:v>
      </x:c>
    </x:row>
    <x:row r="24">
      <x:c r="A24" s="22" t="n">
        <x:v>2</x:v>
      </x:c>
      <x:c r="B24" s="22" t="str">
        <x:v>10月12日-10月16日</x:v>
      </x:c>
      <x:c r="C24" s="23" t="n">
        <x:v>3806.98</x:v>
      </x:c>
      <x:c r="D24" s="23" t="n">
        <x:v>3828.22</x:v>
      </x:c>
      <x:c r="E24" s="23" t="n">
        <x:v>3674.82</x:v>
      </x:c>
      <x:c r="F24" s="23" t="n">
        <x:v>3716.28</x:v>
      </x:c>
      <x:c r="G24" s="23" t="n">
        <x:f>ROUND(F24-F23,1)</x:f>
        <x:v>-97.5</x:v>
      </x:c>
      <x:c r="H24" s="24" t="n">
        <x:f>IFERROR(F24/F23-1,"")</x:f>
        <x:v>-0.02556774232456427</x:v>
      </x:c>
      <x:c r="I24" s="26" t="n">
        <x:f>ROUND(D24-E24,1)</x:f>
        <x:v>153.4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10月19日-10月23日</x:v>
      </x:c>
      <x:c r="C25" s="23" t="n">
        <x:v>3694.12</x:v>
      </x:c>
      <x:c r="D25" s="23" t="n">
        <x:v>3743.8</x:v>
      </x:c>
      <x:c r="E25" s="23" t="n">
        <x:v>3574.27</x:v>
      </x:c>
      <x:c r="F25" s="23" t="n">
        <x:v>3690.48</x:v>
      </x:c>
      <x:c r="G25" s="23" t="n">
        <x:f>ROUND(F25-F24,1)</x:f>
        <x:v>-25.8</x:v>
      </x:c>
      <x:c r="H25" s="24" t="n">
        <x:f>IFERROR(F25/F24-1,"")</x:f>
        <x:v>-0.0069424262972650475</x:v>
      </x:c>
      <x:c r="I25" s="26" t="n">
        <x:f>ROUND(D25-E25,1)</x:f>
        <x:v>169.5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10月26日-10月30日</x:v>
      </x:c>
      <x:c r="C26" s="23" t="n">
        <x:v>3671</x:v>
      </x:c>
      <x:c r="D26" s="23" t="n">
        <x:v>3708.2</x:v>
      </x:c>
      <x:c r="E26" s="23" t="n">
        <x:v>3595.26</x:v>
      </x:c>
      <x:c r="F26" s="23" t="n">
        <x:v>3599.02</x:v>
      </x:c>
      <x:c r="G26" s="23" t="n">
        <x:f>ROUND(F26-F25,1)</x:f>
        <x:v>-91.5</x:v>
      </x:c>
      <x:c r="H26" s="24" t="n">
        <x:f>IFERROR(F26/F25-1,"")</x:f>
        <x:v>-0.024782684095293828</x:v>
      </x:c>
      <x:c r="I26" s="26" t="n">
        <x:f>ROUND(D26-E26,1)</x:f>
        <x:v>112.9</x:v>
      </x:c>
      <x:c r="J26" s="22" t="str">
        <x:v>上证指数</x:v>
      </x:c>
      <x:c r="K26" s="22" t="n">
        <x:v>5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545.8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136.5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10月8日-10月9日</x:v>
      </x:c>
      <x:c r="C32" s="23" t="n">
        <x:v>7182.8</x:v>
      </x:c>
      <x:c r="D32" s="23" t="n">
        <x:v>7251.8</x:v>
      </x:c>
      <x:c r="E32" s="23" t="n">
        <x:v>6819.2</x:v>
      </x:c>
      <x:c r="F32" s="23" t="n">
        <x:v>7015.8</x:v>
      </x:c>
      <x:c r="G32" s="23"/>
      <x:c r="H32" s="24"/>
      <x:c r="I32" s="26" t="n">
        <x:f>ROUND(D32-E32,1)</x:f>
        <x:v>432.6</x:v>
      </x:c>
      <x:c r="J32" s="22" t="str">
        <x:v>IM2612</x:v>
      </x:c>
      <x:c r="K32" s="22" t="n">
        <x:v>2</x:v>
      </x:c>
    </x:row>
    <x:row r="33">
      <x:c r="A33" s="22" t="n">
        <x:v>2</x:v>
      </x:c>
      <x:c r="B33" s="22" t="str">
        <x:v>10月12日-10月16日</x:v>
      </x:c>
      <x:c r="C33" s="23" t="n">
        <x:v>7000</x:v>
      </x:c>
      <x:c r="D33" s="23" t="n">
        <x:v>7031.2</x:v>
      </x:c>
      <x:c r="E33" s="23" t="n">
        <x:v>6519.6</x:v>
      </x:c>
      <x:c r="F33" s="23" t="n">
        <x:v>6583.6</x:v>
      </x:c>
      <x:c r="G33" s="28" t="n">
        <x:f>ROUND(F33-F32,1)</x:f>
        <x:v>-432.2</x:v>
      </x:c>
      <x:c r="H33" s="24" t="n">
        <x:f>IFERROR(F33/F32-1,"")</x:f>
        <x:v>-0.06160380854642378</x:v>
      </x:c>
      <x:c r="I33" s="26" t="n">
        <x:f>ROUND(D33-E33,1)</x:f>
        <x:v>511.6</x:v>
      </x:c>
      <x:c r="J33" s="22" t="str">
        <x:v>IM2612</x:v>
      </x:c>
      <x:c r="K33" s="22" t="n">
        <x:v>5</x:v>
      </x:c>
    </x:row>
    <x:row r="34">
      <x:c r="A34" s="22" t="n">
        <x:v>3</x:v>
      </x:c>
      <x:c r="B34" s="22" t="str">
        <x:v>10月19日-10月23日</x:v>
      </x:c>
      <x:c r="C34" s="23" t="n">
        <x:v>6577.2</x:v>
      </x:c>
      <x:c r="D34" s="23" t="n">
        <x:v>6799.6</x:v>
      </x:c>
      <x:c r="E34" s="23" t="n">
        <x:v>6212.6</x:v>
      </x:c>
      <x:c r="F34" s="23" t="n">
        <x:v>6660</x:v>
      </x:c>
      <x:c r="G34" s="23" t="n">
        <x:f>ROUND(F34-F33,1)</x:f>
        <x:v>76.4</x:v>
      </x:c>
      <x:c r="H34" s="24" t="n">
        <x:f>IFERROR(F34/F33-1,"")</x:f>
        <x:v>0.011604593231666405</x:v>
      </x:c>
      <x:c r="I34" s="26" t="n">
        <x:f>ROUND(D34-E34,1)</x:f>
        <x:v>587</x:v>
      </x:c>
      <x:c r="J34" s="22" t="str">
        <x:v>IM2612</x:v>
      </x:c>
      <x:c r="K34" s="22" t="n">
        <x:v>5</x:v>
      </x:c>
    </x:row>
    <x:row r="35">
      <x:c r="A35" s="22" t="n">
        <x:v>4</x:v>
      </x:c>
      <x:c r="B35" s="22" t="str">
        <x:v>10月26日-10月30日</x:v>
      </x:c>
      <x:c r="C35" s="23" t="n">
        <x:v>6618</x:v>
      </x:c>
      <x:c r="D35" s="23" t="n">
        <x:v>6670.8</x:v>
      </x:c>
      <x:c r="E35" s="23" t="n">
        <x:v>6081</x:v>
      </x:c>
      <x:c r="F35" s="23" t="n">
        <x:v>6081</x:v>
      </x:c>
      <x:c r="G35" s="28" t="n">
        <x:f>ROUND(F35-F34,1)</x:f>
        <x:v>-579</x:v>
      </x:c>
      <x:c r="H35" s="24" t="n">
        <x:f>IFERROR(F35/F34-1,"")</x:f>
        <x:v>-0.08693693693693694</x:v>
      </x:c>
      <x:c r="I35" s="26" t="n">
        <x:f>ROUND(D35-E35,1)</x:f>
        <x:v>589.8</x:v>
      </x:c>
      <x:c r="J35" s="22" t="str">
        <x:v>IM2612</x:v>
      </x:c>
      <x:c r="K35" s="22" t="n">
        <x:v>5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2121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530.3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10月8日-10月9日</x:v>
      </x:c>
      <x:c r="C41" s="23" t="n">
        <x:v>7295</x:v>
      </x:c>
      <x:c r="D41" s="23" t="n">
        <x:v>7355</x:v>
      </x:c>
      <x:c r="E41" s="23" t="n">
        <x:v>6932</x:v>
      </x:c>
      <x:c r="F41" s="23" t="n">
        <x:v>7111</x:v>
      </x:c>
      <x:c r="G41" s="23"/>
      <x:c r="H41" s="24"/>
      <x:c r="I41" s="26" t="n">
        <x:f>ROUND(D41-E41,1)</x:f>
        <x:v>423</x:v>
      </x:c>
      <x:c r="J41" s="22" t="str">
        <x:v>IC2612</x:v>
      </x:c>
      <x:c r="K41" s="22" t="n">
        <x:v>2</x:v>
      </x:c>
    </x:row>
    <x:row r="42">
      <x:c r="A42" s="22" t="n">
        <x:v>2</x:v>
      </x:c>
      <x:c r="B42" s="22" t="str">
        <x:v>10月12日-10月16日</x:v>
      </x:c>
      <x:c r="C42" s="23" t="n">
        <x:v>7076.6</x:v>
      </x:c>
      <x:c r="D42" s="23" t="n">
        <x:v>7115.6</x:v>
      </x:c>
      <x:c r="E42" s="23" t="n">
        <x:v>6583.2</x:v>
      </x:c>
      <x:c r="F42" s="23" t="n">
        <x:v>6667.8</x:v>
      </x:c>
      <x:c r="G42" s="28" t="n">
        <x:f>ROUND(F42-F41,1)</x:f>
        <x:v>-443.2</x:v>
      </x:c>
      <x:c r="H42" s="24" t="n">
        <x:f>IFERROR(F42/F41-1,"")</x:f>
        <x:v>-0.062325973843341265</x:v>
      </x:c>
      <x:c r="I42" s="26" t="n">
        <x:f>ROUND(D42-E42,1)</x:f>
        <x:v>532.4</x:v>
      </x:c>
      <x:c r="J42" s="22" t="str">
        <x:v>IC2612</x:v>
      </x:c>
      <x:c r="K42" s="22" t="n">
        <x:v>5</x:v>
      </x:c>
    </x:row>
    <x:row r="43">
      <x:c r="A43" s="22" t="n">
        <x:v>3</x:v>
      </x:c>
      <x:c r="B43" s="22" t="str">
        <x:v>10月19日-10月23日</x:v>
      </x:c>
      <x:c r="C43" s="23" t="n">
        <x:v>6670.2</x:v>
      </x:c>
      <x:c r="D43" s="23" t="n">
        <x:v>6864</x:v>
      </x:c>
      <x:c r="E43" s="23" t="n">
        <x:v>6340</x:v>
      </x:c>
      <x:c r="F43" s="23" t="n">
        <x:v>6742</x:v>
      </x:c>
      <x:c r="G43" s="23" t="n">
        <x:f>ROUND(F43-F42,1)</x:f>
        <x:v>74.2</x:v>
      </x:c>
      <x:c r="H43" s="24" t="n">
        <x:f>IFERROR(F43/F42-1,"")</x:f>
        <x:v>0.011128108221602373</x:v>
      </x:c>
      <x:c r="I43" s="26" t="n">
        <x:f>ROUND(D43-E43,1)</x:f>
        <x:v>524</x:v>
      </x:c>
      <x:c r="J43" s="22" t="str">
        <x:v>IC2612</x:v>
      </x:c>
      <x:c r="K43" s="22" t="n">
        <x:v>5</x:v>
      </x:c>
    </x:row>
    <x:row r="44">
      <x:c r="A44" s="22" t="n">
        <x:v>4</x:v>
      </x:c>
      <x:c r="B44" s="22" t="str">
        <x:v>10月26日-10月30日</x:v>
      </x:c>
      <x:c r="C44" s="23" t="n">
        <x:v>6700</x:v>
      </x:c>
      <x:c r="D44" s="23" t="n">
        <x:v>6732.2</x:v>
      </x:c>
      <x:c r="E44" s="23" t="n">
        <x:v>6186</x:v>
      </x:c>
      <x:c r="F44" s="23" t="n">
        <x:v>6187.2</x:v>
      </x:c>
      <x:c r="G44" s="28" t="n">
        <x:f>ROUND(F44-F43,1)</x:f>
        <x:v>-554.8</x:v>
      </x:c>
      <x:c r="H44" s="24" t="n">
        <x:f>IFERROR(F44/F43-1,"")</x:f>
        <x:v>-0.08229012162563043</x:v>
      </x:c>
      <x:c r="I44" s="26" t="n">
        <x:f>ROUND(D44-E44,1)</x:f>
        <x:v>546.2</x:v>
      </x:c>
      <x:c r="J44" s="22" t="str">
        <x:v>IC2612</x:v>
      </x:c>
      <x:c r="K44" s="22" t="n">
        <x:v>5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2025.6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506.4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10月8日-10月9日</x:v>
      </x:c>
      <x:c r="C50" s="23" t="n">
        <x:v>4300.8</x:v>
      </x:c>
      <x:c r="D50" s="23" t="n">
        <x:v>4331.6</x:v>
      </x:c>
      <x:c r="E50" s="23" t="n">
        <x:v>4180.4</x:v>
      </x:c>
      <x:c r="F50" s="23" t="n">
        <x:v>4244.8</x:v>
      </x:c>
      <x:c r="G50" s="23"/>
      <x:c r="H50" s="24"/>
      <x:c r="I50" s="26" t="n">
        <x:f>ROUND(D50-E50,1)</x:f>
        <x:v>151.2</x:v>
      </x:c>
      <x:c r="J50" s="22" t="str">
        <x:v>IF2612</x:v>
      </x:c>
      <x:c r="K50" s="22" t="n">
        <x:v>2</x:v>
      </x:c>
    </x:row>
    <x:row r="51">
      <x:c r="A51" s="22" t="n">
        <x:v>2</x:v>
      </x:c>
      <x:c r="B51" s="22" t="str">
        <x:v>10月12日-10月16日</x:v>
      </x:c>
      <x:c r="C51" s="23" t="n">
        <x:v>4240.4</x:v>
      </x:c>
      <x:c r="D51" s="23" t="n">
        <x:v>4273.6</x:v>
      </x:c>
      <x:c r="E51" s="23" t="n">
        <x:v>4045.2</x:v>
      </x:c>
      <x:c r="F51" s="23" t="n">
        <x:v>4088.8</x:v>
      </x:c>
      <x:c r="G51" s="28" t="n">
        <x:f>ROUND(F51-F50,1)</x:f>
        <x:v>-156</x:v>
      </x:c>
      <x:c r="H51" s="24" t="n">
        <x:f>IFERROR(F51/F50-1,"")</x:f>
        <x:v>-0.03675084809649454</x:v>
      </x:c>
      <x:c r="I51" s="26" t="n">
        <x:f>ROUND(D51-E51,1)</x:f>
        <x:v>228.4</x:v>
      </x:c>
      <x:c r="J51" s="22" t="str">
        <x:v>IF2612</x:v>
      </x:c>
      <x:c r="K51" s="22" t="n">
        <x:v>5</x:v>
      </x:c>
    </x:row>
    <x:row r="52">
      <x:c r="A52" s="22" t="n">
        <x:v>3</x:v>
      </x:c>
      <x:c r="B52" s="22" t="str">
        <x:v>10月19日-10月23日</x:v>
      </x:c>
      <x:c r="C52" s="23" t="n">
        <x:v>4086.4</x:v>
      </x:c>
      <x:c r="D52" s="23" t="n">
        <x:v>4140.2</x:v>
      </x:c>
      <x:c r="E52" s="23" t="n">
        <x:v>3897.6</x:v>
      </x:c>
      <x:c r="F52" s="23" t="n">
        <x:v>4055</x:v>
      </x:c>
      <x:c r="G52" s="23" t="n">
        <x:f>ROUND(F52-F51,1)</x:f>
        <x:v>-33.8</x:v>
      </x:c>
      <x:c r="H52" s="24" t="n">
        <x:f>IFERROR(F52/F51-1,"")</x:f>
        <x:v>-0.00826648405400121</x:v>
      </x:c>
      <x:c r="I52" s="26" t="n">
        <x:f>ROUND(D52-E52,1)</x:f>
        <x:v>242.6</x:v>
      </x:c>
      <x:c r="J52" s="22" t="str">
        <x:v>IF2612</x:v>
      </x:c>
      <x:c r="K52" s="22" t="n">
        <x:v>5</x:v>
      </x:c>
    </x:row>
    <x:row r="53">
      <x:c r="A53" s="22" t="n">
        <x:v>4</x:v>
      </x:c>
      <x:c r="B53" s="22" t="str">
        <x:v>10月26日-10月30日</x:v>
      </x:c>
      <x:c r="C53" s="23" t="n">
        <x:v>4034</x:v>
      </x:c>
      <x:c r="D53" s="23" t="n">
        <x:v>4066.6</x:v>
      </x:c>
      <x:c r="E53" s="23" t="n">
        <x:v>3914.2</x:v>
      </x:c>
      <x:c r="F53" s="23" t="n">
        <x:v>3928</x:v>
      </x:c>
      <x:c r="G53" s="23" t="n">
        <x:f>ROUND(F53-F52,1)</x:f>
        <x:v>-127</x:v>
      </x:c>
      <x:c r="H53" s="24" t="n">
        <x:f>IFERROR(F53/F52-1,"")</x:f>
        <x:v>-0.03131935881627623</x:v>
      </x:c>
      <x:c r="I53" s="26" t="n">
        <x:f>ROUND(D53-E53,1)</x:f>
        <x:v>152.4</x:v>
      </x:c>
      <x:c r="J53" s="22" t="str">
        <x:v>IF2612</x:v>
      </x:c>
      <x:c r="K53" s="22" t="n">
        <x:v>5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774.6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193.7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10月8日-10月9日</x:v>
      </x:c>
      <x:c r="C59" s="23" t="n">
        <x:v>2764</x:v>
      </x:c>
      <x:c r="D59" s="23" t="n">
        <x:v>2798.4</x:v>
      </x:c>
      <x:c r="E59" s="23" t="n">
        <x:v>2735</x:v>
      </x:c>
      <x:c r="F59" s="23" t="n">
        <x:v>2764</x:v>
      </x:c>
      <x:c r="G59" s="23"/>
      <x:c r="H59" s="24"/>
      <x:c r="I59" s="26" t="n">
        <x:f>ROUND(D59-E59,1)</x:f>
        <x:v>63.4</x:v>
      </x:c>
      <x:c r="J59" s="22" t="str">
        <x:v>IH2612</x:v>
      </x:c>
      <x:c r="K59" s="22" t="n">
        <x:v>2</x:v>
      </x:c>
    </x:row>
    <x:row r="60">
      <x:c r="A60" s="22" t="n">
        <x:v>2</x:v>
      </x:c>
      <x:c r="B60" s="22" t="str">
        <x:v>10月12日-10月16日</x:v>
      </x:c>
      <x:c r="C60" s="23" t="n">
        <x:v>2762</x:v>
      </x:c>
      <x:c r="D60" s="23" t="n">
        <x:v>2794</x:v>
      </x:c>
      <x:c r="E60" s="23" t="n">
        <x:v>2677.6</x:v>
      </x:c>
      <x:c r="F60" s="23" t="n">
        <x:v>2704.6</x:v>
      </x:c>
      <x:c r="G60" s="23" t="n">
        <x:f>ROUND(F60-F59,1)</x:f>
        <x:v>-59.4</x:v>
      </x:c>
      <x:c r="H60" s="24" t="n">
        <x:f>IFERROR(F60/F59-1,"")</x:f>
        <x:v>-0.0214905933429812</x:v>
      </x:c>
      <x:c r="I60" s="26" t="n">
        <x:f>ROUND(D60-E60,1)</x:f>
        <x:v>116.4</x:v>
      </x:c>
      <x:c r="J60" s="22" t="str">
        <x:v>IH2612</x:v>
      </x:c>
      <x:c r="K60" s="22" t="n">
        <x:v>5</x:v>
      </x:c>
    </x:row>
    <x:row r="61">
      <x:c r="A61" s="22" t="n">
        <x:v>3</x:v>
      </x:c>
      <x:c r="B61" s="22" t="str">
        <x:v>10月19日-10月23日</x:v>
      </x:c>
      <x:c r="C61" s="23" t="n">
        <x:v>2690</x:v>
      </x:c>
      <x:c r="D61" s="23" t="n">
        <x:v>2754.6</x:v>
      </x:c>
      <x:c r="E61" s="23" t="n">
        <x:v>2638</x:v>
      </x:c>
      <x:c r="F61" s="23" t="n">
        <x:v>2719</x:v>
      </x:c>
      <x:c r="G61" s="23" t="n">
        <x:f>ROUND(F61-F60,1)</x:f>
        <x:v>14.4</x:v>
      </x:c>
      <x:c r="H61" s="24" t="n">
        <x:f>IFERROR(F61/F60-1,"")</x:f>
        <x:v>0.0053242623678178</x:v>
      </x:c>
      <x:c r="I61" s="26" t="n">
        <x:f>ROUND(D61-E61,1)</x:f>
        <x:v>116.6</x:v>
      </x:c>
      <x:c r="J61" s="22" t="str">
        <x:v>IH2612</x:v>
      </x:c>
      <x:c r="K61" s="22" t="n">
        <x:v>5</x:v>
      </x:c>
    </x:row>
    <x:row r="62">
      <x:c r="A62" s="22" t="n">
        <x:v>4</x:v>
      </x:c>
      <x:c r="B62" s="22" t="str">
        <x:v>10月26日-10月30日</x:v>
      </x:c>
      <x:c r="C62" s="23" t="n">
        <x:v>2711</x:v>
      </x:c>
      <x:c r="D62" s="23" t="n">
        <x:v>2733</x:v>
      </x:c>
      <x:c r="E62" s="23" t="n">
        <x:v>2688.4</x:v>
      </x:c>
      <x:c r="F62" s="23" t="n">
        <x:v>2700.8</x:v>
      </x:c>
      <x:c r="G62" s="23" t="n">
        <x:f>ROUND(F62-F61,1)</x:f>
        <x:v>-18.2</x:v>
      </x:c>
      <x:c r="H62" s="24" t="n">
        <x:f>IFERROR(F62/F61-1,"")</x:f>
        <x:v>-0.0066936373666788285</x:v>
      </x:c>
      <x:c r="I62" s="23" t="n">
        <x:f>ROUND(D62-E62,1)</x:f>
        <x:v>44.6</x:v>
      </x:c>
      <x:c r="J62" s="22" t="str">
        <x:v>IH2612</x:v>
      </x:c>
      <x:c r="K62" s="22" t="n">
        <x:v>5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341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85.3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10月8日-10月9日</x:v>
      </x:c>
      <x:c r="C68" s="23" t="n">
        <x:v>120020</x:v>
      </x:c>
      <x:c r="D68" s="23" t="n">
        <x:v>126800</x:v>
      </x:c>
      <x:c r="E68" s="23" t="n">
        <x:v>119000</x:v>
      </x:c>
      <x:c r="F68" s="23" t="n">
        <x:v>121000</x:v>
      </x:c>
      <x:c r="G68" s="23"/>
      <x:c r="H68" s="24"/>
      <x:c r="I68" s="26" t="n">
        <x:f>ROUND(D68-E68,1)</x:f>
        <x:v>7800</x:v>
      </x:c>
      <x:c r="J68" s="22" t="str">
        <x:v>LC2610</x:v>
      </x:c>
      <x:c r="K68" s="22" t="n">
        <x:v>2</x:v>
      </x:c>
    </x:row>
    <x:row r="69">
      <x:c r="A69" s="22" t="n">
        <x:v>2</x:v>
      </x:c>
      <x:c r="B69" s="22" t="str">
        <x:v>10月12日-10月16日</x:v>
      </x:c>
      <x:c r="C69" s="23" t="n">
        <x:v>125960</x:v>
      </x:c>
      <x:c r="D69" s="23" t="n">
        <x:v>125960</x:v>
      </x:c>
      <x:c r="E69" s="23" t="n">
        <x:v>99500</x:v>
      </x:c>
      <x:c r="F69" s="23" t="n">
        <x:v>99500</x:v>
      </x:c>
      <x:c r="G69" s="28" t="n">
        <x:f>ROUND(F69-F68,1)</x:f>
        <x:v>-21500</x:v>
      </x:c>
      <x:c r="H69" s="24" t="n">
        <x:f>IFERROR(F69/F68-1,"")</x:f>
        <x:v>-0.1776859504132231</x:v>
      </x:c>
      <x:c r="I69" s="26" t="n">
        <x:f>ROUND(D69-E69,1)</x:f>
        <x:v>26460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10月19日-10月21日</x:v>
      </x:c>
      <x:c r="C70" s="23" t="n">
        <x:v>99600</x:v>
      </x:c>
      <x:c r="D70" s="23" t="n">
        <x:v>103420</x:v>
      </x:c>
      <x:c r="E70" s="23" t="n">
        <x:v>98000</x:v>
      </x:c>
      <x:c r="F70" s="23" t="n">
        <x:v>98540</x:v>
      </x:c>
      <x:c r="G70" s="28" t="n">
        <x:f>ROUND(F70-F69,1)</x:f>
        <x:v>-960</x:v>
      </x:c>
      <x:c r="H70" s="24" t="n">
        <x:f>IFERROR(F70/F69-1,"")</x:f>
        <x:v>-0.00964824120603014</x:v>
      </x:c>
      <x:c r="I70" s="23" t="n">
        <x:f>ROUND(D70-E70,1)</x:f>
        <x:v>5420</x:v>
      </x:c>
      <x:c r="J70" s="22" t="str">
        <x:v>LC2610</x:v>
      </x:c>
      <x:c r="K70" s="22" t="n">
        <x:v>3</x:v>
      </x:c>
    </x:row>
    <x:row r="71">
      <x:c r="A71" s="31" t="str">
        <x:v>合计</x:v>
      </x:c>
      <x:c r="B71" s="30" t="n">
        <x:v>3</x:v>
      </x:c>
      <x:c r="C71" s="30"/>
      <x:c r="D71" s="30"/>
      <x:c r="E71" s="30"/>
      <x:c r="F71" s="30"/>
      <x:c r="G71" s="30"/>
      <x:c r="H71" s="30"/>
      <x:c r="I71" s="32" t="n">
        <x:f>ROUND(SUM(I68:I70),1)</x:f>
        <x:v>39680</x:v>
      </x:c>
      <x:c r="J71" s="30"/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4" t="n">
        <x:f>ROUND(IFERROR(AVERAGE(I68:I70),0),1)</x:f>
        <x:v>13226.7</x:v>
      </x:c>
      <x:c r="J72" s="30"/>
      <x:c r="K72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6798.97</x:v>
      </x:c>
      <x:c r="E13" s="23" t="n">
        <x:v>6880.55</x:v>
      </x:c>
      <x:c r="F13" s="23" t="n">
        <x:v>6763.45</x:v>
      </x:c>
      <x:c r="G13" s="23" t="n">
        <x:v>6780.26</x:v>
      </x:c>
      <x:c r="H13" s="23" t="n">
        <x:v>13.4</x:v>
      </x:c>
      <x:c r="I13" s="24" t="n">
        <x:v>0.0019743161565857203</x:v>
      </x:c>
      <x:c r="J13" s="23" t="n">
        <x:f>ROUND(E13-F13,1)</x:f>
        <x:v>117.1</x:v>
      </x:c>
      <x:c r="K13" s="22" t="str">
        <x:v>中证1000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6782.28</x:v>
      </x:c>
      <x:c r="E14" s="23" t="n">
        <x:v>6782.9</x:v>
      </x:c>
      <x:c r="F14" s="23" t="n">
        <x:v>6578.27</x:v>
      </x:c>
      <x:c r="G14" s="23" t="n">
        <x:v>6578.27</x:v>
      </x:c>
      <x:c r="H14" s="28" t="n">
        <x:v>-202</x:v>
      </x:c>
      <x:c r="I14" s="24" t="n">
        <x:v>-0.029790892974605687</x:v>
      </x:c>
      <x:c r="J14" s="26" t="n">
        <x:f>ROUND(E14-F14,1)</x:f>
        <x:v>204.6</x:v>
      </x:c>
      <x:c r="K14" s="22" t="str">
        <x:v>中证1000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6480.18</x:v>
      </x:c>
      <x:c r="E15" s="23" t="n">
        <x:v>6753.34</x:v>
      </x:c>
      <x:c r="F15" s="23" t="n">
        <x:v>6301.81</x:v>
      </x:c>
      <x:c r="G15" s="23" t="n">
        <x:v>6734.55</x:v>
      </x:c>
      <x:c r="H15" s="28" t="n">
        <x:v>156.3</x:v>
      </x:c>
      <x:c r="I15" s="24" t="n">
        <x:v>0.0237570060213399</x:v>
      </x:c>
      <x:c r="J15" s="26" t="n">
        <x:f>ROUND(E15-F15,1)</x:f>
        <x:v>451.5</x:v>
      </x:c>
      <x:c r="K15" s="22" t="str">
        <x:v>中证1000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6684.93</x:v>
      </x:c>
      <x:c r="E16" s="23" t="n">
        <x:v>6704.68</x:v>
      </x:c>
      <x:c r="F16" s="23" t="n">
        <x:v>6589.13</x:v>
      </x:c>
      <x:c r="G16" s="23" t="n">
        <x:v>6630.78</x:v>
      </x:c>
      <x:c r="H16" s="23" t="n">
        <x:v>-103.8</x:v>
      </x:c>
      <x:c r="I16" s="24" t="n">
        <x:v>-0.015408601911040876</x:v>
      </x:c>
      <x:c r="J16" s="23" t="n">
        <x:f>ROUND(E16-F16,1)</x:f>
        <x:v>115.6</x:v>
      </x:c>
      <x:c r="K16" s="22" t="str">
        <x:v>中证1000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6664.61</x:v>
      </x:c>
      <x:c r="E17" s="23" t="n">
        <x:v>6717.99</x:v>
      </x:c>
      <x:c r="F17" s="23" t="n">
        <x:v>6427.17</x:v>
      </x:c>
      <x:c r="G17" s="23" t="n">
        <x:v>6427.17</x:v>
      </x:c>
      <x:c r="H17" s="28" t="n">
        <x:v>-203.6</x:v>
      </x:c>
      <x:c r="I17" s="24" t="n">
        <x:v>-0.030706794675739446</x:v>
      </x:c>
      <x:c r="J17" s="26" t="n">
        <x:f>ROUND(E17-F17,1)</x:f>
        <x:v>290.8</x:v>
      </x:c>
      <x:c r="K17" s="22" t="str">
        <x:v>中证1000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6487.84</x:v>
      </x:c>
      <x:c r="E18" s="23" t="n">
        <x:v>6634.76</x:v>
      </x:c>
      <x:c r="F18" s="23" t="n">
        <x:v>6444.21</x:v>
      </x:c>
      <x:c r="G18" s="23" t="n">
        <x:v>6578.1</x:v>
      </x:c>
      <x:c r="H18" s="28" t="n">
        <x:v>150.9</x:v>
      </x:c>
      <x:c r="I18" s="24" t="n">
        <x:v>0.02348311932001179</x:v>
      </x:c>
      <x:c r="J18" s="26" t="n">
        <x:f>ROUND(E18-F18,1)</x:f>
        <x:v>190.6</x:v>
      </x:c>
      <x:c r="K18" s="22" t="str">
        <x:v>中证1000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6538.05</x:v>
      </x:c>
      <x:c r="E19" s="23" t="n">
        <x:v>6538.05</x:v>
      </x:c>
      <x:c r="F19" s="23" t="n">
        <x:v>6378.01</x:v>
      </x:c>
      <x:c r="G19" s="23" t="n">
        <x:v>6378.78</x:v>
      </x:c>
      <x:c r="H19" s="28" t="n">
        <x:v>-199.3</x:v>
      </x:c>
      <x:c r="I19" s="24" t="n">
        <x:v>-0.030300542709901124</x:v>
      </x:c>
      <x:c r="J19" s="23" t="n">
        <x:f>ROUND(E19-F19,1)</x:f>
        <x:v>160</x:v>
      </x:c>
      <x:c r="K19" s="22" t="str">
        <x:v>中证1000</x:v>
      </x:c>
    </x:row>
    <x:row r="20">
      <x:c r="A20" s="22" t="n">
        <x:v>17</x:v>
      </x:c>
      <x:c r="B20" s="22" t="str">
        <x:v>周五</x:v>
      </x:c>
      <x:c r="C20" s="22" t="str">
        <x:v>10月30日</x:v>
      </x:c>
      <x:c r="D20" s="23" t="n">
        <x:v>6243.98</x:v>
      </x:c>
      <x:c r="E20" s="23" t="n">
        <x:v>6428.58</x:v>
      </x:c>
      <x:c r="F20" s="23" t="n">
        <x:v>6161.23</x:v>
      </x:c>
      <x:c r="G20" s="23" t="n">
        <x:v>6161.23</x:v>
      </x:c>
      <x:c r="H20" s="28" t="n">
        <x:v>-217.6</x:v>
      </x:c>
      <x:c r="I20" s="24" t="n">
        <x:v>-0.034105267778478</x:v>
      </x:c>
      <x:c r="J20" s="26" t="n">
        <x:f>ROUND(E20-F20,1)</x:f>
        <x:v>267.4</x:v>
      </x:c>
      <x:c r="K20" s="22" t="str">
        <x:v>中证1000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3595.2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211.5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6875.71</x:v>
      </x:c>
      <x:c r="E13" s="23" t="n">
        <x:v>6941.51</x:v>
      </x:c>
      <x:c r="F13" s="23" t="n">
        <x:v>6821.39</x:v>
      </x:c>
      <x:c r="G13" s="23" t="n">
        <x:v>6840.56</x:v>
      </x:c>
      <x:c r="H13" s="23" t="n">
        <x:v>-0.9</x:v>
      </x:c>
      <x:c r="I13" s="24" t="n">
        <x:v>-0.00012862789120404727</x:v>
      </x:c>
      <x:c r="J13" s="23" t="n">
        <x:f>ROUND(E13-F13,1)</x:f>
        <x:v>120.1</x:v>
      </x:c>
      <x:c r="K13" s="22" t="str">
        <x:v>中证500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6841.53</x:v>
      </x:c>
      <x:c r="E14" s="23" t="n">
        <x:v>6842.87</x:v>
      </x:c>
      <x:c r="F14" s="23" t="n">
        <x:v>6652.78</x:v>
      </x:c>
      <x:c r="G14" s="23" t="n">
        <x:v>6655.25</x:v>
      </x:c>
      <x:c r="H14" s="28" t="n">
        <x:v>-185.3</x:v>
      </x:c>
      <x:c r="I14" s="24" t="n">
        <x:v>-0.02708988737764162</x:v>
      </x:c>
      <x:c r="J14" s="26" t="n">
        <x:f>ROUND(E14-F14,1)</x:f>
        <x:v>190.1</x:v>
      </x:c>
      <x:c r="K14" s="22" t="str">
        <x:v>中证500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6559.61</x:v>
      </x:c>
      <x:c r="E15" s="23" t="n">
        <x:v>6835.39</x:v>
      </x:c>
      <x:c r="F15" s="23" t="n">
        <x:v>6440.29</x:v>
      </x:c>
      <x:c r="G15" s="23" t="n">
        <x:v>6814.44</x:v>
      </x:c>
      <x:c r="H15" s="28" t="n">
        <x:v>159.2</x:v>
      </x:c>
      <x:c r="I15" s="24" t="n">
        <x:v>0.023919462078809905</x:v>
      </x:c>
      <x:c r="J15" s="26" t="n">
        <x:f>ROUND(E15-F15,1)</x:f>
        <x:v>395.1</x:v>
      </x:c>
      <x:c r="K15" s="22" t="str">
        <x:v>中证500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6756.46</x:v>
      </x:c>
      <x:c r="E16" s="23" t="n">
        <x:v>6787.32</x:v>
      </x:c>
      <x:c r="F16" s="23" t="n">
        <x:v>6674.4</x:v>
      </x:c>
      <x:c r="G16" s="23" t="n">
        <x:v>6712.73</x:v>
      </x:c>
      <x:c r="H16" s="23" t="n">
        <x:v>-101.7</x:v>
      </x:c>
      <x:c r="I16" s="24" t="n">
        <x:v>-0.0149256578677045</x:v>
      </x:c>
      <x:c r="J16" s="23" t="n">
        <x:f>ROUND(E16-F16,1)</x:f>
        <x:v>112.9</x:v>
      </x:c>
      <x:c r="K16" s="22" t="str">
        <x:v>中证500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6745.72</x:v>
      </x:c>
      <x:c r="E17" s="23" t="n">
        <x:v>6784.25</x:v>
      </x:c>
      <x:c r="F17" s="23" t="n">
        <x:v>6511.37</x:v>
      </x:c>
      <x:c r="G17" s="23" t="n">
        <x:v>6511.42</x:v>
      </x:c>
      <x:c r="H17" s="28" t="n">
        <x:v>-201.3</x:v>
      </x:c>
      <x:c r="I17" s="24" t="n">
        <x:v>-0.029989289007601894</x:v>
      </x:c>
      <x:c r="J17" s="26" t="n">
        <x:f>ROUND(E17-F17,1)</x:f>
        <x:v>272.9</x:v>
      </x:c>
      <x:c r="K17" s="22" t="str">
        <x:v>中证500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6572.8</x:v>
      </x:c>
      <x:c r="E18" s="23" t="n">
        <x:v>6694.67</x:v>
      </x:c>
      <x:c r="F18" s="23" t="n">
        <x:v>6534.65</x:v>
      </x:c>
      <x:c r="G18" s="23" t="n">
        <x:v>6640.89</x:v>
      </x:c>
      <x:c r="H18" s="23" t="n">
        <x:v>129.5</x:v>
      </x:c>
      <x:c r="I18" s="24" t="n">
        <x:v>0.019883527709777526</x:v>
      </x:c>
      <x:c r="J18" s="26" t="n">
        <x:f>ROUND(E18-F18,1)</x:f>
        <x:v>160</x:v>
      </x:c>
      <x:c r="K18" s="22" t="str">
        <x:v>中证500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6604.65</x:v>
      </x:c>
      <x:c r="E19" s="23" t="n">
        <x:v>6604.65</x:v>
      </x:c>
      <x:c r="F19" s="23" t="n">
        <x:v>6450.54</x:v>
      </x:c>
      <x:c r="G19" s="23" t="n">
        <x:v>6453.72</x:v>
      </x:c>
      <x:c r="H19" s="28" t="n">
        <x:v>-187.2</x:v>
      </x:c>
      <x:c r="I19" s="24" t="n">
        <x:v>-0.028184475273645537</x:v>
      </x:c>
      <x:c r="J19" s="23" t="n">
        <x:f>ROUND(E19-F19,1)</x:f>
        <x:v>154.1</x:v>
      </x:c>
      <x:c r="K19" s="22" t="str">
        <x:v>中证500</x:v>
      </x:c>
    </x:row>
    <x:row r="20">
      <x:c r="A20" s="22" t="n">
        <x:v>17</x:v>
      </x:c>
      <x:c r="B20" s="22" t="str">
        <x:v>周五</x:v>
      </x:c>
      <x:c r="C20" s="22" t="str">
        <x:v>10月30日</x:v>
      </x:c>
      <x:c r="D20" s="23" t="n">
        <x:v>6318.16</x:v>
      </x:c>
      <x:c r="E20" s="23" t="n">
        <x:v>6483.01</x:v>
      </x:c>
      <x:c r="F20" s="23" t="n">
        <x:v>6266.19</x:v>
      </x:c>
      <x:c r="G20" s="23" t="n">
        <x:v>6266.19</x:v>
      </x:c>
      <x:c r="H20" s="28" t="n">
        <x:v>-187.5</x:v>
      </x:c>
      <x:c r="I20" s="24" t="n">
        <x:v>-0.029057659768319755</x:v>
      </x:c>
      <x:c r="J20" s="26" t="n">
        <x:f>ROUND(E20-F20,1)</x:f>
        <x:v>216.8</x:v>
      </x:c>
      <x:c r="K20" s="22" t="str">
        <x:v>中证500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3301.3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194.2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3740.57</x:v>
      </x:c>
      <x:c r="E13" s="23" t="n">
        <x:v>3743.08</x:v>
      </x:c>
      <x:c r="F13" s="23" t="n">
        <x:v>3703.12</x:v>
      </x:c>
      <x:c r="G13" s="23" t="n">
        <x:v>3713.03</x:v>
      </x:c>
      <x:c r="H13" s="23" t="n">
        <x:v>-22.3</x:v>
      </x:c>
      <x:c r="I13" s="24" t="n">
        <x:v>-0.00598066590458235</x:v>
      </x:c>
      <x:c r="J13" s="23" t="n">
        <x:f>ROUND(E13-F13,1)</x:f>
        <x:v>40</x:v>
      </x:c>
      <x:c r="K13" s="22" t="str">
        <x:v>上证指数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3714.48</x:v>
      </x:c>
      <x:c r="E14" s="23" t="n">
        <x:v>3714.48</x:v>
      </x:c>
      <x:c r="F14" s="23" t="n">
        <x:v>3649.86</x:v>
      </x:c>
      <x:c r="G14" s="23" t="n">
        <x:v>3658.03</x:v>
      </x:c>
      <x:c r="H14" s="23" t="n">
        <x:v>-55</x:v>
      </x:c>
      <x:c r="I14" s="24" t="n">
        <x:v>-0.014812700139777979</x:v>
      </x:c>
      <x:c r="J14" s="26" t="n">
        <x:f>ROUND(E14-F14,1)</x:f>
        <x:v>64.6</x:v>
      </x:c>
      <x:c r="K14" s="22" t="str">
        <x:v>上证指数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3623.57</x:v>
      </x:c>
      <x:c r="E15" s="23" t="n">
        <x:v>3691.4</x:v>
      </x:c>
      <x:c r="F15" s="23" t="n">
        <x:v>3574.27</x:v>
      </x:c>
      <x:c r="G15" s="23" t="n">
        <x:v>3690.48</x:v>
      </x:c>
      <x:c r="H15" s="23" t="n">
        <x:v>32.4</x:v>
      </x:c>
      <x:c r="I15" s="24" t="n">
        <x:v>0.008870894989926326</x:v>
      </x:c>
      <x:c r="J15" s="26" t="n">
        <x:f>ROUND(E15-F15,1)</x:f>
        <x:v>117.1</x:v>
      </x:c>
      <x:c r="K15" s="22" t="str">
        <x:v>上证指数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3671</x:v>
      </x:c>
      <x:c r="E16" s="23" t="n">
        <x:v>3699.01</x:v>
      </x:c>
      <x:c r="F16" s="23" t="n">
        <x:v>3664.82</x:v>
      </x:c>
      <x:c r="G16" s="23" t="n">
        <x:v>3697.52</x:v>
      </x:c>
      <x:c r="H16" s="23" t="n">
        <x:v>7</x:v>
      </x:c>
      <x:c r="I16" s="24" t="n">
        <x:v>0.0019076109340789849</x:v>
      </x:c>
      <x:c r="J16" s="23" t="n">
        <x:f>ROUND(E16-F16,1)</x:f>
        <x:v>34.2</x:v>
      </x:c>
      <x:c r="K16" s="22" t="str">
        <x:v>上证指数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3698.44</x:v>
      </x:c>
      <x:c r="E17" s="23" t="n">
        <x:v>3708.2</x:v>
      </x:c>
      <x:c r="F17" s="23" t="n">
        <x:v>3648.3</x:v>
      </x:c>
      <x:c r="G17" s="23" t="n">
        <x:v>3648.3</x:v>
      </x:c>
      <x:c r="H17" s="23" t="n">
        <x:v>-49.2</x:v>
      </x:c>
      <x:c r="I17" s="24" t="n">
        <x:v>-0.01331162508924899</x:v>
      </x:c>
      <x:c r="J17" s="26" t="n">
        <x:f>ROUND(E17-F17,1)</x:f>
        <x:v>59.9</x:v>
      </x:c>
      <x:c r="K17" s="22" t="str">
        <x:v>上证指数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3676.92</x:v>
      </x:c>
      <x:c r="E18" s="23" t="n">
        <x:v>3684.49</x:v>
      </x:c>
      <x:c r="F18" s="23" t="n">
        <x:v>3652.37</x:v>
      </x:c>
      <x:c r="G18" s="23" t="n">
        <x:v>3681.47</x:v>
      </x:c>
      <x:c r="H18" s="23" t="n">
        <x:v>33.2</x:v>
      </x:c>
      <x:c r="I18" s="24" t="n">
        <x:v>0.009091905819148538</x:v>
      </x:c>
      <x:c r="J18" s="23" t="n">
        <x:f>ROUND(E18-F18,1)</x:f>
        <x:v>32.1</x:v>
      </x:c>
      <x:c r="K18" s="22" t="str">
        <x:v>上证指数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3676.77</x:v>
      </x:c>
      <x:c r="E19" s="23" t="n">
        <x:v>3678.46</x:v>
      </x:c>
      <x:c r="F19" s="23" t="n">
        <x:v>3645.26</x:v>
      </x:c>
      <x:c r="G19" s="23" t="n">
        <x:v>3651.43</x:v>
      </x:c>
      <x:c r="H19" s="23" t="n">
        <x:v>-30</x:v>
      </x:c>
      <x:c r="I19" s="24" t="n">
        <x:v>-0.008159783999326375</x:v>
      </x:c>
      <x:c r="J19" s="23" t="n">
        <x:f>ROUND(E19-F19,1)</x:f>
        <x:v>33.2</x:v>
      </x:c>
      <x:c r="K19" s="22" t="str">
        <x:v>上证指数</x:v>
      </x:c>
    </x:row>
    <x:row r="20">
      <x:c r="A20" s="22" t="n">
        <x:v>17</x:v>
      </x:c>
      <x:c r="B20" s="22" t="str">
        <x:v>周五</x:v>
      </x:c>
      <x:c r="C20" s="22" t="str">
        <x:v>10月30日</x:v>
      </x:c>
      <x:c r="D20" s="23" t="n">
        <x:v>3605.65</x:v>
      </x:c>
      <x:c r="E20" s="23" t="n">
        <x:v>3660.21</x:v>
      </x:c>
      <x:c r="F20" s="23" t="n">
        <x:v>3595.26</x:v>
      </x:c>
      <x:c r="G20" s="23" t="n">
        <x:v>3599.02</x:v>
      </x:c>
      <x:c r="H20" s="23" t="n">
        <x:v>-52.4</x:v>
      </x:c>
      <x:c r="I20" s="24" t="n">
        <x:v>-0.01435328076945197</x:v>
      </x:c>
      <x:c r="J20" s="26" t="n">
        <x:f>ROUND(E20-F20,1)</x:f>
        <x:v>64.9</x:v>
      </x:c>
      <x:c r="K20" s="22" t="str">
        <x:v>上证指数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961.3000000000001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56.5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6722</x:v>
      </x:c>
      <x:c r="E13" s="23" t="n">
        <x:v>6799.6</x:v>
      </x:c>
      <x:c r="F13" s="23" t="n">
        <x:v>6658.2</x:v>
      </x:c>
      <x:c r="G13" s="23" t="n">
        <x:v>6659.2</x:v>
      </x:c>
      <x:c r="H13" s="23" t="n">
        <x:v>-4.6</x:v>
      </x:c>
      <x:c r="I13" s="24" t="n">
        <x:v>-0.0006902968276358834</x:v>
      </x:c>
      <x:c r="J13" s="23" t="n">
        <x:f>ROUND(E13-F13,1)</x:f>
        <x:v>141.4</x:v>
      </x:c>
      <x:c r="K13" s="22" t="str">
        <x:v>IM2612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6670</x:v>
      </x:c>
      <x:c r="E14" s="23" t="n">
        <x:v>6689</x:v>
      </x:c>
      <x:c r="F14" s="23" t="n">
        <x:v>6466.8</x:v>
      </x:c>
      <x:c r="G14" s="23" t="n">
        <x:v>6471.6</x:v>
      </x:c>
      <x:c r="H14" s="28" t="n">
        <x:v>-187.6</x:v>
      </x:c>
      <x:c r="I14" s="24" t="n">
        <x:v>-0.02817155213839495</x:v>
      </x:c>
      <x:c r="J14" s="26" t="n">
        <x:f>ROUND(E14-F14,1)</x:f>
        <x:v>222.2</x:v>
      </x:c>
      <x:c r="K14" s="22" t="str">
        <x:v>IM2612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6420</x:v>
      </x:c>
      <x:c r="E15" s="23" t="n">
        <x:v>6677</x:v>
      </x:c>
      <x:c r="F15" s="23" t="n">
        <x:v>6212.6</x:v>
      </x:c>
      <x:c r="G15" s="23" t="n">
        <x:v>6660</x:v>
      </x:c>
      <x:c r="H15" s="28" t="n">
        <x:v>188.4</x:v>
      </x:c>
      <x:c r="I15" s="24" t="n">
        <x:v>0.029111811607639426</x:v>
      </x:c>
      <x:c r="J15" s="26" t="n">
        <x:f>ROUND(E15-F15,1)</x:f>
        <x:v>464.4</x:v>
      </x:c>
      <x:c r="K15" s="22" t="str">
        <x:v>IM2612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6618</x:v>
      </x:c>
      <x:c r="E16" s="23" t="n">
        <x:v>6630</x:v>
      </x:c>
      <x:c r="F16" s="23" t="n">
        <x:v>6494</x:v>
      </x:c>
      <x:c r="G16" s="23" t="n">
        <x:v>6555.8</x:v>
      </x:c>
      <x:c r="H16" s="23" t="n">
        <x:v>-104.2</x:v>
      </x:c>
      <x:c r="I16" s="24" t="n">
        <x:v>-0.015645645645645634</x:v>
      </x:c>
      <x:c r="J16" s="23" t="n">
        <x:f>ROUND(E16-F16,1)</x:f>
        <x:v>136</x:v>
      </x:c>
      <x:c r="K16" s="22" t="str">
        <x:v>IM2612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6622.4</x:v>
      </x:c>
      <x:c r="E17" s="23" t="n">
        <x:v>6670.8</x:v>
      </x:c>
      <x:c r="F17" s="23" t="n">
        <x:v>6333.2</x:v>
      </x:c>
      <x:c r="G17" s="23" t="n">
        <x:v>6339.2</x:v>
      </x:c>
      <x:c r="H17" s="28" t="n">
        <x:v>-216.6</x:v>
      </x:c>
      <x:c r="I17" s="24" t="n">
        <x:v>-0.0330394459867599</x:v>
      </x:c>
      <x:c r="J17" s="26" t="n">
        <x:f>ROUND(E17-F17,1)</x:f>
        <x:v>337.6</x:v>
      </x:c>
      <x:c r="K17" s="22" t="str">
        <x:v>IM2612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6421</x:v>
      </x:c>
      <x:c r="E18" s="23" t="n">
        <x:v>6580.6</x:v>
      </x:c>
      <x:c r="F18" s="23" t="n">
        <x:v>6376.2</x:v>
      </x:c>
      <x:c r="G18" s="23" t="n">
        <x:v>6502</x:v>
      </x:c>
      <x:c r="H18" s="28" t="n">
        <x:v>162.8</x:v>
      </x:c>
      <x:c r="I18" s="24" t="n">
        <x:v>0.025681474003028892</x:v>
      </x:c>
      <x:c r="J18" s="26" t="n">
        <x:f>ROUND(E18-F18,1)</x:f>
        <x:v>204.4</x:v>
      </x:c>
      <x:c r="K18" s="22" t="str">
        <x:v>IM2612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6463.6</x:v>
      </x:c>
      <x:c r="E19" s="23" t="n">
        <x:v>6465</x:v>
      </x:c>
      <x:c r="F19" s="23" t="n">
        <x:v>6289</x:v>
      </x:c>
      <x:c r="G19" s="23" t="n">
        <x:v>6304.4</x:v>
      </x:c>
      <x:c r="H19" s="28" t="n">
        <x:v>-197.6</x:v>
      </x:c>
      <x:c r="I19" s="24" t="n">
        <x:v>-0.030390649031067474</x:v>
      </x:c>
      <x:c r="J19" s="23" t="n">
        <x:f>ROUND(E19-F19,1)</x:f>
        <x:v>176</x:v>
      </x:c>
      <x:c r="K19" s="22" t="str">
        <x:v>IM2612</x:v>
      </x:c>
    </x:row>
    <x:row r="20">
      <x:c r="A20" s="22" t="n">
        <x:v>17</x:v>
      </x:c>
      <x:c r="B20" s="22" t="str">
        <x:v>周五</x:v>
      </x:c>
      <x:c r="C20" s="22" t="str">
        <x:v>10月30日</x:v>
      </x:c>
      <x:c r="D20" s="23" t="n">
        <x:v>6160.2</x:v>
      </x:c>
      <x:c r="E20" s="23" t="n">
        <x:v>6368</x:v>
      </x:c>
      <x:c r="F20" s="23" t="n">
        <x:v>6081</x:v>
      </x:c>
      <x:c r="G20" s="23" t="n">
        <x:v>6081</x:v>
      </x:c>
      <x:c r="H20" s="28" t="n">
        <x:v>-223.4</x:v>
      </x:c>
      <x:c r="I20" s="24" t="n">
        <x:v>-0.035435568809085716</x:v>
      </x:c>
      <x:c r="J20" s="26" t="n">
        <x:f>ROUND(E20-F20,1)</x:f>
        <x:v>287</x:v>
      </x:c>
      <x:c r="K20" s="22" t="str">
        <x:v>IM2612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3873.0000000000005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227.8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6800</x:v>
      </x:c>
      <x:c r="E13" s="23" t="n">
        <x:v>6864</x:v>
      </x:c>
      <x:c r="F13" s="23" t="n">
        <x:v>6726</x:v>
      </x:c>
      <x:c r="G13" s="23" t="n">
        <x:v>6735</x:v>
      </x:c>
      <x:c r="H13" s="23" t="n">
        <x:v>-2.8</x:v>
      </x:c>
      <x:c r="I13" s="24" t="n">
        <x:v>-0.0004155659117219823</x:v>
      </x:c>
      <x:c r="J13" s="23" t="n">
        <x:f>ROUND(E13-F13,1)</x:f>
        <x:v>138</x:v>
      </x:c>
      <x:c r="K13" s="22" t="str">
        <x:v>IC2612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6741.8</x:v>
      </x:c>
      <x:c r="E14" s="23" t="n">
        <x:v>6753.6</x:v>
      </x:c>
      <x:c r="F14" s="23" t="n">
        <x:v>6543</x:v>
      </x:c>
      <x:c r="G14" s="23" t="n">
        <x:v>6543</x:v>
      </x:c>
      <x:c r="H14" s="28" t="n">
        <x:v>-192</x:v>
      </x:c>
      <x:c r="I14" s="24" t="n">
        <x:v>-0.02850779510022272</x:v>
      </x:c>
      <x:c r="J14" s="26" t="n">
        <x:f>ROUND(E14-F14,1)</x:f>
        <x:v>210.6</x:v>
      </x:c>
      <x:c r="K14" s="22" t="str">
        <x:v>IC2612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6500</x:v>
      </x:c>
      <x:c r="E15" s="23" t="n">
        <x:v>6766.6</x:v>
      </x:c>
      <x:c r="F15" s="23" t="n">
        <x:v>6340</x:v>
      </x:c>
      <x:c r="G15" s="23" t="n">
        <x:v>6742</x:v>
      </x:c>
      <x:c r="H15" s="28" t="n">
        <x:v>199</x:v>
      </x:c>
      <x:c r="I15" s="24" t="n">
        <x:v>0.03041418309643884</x:v>
      </x:c>
      <x:c r="J15" s="26" t="n">
        <x:f>ROUND(E15-F15,1)</x:f>
        <x:v>426.6</x:v>
      </x:c>
      <x:c r="K15" s="22" t="str">
        <x:v>IC2612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6700</x:v>
      </x:c>
      <x:c r="E16" s="23" t="n">
        <x:v>6711.4</x:v>
      </x:c>
      <x:c r="F16" s="23" t="n">
        <x:v>6573.6</x:v>
      </x:c>
      <x:c r="G16" s="23" t="n">
        <x:v>6637</x:v>
      </x:c>
      <x:c r="H16" s="23" t="n">
        <x:v>-105</x:v>
      </x:c>
      <x:c r="I16" s="24" t="n">
        <x:v>-0.015574013645802465</x:v>
      </x:c>
      <x:c r="J16" s="23" t="n">
        <x:f>ROUND(E16-F16,1)</x:f>
        <x:v>137.8</x:v>
      </x:c>
      <x:c r="K16" s="22" t="str">
        <x:v>IC2612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6700</x:v>
      </x:c>
      <x:c r="E17" s="23" t="n">
        <x:v>6732.2</x:v>
      </x:c>
      <x:c r="F17" s="23" t="n">
        <x:v>6405.6</x:v>
      </x:c>
      <x:c r="G17" s="23" t="n">
        <x:v>6407.6</x:v>
      </x:c>
      <x:c r="H17" s="28" t="n">
        <x:v>-229.4</x:v>
      </x:c>
      <x:c r="I17" s="24" t="n">
        <x:v>-0.03456380894982669</x:v>
      </x:c>
      <x:c r="J17" s="26" t="n">
        <x:f>ROUND(E17-F17,1)</x:f>
        <x:v>326.6</x:v>
      </x:c>
      <x:c r="K17" s="22" t="str">
        <x:v>IC2612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6498</x:v>
      </x:c>
      <x:c r="E18" s="23" t="n">
        <x:v>6639.8</x:v>
      </x:c>
      <x:c r="F18" s="23" t="n">
        <x:v>6460.2</x:v>
      </x:c>
      <x:c r="G18" s="23" t="n">
        <x:v>6564</x:v>
      </x:c>
      <x:c r="H18" s="28" t="n">
        <x:v>156.4</x:v>
      </x:c>
      <x:c r="I18" s="24" t="n">
        <x:v>0.024408514888569766</x:v>
      </x:c>
      <x:c r="J18" s="26" t="n">
        <x:f>ROUND(E18-F18,1)</x:f>
        <x:v>179.6</x:v>
      </x:c>
      <x:c r="K18" s="22" t="str">
        <x:v>IC2612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6532.8</x:v>
      </x:c>
      <x:c r="E19" s="23" t="n">
        <x:v>6533</x:v>
      </x:c>
      <x:c r="F19" s="23" t="n">
        <x:v>6358.8</x:v>
      </x:c>
      <x:c r="G19" s="23" t="n">
        <x:v>6374.6</x:v>
      </x:c>
      <x:c r="H19" s="28" t="n">
        <x:v>-189.4</x:v>
      </x:c>
      <x:c r="I19" s="24" t="n">
        <x:v>-0.028854357099329597</x:v>
      </x:c>
      <x:c r="J19" s="26" t="n">
        <x:f>ROUND(E19-F19,1)</x:f>
        <x:v>174.2</x:v>
      </x:c>
      <x:c r="K19" s="22" t="str">
        <x:v>IC2612</x:v>
      </x:c>
    </x:row>
    <x:row r="20">
      <x:c r="A20" s="22" t="n">
        <x:v>17</x:v>
      </x:c>
      <x:c r="B20" s="22" t="str">
        <x:v>周五</x:v>
      </x:c>
      <x:c r="C20" s="22" t="str">
        <x:v>10月30日</x:v>
      </x:c>
      <x:c r="D20" s="23" t="n">
        <x:v>6247.8</x:v>
      </x:c>
      <x:c r="E20" s="23" t="n">
        <x:v>6416.8</x:v>
      </x:c>
      <x:c r="F20" s="23" t="n">
        <x:v>6186</x:v>
      </x:c>
      <x:c r="G20" s="23" t="n">
        <x:v>6187.2</x:v>
      </x:c>
      <x:c r="H20" s="28" t="n">
        <x:v>-187.4</x:v>
      </x:c>
      <x:c r="I20" s="24" t="n">
        <x:v>-0.02939792300693389</x:v>
      </x:c>
      <x:c r="J20" s="26" t="n">
        <x:f>ROUND(E20-F20,1)</x:f>
        <x:v>230.8</x:v>
      </x:c>
      <x:c r="K20" s="22" t="str">
        <x:v>IC2612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3679.6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216.4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4100</x:v>
      </x:c>
      <x:c r="E13" s="23" t="n">
        <x:v>4107</x:v>
      </x:c>
      <x:c r="F13" s="23" t="n">
        <x:v>4038</x:v>
      </x:c>
      <x:c r="G13" s="23" t="n">
        <x:v>4047.6</x:v>
      </x:c>
      <x:c r="H13" s="23" t="n">
        <x:v>-35.2</x:v>
      </x:c>
      <x:c r="I13" s="24" t="n">
        <x:v>-0.00862153424120704</x:v>
      </x:c>
      <x:c r="J13" s="23" t="n">
        <x:f>ROUND(E13-F13,1)</x:f>
        <x:v>69</x:v>
      </x:c>
      <x:c r="K13" s="22" t="str">
        <x:v>IF2612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4060</x:v>
      </x:c>
      <x:c r="E14" s="23" t="n">
        <x:v>4060</x:v>
      </x:c>
      <x:c r="F14" s="23" t="n">
        <x:v>3959</x:v>
      </x:c>
      <x:c r="G14" s="23" t="n">
        <x:v>3970</x:v>
      </x:c>
      <x:c r="H14" s="23" t="n">
        <x:v>-77.6</x:v>
      </x:c>
      <x:c r="I14" s="24" t="n">
        <x:v>-0.019171854926376075</x:v>
      </x:c>
      <x:c r="J14" s="26" t="n">
        <x:f>ROUND(E14-F14,1)</x:f>
        <x:v>101</x:v>
      </x:c>
      <x:c r="K14" s="22" t="str">
        <x:v>IF2612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3941.8</x:v>
      </x:c>
      <x:c r="E15" s="23" t="n">
        <x:v>4063</x:v>
      </x:c>
      <x:c r="F15" s="23" t="n">
        <x:v>3897.6</x:v>
      </x:c>
      <x:c r="G15" s="23" t="n">
        <x:v>4055</x:v>
      </x:c>
      <x:c r="H15" s="23" t="n">
        <x:v>85</x:v>
      </x:c>
      <x:c r="I15" s="24" t="n">
        <x:v>0.021410579345088054</x:v>
      </x:c>
      <x:c r="J15" s="26" t="n">
        <x:f>ROUND(E15-F15,1)</x:f>
        <x:v>165.4</x:v>
      </x:c>
      <x:c r="K15" s="22" t="str">
        <x:v>IF2612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4034</x:v>
      </x:c>
      <x:c r="E16" s="23" t="n">
        <x:v>4049.8</x:v>
      </x:c>
      <x:c r="F16" s="23" t="n">
        <x:v>3996.4</x:v>
      </x:c>
      <x:c r="G16" s="23" t="n">
        <x:v>4049</x:v>
      </x:c>
      <x:c r="H16" s="23" t="n">
        <x:v>-6</x:v>
      </x:c>
      <x:c r="I16" s="24" t="n">
        <x:v>-0.0014796547472256671</x:v>
      </x:c>
      <x:c r="J16" s="23" t="n">
        <x:f>ROUND(E16-F16,1)</x:f>
        <x:v>53.4</x:v>
      </x:c>
      <x:c r="K16" s="22" t="str">
        <x:v>IF2612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4059.6</x:v>
      </x:c>
      <x:c r="E17" s="23" t="n">
        <x:v>4066.6</x:v>
      </x:c>
      <x:c r="F17" s="23" t="n">
        <x:v>3989.8</x:v>
      </x:c>
      <x:c r="G17" s="23" t="n">
        <x:v>3991.2</x:v>
      </x:c>
      <x:c r="H17" s="23" t="n">
        <x:v>-57.8</x:v>
      </x:c>
      <x:c r="I17" s="24" t="n">
        <x:v>-0.014275129661644903</x:v>
      </x:c>
      <x:c r="J17" s="23" t="n">
        <x:f>ROUND(E17-F17,1)</x:f>
        <x:v>76.8</x:v>
      </x:c>
      <x:c r="K17" s="22" t="str">
        <x:v>IF2612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4020</x:v>
      </x:c>
      <x:c r="E18" s="23" t="n">
        <x:v>4046</x:v>
      </x:c>
      <x:c r="F18" s="23" t="n">
        <x:v>4005.4</x:v>
      </x:c>
      <x:c r="G18" s="23" t="n">
        <x:v>4027.2</x:v>
      </x:c>
      <x:c r="H18" s="23" t="n">
        <x:v>36</x:v>
      </x:c>
      <x:c r="I18" s="24" t="n">
        <x:v>0.009019843656043358</x:v>
      </x:c>
      <x:c r="J18" s="23" t="n">
        <x:f>ROUND(E18-F18,1)</x:f>
        <x:v>40.6</x:v>
      </x:c>
      <x:c r="K18" s="22" t="str">
        <x:v>IF2612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4021.8</x:v>
      </x:c>
      <x:c r="E19" s="23" t="n">
        <x:v>4021.8</x:v>
      </x:c>
      <x:c r="F19" s="23" t="n">
        <x:v>3970.4</x:v>
      </x:c>
      <x:c r="G19" s="23" t="n">
        <x:v>3980.4</x:v>
      </x:c>
      <x:c r="H19" s="23" t="n">
        <x:v>-46.8</x:v>
      </x:c>
      <x:c r="I19" s="24" t="n">
        <x:v>-0.011620977353992812</x:v>
      </x:c>
      <x:c r="J19" s="23" t="n">
        <x:f>ROUND(E19-F19,1)</x:f>
        <x:v>51.4</x:v>
      </x:c>
      <x:c r="K19" s="22" t="str">
        <x:v>IF2612</x:v>
      </x:c>
    </x:row>
    <x:row r="20">
      <x:c r="A20" s="22" t="n">
        <x:v>17</x:v>
      </x:c>
      <x:c r="B20" s="22" t="str">
        <x:v>周五</x:v>
      </x:c>
      <x:c r="C20" s="22" t="str">
        <x:v>10月30日</x:v>
      </x:c>
      <x:c r="D20" s="23" t="n">
        <x:v>3936.4</x:v>
      </x:c>
      <x:c r="E20" s="23" t="n">
        <x:v>4000.8</x:v>
      </x:c>
      <x:c r="F20" s="23" t="n">
        <x:v>3914.2</x:v>
      </x:c>
      <x:c r="G20" s="23" t="n">
        <x:v>3928</x:v>
      </x:c>
      <x:c r="H20" s="23" t="n">
        <x:v>-52.4</x:v>
      </x:c>
      <x:c r="I20" s="24" t="n">
        <x:v>-0.013164506079791027</x:v>
      </x:c>
      <x:c r="J20" s="23" t="n">
        <x:f>ROUND(E20-F20,1)</x:f>
        <x:v>86.6</x:v>
      </x:c>
      <x:c r="K20" s="22" t="str">
        <x:v>IF2612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1379.4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81.1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2730</x:v>
      </x:c>
      <x:c r="E13" s="23" t="n">
        <x:v>2732</x:v>
      </x:c>
      <x:c r="F13" s="23" t="n">
        <x:v>2697</x:v>
      </x:c>
      <x:c r="G13" s="23" t="n">
        <x:v>2701</x:v>
      </x:c>
      <x:c r="H13" s="23" t="n">
        <x:v>-16.6</x:v>
      </x:c>
      <x:c r="I13" s="24" t="n">
        <x:v>-0.006108330880188362</x:v>
      </x:c>
      <x:c r="J13" s="23" t="n">
        <x:f>ROUND(E13-F13,1)</x:f>
        <x:v>35</x:v>
      </x:c>
      <x:c r="K13" s="22" t="str">
        <x:v>IH2612</x:v>
      </x:c>
    </x:row>
    <x:row r="14">
      <x:c r="A14" s="22" t="n">
        <x:v>11</x:v>
      </x:c>
      <x:c r="B14" s="22" t="str">
        <x:v>周四</x:v>
      </x:c>
      <x:c r="C14" s="22" t="str">
        <x:v>10月22日</x:v>
      </x:c>
      <x:c r="D14" s="23" t="n">
        <x:v>2713</x:v>
      </x:c>
      <x:c r="E14" s="23" t="n">
        <x:v>2713</x:v>
      </x:c>
      <x:c r="F14" s="23" t="n">
        <x:v>2669.2</x:v>
      </x:c>
      <x:c r="G14" s="23" t="n">
        <x:v>2679.2</x:v>
      </x:c>
      <x:c r="H14" s="23" t="n">
        <x:v>-21.8</x:v>
      </x:c>
      <x:c r="I14" s="24" t="n">
        <x:v>-0.008071084783413562</x:v>
      </x:c>
      <x:c r="J14" s="23" t="n">
        <x:f>ROUND(E14-F14,1)</x:f>
        <x:v>43.8</x:v>
      </x:c>
      <x:c r="K14" s="22" t="str">
        <x:v>IH2612</x:v>
      </x:c>
    </x:row>
    <x:row r="15">
      <x:c r="A15" s="22" t="n">
        <x:v>12</x:v>
      </x:c>
      <x:c r="B15" s="22" t="str">
        <x:v>周五</x:v>
      </x:c>
      <x:c r="C15" s="22" t="str">
        <x:v>10月23日</x:v>
      </x:c>
      <x:c r="D15" s="23" t="n">
        <x:v>2659.6</x:v>
      </x:c>
      <x:c r="E15" s="23" t="n">
        <x:v>2721.2</x:v>
      </x:c>
      <x:c r="F15" s="23" t="n">
        <x:v>2638</x:v>
      </x:c>
      <x:c r="G15" s="23" t="n">
        <x:v>2719</x:v>
      </x:c>
      <x:c r="H15" s="23" t="n">
        <x:v>39.8</x:v>
      </x:c>
      <x:c r="I15" s="24" t="n">
        <x:v>0.014855180650940714</x:v>
      </x:c>
      <x:c r="J15" s="26" t="n">
        <x:f>ROUND(E15-F15,1)</x:f>
        <x:v>83.2</x:v>
      </x:c>
      <x:c r="K15" s="22" t="str">
        <x:v>IH2612</x:v>
      </x:c>
    </x:row>
    <x:row r="16">
      <x:c r="A16" s="22" t="n">
        <x:v>13</x:v>
      </x:c>
      <x:c r="B16" s="22" t="str">
        <x:v>周一</x:v>
      </x:c>
      <x:c r="C16" s="22" t="str">
        <x:v>10月26日</x:v>
      </x:c>
      <x:c r="D16" s="23" t="n">
        <x:v>2711</x:v>
      </x:c>
      <x:c r="E16" s="23" t="n">
        <x:v>2724</x:v>
      </x:c>
      <x:c r="F16" s="23" t="n">
        <x:v>2691.2</x:v>
      </x:c>
      <x:c r="G16" s="23" t="n">
        <x:v>2721.8</x:v>
      </x:c>
      <x:c r="H16" s="23" t="n">
        <x:v>2.8</x:v>
      </x:c>
      <x:c r="I16" s="24" t="n">
        <x:v>0.0010297903641045547</x:v>
      </x:c>
      <x:c r="J16" s="23" t="n">
        <x:f>ROUND(E16-F16,1)</x:f>
        <x:v>32.8</x:v>
      </x:c>
      <x:c r="K16" s="22" t="str">
        <x:v>IH2612</x:v>
      </x:c>
    </x:row>
    <x:row r="17">
      <x:c r="A17" s="22" t="n">
        <x:v>14</x:v>
      </x:c>
      <x:c r="B17" s="22" t="str">
        <x:v>周二</x:v>
      </x:c>
      <x:c r="C17" s="22" t="str">
        <x:v>10月27日</x:v>
      </x:c>
      <x:c r="D17" s="23" t="n">
        <x:v>2721.8</x:v>
      </x:c>
      <x:c r="E17" s="23" t="n">
        <x:v>2731.6</x:v>
      </x:c>
      <x:c r="F17" s="23" t="n">
        <x:v>2708</x:v>
      </x:c>
      <x:c r="G17" s="23" t="n">
        <x:v>2709.2</x:v>
      </x:c>
      <x:c r="H17" s="23" t="n">
        <x:v>-12.6</x:v>
      </x:c>
      <x:c r="I17" s="24" t="n">
        <x:v>-0.004629289440811313</x:v>
      </x:c>
      <x:c r="J17" s="23" t="n">
        <x:f>ROUND(E17-F17,1)</x:f>
        <x:v>23.6</x:v>
      </x:c>
      <x:c r="K17" s="22" t="str">
        <x:v>IH2612</x:v>
      </x:c>
    </x:row>
    <x:row r="18">
      <x:c r="A18" s="22" t="n">
        <x:v>15</x:v>
      </x:c>
      <x:c r="B18" s="22" t="str">
        <x:v>周三</x:v>
      </x:c>
      <x:c r="C18" s="22" t="str">
        <x:v>10月28日</x:v>
      </x:c>
      <x:c r="D18" s="23" t="n">
        <x:v>2731</x:v>
      </x:c>
      <x:c r="E18" s="23" t="n">
        <x:v>2732.2</x:v>
      </x:c>
      <x:c r="F18" s="23" t="n">
        <x:v>2703</x:v>
      </x:c>
      <x:c r="G18" s="23" t="n">
        <x:v>2713.4</x:v>
      </x:c>
      <x:c r="H18" s="23" t="n">
        <x:v>4.2</x:v>
      </x:c>
      <x:c r="I18" s="24" t="n">
        <x:v>0.0015502731433634231</x:v>
      </x:c>
      <x:c r="J18" s="23" t="n">
        <x:f>ROUND(E18-F18,1)</x:f>
        <x:v>29.2</x:v>
      </x:c>
      <x:c r="K18" s="22" t="str">
        <x:v>IH2612</x:v>
      </x:c>
    </x:row>
    <x:row r="19">
      <x:c r="A19" s="22" t="n">
        <x:v>16</x:v>
      </x:c>
      <x:c r="B19" s="22" t="str">
        <x:v>周四</x:v>
      </x:c>
      <x:c r="C19" s="22" t="str">
        <x:v>10月29日</x:v>
      </x:c>
      <x:c r="D19" s="23" t="n">
        <x:v>2715.2</x:v>
      </x:c>
      <x:c r="E19" s="23" t="n">
        <x:v>2728.8</x:v>
      </x:c>
      <x:c r="F19" s="23" t="n">
        <x:v>2696.4</x:v>
      </x:c>
      <x:c r="G19" s="23" t="n">
        <x:v>2714</x:v>
      </x:c>
      <x:c r="H19" s="23" t="n">
        <x:v>0.6</x:v>
      </x:c>
      <x:c r="I19" s="24" t="n">
        <x:v>0.0002211247880887779</x:v>
      </x:c>
      <x:c r="J19" s="23" t="n">
        <x:f>ROUND(E19-F19,1)</x:f>
        <x:v>32.4</x:v>
      </x:c>
      <x:c r="K19" s="22" t="str">
        <x:v>IH2612</x:v>
      </x:c>
    </x:row>
    <x:row r="20">
      <x:c r="A20" s="22" t="n">
        <x:v>17</x:v>
      </x:c>
      <x:c r="B20" s="22" t="str">
        <x:v>周五</x:v>
      </x:c>
      <x:c r="C20" s="22" t="str">
        <x:v>10月30日</x:v>
      </x:c>
      <x:c r="D20" s="23" t="n">
        <x:v>2697.4</x:v>
      </x:c>
      <x:c r="E20" s="23" t="n">
        <x:v>2733</x:v>
      </x:c>
      <x:c r="F20" s="23" t="n">
        <x:v>2688.4</x:v>
      </x:c>
      <x:c r="G20" s="23" t="n">
        <x:v>2700.8</x:v>
      </x:c>
      <x:c r="H20" s="23" t="n">
        <x:v>-13.2</x:v>
      </x:c>
      <x:c r="I20" s="24" t="n">
        <x:v>-0.004863669859985209</x:v>
      </x:c>
      <x:c r="J20" s="23" t="n">
        <x:f>ROUND(E20-F20,1)</x:f>
        <x:v>44.6</x:v>
      </x:c>
      <x:c r="K20" s="22" t="str">
        <x:v>IH2612</x:v>
      </x:c>
    </x:row>
    <x:row r="23">
      <x:c r="A23" s="31" t="str">
        <x:v>合计</x:v>
      </x:c>
      <x:c r="B23" s="30" t="n">
        <x:v>17</x:v>
      </x:c>
      <x:c r="C23" s="30"/>
      <x:c r="D23" s="30"/>
      <x:c r="E23" s="30"/>
      <x:c r="F23" s="30"/>
      <x:c r="G23" s="30"/>
      <x:c r="H23" s="30"/>
      <x:c r="I23" s="30"/>
      <x:c r="J23" s="32" t="n">
        <x:f>SUM(J4:J20)</x:f>
        <x:v>748.0000000000001</x:v>
      </x:c>
      <x:c r="K23" s="30"/>
    </x:row>
    <x:row r="24">
      <x:c r="A24" s="31" t="str">
        <x:v>均值</x:v>
      </x:c>
      <x:c r="B24" s="30"/>
      <x:c r="C24" s="30"/>
      <x:c r="D24" s="30"/>
      <x:c r="E24" s="30"/>
      <x:c r="F24" s="30"/>
      <x:c r="G24" s="30"/>
      <x:c r="H24" s="30"/>
      <x:c r="I24" s="30"/>
      <x:c r="J24" s="34" t="n">
        <x:f>ROUND(IFERROR(AVERAGE(J4:J20),0),1)</x:f>
        <x:v>44</x:v>
      </x:c>
      <x:c r="K24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101600</x:v>
      </x:c>
      <x:c r="E13" s="23" t="n">
        <x:v>101660</x:v>
      </x:c>
      <x:c r="F13" s="23" t="n">
        <x:v>98000</x:v>
      </x:c>
      <x:c r="G13" s="23" t="n">
        <x:v>98540</x:v>
      </x:c>
      <x:c r="H13" s="28" t="n">
        <x:v>-4860</x:v>
      </x:c>
      <x:c r="I13" s="24" t="n">
        <x:v>-0.04700193423597676</x:v>
      </x:c>
      <x:c r="J13" s="23" t="n">
        <x:f>ROUND(E13-F13,1)</x:f>
        <x:v>3660</x:v>
      </x:c>
      <x:c r="K13" s="22" t="str">
        <x:v>LC2610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58980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5898</x:v>
      </x:c>
      <x:c r="K17" s="30"/>
    </x:row>
  </x:sheetData>
  <x:mergeCells>
    <x:mergeCell ref="A1:K1"/>
  </x:mergeCells>
  <x:pageMargins left="0.7" right="0.7" top="0.75" bottom="0.75" header="0.3" footer="0.3"/>
</x:worksheet>
</file>