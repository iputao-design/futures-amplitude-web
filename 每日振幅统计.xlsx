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1d12b2e7fd4a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7edc68742394aee"/>
    <x:sheet xmlns:r="http://schemas.openxmlformats.org/officeDocument/2006/relationships" name="周振幅统计" sheetId="2" r:id="Rf32c71ef07794850"/>
    <x:sheet xmlns:r="http://schemas.openxmlformats.org/officeDocument/2006/relationships" name="中证1000" sheetId="3" r:id="R79d6b50b705546ec"/>
    <x:sheet xmlns:r="http://schemas.openxmlformats.org/officeDocument/2006/relationships" name="中证500" sheetId="4" r:id="R96a191c295004ad1"/>
    <x:sheet xmlns:r="http://schemas.openxmlformats.org/officeDocument/2006/relationships" name="上证指数" sheetId="5" r:id="R2e6198bcc83b45e9"/>
    <x:sheet xmlns:r="http://schemas.openxmlformats.org/officeDocument/2006/relationships" name="IM主力" sheetId="6" r:id="Rc502c0d84fd6458b"/>
    <x:sheet xmlns:r="http://schemas.openxmlformats.org/officeDocument/2006/relationships" name="IC主力" sheetId="7" r:id="R1e9e0a14e3a3462f"/>
    <x:sheet xmlns:r="http://schemas.openxmlformats.org/officeDocument/2006/relationships" name="IF主力" sheetId="8" r:id="Rd46f81aedf264378"/>
    <x:sheet xmlns:r="http://schemas.openxmlformats.org/officeDocument/2006/relationships" name="IH主力" sheetId="9" r:id="Rc2d7a8b35e434d3f"/>
    <x:sheet xmlns:r="http://schemas.openxmlformats.org/officeDocument/2006/relationships" name="碳酸锂2609" sheetId="10" r:id="R28948b218c894d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2a87b05f3a4e88" /><Relationship Type="http://schemas.openxmlformats.org/officeDocument/2006/relationships/theme" Target="/xl/theme/theme1.xml" Id="R44b539d4850248f4" /><Relationship Type="http://schemas.openxmlformats.org/officeDocument/2006/relationships/sharedStrings" Target="/xl/sharedStrings.xml" Id="R1ea7a1a3ab8a41ce" /><Relationship Type="http://schemas.openxmlformats.org/officeDocument/2006/relationships/worksheet" Target="/xl/worksheets/sheet1.xml" Id="R47edc68742394aee" /><Relationship Type="http://schemas.openxmlformats.org/officeDocument/2006/relationships/worksheet" Target="/xl/worksheets/sheet2.xml" Id="Rf32c71ef07794850" /><Relationship Type="http://schemas.openxmlformats.org/officeDocument/2006/relationships/worksheet" Target="/xl/worksheets/sheet3.xml" Id="R79d6b50b705546ec" /><Relationship Type="http://schemas.openxmlformats.org/officeDocument/2006/relationships/worksheet" Target="/xl/worksheets/sheet4.xml" Id="R96a191c295004ad1" /><Relationship Type="http://schemas.openxmlformats.org/officeDocument/2006/relationships/worksheet" Target="/xl/worksheets/sheet5.xml" Id="R2e6198bcc83b45e9" /><Relationship Type="http://schemas.openxmlformats.org/officeDocument/2006/relationships/worksheet" Target="/xl/worksheets/sheet6.xml" Id="Rc502c0d84fd6458b" /><Relationship Type="http://schemas.openxmlformats.org/officeDocument/2006/relationships/worksheet" Target="/xl/worksheets/sheet7.xml" Id="R1e9e0a14e3a3462f" /><Relationship Type="http://schemas.openxmlformats.org/officeDocument/2006/relationships/worksheet" Target="/xl/worksheets/sheet8.xml" Id="Rd46f81aedf264378" /><Relationship Type="http://schemas.openxmlformats.org/officeDocument/2006/relationships/worksheet" Target="/xl/worksheets/sheet9.xml" Id="Rc2d7a8b35e434d3f" /><Relationship Type="http://schemas.openxmlformats.org/officeDocument/2006/relationships/worksheet" Target="/xl/worksheets/sheet10.xml" Id="R28948b218c894d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2026-09-01</x:v>
      </x:c>
      <x:c r="C4" s="10" t="n">
        <x:v>7773.06</x:v>
      </x:c>
      <x:c r="D4" s="10" t="n">
        <x:v>7667.33</x:v>
      </x:c>
      <x:c r="E4" s="12" t="n">
        <x:v>105.7</x:v>
      </x:c>
      <x:c r="F4" s="9" t="n">
        <x:v>1</x:v>
      </x:c>
      <x:c r="G4" s="10" t="n">
        <x:v>105.7</x:v>
      </x:c>
      <x:c r="H4" s="10" t="n">
        <x:v>105.7</x:v>
      </x:c>
      <x:c r="I4" s="10" t="n">
        <x:v>180</x:v>
      </x:c>
    </x:row>
    <x:row r="5">
      <x:c r="A5" s="9" t="str">
        <x:v>中证500</x:v>
      </x:c>
      <x:c r="B5" s="9" t="str">
        <x:v>2026-09-01</x:v>
      </x:c>
      <x:c r="C5" s="10" t="n">
        <x:v>7955.57</x:v>
      </x:c>
      <x:c r="D5" s="10" t="n">
        <x:v>7852.87</x:v>
      </x:c>
      <x:c r="E5" s="12" t="n">
        <x:v>102.7</x:v>
      </x:c>
      <x:c r="F5" s="9" t="n">
        <x:v>1</x:v>
      </x:c>
      <x:c r="G5" s="10" t="n">
        <x:v>102.7</x:v>
      </x:c>
      <x:c r="H5" s="10" t="n">
        <x:v>102.7</x:v>
      </x:c>
      <x:c r="I5" s="10" t="n">
        <x:v>160</x:v>
      </x:c>
    </x:row>
    <x:row r="6">
      <x:c r="A6" s="9" t="str">
        <x:v>上证指数</x:v>
      </x:c>
      <x:c r="B6" s="9" t="str">
        <x:v>2026-09-01</x:v>
      </x:c>
      <x:c r="C6" s="10" t="n">
        <x:v>3995.18</x:v>
      </x:c>
      <x:c r="D6" s="10" t="n">
        <x:v>3976.47</x:v>
      </x:c>
      <x:c r="E6" s="12" t="n">
        <x:v>18.7</x:v>
      </x:c>
      <x:c r="F6" s="9" t="n">
        <x:v>1</x:v>
      </x:c>
      <x:c r="G6" s="10" t="n">
        <x:v>18.7</x:v>
      </x:c>
      <x:c r="H6" s="10" t="n">
        <x:v>18.7</x:v>
      </x:c>
      <x:c r="I6" s="10" t="n">
        <x:v>50</x:v>
      </x:c>
    </x:row>
    <x:row r="7">
      <x:c r="A7" s="9" t="str">
        <x:v>IM主力</x:v>
      </x:c>
      <x:c r="B7" s="9" t="str">
        <x:v>2026-09-01</x:v>
      </x:c>
      <x:c r="C7" s="10" t="n">
        <x:v>7721</x:v>
      </x:c>
      <x:c r="D7" s="10" t="n">
        <x:v>7598.4</x:v>
      </x:c>
      <x:c r="E7" s="12" t="n">
        <x:v>122.6</x:v>
      </x:c>
      <x:c r="F7" s="9" t="n">
        <x:v>1</x:v>
      </x:c>
      <x:c r="G7" s="10" t="n">
        <x:v>122.6</x:v>
      </x:c>
      <x:c r="H7" s="10" t="n">
        <x:v>122.6</x:v>
      </x:c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>
        <x:v>2026-09-01</x:v>
      </x:c>
      <x:c r="C10" s="10" t="n">
        <x:v>2934.8</x:v>
      </x:c>
      <x:c r="D10" s="10" t="n">
        <x:v>2912</x:v>
      </x:c>
      <x:c r="E10" s="12" t="n">
        <x:v>22.8</x:v>
      </x:c>
      <x:c r="F10" s="9" t="n">
        <x:v>1</x:v>
      </x:c>
      <x:c r="G10" s="10" t="n">
        <x:v>22.8</x:v>
      </x:c>
      <x:c r="H10" s="10" t="n">
        <x:v>22.8</x:v>
      </x:c>
      <x:c r="I10" s="10" t="n">
        <x:v>60</x:v>
      </x:c>
    </x:row>
    <x:row r="11">
      <x:c r="A11" s="9" t="str">
        <x:v>碳酸锂2609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</x:v>
      </x:c>
      <x:c r="C5" s="23" t="n">
        <x:v>7773.06</x:v>
      </x:c>
      <x:c r="D5" s="23" t="n">
        <x:v>7773.06</x:v>
      </x:c>
      <x:c r="E5" s="23" t="n">
        <x:v>7667.33</x:v>
      </x:c>
      <x:c r="F5" s="23" t="n">
        <x:v>7691.37</x:v>
      </x:c>
      <x:c r="G5" s="23"/>
      <x:c r="H5" s="24"/>
      <x:c r="I5" s="23" t="n">
        <x:f>ROUND(D5-E5,1)</x:f>
        <x:v>105.7</x:v>
      </x:c>
      <x:c r="J5" s="22" t="str">
        <x:v>中证1000</x:v>
      </x:c>
      <x:c r="K5" s="22" t="n">
        <x:v>1</x:v>
      </x:c>
    </x:row>
    <x:row r="6">
      <x:c r="A6" s="27" t="str">
        <x:v>合计</x:v>
      </x:c>
      <x:c r="B6" s="26" t="n">
        <x:v>1</x:v>
      </x:c>
      <x:c r="C6" s="26"/>
      <x:c r="D6" s="26"/>
      <x:c r="E6" s="26"/>
      <x:c r="F6" s="26"/>
      <x:c r="G6" s="26"/>
      <x:c r="H6" s="26"/>
      <x:c r="I6" s="28" t="n">
        <x:f>ROUND(SUM(I5:I5),1)</x:f>
        <x:v>105.7</x:v>
      </x:c>
      <x:c r="J6" s="26"/>
      <x:c r="K6" s="26"/>
    </x:row>
    <x:row r="7">
      <x:c r="A7" s="27" t="str">
        <x:v>均值</x:v>
      </x:c>
      <x:c r="B7" s="26"/>
      <x:c r="C7" s="26"/>
      <x:c r="D7" s="26"/>
      <x:c r="E7" s="26"/>
      <x:c r="F7" s="26"/>
      <x:c r="G7" s="26"/>
      <x:c r="H7" s="26"/>
      <x:c r="I7" s="30" t="n">
        <x:f>ROUND(IFERROR(AVERAGE(I5:I5),0),1)</x:f>
        <x:v>105.7</x:v>
      </x:c>
      <x:c r="J7" s="26"/>
      <x:c r="K7" s="26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9月1日</x:v>
      </x:c>
      <x:c r="C11" s="23" t="n">
        <x:v>7944.29</x:v>
      </x:c>
      <x:c r="D11" s="23" t="n">
        <x:v>7955.57</x:v>
      </x:c>
      <x:c r="E11" s="23" t="n">
        <x:v>7852.87</x:v>
      </x:c>
      <x:c r="F11" s="23" t="n">
        <x:v>7858.52</x:v>
      </x:c>
      <x:c r="G11" s="23"/>
      <x:c r="H11" s="24"/>
      <x:c r="I11" s="23" t="n">
        <x:f>ROUND(D11-E11,1)</x:f>
        <x:v>102.7</x:v>
      </x:c>
      <x:c r="J11" s="22" t="str">
        <x:v>中证500</x:v>
      </x:c>
      <x:c r="K11" s="22" t="n">
        <x:v>1</x:v>
      </x:c>
    </x:row>
    <x:row r="12">
      <x:c r="A12" s="27" t="str">
        <x:v>合计</x:v>
      </x:c>
      <x:c r="B12" s="26" t="n">
        <x:v>1</x:v>
      </x:c>
      <x:c r="C12" s="26"/>
      <x:c r="D12" s="26"/>
      <x:c r="E12" s="26"/>
      <x:c r="F12" s="26"/>
      <x:c r="G12" s="26"/>
      <x:c r="H12" s="26"/>
      <x:c r="I12" s="28" t="n">
        <x:f>ROUND(SUM(I11:I11),1)</x:f>
        <x:v>102.7</x:v>
      </x:c>
      <x:c r="J12" s="26"/>
      <x:c r="K12" s="26"/>
    </x:row>
    <x:row r="13">
      <x:c r="A13" s="27" t="str">
        <x:v>均值</x:v>
      </x:c>
      <x:c r="B13" s="26"/>
      <x:c r="C13" s="26"/>
      <x:c r="D13" s="26"/>
      <x:c r="E13" s="26"/>
      <x:c r="F13" s="26"/>
      <x:c r="G13" s="26"/>
      <x:c r="H13" s="26"/>
      <x:c r="I13" s="30" t="n">
        <x:f>ROUND(IFERROR(AVERAGE(I11:I11),0),1)</x:f>
        <x:v>102.7</x:v>
      </x:c>
      <x:c r="J13" s="26"/>
      <x:c r="K13" s="26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9月1日</x:v>
      </x:c>
      <x:c r="C17" s="23" t="n">
        <x:v>3979.88</x:v>
      </x:c>
      <x:c r="D17" s="23" t="n">
        <x:v>3995.18</x:v>
      </x:c>
      <x:c r="E17" s="23" t="n">
        <x:v>3976.47</x:v>
      </x:c>
      <x:c r="F17" s="23" t="n">
        <x:v>3979.89</x:v>
      </x:c>
      <x:c r="G17" s="23"/>
      <x:c r="H17" s="24"/>
      <x:c r="I17" s="23" t="n">
        <x:f>ROUND(D17-E17,1)</x:f>
        <x:v>18.7</x:v>
      </x:c>
      <x:c r="J17" s="22" t="str">
        <x:v>上证指数</x:v>
      </x:c>
      <x:c r="K17" s="22" t="n">
        <x:v>1</x:v>
      </x:c>
    </x:row>
    <x:row r="18">
      <x:c r="A18" s="27" t="str">
        <x:v>合计</x:v>
      </x:c>
      <x:c r="B18" s="26" t="n">
        <x:v>1</x:v>
      </x:c>
      <x:c r="C18" s="26"/>
      <x:c r="D18" s="26"/>
      <x:c r="E18" s="26"/>
      <x:c r="F18" s="26"/>
      <x:c r="G18" s="26"/>
      <x:c r="H18" s="26"/>
      <x:c r="I18" s="28" t="n">
        <x:f>ROUND(SUM(I17:I17),1)</x:f>
        <x:v>18.7</x:v>
      </x:c>
      <x:c r="J18" s="26"/>
      <x:c r="K18" s="26"/>
    </x:row>
    <x:row r="19">
      <x:c r="A19" s="27" t="str">
        <x:v>均值</x:v>
      </x:c>
      <x:c r="B19" s="26"/>
      <x:c r="C19" s="26"/>
      <x:c r="D19" s="26"/>
      <x:c r="E19" s="26"/>
      <x:c r="F19" s="26"/>
      <x:c r="G19" s="26"/>
      <x:c r="H19" s="26"/>
      <x:c r="I19" s="30" t="n">
        <x:f>ROUND(IFERROR(AVERAGE(I17:I17),0),1)</x:f>
        <x:v>18.7</x:v>
      </x:c>
      <x:c r="J19" s="26"/>
      <x:c r="K19" s="26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</x:v>
      </x:c>
      <x:c r="C23" s="23" t="n">
        <x:v>7713.4</x:v>
      </x:c>
      <x:c r="D23" s="23" t="n">
        <x:v>7721</x:v>
      </x:c>
      <x:c r="E23" s="23" t="n">
        <x:v>7598.4</x:v>
      </x:c>
      <x:c r="F23" s="23" t="n">
        <x:v>7645</x:v>
      </x:c>
      <x:c r="G23" s="23"/>
      <x:c r="H23" s="24"/>
      <x:c r="I23" s="23" t="n">
        <x:f>ROUND(D23-E23,1)</x:f>
        <x:v>122.6</x:v>
      </x:c>
      <x:c r="J23" s="22" t="str">
        <x:v>IM2609</x:v>
      </x:c>
      <x:c r="K23" s="22" t="n">
        <x:v>1</x:v>
      </x:c>
    </x:row>
    <x:row r="24">
      <x:c r="A24" s="27" t="str">
        <x:v>合计</x:v>
      </x:c>
      <x:c r="B24" s="26" t="n">
        <x:v>1</x:v>
      </x:c>
      <x:c r="C24" s="26"/>
      <x:c r="D24" s="26"/>
      <x:c r="E24" s="26"/>
      <x:c r="F24" s="26"/>
      <x:c r="G24" s="26"/>
      <x:c r="H24" s="26"/>
      <x:c r="I24" s="28" t="n">
        <x:f>ROUND(SUM(I23:I23),1)</x:f>
        <x:v>122.6</x:v>
      </x:c>
      <x:c r="J24" s="26"/>
      <x:c r="K24" s="26"/>
    </x:row>
    <x:row r="25">
      <x:c r="A25" s="27" t="str">
        <x:v>均值</x:v>
      </x:c>
      <x:c r="B25" s="26"/>
      <x:c r="C25" s="26"/>
      <x:c r="D25" s="26"/>
      <x:c r="E25" s="26"/>
      <x:c r="F25" s="26"/>
      <x:c r="G25" s="26"/>
      <x:c r="H25" s="26"/>
      <x:c r="I25" s="30" t="n">
        <x:f>ROUND(IFERROR(AVERAGE(I23:I23),0),1)</x:f>
        <x:v>122.6</x:v>
      </x:c>
      <x:c r="J25" s="26"/>
      <x:c r="K25" s="26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31" t="str">
        <x:v>暂无数据</x:v>
      </x:c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</x:row>
    <x:row r="31">
      <x:c r="A31" s="17" t="str">
        <x:v>IF主力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31" t="str">
        <x:v>暂无数据</x:v>
      </x:c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</x:row>
    <x:row r="35">
      <x:c r="A35" s="17" t="str">
        <x:v>IH主力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</x:v>
      </x:c>
      <x:c r="C37" s="23" t="n">
        <x:v>2913</x:v>
      </x:c>
      <x:c r="D37" s="23" t="n">
        <x:v>2934.8</x:v>
      </x:c>
      <x:c r="E37" s="23" t="n">
        <x:v>2912</x:v>
      </x:c>
      <x:c r="F37" s="23" t="n">
        <x:v>2928.6</x:v>
      </x:c>
      <x:c r="G37" s="23"/>
      <x:c r="H37" s="24"/>
      <x:c r="I37" s="23" t="n">
        <x:f>ROUND(D37-E37,1)</x:f>
        <x:v>22.8</x:v>
      </x:c>
      <x:c r="J37" s="22" t="str">
        <x:v>IH2609</x:v>
      </x:c>
      <x:c r="K37" s="22" t="n">
        <x:v>1</x:v>
      </x:c>
    </x:row>
    <x:row r="38">
      <x:c r="A38" s="27" t="str">
        <x:v>合计</x:v>
      </x:c>
      <x:c r="B38" s="26" t="n">
        <x:v>1</x:v>
      </x:c>
      <x:c r="C38" s="26"/>
      <x:c r="D38" s="26"/>
      <x:c r="E38" s="26"/>
      <x:c r="F38" s="26"/>
      <x:c r="G38" s="26"/>
      <x:c r="H38" s="26"/>
      <x:c r="I38" s="28" t="n">
        <x:f>ROUND(SUM(I37:I37),1)</x:f>
        <x:v>22.8</x:v>
      </x:c>
      <x:c r="J38" s="26"/>
      <x:c r="K38" s="26"/>
    </x:row>
    <x:row r="39">
      <x:c r="A39" s="27" t="str">
        <x:v>均值</x:v>
      </x:c>
      <x:c r="B39" s="26"/>
      <x:c r="C39" s="26"/>
      <x:c r="D39" s="26"/>
      <x:c r="E39" s="26"/>
      <x:c r="F39" s="26"/>
      <x:c r="G39" s="26"/>
      <x:c r="H39" s="26"/>
      <x:c r="I39" s="30" t="n">
        <x:f>ROUND(IFERROR(AVERAGE(I37:I37),0),1)</x:f>
        <x:v>22.8</x:v>
      </x:c>
      <x:c r="J39" s="26"/>
      <x:c r="K39" s="26"/>
    </x:row>
    <x:row r="41">
      <x:c r="A41" s="17" t="str">
        <x:v>碳酸锂2609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31" t="str">
        <x:v>暂无数据</x:v>
      </x:c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</x:row>
  </x:sheetData>
  <x:mergeCells>
    <x:mergeCell ref="A1:K1"/>
    <x:mergeCell ref="A3:K3"/>
    <x:mergeCell ref="A9:K9"/>
    <x:mergeCell ref="A15:K15"/>
    <x:mergeCell ref="A21:K21"/>
    <x:mergeCell ref="A27:K27"/>
    <x:mergeCell ref="A29:K29"/>
    <x:mergeCell ref="A31:K31"/>
    <x:mergeCell ref="A33:K33"/>
    <x:mergeCell ref="A35:K35"/>
    <x:mergeCell ref="A41:K41"/>
    <x:mergeCell ref="A43:K4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105.7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105.7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102.7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102.7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18.7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18.7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122.6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122.6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/>
      <x:c r="B4" s="22"/>
      <x:c r="C4" s="22"/>
      <x:c r="D4" s="23"/>
      <x:c r="E4" s="23"/>
      <x:c r="F4" s="23"/>
      <x:c r="G4" s="23"/>
      <x:c r="H4" s="23"/>
      <x:c r="I4" s="24"/>
      <x:c r="J4" s="23"/>
      <x:c r="K4" s="22"/>
    </x:row>
    <x:row r="7">
      <x:c r="A7" s="27" t="str">
        <x:v>合计</x:v>
      </x:c>
      <x:c r="B7" s="26" t="n">
        <x:v>0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0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0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/>
      <x:c r="B4" s="22"/>
      <x:c r="C4" s="22"/>
      <x:c r="D4" s="23"/>
      <x:c r="E4" s="23"/>
      <x:c r="F4" s="23"/>
      <x:c r="G4" s="23"/>
      <x:c r="H4" s="23"/>
      <x:c r="I4" s="24"/>
      <x:c r="J4" s="23"/>
      <x:c r="K4" s="22"/>
    </x:row>
    <x:row r="7">
      <x:c r="A7" s="27" t="str">
        <x:v>合计</x:v>
      </x:c>
      <x:c r="B7" s="26" t="n">
        <x:v>0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0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0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22.8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22.8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/>
      <x:c r="B4" s="22"/>
      <x:c r="C4" s="22"/>
      <x:c r="D4" s="23"/>
      <x:c r="E4" s="23"/>
      <x:c r="F4" s="23"/>
      <x:c r="G4" s="23"/>
      <x:c r="H4" s="23"/>
      <x:c r="I4" s="24"/>
      <x:c r="J4" s="23"/>
      <x:c r="K4" s="22"/>
    </x:row>
    <x:row r="7">
      <x:c r="A7" s="27" t="str">
        <x:v>合计</x:v>
      </x:c>
      <x:c r="B7" s="26" t="n">
        <x:v>0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0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0</x:v>
      </x:c>
      <x:c r="K8" s="26"/>
    </x:row>
  </x:sheetData>
  <x:mergeCells>
    <x:mergeCell ref="A1:K1"/>
  </x:mergeCells>
  <x:pageMargins left="0.7" right="0.7" top="0.75" bottom="0.75" header="0.3" footer="0.3"/>
</x:worksheet>
</file>