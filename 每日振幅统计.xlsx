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8ad15e62b7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421542aaa514ac5"/>
    <x:sheet xmlns:r="http://schemas.openxmlformats.org/officeDocument/2006/relationships" name="周振幅统计" sheetId="2" r:id="R2d6aea3a74d44825"/>
    <x:sheet xmlns:r="http://schemas.openxmlformats.org/officeDocument/2006/relationships" name="中证1000" sheetId="3" r:id="R28c02c52488f4aff"/>
    <x:sheet xmlns:r="http://schemas.openxmlformats.org/officeDocument/2006/relationships" name="中证500" sheetId="4" r:id="R09092d9c6f384d9f"/>
    <x:sheet xmlns:r="http://schemas.openxmlformats.org/officeDocument/2006/relationships" name="上证指数" sheetId="5" r:id="Rec27dde1fce54c1c"/>
    <x:sheet xmlns:r="http://schemas.openxmlformats.org/officeDocument/2006/relationships" name="IM主力" sheetId="6" r:id="R340ea6c5a8f3478f"/>
    <x:sheet xmlns:r="http://schemas.openxmlformats.org/officeDocument/2006/relationships" name="IC主力" sheetId="7" r:id="Rc7638fd1891d49c7"/>
    <x:sheet xmlns:r="http://schemas.openxmlformats.org/officeDocument/2006/relationships" name="IF主力" sheetId="8" r:id="R2c4dc9f40d194fde"/>
    <x:sheet xmlns:r="http://schemas.openxmlformats.org/officeDocument/2006/relationships" name="IH主力" sheetId="9" r:id="R9d9b6b01523a4197"/>
    <x:sheet xmlns:r="http://schemas.openxmlformats.org/officeDocument/2006/relationships" name="碳酸锂2609" sheetId="10" r:id="R8a680614cb3344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3802d850fa40ae" /><Relationship Type="http://schemas.openxmlformats.org/officeDocument/2006/relationships/theme" Target="/xl/theme/theme1.xml" Id="Rc71f527b6c46442f" /><Relationship Type="http://schemas.openxmlformats.org/officeDocument/2006/relationships/sharedStrings" Target="/xl/sharedStrings.xml" Id="R8a72abe9aec64268" /><Relationship Type="http://schemas.openxmlformats.org/officeDocument/2006/relationships/worksheet" Target="/xl/worksheets/sheet1.xml" Id="R4421542aaa514ac5" /><Relationship Type="http://schemas.openxmlformats.org/officeDocument/2006/relationships/worksheet" Target="/xl/worksheets/sheet2.xml" Id="R2d6aea3a74d44825" /><Relationship Type="http://schemas.openxmlformats.org/officeDocument/2006/relationships/worksheet" Target="/xl/worksheets/sheet3.xml" Id="R28c02c52488f4aff" /><Relationship Type="http://schemas.openxmlformats.org/officeDocument/2006/relationships/worksheet" Target="/xl/worksheets/sheet4.xml" Id="R09092d9c6f384d9f" /><Relationship Type="http://schemas.openxmlformats.org/officeDocument/2006/relationships/worksheet" Target="/xl/worksheets/sheet5.xml" Id="Rec27dde1fce54c1c" /><Relationship Type="http://schemas.openxmlformats.org/officeDocument/2006/relationships/worksheet" Target="/xl/worksheets/sheet6.xml" Id="R340ea6c5a8f3478f" /><Relationship Type="http://schemas.openxmlformats.org/officeDocument/2006/relationships/worksheet" Target="/xl/worksheets/sheet7.xml" Id="Rc7638fd1891d49c7" /><Relationship Type="http://schemas.openxmlformats.org/officeDocument/2006/relationships/worksheet" Target="/xl/worksheets/sheet8.xml" Id="R2c4dc9f40d194fde" /><Relationship Type="http://schemas.openxmlformats.org/officeDocument/2006/relationships/worksheet" Target="/xl/worksheets/sheet9.xml" Id="R9d9b6b01523a4197" /><Relationship Type="http://schemas.openxmlformats.org/officeDocument/2006/relationships/worksheet" Target="/xl/worksheets/sheet10.xml" Id="R8a680614cb3344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2026-09-04</x:v>
      </x:c>
      <x:c r="C4" s="10" t="n">
        <x:v>7717.93</x:v>
      </x:c>
      <x:c r="D4" s="10" t="n">
        <x:v>7464.98</x:v>
      </x:c>
      <x:c r="E4" s="12" t="n">
        <x:v>253</x:v>
      </x:c>
      <x:c r="F4" s="9" t="n">
        <x:v>4</x:v>
      </x:c>
      <x:c r="G4" s="10" t="n">
        <x:v>570.4</x:v>
      </x:c>
      <x:c r="H4" s="10" t="n">
        <x:v>142.6</x:v>
      </x:c>
      <x:c r="I4" s="10" t="n">
        <x:v>180</x:v>
      </x:c>
    </x:row>
    <x:row r="5">
      <x:c r="A5" s="9" t="str">
        <x:v>中证500</x:v>
      </x:c>
      <x:c r="B5" s="9" t="str">
        <x:v>2026-09-04</x:v>
      </x:c>
      <x:c r="C5" s="10" t="n">
        <x:v>7850.4</x:v>
      </x:c>
      <x:c r="D5" s="10" t="n">
        <x:v>7610.58</x:v>
      </x:c>
      <x:c r="E5" s="12" t="n">
        <x:v>239.8</x:v>
      </x:c>
      <x:c r="F5" s="9" t="n">
        <x:v>4</x:v>
      </x:c>
      <x:c r="G5" s="10" t="n">
        <x:v>546.6</x:v>
      </x:c>
      <x:c r="H5" s="10" t="n">
        <x:v>136.7</x:v>
      </x:c>
      <x:c r="I5" s="10" t="n">
        <x:v>160</x:v>
      </x:c>
    </x:row>
    <x:row r="6">
      <x:c r="A6" s="9" t="str">
        <x:v>上证指数</x:v>
      </x:c>
      <x:c r="B6" s="9" t="str">
        <x:v>2026-09-04</x:v>
      </x:c>
      <x:c r="C6" s="10" t="n">
        <x:v>3980.2</x:v>
      </x:c>
      <x:c r="D6" s="10" t="n">
        <x:v>3915.22</x:v>
      </x:c>
      <x:c r="E6" s="12" t="n">
        <x:v>65</x:v>
      </x:c>
      <x:c r="F6" s="9" t="n">
        <x:v>4</x:v>
      </x:c>
      <x:c r="G6" s="10" t="n">
        <x:v>155</x:v>
      </x:c>
      <x:c r="H6" s="10" t="n">
        <x:v>38.8</x:v>
      </x:c>
      <x:c r="I6" s="10" t="n">
        <x:v>50</x:v>
      </x:c>
    </x:row>
    <x:row r="7">
      <x:c r="A7" s="9" t="str">
        <x:v>IM主力</x:v>
      </x:c>
      <x:c r="B7" s="9" t="str">
        <x:v>2026-09-04</x:v>
      </x:c>
      <x:c r="C7" s="10" t="n">
        <x:v>7689.4</x:v>
      </x:c>
      <x:c r="D7" s="10" t="n">
        <x:v>7432</x:v>
      </x:c>
      <x:c r="E7" s="12" t="n">
        <x:v>257.4</x:v>
      </x:c>
      <x:c r="F7" s="9" t="n">
        <x:v>4</x:v>
      </x:c>
      <x:c r="G7" s="10" t="n">
        <x:v>631.4</x:v>
      </x:c>
      <x:c r="H7" s="10" t="n">
        <x:v>157.9</x:v>
      </x:c>
      <x:c r="I7" s="10" t="n">
        <x:v>190</x:v>
      </x:c>
    </x:row>
    <x:row r="8">
      <x:c r="A8" s="9" t="str">
        <x:v>IC主力</x:v>
      </x:c>
      <x:c r="B8" s="9" t="str">
        <x:v>2026-09-04</x:v>
      </x:c>
      <x:c r="C8" s="10" t="n">
        <x:v>7824.2</x:v>
      </x:c>
      <x:c r="D8" s="10" t="n">
        <x:v>7568</x:v>
      </x:c>
      <x:c r="E8" s="12" t="n">
        <x:v>256.2</x:v>
      </x:c>
      <x:c r="F8" s="9" t="n">
        <x:v>4</x:v>
      </x:c>
      <x:c r="G8" s="10" t="n">
        <x:v>672.4</x:v>
      </x:c>
      <x:c r="H8" s="10" t="n">
        <x:v>168.1</x:v>
      </x:c>
      <x:c r="I8" s="10" t="n">
        <x:v>150</x:v>
      </x:c>
    </x:row>
    <x:row r="9">
      <x:c r="A9" s="9" t="str">
        <x:v>IF主力</x:v>
      </x:c>
      <x:c r="B9" s="9" t="str">
        <x:v>2026-09-04</x:v>
      </x:c>
      <x:c r="C9" s="10" t="n">
        <x:v>4594</x:v>
      </x:c>
      <x:c r="D9" s="10" t="n">
        <x:v>4519</x:v>
      </x:c>
      <x:c r="E9" s="12" t="n">
        <x:v>75</x:v>
      </x:c>
      <x:c r="F9" s="9" t="n">
        <x:v>4</x:v>
      </x:c>
      <x:c r="G9" s="10" t="n">
        <x:v>237</x:v>
      </x:c>
      <x:c r="H9" s="10" t="n">
        <x:v>59.3</x:v>
      </x:c>
      <x:c r="I9" s="10" t="n">
        <x:v>90</x:v>
      </x:c>
    </x:row>
    <x:row r="10">
      <x:c r="A10" s="9" t="str">
        <x:v>IH主力</x:v>
      </x:c>
      <x:c r="B10" s="9" t="str">
        <x:v>2026-09-04</x:v>
      </x:c>
      <x:c r="C10" s="10" t="n">
        <x:v>2949.4</x:v>
      </x:c>
      <x:c r="D10" s="10" t="n">
        <x:v>2904.8</x:v>
      </x:c>
      <x:c r="E10" s="12" t="n">
        <x:v>44.6</x:v>
      </x:c>
      <x:c r="F10" s="9" t="n">
        <x:v>4</x:v>
      </x:c>
      <x:c r="G10" s="10" t="n">
        <x:v>132.6</x:v>
      </x:c>
      <x:c r="H10" s="10" t="n">
        <x:v>33.2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4</x:v>
      </x:c>
      <x:c r="G11" s="10" t="n">
        <x:v>26220</x:v>
      </x:c>
      <x:c r="H11" s="10" t="n">
        <x:v>6555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308.1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308.1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9月1日-9月4日</x:v>
      </x:c>
      <x:c r="C11" s="23" t="n">
        <x:v>7944.29</x:v>
      </x:c>
      <x:c r="D11" s="23" t="n">
        <x:v>7955.57</x:v>
      </x:c>
      <x:c r="E11" s="23" t="n">
        <x:v>7610.58</x:v>
      </x:c>
      <x:c r="F11" s="23" t="n">
        <x:v>7652.69</x:v>
      </x:c>
      <x:c r="G11" s="23"/>
      <x:c r="H11" s="24"/>
      <x:c r="I11" s="26" t="n">
        <x:f>ROUND(D11-E11,1)</x:f>
        <x:v>345</x:v>
      </x:c>
      <x:c r="J11" s="22" t="str">
        <x:v>中证500</x:v>
      </x:c>
      <x:c r="K11" s="22" t="n">
        <x:v>4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345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345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9月1日-9月4日</x:v>
      </x:c>
      <x:c r="C17" s="23" t="n">
        <x:v>3979.88</x:v>
      </x:c>
      <x:c r="D17" s="23" t="n">
        <x:v>3995.18</x:v>
      </x:c>
      <x:c r="E17" s="23" t="n">
        <x:v>3915.22</x:v>
      </x:c>
      <x:c r="F17" s="23" t="n">
        <x:v>3930.12</x:v>
      </x:c>
      <x:c r="G17" s="23"/>
      <x:c r="H17" s="24"/>
      <x:c r="I17" s="26" t="n">
        <x:f>ROUND(D17-E17,1)</x:f>
        <x:v>80</x:v>
      </x:c>
      <x:c r="J17" s="22" t="str">
        <x:v>上证指数</x:v>
      </x:c>
      <x:c r="K17" s="22" t="n">
        <x:v>4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80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80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7713.4</x:v>
      </x:c>
      <x:c r="D23" s="23" t="n">
        <x:v>7721</x:v>
      </x:c>
      <x:c r="E23" s="23" t="n">
        <x:v>7432</x:v>
      </x:c>
      <x:c r="F23" s="23" t="n">
        <x:v>7468.2</x:v>
      </x:c>
      <x:c r="G23" s="23"/>
      <x:c r="H23" s="24"/>
      <x:c r="I23" s="26" t="n">
        <x:f>ROUND(D23-E23,1)</x:f>
        <x:v>289</x:v>
      </x:c>
      <x:c r="J23" s="22" t="str">
        <x:v>IM2609</x:v>
      </x:c>
      <x:c r="K23" s="22" t="n">
        <x:v>4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289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289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7880.8</x:v>
      </x:c>
      <x:c r="D29" s="23" t="n">
        <x:v>7903</x:v>
      </x:c>
      <x:c r="E29" s="23" t="n">
        <x:v>7568</x:v>
      </x:c>
      <x:c r="F29" s="23" t="n">
        <x:v>7608</x:v>
      </x:c>
      <x:c r="G29" s="23"/>
      <x:c r="H29" s="24"/>
      <x:c r="I29" s="26" t="n">
        <x:f>ROUND(D29-E29,1)</x:f>
        <x:v>335</x:v>
      </x:c>
      <x:c r="J29" s="22" t="str">
        <x:v>IC2609</x:v>
      </x:c>
      <x:c r="K29" s="22" t="n">
        <x:v>4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335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335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4602</x:v>
      </x:c>
      <x:c r="D35" s="23" t="n">
        <x:v>4617.8</x:v>
      </x:c>
      <x:c r="E35" s="23" t="n">
        <x:v>4497.6</x:v>
      </x:c>
      <x:c r="F35" s="23" t="n">
        <x:v>4537.4</x:v>
      </x:c>
      <x:c r="G35" s="23"/>
      <x:c r="H35" s="24"/>
      <x:c r="I35" s="26" t="n">
        <x:f>ROUND(D35-E35,1)</x:f>
        <x:v>120.2</x:v>
      </x:c>
      <x:c r="J35" s="22" t="str">
        <x:v>IF2609</x:v>
      </x:c>
      <x:c r="K35" s="22" t="n">
        <x:v>4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120.2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120.2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2913</x:v>
      </x:c>
      <x:c r="D41" s="23" t="n">
        <x:v>2949.4</x:v>
      </x:c>
      <x:c r="E41" s="23" t="n">
        <x:v>2881.4</x:v>
      </x:c>
      <x:c r="F41" s="23" t="n">
        <x:v>2915.8</x:v>
      </x:c>
      <x:c r="G41" s="23"/>
      <x:c r="H41" s="24"/>
      <x:c r="I41" s="26" t="n">
        <x:f>ROUND(D41-E41,1)</x:f>
        <x:v>68</x:v>
      </x:c>
      <x:c r="J41" s="22" t="str">
        <x:v>IH2609</x:v>
      </x:c>
      <x:c r="K41" s="22" t="n">
        <x:v>4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159000</x:v>
      </x:c>
      <x:c r="D47" s="23" t="n">
        <x:v>160480</x:v>
      </x:c>
      <x:c r="E47" s="23" t="n">
        <x:v>140940</x:v>
      </x:c>
      <x:c r="F47" s="23" t="n">
        <x:v>140980</x:v>
      </x:c>
      <x:c r="G47" s="23"/>
      <x:c r="H47" s="24"/>
      <x:c r="I47" s="26" t="n">
        <x:f>ROUND(D47-E47,1)</x:f>
        <x:v>19540</x:v>
      </x:c>
      <x:c r="J47" s="22" t="str">
        <x:v>LC2609</x:v>
      </x:c>
      <x:c r="K47" s="22" t="n">
        <x:v>4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19540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19540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570.4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142.6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546.6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136.7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155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38.8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631.4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157.9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672.4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168.1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237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59.3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132.6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33.2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26220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6555</x:v>
      </x:c>
      <x:c r="K11" s="28"/>
    </x:row>
  </x:sheetData>
  <x:mergeCells>
    <x:mergeCell ref="A1:K1"/>
  </x:mergeCells>
  <x:pageMargins left="0.7" right="0.7" top="0.75" bottom="0.75" header="0.3" footer="0.3"/>
</x:worksheet>
</file>