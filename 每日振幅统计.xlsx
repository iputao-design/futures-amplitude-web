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520180f82c45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43035a8c579445f"/>
    <x:sheet xmlns:r="http://schemas.openxmlformats.org/officeDocument/2006/relationships" name="周振幅统计" sheetId="2" r:id="R2df3182e019a4b04"/>
    <x:sheet xmlns:r="http://schemas.openxmlformats.org/officeDocument/2006/relationships" name="中证1000" sheetId="3" r:id="R4ff0ac52df1d4731"/>
    <x:sheet xmlns:r="http://schemas.openxmlformats.org/officeDocument/2006/relationships" name="中证500" sheetId="4" r:id="R34cb832d7ee34852"/>
    <x:sheet xmlns:r="http://schemas.openxmlformats.org/officeDocument/2006/relationships" name="上证指数" sheetId="5" r:id="R3145353c23934a11"/>
    <x:sheet xmlns:r="http://schemas.openxmlformats.org/officeDocument/2006/relationships" name="IM主力" sheetId="6" r:id="Rbf834805b71e4830"/>
    <x:sheet xmlns:r="http://schemas.openxmlformats.org/officeDocument/2006/relationships" name="IC主力" sheetId="7" r:id="R3428758aaefd4cfd"/>
    <x:sheet xmlns:r="http://schemas.openxmlformats.org/officeDocument/2006/relationships" name="IF主力" sheetId="8" r:id="R3bfe4397d0454d89"/>
    <x:sheet xmlns:r="http://schemas.openxmlformats.org/officeDocument/2006/relationships" name="IH主力" sheetId="9" r:id="R60c2c5c6d9c34b18"/>
    <x:sheet xmlns:r="http://schemas.openxmlformats.org/officeDocument/2006/relationships" name="碳酸锂2609" sheetId="10" r:id="Rdad28e337e0b43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f4ef2b4cca45f1" /><Relationship Type="http://schemas.openxmlformats.org/officeDocument/2006/relationships/theme" Target="/xl/theme/theme1.xml" Id="Rcc33b419897b43aa" /><Relationship Type="http://schemas.openxmlformats.org/officeDocument/2006/relationships/sharedStrings" Target="/xl/sharedStrings.xml" Id="Raa4184bc021e4b97" /><Relationship Type="http://schemas.openxmlformats.org/officeDocument/2006/relationships/worksheet" Target="/xl/worksheets/sheet1.xml" Id="Ra43035a8c579445f" /><Relationship Type="http://schemas.openxmlformats.org/officeDocument/2006/relationships/worksheet" Target="/xl/worksheets/sheet2.xml" Id="R2df3182e019a4b04" /><Relationship Type="http://schemas.openxmlformats.org/officeDocument/2006/relationships/worksheet" Target="/xl/worksheets/sheet3.xml" Id="R4ff0ac52df1d4731" /><Relationship Type="http://schemas.openxmlformats.org/officeDocument/2006/relationships/worksheet" Target="/xl/worksheets/sheet4.xml" Id="R34cb832d7ee34852" /><Relationship Type="http://schemas.openxmlformats.org/officeDocument/2006/relationships/worksheet" Target="/xl/worksheets/sheet5.xml" Id="R3145353c23934a11" /><Relationship Type="http://schemas.openxmlformats.org/officeDocument/2006/relationships/worksheet" Target="/xl/worksheets/sheet6.xml" Id="Rbf834805b71e4830" /><Relationship Type="http://schemas.openxmlformats.org/officeDocument/2006/relationships/worksheet" Target="/xl/worksheets/sheet7.xml" Id="R3428758aaefd4cfd" /><Relationship Type="http://schemas.openxmlformats.org/officeDocument/2006/relationships/worksheet" Target="/xl/worksheets/sheet8.xml" Id="R3bfe4397d0454d89" /><Relationship Type="http://schemas.openxmlformats.org/officeDocument/2006/relationships/worksheet" Target="/xl/worksheets/sheet9.xml" Id="R60c2c5c6d9c34b18" /><Relationship Type="http://schemas.openxmlformats.org/officeDocument/2006/relationships/worksheet" Target="/xl/worksheets/sheet10.xml" Id="Rdad28e337e0b43b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2026-09-09</x:v>
      </x:c>
      <x:c r="C4" s="10" t="n">
        <x:v>7715.08</x:v>
      </x:c>
      <x:c r="D4" s="10" t="n">
        <x:v>7602.5</x:v>
      </x:c>
      <x:c r="E4" s="12" t="n">
        <x:v>112.6</x:v>
      </x:c>
      <x:c r="F4" s="9" t="n">
        <x:v>7</x:v>
      </x:c>
      <x:c r="G4" s="10" t="n">
        <x:v>913.7</x:v>
      </x:c>
      <x:c r="H4" s="10" t="n">
        <x:v>130.5</x:v>
      </x:c>
      <x:c r="I4" s="10" t="n">
        <x:v>180</x:v>
      </x:c>
    </x:row>
    <x:row r="5">
      <x:c r="A5" s="9" t="str">
        <x:v>中证500</x:v>
      </x:c>
      <x:c r="B5" s="9" t="str">
        <x:v>2026-09-09</x:v>
      </x:c>
      <x:c r="C5" s="10" t="n">
        <x:v>7816.66</x:v>
      </x:c>
      <x:c r="D5" s="10" t="n">
        <x:v>7723.82</x:v>
      </x:c>
      <x:c r="E5" s="12" t="n">
        <x:v>92.8</x:v>
      </x:c>
      <x:c r="F5" s="9" t="n">
        <x:v>7</x:v>
      </x:c>
      <x:c r="G5" s="10" t="n">
        <x:v>851.9</x:v>
      </x:c>
      <x:c r="H5" s="10" t="n">
        <x:v>121.7</x:v>
      </x:c>
      <x:c r="I5" s="10" t="n">
        <x:v>160</x:v>
      </x:c>
    </x:row>
    <x:row r="6">
      <x:c r="A6" s="9" t="str">
        <x:v>上证指数</x:v>
      </x:c>
      <x:c r="B6" s="9" t="str">
        <x:v>2026-09-09</x:v>
      </x:c>
      <x:c r="C6" s="10" t="n">
        <x:v>3958.12</x:v>
      </x:c>
      <x:c r="D6" s="10" t="n">
        <x:v>3933.47</x:v>
      </x:c>
      <x:c r="E6" s="12" t="n">
        <x:v>24.7</x:v>
      </x:c>
      <x:c r="F6" s="9" t="n">
        <x:v>7</x:v>
      </x:c>
      <x:c r="G6" s="10" t="n">
        <x:v>237.2</x:v>
      </x:c>
      <x:c r="H6" s="10" t="n">
        <x:v>33.9</x:v>
      </x:c>
      <x:c r="I6" s="10" t="n">
        <x:v>50</x:v>
      </x:c>
    </x:row>
    <x:row r="7">
      <x:c r="A7" s="9" t="str">
        <x:v>IM主力</x:v>
      </x:c>
      <x:c r="B7" s="9" t="str">
        <x:v>2026-09-09</x:v>
      </x:c>
      <x:c r="C7" s="10" t="n">
        <x:v>7705</x:v>
      </x:c>
      <x:c r="D7" s="10" t="n">
        <x:v>7575</x:v>
      </x:c>
      <x:c r="E7" s="12" t="n">
        <x:v>130</x:v>
      </x:c>
      <x:c r="F7" s="9" t="n">
        <x:v>7</x:v>
      </x:c>
      <x:c r="G7" s="10" t="n">
        <x:v>1033.2</x:v>
      </x:c>
      <x:c r="H7" s="10" t="n">
        <x:v>147.6</x:v>
      </x:c>
      <x:c r="I7" s="10" t="n">
        <x:v>190</x:v>
      </x:c>
    </x:row>
    <x:row r="8">
      <x:c r="A8" s="9" t="str">
        <x:v>IC主力</x:v>
      </x:c>
      <x:c r="B8" s="9" t="str">
        <x:v>2026-09-09</x:v>
      </x:c>
      <x:c r="C8" s="10" t="n">
        <x:v>7804.8</x:v>
      </x:c>
      <x:c r="D8" s="10" t="n">
        <x:v>7695.4</x:v>
      </x:c>
      <x:c r="E8" s="12" t="n">
        <x:v>109.4</x:v>
      </x:c>
      <x:c r="F8" s="9" t="n">
        <x:v>7</x:v>
      </x:c>
      <x:c r="G8" s="10" t="n">
        <x:v>1028.8</x:v>
      </x:c>
      <x:c r="H8" s="10" t="n">
        <x:v>147</x:v>
      </x:c>
      <x:c r="I8" s="10" t="n">
        <x:v>150</x:v>
      </x:c>
    </x:row>
    <x:row r="9">
      <x:c r="A9" s="9" t="str">
        <x:v>IF主力</x:v>
      </x:c>
      <x:c r="B9" s="9" t="str">
        <x:v>2026-09-09</x:v>
      </x:c>
      <x:c r="C9" s="10" t="n">
        <x:v>4574.2</x:v>
      </x:c>
      <x:c r="D9" s="10" t="n">
        <x:v>4535.6</x:v>
      </x:c>
      <x:c r="E9" s="12" t="n">
        <x:v>38.6</x:v>
      </x:c>
      <x:c r="F9" s="9" t="n">
        <x:v>7</x:v>
      </x:c>
      <x:c r="G9" s="10" t="n">
        <x:v>366.2</x:v>
      </x:c>
      <x:c r="H9" s="10" t="n">
        <x:v>52.3</x:v>
      </x:c>
      <x:c r="I9" s="10" t="n">
        <x:v>90</x:v>
      </x:c>
    </x:row>
    <x:row r="10">
      <x:c r="A10" s="9" t="str">
        <x:v>IH主力</x:v>
      </x:c>
      <x:c r="B10" s="9" t="str">
        <x:v>2026-09-09</x:v>
      </x:c>
      <x:c r="C10" s="10" t="n">
        <x:v>2909.8</x:v>
      </x:c>
      <x:c r="D10" s="10" t="n">
        <x:v>2887.6</x:v>
      </x:c>
      <x:c r="E10" s="12" t="n">
        <x:v>22.2</x:v>
      </x:c>
      <x:c r="F10" s="9" t="n">
        <x:v>7</x:v>
      </x:c>
      <x:c r="G10" s="10" t="n">
        <x:v>220.4</x:v>
      </x:c>
      <x:c r="H10" s="10" t="n">
        <x:v>31.5</x:v>
      </x:c>
      <x:c r="I10" s="10" t="n">
        <x:v>60</x:v>
      </x:c>
    </x:row>
    <x:row r="11">
      <x:c r="A11" s="9" t="str">
        <x:v>碳酸锂2609</x:v>
      </x:c>
      <x:c r="B11" s="9" t="str">
        <x:v>2026-09-09</x:v>
      </x:c>
      <x:c r="C11" s="10" t="n">
        <x:v>142880</x:v>
      </x:c>
      <x:c r="D11" s="10" t="n">
        <x:v>139800</x:v>
      </x:c>
      <x:c r="E11" s="12" t="n">
        <x:v>3080</x:v>
      </x:c>
      <x:c r="F11" s="9" t="n">
        <x:v>7</x:v>
      </x:c>
      <x:c r="G11" s="10" t="n">
        <x:v>34100</x:v>
      </x:c>
      <x:c r="H11" s="10" t="n">
        <x:v>4871.4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9月7日-9月9日</x:v>
      </x:c>
      <x:c r="C6" s="23" t="n">
        <x:v>7551.02</x:v>
      </x:c>
      <x:c r="D6" s="23" t="n">
        <x:v>7724.94</x:v>
      </x:c>
      <x:c r="E6" s="23" t="n">
        <x:v>7541.14</x:v>
      </x:c>
      <x:c r="F6" s="23" t="n">
        <x:v>7648.8</x:v>
      </x:c>
      <x:c r="G6" s="23" t="n">
        <x:f>ROUND(F6-F5,1)</x:f>
        <x:v>140.7</x:v>
      </x:c>
      <x:c r="H6" s="24" t="n">
        <x:f>IFERROR(F6/F5-1,"")</x:f>
        <x:v>0.018741117914143235</x:v>
      </x:c>
      <x:c r="I6" s="26" t="n">
        <x:f>ROUND(D6-E6,1)</x:f>
        <x:v>183.8</x:v>
      </x:c>
      <x:c r="J6" s="22" t="str">
        <x:v>中证1000</x:v>
      </x:c>
      <x:c r="K6" s="22" t="n">
        <x:v>3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491.9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246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9月1日-9月4日</x:v>
      </x:c>
      <x:c r="C12" s="23" t="n">
        <x:v>7944.29</x:v>
      </x:c>
      <x:c r="D12" s="23" t="n">
        <x:v>7955.57</x:v>
      </x:c>
      <x:c r="E12" s="23" t="n">
        <x:v>7610.58</x:v>
      </x:c>
      <x:c r="F12" s="23" t="n">
        <x:v>7652.69</x:v>
      </x:c>
      <x:c r="G12" s="23"/>
      <x:c r="H12" s="24"/>
      <x:c r="I12" s="26" t="n">
        <x:f>ROUND(D12-E12,1)</x:f>
        <x:v>345</x:v>
      </x:c>
      <x:c r="J12" s="22" t="str">
        <x:v>中证500</x:v>
      </x:c>
      <x:c r="K12" s="22" t="n">
        <x:v>4</x:v>
      </x:c>
    </x:row>
    <x:row r="13">
      <x:c r="A13" s="22" t="n">
        <x:v>2</x:v>
      </x:c>
      <x:c r="B13" s="22" t="str">
        <x:v>9月7日-9月9日</x:v>
      </x:c>
      <x:c r="C13" s="23" t="n">
        <x:v>7687.47</x:v>
      </x:c>
      <x:c r="D13" s="23" t="n">
        <x:v>7830.16</x:v>
      </x:c>
      <x:c r="E13" s="23" t="n">
        <x:v>7672.99</x:v>
      </x:c>
      <x:c r="F13" s="23" t="n">
        <x:v>7768.11</x:v>
      </x:c>
      <x:c r="G13" s="23" t="n">
        <x:f>ROUND(F13-F12,1)</x:f>
        <x:v>115.4</x:v>
      </x:c>
      <x:c r="H13" s="24" t="n">
        <x:f>IFERROR(F13/F12-1,"")</x:f>
        <x:v>0.01508227825771069</x:v>
      </x:c>
      <x:c r="I13" s="23" t="n">
        <x:f>ROUND(D13-E13,1)</x:f>
        <x:v>157.2</x:v>
      </x:c>
      <x:c r="J13" s="22" t="str">
        <x:v>中证500</x:v>
      </x:c>
      <x:c r="K13" s="22" t="n">
        <x:v>3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502.2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251.1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9月1日-9月4日</x:v>
      </x:c>
      <x:c r="C19" s="23" t="n">
        <x:v>3979.88</x:v>
      </x:c>
      <x:c r="D19" s="23" t="n">
        <x:v>3995.18</x:v>
      </x:c>
      <x:c r="E19" s="23" t="n">
        <x:v>3915.22</x:v>
      </x:c>
      <x:c r="F19" s="23" t="n">
        <x:v>3930.12</x:v>
      </x:c>
      <x:c r="G19" s="23"/>
      <x:c r="H19" s="24"/>
      <x:c r="I19" s="26" t="n">
        <x:f>ROUND(D19-E19,1)</x:f>
        <x:v>80</x:v>
      </x:c>
      <x:c r="J19" s="22" t="str">
        <x:v>上证指数</x:v>
      </x:c>
      <x:c r="K19" s="22" t="n">
        <x:v>4</x:v>
      </x:c>
    </x:row>
    <x:row r="20">
      <x:c r="A20" s="22" t="n">
        <x:v>2</x:v>
      </x:c>
      <x:c r="B20" s="22" t="str">
        <x:v>9月7日-9月9日</x:v>
      </x:c>
      <x:c r="C20" s="23" t="n">
        <x:v>3942.51</x:v>
      </x:c>
      <x:c r="D20" s="23" t="n">
        <x:v>3958.12</x:v>
      </x:c>
      <x:c r="E20" s="23" t="n">
        <x:v>3916.49</x:v>
      </x:c>
      <x:c r="F20" s="23" t="n">
        <x:v>3951.51</x:v>
      </x:c>
      <x:c r="G20" s="23" t="n">
        <x:f>ROUND(F20-F19,1)</x:f>
        <x:v>21.4</x:v>
      </x:c>
      <x:c r="H20" s="24" t="n">
        <x:f>IFERROR(F20/F19-1,"")</x:f>
        <x:v>0.005442581905896082</x:v>
      </x:c>
      <x:c r="I20" s="23" t="n">
        <x:f>ROUND(D20-E20,1)</x:f>
        <x:v>41.6</x:v>
      </x:c>
      <x:c r="J20" s="22" t="str">
        <x:v>上证指数</x:v>
      </x:c>
      <x:c r="K20" s="22" t="n">
        <x:v>3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121.6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60.8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9月1日-9月4日</x:v>
      </x:c>
      <x:c r="C26" s="23" t="n">
        <x:v>7713.4</x:v>
      </x:c>
      <x:c r="D26" s="23" t="n">
        <x:v>7721</x:v>
      </x:c>
      <x:c r="E26" s="23" t="n">
        <x:v>7432</x:v>
      </x:c>
      <x:c r="F26" s="23" t="n">
        <x:v>7468.2</x:v>
      </x:c>
      <x:c r="G26" s="23"/>
      <x:c r="H26" s="24"/>
      <x:c r="I26" s="26" t="n">
        <x:f>ROUND(D26-E26,1)</x:f>
        <x:v>289</x:v>
      </x:c>
      <x:c r="J26" s="22" t="str">
        <x:v>IM2609</x:v>
      </x:c>
      <x:c r="K26" s="22" t="n">
        <x:v>4</x:v>
      </x:c>
    </x:row>
    <x:row r="27">
      <x:c r="A27" s="22" t="n">
        <x:v>2</x:v>
      </x:c>
      <x:c r="B27" s="22" t="str">
        <x:v>9月7日-9月9日</x:v>
      </x:c>
      <x:c r="C27" s="23" t="n">
        <x:v>7527.2</x:v>
      </x:c>
      <x:c r="D27" s="23" t="n">
        <x:v>7714.6</x:v>
      </x:c>
      <x:c r="E27" s="23" t="n">
        <x:v>7512.6</x:v>
      </x:c>
      <x:c r="F27" s="23" t="n">
        <x:v>7618.6</x:v>
      </x:c>
      <x:c r="G27" s="34" t="n">
        <x:f>ROUND(F27-F26,1)</x:f>
        <x:v>150.4</x:v>
      </x:c>
      <x:c r="H27" s="24" t="n">
        <x:f>IFERROR(F27/F26-1,"")</x:f>
        <x:v>0.020138721512546587</x:v>
      </x:c>
      <x:c r="I27" s="26" t="n">
        <x:f>ROUND(D27-E27,1)</x:f>
        <x:v>202</x:v>
      </x:c>
      <x:c r="J27" s="22" t="str">
        <x:v>IM2609</x:v>
      </x:c>
      <x:c r="K27" s="22" t="n">
        <x:v>3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491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245.5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9月1日-9月4日</x:v>
      </x:c>
      <x:c r="C33" s="23" t="n">
        <x:v>7880.8</x:v>
      </x:c>
      <x:c r="D33" s="23" t="n">
        <x:v>7903</x:v>
      </x:c>
      <x:c r="E33" s="23" t="n">
        <x:v>7568</x:v>
      </x:c>
      <x:c r="F33" s="23" t="n">
        <x:v>7608</x:v>
      </x:c>
      <x:c r="G33" s="23"/>
      <x:c r="H33" s="24"/>
      <x:c r="I33" s="26" t="n">
        <x:f>ROUND(D33-E33,1)</x:f>
        <x:v>335</x:v>
      </x:c>
      <x:c r="J33" s="22" t="str">
        <x:v>IC2609</x:v>
      </x:c>
      <x:c r="K33" s="22" t="n">
        <x:v>4</x:v>
      </x:c>
    </x:row>
    <x:row r="34">
      <x:c r="A34" s="22" t="n">
        <x:v>2</x:v>
      </x:c>
      <x:c r="B34" s="22" t="str">
        <x:v>9月7日-9月9日</x:v>
      </x:c>
      <x:c r="C34" s="23" t="n">
        <x:v>7665.6</x:v>
      </x:c>
      <x:c r="D34" s="23" t="n">
        <x:v>7817.2</x:v>
      </x:c>
      <x:c r="E34" s="23" t="n">
        <x:v>7651.2</x:v>
      </x:c>
      <x:c r="F34" s="23" t="n">
        <x:v>7738.6</x:v>
      </x:c>
      <x:c r="G34" s="23" t="n">
        <x:f>ROUND(F34-F33,1)</x:f>
        <x:v>130.6</x:v>
      </x:c>
      <x:c r="H34" s="24" t="n">
        <x:f>IFERROR(F34/F33-1,"")</x:f>
        <x:v>0.017166140904311344</x:v>
      </x:c>
      <x:c r="I34" s="26" t="n">
        <x:f>ROUND(D34-E34,1)</x:f>
        <x:v>166</x:v>
      </x:c>
      <x:c r="J34" s="22" t="str">
        <x:v>IC2609</x:v>
      </x:c>
      <x:c r="K34" s="22" t="n">
        <x:v>3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501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250.5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9月1日-9月4日</x:v>
      </x:c>
      <x:c r="C40" s="23" t="n">
        <x:v>4602</x:v>
      </x:c>
      <x:c r="D40" s="23" t="n">
        <x:v>4617.8</x:v>
      </x:c>
      <x:c r="E40" s="23" t="n">
        <x:v>4497.6</x:v>
      </x:c>
      <x:c r="F40" s="23" t="n">
        <x:v>4537.4</x:v>
      </x:c>
      <x:c r="G40" s="23"/>
      <x:c r="H40" s="24"/>
      <x:c r="I40" s="26" t="n">
        <x:f>ROUND(D40-E40,1)</x:f>
        <x:v>120.2</x:v>
      </x:c>
      <x:c r="J40" s="22" t="str">
        <x:v>IF2609</x:v>
      </x:c>
      <x:c r="K40" s="22" t="n">
        <x:v>4</x:v>
      </x:c>
    </x:row>
    <x:row r="41">
      <x:c r="A41" s="22" t="n">
        <x:v>2</x:v>
      </x:c>
      <x:c r="B41" s="22" t="str">
        <x:v>9月7日-9月9日</x:v>
      </x:c>
      <x:c r="C41" s="23" t="n">
        <x:v>4562</x:v>
      </x:c>
      <x:c r="D41" s="23" t="n">
        <x:v>4584</x:v>
      </x:c>
      <x:c r="E41" s="23" t="n">
        <x:v>4532.8</x:v>
      </x:c>
      <x:c r="F41" s="23" t="n">
        <x:v>4560</x:v>
      </x:c>
      <x:c r="G41" s="23" t="n">
        <x:f>ROUND(F41-F40,1)</x:f>
        <x:v>22.6</x:v>
      </x:c>
      <x:c r="H41" s="24" t="n">
        <x:f>IFERROR(F41/F40-1,"")</x:f>
        <x:v>0.00498082602371408</x:v>
      </x:c>
      <x:c r="I41" s="23" t="n">
        <x:f>ROUND(D41-E41,1)</x:f>
        <x:v>51.2</x:v>
      </x:c>
      <x:c r="J41" s="22" t="str">
        <x:v>IF2609</x:v>
      </x:c>
      <x:c r="K41" s="22" t="n">
        <x:v>3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171.4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85.7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9月1日-9月4日</x:v>
      </x:c>
      <x:c r="C47" s="23" t="n">
        <x:v>2913</x:v>
      </x:c>
      <x:c r="D47" s="23" t="n">
        <x:v>2949.4</x:v>
      </x:c>
      <x:c r="E47" s="23" t="n">
        <x:v>2881.4</x:v>
      </x:c>
      <x:c r="F47" s="23" t="n">
        <x:v>2915.8</x:v>
      </x:c>
      <x:c r="G47" s="23"/>
      <x:c r="H47" s="24"/>
      <x:c r="I47" s="26" t="n">
        <x:f>ROUND(D47-E47,1)</x:f>
        <x:v>68</x:v>
      </x:c>
      <x:c r="J47" s="22" t="str">
        <x:v>IH2609</x:v>
      </x:c>
      <x:c r="K47" s="22" t="n">
        <x:v>4</x:v>
      </x:c>
    </x:row>
    <x:row r="48">
      <x:c r="A48" s="22" t="n">
        <x:v>2</x:v>
      </x:c>
      <x:c r="B48" s="22" t="str">
        <x:v>9月7日-9月9日</x:v>
      </x:c>
      <x:c r="C48" s="23" t="n">
        <x:v>2923.2</x:v>
      </x:c>
      <x:c r="D48" s="23" t="n">
        <x:v>2931.4</x:v>
      </x:c>
      <x:c r="E48" s="23" t="n">
        <x:v>2887.6</x:v>
      </x:c>
      <x:c r="F48" s="23" t="n">
        <x:v>2901.2</x:v>
      </x:c>
      <x:c r="G48" s="23" t="n">
        <x:f>ROUND(F48-F47,1)</x:f>
        <x:v>-14.6</x:v>
      </x:c>
      <x:c r="H48" s="24" t="n">
        <x:f>IFERROR(F48/F47-1,"")</x:f>
        <x:v>-0.0050072021400645594</x:v>
      </x:c>
      <x:c r="I48" s="23" t="n">
        <x:f>ROUND(D48-E48,1)</x:f>
        <x:v>43.8</x:v>
      </x:c>
      <x:c r="J48" s="22" t="str">
        <x:v>IH2609</x:v>
      </x:c>
      <x:c r="K48" s="22" t="n">
        <x:v>3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111.8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55.9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9月1日-9月4日</x:v>
      </x:c>
      <x:c r="C54" s="23" t="n">
        <x:v>159000</x:v>
      </x:c>
      <x:c r="D54" s="23" t="n">
        <x:v>160480</x:v>
      </x:c>
      <x:c r="E54" s="23" t="n">
        <x:v>140940</x:v>
      </x:c>
      <x:c r="F54" s="23" t="n">
        <x:v>140980</x:v>
      </x:c>
      <x:c r="G54" s="23"/>
      <x:c r="H54" s="24"/>
      <x:c r="I54" s="26" t="n">
        <x:f>ROUND(D54-E54,1)</x:f>
        <x:v>19540</x:v>
      </x:c>
      <x:c r="J54" s="22" t="str">
        <x:v>LC2609</x:v>
      </x:c>
      <x:c r="K54" s="22" t="n">
        <x:v>4</x:v>
      </x:c>
    </x:row>
    <x:row r="55">
      <x:c r="A55" s="22" t="n">
        <x:v>2</x:v>
      </x:c>
      <x:c r="B55" s="22" t="str">
        <x:v>9月7日-9月9日</x:v>
      </x:c>
      <x:c r="C55" s="23" t="n">
        <x:v>142120</x:v>
      </x:c>
      <x:c r="D55" s="23" t="n">
        <x:v>143200</x:v>
      </x:c>
      <x:c r="E55" s="23" t="n">
        <x:v>139800</x:v>
      </x:c>
      <x:c r="F55" s="23" t="n">
        <x:v>141260</x:v>
      </x:c>
      <x:c r="G55" s="34" t="n">
        <x:f>ROUND(F55-F54,1)</x:f>
        <x:v>280</x:v>
      </x:c>
      <x:c r="H55" s="24" t="n">
        <x:f>IFERROR(F55/F54-1,"")</x:f>
        <x:v>0.0019860973187686426</x:v>
      </x:c>
      <x:c r="I55" s="23" t="n">
        <x:f>ROUND(D55-E55,1)</x:f>
        <x:v>3400</x:v>
      </x:c>
      <x:c r="J55" s="22" t="str">
        <x:v>LC2609</x:v>
      </x:c>
      <x:c r="K55" s="22" t="n">
        <x:v>3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22940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11470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913.6999999999999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130.5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851.9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121.7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237.2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33.9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1033.2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147.6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1028.8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147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366.2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52.3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220.4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31.5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4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4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4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34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34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143200</x:v>
      </x:c>
      <x:c r="E9" s="23" t="n">
        <x:v>143200</x:v>
      </x:c>
      <x:c r="F9" s="23" t="n">
        <x:v>141320</x:v>
      </x:c>
      <x:c r="G9" s="23" t="n">
        <x:v>141320</x:v>
      </x:c>
      <x:c r="H9" s="34" t="n">
        <x:v>820</x:v>
      </x:c>
      <x:c r="I9" s="24" t="n">
        <x:v>0.005836298932384354</x:v>
      </x:c>
      <x:c r="J9" s="23" t="n">
        <x:f>ROUND(E9-F9,1)</x:f>
        <x:v>1880</x:v>
      </x:c>
      <x:c r="K9" s="22" t="str">
        <x:v>LC2609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140000</x:v>
      </x:c>
      <x:c r="E10" s="23" t="n">
        <x:v>142880</x:v>
      </x:c>
      <x:c r="F10" s="23" t="n">
        <x:v>139800</x:v>
      </x:c>
      <x:c r="G10" s="23" t="n">
        <x:v>141260</x:v>
      </x:c>
      <x:c r="H10" s="23" t="n">
        <x:v>-60</x:v>
      </x:c>
      <x:c r="I10" s="24" t="n">
        <x:v>-0.0004245683555051949</x:v>
      </x:c>
      <x:c r="J10" s="23" t="n">
        <x:f>ROUND(E10-F10,1)</x:f>
        <x:v>3080</x:v>
      </x:c>
      <x:c r="K10" s="22" t="str">
        <x:v>LC2609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34100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4871.4</x:v>
      </x:c>
      <x:c r="K14" s="28"/>
    </x:row>
  </x:sheetData>
  <x:mergeCells>
    <x:mergeCell ref="A1:K1"/>
  </x:mergeCells>
  <x:pageMargins left="0.7" right="0.7" top="0.75" bottom="0.75" header="0.3" footer="0.3"/>
</x:worksheet>
</file>