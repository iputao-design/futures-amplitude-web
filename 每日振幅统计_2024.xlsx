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e68e60a164e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482f51147d2945d0"/>
    <x:sheet xmlns:r="http://schemas.openxmlformats.org/officeDocument/2006/relationships" name="中证1000" sheetId="2" r:id="Rf44f02cd38c34a0f"/>
    <x:sheet xmlns:r="http://schemas.openxmlformats.org/officeDocument/2006/relationships" name="中证500" sheetId="3" r:id="R5a9c3481b8624fec"/>
    <x:sheet xmlns:r="http://schemas.openxmlformats.org/officeDocument/2006/relationships" name="上证指数" sheetId="4" r:id="R1d8a6dbd6bfb466c"/>
    <x:sheet xmlns:r="http://schemas.openxmlformats.org/officeDocument/2006/relationships" name="IM主力" sheetId="5" r:id="R189e9e4bbf0c4f5f"/>
    <x:sheet xmlns:r="http://schemas.openxmlformats.org/officeDocument/2006/relationships" name="IC主力" sheetId="6" r:id="R83eb6b0a03f047d9"/>
    <x:sheet xmlns:r="http://schemas.openxmlformats.org/officeDocument/2006/relationships" name="IF主力" sheetId="7" r:id="R034916e4d9fa422b"/>
    <x:sheet xmlns:r="http://schemas.openxmlformats.org/officeDocument/2006/relationships" name="IH主力" sheetId="8" r:id="Rae2e5c64cedb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%"/>
  </x:numFmts>
  <x:fonts count="9">
    <x:font>
      <x:sz val="11"/>
      <x:name val="Carlito"/>
    </x:font>
    <x:font>
      <x:b/>
      <x:sz val="18"/>
      <x:color rgb="FF7030A0"/>
      <x:name val="Carlito"/>
    </x:font>
    <x:font>
      <x:b/>
      <x:sz val="11"/>
      <x:name val="Carlito"/>
    </x:font>
    <x:font>
      <x:b/>
      <x:sz val="11"/>
      <x:color rgb="FFB91C1C"/>
      <x:name val="Carlito"/>
    </x:font>
    <x:font>
      <x:b/>
      <x:sz val="14"/>
      <x:color rgb="FF7030A0"/>
      <x:name val="Carlito"/>
    </x:font>
    <x:font>
      <x:b/>
      <x:sz val="11"/>
      <x:color rgb="FF111827"/>
      <x:name val="Carlito"/>
    </x:font>
    <x:font>
      <x:sz val="11"/>
      <x:color rgb="FF1F2937"/>
      <x:name val="Carlito"/>
    </x:font>
    <x:font>
      <x:b/>
      <x:sz val="11"/>
      <x:color rgb="FF1E3A8A"/>
      <x:name val="Carlito"/>
    </x:font>
    <x:font>
      <x:b/>
      <x:sz val="11"/>
      <x:color rgb="FFE11D4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FEF9C3"/>
      </x:patternFill>
    </x:fill>
    <x:fill>
      <x:patternFill patternType="solid">
        <x:fgColor rgb="FFDBEAFE"/>
      </x:patternFill>
    </x:fill>
    <x:fill>
      <x:patternFill patternType="solid">
        <x:fgColor rgb="FFFFFF00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 applyAlignment="1">
      <x:alignment horizontal="center"/>
    </x:xf>
    <x:xf numFmtId="200" fontId="0" fillId="4" borderId="2" xfId="0" applyNumberFormat="1" applyFont="1" applyFill="1" applyBorder="1" applyAlignment="1">
      <x:alignment horizontal="center"/>
    </x:xf>
    <x:xf numFmtId="200" fontId="3" fillId="4" borderId="2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/>
    <x:xf numFmtId="0" fontId="2" fillId="3" borderId="2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horizontal="center" vertical="center"/>
    </x:xf>
    <x:xf numFmtId="200" fontId="6" fillId="0" borderId="2" xfId="0" applyNumberFormat="1" applyFont="1" applyFill="1" applyBorder="1" applyAlignment="1">
      <x:alignment horizontal="center" vertical="center"/>
    </x:xf>
    <x:xf numFmtId="201" fontId="6" fillId="0" borderId="2" xfId="0" applyNumberFormat="1" applyFont="1" applyFill="1" applyBorder="1" applyAlignment="1">
      <x:alignment horizontal="center" vertical="center"/>
    </x:xf>
    <x:xf numFmtId="0" fontId="6" fillId="5" borderId="2" xfId="0" applyNumberFormat="1" applyFont="1" applyFill="1" applyBorder="1" applyAlignment="1">
      <x:alignment horizontal="center" vertical="center"/>
    </x:xf>
    <x:xf numFmtId="200" fontId="6" fillId="5" borderId="2" xfId="0" applyNumberFormat="1" applyFont="1" applyFill="1" applyBorder="1" applyAlignment="1">
      <x:alignment horizontal="center" vertical="center"/>
    </x:xf>
    <x:xf numFmtId="201" fontId="6" fillId="5" borderId="2" xfId="0" applyNumberFormat="1" applyFont="1" applyFill="1" applyBorder="1" applyAlignment="1">
      <x:alignment horizontal="center" vertical="center"/>
    </x:xf>
    <x:xf numFmtId="0" fontId="7" fillId="5" borderId="2" xfId="0" applyNumberFormat="1" applyFont="1" applyFill="1" applyBorder="1" applyAlignment="1">
      <x:alignment horizontal="center" vertical="center"/>
    </x:xf>
    <x:xf numFmtId="200" fontId="7" fillId="5" borderId="2" xfId="0" applyNumberFormat="1" applyFont="1" applyFill="1" applyBorder="1" applyAlignment="1">
      <x:alignment horizontal="center" vertical="center"/>
    </x:xf>
    <x:xf numFmtId="201" fontId="7" fillId="5" borderId="2" xfId="0" applyNumberFormat="1" applyFont="1" applyFill="1" applyBorder="1" applyAlignment="1">
      <x:alignment horizontal="center" vertical="center"/>
    </x:xf>
    <x:xf numFmtId="200" fontId="6" fillId="6" borderId="2" xfId="0" applyNumberFormat="1" applyFont="1" applyFill="1" applyBorder="1" applyAlignment="1">
      <x:alignment horizontal="center" vertical="center"/>
    </x:xf>
    <x:xf numFmtId="200" fontId="8" fillId="6" borderId="2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6" borderId="1" xfId="0" applyNumberFormat="1" applyFont="1" applyFill="1" applyBorder="1" applyAlignment="1">
      <x:alignment horizontal="center"/>
    </x:xf>
    <x:xf numFmtId="200" fontId="8" fillId="6" borderId="1" xfId="0" applyNumberFormat="1" applyFont="1" applyFill="1" applyBorder="1" applyAlignment="1">
      <x:alignment horizontal="center"/>
    </x:xf>
    <x:xf numFmtId="200" fontId="7" fillId="6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5371f10ca44806" /><Relationship Type="http://schemas.openxmlformats.org/officeDocument/2006/relationships/theme" Target="/xl/theme/theme1.xml" Id="R7362abe269664846" /><Relationship Type="http://schemas.openxmlformats.org/officeDocument/2006/relationships/sharedStrings" Target="/xl/sharedStrings.xml" Id="Rcc34aa927f3643ef" /><Relationship Type="http://schemas.openxmlformats.org/officeDocument/2006/relationships/worksheet" Target="/xl/worksheets/sheet1.xml" Id="R482f51147d2945d0" /><Relationship Type="http://schemas.openxmlformats.org/officeDocument/2006/relationships/worksheet" Target="/xl/worksheets/sheet2.xml" Id="Rf44f02cd38c34a0f" /><Relationship Type="http://schemas.openxmlformats.org/officeDocument/2006/relationships/worksheet" Target="/xl/worksheets/sheet3.xml" Id="R5a9c3481b8624fec" /><Relationship Type="http://schemas.openxmlformats.org/officeDocument/2006/relationships/worksheet" Target="/xl/worksheets/sheet4.xml" Id="R1d8a6dbd6bfb466c" /><Relationship Type="http://schemas.openxmlformats.org/officeDocument/2006/relationships/worksheet" Target="/xl/worksheets/sheet5.xml" Id="R189e9e4bbf0c4f5f" /><Relationship Type="http://schemas.openxmlformats.org/officeDocument/2006/relationships/worksheet" Target="/xl/worksheets/sheet6.xml" Id="R83eb6b0a03f047d9" /><Relationship Type="http://schemas.openxmlformats.org/officeDocument/2006/relationships/worksheet" Target="/xl/worksheets/sheet7.xml" Id="R034916e4d9fa422b" /><Relationship Type="http://schemas.openxmlformats.org/officeDocument/2006/relationships/worksheet" Target="/xl/worksheets/sheet8.xml" Id="Rae2e5c64cedb4e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2" hidden="0" customWidth="1"/>
    <x:col min="4" max="4" width="4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8" customHeight="1">
      <x:c r="A1" s="3" t="str">
        <x:v>2024年统计 - 每日振幅汇总</x:v>
      </x:c>
    </x:row>
    <x:row r="3">
      <x:c r="A3" s="6" t="str">
        <x:v>标的</x:v>
      </x:c>
      <x:c r="B3" s="6" t="str">
        <x:v>最新日期</x:v>
      </x:c>
      <x:c r="C3" s="6" t="str">
        <x:v>最新高点</x:v>
      </x:c>
      <x:c r="D3" s="6" t="str">
        <x:v>最新低点</x:v>
      </x:c>
      <x:c r="E3" s="6" t="str">
        <x:v>最新振幅</x:v>
      </x:c>
      <x:c r="F3" s="6" t="str">
        <x:v>交易日</x:v>
      </x:c>
      <x:c r="G3" s="6" t="str">
        <x:v>振幅合计</x:v>
      </x:c>
      <x:c r="H3" s="6" t="str">
        <x:v>振幅均值</x:v>
      </x:c>
      <x:c r="I3" s="6" t="str">
        <x:v>高振幅阈值</x:v>
      </x:c>
    </x:row>
    <x:row r="4">
      <x:c r="A4" s="9" t="str">
        <x:v>中证1000</x:v>
      </x:c>
      <x:c r="B4" s="9" t="str">
        <x:v>2024-12-31</x:v>
      </x:c>
      <x:c r="C4" s="10" t="n">
        <x:v>6160.733</x:v>
      </x:c>
      <x:c r="D4" s="10" t="n">
        <x:v>5957.717</x:v>
      </x:c>
      <x:c r="E4" s="12" t="n">
        <x:v>203</x:v>
      </x:c>
      <x:c r="F4" s="9" t="n">
        <x:v>242</x:v>
      </x:c>
      <x:c r="G4" s="10" t="n">
        <x:v>30337</x:v>
      </x:c>
      <x:c r="H4" s="10" t="n">
        <x:v>125.4</x:v>
      </x:c>
      <x:c r="I4" s="10" t="n">
        <x:v>180</x:v>
      </x:c>
    </x:row>
    <x:row r="5">
      <x:c r="A5" s="9" t="str">
        <x:v>中证500</x:v>
      </x:c>
      <x:c r="B5" s="9" t="str">
        <x:v>2024-12-31</x:v>
      </x:c>
      <x:c r="C5" s="10" t="n">
        <x:v>5905.463</x:v>
      </x:c>
      <x:c r="D5" s="10" t="n">
        <x:v>5725.732</x:v>
      </x:c>
      <x:c r="E5" s="12" t="n">
        <x:v>179.7</x:v>
      </x:c>
      <x:c r="F5" s="9" t="n">
        <x:v>242</x:v>
      </x:c>
      <x:c r="G5" s="10" t="n">
        <x:v>25750</x:v>
      </x:c>
      <x:c r="H5" s="10" t="n">
        <x:v>106.4</x:v>
      </x:c>
      <x:c r="I5" s="10" t="n">
        <x:v>160</x:v>
      </x:c>
    </x:row>
    <x:row r="6">
      <x:c r="A6" s="9" t="str">
        <x:v>上证指数</x:v>
      </x:c>
      <x:c r="B6" s="9" t="str">
        <x:v>2024-12-31</x:v>
      </x:c>
      <x:c r="C6" s="10" t="n">
        <x:v>3413.455</x:v>
      </x:c>
      <x:c r="D6" s="10" t="n">
        <x:v>3351.763</x:v>
      </x:c>
      <x:c r="E6" s="12" t="n">
        <x:v>61.7</x:v>
      </x:c>
      <x:c r="F6" s="9" t="n">
        <x:v>242</x:v>
      </x:c>
      <x:c r="G6" s="10" t="n">
        <x:v>10419.8</x:v>
      </x:c>
      <x:c r="H6" s="10" t="n">
        <x:v>43.1</x:v>
      </x:c>
      <x:c r="I6" s="10" t="n">
        <x:v>50</x:v>
      </x:c>
    </x:row>
    <x:row r="7">
      <x:c r="A7" s="9" t="str">
        <x:v>IM主力</x:v>
      </x:c>
      <x:c r="B7" s="9" t="str">
        <x:v>2024-12-31</x:v>
      </x:c>
      <x:c r="C7" s="10" t="n">
        <x:v>6081.6</x:v>
      </x:c>
      <x:c r="D7" s="10" t="n">
        <x:v>5847</x:v>
      </x:c>
      <x:c r="E7" s="12" t="n">
        <x:v>234.6</x:v>
      </x:c>
      <x:c r="F7" s="9" t="n">
        <x:v>242</x:v>
      </x:c>
      <x:c r="G7" s="10" t="n">
        <x:v>35432.8</x:v>
      </x:c>
      <x:c r="H7" s="10" t="n">
        <x:v>146.4</x:v>
      </x:c>
      <x:c r="I7" s="10" t="n">
        <x:v>190</x:v>
      </x:c>
    </x:row>
    <x:row r="8">
      <x:c r="A8" s="9" t="str">
        <x:v>IC主力</x:v>
      </x:c>
      <x:c r="B8" s="9" t="str">
        <x:v>2024-12-31</x:v>
      </x:c>
      <x:c r="C8" s="10" t="n">
        <x:v>5864</x:v>
      </x:c>
      <x:c r="D8" s="10" t="n">
        <x:v>5646</x:v>
      </x:c>
      <x:c r="E8" s="12" t="n">
        <x:v>218</x:v>
      </x:c>
      <x:c r="F8" s="9" t="n">
        <x:v>242</x:v>
      </x:c>
      <x:c r="G8" s="10" t="n">
        <x:v>29795.6</x:v>
      </x:c>
      <x:c r="H8" s="10" t="n">
        <x:v>123.1</x:v>
      </x:c>
      <x:c r="I8" s="10" t="n">
        <x:v>150</x:v>
      </x:c>
    </x:row>
    <x:row r="9">
      <x:c r="A9" s="9" t="str">
        <x:v>IF主力</x:v>
      </x:c>
      <x:c r="B9" s="9" t="str">
        <x:v>2024-12-31</x:v>
      </x:c>
      <x:c r="C9" s="10" t="n">
        <x:v>4014.2</x:v>
      </x:c>
      <x:c r="D9" s="10" t="n">
        <x:v>3916.8</x:v>
      </x:c>
      <x:c r="E9" s="12" t="n">
        <x:v>97.4</x:v>
      </x:c>
      <x:c r="F9" s="9" t="n">
        <x:v>242</x:v>
      </x:c>
      <x:c r="G9" s="10" t="n">
        <x:v>14461.6</x:v>
      </x:c>
      <x:c r="H9" s="10" t="n">
        <x:v>59.8</x:v>
      </x:c>
      <x:c r="I9" s="10" t="n">
        <x:v>90</x:v>
      </x:c>
    </x:row>
    <x:row r="10">
      <x:c r="A10" s="9" t="str">
        <x:v>IH主力</x:v>
      </x:c>
      <x:c r="B10" s="9" t="str">
        <x:v>2024-12-31</x:v>
      </x:c>
      <x:c r="C10" s="10" t="n">
        <x:v>2734.8</x:v>
      </x:c>
      <x:c r="D10" s="10" t="n">
        <x:v>2681.2</x:v>
      </x:c>
      <x:c r="E10" s="12" t="n">
        <x:v>53.6</x:v>
      </x:c>
      <x:c r="F10" s="9" t="n">
        <x:v>242</x:v>
      </x:c>
      <x:c r="G10" s="10" t="n">
        <x:v>9642</x:v>
      </x:c>
      <x:c r="H10" s="10" t="n">
        <x:v>39.8</x:v>
      </x:c>
      <x:c r="I10" s="10" t="n">
        <x:v>60</x:v>
      </x:c>
    </x:row>
    <x:row r="13">
      <x:c r="A13" s="14" t="str">
        <x:v>统计区间</x:v>
      </x:c>
      <x:c r="B13" s="14" t="str">
        <x:v>2024-01-01</x:v>
      </x:c>
      <x:c r="C13" s="14" t="str">
        <x:v>2024-12-31</x:v>
      </x:c>
      <x:c r="D13" s="14" t="str">
        <x:v>数据源</x:v>
      </x:c>
    </x:row>
    <x:row r="14">
      <x:c r="A14" s="7" t="str">
        <x:v>中证1000</x:v>
      </x:c>
      <x:c r="B14" s="7" t="str">
        <x:v>sh000852</x:v>
      </x:c>
      <x:c r="C14" s="7" t="str">
        <x:v>指数日线</x:v>
      </x:c>
      <x:c r="D14" s="7" t="str">
        <x:v>https://money.finance.sina.com.cn/quotes_service/api/json_v2.php/CN_MarketData.getKLineData?symbol=sh000852&amp;scale=240&amp;ma=no&amp;datalen=80</x:v>
      </x:c>
    </x:row>
    <x:row r="15">
      <x:c r="A15" s="7" t="str">
        <x:v>中证500</x:v>
      </x:c>
      <x:c r="B15" s="7" t="str">
        <x:v>sh000905</x:v>
      </x:c>
      <x:c r="C15" s="7" t="str">
        <x:v>指数日线</x:v>
      </x:c>
      <x:c r="D15" s="7" t="str">
        <x:v>https://money.finance.sina.com.cn/quotes_service/api/json_v2.php/CN_MarketData.getKLineData?symbol=sh000905&amp;scale=240&amp;ma=no&amp;datalen=80</x:v>
      </x:c>
    </x:row>
    <x:row r="16">
      <x:c r="A16" s="7" t="str">
        <x:v>上证指数</x:v>
      </x:c>
      <x:c r="B16" s="7" t="str">
        <x:v>sh000001</x:v>
      </x:c>
      <x:c r="C16" s="7" t="str">
        <x:v>指数日线</x:v>
      </x:c>
      <x:c r="D16" s="7" t="str">
        <x:v>https://money.finance.sina.com.cn/quotes_service/api/json_v2.php/CN_MarketData.getKLineData?symbol=sh000001&amp;scale=240&amp;ma=no&amp;datalen=80</x:v>
      </x:c>
    </x:row>
    <x:row r="17">
      <x:c r="A17" s="7" t="str">
        <x:v>IM主力</x:v>
      </x:c>
      <x:c r="B17" s="7" t="str">
        <x:v>IM0</x:v>
      </x:c>
      <x:c r="C17" s="7" t="str">
        <x:v>用主连确定交易日，再按标的列的具体合约取日线</x:v>
      </x:c>
      <x:c r="D17" s="7" t="str">
        <x:v>https://stock2.finance.sina.com.cn/futures/api/json.php/InnerFuturesNewService.getDailyKLine?symbol=IM0</x:v>
      </x:c>
    </x:row>
    <x:row r="18">
      <x:c r="A18" s="7" t="str">
        <x:v>IC主力</x:v>
      </x:c>
      <x:c r="B18" s="7" t="str">
        <x:v>IC0</x:v>
      </x:c>
      <x:c r="C18" s="7" t="str">
        <x:v>用主连确定交易日，再按标的列的具体合约取日线</x:v>
      </x:c>
      <x:c r="D18" s="7" t="str">
        <x:v>https://stock2.finance.sina.com.cn/futures/api/json.php/InnerFuturesNewService.getDailyKLine?symbol=IC0</x:v>
      </x:c>
    </x:row>
    <x:row r="19">
      <x:c r="A19" s="7" t="str">
        <x:v>IF主力</x:v>
      </x:c>
      <x:c r="B19" s="7" t="str">
        <x:v>IF0</x:v>
      </x:c>
      <x:c r="C19" s="7" t="str">
        <x:v>用主连确定交易日，再按标的列的具体合约取日线</x:v>
      </x:c>
      <x:c r="D19" s="7" t="str">
        <x:v>https://stock2.finance.sina.com.cn/futures/api/json.php/InnerFuturesNewService.getDailyKLine?symbol=IF0</x:v>
      </x:c>
    </x:row>
    <x:row r="20">
      <x:c r="A20" s="7" t="str">
        <x:v>IH主力</x:v>
      </x:c>
      <x:c r="B20" s="7" t="str">
        <x:v>IH0</x:v>
      </x:c>
      <x:c r="C20" s="7" t="str">
        <x:v>用主连确定交易日，再按标的列的具体合约取日线</x:v>
      </x:c>
      <x:c r="D20" s="7" t="str">
        <x:v>https://stock2.finance.sina.com.cn/futures/api/json.php/InnerFuturesNewService.getDailyKLine?symbol=IH0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</x:cols>
  <x:sheetData>
    <x:row r="1" ht="38" customHeight="1">
      <x:c r="A1" s="15" t="str">
        <x:v>2024年统计 - 中证1000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涨幅</x:v>
      </x:c>
      <x:c r="I4" s="20" t="str">
        <x:v>振幅</x:v>
      </x:c>
      <x:c r="J4" s="20" t="str">
        <x:v>标的</x:v>
      </x:c>
    </x:row>
    <x:row r="5">
      <x:c r="A5" s="23" t="n">
        <x:v>1</x:v>
      </x:c>
      <x:c r="B5" s="23" t="str">
        <x:v>周二</x:v>
      </x:c>
      <x:c r="C5" s="23" t="str">
        <x:v>1月2日</x:v>
      </x:c>
      <x:c r="D5" s="24" t="n">
        <x:v>5891.174</x:v>
      </x:c>
      <x:c r="E5" s="24" t="n">
        <x:v>5891.227</x:v>
      </x:c>
      <x:c r="F5" s="24" t="n">
        <x:v>5854.592</x:v>
      </x:c>
      <x:c r="G5" s="24" t="n">
        <x:v>5854.749</x:v>
      </x:c>
      <x:c r="H5" s="25" t="n">
        <x:v>-0.005518040302450955</x:v>
      </x:c>
      <x:c r="I5" s="24" t="n">
        <x:f>ROUND(E5-F5,1)</x:f>
        <x:v>36.6</x:v>
      </x:c>
      <x:c r="J5" s="23" t="str">
        <x:v>中证1000</x:v>
      </x:c>
    </x:row>
    <x:row r="6">
      <x:c r="A6" s="23" t="n">
        <x:v>2</x:v>
      </x:c>
      <x:c r="B6" s="23" t="str">
        <x:v>周三</x:v>
      </x:c>
      <x:c r="C6" s="23" t="str">
        <x:v>1月3日</x:v>
      </x:c>
      <x:c r="D6" s="24" t="n">
        <x:v>5838.553</x:v>
      </x:c>
      <x:c r="E6" s="24" t="n">
        <x:v>5861.411</x:v>
      </x:c>
      <x:c r="F6" s="24" t="n">
        <x:v>5785.252</x:v>
      </x:c>
      <x:c r="G6" s="24" t="n">
        <x:v>5824.043</x:v>
      </x:c>
      <x:c r="H6" s="25" t="n">
        <x:v>-0.005244631324075599</x:v>
      </x:c>
      <x:c r="I6" s="24" t="n">
        <x:f>ROUND(E6-F6,1)</x:f>
        <x:v>76.2</x:v>
      </x:c>
      <x:c r="J6" s="23" t="str">
        <x:v>中证1000</x:v>
      </x:c>
    </x:row>
    <x:row r="7">
      <x:c r="A7" s="23" t="n">
        <x:v>3</x:v>
      </x:c>
      <x:c r="B7" s="23" t="str">
        <x:v>周四</x:v>
      </x:c>
      <x:c r="C7" s="23" t="str">
        <x:v>1月4日</x:v>
      </x:c>
      <x:c r="D7" s="24" t="n">
        <x:v>5814.937</x:v>
      </x:c>
      <x:c r="E7" s="24" t="n">
        <x:v>5814.937</x:v>
      </x:c>
      <x:c r="F7" s="24" t="n">
        <x:v>5753.467</x:v>
      </x:c>
      <x:c r="G7" s="24" t="n">
        <x:v>5783.016</x:v>
      </x:c>
      <x:c r="H7" s="25" t="n">
        <x:v>-0.007044419143196534</x:v>
      </x:c>
      <x:c r="I7" s="24" t="n">
        <x:f>ROUND(E7-F7,1)</x:f>
        <x:v>61.5</x:v>
      </x:c>
      <x:c r="J7" s="23" t="str">
        <x:v>中证1000</x:v>
      </x:c>
    </x:row>
    <x:row r="8">
      <x:c r="A8" s="23" t="n">
        <x:v>4</x:v>
      </x:c>
      <x:c r="B8" s="23" t="str">
        <x:v>周五</x:v>
      </x:c>
      <x:c r="C8" s="23" t="str">
        <x:v>1月5日</x:v>
      </x:c>
      <x:c r="D8" s="24" t="n">
        <x:v>5779.757</x:v>
      </x:c>
      <x:c r="E8" s="24" t="n">
        <x:v>5796.759</x:v>
      </x:c>
      <x:c r="F8" s="24" t="n">
        <x:v>5652.126</x:v>
      </x:c>
      <x:c r="G8" s="24" t="n">
        <x:v>5675.809</x:v>
      </x:c>
      <x:c r="H8" s="25" t="n">
        <x:v>-0.01853825062908343</x:v>
      </x:c>
      <x:c r="I8" s="24" t="n">
        <x:f>ROUND(E8-F8,1)</x:f>
        <x:v>144.6</x:v>
      </x:c>
      <x:c r="J8" s="23" t="str">
        <x:v>中证1000</x:v>
      </x:c>
    </x:row>
    <x:row r="9">
      <x:c r="A9" s="23" t="n">
        <x:v>5</x:v>
      </x:c>
      <x:c r="B9" s="23" t="str">
        <x:v>周一</x:v>
      </x:c>
      <x:c r="C9" s="23" t="str">
        <x:v>1月8日</x:v>
      </x:c>
      <x:c r="D9" s="24" t="n">
        <x:v>5664.453</x:v>
      </x:c>
      <x:c r="E9" s="24" t="n">
        <x:v>5664.453</x:v>
      </x:c>
      <x:c r="F9" s="24" t="n">
        <x:v>5543.575</x:v>
      </x:c>
      <x:c r="G9" s="24" t="n">
        <x:v>5543.575</x:v>
      </x:c>
      <x:c r="H9" s="25" t="n">
        <x:v>-0.023297824151587987</x:v>
      </x:c>
      <x:c r="I9" s="24" t="n">
        <x:f>ROUND(E9-F9,1)</x:f>
        <x:v>120.9</x:v>
      </x:c>
      <x:c r="J9" s="23" t="str">
        <x:v>中证1000</x:v>
      </x:c>
    </x:row>
    <x:row r="10">
      <x:c r="A10" s="23" t="n">
        <x:v>6</x:v>
      </x:c>
      <x:c r="B10" s="23" t="str">
        <x:v>周二</x:v>
      </x:c>
      <x:c r="C10" s="23" t="str">
        <x:v>1月9日</x:v>
      </x:c>
      <x:c r="D10" s="24" t="n">
        <x:v>5553.184</x:v>
      </x:c>
      <x:c r="E10" s="24" t="n">
        <x:v>5607.218</x:v>
      </x:c>
      <x:c r="F10" s="24" t="n">
        <x:v>5513.13</x:v>
      </x:c>
      <x:c r="G10" s="24" t="n">
        <x:v>5553.304</x:v>
      </x:c>
      <x:c r="H10" s="25" t="n">
        <x:v>0.0017550046675656183</x:v>
      </x:c>
      <x:c r="I10" s="24" t="n">
        <x:f>ROUND(E10-F10,1)</x:f>
        <x:v>94.1</x:v>
      </x:c>
      <x:c r="J10" s="23" t="str">
        <x:v>中证1000</x:v>
      </x:c>
    </x:row>
    <x:row r="11">
      <x:c r="A11" s="23" t="n">
        <x:v>7</x:v>
      </x:c>
      <x:c r="B11" s="23" t="str">
        <x:v>周三</x:v>
      </x:c>
      <x:c r="C11" s="23" t="str">
        <x:v>1月10日</x:v>
      </x:c>
      <x:c r="D11" s="24" t="n">
        <x:v>5540.664</x:v>
      </x:c>
      <x:c r="E11" s="24" t="n">
        <x:v>5580.419</x:v>
      </x:c>
      <x:c r="F11" s="24" t="n">
        <x:v>5462.362</x:v>
      </x:c>
      <x:c r="G11" s="24" t="n">
        <x:v>5512.069</x:v>
      </x:c>
      <x:c r="H11" s="25" t="n">
        <x:v>-0.007425309329364915</x:v>
      </x:c>
      <x:c r="I11" s="24" t="n">
        <x:f>ROUND(E11-F11,1)</x:f>
        <x:v>118.1</x:v>
      </x:c>
      <x:c r="J11" s="23" t="str">
        <x:v>中证1000</x:v>
      </x:c>
    </x:row>
    <x:row r="12">
      <x:c r="A12" s="23" t="n">
        <x:v>8</x:v>
      </x:c>
      <x:c r="B12" s="23" t="str">
        <x:v>周四</x:v>
      </x:c>
      <x:c r="C12" s="23" t="str">
        <x:v>1月11日</x:v>
      </x:c>
      <x:c r="D12" s="24" t="n">
        <x:v>5507.803</x:v>
      </x:c>
      <x:c r="E12" s="24" t="n">
        <x:v>5634.025</x:v>
      </x:c>
      <x:c r="F12" s="24" t="n">
        <x:v>5502.294</x:v>
      </x:c>
      <x:c r="G12" s="24" t="n">
        <x:v>5611.115</x:v>
      </x:c>
      <x:c r="H12" s="25" t="n">
        <x:v>0.01796893326262783</x:v>
      </x:c>
      <x:c r="I12" s="24" t="n">
        <x:f>ROUND(E12-F12,1)</x:f>
        <x:v>131.7</x:v>
      </x:c>
      <x:c r="J12" s="23" t="str">
        <x:v>中证1000</x:v>
      </x:c>
    </x:row>
    <x:row r="13">
      <x:c r="A13" s="23" t="n">
        <x:v>9</x:v>
      </x:c>
      <x:c r="B13" s="23" t="str">
        <x:v>周五</x:v>
      </x:c>
      <x:c r="C13" s="23" t="str">
        <x:v>1月12日</x:v>
      </x:c>
      <x:c r="D13" s="24" t="n">
        <x:v>5601.098</x:v>
      </x:c>
      <x:c r="E13" s="24" t="n">
        <x:v>5646.272</x:v>
      </x:c>
      <x:c r="F13" s="24" t="n">
        <x:v>5574.408</x:v>
      </x:c>
      <x:c r="G13" s="24" t="n">
        <x:v>5574.493</x:v>
      </x:c>
      <x:c r="H13" s="25" t="n">
        <x:v>-0.00652668854585936</x:v>
      </x:c>
      <x:c r="I13" s="24" t="n">
        <x:f>ROUND(E13-F13,1)</x:f>
        <x:v>71.9</x:v>
      </x:c>
      <x:c r="J13" s="23" t="str">
        <x:v>中证1000</x:v>
      </x:c>
    </x:row>
    <x:row r="14">
      <x:c r="A14" s="23" t="n">
        <x:v>10</x:v>
      </x:c>
      <x:c r="B14" s="23" t="str">
        <x:v>周一</x:v>
      </x:c>
      <x:c r="C14" s="23" t="str">
        <x:v>1月15日</x:v>
      </x:c>
      <x:c r="D14" s="24" t="n">
        <x:v>5558.148</x:v>
      </x:c>
      <x:c r="E14" s="24" t="n">
        <x:v>5607.134</x:v>
      </x:c>
      <x:c r="F14" s="24" t="n">
        <x:v>5520.363</x:v>
      </x:c>
      <x:c r="G14" s="24" t="n">
        <x:v>5559.376</x:v>
      </x:c>
      <x:c r="H14" s="25" t="n">
        <x:v>-0.002711816123905808</x:v>
      </x:c>
      <x:c r="I14" s="24" t="n">
        <x:f>ROUND(E14-F14,1)</x:f>
        <x:v>86.8</x:v>
      </x:c>
      <x:c r="J14" s="23" t="str">
        <x:v>中证1000</x:v>
      </x:c>
    </x:row>
    <x:row r="15">
      <x:c r="A15" s="23" t="n">
        <x:v>11</x:v>
      </x:c>
      <x:c r="B15" s="23" t="str">
        <x:v>周二</x:v>
      </x:c>
      <x:c r="C15" s="23" t="str">
        <x:v>1月16日</x:v>
      </x:c>
      <x:c r="D15" s="24" t="n">
        <x:v>5555</x:v>
      </x:c>
      <x:c r="E15" s="24" t="n">
        <x:v>5566.21</x:v>
      </x:c>
      <x:c r="F15" s="24" t="n">
        <x:v>5463.295</x:v>
      </x:c>
      <x:c r="G15" s="24" t="n">
        <x:v>5539.474</x:v>
      </x:c>
      <x:c r="H15" s="25" t="n">
        <x:v>-0.0035798981756225423</x:v>
      </x:c>
      <x:c r="I15" s="24" t="n">
        <x:f>ROUND(E15-F15,1)</x:f>
        <x:v>102.9</x:v>
      </x:c>
      <x:c r="J15" s="23" t="str">
        <x:v>中证1000</x:v>
      </x:c>
    </x:row>
    <x:row r="16">
      <x:c r="A16" s="23" t="n">
        <x:v>12</x:v>
      </x:c>
      <x:c r="B16" s="23" t="str">
        <x:v>周三</x:v>
      </x:c>
      <x:c r="C16" s="23" t="str">
        <x:v>1月17日</x:v>
      </x:c>
      <x:c r="D16" s="24" t="n">
        <x:v>5529.895</x:v>
      </x:c>
      <x:c r="E16" s="24" t="n">
        <x:v>5529.895</x:v>
      </x:c>
      <x:c r="F16" s="24" t="n">
        <x:v>5389.122</x:v>
      </x:c>
      <x:c r="G16" s="24" t="n">
        <x:v>5389.122</x:v>
      </x:c>
      <x:c r="H16" s="25" t="n">
        <x:v>-0.027141927193809368</x:v>
      </x:c>
      <x:c r="I16" s="24" t="n">
        <x:f>ROUND(E16-F16,1)</x:f>
        <x:v>140.8</x:v>
      </x:c>
      <x:c r="J16" s="23" t="str">
        <x:v>中证1000</x:v>
      </x:c>
    </x:row>
    <x:row r="17">
      <x:c r="A17" s="23" t="n">
        <x:v>13</x:v>
      </x:c>
      <x:c r="B17" s="23" t="str">
        <x:v>周四</x:v>
      </x:c>
      <x:c r="C17" s="23" t="str">
        <x:v>1月18日</x:v>
      </x:c>
      <x:c r="D17" s="24" t="n">
        <x:v>5360.206</x:v>
      </x:c>
      <x:c r="E17" s="24" t="n">
        <x:v>5375.234</x:v>
      </x:c>
      <x:c r="F17" s="24" t="n">
        <x:v>5214.899</x:v>
      </x:c>
      <x:c r="G17" s="24" t="n">
        <x:v>5373.424</x:v>
      </x:c>
      <x:c r="H17" s="25" t="n">
        <x:v>-0.002912904922174775</x:v>
      </x:c>
      <x:c r="I17" s="24" t="n">
        <x:f>ROUND(E17-F17,1)</x:f>
        <x:v>160.3</x:v>
      </x:c>
      <x:c r="J17" s="23" t="str">
        <x:v>中证1000</x:v>
      </x:c>
    </x:row>
    <x:row r="18">
      <x:c r="A18" s="29" t="n">
        <x:v>14</x:v>
      </x:c>
      <x:c r="B18" s="29" t="str">
        <x:v>周五</x:v>
      </x:c>
      <x:c r="C18" s="29" t="str">
        <x:v>1月19日</x:v>
      </x:c>
      <x:c r="D18" s="30" t="n">
        <x:v>5364.807</x:v>
      </x:c>
      <x:c r="E18" s="30" t="n">
        <x:v>5395.137</x:v>
      </x:c>
      <x:c r="F18" s="30" t="n">
        <x:v>5304.96</x:v>
      </x:c>
      <x:c r="G18" s="30" t="n">
        <x:v>5306.986</x:v>
      </x:c>
      <x:c r="H18" s="31" t="n">
        <x:v>-0.012364183433133169</x:v>
      </x:c>
      <x:c r="I18" s="30" t="n">
        <x:f>ROUND(E18-F18,1)</x:f>
        <x:v>90.2</x:v>
      </x:c>
      <x:c r="J18" s="29" t="str">
        <x:v>中证1000</x:v>
      </x:c>
    </x:row>
    <x:row r="19">
      <x:c r="A19" s="23" t="n">
        <x:v>15</x:v>
      </x:c>
      <x:c r="B19" s="23" t="str">
        <x:v>周一</x:v>
      </x:c>
      <x:c r="C19" s="23" t="str">
        <x:v>1月22日</x:v>
      </x:c>
      <x:c r="D19" s="24" t="n">
        <x:v>5298.314</x:v>
      </x:c>
      <x:c r="E19" s="24" t="n">
        <x:v>5298.314</x:v>
      </x:c>
      <x:c r="F19" s="24" t="n">
        <x:v>4970.198</x:v>
      </x:c>
      <x:c r="G19" s="24" t="n">
        <x:v>5000.834</x:v>
      </x:c>
      <x:c r="H19" s="25" t="n">
        <x:v>-0.05768848834347784</x:v>
      </x:c>
      <x:c r="I19" s="33" t="n">
        <x:f>ROUND(E19-F19,1)</x:f>
        <x:v>328.1</x:v>
      </x:c>
      <x:c r="J19" s="23" t="str">
        <x:v>中证1000</x:v>
      </x:c>
    </x:row>
    <x:row r="20">
      <x:c r="A20" s="23" t="n">
        <x:v>16</x:v>
      </x:c>
      <x:c r="B20" s="23" t="str">
        <x:v>周二</x:v>
      </x:c>
      <x:c r="C20" s="23" t="str">
        <x:v>1月23日</x:v>
      </x:c>
      <x:c r="D20" s="24" t="n">
        <x:v>4992.792</x:v>
      </x:c>
      <x:c r="E20" s="24" t="n">
        <x:v>5102.443</x:v>
      </x:c>
      <x:c r="F20" s="24" t="n">
        <x:v>4939.52</x:v>
      </x:c>
      <x:c r="G20" s="24" t="n">
        <x:v>5079.632</x:v>
      </x:c>
      <x:c r="H20" s="25" t="n">
        <x:v>0.01575697173711421</x:v>
      </x:c>
      <x:c r="I20" s="24" t="n">
        <x:f>ROUND(E20-F20,1)</x:f>
        <x:v>162.9</x:v>
      </x:c>
      <x:c r="J20" s="23" t="str">
        <x:v>中证1000</x:v>
      </x:c>
    </x:row>
    <x:row r="21">
      <x:c r="A21" s="23" t="n">
        <x:v>17</x:v>
      </x:c>
      <x:c r="B21" s="23" t="str">
        <x:v>周三</x:v>
      </x:c>
      <x:c r="C21" s="23" t="str">
        <x:v>1月24日</x:v>
      </x:c>
      <x:c r="D21" s="24" t="n">
        <x:v>5102.825</x:v>
      </x:c>
      <x:c r="E21" s="24" t="n">
        <x:v>5151.423</x:v>
      </x:c>
      <x:c r="F21" s="24" t="n">
        <x:v>4951.901</x:v>
      </x:c>
      <x:c r="G21" s="24" t="n">
        <x:v>5143.408</x:v>
      </x:c>
      <x:c r="H21" s="25" t="n">
        <x:v>0.012555240222126507</x:v>
      </x:c>
      <x:c r="I21" s="33" t="n">
        <x:f>ROUND(E21-F21,1)</x:f>
        <x:v>199.5</x:v>
      </x:c>
      <x:c r="J21" s="23" t="str">
        <x:v>中证1000</x:v>
      </x:c>
    </x:row>
    <x:row r="22">
      <x:c r="A22" s="23" t="n">
        <x:v>18</x:v>
      </x:c>
      <x:c r="B22" s="23" t="str">
        <x:v>周四</x:v>
      </x:c>
      <x:c r="C22" s="23" t="str">
        <x:v>1月25日</x:v>
      </x:c>
      <x:c r="D22" s="24" t="n">
        <x:v>5143.289</x:v>
      </x:c>
      <x:c r="E22" s="24" t="n">
        <x:v>5316.261</x:v>
      </x:c>
      <x:c r="F22" s="24" t="n">
        <x:v>5112.535</x:v>
      </x:c>
      <x:c r="G22" s="24" t="n">
        <x:v>5316.195</x:v>
      </x:c>
      <x:c r="H22" s="25" t="n">
        <x:v>0.03359387394505742</x:v>
      </x:c>
      <x:c r="I22" s="33" t="n">
        <x:f>ROUND(E22-F22,1)</x:f>
        <x:v>203.7</x:v>
      </x:c>
      <x:c r="J22" s="23" t="str">
        <x:v>中证1000</x:v>
      </x:c>
    </x:row>
    <x:row r="23">
      <x:c r="A23" s="23" t="n">
        <x:v>19</x:v>
      </x:c>
      <x:c r="B23" s="23" t="str">
        <x:v>周五</x:v>
      </x:c>
      <x:c r="C23" s="23" t="str">
        <x:v>1月26日</x:v>
      </x:c>
      <x:c r="D23" s="24" t="n">
        <x:v>5303.961</x:v>
      </x:c>
      <x:c r="E23" s="24" t="n">
        <x:v>5352.846</x:v>
      </x:c>
      <x:c r="F23" s="24" t="n">
        <x:v>5253.317</x:v>
      </x:c>
      <x:c r="G23" s="24" t="n">
        <x:v>5269.765</x:v>
      </x:c>
      <x:c r="H23" s="25" t="n">
        <x:v>-0.008733690167497477</x:v>
      </x:c>
      <x:c r="I23" s="24" t="n">
        <x:f>ROUND(E23-F23,1)</x:f>
        <x:v>99.5</x:v>
      </x:c>
      <x:c r="J23" s="23" t="str">
        <x:v>中证1000</x:v>
      </x:c>
    </x:row>
    <x:row r="24">
      <x:c r="A24" s="23" t="n">
        <x:v>20</x:v>
      </x:c>
      <x:c r="B24" s="23" t="str">
        <x:v>周一</x:v>
      </x:c>
      <x:c r="C24" s="23" t="str">
        <x:v>1月29日</x:v>
      </x:c>
      <x:c r="D24" s="24" t="n">
        <x:v>5282.817</x:v>
      </x:c>
      <x:c r="E24" s="24" t="n">
        <x:v>5301.871</x:v>
      </x:c>
      <x:c r="F24" s="24" t="n">
        <x:v>5131.247</x:v>
      </x:c>
      <x:c r="G24" s="24" t="n">
        <x:v>5131.247</x:v>
      </x:c>
      <x:c r="H24" s="25" t="n">
        <x:v>-0.026285422594745644</x:v>
      </x:c>
      <x:c r="I24" s="24" t="n">
        <x:f>ROUND(E24-F24,1)</x:f>
        <x:v>170.6</x:v>
      </x:c>
      <x:c r="J24" s="23" t="str">
        <x:v>中证1000</x:v>
      </x:c>
    </x:row>
    <x:row r="25">
      <x:c r="A25" s="23" t="n">
        <x:v>21</x:v>
      </x:c>
      <x:c r="B25" s="23" t="str">
        <x:v>周二</x:v>
      </x:c>
      <x:c r="C25" s="23" t="str">
        <x:v>1月30日</x:v>
      </x:c>
      <x:c r="D25" s="24" t="n">
        <x:v>5099.587</x:v>
      </x:c>
      <x:c r="E25" s="24" t="n">
        <x:v>5144.294</x:v>
      </x:c>
      <x:c r="F25" s="24" t="n">
        <x:v>4978.91</x:v>
      </x:c>
      <x:c r="G25" s="24" t="n">
        <x:v>4984.66</x:v>
      </x:c>
      <x:c r="H25" s="25" t="n">
        <x:v>-0.028567519747149217</x:v>
      </x:c>
      <x:c r="I25" s="24" t="n">
        <x:f>ROUND(E25-F25,1)</x:f>
        <x:v>165.4</x:v>
      </x:c>
      <x:c r="J25" s="23" t="str">
        <x:v>中证1000</x:v>
      </x:c>
    </x:row>
    <x:row r="26">
      <x:c r="A26" s="23" t="n">
        <x:v>22</x:v>
      </x:c>
      <x:c r="B26" s="23" t="str">
        <x:v>周三</x:v>
      </x:c>
      <x:c r="C26" s="23" t="str">
        <x:v>1月31日</x:v>
      </x:c>
      <x:c r="D26" s="24" t="n">
        <x:v>4949.188</x:v>
      </x:c>
      <x:c r="E26" s="24" t="n">
        <x:v>4986.102</x:v>
      </x:c>
      <x:c r="F26" s="24" t="n">
        <x:v>4775.623</x:v>
      </x:c>
      <x:c r="G26" s="24" t="n">
        <x:v>4785.032</x:v>
      </x:c>
      <x:c r="H26" s="25" t="n">
        <x:v>-0.040048468701977646</x:v>
      </x:c>
      <x:c r="I26" s="33" t="n">
        <x:f>ROUND(E26-F26,1)</x:f>
        <x:v>210.5</x:v>
      </x:c>
      <x:c r="J26" s="23" t="str">
        <x:v>中证1000</x:v>
      </x:c>
    </x:row>
    <x:row r="27">
      <x:c r="A27" s="36" t="str">
        <x:v>合计</x:v>
      </x:c>
      <x:c r="B27" s="35" t="n">
        <x:v>22</x:v>
      </x:c>
      <x:c r="C27" s="35"/>
      <x:c r="D27" s="35"/>
      <x:c r="E27" s="35"/>
      <x:c r="F27" s="35"/>
      <x:c r="G27" s="35"/>
      <x:c r="H27" s="35"/>
      <x:c r="I27" s="37" t="n">
        <x:f>ROUND(SUM(I5:I26),1)</x:f>
        <x:v>2976.8</x:v>
      </x:c>
      <x:c r="J27" s="35"/>
    </x:row>
    <x:row r="28">
      <x:c r="A28" s="36" t="str">
        <x:v>均值</x:v>
      </x:c>
      <x:c r="B28" s="35"/>
      <x:c r="C28" s="35"/>
      <x:c r="D28" s="35"/>
      <x:c r="E28" s="35"/>
      <x:c r="F28" s="35"/>
      <x:c r="G28" s="35"/>
      <x:c r="H28" s="35"/>
      <x:c r="I28" s="39" t="n">
        <x:f>ROUND(IFERROR(AVERAGE(I5:I26),0),1)</x:f>
        <x:v>135.3</x:v>
      </x:c>
      <x:c r="J28" s="35"/>
    </x:row>
    <x:row r="30">
      <x:c r="A30" s="17" t="str">
        <x:v>2月</x:v>
      </x:c>
      <x:c r="B30" s="17"/>
      <x:c r="C30" s="17"/>
      <x:c r="D30" s="17"/>
      <x:c r="E30" s="17"/>
      <x:c r="F30" s="17"/>
      <x:c r="G30" s="17"/>
      <x:c r="H30" s="17"/>
      <x:c r="I30" s="17"/>
      <x:c r="J30" s="17"/>
    </x:row>
    <x:row r="31">
      <x:c r="A31" s="20" t="str">
        <x:v>序号</x:v>
      </x:c>
      <x:c r="B31" s="20" t="str">
        <x:v>星期</x:v>
      </x:c>
      <x:c r="C31" s="20" t="str">
        <x:v>日期</x:v>
      </x:c>
      <x:c r="D31" s="20" t="str">
        <x:v>开盘</x:v>
      </x:c>
      <x:c r="E31" s="20" t="str">
        <x:v>高点</x:v>
      </x:c>
      <x:c r="F31" s="20" t="str">
        <x:v>低点</x:v>
      </x:c>
      <x:c r="G31" s="20" t="str">
        <x:v>收盘</x:v>
      </x:c>
      <x:c r="H31" s="20" t="str">
        <x:v>涨幅</x:v>
      </x:c>
      <x:c r="I31" s="20" t="str">
        <x:v>振幅</x:v>
      </x:c>
      <x:c r="J31" s="20" t="str">
        <x:v>标的</x:v>
      </x:c>
    </x:row>
    <x:row r="32">
      <x:c r="A32" s="23" t="n">
        <x:v>1</x:v>
      </x:c>
      <x:c r="B32" s="23" t="str">
        <x:v>周四</x:v>
      </x:c>
      <x:c r="C32" s="23" t="str">
        <x:v>2月1日</x:v>
      </x:c>
      <x:c r="D32" s="24" t="n">
        <x:v>4753.639</x:v>
      </x:c>
      <x:c r="E32" s="24" t="n">
        <x:v>4858.715</x:v>
      </x:c>
      <x:c r="F32" s="24" t="n">
        <x:v>4684.473</x:v>
      </x:c>
      <x:c r="G32" s="24" t="n">
        <x:v>4750.444</x:v>
      </x:c>
      <x:c r="H32" s="25" t="n">
        <x:v>-0.007228373812338096</x:v>
      </x:c>
      <x:c r="I32" s="24" t="n">
        <x:f>ROUND(E32-F32,1)</x:f>
        <x:v>174.2</x:v>
      </x:c>
      <x:c r="J32" s="23" t="str">
        <x:v>中证1000</x:v>
      </x:c>
    </x:row>
    <x:row r="33">
      <x:c r="A33" s="23" t="n">
        <x:v>2</x:v>
      </x:c>
      <x:c r="B33" s="23" t="str">
        <x:v>周五</x:v>
      </x:c>
      <x:c r="C33" s="23" t="str">
        <x:v>2月2日</x:v>
      </x:c>
      <x:c r="D33" s="24" t="n">
        <x:v>4753.668</x:v>
      </x:c>
      <x:c r="E33" s="24" t="n">
        <x:v>4802.619</x:v>
      </x:c>
      <x:c r="F33" s="24" t="n">
        <x:v>4431.815</x:v>
      </x:c>
      <x:c r="G33" s="24" t="n">
        <x:v>4574.669</x:v>
      </x:c>
      <x:c r="H33" s="25" t="n">
        <x:v>-0.03700180446290924</x:v>
      </x:c>
      <x:c r="I33" s="33" t="n">
        <x:f>ROUND(E33-F33,1)</x:f>
        <x:v>370.8</x:v>
      </x:c>
      <x:c r="J33" s="23" t="str">
        <x:v>中证1000</x:v>
      </x:c>
    </x:row>
    <x:row r="34">
      <x:c r="A34" s="23" t="n">
        <x:v>3</x:v>
      </x:c>
      <x:c r="B34" s="23" t="str">
        <x:v>周一</x:v>
      </x:c>
      <x:c r="C34" s="23" t="str">
        <x:v>2月5日</x:v>
      </x:c>
      <x:c r="D34" s="24" t="n">
        <x:v>4534.752</x:v>
      </x:c>
      <x:c r="E34" s="24" t="n">
        <x:v>4534.752</x:v>
      </x:c>
      <x:c r="F34" s="24" t="n">
        <x:v>4177.943</x:v>
      </x:c>
      <x:c r="G34" s="24" t="n">
        <x:v>4293.07</x:v>
      </x:c>
      <x:c r="H34" s="25" t="n">
        <x:v>-0.06155614755952843</x:v>
      </x:c>
      <x:c r="I34" s="33" t="n">
        <x:f>ROUND(E34-F34,1)</x:f>
        <x:v>356.8</x:v>
      </x:c>
      <x:c r="J34" s="23" t="str">
        <x:v>中证1000</x:v>
      </x:c>
    </x:row>
    <x:row r="35">
      <x:c r="A35" s="23" t="n">
        <x:v>4</x:v>
      </x:c>
      <x:c r="B35" s="23" t="str">
        <x:v>周二</x:v>
      </x:c>
      <x:c r="C35" s="23" t="str">
        <x:v>2月6日</x:v>
      </x:c>
      <x:c r="D35" s="24" t="n">
        <x:v>4229.794</x:v>
      </x:c>
      <x:c r="E35" s="24" t="n">
        <x:v>4641.455</x:v>
      </x:c>
      <x:c r="F35" s="24" t="n">
        <x:v>4192.965</x:v>
      </x:c>
      <x:c r="G35" s="24" t="n">
        <x:v>4592.444</x:v>
      </x:c>
      <x:c r="H35" s="25" t="n">
        <x:v>0.069734246122239</x:v>
      </x:c>
      <x:c r="I35" s="33" t="n">
        <x:f>ROUND(E35-F35,1)</x:f>
        <x:v>448.5</x:v>
      </x:c>
      <x:c r="J35" s="23" t="str">
        <x:v>中证1000</x:v>
      </x:c>
    </x:row>
    <x:row r="36">
      <x:c r="A36" s="23" t="n">
        <x:v>5</x:v>
      </x:c>
      <x:c r="B36" s="23" t="str">
        <x:v>周三</x:v>
      </x:c>
      <x:c r="C36" s="23" t="str">
        <x:v>2月7日</x:v>
      </x:c>
      <x:c r="D36" s="24" t="n">
        <x:v>4604.122</x:v>
      </x:c>
      <x:c r="E36" s="24" t="n">
        <x:v>4848.236</x:v>
      </x:c>
      <x:c r="F36" s="24" t="n">
        <x:v>4599.351</x:v>
      </x:c>
      <x:c r="G36" s="24" t="n">
        <x:v>4797.846</x:v>
      </x:c>
      <x:c r="H36" s="25" t="n">
        <x:v>0.04472607613723745</x:v>
      </x:c>
      <x:c r="I36" s="33" t="n">
        <x:f>ROUND(E36-F36,1)</x:f>
        <x:v>248.9</x:v>
      </x:c>
      <x:c r="J36" s="23" t="str">
        <x:v>中证1000</x:v>
      </x:c>
    </x:row>
    <x:row r="37">
      <x:c r="A37" s="23" t="n">
        <x:v>6</x:v>
      </x:c>
      <x:c r="B37" s="23" t="str">
        <x:v>周四</x:v>
      </x:c>
      <x:c r="C37" s="23" t="str">
        <x:v>2月8日</x:v>
      </x:c>
      <x:c r="D37" s="24" t="n">
        <x:v>4826.143</x:v>
      </x:c>
      <x:c r="E37" s="24" t="n">
        <x:v>5067.228</x:v>
      </x:c>
      <x:c r="F37" s="24" t="n">
        <x:v>4826.143</x:v>
      </x:c>
      <x:c r="G37" s="24" t="n">
        <x:v>4993.105</x:v>
      </x:c>
      <x:c r="H37" s="25" t="n">
        <x:v>0.040697221211351886</x:v>
      </x:c>
      <x:c r="I37" s="33" t="n">
        <x:f>ROUND(E37-F37,1)</x:f>
        <x:v>241.1</x:v>
      </x:c>
      <x:c r="J37" s="23" t="str">
        <x:v>中证1000</x:v>
      </x:c>
    </x:row>
    <x:row r="38">
      <x:c r="A38" s="29" t="n">
        <x:v>7</x:v>
      </x:c>
      <x:c r="B38" s="29" t="str">
        <x:v>周一</x:v>
      </x:c>
      <x:c r="C38" s="29" t="str">
        <x:v>2月19日</x:v>
      </x:c>
      <x:c r="D38" s="30" t="n">
        <x:v>5062.685</x:v>
      </x:c>
      <x:c r="E38" s="30" t="n">
        <x:v>5071.2</x:v>
      </x:c>
      <x:c r="F38" s="30" t="n">
        <x:v>4950.328</x:v>
      </x:c>
      <x:c r="G38" s="30" t="n">
        <x:v>5029.586</x:v>
      </x:c>
      <x:c r="H38" s="31" t="n">
        <x:v>0.0073062753537129765</x:v>
      </x:c>
      <x:c r="I38" s="30" t="n">
        <x:f>ROUND(E38-F38,1)</x:f>
        <x:v>120.9</x:v>
      </x:c>
      <x:c r="J38" s="29" t="str">
        <x:v>中证1000</x:v>
      </x:c>
    </x:row>
    <x:row r="39">
      <x:c r="A39" s="23" t="n">
        <x:v>8</x:v>
      </x:c>
      <x:c r="B39" s="23" t="str">
        <x:v>周二</x:v>
      </x:c>
      <x:c r="C39" s="23" t="str">
        <x:v>2月20日</x:v>
      </x:c>
      <x:c r="D39" s="24" t="n">
        <x:v>5004.42</x:v>
      </x:c>
      <x:c r="E39" s="24" t="n">
        <x:v>5058.217</x:v>
      </x:c>
      <x:c r="F39" s="24" t="n">
        <x:v>4950.394</x:v>
      </x:c>
      <x:c r="G39" s="24" t="n">
        <x:v>5046.012</x:v>
      </x:c>
      <x:c r="H39" s="25" t="n">
        <x:v>0.0032658751634826455</x:v>
      </x:c>
      <x:c r="I39" s="24" t="n">
        <x:f>ROUND(E39-F39,1)</x:f>
        <x:v>107.8</x:v>
      </x:c>
      <x:c r="J39" s="23" t="str">
        <x:v>中证1000</x:v>
      </x:c>
    </x:row>
    <x:row r="40">
      <x:c r="A40" s="23" t="n">
        <x:v>9</x:v>
      </x:c>
      <x:c r="B40" s="23" t="str">
        <x:v>周三</x:v>
      </x:c>
      <x:c r="C40" s="23" t="str">
        <x:v>2月21日</x:v>
      </x:c>
      <x:c r="D40" s="24" t="n">
        <x:v>5001.657</x:v>
      </x:c>
      <x:c r="E40" s="24" t="n">
        <x:v>5208.649</x:v>
      </x:c>
      <x:c r="F40" s="24" t="n">
        <x:v>4974.076</x:v>
      </x:c>
      <x:c r="G40" s="24" t="n">
        <x:v>5073.482</x:v>
      </x:c>
      <x:c r="H40" s="25" t="n">
        <x:v>0.005443903026786323</x:v>
      </x:c>
      <x:c r="I40" s="33" t="n">
        <x:f>ROUND(E40-F40,1)</x:f>
        <x:v>234.6</x:v>
      </x:c>
      <x:c r="J40" s="23" t="str">
        <x:v>中证1000</x:v>
      </x:c>
    </x:row>
    <x:row r="41">
      <x:c r="A41" s="23" t="n">
        <x:v>10</x:v>
      </x:c>
      <x:c r="B41" s="23" t="str">
        <x:v>周四</x:v>
      </x:c>
      <x:c r="C41" s="23" t="str">
        <x:v>2月22日</x:v>
      </x:c>
      <x:c r="D41" s="24" t="n">
        <x:v>5075.432</x:v>
      </x:c>
      <x:c r="E41" s="24" t="n">
        <x:v>5152.024</x:v>
      </x:c>
      <x:c r="F41" s="24" t="n">
        <x:v>5066.003</x:v>
      </x:c>
      <x:c r="G41" s="24" t="n">
        <x:v>5151.534</x:v>
      </x:c>
      <x:c r="H41" s="25" t="n">
        <x:v>0.015384306084066157</x:v>
      </x:c>
      <x:c r="I41" s="24" t="n">
        <x:f>ROUND(E41-F41,1)</x:f>
        <x:v>86</x:v>
      </x:c>
      <x:c r="J41" s="23" t="str">
        <x:v>中证1000</x:v>
      </x:c>
    </x:row>
    <x:row r="42">
      <x:c r="A42" s="23" t="n">
        <x:v>11</x:v>
      </x:c>
      <x:c r="B42" s="23" t="str">
        <x:v>周五</x:v>
      </x:c>
      <x:c r="C42" s="23" t="str">
        <x:v>2月23日</x:v>
      </x:c>
      <x:c r="D42" s="24" t="n">
        <x:v>5169.013</x:v>
      </x:c>
      <x:c r="E42" s="24" t="n">
        <x:v>5225.67</x:v>
      </x:c>
      <x:c r="F42" s="24" t="n">
        <x:v>5114.145</x:v>
      </x:c>
      <x:c r="G42" s="24" t="n">
        <x:v>5225.67</x:v>
      </x:c>
      <x:c r="H42" s="25" t="n">
        <x:v>0.014391053228028916</x:v>
      </x:c>
      <x:c r="I42" s="24" t="n">
        <x:f>ROUND(E42-F42,1)</x:f>
        <x:v>111.5</x:v>
      </x:c>
      <x:c r="J42" s="23" t="str">
        <x:v>中证1000</x:v>
      </x:c>
    </x:row>
    <x:row r="43">
      <x:c r="A43" s="23" t="n">
        <x:v>12</x:v>
      </x:c>
      <x:c r="B43" s="23" t="str">
        <x:v>周一</x:v>
      </x:c>
      <x:c r="C43" s="23" t="str">
        <x:v>2月26日</x:v>
      </x:c>
      <x:c r="D43" s="24" t="n">
        <x:v>5234.805</x:v>
      </x:c>
      <x:c r="E43" s="24" t="n">
        <x:v>5325.77</x:v>
      </x:c>
      <x:c r="F43" s="24" t="n">
        <x:v>5201.125</x:v>
      </x:c>
      <x:c r="G43" s="24" t="n">
        <x:v>5255.396</x:v>
      </x:c>
      <x:c r="H43" s="25" t="n">
        <x:v>0.005688457173912642</x:v>
      </x:c>
      <x:c r="I43" s="24" t="n">
        <x:f>ROUND(E43-F43,1)</x:f>
        <x:v>124.6</x:v>
      </x:c>
      <x:c r="J43" s="23" t="str">
        <x:v>中证1000</x:v>
      </x:c>
    </x:row>
    <x:row r="44">
      <x:c r="A44" s="23" t="n">
        <x:v>13</x:v>
      </x:c>
      <x:c r="B44" s="23" t="str">
        <x:v>周二</x:v>
      </x:c>
      <x:c r="C44" s="23" t="str">
        <x:v>2月27日</x:v>
      </x:c>
      <x:c r="D44" s="24" t="n">
        <x:v>5237.105</x:v>
      </x:c>
      <x:c r="E44" s="24" t="n">
        <x:v>5394.034</x:v>
      </x:c>
      <x:c r="F44" s="24" t="n">
        <x:v>5218.586</x:v>
      </x:c>
      <x:c r="G44" s="24" t="n">
        <x:v>5394.034</x:v>
      </x:c>
      <x:c r="H44" s="25" t="n">
        <x:v>0.026380124352189727</x:v>
      </x:c>
      <x:c r="I44" s="24" t="n">
        <x:f>ROUND(E44-F44,1)</x:f>
        <x:v>175.4</x:v>
      </x:c>
      <x:c r="J44" s="23" t="str">
        <x:v>中证1000</x:v>
      </x:c>
    </x:row>
    <x:row r="45">
      <x:c r="A45" s="23" t="n">
        <x:v>14</x:v>
      </x:c>
      <x:c r="B45" s="23" t="str">
        <x:v>周三</x:v>
      </x:c>
      <x:c r="C45" s="23" t="str">
        <x:v>2月28日</x:v>
      </x:c>
      <x:c r="D45" s="24" t="n">
        <x:v>5403.496</x:v>
      </x:c>
      <x:c r="E45" s="24" t="n">
        <x:v>5478.086</x:v>
      </x:c>
      <x:c r="F45" s="24" t="n">
        <x:v>5152.052</x:v>
      </x:c>
      <x:c r="G45" s="24" t="n">
        <x:v>5152.052</x:v>
      </x:c>
      <x:c r="H45" s="25" t="n">
        <x:v>-0.044861044628194735</x:v>
      </x:c>
      <x:c r="I45" s="33" t="n">
        <x:f>ROUND(E45-F45,1)</x:f>
        <x:v>326</x:v>
      </x:c>
      <x:c r="J45" s="23" t="str">
        <x:v>中证1000</x:v>
      </x:c>
    </x:row>
    <x:row r="46">
      <x:c r="A46" s="23" t="n">
        <x:v>15</x:v>
      </x:c>
      <x:c r="B46" s="23" t="str">
        <x:v>周四</x:v>
      </x:c>
      <x:c r="C46" s="23" t="str">
        <x:v>2月29日</x:v>
      </x:c>
      <x:c r="D46" s="24" t="n">
        <x:v>5122.18</x:v>
      </x:c>
      <x:c r="E46" s="24" t="n">
        <x:v>5344.605</x:v>
      </x:c>
      <x:c r="F46" s="24" t="n">
        <x:v>5122.18</x:v>
      </x:c>
      <x:c r="G46" s="24" t="n">
        <x:v>5344.605</x:v>
      </x:c>
      <x:c r="H46" s="25" t="n">
        <x:v>0.03737404047940518</x:v>
      </x:c>
      <x:c r="I46" s="33" t="n">
        <x:f>ROUND(E46-F46,1)</x:f>
        <x:v>222.4</x:v>
      </x:c>
      <x:c r="J46" s="23" t="str">
        <x:v>中证1000</x:v>
      </x:c>
    </x:row>
    <x:row r="47">
      <x:c r="A47" s="36" t="str">
        <x:v>合计</x:v>
      </x:c>
      <x:c r="B47" s="35" t="n">
        <x:v>15</x:v>
      </x:c>
      <x:c r="C47" s="35"/>
      <x:c r="D47" s="35"/>
      <x:c r="E47" s="35"/>
      <x:c r="F47" s="35"/>
      <x:c r="G47" s="35"/>
      <x:c r="H47" s="35"/>
      <x:c r="I47" s="37" t="n">
        <x:f>ROUND(SUM(I32:I46),1)</x:f>
        <x:v>3349.5</x:v>
      </x:c>
      <x:c r="J47" s="35"/>
    </x:row>
    <x:row r="48">
      <x:c r="A48" s="36" t="str">
        <x:v>均值</x:v>
      </x:c>
      <x:c r="B48" s="35"/>
      <x:c r="C48" s="35"/>
      <x:c r="D48" s="35"/>
      <x:c r="E48" s="35"/>
      <x:c r="F48" s="35"/>
      <x:c r="G48" s="35"/>
      <x:c r="H48" s="35"/>
      <x:c r="I48" s="39" t="n">
        <x:f>ROUND(IFERROR(AVERAGE(I32:I46),0),1)</x:f>
        <x:v>223.3</x:v>
      </x:c>
      <x:c r="J48" s="35"/>
    </x:row>
    <x:row r="50">
      <x:c r="A50" s="17" t="str">
        <x:v>3月</x:v>
      </x:c>
      <x:c r="B50" s="17"/>
      <x:c r="C50" s="17"/>
      <x:c r="D50" s="17"/>
      <x:c r="E50" s="17"/>
      <x:c r="F50" s="17"/>
      <x:c r="G50" s="17"/>
      <x:c r="H50" s="17"/>
      <x:c r="I50" s="17"/>
      <x:c r="J50" s="17"/>
    </x:row>
    <x:row r="51">
      <x:c r="A51" s="20" t="str">
        <x:v>序号</x:v>
      </x:c>
      <x:c r="B51" s="20" t="str">
        <x:v>星期</x:v>
      </x:c>
      <x:c r="C51" s="20" t="str">
        <x:v>日期</x:v>
      </x:c>
      <x:c r="D51" s="20" t="str">
        <x:v>开盘</x:v>
      </x:c>
      <x:c r="E51" s="20" t="str">
        <x:v>高点</x:v>
      </x:c>
      <x:c r="F51" s="20" t="str">
        <x:v>低点</x:v>
      </x:c>
      <x:c r="G51" s="20" t="str">
        <x:v>收盘</x:v>
      </x:c>
      <x:c r="H51" s="20" t="str">
        <x:v>涨幅</x:v>
      </x:c>
      <x:c r="I51" s="20" t="str">
        <x:v>振幅</x:v>
      </x:c>
      <x:c r="J51" s="20" t="str">
        <x:v>标的</x:v>
      </x:c>
    </x:row>
    <x:row r="52">
      <x:c r="A52" s="23" t="n">
        <x:v>1</x:v>
      </x:c>
      <x:c r="B52" s="23" t="str">
        <x:v>周五</x:v>
      </x:c>
      <x:c r="C52" s="23" t="str">
        <x:v>3月1日</x:v>
      </x:c>
      <x:c r="D52" s="24" t="n">
        <x:v>5354.731</x:v>
      </x:c>
      <x:c r="E52" s="24" t="n">
        <x:v>5411.323</x:v>
      </x:c>
      <x:c r="F52" s="24" t="n">
        <x:v>5322.086</x:v>
      </x:c>
      <x:c r="G52" s="24" t="n">
        <x:v>5401.939</x:v>
      </x:c>
      <x:c r="H52" s="25" t="n">
        <x:v>0.01072745319813162</x:v>
      </x:c>
      <x:c r="I52" s="24" t="n">
        <x:f>ROUND(E52-F52,1)</x:f>
        <x:v>89.2</x:v>
      </x:c>
      <x:c r="J52" s="23" t="str">
        <x:v>中证1000</x:v>
      </x:c>
    </x:row>
    <x:row r="53">
      <x:c r="A53" s="23" t="n">
        <x:v>2</x:v>
      </x:c>
      <x:c r="B53" s="23" t="str">
        <x:v>周一</x:v>
      </x:c>
      <x:c r="C53" s="23" t="str">
        <x:v>3月4日</x:v>
      </x:c>
      <x:c r="D53" s="24" t="n">
        <x:v>5412.908</x:v>
      </x:c>
      <x:c r="E53" s="24" t="n">
        <x:v>5429.801</x:v>
      </x:c>
      <x:c r="F53" s="24" t="n">
        <x:v>5332.238</x:v>
      </x:c>
      <x:c r="G53" s="24" t="n">
        <x:v>5428.336</x:v>
      </x:c>
      <x:c r="H53" s="25" t="n">
        <x:v>0.004886578689615062</x:v>
      </x:c>
      <x:c r="I53" s="24" t="n">
        <x:f>ROUND(E53-F53,1)</x:f>
        <x:v>97.6</x:v>
      </x:c>
      <x:c r="J53" s="23" t="str">
        <x:v>中证1000</x:v>
      </x:c>
    </x:row>
    <x:row r="54">
      <x:c r="A54" s="23" t="n">
        <x:v>3</x:v>
      </x:c>
      <x:c r="B54" s="23" t="str">
        <x:v>周二</x:v>
      </x:c>
      <x:c r="C54" s="23" t="str">
        <x:v>3月5日</x:v>
      </x:c>
      <x:c r="D54" s="24" t="n">
        <x:v>5392.877</x:v>
      </x:c>
      <x:c r="E54" s="24" t="n">
        <x:v>5417.816</x:v>
      </x:c>
      <x:c r="F54" s="24" t="n">
        <x:v>5337.665</x:v>
      </x:c>
      <x:c r="G54" s="24" t="n">
        <x:v>5375.132</x:v>
      </x:c>
      <x:c r="H54" s="25" t="n">
        <x:v>-0.009801161903021605</x:v>
      </x:c>
      <x:c r="I54" s="24" t="n">
        <x:f>ROUND(E54-F54,1)</x:f>
        <x:v>80.2</x:v>
      </x:c>
      <x:c r="J54" s="23" t="str">
        <x:v>中证1000</x:v>
      </x:c>
    </x:row>
    <x:row r="55">
      <x:c r="A55" s="23" t="n">
        <x:v>4</x:v>
      </x:c>
      <x:c r="B55" s="23" t="str">
        <x:v>周三</x:v>
      </x:c>
      <x:c r="C55" s="23" t="str">
        <x:v>3月6日</x:v>
      </x:c>
      <x:c r="D55" s="24" t="n">
        <x:v>5346.079</x:v>
      </x:c>
      <x:c r="E55" s="24" t="n">
        <x:v>5434.402</x:v>
      </x:c>
      <x:c r="F55" s="24" t="n">
        <x:v>5306.456</x:v>
      </x:c>
      <x:c r="G55" s="24" t="n">
        <x:v>5381.459</x:v>
      </x:c>
      <x:c r="H55" s="25" t="n">
        <x:v>0.0011770873719938457</x:v>
      </x:c>
      <x:c r="I55" s="24" t="n">
        <x:f>ROUND(E55-F55,1)</x:f>
        <x:v>127.9</x:v>
      </x:c>
      <x:c r="J55" s="23" t="str">
        <x:v>中证1000</x:v>
      </x:c>
    </x:row>
    <x:row r="56">
      <x:c r="A56" s="23" t="n">
        <x:v>5</x:v>
      </x:c>
      <x:c r="B56" s="23" t="str">
        <x:v>周四</x:v>
      </x:c>
      <x:c r="C56" s="23" t="str">
        <x:v>3月7日</x:v>
      </x:c>
      <x:c r="D56" s="24" t="n">
        <x:v>5389.989</x:v>
      </x:c>
      <x:c r="E56" s="24" t="n">
        <x:v>5430.392</x:v>
      </x:c>
      <x:c r="F56" s="24" t="n">
        <x:v>5303.277</x:v>
      </x:c>
      <x:c r="G56" s="24" t="n">
        <x:v>5303.277</x:v>
      </x:c>
      <x:c r="H56" s="25" t="n">
        <x:v>-0.014528030409597048</x:v>
      </x:c>
      <x:c r="I56" s="24" t="n">
        <x:f>ROUND(E56-F56,1)</x:f>
        <x:v>127.1</x:v>
      </x:c>
      <x:c r="J56" s="23" t="str">
        <x:v>中证1000</x:v>
      </x:c>
    </x:row>
    <x:row r="57">
      <x:c r="A57" s="23" t="n">
        <x:v>6</x:v>
      </x:c>
      <x:c r="B57" s="23" t="str">
        <x:v>周五</x:v>
      </x:c>
      <x:c r="C57" s="23" t="str">
        <x:v>3月8日</x:v>
      </x:c>
      <x:c r="D57" s="24" t="n">
        <x:v>5309.594</x:v>
      </x:c>
      <x:c r="E57" s="24" t="n">
        <x:v>5386.176</x:v>
      </x:c>
      <x:c r="F57" s="24" t="n">
        <x:v>5283.146</x:v>
      </x:c>
      <x:c r="G57" s="24" t="n">
        <x:v>5370.372</x:v>
      </x:c>
      <x:c r="H57" s="25" t="n">
        <x:v>0.012651611447035638</x:v>
      </x:c>
      <x:c r="I57" s="24" t="n">
        <x:f>ROUND(E57-F57,1)</x:f>
        <x:v>103</x:v>
      </x:c>
      <x:c r="J57" s="23" t="str">
        <x:v>中证1000</x:v>
      </x:c>
    </x:row>
    <x:row r="58">
      <x:c r="A58" s="23" t="n">
        <x:v>7</x:v>
      </x:c>
      <x:c r="B58" s="23" t="str">
        <x:v>周一</x:v>
      </x:c>
      <x:c r="C58" s="23" t="str">
        <x:v>3月11日</x:v>
      </x:c>
      <x:c r="D58" s="24" t="n">
        <x:v>5358.837</x:v>
      </x:c>
      <x:c r="E58" s="24" t="n">
        <x:v>5466.646</x:v>
      </x:c>
      <x:c r="F58" s="24" t="n">
        <x:v>5350.292</x:v>
      </x:c>
      <x:c r="G58" s="24" t="n">
        <x:v>5466.646</x:v>
      </x:c>
      <x:c r="H58" s="25" t="n">
        <x:v>0.017926877318740653</x:v>
      </x:c>
      <x:c r="I58" s="24" t="n">
        <x:f>ROUND(E58-F58,1)</x:f>
        <x:v>116.4</x:v>
      </x:c>
      <x:c r="J58" s="23" t="str">
        <x:v>中证1000</x:v>
      </x:c>
    </x:row>
    <x:row r="59">
      <x:c r="A59" s="23" t="n">
        <x:v>8</x:v>
      </x:c>
      <x:c r="B59" s="23" t="str">
        <x:v>周二</x:v>
      </x:c>
      <x:c r="C59" s="23" t="str">
        <x:v>3月12日</x:v>
      </x:c>
      <x:c r="D59" s="24" t="n">
        <x:v>5477.131</x:v>
      </x:c>
      <x:c r="E59" s="24" t="n">
        <x:v>5524.505</x:v>
      </x:c>
      <x:c r="F59" s="24" t="n">
        <x:v>5443.965</x:v>
      </x:c>
      <x:c r="G59" s="24" t="n">
        <x:v>5496.355</x:v>
      </x:c>
      <x:c r="H59" s="25" t="n">
        <x:v>0.005434593716146852</x:v>
      </x:c>
      <x:c r="I59" s="24" t="n">
        <x:f>ROUND(E59-F59,1)</x:f>
        <x:v>80.5</x:v>
      </x:c>
      <x:c r="J59" s="23" t="str">
        <x:v>中证1000</x:v>
      </x:c>
    </x:row>
    <x:row r="60">
      <x:c r="A60" s="23" t="n">
        <x:v>9</x:v>
      </x:c>
      <x:c r="B60" s="23" t="str">
        <x:v>周三</x:v>
      </x:c>
      <x:c r="C60" s="23" t="str">
        <x:v>3月13日</x:v>
      </x:c>
      <x:c r="D60" s="24" t="n">
        <x:v>5501.586</x:v>
      </x:c>
      <x:c r="E60" s="24" t="n">
        <x:v>5561.082</x:v>
      </x:c>
      <x:c r="F60" s="24" t="n">
        <x:v>5476.786</x:v>
      </x:c>
      <x:c r="G60" s="24" t="n">
        <x:v>5521.784</x:v>
      </x:c>
      <x:c r="H60" s="25" t="n">
        <x:v>0.004626520666878298</x:v>
      </x:c>
      <x:c r="I60" s="24" t="n">
        <x:f>ROUND(E60-F60,1)</x:f>
        <x:v>84.3</x:v>
      </x:c>
      <x:c r="J60" s="23" t="str">
        <x:v>中证1000</x:v>
      </x:c>
    </x:row>
    <x:row r="61">
      <x:c r="A61" s="23" t="n">
        <x:v>10</x:v>
      </x:c>
      <x:c r="B61" s="23" t="str">
        <x:v>周四</x:v>
      </x:c>
      <x:c r="C61" s="23" t="str">
        <x:v>3月14日</x:v>
      </x:c>
      <x:c r="D61" s="24" t="n">
        <x:v>5521.716</x:v>
      </x:c>
      <x:c r="E61" s="24" t="n">
        <x:v>5546.103</x:v>
      </x:c>
      <x:c r="F61" s="24" t="n">
        <x:v>5433.208</x:v>
      </x:c>
      <x:c r="G61" s="24" t="n">
        <x:v>5486.646</x:v>
      </x:c>
      <x:c r="H61" s="25" t="n">
        <x:v>-0.006363523093261159</x:v>
      </x:c>
      <x:c r="I61" s="24" t="n">
        <x:f>ROUND(E61-F61,1)</x:f>
        <x:v>112.9</x:v>
      </x:c>
      <x:c r="J61" s="23" t="str">
        <x:v>中证1000</x:v>
      </x:c>
    </x:row>
    <x:row r="62">
      <x:c r="A62" s="29" t="n">
        <x:v>11</x:v>
      </x:c>
      <x:c r="B62" s="29" t="str">
        <x:v>周五</x:v>
      </x:c>
      <x:c r="C62" s="29" t="str">
        <x:v>3月15日</x:v>
      </x:c>
      <x:c r="D62" s="30" t="n">
        <x:v>5472.893</x:v>
      </x:c>
      <x:c r="E62" s="30" t="n">
        <x:v>5555.644</x:v>
      </x:c>
      <x:c r="F62" s="30" t="n">
        <x:v>5459.317</x:v>
      </x:c>
      <x:c r="G62" s="30" t="n">
        <x:v>5555.644</x:v>
      </x:c>
      <x:c r="H62" s="31" t="n">
        <x:v>0.0125756245254387</x:v>
      </x:c>
      <x:c r="I62" s="30" t="n">
        <x:f>ROUND(E62-F62,1)</x:f>
        <x:v>96.3</x:v>
      </x:c>
      <x:c r="J62" s="29" t="str">
        <x:v>中证1000</x:v>
      </x:c>
    </x:row>
    <x:row r="63">
      <x:c r="A63" s="23" t="n">
        <x:v>12</x:v>
      </x:c>
      <x:c r="B63" s="23" t="str">
        <x:v>周一</x:v>
      </x:c>
      <x:c r="C63" s="23" t="str">
        <x:v>3月18日</x:v>
      </x:c>
      <x:c r="D63" s="24" t="n">
        <x:v>5573.927</x:v>
      </x:c>
      <x:c r="E63" s="24" t="n">
        <x:v>5648.012</x:v>
      </x:c>
      <x:c r="F63" s="24" t="n">
        <x:v>5559.052</x:v>
      </x:c>
      <x:c r="G63" s="24" t="n">
        <x:v>5648.012</x:v>
      </x:c>
      <x:c r="H63" s="25" t="n">
        <x:v>0.01662597531447285</x:v>
      </x:c>
      <x:c r="I63" s="24" t="n">
        <x:f>ROUND(E63-F63,1)</x:f>
        <x:v>89</x:v>
      </x:c>
      <x:c r="J63" s="23" t="str">
        <x:v>中证1000</x:v>
      </x:c>
    </x:row>
    <x:row r="64">
      <x:c r="A64" s="23" t="n">
        <x:v>13</x:v>
      </x:c>
      <x:c r="B64" s="23" t="str">
        <x:v>周二</x:v>
      </x:c>
      <x:c r="C64" s="23" t="str">
        <x:v>3月19日</x:v>
      </x:c>
      <x:c r="D64" s="24" t="n">
        <x:v>5633.504</x:v>
      </x:c>
      <x:c r="E64" s="24" t="n">
        <x:v>5660.502</x:v>
      </x:c>
      <x:c r="F64" s="24" t="n">
        <x:v>5607.256</x:v>
      </x:c>
      <x:c r="G64" s="24" t="n">
        <x:v>5607.475</x:v>
      </x:c>
      <x:c r="H64" s="25" t="n">
        <x:v>-0.007177215629145195</x:v>
      </x:c>
      <x:c r="I64" s="24" t="n">
        <x:f>ROUND(E64-F64,1)</x:f>
        <x:v>53.2</x:v>
      </x:c>
      <x:c r="J64" s="23" t="str">
        <x:v>中证1000</x:v>
      </x:c>
    </x:row>
    <x:row r="65">
      <x:c r="A65" s="23" t="n">
        <x:v>14</x:v>
      </x:c>
      <x:c r="B65" s="23" t="str">
        <x:v>周三</x:v>
      </x:c>
      <x:c r="C65" s="23" t="str">
        <x:v>3月20日</x:v>
      </x:c>
      <x:c r="D65" s="24" t="n">
        <x:v>5600.125</x:v>
      </x:c>
      <x:c r="E65" s="24" t="n">
        <x:v>5663.738</x:v>
      </x:c>
      <x:c r="F65" s="24" t="n">
        <x:v>5600.125</x:v>
      </x:c>
      <x:c r="G65" s="24" t="n">
        <x:v>5659.154</x:v>
      </x:c>
      <x:c r="H65" s="25" t="n">
        <x:v>0.009216091021359896</x:v>
      </x:c>
      <x:c r="I65" s="24" t="n">
        <x:f>ROUND(E65-F65,1)</x:f>
        <x:v>63.6</x:v>
      </x:c>
      <x:c r="J65" s="23" t="str">
        <x:v>中证1000</x:v>
      </x:c>
    </x:row>
    <x:row r="66">
      <x:c r="A66" s="23" t="n">
        <x:v>15</x:v>
      </x:c>
      <x:c r="B66" s="23" t="str">
        <x:v>周四</x:v>
      </x:c>
      <x:c r="C66" s="23" t="str">
        <x:v>3月21日</x:v>
      </x:c>
      <x:c r="D66" s="24" t="n">
        <x:v>5674.495</x:v>
      </x:c>
      <x:c r="E66" s="24" t="n">
        <x:v>5690.455</x:v>
      </x:c>
      <x:c r="F66" s="24" t="n">
        <x:v>5623.297</x:v>
      </x:c>
      <x:c r="G66" s="24" t="n">
        <x:v>5658.279</x:v>
      </x:c>
      <x:c r="H66" s="25" t="n">
        <x:v>-0.0001546167501361717</x:v>
      </x:c>
      <x:c r="I66" s="24" t="n">
        <x:f>ROUND(E66-F66,1)</x:f>
        <x:v>67.2</x:v>
      </x:c>
      <x:c r="J66" s="23" t="str">
        <x:v>中证1000</x:v>
      </x:c>
    </x:row>
    <x:row r="67">
      <x:c r="A67" s="23" t="n">
        <x:v>16</x:v>
      </x:c>
      <x:c r="B67" s="23" t="str">
        <x:v>周五</x:v>
      </x:c>
      <x:c r="C67" s="23" t="str">
        <x:v>3月22日</x:v>
      </x:c>
      <x:c r="D67" s="24" t="n">
        <x:v>5649.083</x:v>
      </x:c>
      <x:c r="E67" s="24" t="n">
        <x:v>5660.145</x:v>
      </x:c>
      <x:c r="F67" s="24" t="n">
        <x:v>5546.779</x:v>
      </x:c>
      <x:c r="G67" s="24" t="n">
        <x:v>5595.885</x:v>
      </x:c>
      <x:c r="H67" s="25" t="n">
        <x:v>-0.011027027829486724</x:v>
      </x:c>
      <x:c r="I67" s="24" t="n">
        <x:f>ROUND(E67-F67,1)</x:f>
        <x:v>113.4</x:v>
      </x:c>
      <x:c r="J67" s="23" t="str">
        <x:v>中证1000</x:v>
      </x:c>
    </x:row>
    <x:row r="68">
      <x:c r="A68" s="23" t="n">
        <x:v>17</x:v>
      </x:c>
      <x:c r="B68" s="23" t="str">
        <x:v>周一</x:v>
      </x:c>
      <x:c r="C68" s="23" t="str">
        <x:v>3月25日</x:v>
      </x:c>
      <x:c r="D68" s="24" t="n">
        <x:v>5581.351</x:v>
      </x:c>
      <x:c r="E68" s="24" t="n">
        <x:v>5611.694</x:v>
      </x:c>
      <x:c r="F68" s="24" t="n">
        <x:v>5466.062</x:v>
      </x:c>
      <x:c r="G68" s="24" t="n">
        <x:v>5466.062</x:v>
      </x:c>
      <x:c r="H68" s="25" t="n">
        <x:v>-0.02319972622739752</x:v>
      </x:c>
      <x:c r="I68" s="24" t="n">
        <x:f>ROUND(E68-F68,1)</x:f>
        <x:v>145.6</x:v>
      </x:c>
      <x:c r="J68" s="23" t="str">
        <x:v>中证1000</x:v>
      </x:c>
    </x:row>
    <x:row r="69">
      <x:c r="A69" s="23" t="n">
        <x:v>18</x:v>
      </x:c>
      <x:c r="B69" s="23" t="str">
        <x:v>周二</x:v>
      </x:c>
      <x:c r="C69" s="23" t="str">
        <x:v>3月26日</x:v>
      </x:c>
      <x:c r="D69" s="24" t="n">
        <x:v>5454.653</x:v>
      </x:c>
      <x:c r="E69" s="24" t="n">
        <x:v>5495.633</x:v>
      </x:c>
      <x:c r="F69" s="24" t="n">
        <x:v>5381.853</x:v>
      </x:c>
      <x:c r="G69" s="24" t="n">
        <x:v>5447.748</x:v>
      </x:c>
      <x:c r="H69" s="25" t="n">
        <x:v>-0.003350492548383155</x:v>
      </x:c>
      <x:c r="I69" s="24" t="n">
        <x:f>ROUND(E69-F69,1)</x:f>
        <x:v>113.8</x:v>
      </x:c>
      <x:c r="J69" s="23" t="str">
        <x:v>中证1000</x:v>
      </x:c>
    </x:row>
    <x:row r="70">
      <x:c r="A70" s="23" t="n">
        <x:v>19</x:v>
      </x:c>
      <x:c r="B70" s="23" t="str">
        <x:v>周三</x:v>
      </x:c>
      <x:c r="C70" s="23" t="str">
        <x:v>3月27日</x:v>
      </x:c>
      <x:c r="D70" s="24" t="n">
        <x:v>5435.971</x:v>
      </x:c>
      <x:c r="E70" s="24" t="n">
        <x:v>5436.652</x:v>
      </x:c>
      <x:c r="F70" s="24" t="n">
        <x:v>5266.231</x:v>
      </x:c>
      <x:c r="G70" s="24" t="n">
        <x:v>5266.231</x:v>
      </x:c>
      <x:c r="H70" s="25" t="n">
        <x:v>-0.033319639601538054</x:v>
      </x:c>
      <x:c r="I70" s="24" t="n">
        <x:f>ROUND(E70-F70,1)</x:f>
        <x:v>170.4</x:v>
      </x:c>
      <x:c r="J70" s="23" t="str">
        <x:v>中证1000</x:v>
      </x:c>
    </x:row>
    <x:row r="71">
      <x:c r="A71" s="23" t="n">
        <x:v>20</x:v>
      </x:c>
      <x:c r="B71" s="23" t="str">
        <x:v>周四</x:v>
      </x:c>
      <x:c r="C71" s="23" t="str">
        <x:v>3月28日</x:v>
      </x:c>
      <x:c r="D71" s="24" t="n">
        <x:v>5262.22</x:v>
      </x:c>
      <x:c r="E71" s="24" t="n">
        <x:v>5430.767</x:v>
      </x:c>
      <x:c r="F71" s="24" t="n">
        <x:v>5262.22</x:v>
      </x:c>
      <x:c r="G71" s="24" t="n">
        <x:v>5382.236</x:v>
      </x:c>
      <x:c r="H71" s="25" t="n">
        <x:v>0.022028088019686143</x:v>
      </x:c>
      <x:c r="I71" s="24" t="n">
        <x:f>ROUND(E71-F71,1)</x:f>
        <x:v>168.5</x:v>
      </x:c>
      <x:c r="J71" s="23" t="str">
        <x:v>中证1000</x:v>
      </x:c>
    </x:row>
    <x:row r="72">
      <x:c r="A72" s="23" t="n">
        <x:v>21</x:v>
      </x:c>
      <x:c r="B72" s="23" t="str">
        <x:v>周五</x:v>
      </x:c>
      <x:c r="C72" s="23" t="str">
        <x:v>3月29日</x:v>
      </x:c>
      <x:c r="D72" s="24" t="n">
        <x:v>5383.745</x:v>
      </x:c>
      <x:c r="E72" s="24" t="n">
        <x:v>5441.26</x:v>
      </x:c>
      <x:c r="F72" s="24" t="n">
        <x:v>5345.872</x:v>
      </x:c>
      <x:c r="G72" s="24" t="n">
        <x:v>5441.26</x:v>
      </x:c>
      <x:c r="H72" s="25" t="n">
        <x:v>0.010966445915786771</x:v>
      </x:c>
      <x:c r="I72" s="24" t="n">
        <x:f>ROUND(E72-F72,1)</x:f>
        <x:v>95.4</x:v>
      </x:c>
      <x:c r="J72" s="23" t="str">
        <x:v>中证1000</x:v>
      </x:c>
    </x:row>
    <x:row r="73">
      <x:c r="A73" s="36" t="str">
        <x:v>合计</x:v>
      </x:c>
      <x:c r="B73" s="35" t="n">
        <x:v>21</x:v>
      </x:c>
      <x:c r="C73" s="35"/>
      <x:c r="D73" s="35"/>
      <x:c r="E73" s="35"/>
      <x:c r="F73" s="35"/>
      <x:c r="G73" s="35"/>
      <x:c r="H73" s="35"/>
      <x:c r="I73" s="37" t="n">
        <x:f>ROUND(SUM(I52:I72),1)</x:f>
        <x:v>2195.5</x:v>
      </x:c>
      <x:c r="J73" s="35"/>
    </x:row>
    <x:row r="74">
      <x:c r="A74" s="36" t="str">
        <x:v>均值</x:v>
      </x:c>
      <x:c r="B74" s="35"/>
      <x:c r="C74" s="35"/>
      <x:c r="D74" s="35"/>
      <x:c r="E74" s="35"/>
      <x:c r="F74" s="35"/>
      <x:c r="G74" s="35"/>
      <x:c r="H74" s="35"/>
      <x:c r="I74" s="39" t="n">
        <x:f>ROUND(IFERROR(AVERAGE(I52:I72),0),1)</x:f>
        <x:v>104.5</x:v>
      </x:c>
      <x:c r="J74" s="35"/>
    </x:row>
    <x:row r="76">
      <x:c r="A76" s="17" t="str">
        <x:v>4月</x:v>
      </x:c>
      <x:c r="B76" s="17"/>
      <x:c r="C76" s="17"/>
      <x:c r="D76" s="17"/>
      <x:c r="E76" s="17"/>
      <x:c r="F76" s="17"/>
      <x:c r="G76" s="17"/>
      <x:c r="H76" s="17"/>
      <x:c r="I76" s="17"/>
      <x:c r="J76" s="17"/>
    </x:row>
    <x:row r="77">
      <x:c r="A77" s="20" t="str">
        <x:v>序号</x:v>
      </x:c>
      <x:c r="B77" s="20" t="str">
        <x:v>星期</x:v>
      </x:c>
      <x:c r="C77" s="20" t="str">
        <x:v>日期</x:v>
      </x:c>
      <x:c r="D77" s="20" t="str">
        <x:v>开盘</x:v>
      </x:c>
      <x:c r="E77" s="20" t="str">
        <x:v>高点</x:v>
      </x:c>
      <x:c r="F77" s="20" t="str">
        <x:v>低点</x:v>
      </x:c>
      <x:c r="G77" s="20" t="str">
        <x:v>收盘</x:v>
      </x:c>
      <x:c r="H77" s="20" t="str">
        <x:v>涨幅</x:v>
      </x:c>
      <x:c r="I77" s="20" t="str">
        <x:v>振幅</x:v>
      </x:c>
      <x:c r="J77" s="20" t="str">
        <x:v>标的</x:v>
      </x:c>
    </x:row>
    <x:row r="78">
      <x:c r="A78" s="23" t="n">
        <x:v>1</x:v>
      </x:c>
      <x:c r="B78" s="23" t="str">
        <x:v>周一</x:v>
      </x:c>
      <x:c r="C78" s="23" t="str">
        <x:v>4月1日</x:v>
      </x:c>
      <x:c r="D78" s="24" t="n">
        <x:v>5461.587</x:v>
      </x:c>
      <x:c r="E78" s="24" t="n">
        <x:v>5559.868</x:v>
      </x:c>
      <x:c r="F78" s="24" t="n">
        <x:v>5461.587</x:v>
      </x:c>
      <x:c r="G78" s="24" t="n">
        <x:v>5559.056</x:v>
      </x:c>
      <x:c r="H78" s="25" t="n">
        <x:v>0.021648662258373808</x:v>
      </x:c>
      <x:c r="I78" s="24" t="n">
        <x:f>ROUND(E78-F78,1)</x:f>
        <x:v>98.3</x:v>
      </x:c>
      <x:c r="J78" s="23" t="str">
        <x:v>中证1000</x:v>
      </x:c>
    </x:row>
    <x:row r="79">
      <x:c r="A79" s="23" t="n">
        <x:v>2</x:v>
      </x:c>
      <x:c r="B79" s="23" t="str">
        <x:v>周二</x:v>
      </x:c>
      <x:c r="C79" s="23" t="str">
        <x:v>4月2日</x:v>
      </x:c>
      <x:c r="D79" s="24" t="n">
        <x:v>5556.517</x:v>
      </x:c>
      <x:c r="E79" s="24" t="n">
        <x:v>5556.517</x:v>
      </x:c>
      <x:c r="F79" s="24" t="n">
        <x:v>5490.824</x:v>
      </x:c>
      <x:c r="G79" s="24" t="n">
        <x:v>5531.052</x:v>
      </x:c>
      <x:c r="H79" s="25" t="n">
        <x:v>-0.0050375459430521685</x:v>
      </x:c>
      <x:c r="I79" s="24" t="n">
        <x:f>ROUND(E79-F79,1)</x:f>
        <x:v>65.7</x:v>
      </x:c>
      <x:c r="J79" s="23" t="str">
        <x:v>中证1000</x:v>
      </x:c>
    </x:row>
    <x:row r="80">
      <x:c r="A80" s="23" t="n">
        <x:v>3</x:v>
      </x:c>
      <x:c r="B80" s="23" t="str">
        <x:v>周三</x:v>
      </x:c>
      <x:c r="C80" s="23" t="str">
        <x:v>4月3日</x:v>
      </x:c>
      <x:c r="D80" s="24" t="n">
        <x:v>5518.911</x:v>
      </x:c>
      <x:c r="E80" s="24" t="n">
        <x:v>5525.034</x:v>
      </x:c>
      <x:c r="F80" s="24" t="n">
        <x:v>5457.614</x:v>
      </x:c>
      <x:c r="G80" s="24" t="n">
        <x:v>5500.926</x:v>
      </x:c>
      <x:c r="H80" s="25" t="n">
        <x:v>-0.0054467034480961685</x:v>
      </x:c>
      <x:c r="I80" s="24" t="n">
        <x:f>ROUND(E80-F80,1)</x:f>
        <x:v>67.4</x:v>
      </x:c>
      <x:c r="J80" s="23" t="str">
        <x:v>中证1000</x:v>
      </x:c>
    </x:row>
    <x:row r="81">
      <x:c r="A81" s="23" t="n">
        <x:v>4</x:v>
      </x:c>
      <x:c r="B81" s="23" t="str">
        <x:v>周一</x:v>
      </x:c>
      <x:c r="C81" s="23" t="str">
        <x:v>4月8日</x:v>
      </x:c>
      <x:c r="D81" s="24" t="n">
        <x:v>5487.632</x:v>
      </x:c>
      <x:c r="E81" s="24" t="n">
        <x:v>5492.397</x:v>
      </x:c>
      <x:c r="F81" s="24" t="n">
        <x:v>5399.915</x:v>
      </x:c>
      <x:c r="G81" s="24" t="n">
        <x:v>5399.915</x:v>
      </x:c>
      <x:c r="H81" s="25" t="n">
        <x:v>-0.018362544778824597</x:v>
      </x:c>
      <x:c r="I81" s="24" t="n">
        <x:f>ROUND(E81-F81,1)</x:f>
        <x:v>92.5</x:v>
      </x:c>
      <x:c r="J81" s="23" t="str">
        <x:v>中证1000</x:v>
      </x:c>
    </x:row>
    <x:row r="82">
      <x:c r="A82" s="23" t="n">
        <x:v>5</x:v>
      </x:c>
      <x:c r="B82" s="23" t="str">
        <x:v>周二</x:v>
      </x:c>
      <x:c r="C82" s="23" t="str">
        <x:v>4月9日</x:v>
      </x:c>
      <x:c r="D82" s="24" t="n">
        <x:v>5392.994</x:v>
      </x:c>
      <x:c r="E82" s="24" t="n">
        <x:v>5468.911</x:v>
      </x:c>
      <x:c r="F82" s="24" t="n">
        <x:v>5384.03</x:v>
      </x:c>
      <x:c r="G82" s="24" t="n">
        <x:v>5468.911</x:v>
      </x:c>
      <x:c r="H82" s="25" t="n">
        <x:v>0.012777238160230242</x:v>
      </x:c>
      <x:c r="I82" s="24" t="n">
        <x:f>ROUND(E82-F82,1)</x:f>
        <x:v>84.9</x:v>
      </x:c>
      <x:c r="J82" s="23" t="str">
        <x:v>中证1000</x:v>
      </x:c>
    </x:row>
    <x:row r="83">
      <x:c r="A83" s="23" t="n">
        <x:v>6</x:v>
      </x:c>
      <x:c r="B83" s="23" t="str">
        <x:v>周三</x:v>
      </x:c>
      <x:c r="C83" s="23" t="str">
        <x:v>4月10日</x:v>
      </x:c>
      <x:c r="D83" s="24" t="n">
        <x:v>5456.972</x:v>
      </x:c>
      <x:c r="E83" s="24" t="n">
        <x:v>5456.972</x:v>
      </x:c>
      <x:c r="F83" s="24" t="n">
        <x:v>5325.912</x:v>
      </x:c>
      <x:c r="G83" s="24" t="n">
        <x:v>5367.052</x:v>
      </x:c>
      <x:c r="H83" s="25" t="n">
        <x:v>-0.0186250973914186</x:v>
      </x:c>
      <x:c r="I83" s="24" t="n">
        <x:f>ROUND(E83-F83,1)</x:f>
        <x:v>131.1</x:v>
      </x:c>
      <x:c r="J83" s="23" t="str">
        <x:v>中证1000</x:v>
      </x:c>
    </x:row>
    <x:row r="84">
      <x:c r="A84" s="23" t="n">
        <x:v>7</x:v>
      </x:c>
      <x:c r="B84" s="23" t="str">
        <x:v>周四</x:v>
      </x:c>
      <x:c r="C84" s="23" t="str">
        <x:v>4月11日</x:v>
      </x:c>
      <x:c r="D84" s="24" t="n">
        <x:v>5330.685</x:v>
      </x:c>
      <x:c r="E84" s="24" t="n">
        <x:v>5441.502</x:v>
      </x:c>
      <x:c r="F84" s="24" t="n">
        <x:v>5322.839</x:v>
      </x:c>
      <x:c r="G84" s="24" t="n">
        <x:v>5379.915</x:v>
      </x:c>
      <x:c r="H84" s="25" t="n">
        <x:v>0.0023966602149561034</x:v>
      </x:c>
      <x:c r="I84" s="24" t="n">
        <x:f>ROUND(E84-F84,1)</x:f>
        <x:v>118.7</x:v>
      </x:c>
      <x:c r="J84" s="23" t="str">
        <x:v>中证1000</x:v>
      </x:c>
    </x:row>
    <x:row r="85">
      <x:c r="A85" s="23" t="n">
        <x:v>8</x:v>
      </x:c>
      <x:c r="B85" s="23" t="str">
        <x:v>周五</x:v>
      </x:c>
      <x:c r="C85" s="23" t="str">
        <x:v>4月12日</x:v>
      </x:c>
      <x:c r="D85" s="24" t="n">
        <x:v>5379.17</x:v>
      </x:c>
      <x:c r="E85" s="24" t="n">
        <x:v>5408.52</x:v>
      </x:c>
      <x:c r="F85" s="24" t="n">
        <x:v>5330.542</x:v>
      </x:c>
      <x:c r="G85" s="24" t="n">
        <x:v>5338.769</x:v>
      </x:c>
      <x:c r="H85" s="25" t="n">
        <x:v>-0.007648076224252565</x:v>
      </x:c>
      <x:c r="I85" s="24" t="n">
        <x:f>ROUND(E85-F85,1)</x:f>
        <x:v>78</x:v>
      </x:c>
      <x:c r="J85" s="23" t="str">
        <x:v>中证1000</x:v>
      </x:c>
    </x:row>
    <x:row r="86">
      <x:c r="A86" s="23" t="n">
        <x:v>9</x:v>
      </x:c>
      <x:c r="B86" s="23" t="str">
        <x:v>周一</x:v>
      </x:c>
      <x:c r="C86" s="23" t="str">
        <x:v>4月15日</x:v>
      </x:c>
      <x:c r="D86" s="24" t="n">
        <x:v>5320.809</x:v>
      </x:c>
      <x:c r="E86" s="24" t="n">
        <x:v>5364.594</x:v>
      </x:c>
      <x:c r="F86" s="24" t="n">
        <x:v>5205.713</x:v>
      </x:c>
      <x:c r="G86" s="24" t="n">
        <x:v>5287.512</x:v>
      </x:c>
      <x:c r="H86" s="25" t="n">
        <x:v>-0.00960090238030542</x:v>
      </x:c>
      <x:c r="I86" s="24" t="n">
        <x:f>ROUND(E86-F86,1)</x:f>
        <x:v>158.9</x:v>
      </x:c>
      <x:c r="J86" s="23" t="str">
        <x:v>中证1000</x:v>
      </x:c>
    </x:row>
    <x:row r="87">
      <x:c r="A87" s="23" t="n">
        <x:v>10</x:v>
      </x:c>
      <x:c r="B87" s="23" t="str">
        <x:v>周二</x:v>
      </x:c>
      <x:c r="C87" s="23" t="str">
        <x:v>4月16日</x:v>
      </x:c>
      <x:c r="D87" s="24" t="n">
        <x:v>5255.207</x:v>
      </x:c>
      <x:c r="E87" s="24" t="n">
        <x:v>5283.832</x:v>
      </x:c>
      <x:c r="F87" s="24" t="n">
        <x:v>5063.94</x:v>
      </x:c>
      <x:c r="G87" s="24" t="n">
        <x:v>5066.66</x:v>
      </x:c>
      <x:c r="H87" s="25" t="n">
        <x:v>-0.041768604969596224</x:v>
      </x:c>
      <x:c r="I87" s="33" t="n">
        <x:f>ROUND(E87-F87,1)</x:f>
        <x:v>219.9</x:v>
      </x:c>
      <x:c r="J87" s="23" t="str">
        <x:v>中证1000</x:v>
      </x:c>
    </x:row>
    <x:row r="88">
      <x:c r="A88" s="23" t="n">
        <x:v>11</x:v>
      </x:c>
      <x:c r="B88" s="23" t="str">
        <x:v>周三</x:v>
      </x:c>
      <x:c r="C88" s="23" t="str">
        <x:v>4月17日</x:v>
      </x:c>
      <x:c r="D88" s="24" t="n">
        <x:v>5109.082</x:v>
      </x:c>
      <x:c r="E88" s="24" t="n">
        <x:v>5287.456</x:v>
      </x:c>
      <x:c r="F88" s="24" t="n">
        <x:v>5109.082</x:v>
      </x:c>
      <x:c r="G88" s="24" t="n">
        <x:v>5287.456</x:v>
      </x:c>
      <x:c r="H88" s="25" t="n">
        <x:v>0.04357821523449368</x:v>
      </x:c>
      <x:c r="I88" s="24" t="n">
        <x:f>ROUND(E88-F88,1)</x:f>
        <x:v>178.4</x:v>
      </x:c>
      <x:c r="J88" s="23" t="str">
        <x:v>中证1000</x:v>
      </x:c>
    </x:row>
    <x:row r="89">
      <x:c r="A89" s="23" t="n">
        <x:v>12</x:v>
      </x:c>
      <x:c r="B89" s="23" t="str">
        <x:v>周四</x:v>
      </x:c>
      <x:c r="C89" s="23" t="str">
        <x:v>4月18日</x:v>
      </x:c>
      <x:c r="D89" s="24" t="n">
        <x:v>5276.471</x:v>
      </x:c>
      <x:c r="E89" s="24" t="n">
        <x:v>5345.436</x:v>
      </x:c>
      <x:c r="F89" s="24" t="n">
        <x:v>5233.899</x:v>
      </x:c>
      <x:c r="G89" s="24" t="n">
        <x:v>5286.719</x:v>
      </x:c>
      <x:c r="H89" s="25" t="n">
        <x:v>-0.00013938650269618158</x:v>
      </x:c>
      <x:c r="I89" s="24" t="n">
        <x:f>ROUND(E89-F89,1)</x:f>
        <x:v>111.5</x:v>
      </x:c>
      <x:c r="J89" s="23" t="str">
        <x:v>中证1000</x:v>
      </x:c>
    </x:row>
    <x:row r="90">
      <x:c r="A90" s="29" t="n">
        <x:v>13</x:v>
      </x:c>
      <x:c r="B90" s="29" t="str">
        <x:v>周五</x:v>
      </x:c>
      <x:c r="C90" s="29" t="str">
        <x:v>4月19日</x:v>
      </x:c>
      <x:c r="D90" s="30" t="n">
        <x:v>5257.01</x:v>
      </x:c>
      <x:c r="E90" s="30" t="n">
        <x:v>5312.151</x:v>
      </x:c>
      <x:c r="F90" s="30" t="n">
        <x:v>5224.319</x:v>
      </x:c>
      <x:c r="G90" s="30" t="n">
        <x:v>5264.389</x:v>
      </x:c>
      <x:c r="H90" s="31" t="n">
        <x:v>-0.004223791731695958</x:v>
      </x:c>
      <x:c r="I90" s="30" t="n">
        <x:f>ROUND(E90-F90,1)</x:f>
        <x:v>87.8</x:v>
      </x:c>
      <x:c r="J90" s="29" t="str">
        <x:v>中证1000</x:v>
      </x:c>
    </x:row>
    <x:row r="91">
      <x:c r="A91" s="23" t="n">
        <x:v>14</x:v>
      </x:c>
      <x:c r="B91" s="23" t="str">
        <x:v>周一</x:v>
      </x:c>
      <x:c r="C91" s="23" t="str">
        <x:v>4月22日</x:v>
      </x:c>
      <x:c r="D91" s="24" t="n">
        <x:v>5231.564</x:v>
      </x:c>
      <x:c r="E91" s="24" t="n">
        <x:v>5300.793</x:v>
      </x:c>
      <x:c r="F91" s="24" t="n">
        <x:v>5187.523</x:v>
      </x:c>
      <x:c r="G91" s="24" t="n">
        <x:v>5246.082</x:v>
      </x:c>
      <x:c r="H91" s="25" t="n">
        <x:v>-0.003477516574098116</x:v>
      </x:c>
      <x:c r="I91" s="24" t="n">
        <x:f>ROUND(E91-F91,1)</x:f>
        <x:v>113.3</x:v>
      </x:c>
      <x:c r="J91" s="23" t="str">
        <x:v>中证1000</x:v>
      </x:c>
    </x:row>
    <x:row r="92">
      <x:c r="A92" s="23" t="n">
        <x:v>15</x:v>
      </x:c>
      <x:c r="B92" s="23" t="str">
        <x:v>周二</x:v>
      </x:c>
      <x:c r="C92" s="23" t="str">
        <x:v>4月23日</x:v>
      </x:c>
      <x:c r="D92" s="24" t="n">
        <x:v>5234.434</x:v>
      </x:c>
      <x:c r="E92" s="24" t="n">
        <x:v>5260.294</x:v>
      </x:c>
      <x:c r="F92" s="24" t="n">
        <x:v>5194.262</x:v>
      </x:c>
      <x:c r="G92" s="24" t="n">
        <x:v>5218.428</x:v>
      </x:c>
      <x:c r="H92" s="25" t="n">
        <x:v>-0.005271362513967648</x:v>
      </x:c>
      <x:c r="I92" s="24" t="n">
        <x:f>ROUND(E92-F92,1)</x:f>
        <x:v>66</x:v>
      </x:c>
      <x:c r="J92" s="23" t="str">
        <x:v>中证1000</x:v>
      </x:c>
    </x:row>
    <x:row r="93">
      <x:c r="A93" s="23" t="n">
        <x:v>16</x:v>
      </x:c>
      <x:c r="B93" s="23" t="str">
        <x:v>周三</x:v>
      </x:c>
      <x:c r="C93" s="23" t="str">
        <x:v>4月24日</x:v>
      </x:c>
      <x:c r="D93" s="24" t="n">
        <x:v>5219.257</x:v>
      </x:c>
      <x:c r="E93" s="24" t="n">
        <x:v>5305.607</x:v>
      </x:c>
      <x:c r="F93" s="24" t="n">
        <x:v>5200.598</x:v>
      </x:c>
      <x:c r="G93" s="24" t="n">
        <x:v>5305.607</x:v>
      </x:c>
      <x:c r="H93" s="25" t="n">
        <x:v>0.016705988853348286</x:v>
      </x:c>
      <x:c r="I93" s="24" t="n">
        <x:f>ROUND(E93-F93,1)</x:f>
        <x:v>105</x:v>
      </x:c>
      <x:c r="J93" s="23" t="str">
        <x:v>中证1000</x:v>
      </x:c>
    </x:row>
    <x:row r="94">
      <x:c r="A94" s="23" t="n">
        <x:v>17</x:v>
      </x:c>
      <x:c r="B94" s="23" t="str">
        <x:v>周四</x:v>
      </x:c>
      <x:c r="C94" s="23" t="str">
        <x:v>4月25日</x:v>
      </x:c>
      <x:c r="D94" s="24" t="n">
        <x:v>5285.137</x:v>
      </x:c>
      <x:c r="E94" s="24" t="n">
        <x:v>5357.441</x:v>
      </x:c>
      <x:c r="F94" s="24" t="n">
        <x:v>5273.553</x:v>
      </x:c>
      <x:c r="G94" s="24" t="n">
        <x:v>5313.986</x:v>
      </x:c>
      <x:c r="H94" s="25" t="n">
        <x:v>0.001579272644958385</x:v>
      </x:c>
      <x:c r="I94" s="24" t="n">
        <x:f>ROUND(E94-F94,1)</x:f>
        <x:v>83.9</x:v>
      </x:c>
      <x:c r="J94" s="23" t="str">
        <x:v>中证1000</x:v>
      </x:c>
    </x:row>
    <x:row r="95">
      <x:c r="A95" s="23" t="n">
        <x:v>18</x:v>
      </x:c>
      <x:c r="B95" s="23" t="str">
        <x:v>周五</x:v>
      </x:c>
      <x:c r="C95" s="23" t="str">
        <x:v>4月26日</x:v>
      </x:c>
      <x:c r="D95" s="24" t="n">
        <x:v>5303.151</x:v>
      </x:c>
      <x:c r="E95" s="24" t="n">
        <x:v>5420.365</x:v>
      </x:c>
      <x:c r="F95" s="24" t="n">
        <x:v>5303.151</x:v>
      </x:c>
      <x:c r="G95" s="24" t="n">
        <x:v>5415.938</x:v>
      </x:c>
      <x:c r="H95" s="25" t="n">
        <x:v>0.01918559815550891</x:v>
      </x:c>
      <x:c r="I95" s="24" t="n">
        <x:f>ROUND(E95-F95,1)</x:f>
        <x:v>117.2</x:v>
      </x:c>
      <x:c r="J95" s="23" t="str">
        <x:v>中证1000</x:v>
      </x:c>
    </x:row>
    <x:row r="96">
      <x:c r="A96" s="23" t="n">
        <x:v>19</x:v>
      </x:c>
      <x:c r="B96" s="23" t="str">
        <x:v>周一</x:v>
      </x:c>
      <x:c r="C96" s="23" t="str">
        <x:v>4月29日</x:v>
      </x:c>
      <x:c r="D96" s="24" t="n">
        <x:v>5422.411</x:v>
      </x:c>
      <x:c r="E96" s="24" t="n">
        <x:v>5550.214</x:v>
      </x:c>
      <x:c r="F96" s="24" t="n">
        <x:v>5422.411</x:v>
      </x:c>
      <x:c r="G96" s="24" t="n">
        <x:v>5545.235</x:v>
      </x:c>
      <x:c r="H96" s="25" t="n">
        <x:v>0.023873426911460216</x:v>
      </x:c>
      <x:c r="I96" s="24" t="n">
        <x:f>ROUND(E96-F96,1)</x:f>
        <x:v>127.8</x:v>
      </x:c>
      <x:c r="J96" s="23" t="str">
        <x:v>中证1000</x:v>
      </x:c>
    </x:row>
    <x:row r="97">
      <x:c r="A97" s="23" t="n">
        <x:v>20</x:v>
      </x:c>
      <x:c r="B97" s="23" t="str">
        <x:v>周二</x:v>
      </x:c>
      <x:c r="C97" s="23" t="str">
        <x:v>4月30日</x:v>
      </x:c>
      <x:c r="D97" s="24" t="n">
        <x:v>5530.944</x:v>
      </x:c>
      <x:c r="E97" s="24" t="n">
        <x:v>5542.193</x:v>
      </x:c>
      <x:c r="F97" s="24" t="n">
        <x:v>5482.988</x:v>
      </x:c>
      <x:c r="G97" s="24" t="n">
        <x:v>5497.43</x:v>
      </x:c>
      <x:c r="H97" s="25" t="n">
        <x:v>-0.0086209150739327</x:v>
      </x:c>
      <x:c r="I97" s="24" t="n">
        <x:f>ROUND(E97-F97,1)</x:f>
        <x:v>59.2</x:v>
      </x:c>
      <x:c r="J97" s="23" t="str">
        <x:v>中证1000</x:v>
      </x:c>
    </x:row>
    <x:row r="98">
      <x:c r="A98" s="36" t="str">
        <x:v>合计</x:v>
      </x:c>
      <x:c r="B98" s="35" t="n">
        <x:v>20</x:v>
      </x:c>
      <x:c r="C98" s="35"/>
      <x:c r="D98" s="35"/>
      <x:c r="E98" s="35"/>
      <x:c r="F98" s="35"/>
      <x:c r="G98" s="35"/>
      <x:c r="H98" s="35"/>
      <x:c r="I98" s="37" t="n">
        <x:f>ROUND(SUM(I78:I97),1)</x:f>
        <x:v>2165.5</x:v>
      </x:c>
      <x:c r="J98" s="35"/>
    </x:row>
    <x:row r="99">
      <x:c r="A99" s="36" t="str">
        <x:v>均值</x:v>
      </x:c>
      <x:c r="B99" s="35"/>
      <x:c r="C99" s="35"/>
      <x:c r="D99" s="35"/>
      <x:c r="E99" s="35"/>
      <x:c r="F99" s="35"/>
      <x:c r="G99" s="35"/>
      <x:c r="H99" s="35"/>
      <x:c r="I99" s="39" t="n">
        <x:f>ROUND(IFERROR(AVERAGE(I78:I97),0),1)</x:f>
        <x:v>108.3</x:v>
      </x:c>
      <x:c r="J99" s="35"/>
    </x:row>
    <x:row r="101">
      <x:c r="A101" s="17" t="str">
        <x:v>5月</x:v>
      </x:c>
      <x:c r="B101" s="17"/>
      <x:c r="C101" s="17"/>
      <x:c r="D101" s="17"/>
      <x:c r="E101" s="17"/>
      <x:c r="F101" s="17"/>
      <x:c r="G101" s="17"/>
      <x:c r="H101" s="17"/>
      <x:c r="I101" s="17"/>
      <x:c r="J101" s="17"/>
    </x:row>
    <x:row r="102">
      <x:c r="A102" s="20" t="str">
        <x:v>序号</x:v>
      </x:c>
      <x:c r="B102" s="20" t="str">
        <x:v>星期</x:v>
      </x:c>
      <x:c r="C102" s="20" t="str">
        <x:v>日期</x:v>
      </x:c>
      <x:c r="D102" s="20" t="str">
        <x:v>开盘</x:v>
      </x:c>
      <x:c r="E102" s="20" t="str">
        <x:v>高点</x:v>
      </x:c>
      <x:c r="F102" s="20" t="str">
        <x:v>低点</x:v>
      </x:c>
      <x:c r="G102" s="20" t="str">
        <x:v>收盘</x:v>
      </x:c>
      <x:c r="H102" s="20" t="str">
        <x:v>涨幅</x:v>
      </x:c>
      <x:c r="I102" s="20" t="str">
        <x:v>振幅</x:v>
      </x:c>
      <x:c r="J102" s="20" t="str">
        <x:v>标的</x:v>
      </x:c>
    </x:row>
    <x:row r="103">
      <x:c r="A103" s="23" t="n">
        <x:v>1</x:v>
      </x:c>
      <x:c r="B103" s="23" t="str">
        <x:v>周一</x:v>
      </x:c>
      <x:c r="C103" s="23" t="str">
        <x:v>5月6日</x:v>
      </x:c>
      <x:c r="D103" s="24" t="n">
        <x:v>5558.924</x:v>
      </x:c>
      <x:c r="E103" s="24" t="n">
        <x:v>5611.266</x:v>
      </x:c>
      <x:c r="F103" s="24" t="n">
        <x:v>5558.924</x:v>
      </x:c>
      <x:c r="G103" s="24" t="n">
        <x:v>5606.842</x:v>
      </x:c>
      <x:c r="H103" s="25" t="n">
        <x:v>0.019902390753497423</x:v>
      </x:c>
      <x:c r="I103" s="24" t="n">
        <x:f>ROUND(E103-F103,1)</x:f>
        <x:v>52.3</x:v>
      </x:c>
      <x:c r="J103" s="23" t="str">
        <x:v>中证1000</x:v>
      </x:c>
    </x:row>
    <x:row r="104">
      <x:c r="A104" s="23" t="n">
        <x:v>2</x:v>
      </x:c>
      <x:c r="B104" s="23" t="str">
        <x:v>周二</x:v>
      </x:c>
      <x:c r="C104" s="23" t="str">
        <x:v>5月7日</x:v>
      </x:c>
      <x:c r="D104" s="24" t="n">
        <x:v>5604.271</x:v>
      </x:c>
      <x:c r="E104" s="24" t="n">
        <x:v>5631.953</x:v>
      </x:c>
      <x:c r="F104" s="24" t="n">
        <x:v>5593.008</x:v>
      </x:c>
      <x:c r="G104" s="24" t="n">
        <x:v>5625.336</x:v>
      </x:c>
      <x:c r="H104" s="25" t="n">
        <x:v>0.0032984699765037373</x:v>
      </x:c>
      <x:c r="I104" s="24" t="n">
        <x:f>ROUND(E104-F104,1)</x:f>
        <x:v>38.9</x:v>
      </x:c>
      <x:c r="J104" s="23" t="str">
        <x:v>中证1000</x:v>
      </x:c>
    </x:row>
    <x:row r="105">
      <x:c r="A105" s="23" t="n">
        <x:v>3</x:v>
      </x:c>
      <x:c r="B105" s="23" t="str">
        <x:v>周三</x:v>
      </x:c>
      <x:c r="C105" s="23" t="str">
        <x:v>5月8日</x:v>
      </x:c>
      <x:c r="D105" s="24" t="n">
        <x:v>5605.592</x:v>
      </x:c>
      <x:c r="E105" s="24" t="n">
        <x:v>5605.592</x:v>
      </x:c>
      <x:c r="F105" s="24" t="n">
        <x:v>5529.914</x:v>
      </x:c>
      <x:c r="G105" s="24" t="n">
        <x:v>5536.659</x:v>
      </x:c>
      <x:c r="H105" s="25" t="n">
        <x:v>-0.015763858372193296</x:v>
      </x:c>
      <x:c r="I105" s="24" t="n">
        <x:f>ROUND(E105-F105,1)</x:f>
        <x:v>75.7</x:v>
      </x:c>
      <x:c r="J105" s="23" t="str">
        <x:v>中证1000</x:v>
      </x:c>
    </x:row>
    <x:row r="106">
      <x:c r="A106" s="23" t="n">
        <x:v>4</x:v>
      </x:c>
      <x:c r="B106" s="23" t="str">
        <x:v>周四</x:v>
      </x:c>
      <x:c r="C106" s="23" t="str">
        <x:v>5月9日</x:v>
      </x:c>
      <x:c r="D106" s="24" t="n">
        <x:v>5533.513</x:v>
      </x:c>
      <x:c r="E106" s="24" t="n">
        <x:v>5638.64</x:v>
      </x:c>
      <x:c r="F106" s="24" t="n">
        <x:v>5533.513</x:v>
      </x:c>
      <x:c r="G106" s="24" t="n">
        <x:v>5626.825</x:v>
      </x:c>
      <x:c r="H106" s="25" t="n">
        <x:v>0.01628527239983546</x:v>
      </x:c>
      <x:c r="I106" s="24" t="n">
        <x:f>ROUND(E106-F106,1)</x:f>
        <x:v>105.1</x:v>
      </x:c>
      <x:c r="J106" s="23" t="str">
        <x:v>中证1000</x:v>
      </x:c>
    </x:row>
    <x:row r="107">
      <x:c r="A107" s="23" t="n">
        <x:v>5</x:v>
      </x:c>
      <x:c r="B107" s="23" t="str">
        <x:v>周五</x:v>
      </x:c>
      <x:c r="C107" s="23" t="str">
        <x:v>5月10日</x:v>
      </x:c>
      <x:c r="D107" s="24" t="n">
        <x:v>5632.759</x:v>
      </x:c>
      <x:c r="E107" s="24" t="n">
        <x:v>5641.922</x:v>
      </x:c>
      <x:c r="F107" s="24" t="n">
        <x:v>5549.61</x:v>
      </x:c>
      <x:c r="G107" s="24" t="n">
        <x:v>5574.232</x:v>
      </x:c>
      <x:c r="H107" s="25" t="n">
        <x:v>-0.00934683413825732</x:v>
      </x:c>
      <x:c r="I107" s="24" t="n">
        <x:f>ROUND(E107-F107,1)</x:f>
        <x:v>92.3</x:v>
      </x:c>
      <x:c r="J107" s="23" t="str">
        <x:v>中证1000</x:v>
      </x:c>
    </x:row>
    <x:row r="108">
      <x:c r="A108" s="23" t="n">
        <x:v>6</x:v>
      </x:c>
      <x:c r="B108" s="23" t="str">
        <x:v>周一</x:v>
      </x:c>
      <x:c r="C108" s="23" t="str">
        <x:v>5月13日</x:v>
      </x:c>
      <x:c r="D108" s="24" t="n">
        <x:v>5537.928</x:v>
      </x:c>
      <x:c r="E108" s="24" t="n">
        <x:v>5556.708</x:v>
      </x:c>
      <x:c r="F108" s="24" t="n">
        <x:v>5479.946</x:v>
      </x:c>
      <x:c r="G108" s="24" t="n">
        <x:v>5520.804</x:v>
      </x:c>
      <x:c r="H108" s="25" t="n">
        <x:v>-0.009584818141763707</x:v>
      </x:c>
      <x:c r="I108" s="24" t="n">
        <x:f>ROUND(E108-F108,1)</x:f>
        <x:v>76.8</x:v>
      </x:c>
      <x:c r="J108" s="23" t="str">
        <x:v>中证1000</x:v>
      </x:c>
    </x:row>
    <x:row r="109">
      <x:c r="A109" s="23" t="n">
        <x:v>7</x:v>
      </x:c>
      <x:c r="B109" s="23" t="str">
        <x:v>周二</x:v>
      </x:c>
      <x:c r="C109" s="23" t="str">
        <x:v>5月14日</x:v>
      </x:c>
      <x:c r="D109" s="24" t="n">
        <x:v>5524.434</x:v>
      </x:c>
      <x:c r="E109" s="24" t="n">
        <x:v>5574.251</x:v>
      </x:c>
      <x:c r="F109" s="24" t="n">
        <x:v>5524.263</x:v>
      </x:c>
      <x:c r="G109" s="24" t="n">
        <x:v>5551.675</x:v>
      </x:c>
      <x:c r="H109" s="25" t="n">
        <x:v>0.00559175801205769</x:v>
      </x:c>
      <x:c r="I109" s="24" t="n">
        <x:f>ROUND(E109-F109,1)</x:f>
        <x:v>50</x:v>
      </x:c>
      <x:c r="J109" s="23" t="str">
        <x:v>中证1000</x:v>
      </x:c>
    </x:row>
    <x:row r="110">
      <x:c r="A110" s="23" t="n">
        <x:v>8</x:v>
      </x:c>
      <x:c r="B110" s="23" t="str">
        <x:v>周三</x:v>
      </x:c>
      <x:c r="C110" s="23" t="str">
        <x:v>5月15日</x:v>
      </x:c>
      <x:c r="D110" s="24" t="n">
        <x:v>5541.809</x:v>
      </x:c>
      <x:c r="E110" s="24" t="n">
        <x:v>5551.263</x:v>
      </x:c>
      <x:c r="F110" s="24" t="n">
        <x:v>5491.523</x:v>
      </x:c>
      <x:c r="G110" s="24" t="n">
        <x:v>5497.235</x:v>
      </x:c>
      <x:c r="H110" s="25" t="n">
        <x:v>-0.009806049525593719</x:v>
      </x:c>
      <x:c r="I110" s="24" t="n">
        <x:f>ROUND(E110-F110,1)</x:f>
        <x:v>59.7</x:v>
      </x:c>
      <x:c r="J110" s="23" t="str">
        <x:v>中证1000</x:v>
      </x:c>
    </x:row>
    <x:row r="111">
      <x:c r="A111" s="23" t="n">
        <x:v>9</x:v>
      </x:c>
      <x:c r="B111" s="23" t="str">
        <x:v>周四</x:v>
      </x:c>
      <x:c r="C111" s="23" t="str">
        <x:v>5月16日</x:v>
      </x:c>
      <x:c r="D111" s="24" t="n">
        <x:v>5508.95</x:v>
      </x:c>
      <x:c r="E111" s="24" t="n">
        <x:v>5539.919</x:v>
      </x:c>
      <x:c r="F111" s="24" t="n">
        <x:v>5474.281</x:v>
      </x:c>
      <x:c r="G111" s="24" t="n">
        <x:v>5488.946</x:v>
      </x:c>
      <x:c r="H111" s="25" t="n">
        <x:v>-0.0015078489458790756</x:v>
      </x:c>
      <x:c r="I111" s="24" t="n">
        <x:f>ROUND(E111-F111,1)</x:f>
        <x:v>65.6</x:v>
      </x:c>
      <x:c r="J111" s="23" t="str">
        <x:v>中证1000</x:v>
      </x:c>
    </x:row>
    <x:row r="112">
      <x:c r="A112" s="29" t="n">
        <x:v>10</x:v>
      </x:c>
      <x:c r="B112" s="29" t="str">
        <x:v>周五</x:v>
      </x:c>
      <x:c r="C112" s="29" t="str">
        <x:v>5月17日</x:v>
      </x:c>
      <x:c r="D112" s="30" t="n">
        <x:v>5489.416</x:v>
      </x:c>
      <x:c r="E112" s="30" t="n">
        <x:v>5564.063</x:v>
      </x:c>
      <x:c r="F112" s="30" t="n">
        <x:v>5478.297</x:v>
      </x:c>
      <x:c r="G112" s="30" t="n">
        <x:v>5563.231</x:v>
      </x:c>
      <x:c r="H112" s="31" t="n">
        <x:v>0.013533563638629342</x:v>
      </x:c>
      <x:c r="I112" s="30" t="n">
        <x:f>ROUND(E112-F112,1)</x:f>
        <x:v>85.8</x:v>
      </x:c>
      <x:c r="J112" s="29" t="str">
        <x:v>中证1000</x:v>
      </x:c>
    </x:row>
    <x:row r="113">
      <x:c r="A113" s="23" t="n">
        <x:v>11</x:v>
      </x:c>
      <x:c r="B113" s="23" t="str">
        <x:v>周一</x:v>
      </x:c>
      <x:c r="C113" s="23" t="str">
        <x:v>5月20日</x:v>
      </x:c>
      <x:c r="D113" s="24" t="n">
        <x:v>5563.654</x:v>
      </x:c>
      <x:c r="E113" s="24" t="n">
        <x:v>5612.346</x:v>
      </x:c>
      <x:c r="F113" s="24" t="n">
        <x:v>5548.903</x:v>
      </x:c>
      <x:c r="G113" s="24" t="n">
        <x:v>5596.777</x:v>
      </x:c>
      <x:c r="H113" s="25" t="n">
        <x:v>0.006029949142863256</x:v>
      </x:c>
      <x:c r="I113" s="24" t="n">
        <x:f>ROUND(E113-F113,1)</x:f>
        <x:v>63.4</x:v>
      </x:c>
      <x:c r="J113" s="23" t="str">
        <x:v>中证1000</x:v>
      </x:c>
    </x:row>
    <x:row r="114">
      <x:c r="A114" s="23" t="n">
        <x:v>12</x:v>
      </x:c>
      <x:c r="B114" s="23" t="str">
        <x:v>周二</x:v>
      </x:c>
      <x:c r="C114" s="23" t="str">
        <x:v>5月21日</x:v>
      </x:c>
      <x:c r="D114" s="24" t="n">
        <x:v>5586.009</x:v>
      </x:c>
      <x:c r="E114" s="24" t="n">
        <x:v>5586.009</x:v>
      </x:c>
      <x:c r="F114" s="24" t="n">
        <x:v>5517.39</x:v>
      </x:c>
      <x:c r="G114" s="24" t="n">
        <x:v>5536.745</x:v>
      </x:c>
      <x:c r="H114" s="25" t="n">
        <x:v>-0.010726173295809383</x:v>
      </x:c>
      <x:c r="I114" s="24" t="n">
        <x:f>ROUND(E114-F114,1)</x:f>
        <x:v>68.6</x:v>
      </x:c>
      <x:c r="J114" s="23" t="str">
        <x:v>中证1000</x:v>
      </x:c>
    </x:row>
    <x:row r="115">
      <x:c r="A115" s="23" t="n">
        <x:v>13</x:v>
      </x:c>
      <x:c r="B115" s="23" t="str">
        <x:v>周三</x:v>
      </x:c>
      <x:c r="C115" s="23" t="str">
        <x:v>5月22日</x:v>
      </x:c>
      <x:c r="D115" s="24" t="n">
        <x:v>5532.843</x:v>
      </x:c>
      <x:c r="E115" s="24" t="n">
        <x:v>5553.697</x:v>
      </x:c>
      <x:c r="F115" s="24" t="n">
        <x:v>5508.758</x:v>
      </x:c>
      <x:c r="G115" s="24" t="n">
        <x:v>5539.66</x:v>
      </x:c>
      <x:c r="H115" s="25" t="n">
        <x:v>0.0005264826174946613</x:v>
      </x:c>
      <x:c r="I115" s="24" t="n">
        <x:f>ROUND(E115-F115,1)</x:f>
        <x:v>44.9</x:v>
      </x:c>
      <x:c r="J115" s="23" t="str">
        <x:v>中证1000</x:v>
      </x:c>
    </x:row>
    <x:row r="116">
      <x:c r="A116" s="23" t="n">
        <x:v>14</x:v>
      </x:c>
      <x:c r="B116" s="23" t="str">
        <x:v>周四</x:v>
      </x:c>
      <x:c r="C116" s="23" t="str">
        <x:v>5月23日</x:v>
      </x:c>
      <x:c r="D116" s="24" t="n">
        <x:v>5521.18</x:v>
      </x:c>
      <x:c r="E116" s="24" t="n">
        <x:v>5521.18</x:v>
      </x:c>
      <x:c r="F116" s="24" t="n">
        <x:v>5402.004</x:v>
      </x:c>
      <x:c r="G116" s="24" t="n">
        <x:v>5412.824</x:v>
      </x:c>
      <x:c r="H116" s="25" t="n">
        <x:v>-0.022895990006606914</x:v>
      </x:c>
      <x:c r="I116" s="24" t="n">
        <x:f>ROUND(E116-F116,1)</x:f>
        <x:v>119.2</x:v>
      </x:c>
      <x:c r="J116" s="23" t="str">
        <x:v>中证1000</x:v>
      </x:c>
    </x:row>
    <x:row r="117">
      <x:c r="A117" s="23" t="n">
        <x:v>15</x:v>
      </x:c>
      <x:c r="B117" s="23" t="str">
        <x:v>周五</x:v>
      </x:c>
      <x:c r="C117" s="23" t="str">
        <x:v>5月24日</x:v>
      </x:c>
      <x:c r="D117" s="24" t="n">
        <x:v>5401.583</x:v>
      </x:c>
      <x:c r="E117" s="24" t="n">
        <x:v>5436.813</x:v>
      </x:c>
      <x:c r="F117" s="24" t="n">
        <x:v>5350.106</x:v>
      </x:c>
      <x:c r="G117" s="24" t="n">
        <x:v>5350.107</x:v>
      </x:c>
      <x:c r="H117" s="25" t="n">
        <x:v>-0.011586742890587143</x:v>
      </x:c>
      <x:c r="I117" s="24" t="n">
        <x:f>ROUND(E117-F117,1)</x:f>
        <x:v>86.7</x:v>
      </x:c>
      <x:c r="J117" s="23" t="str">
        <x:v>中证1000</x:v>
      </x:c>
    </x:row>
    <x:row r="118">
      <x:c r="A118" s="23" t="n">
        <x:v>16</x:v>
      </x:c>
      <x:c r="B118" s="23" t="str">
        <x:v>周一</x:v>
      </x:c>
      <x:c r="C118" s="23" t="str">
        <x:v>5月27日</x:v>
      </x:c>
      <x:c r="D118" s="24" t="n">
        <x:v>5358.076</x:v>
      </x:c>
      <x:c r="E118" s="24" t="n">
        <x:v>5404.616</x:v>
      </x:c>
      <x:c r="F118" s="24" t="n">
        <x:v>5295.088</x:v>
      </x:c>
      <x:c r="G118" s="24" t="n">
        <x:v>5404.616</x:v>
      </x:c>
      <x:c r="H118" s="25" t="n">
        <x:v>0.010188394362953934</x:v>
      </x:c>
      <x:c r="I118" s="24" t="n">
        <x:f>ROUND(E118-F118,1)</x:f>
        <x:v>109.5</x:v>
      </x:c>
      <x:c r="J118" s="23" t="str">
        <x:v>中证1000</x:v>
      </x:c>
    </x:row>
    <x:row r="119">
      <x:c r="A119" s="23" t="n">
        <x:v>17</x:v>
      </x:c>
      <x:c r="B119" s="23" t="str">
        <x:v>周二</x:v>
      </x:c>
      <x:c r="C119" s="23" t="str">
        <x:v>5月28日</x:v>
      </x:c>
      <x:c r="D119" s="24" t="n">
        <x:v>5390.405</x:v>
      </x:c>
      <x:c r="E119" s="24" t="n">
        <x:v>5414.978</x:v>
      </x:c>
      <x:c r="F119" s="24" t="n">
        <x:v>5343.83</x:v>
      </x:c>
      <x:c r="G119" s="24" t="n">
        <x:v>5348.029</x:v>
      </x:c>
      <x:c r="H119" s="25" t="n">
        <x:v>-0.010470124056917163</x:v>
      </x:c>
      <x:c r="I119" s="24" t="n">
        <x:f>ROUND(E119-F119,1)</x:f>
        <x:v>71.1</x:v>
      </x:c>
      <x:c r="J119" s="23" t="str">
        <x:v>中证1000</x:v>
      </x:c>
    </x:row>
    <x:row r="120">
      <x:c r="A120" s="23" t="n">
        <x:v>18</x:v>
      </x:c>
      <x:c r="B120" s="23" t="str">
        <x:v>周三</x:v>
      </x:c>
      <x:c r="C120" s="23" t="str">
        <x:v>5月29日</x:v>
      </x:c>
      <x:c r="D120" s="24" t="n">
        <x:v>5336.697</x:v>
      </x:c>
      <x:c r="E120" s="24" t="n">
        <x:v>5386.783</x:v>
      </x:c>
      <x:c r="F120" s="24" t="n">
        <x:v>5324.687</x:v>
      </x:c>
      <x:c r="G120" s="24" t="n">
        <x:v>5351.252</x:v>
      </x:c>
      <x:c r="H120" s="25" t="n">
        <x:v>0.0006026519302719802</x:v>
      </x:c>
      <x:c r="I120" s="24" t="n">
        <x:f>ROUND(E120-F120,1)</x:f>
        <x:v>62.1</x:v>
      </x:c>
      <x:c r="J120" s="23" t="str">
        <x:v>中证1000</x:v>
      </x:c>
    </x:row>
    <x:row r="121">
      <x:c r="A121" s="23" t="n">
        <x:v>19</x:v>
      </x:c>
      <x:c r="B121" s="23" t="str">
        <x:v>周四</x:v>
      </x:c>
      <x:c r="C121" s="23" t="str">
        <x:v>5月30日</x:v>
      </x:c>
      <x:c r="D121" s="24" t="n">
        <x:v>5334.797</x:v>
      </x:c>
      <x:c r="E121" s="24" t="n">
        <x:v>5371.807</x:v>
      </x:c>
      <x:c r="F121" s="24" t="n">
        <x:v>5311.439</x:v>
      </x:c>
      <x:c r="G121" s="24" t="n">
        <x:v>5334.296</x:v>
      </x:c>
      <x:c r="H121" s="25" t="n">
        <x:v>-0.0031686042817643534</x:v>
      </x:c>
      <x:c r="I121" s="24" t="n">
        <x:f>ROUND(E121-F121,1)</x:f>
        <x:v>60.4</x:v>
      </x:c>
      <x:c r="J121" s="23" t="str">
        <x:v>中证1000</x:v>
      </x:c>
    </x:row>
    <x:row r="122">
      <x:c r="A122" s="23" t="n">
        <x:v>20</x:v>
      </x:c>
      <x:c r="B122" s="23" t="str">
        <x:v>周五</x:v>
      </x:c>
      <x:c r="C122" s="23" t="str">
        <x:v>5月31日</x:v>
      </x:c>
      <x:c r="D122" s="24" t="n">
        <x:v>5334.099</x:v>
      </x:c>
      <x:c r="E122" s="24" t="n">
        <x:v>5381.716</x:v>
      </x:c>
      <x:c r="F122" s="24" t="n">
        <x:v>5334.099</x:v>
      </x:c>
      <x:c r="G122" s="24" t="n">
        <x:v>5355.21</x:v>
      </x:c>
      <x:c r="H122" s="25" t="n">
        <x:v>0.003920667319548876</x:v>
      </x:c>
      <x:c r="I122" s="24" t="n">
        <x:f>ROUND(E122-F122,1)</x:f>
        <x:v>47.6</x:v>
      </x:c>
      <x:c r="J122" s="23" t="str">
        <x:v>中证1000</x:v>
      </x:c>
    </x:row>
    <x:row r="123">
      <x:c r="A123" s="36" t="str">
        <x:v>合计</x:v>
      </x:c>
      <x:c r="B123" s="35" t="n">
        <x:v>20</x:v>
      </x:c>
      <x:c r="C123" s="35"/>
      <x:c r="D123" s="35"/>
      <x:c r="E123" s="35"/>
      <x:c r="F123" s="35"/>
      <x:c r="G123" s="35"/>
      <x:c r="H123" s="35"/>
      <x:c r="I123" s="37" t="n">
        <x:f>ROUND(SUM(I103:I122),1)</x:f>
        <x:v>1435.7</x:v>
      </x:c>
      <x:c r="J123" s="35"/>
    </x:row>
    <x:row r="124">
      <x:c r="A124" s="36" t="str">
        <x:v>均值</x:v>
      </x:c>
      <x:c r="B124" s="35"/>
      <x:c r="C124" s="35"/>
      <x:c r="D124" s="35"/>
      <x:c r="E124" s="35"/>
      <x:c r="F124" s="35"/>
      <x:c r="G124" s="35"/>
      <x:c r="H124" s="35"/>
      <x:c r="I124" s="39" t="n">
        <x:f>ROUND(IFERROR(AVERAGE(I103:I122),0),1)</x:f>
        <x:v>71.8</x:v>
      </x:c>
      <x:c r="J124" s="35"/>
    </x:row>
    <x:row r="126">
      <x:c r="A126" s="17" t="str">
        <x:v>6月</x:v>
      </x:c>
      <x:c r="B126" s="17"/>
      <x:c r="C126" s="17"/>
      <x:c r="D126" s="17"/>
      <x:c r="E126" s="17"/>
      <x:c r="F126" s="17"/>
      <x:c r="G126" s="17"/>
      <x:c r="H126" s="17"/>
      <x:c r="I126" s="17"/>
      <x:c r="J126" s="17"/>
    </x:row>
    <x:row r="127">
      <x:c r="A127" s="20" t="str">
        <x:v>序号</x:v>
      </x:c>
      <x:c r="B127" s="20" t="str">
        <x:v>星期</x:v>
      </x:c>
      <x:c r="C127" s="20" t="str">
        <x:v>日期</x:v>
      </x:c>
      <x:c r="D127" s="20" t="str">
        <x:v>开盘</x:v>
      </x:c>
      <x:c r="E127" s="20" t="str">
        <x:v>高点</x:v>
      </x:c>
      <x:c r="F127" s="20" t="str">
        <x:v>低点</x:v>
      </x:c>
      <x:c r="G127" s="20" t="str">
        <x:v>收盘</x:v>
      </x:c>
      <x:c r="H127" s="20" t="str">
        <x:v>涨幅</x:v>
      </x:c>
      <x:c r="I127" s="20" t="str">
        <x:v>振幅</x:v>
      </x:c>
      <x:c r="J127" s="20" t="str">
        <x:v>标的</x:v>
      </x:c>
    </x:row>
    <x:row r="128">
      <x:c r="A128" s="23" t="n">
        <x:v>1</x:v>
      </x:c>
      <x:c r="B128" s="23" t="str">
        <x:v>周一</x:v>
      </x:c>
      <x:c r="C128" s="23" t="str">
        <x:v>6月3日</x:v>
      </x:c>
      <x:c r="D128" s="24" t="n">
        <x:v>5350.643</x:v>
      </x:c>
      <x:c r="E128" s="24" t="n">
        <x:v>5351.252</x:v>
      </x:c>
      <x:c r="F128" s="24" t="n">
        <x:v>5246.169</x:v>
      </x:c>
      <x:c r="G128" s="24" t="n">
        <x:v>5284.624</x:v>
      </x:c>
      <x:c r="H128" s="25" t="n">
        <x:v>-0.013180808969209479</x:v>
      </x:c>
      <x:c r="I128" s="24" t="n">
        <x:f>ROUND(E128-F128,1)</x:f>
        <x:v>105.1</x:v>
      </x:c>
      <x:c r="J128" s="23" t="str">
        <x:v>中证1000</x:v>
      </x:c>
    </x:row>
    <x:row r="129">
      <x:c r="A129" s="23" t="n">
        <x:v>2</x:v>
      </x:c>
      <x:c r="B129" s="23" t="str">
        <x:v>周二</x:v>
      </x:c>
      <x:c r="C129" s="23" t="str">
        <x:v>6月4日</x:v>
      </x:c>
      <x:c r="D129" s="24" t="n">
        <x:v>5267.362</x:v>
      </x:c>
      <x:c r="E129" s="24" t="n">
        <x:v>5319.709</x:v>
      </x:c>
      <x:c r="F129" s="24" t="n">
        <x:v>5229.676</x:v>
      </x:c>
      <x:c r="G129" s="24" t="n">
        <x:v>5313.708</x:v>
      </x:c>
      <x:c r="H129" s="25" t="n">
        <x:v>0.005503513589613984</x:v>
      </x:c>
      <x:c r="I129" s="24" t="n">
        <x:f>ROUND(E129-F129,1)</x:f>
        <x:v>90</x:v>
      </x:c>
      <x:c r="J129" s="23" t="str">
        <x:v>中证1000</x:v>
      </x:c>
    </x:row>
    <x:row r="130">
      <x:c r="A130" s="23" t="n">
        <x:v>3</x:v>
      </x:c>
      <x:c r="B130" s="23" t="str">
        <x:v>周三</x:v>
      </x:c>
      <x:c r="C130" s="23" t="str">
        <x:v>6月5日</x:v>
      </x:c>
      <x:c r="D130" s="24" t="n">
        <x:v>5294.301</x:v>
      </x:c>
      <x:c r="E130" s="24" t="n">
        <x:v>5330.804</x:v>
      </x:c>
      <x:c r="F130" s="24" t="n">
        <x:v>5244.085</x:v>
      </x:c>
      <x:c r="G130" s="24" t="n">
        <x:v>5244.085</x:v>
      </x:c>
      <x:c r="H130" s="25" t="n">
        <x:v>-0.013102526521969193</x:v>
      </x:c>
      <x:c r="I130" s="24" t="n">
        <x:f>ROUND(E130-F130,1)</x:f>
        <x:v>86.7</x:v>
      </x:c>
      <x:c r="J130" s="23" t="str">
        <x:v>中证1000</x:v>
      </x:c>
    </x:row>
    <x:row r="131">
      <x:c r="A131" s="23" t="n">
        <x:v>4</x:v>
      </x:c>
      <x:c r="B131" s="23" t="str">
        <x:v>周四</x:v>
      </x:c>
      <x:c r="C131" s="23" t="str">
        <x:v>6月6日</x:v>
      </x:c>
      <x:c r="D131" s="24" t="n">
        <x:v>5249.95</x:v>
      </x:c>
      <x:c r="E131" s="24" t="n">
        <x:v>5275.886</x:v>
      </x:c>
      <x:c r="F131" s="24" t="n">
        <x:v>5113.214</x:v>
      </x:c>
      <x:c r="G131" s="24" t="n">
        <x:v>5130.869</x:v>
      </x:c>
      <x:c r="H131" s="25" t="n">
        <x:v>-0.021589276298915938</x:v>
      </x:c>
      <x:c r="I131" s="24" t="n">
        <x:f>ROUND(E131-F131,1)</x:f>
        <x:v>162.7</x:v>
      </x:c>
      <x:c r="J131" s="23" t="str">
        <x:v>中证1000</x:v>
      </x:c>
    </x:row>
    <x:row r="132">
      <x:c r="A132" s="23" t="n">
        <x:v>5</x:v>
      </x:c>
      <x:c r="B132" s="23" t="str">
        <x:v>周五</x:v>
      </x:c>
      <x:c r="C132" s="23" t="str">
        <x:v>6月7日</x:v>
      </x:c>
      <x:c r="D132" s="24" t="n">
        <x:v>5159.173</x:v>
      </x:c>
      <x:c r="E132" s="24" t="n">
        <x:v>5189.995</x:v>
      </x:c>
      <x:c r="F132" s="24" t="n">
        <x:v>5096.084</x:v>
      </x:c>
      <x:c r="G132" s="24" t="n">
        <x:v>5153.587</x:v>
      </x:c>
      <x:c r="H132" s="25" t="n">
        <x:v>0.004427710003900076</x:v>
      </x:c>
      <x:c r="I132" s="24" t="n">
        <x:f>ROUND(E132-F132,1)</x:f>
        <x:v>93.9</x:v>
      </x:c>
      <x:c r="J132" s="23" t="str">
        <x:v>中证1000</x:v>
      </x:c>
    </x:row>
    <x:row r="133">
      <x:c r="A133" s="23" t="n">
        <x:v>6</x:v>
      </x:c>
      <x:c r="B133" s="23" t="str">
        <x:v>周二</x:v>
      </x:c>
      <x:c r="C133" s="23" t="str">
        <x:v>6月11日</x:v>
      </x:c>
      <x:c r="D133" s="24" t="n">
        <x:v>5132.218</x:v>
      </x:c>
      <x:c r="E133" s="24" t="n">
        <x:v>5208.179</x:v>
      </x:c>
      <x:c r="F133" s="24" t="n">
        <x:v>5086.86</x:v>
      </x:c>
      <x:c r="G133" s="24" t="n">
        <x:v>5198.923</x:v>
      </x:c>
      <x:c r="H133" s="25" t="n">
        <x:v>0.008796979657081483</x:v>
      </x:c>
      <x:c r="I133" s="24" t="n">
        <x:f>ROUND(E133-F133,1)</x:f>
        <x:v>121.3</x:v>
      </x:c>
      <x:c r="J133" s="23" t="str">
        <x:v>中证1000</x:v>
      </x:c>
    </x:row>
    <x:row r="134">
      <x:c r="A134" s="23" t="n">
        <x:v>7</x:v>
      </x:c>
      <x:c r="B134" s="23" t="str">
        <x:v>周三</x:v>
      </x:c>
      <x:c r="C134" s="23" t="str">
        <x:v>6月12日</x:v>
      </x:c>
      <x:c r="D134" s="24" t="n">
        <x:v>5188.358</x:v>
      </x:c>
      <x:c r="E134" s="24" t="n">
        <x:v>5231.469</x:v>
      </x:c>
      <x:c r="F134" s="24" t="n">
        <x:v>5186.607</x:v>
      </x:c>
      <x:c r="G134" s="24" t="n">
        <x:v>5216.462</x:v>
      </x:c>
      <x:c r="H134" s="25" t="n">
        <x:v>0.0033735833363950363</x:v>
      </x:c>
      <x:c r="I134" s="24" t="n">
        <x:f>ROUND(E134-F134,1)</x:f>
        <x:v>44.9</x:v>
      </x:c>
      <x:c r="J134" s="23" t="str">
        <x:v>中证1000</x:v>
      </x:c>
    </x:row>
    <x:row r="135">
      <x:c r="A135" s="23" t="n">
        <x:v>8</x:v>
      </x:c>
      <x:c r="B135" s="23" t="str">
        <x:v>周四</x:v>
      </x:c>
      <x:c r="C135" s="23" t="str">
        <x:v>6月13日</x:v>
      </x:c>
      <x:c r="D135" s="24" t="n">
        <x:v>5214.412</x:v>
      </x:c>
      <x:c r="E135" s="24" t="n">
        <x:v>5219.708</x:v>
      </x:c>
      <x:c r="F135" s="24" t="n">
        <x:v>5170.166</x:v>
      </x:c>
      <x:c r="G135" s="24" t="n">
        <x:v>5180.236</x:v>
      </x:c>
      <x:c r="H135" s="25" t="n">
        <x:v>-0.006944553607406867</x:v>
      </x:c>
      <x:c r="I135" s="24" t="n">
        <x:f>ROUND(E135-F135,1)</x:f>
        <x:v>49.5</x:v>
      </x:c>
      <x:c r="J135" s="23" t="str">
        <x:v>中证1000</x:v>
      </x:c>
    </x:row>
    <x:row r="136">
      <x:c r="A136" s="23" t="n">
        <x:v>9</x:v>
      </x:c>
      <x:c r="B136" s="23" t="str">
        <x:v>周五</x:v>
      </x:c>
      <x:c r="C136" s="23" t="str">
        <x:v>6月14日</x:v>
      </x:c>
      <x:c r="D136" s="24" t="n">
        <x:v>5164.872</x:v>
      </x:c>
      <x:c r="E136" s="24" t="n">
        <x:v>5190.712</x:v>
      </x:c>
      <x:c r="F136" s="24" t="n">
        <x:v>5138.358</x:v>
      </x:c>
      <x:c r="G136" s="24" t="n">
        <x:v>5180.651</x:v>
      </x:c>
      <x:c r="H136" s="25" t="n">
        <x:v>0.00008011218021719557</x:v>
      </x:c>
      <x:c r="I136" s="24" t="n">
        <x:f>ROUND(E136-F136,1)</x:f>
        <x:v>52.4</x:v>
      </x:c>
      <x:c r="J136" s="23" t="str">
        <x:v>中证1000</x:v>
      </x:c>
    </x:row>
    <x:row r="137">
      <x:c r="A137" s="23" t="n">
        <x:v>10</x:v>
      </x:c>
      <x:c r="B137" s="23" t="str">
        <x:v>周一</x:v>
      </x:c>
      <x:c r="C137" s="23" t="str">
        <x:v>6月17日</x:v>
      </x:c>
      <x:c r="D137" s="24" t="n">
        <x:v>5158.98</x:v>
      </x:c>
      <x:c r="E137" s="24" t="n">
        <x:v>5211.39</x:v>
      </x:c>
      <x:c r="F137" s="24" t="n">
        <x:v>5151.277</x:v>
      </x:c>
      <x:c r="G137" s="24" t="n">
        <x:v>5183.968</x:v>
      </x:c>
      <x:c r="H137" s="25" t="n">
        <x:v>0.0006402670243566</x:v>
      </x:c>
      <x:c r="I137" s="24" t="n">
        <x:f>ROUND(E137-F137,1)</x:f>
        <x:v>60.1</x:v>
      </x:c>
      <x:c r="J137" s="23" t="str">
        <x:v>中证1000</x:v>
      </x:c>
    </x:row>
    <x:row r="138">
      <x:c r="A138" s="23" t="n">
        <x:v>11</x:v>
      </x:c>
      <x:c r="B138" s="23" t="str">
        <x:v>周二</x:v>
      </x:c>
      <x:c r="C138" s="23" t="str">
        <x:v>6月18日</x:v>
      </x:c>
      <x:c r="D138" s="24" t="n">
        <x:v>5183.271</x:v>
      </x:c>
      <x:c r="E138" s="24" t="n">
        <x:v>5237.819</x:v>
      </x:c>
      <x:c r="F138" s="24" t="n">
        <x:v>5177.277</x:v>
      </x:c>
      <x:c r="G138" s="24" t="n">
        <x:v>5227.254</x:v>
      </x:c>
      <x:c r="H138" s="25" t="n">
        <x:v>0.008349974382557912</x:v>
      </x:c>
      <x:c r="I138" s="24" t="n">
        <x:f>ROUND(E138-F138,1)</x:f>
        <x:v>60.5</x:v>
      </x:c>
      <x:c r="J138" s="23" t="str">
        <x:v>中证1000</x:v>
      </x:c>
    </x:row>
    <x:row r="139">
      <x:c r="A139" s="23" t="n">
        <x:v>12</x:v>
      </x:c>
      <x:c r="B139" s="23" t="str">
        <x:v>周三</x:v>
      </x:c>
      <x:c r="C139" s="23" t="str">
        <x:v>6月19日</x:v>
      </x:c>
      <x:c r="D139" s="24" t="n">
        <x:v>5230.488</x:v>
      </x:c>
      <x:c r="E139" s="24" t="n">
        <x:v>5241.967</x:v>
      </x:c>
      <x:c r="F139" s="24" t="n">
        <x:v>5159.995</x:v>
      </x:c>
      <x:c r="G139" s="24" t="n">
        <x:v>5159.995</x:v>
      </x:c>
      <x:c r="H139" s="25" t="n">
        <x:v>-0.012866985227807937</x:v>
      </x:c>
      <x:c r="I139" s="24" t="n">
        <x:f>ROUND(E139-F139,1)</x:f>
        <x:v>82</x:v>
      </x:c>
      <x:c r="J139" s="23" t="str">
        <x:v>中证1000</x:v>
      </x:c>
    </x:row>
    <x:row r="140">
      <x:c r="A140" s="23" t="n">
        <x:v>13</x:v>
      </x:c>
      <x:c r="B140" s="23" t="str">
        <x:v>周四</x:v>
      </x:c>
      <x:c r="C140" s="23" t="str">
        <x:v>6月20日</x:v>
      </x:c>
      <x:c r="D140" s="24" t="n">
        <x:v>5150.796</x:v>
      </x:c>
      <x:c r="E140" s="24" t="n">
        <x:v>5174.875</x:v>
      </x:c>
      <x:c r="F140" s="24" t="n">
        <x:v>5052.885</x:v>
      </x:c>
      <x:c r="G140" s="24" t="n">
        <x:v>5056.138</x:v>
      </x:c>
      <x:c r="H140" s="25" t="n">
        <x:v>-0.02012734508463665</x:v>
      </x:c>
      <x:c r="I140" s="24" t="n">
        <x:f>ROUND(E140-F140,1)</x:f>
        <x:v>122</x:v>
      </x:c>
      <x:c r="J140" s="23" t="str">
        <x:v>中证1000</x:v>
      </x:c>
    </x:row>
    <x:row r="141">
      <x:c r="A141" s="29" t="n">
        <x:v>14</x:v>
      </x:c>
      <x:c r="B141" s="29" t="str">
        <x:v>周五</x:v>
      </x:c>
      <x:c r="C141" s="29" t="str">
        <x:v>6月21日</x:v>
      </x:c>
      <x:c r="D141" s="30" t="n">
        <x:v>5040.629</x:v>
      </x:c>
      <x:c r="E141" s="30" t="n">
        <x:v>5090.57</x:v>
      </x:c>
      <x:c r="F141" s="30" t="n">
        <x:v>5014.479</x:v>
      </x:c>
      <x:c r="G141" s="30" t="n">
        <x:v>5055.333</x:v>
      </x:c>
      <x:c r="H141" s="31" t="n">
        <x:v>-0.00015921242655958512</x:v>
      </x:c>
      <x:c r="I141" s="30" t="n">
        <x:f>ROUND(E141-F141,1)</x:f>
        <x:v>76.1</x:v>
      </x:c>
      <x:c r="J141" s="29" t="str">
        <x:v>中证1000</x:v>
      </x:c>
    </x:row>
    <x:row r="142">
      <x:c r="A142" s="23" t="n">
        <x:v>15</x:v>
      </x:c>
      <x:c r="B142" s="23" t="str">
        <x:v>周一</x:v>
      </x:c>
      <x:c r="C142" s="23" t="str">
        <x:v>6月24日</x:v>
      </x:c>
      <x:c r="D142" s="24" t="n">
        <x:v>5025.517</x:v>
      </x:c>
      <x:c r="E142" s="24" t="n">
        <x:v>5029.731</x:v>
      </x:c>
      <x:c r="F142" s="24" t="n">
        <x:v>4884.497</x:v>
      </x:c>
      <x:c r="G142" s="24" t="n">
        <x:v>4887.777</x:v>
      </x:c>
      <x:c r="H142" s="25" t="n">
        <x:v>-0.033144404137175454</x:v>
      </x:c>
      <x:c r="I142" s="24" t="n">
        <x:f>ROUND(E142-F142,1)</x:f>
        <x:v>145.2</x:v>
      </x:c>
      <x:c r="J142" s="23" t="str">
        <x:v>中证1000</x:v>
      </x:c>
    </x:row>
    <x:row r="143">
      <x:c r="A143" s="23" t="n">
        <x:v>16</x:v>
      </x:c>
      <x:c r="B143" s="23" t="str">
        <x:v>周二</x:v>
      </x:c>
      <x:c r="C143" s="23" t="str">
        <x:v>6月25日</x:v>
      </x:c>
      <x:c r="D143" s="24" t="n">
        <x:v>4885.89</x:v>
      </x:c>
      <x:c r="E143" s="24" t="n">
        <x:v>4907.955</x:v>
      </x:c>
      <x:c r="F143" s="24" t="n">
        <x:v>4814.68</x:v>
      </x:c>
      <x:c r="G143" s="24" t="n">
        <x:v>4847.611</x:v>
      </x:c>
      <x:c r="H143" s="25" t="n">
        <x:v>-0.008217641680461352</x:v>
      </x:c>
      <x:c r="I143" s="24" t="n">
        <x:f>ROUND(E143-F143,1)</x:f>
        <x:v>93.3</x:v>
      </x:c>
      <x:c r="J143" s="23" t="str">
        <x:v>中证1000</x:v>
      </x:c>
    </x:row>
    <x:row r="144">
      <x:c r="A144" s="23" t="n">
        <x:v>17</x:v>
      </x:c>
      <x:c r="B144" s="23" t="str">
        <x:v>周三</x:v>
      </x:c>
      <x:c r="C144" s="23" t="str">
        <x:v>6月26日</x:v>
      </x:c>
      <x:c r="D144" s="24" t="n">
        <x:v>4842.004</x:v>
      </x:c>
      <x:c r="E144" s="24" t="n">
        <x:v>4988.308</x:v>
      </x:c>
      <x:c r="F144" s="24" t="n">
        <x:v>4812.1</x:v>
      </x:c>
      <x:c r="G144" s="24" t="n">
        <x:v>4986.384</x:v>
      </x:c>
      <x:c r="H144" s="25" t="n">
        <x:v>0.02862709074634906</x:v>
      </x:c>
      <x:c r="I144" s="24" t="n">
        <x:f>ROUND(E144-F144,1)</x:f>
        <x:v>176.2</x:v>
      </x:c>
      <x:c r="J144" s="23" t="str">
        <x:v>中证1000</x:v>
      </x:c>
    </x:row>
    <x:row r="145">
      <x:c r="A145" s="23" t="n">
        <x:v>18</x:v>
      </x:c>
      <x:c r="B145" s="23" t="str">
        <x:v>周四</x:v>
      </x:c>
      <x:c r="C145" s="23" t="str">
        <x:v>6月27日</x:v>
      </x:c>
      <x:c r="D145" s="24" t="n">
        <x:v>4964.659</x:v>
      </x:c>
      <x:c r="E145" s="24" t="n">
        <x:v>4969.089</x:v>
      </x:c>
      <x:c r="F145" s="24" t="n">
        <x:v>4862.634</x:v>
      </x:c>
      <x:c r="G145" s="24" t="n">
        <x:v>4864.086</x:v>
      </x:c>
      <x:c r="H145" s="25" t="n">
        <x:v>-0.024526390265972253</x:v>
      </x:c>
      <x:c r="I145" s="24" t="n">
        <x:f>ROUND(E145-F145,1)</x:f>
        <x:v>106.5</x:v>
      </x:c>
      <x:c r="J145" s="23" t="str">
        <x:v>中证1000</x:v>
      </x:c>
    </x:row>
    <x:row r="146">
      <x:c r="A146" s="23" t="n">
        <x:v>19</x:v>
      </x:c>
      <x:c r="B146" s="23" t="str">
        <x:v>周五</x:v>
      </x:c>
      <x:c r="C146" s="23" t="str">
        <x:v>6月28日</x:v>
      </x:c>
      <x:c r="D146" s="24" t="n">
        <x:v>4855.351</x:v>
      </x:c>
      <x:c r="E146" s="24" t="n">
        <x:v>4968.273</x:v>
      </x:c>
      <x:c r="F146" s="24" t="n">
        <x:v>4851.835</x:v>
      </x:c>
      <x:c r="G146" s="24" t="n">
        <x:v>4895.987</x:v>
      </x:c>
      <x:c r="H146" s="25" t="n">
        <x:v>0.006558477790072015</x:v>
      </x:c>
      <x:c r="I146" s="24" t="n">
        <x:f>ROUND(E146-F146,1)</x:f>
        <x:v>116.4</x:v>
      </x:c>
      <x:c r="J146" s="23" t="str">
        <x:v>中证1000</x:v>
      </x:c>
    </x:row>
    <x:row r="147">
      <x:c r="A147" s="36" t="str">
        <x:v>合计</x:v>
      </x:c>
      <x:c r="B147" s="35" t="n">
        <x:v>19</x:v>
      </x:c>
      <x:c r="C147" s="35"/>
      <x:c r="D147" s="35"/>
      <x:c r="E147" s="35"/>
      <x:c r="F147" s="35"/>
      <x:c r="G147" s="35"/>
      <x:c r="H147" s="35"/>
      <x:c r="I147" s="37" t="n">
        <x:f>ROUND(SUM(I128:I146),1)</x:f>
        <x:v>1844.8</x:v>
      </x:c>
      <x:c r="J147" s="35"/>
    </x:row>
    <x:row r="148">
      <x:c r="A148" s="36" t="str">
        <x:v>均值</x:v>
      </x:c>
      <x:c r="B148" s="35"/>
      <x:c r="C148" s="35"/>
      <x:c r="D148" s="35"/>
      <x:c r="E148" s="35"/>
      <x:c r="F148" s="35"/>
      <x:c r="G148" s="35"/>
      <x:c r="H148" s="35"/>
      <x:c r="I148" s="39" t="n">
        <x:f>ROUND(IFERROR(AVERAGE(I128:I146),0),1)</x:f>
        <x:v>97.1</x:v>
      </x:c>
      <x:c r="J148" s="35"/>
    </x:row>
    <x:row r="150">
      <x:c r="A150" s="17" t="str">
        <x:v>7月</x:v>
      </x:c>
      <x:c r="B150" s="17"/>
      <x:c r="C150" s="17"/>
      <x:c r="D150" s="17"/>
      <x:c r="E150" s="17"/>
      <x:c r="F150" s="17"/>
      <x:c r="G150" s="17"/>
      <x:c r="H150" s="17"/>
      <x:c r="I150" s="17"/>
      <x:c r="J150" s="17"/>
    </x:row>
    <x:row r="151">
      <x:c r="A151" s="20" t="str">
        <x:v>序号</x:v>
      </x:c>
      <x:c r="B151" s="20" t="str">
        <x:v>星期</x:v>
      </x:c>
      <x:c r="C151" s="20" t="str">
        <x:v>日期</x:v>
      </x:c>
      <x:c r="D151" s="20" t="str">
        <x:v>开盘</x:v>
      </x:c>
      <x:c r="E151" s="20" t="str">
        <x:v>高点</x:v>
      </x:c>
      <x:c r="F151" s="20" t="str">
        <x:v>低点</x:v>
      </x:c>
      <x:c r="G151" s="20" t="str">
        <x:v>收盘</x:v>
      </x:c>
      <x:c r="H151" s="20" t="str">
        <x:v>涨幅</x:v>
      </x:c>
      <x:c r="I151" s="20" t="str">
        <x:v>振幅</x:v>
      </x:c>
      <x:c r="J151" s="20" t="str">
        <x:v>标的</x:v>
      </x:c>
    </x:row>
    <x:row r="152">
      <x:c r="A152" s="23" t="n">
        <x:v>1</x:v>
      </x:c>
      <x:c r="B152" s="23" t="str">
        <x:v>周一</x:v>
      </x:c>
      <x:c r="C152" s="23" t="str">
        <x:v>7月1日</x:v>
      </x:c>
      <x:c r="D152" s="24" t="n">
        <x:v>4894.559</x:v>
      </x:c>
      <x:c r="E152" s="24" t="n">
        <x:v>4954.175</x:v>
      </x:c>
      <x:c r="F152" s="24" t="n">
        <x:v>4839.745</x:v>
      </x:c>
      <x:c r="G152" s="24" t="n">
        <x:v>4940.247</x:v>
      </x:c>
      <x:c r="H152" s="25" t="n">
        <x:v>0.009040056683156994</x:v>
      </x:c>
      <x:c r="I152" s="24" t="n">
        <x:f>ROUND(E152-F152,1)</x:f>
        <x:v>114.4</x:v>
      </x:c>
      <x:c r="J152" s="23" t="str">
        <x:v>中证1000</x:v>
      </x:c>
    </x:row>
    <x:row r="153">
      <x:c r="A153" s="23" t="n">
        <x:v>2</x:v>
      </x:c>
      <x:c r="B153" s="23" t="str">
        <x:v>周二</x:v>
      </x:c>
      <x:c r="C153" s="23" t="str">
        <x:v>7月2日</x:v>
      </x:c>
      <x:c r="D153" s="24" t="n">
        <x:v>4940.7</x:v>
      </x:c>
      <x:c r="E153" s="24" t="n">
        <x:v>4951.197</x:v>
      </x:c>
      <x:c r="F153" s="24" t="n">
        <x:v>4886.702</x:v>
      </x:c>
      <x:c r="G153" s="24" t="n">
        <x:v>4905.65</x:v>
      </x:c>
      <x:c r="H153" s="25" t="n">
        <x:v>-0.007003091140989626</x:v>
      </x:c>
      <x:c r="I153" s="24" t="n">
        <x:f>ROUND(E153-F153,1)</x:f>
        <x:v>64.5</x:v>
      </x:c>
      <x:c r="J153" s="23" t="str">
        <x:v>中证1000</x:v>
      </x:c>
    </x:row>
    <x:row r="154">
      <x:c r="A154" s="23" t="n">
        <x:v>3</x:v>
      </x:c>
      <x:c r="B154" s="23" t="str">
        <x:v>周三</x:v>
      </x:c>
      <x:c r="C154" s="23" t="str">
        <x:v>7月3日</x:v>
      </x:c>
      <x:c r="D154" s="24" t="n">
        <x:v>4900.667</x:v>
      </x:c>
      <x:c r="E154" s="24" t="n">
        <x:v>4906.51</x:v>
      </x:c>
      <x:c r="F154" s="24" t="n">
        <x:v>4857.775</x:v>
      </x:c>
      <x:c r="G154" s="24" t="n">
        <x:v>4867.133</x:v>
      </x:c>
      <x:c r="H154" s="25" t="n">
        <x:v>-0.00785155891675926</x:v>
      </x:c>
      <x:c r="I154" s="24" t="n">
        <x:f>ROUND(E154-F154,1)</x:f>
        <x:v>48.7</x:v>
      </x:c>
      <x:c r="J154" s="23" t="str">
        <x:v>中证1000</x:v>
      </x:c>
    </x:row>
    <x:row r="155">
      <x:c r="A155" s="23" t="n">
        <x:v>4</x:v>
      </x:c>
      <x:c r="B155" s="23" t="str">
        <x:v>周四</x:v>
      </x:c>
      <x:c r="C155" s="23" t="str">
        <x:v>7月4日</x:v>
      </x:c>
      <x:c r="D155" s="24" t="n">
        <x:v>4868.546</x:v>
      </x:c>
      <x:c r="E155" s="24" t="n">
        <x:v>4883.737</x:v>
      </x:c>
      <x:c r="F155" s="24" t="n">
        <x:v>4745.909</x:v>
      </x:c>
      <x:c r="G155" s="24" t="n">
        <x:v>4761.868</x:v>
      </x:c>
      <x:c r="H155" s="25" t="n">
        <x:v>-0.02162772211073738</x:v>
      </x:c>
      <x:c r="I155" s="24" t="n">
        <x:f>ROUND(E155-F155,1)</x:f>
        <x:v>137.8</x:v>
      </x:c>
      <x:c r="J155" s="23" t="str">
        <x:v>中证1000</x:v>
      </x:c>
    </x:row>
    <x:row r="156">
      <x:c r="A156" s="23" t="n">
        <x:v>5</x:v>
      </x:c>
      <x:c r="B156" s="23" t="str">
        <x:v>周五</x:v>
      </x:c>
      <x:c r="C156" s="23" t="str">
        <x:v>7月5日</x:v>
      </x:c>
      <x:c r="D156" s="24" t="n">
        <x:v>4753.734</x:v>
      </x:c>
      <x:c r="E156" s="24" t="n">
        <x:v>4828.843</x:v>
      </x:c>
      <x:c r="F156" s="24" t="n">
        <x:v>4711.868</x:v>
      </x:c>
      <x:c r="G156" s="24" t="n">
        <x:v>4810.794</x:v>
      </x:c>
      <x:c r="H156" s="25" t="n">
        <x:v>0.010274539319443443</x:v>
      </x:c>
      <x:c r="I156" s="24" t="n">
        <x:f>ROUND(E156-F156,1)</x:f>
        <x:v>117</x:v>
      </x:c>
      <x:c r="J156" s="23" t="str">
        <x:v>中证1000</x:v>
      </x:c>
    </x:row>
    <x:row r="157">
      <x:c r="A157" s="23" t="n">
        <x:v>6</x:v>
      </x:c>
      <x:c r="B157" s="23" t="str">
        <x:v>周一</x:v>
      </x:c>
      <x:c r="C157" s="23" t="str">
        <x:v>7月8日</x:v>
      </x:c>
      <x:c r="D157" s="24" t="n">
        <x:v>4801.489</x:v>
      </x:c>
      <x:c r="E157" s="24" t="n">
        <x:v>4801.489</x:v>
      </x:c>
      <x:c r="F157" s="24" t="n">
        <x:v>4679.285</x:v>
      </x:c>
      <x:c r="G157" s="24" t="n">
        <x:v>4693.965</x:v>
      </x:c>
      <x:c r="H157" s="25" t="n">
        <x:v>-0.024284764635525757</x:v>
      </x:c>
      <x:c r="I157" s="24" t="n">
        <x:f>ROUND(E157-F157,1)</x:f>
        <x:v>122.2</x:v>
      </x:c>
      <x:c r="J157" s="23" t="str">
        <x:v>中证1000</x:v>
      </x:c>
    </x:row>
    <x:row r="158">
      <x:c r="A158" s="23" t="n">
        <x:v>7</x:v>
      </x:c>
      <x:c r="B158" s="23" t="str">
        <x:v>周二</x:v>
      </x:c>
      <x:c r="C158" s="23" t="str">
        <x:v>7月9日</x:v>
      </x:c>
      <x:c r="D158" s="24" t="n">
        <x:v>4689.275</x:v>
      </x:c>
      <x:c r="E158" s="24" t="n">
        <x:v>4810.322</x:v>
      </x:c>
      <x:c r="F158" s="24" t="n">
        <x:v>4645.197</x:v>
      </x:c>
      <x:c r="G158" s="24" t="n">
        <x:v>4797.063</x:v>
      </x:c>
      <x:c r="H158" s="25" t="n">
        <x:v>0.021963947323850874</x:v>
      </x:c>
      <x:c r="I158" s="24" t="n">
        <x:f>ROUND(E158-F158,1)</x:f>
        <x:v>165.1</x:v>
      </x:c>
      <x:c r="J158" s="23" t="str">
        <x:v>中证1000</x:v>
      </x:c>
    </x:row>
    <x:row r="159">
      <x:c r="A159" s="23" t="n">
        <x:v>8</x:v>
      </x:c>
      <x:c r="B159" s="23" t="str">
        <x:v>周三</x:v>
      </x:c>
      <x:c r="C159" s="23" t="str">
        <x:v>7月10日</x:v>
      </x:c>
      <x:c r="D159" s="24" t="n">
        <x:v>4783.17</x:v>
      </x:c>
      <x:c r="E159" s="24" t="n">
        <x:v>4829.208</x:v>
      </x:c>
      <x:c r="F159" s="24" t="n">
        <x:v>4768.125</x:v>
      </x:c>
      <x:c r="G159" s="24" t="n">
        <x:v>4777.682</x:v>
      </x:c>
      <x:c r="H159" s="25" t="n">
        <x:v>-0.004040180418727113</x:v>
      </x:c>
      <x:c r="I159" s="24" t="n">
        <x:f>ROUND(E159-F159,1)</x:f>
        <x:v>61.1</x:v>
      </x:c>
      <x:c r="J159" s="23" t="str">
        <x:v>中证1000</x:v>
      </x:c>
    </x:row>
    <x:row r="160">
      <x:c r="A160" s="23" t="n">
        <x:v>9</x:v>
      </x:c>
      <x:c r="B160" s="23" t="str">
        <x:v>周四</x:v>
      </x:c>
      <x:c r="C160" s="23" t="str">
        <x:v>7月11日</x:v>
      </x:c>
      <x:c r="D160" s="24" t="n">
        <x:v>4846.105</x:v>
      </x:c>
      <x:c r="E160" s="24" t="n">
        <x:v>4896.146</x:v>
      </x:c>
      <x:c r="F160" s="24" t="n">
        <x:v>4821.414</x:v>
      </x:c>
      <x:c r="G160" s="24" t="n">
        <x:v>4893.594</x:v>
      </x:c>
      <x:c r="H160" s="25" t="n">
        <x:v>0.02426113751396608</x:v>
      </x:c>
      <x:c r="I160" s="24" t="n">
        <x:f>ROUND(E160-F160,1)</x:f>
        <x:v>74.7</x:v>
      </x:c>
      <x:c r="J160" s="23" t="str">
        <x:v>中证1000</x:v>
      </x:c>
    </x:row>
    <x:row r="161">
      <x:c r="A161" s="23" t="n">
        <x:v>10</x:v>
      </x:c>
      <x:c r="B161" s="23" t="str">
        <x:v>周五</x:v>
      </x:c>
      <x:c r="C161" s="23" t="str">
        <x:v>7月12日</x:v>
      </x:c>
      <x:c r="D161" s="24" t="n">
        <x:v>4884.413</x:v>
      </x:c>
      <x:c r="E161" s="24" t="n">
        <x:v>4897.169</x:v>
      </x:c>
      <x:c r="F161" s="24" t="n">
        <x:v>4858.303</x:v>
      </x:c>
      <x:c r="G161" s="24" t="n">
        <x:v>4878.02</x:v>
      </x:c>
      <x:c r="H161" s="25" t="n">
        <x:v>-0.003182528015196917</x:v>
      </x:c>
      <x:c r="I161" s="24" t="n">
        <x:f>ROUND(E161-F161,1)</x:f>
        <x:v>38.9</x:v>
      </x:c>
      <x:c r="J161" s="23" t="str">
        <x:v>中证1000</x:v>
      </x:c>
    </x:row>
    <x:row r="162">
      <x:c r="A162" s="23" t="n">
        <x:v>11</x:v>
      </x:c>
      <x:c r="B162" s="23" t="str">
        <x:v>周一</x:v>
      </x:c>
      <x:c r="C162" s="23" t="str">
        <x:v>7月15日</x:v>
      </x:c>
      <x:c r="D162" s="24" t="n">
        <x:v>4869.004</x:v>
      </x:c>
      <x:c r="E162" s="24" t="n">
        <x:v>4869.004</x:v>
      </x:c>
      <x:c r="F162" s="24" t="n">
        <x:v>4815.407</x:v>
      </x:c>
      <x:c r="G162" s="24" t="n">
        <x:v>4827.602</x:v>
      </x:c>
      <x:c r="H162" s="25" t="n">
        <x:v>-0.010335750980930869</x:v>
      </x:c>
      <x:c r="I162" s="24" t="n">
        <x:f>ROUND(E162-F162,1)</x:f>
        <x:v>53.6</x:v>
      </x:c>
      <x:c r="J162" s="23" t="str">
        <x:v>中证1000</x:v>
      </x:c>
    </x:row>
    <x:row r="163">
      <x:c r="A163" s="23" t="n">
        <x:v>12</x:v>
      </x:c>
      <x:c r="B163" s="23" t="str">
        <x:v>周二</x:v>
      </x:c>
      <x:c r="C163" s="23" t="str">
        <x:v>7月16日</x:v>
      </x:c>
      <x:c r="D163" s="24" t="n">
        <x:v>4815.739</x:v>
      </x:c>
      <x:c r="E163" s="24" t="n">
        <x:v>4845.349</x:v>
      </x:c>
      <x:c r="F163" s="24" t="n">
        <x:v>4786.214</x:v>
      </x:c>
      <x:c r="G163" s="24" t="n">
        <x:v>4836.718</x:v>
      </x:c>
      <x:c r="H163" s="25" t="n">
        <x:v>0.001888308108249248</x:v>
      </x:c>
      <x:c r="I163" s="24" t="n">
        <x:f>ROUND(E163-F163,1)</x:f>
        <x:v>59.1</x:v>
      </x:c>
      <x:c r="J163" s="23" t="str">
        <x:v>中证1000</x:v>
      </x:c>
    </x:row>
    <x:row r="164">
      <x:c r="A164" s="23" t="n">
        <x:v>13</x:v>
      </x:c>
      <x:c r="B164" s="23" t="str">
        <x:v>周三</x:v>
      </x:c>
      <x:c r="C164" s="23" t="str">
        <x:v>7月17日</x:v>
      </x:c>
      <x:c r="D164" s="24" t="n">
        <x:v>4834.441</x:v>
      </x:c>
      <x:c r="E164" s="24" t="n">
        <x:v>4842.721</x:v>
      </x:c>
      <x:c r="F164" s="24" t="n">
        <x:v>4786.348</x:v>
      </x:c>
      <x:c r="G164" s="24" t="n">
        <x:v>4795.624</x:v>
      </x:c>
      <x:c r="H164" s="25" t="n">
        <x:v>-0.008496257172735722</x:v>
      </x:c>
      <x:c r="I164" s="24" t="n">
        <x:f>ROUND(E164-F164,1)</x:f>
        <x:v>56.4</x:v>
      </x:c>
      <x:c r="J164" s="23" t="str">
        <x:v>中证1000</x:v>
      </x:c>
    </x:row>
    <x:row r="165">
      <x:c r="A165" s="23" t="n">
        <x:v>14</x:v>
      </x:c>
      <x:c r="B165" s="23" t="str">
        <x:v>周四</x:v>
      </x:c>
      <x:c r="C165" s="23" t="str">
        <x:v>7月18日</x:v>
      </x:c>
      <x:c r="D165" s="24" t="n">
        <x:v>4763.304</x:v>
      </x:c>
      <x:c r="E165" s="24" t="n">
        <x:v>4822.619</x:v>
      </x:c>
      <x:c r="F165" s="24" t="n">
        <x:v>4714.601</x:v>
      </x:c>
      <x:c r="G165" s="24" t="n">
        <x:v>4812.426</x:v>
      </x:c>
      <x:c r="H165" s="25" t="n">
        <x:v>0.003503610791838696</x:v>
      </x:c>
      <x:c r="I165" s="24" t="n">
        <x:f>ROUND(E165-F165,1)</x:f>
        <x:v>108</x:v>
      </x:c>
      <x:c r="J165" s="23" t="str">
        <x:v>中证1000</x:v>
      </x:c>
    </x:row>
    <x:row r="166">
      <x:c r="A166" s="29" t="n">
        <x:v>15</x:v>
      </x:c>
      <x:c r="B166" s="29" t="str">
        <x:v>周五</x:v>
      </x:c>
      <x:c r="C166" s="29" t="str">
        <x:v>7月19日</x:v>
      </x:c>
      <x:c r="D166" s="30" t="n">
        <x:v>4788.771</x:v>
      </x:c>
      <x:c r="E166" s="30" t="n">
        <x:v>4854.707</x:v>
      </x:c>
      <x:c r="F166" s="30" t="n">
        <x:v>4778.714</x:v>
      </x:c>
      <x:c r="G166" s="30" t="n">
        <x:v>4821.423</x:v>
      </x:c>
      <x:c r="H166" s="31" t="n">
        <x:v>0.0018695352406457033</x:v>
      </x:c>
      <x:c r="I166" s="30" t="n">
        <x:f>ROUND(E166-F166,1)</x:f>
        <x:v>76</x:v>
      </x:c>
      <x:c r="J166" s="29" t="str">
        <x:v>中证1000</x:v>
      </x:c>
    </x:row>
    <x:row r="167">
      <x:c r="A167" s="23" t="n">
        <x:v>16</x:v>
      </x:c>
      <x:c r="B167" s="23" t="str">
        <x:v>周一</x:v>
      </x:c>
      <x:c r="C167" s="23" t="str">
        <x:v>7月22日</x:v>
      </x:c>
      <x:c r="D167" s="24" t="n">
        <x:v>4822.639</x:v>
      </x:c>
      <x:c r="E167" s="24" t="n">
        <x:v>4848.307</x:v>
      </x:c>
      <x:c r="F167" s="24" t="n">
        <x:v>4798.117</x:v>
      </x:c>
      <x:c r="G167" s="24" t="n">
        <x:v>4826.871</x:v>
      </x:c>
      <x:c r="H167" s="25" t="n">
        <x:v>0.0011299568612834765</x:v>
      </x:c>
      <x:c r="I167" s="24" t="n">
        <x:f>ROUND(E167-F167,1)</x:f>
        <x:v>50.2</x:v>
      </x:c>
      <x:c r="J167" s="23" t="str">
        <x:v>中证1000</x:v>
      </x:c>
    </x:row>
    <x:row r="168">
      <x:c r="A168" s="23" t="n">
        <x:v>17</x:v>
      </x:c>
      <x:c r="B168" s="23" t="str">
        <x:v>周二</x:v>
      </x:c>
      <x:c r="C168" s="23" t="str">
        <x:v>7月23日</x:v>
      </x:c>
      <x:c r="D168" s="24" t="n">
        <x:v>4825.745</x:v>
      </x:c>
      <x:c r="E168" s="24" t="n">
        <x:v>4825.745</x:v>
      </x:c>
      <x:c r="F168" s="24" t="n">
        <x:v>4694.953</x:v>
      </x:c>
      <x:c r="G168" s="24" t="n">
        <x:v>4694.953</x:v>
      </x:c>
      <x:c r="H168" s="25" t="n">
        <x:v>-0.02732992035627213</x:v>
      </x:c>
      <x:c r="I168" s="24" t="n">
        <x:f>ROUND(E168-F168,1)</x:f>
        <x:v>130.8</x:v>
      </x:c>
      <x:c r="J168" s="23" t="str">
        <x:v>中证1000</x:v>
      </x:c>
    </x:row>
    <x:row r="169">
      <x:c r="A169" s="23" t="n">
        <x:v>18</x:v>
      </x:c>
      <x:c r="B169" s="23" t="str">
        <x:v>周三</x:v>
      </x:c>
      <x:c r="C169" s="23" t="str">
        <x:v>7月24日</x:v>
      </x:c>
      <x:c r="D169" s="24" t="n">
        <x:v>4682.062</x:v>
      </x:c>
      <x:c r="E169" s="24" t="n">
        <x:v>4713.074</x:v>
      </x:c>
      <x:c r="F169" s="24" t="n">
        <x:v>4625.422</x:v>
      </x:c>
      <x:c r="G169" s="24" t="n">
        <x:v>4631.011</x:v>
      </x:c>
      <x:c r="H169" s="25" t="n">
        <x:v>-0.013619305667170734</x:v>
      </x:c>
      <x:c r="I169" s="24" t="n">
        <x:f>ROUND(E169-F169,1)</x:f>
        <x:v>87.7</x:v>
      </x:c>
      <x:c r="J169" s="23" t="str">
        <x:v>中证1000</x:v>
      </x:c>
    </x:row>
    <x:row r="170">
      <x:c r="A170" s="23" t="n">
        <x:v>19</x:v>
      </x:c>
      <x:c r="B170" s="23" t="str">
        <x:v>周四</x:v>
      </x:c>
      <x:c r="C170" s="23" t="str">
        <x:v>7月25日</x:v>
      </x:c>
      <x:c r="D170" s="24" t="n">
        <x:v>4602.633</x:v>
      </x:c>
      <x:c r="E170" s="24" t="n">
        <x:v>4678.659</x:v>
      </x:c>
      <x:c r="F170" s="24" t="n">
        <x:v>4587.707</x:v>
      </x:c>
      <x:c r="G170" s="24" t="n">
        <x:v>4632.567</x:v>
      </x:c>
      <x:c r="H170" s="25" t="n">
        <x:v>0.00033599574693288226</x:v>
      </x:c>
      <x:c r="I170" s="24" t="n">
        <x:f>ROUND(E170-F170,1)</x:f>
        <x:v>91</x:v>
      </x:c>
      <x:c r="J170" s="23" t="str">
        <x:v>中证1000</x:v>
      </x:c>
    </x:row>
    <x:row r="171">
      <x:c r="A171" s="23" t="n">
        <x:v>20</x:v>
      </x:c>
      <x:c r="B171" s="23" t="str">
        <x:v>周五</x:v>
      </x:c>
      <x:c r="C171" s="23" t="str">
        <x:v>7月26日</x:v>
      </x:c>
      <x:c r="D171" s="24" t="n">
        <x:v>4638.312</x:v>
      </x:c>
      <x:c r="E171" s="24" t="n">
        <x:v>4710.569</x:v>
      </x:c>
      <x:c r="F171" s="24" t="n">
        <x:v>4638.312</x:v>
      </x:c>
      <x:c r="G171" s="24" t="n">
        <x:v>4702.08</x:v>
      </x:c>
      <x:c r="H171" s="25" t="n">
        <x:v>0.01500528756518782</x:v>
      </x:c>
      <x:c r="I171" s="24" t="n">
        <x:f>ROUND(E171-F171,1)</x:f>
        <x:v>72.3</x:v>
      </x:c>
      <x:c r="J171" s="23" t="str">
        <x:v>中证1000</x:v>
      </x:c>
    </x:row>
    <x:row r="172">
      <x:c r="A172" s="23" t="n">
        <x:v>21</x:v>
      </x:c>
      <x:c r="B172" s="23" t="str">
        <x:v>周一</x:v>
      </x:c>
      <x:c r="C172" s="23" t="str">
        <x:v>7月29日</x:v>
      </x:c>
      <x:c r="D172" s="24" t="n">
        <x:v>4707.279</x:v>
      </x:c>
      <x:c r="E172" s="24" t="n">
        <x:v>4707.279</x:v>
      </x:c>
      <x:c r="F172" s="24" t="n">
        <x:v>4670.8</x:v>
      </x:c>
      <x:c r="G172" s="24" t="n">
        <x:v>4685.646</x:v>
      </x:c>
      <x:c r="H172" s="25" t="n">
        <x:v>-0.0034950489995917433</x:v>
      </x:c>
      <x:c r="I172" s="24" t="n">
        <x:f>ROUND(E172-F172,1)</x:f>
        <x:v>36.5</x:v>
      </x:c>
      <x:c r="J172" s="23" t="str">
        <x:v>中证1000</x:v>
      </x:c>
    </x:row>
    <x:row r="173">
      <x:c r="A173" s="23" t="n">
        <x:v>22</x:v>
      </x:c>
      <x:c r="B173" s="23" t="str">
        <x:v>周二</x:v>
      </x:c>
      <x:c r="C173" s="23" t="str">
        <x:v>7月30日</x:v>
      </x:c>
      <x:c r="D173" s="24" t="n">
        <x:v>4674.924</x:v>
      </x:c>
      <x:c r="E173" s="24" t="n">
        <x:v>4716.214</x:v>
      </x:c>
      <x:c r="F173" s="24" t="n">
        <x:v>4637.41</x:v>
      </x:c>
      <x:c r="G173" s="24" t="n">
        <x:v>4702.491</x:v>
      </x:c>
      <x:c r="H173" s="25" t="n">
        <x:v>0.003595021903063156</x:v>
      </x:c>
      <x:c r="I173" s="24" t="n">
        <x:f>ROUND(E173-F173,1)</x:f>
        <x:v>78.8</x:v>
      </x:c>
      <x:c r="J173" s="23" t="str">
        <x:v>中证1000</x:v>
      </x:c>
    </x:row>
    <x:row r="174">
      <x:c r="A174" s="23" t="n">
        <x:v>23</x:v>
      </x:c>
      <x:c r="B174" s="23" t="str">
        <x:v>周三</x:v>
      </x:c>
      <x:c r="C174" s="23" t="str">
        <x:v>7月31日</x:v>
      </x:c>
      <x:c r="D174" s="24" t="n">
        <x:v>4698.734</x:v>
      </x:c>
      <x:c r="E174" s="24" t="n">
        <x:v>4889.772</x:v>
      </x:c>
      <x:c r="F174" s="24" t="n">
        <x:v>4690</x:v>
      </x:c>
      <x:c r="G174" s="24" t="n">
        <x:v>4889.081</x:v>
      </x:c>
      <x:c r="H174" s="25" t="n">
        <x:v>0.03967897014582267</x:v>
      </x:c>
      <x:c r="I174" s="33" t="n">
        <x:f>ROUND(E174-F174,1)</x:f>
        <x:v>199.8</x:v>
      </x:c>
      <x:c r="J174" s="23" t="str">
        <x:v>中证1000</x:v>
      </x:c>
    </x:row>
    <x:row r="175">
      <x:c r="A175" s="36" t="str">
        <x:v>合计</x:v>
      </x:c>
      <x:c r="B175" s="35" t="n">
        <x:v>23</x:v>
      </x:c>
      <x:c r="C175" s="35"/>
      <x:c r="D175" s="35"/>
      <x:c r="E175" s="35"/>
      <x:c r="F175" s="35"/>
      <x:c r="G175" s="35"/>
      <x:c r="H175" s="35"/>
      <x:c r="I175" s="37" t="n">
        <x:f>ROUND(SUM(I152:I174),1)</x:f>
        <x:v>2044.6</x:v>
      </x:c>
      <x:c r="J175" s="35"/>
    </x:row>
    <x:row r="176">
      <x:c r="A176" s="36" t="str">
        <x:v>均值</x:v>
      </x:c>
      <x:c r="B176" s="35"/>
      <x:c r="C176" s="35"/>
      <x:c r="D176" s="35"/>
      <x:c r="E176" s="35"/>
      <x:c r="F176" s="35"/>
      <x:c r="G176" s="35"/>
      <x:c r="H176" s="35"/>
      <x:c r="I176" s="39" t="n">
        <x:f>ROUND(IFERROR(AVERAGE(I152:I174),0),1)</x:f>
        <x:v>88.9</x:v>
      </x:c>
      <x:c r="J176" s="35"/>
    </x:row>
    <x:row r="178">
      <x:c r="A178" s="17" t="str">
        <x:v>8月</x:v>
      </x:c>
      <x:c r="B178" s="17"/>
      <x:c r="C178" s="17"/>
      <x:c r="D178" s="17"/>
      <x:c r="E178" s="17"/>
      <x:c r="F178" s="17"/>
      <x:c r="G178" s="17"/>
      <x:c r="H178" s="17"/>
      <x:c r="I178" s="17"/>
      <x:c r="J178" s="17"/>
    </x:row>
    <x:row r="179">
      <x:c r="A179" s="20" t="str">
        <x:v>序号</x:v>
      </x:c>
      <x:c r="B179" s="20" t="str">
        <x:v>星期</x:v>
      </x:c>
      <x:c r="C179" s="20" t="str">
        <x:v>日期</x:v>
      </x:c>
      <x:c r="D179" s="20" t="str">
        <x:v>开盘</x:v>
      </x:c>
      <x:c r="E179" s="20" t="str">
        <x:v>高点</x:v>
      </x:c>
      <x:c r="F179" s="20" t="str">
        <x:v>低点</x:v>
      </x:c>
      <x:c r="G179" s="20" t="str">
        <x:v>收盘</x:v>
      </x:c>
      <x:c r="H179" s="20" t="str">
        <x:v>涨幅</x:v>
      </x:c>
      <x:c r="I179" s="20" t="str">
        <x:v>振幅</x:v>
      </x:c>
      <x:c r="J179" s="20" t="str">
        <x:v>标的</x:v>
      </x:c>
    </x:row>
    <x:row r="180">
      <x:c r="A180" s="23" t="n">
        <x:v>1</x:v>
      </x:c>
      <x:c r="B180" s="23" t="str">
        <x:v>周四</x:v>
      </x:c>
      <x:c r="C180" s="23" t="str">
        <x:v>8月1日</x:v>
      </x:c>
      <x:c r="D180" s="24" t="n">
        <x:v>4894.809</x:v>
      </x:c>
      <x:c r="E180" s="24" t="n">
        <x:v>4933.061</x:v>
      </x:c>
      <x:c r="F180" s="24" t="n">
        <x:v>4850.633</x:v>
      </x:c>
      <x:c r="G180" s="24" t="n">
        <x:v>4878.289</x:v>
      </x:c>
      <x:c r="H180" s="25" t="n">
        <x:v>-0.0022073678059333357</x:v>
      </x:c>
      <x:c r="I180" s="24" t="n">
        <x:f>ROUND(E180-F180,1)</x:f>
        <x:v>82.4</x:v>
      </x:c>
      <x:c r="J180" s="23" t="str">
        <x:v>中证1000</x:v>
      </x:c>
    </x:row>
    <x:row r="181">
      <x:c r="A181" s="23" t="n">
        <x:v>2</x:v>
      </x:c>
      <x:c r="B181" s="23" t="str">
        <x:v>周五</x:v>
      </x:c>
      <x:c r="C181" s="23" t="str">
        <x:v>8月2日</x:v>
      </x:c>
      <x:c r="D181" s="24" t="n">
        <x:v>4844.778</x:v>
      </x:c>
      <x:c r="E181" s="24" t="n">
        <x:v>4902.941</x:v>
      </x:c>
      <x:c r="F181" s="24" t="n">
        <x:v>4802.022</x:v>
      </x:c>
      <x:c r="G181" s="24" t="n">
        <x:v>4809.889</x:v>
      </x:c>
      <x:c r="H181" s="25" t="n">
        <x:v>-0.014021309520612535</x:v>
      </x:c>
      <x:c r="I181" s="24" t="n">
        <x:f>ROUND(E181-F181,1)</x:f>
        <x:v>100.9</x:v>
      </x:c>
      <x:c r="J181" s="23" t="str">
        <x:v>中证1000</x:v>
      </x:c>
    </x:row>
    <x:row r="182">
      <x:c r="A182" s="23" t="n">
        <x:v>3</x:v>
      </x:c>
      <x:c r="B182" s="23" t="str">
        <x:v>周一</x:v>
      </x:c>
      <x:c r="C182" s="23" t="str">
        <x:v>8月5日</x:v>
      </x:c>
      <x:c r="D182" s="24" t="n">
        <x:v>4776.182</x:v>
      </x:c>
      <x:c r="E182" s="24" t="n">
        <x:v>4854.59</x:v>
      </x:c>
      <x:c r="F182" s="24" t="n">
        <x:v>4678.739</x:v>
      </x:c>
      <x:c r="G182" s="24" t="n">
        <x:v>4678.775</x:v>
      </x:c>
      <x:c r="H182" s="25" t="n">
        <x:v>-0.02725925691840303</x:v>
      </x:c>
      <x:c r="I182" s="24" t="n">
        <x:f>ROUND(E182-F182,1)</x:f>
        <x:v>175.9</x:v>
      </x:c>
      <x:c r="J182" s="23" t="str">
        <x:v>中证1000</x:v>
      </x:c>
    </x:row>
    <x:row r="183">
      <x:c r="A183" s="23" t="n">
        <x:v>4</x:v>
      </x:c>
      <x:c r="B183" s="23" t="str">
        <x:v>周二</x:v>
      </x:c>
      <x:c r="C183" s="23" t="str">
        <x:v>8月6日</x:v>
      </x:c>
      <x:c r="D183" s="24" t="n">
        <x:v>4731.196</x:v>
      </x:c>
      <x:c r="E183" s="24" t="n">
        <x:v>4766.273</x:v>
      </x:c>
      <x:c r="F183" s="24" t="n">
        <x:v>4695.637</x:v>
      </x:c>
      <x:c r="G183" s="24" t="n">
        <x:v>4749.947</x:v>
      </x:c>
      <x:c r="H183" s="25" t="n">
        <x:v>0.015211673995864317</x:v>
      </x:c>
      <x:c r="I183" s="24" t="n">
        <x:f>ROUND(E183-F183,1)</x:f>
        <x:v>70.6</x:v>
      </x:c>
      <x:c r="J183" s="23" t="str">
        <x:v>中证1000</x:v>
      </x:c>
    </x:row>
    <x:row r="184">
      <x:c r="A184" s="23" t="n">
        <x:v>5</x:v>
      </x:c>
      <x:c r="B184" s="23" t="str">
        <x:v>周三</x:v>
      </x:c>
      <x:c r="C184" s="23" t="str">
        <x:v>8月7日</x:v>
      </x:c>
      <x:c r="D184" s="24" t="n">
        <x:v>4741.651</x:v>
      </x:c>
      <x:c r="E184" s="24" t="n">
        <x:v>4772.206</x:v>
      </x:c>
      <x:c r="F184" s="24" t="n">
        <x:v>4715.529</x:v>
      </x:c>
      <x:c r="G184" s="24" t="n">
        <x:v>4743.41</x:v>
      </x:c>
      <x:c r="H184" s="25" t="n">
        <x:v>-0.0013762258820994022</x:v>
      </x:c>
      <x:c r="I184" s="24" t="n">
        <x:f>ROUND(E184-F184,1)</x:f>
        <x:v>56.7</x:v>
      </x:c>
      <x:c r="J184" s="23" t="str">
        <x:v>中证1000</x:v>
      </x:c>
    </x:row>
    <x:row r="185">
      <x:c r="A185" s="23" t="n">
        <x:v>6</x:v>
      </x:c>
      <x:c r="B185" s="23" t="str">
        <x:v>周四</x:v>
      </x:c>
      <x:c r="C185" s="23" t="str">
        <x:v>8月8日</x:v>
      </x:c>
      <x:c r="D185" s="24" t="n">
        <x:v>4728.33</x:v>
      </x:c>
      <x:c r="E185" s="24" t="n">
        <x:v>4776.488</x:v>
      </x:c>
      <x:c r="F185" s="24" t="n">
        <x:v>4677.425</x:v>
      </x:c>
      <x:c r="G185" s="24" t="n">
        <x:v>4739.493</x:v>
      </x:c>
      <x:c r="H185" s="25" t="n">
        <x:v>-0.000825777236207581</x:v>
      </x:c>
      <x:c r="I185" s="24" t="n">
        <x:f>ROUND(E185-F185,1)</x:f>
        <x:v>99.1</x:v>
      </x:c>
      <x:c r="J185" s="23" t="str">
        <x:v>中证1000</x:v>
      </x:c>
    </x:row>
    <x:row r="186">
      <x:c r="A186" s="23" t="n">
        <x:v>7</x:v>
      </x:c>
      <x:c r="B186" s="23" t="str">
        <x:v>周五</x:v>
      </x:c>
      <x:c r="C186" s="23" t="str">
        <x:v>8月9日</x:v>
      </x:c>
      <x:c r="D186" s="24" t="n">
        <x:v>4760.127</x:v>
      </x:c>
      <x:c r="E186" s="24" t="n">
        <x:v>4789.169</x:v>
      </x:c>
      <x:c r="F186" s="24" t="n">
        <x:v>4702.745</x:v>
      </x:c>
      <x:c r="G186" s="24" t="n">
        <x:v>4702.745</x:v>
      </x:c>
      <x:c r="H186" s="25" t="n">
        <x:v>-0.007753571953793448</x:v>
      </x:c>
      <x:c r="I186" s="24" t="n">
        <x:f>ROUND(E186-F186,1)</x:f>
        <x:v>86.4</x:v>
      </x:c>
      <x:c r="J186" s="23" t="str">
        <x:v>中证1000</x:v>
      </x:c>
    </x:row>
    <x:row r="187">
      <x:c r="A187" s="23" t="n">
        <x:v>8</x:v>
      </x:c>
      <x:c r="B187" s="23" t="str">
        <x:v>周一</x:v>
      </x:c>
      <x:c r="C187" s="23" t="str">
        <x:v>8月12日</x:v>
      </x:c>
      <x:c r="D187" s="24" t="n">
        <x:v>4696.364</x:v>
      </x:c>
      <x:c r="E187" s="24" t="n">
        <x:v>4707.216</x:v>
      </x:c>
      <x:c r="F187" s="24" t="n">
        <x:v>4657.33</x:v>
      </x:c>
      <x:c r="G187" s="24" t="n">
        <x:v>4674.102</x:v>
      </x:c>
      <x:c r="H187" s="25" t="n">
        <x:v>-0.006090698092284352</x:v>
      </x:c>
      <x:c r="I187" s="24" t="n">
        <x:f>ROUND(E187-F187,1)</x:f>
        <x:v>49.9</x:v>
      </x:c>
      <x:c r="J187" s="23" t="str">
        <x:v>中证1000</x:v>
      </x:c>
    </x:row>
    <x:row r="188">
      <x:c r="A188" s="23" t="n">
        <x:v>9</x:v>
      </x:c>
      <x:c r="B188" s="23" t="str">
        <x:v>周二</x:v>
      </x:c>
      <x:c r="C188" s="23" t="str">
        <x:v>8月13日</x:v>
      </x:c>
      <x:c r="D188" s="24" t="n">
        <x:v>4671.2</x:v>
      </x:c>
      <x:c r="E188" s="24" t="n">
        <x:v>4698.342</x:v>
      </x:c>
      <x:c r="F188" s="24" t="n">
        <x:v>4642.669</x:v>
      </x:c>
      <x:c r="G188" s="24" t="n">
        <x:v>4697.586</x:v>
      </x:c>
      <x:c r="H188" s="25" t="n">
        <x:v>0.00502428059978155</x:v>
      </x:c>
      <x:c r="I188" s="24" t="n">
        <x:f>ROUND(E188-F188,1)</x:f>
        <x:v>55.7</x:v>
      </x:c>
      <x:c r="J188" s="23" t="str">
        <x:v>中证1000</x:v>
      </x:c>
    </x:row>
    <x:row r="189">
      <x:c r="A189" s="23" t="n">
        <x:v>10</x:v>
      </x:c>
      <x:c r="B189" s="23" t="str">
        <x:v>周三</x:v>
      </x:c>
      <x:c r="C189" s="23" t="str">
        <x:v>8月14日</x:v>
      </x:c>
      <x:c r="D189" s="24" t="n">
        <x:v>4698.003</x:v>
      </x:c>
      <x:c r="E189" s="24" t="n">
        <x:v>4698.148</x:v>
      </x:c>
      <x:c r="F189" s="24" t="n">
        <x:v>4649.278</x:v>
      </x:c>
      <x:c r="G189" s="24" t="n">
        <x:v>4649.278</x:v>
      </x:c>
      <x:c r="H189" s="25" t="n">
        <x:v>-0.010283579693910916</x:v>
      </x:c>
      <x:c r="I189" s="24" t="n">
        <x:f>ROUND(E189-F189,1)</x:f>
        <x:v>48.9</x:v>
      </x:c>
      <x:c r="J189" s="23" t="str">
        <x:v>中证1000</x:v>
      </x:c>
    </x:row>
    <x:row r="190">
      <x:c r="A190" s="23" t="n">
        <x:v>11</x:v>
      </x:c>
      <x:c r="B190" s="23" t="str">
        <x:v>周四</x:v>
      </x:c>
      <x:c r="C190" s="23" t="str">
        <x:v>8月15日</x:v>
      </x:c>
      <x:c r="D190" s="24" t="n">
        <x:v>4639.084</x:v>
      </x:c>
      <x:c r="E190" s="24" t="n">
        <x:v>4743.728</x:v>
      </x:c>
      <x:c r="F190" s="24" t="n">
        <x:v>4620.555</x:v>
      </x:c>
      <x:c r="G190" s="24" t="n">
        <x:v>4691.85</x:v>
      </x:c>
      <x:c r="H190" s="25" t="n">
        <x:v>0.009156690565717884</x:v>
      </x:c>
      <x:c r="I190" s="24" t="n">
        <x:f>ROUND(E190-F190,1)</x:f>
        <x:v>123.2</x:v>
      </x:c>
      <x:c r="J190" s="23" t="str">
        <x:v>中证1000</x:v>
      </x:c>
    </x:row>
    <x:row r="191">
      <x:c r="A191" s="29" t="n">
        <x:v>12</x:v>
      </x:c>
      <x:c r="B191" s="29" t="str">
        <x:v>周五</x:v>
      </x:c>
      <x:c r="C191" s="29" t="str">
        <x:v>8月16日</x:v>
      </x:c>
      <x:c r="D191" s="30" t="n">
        <x:v>4696.718</x:v>
      </x:c>
      <x:c r="E191" s="30" t="n">
        <x:v>4703.027</x:v>
      </x:c>
      <x:c r="F191" s="30" t="n">
        <x:v>4654.46</x:v>
      </x:c>
      <x:c r="G191" s="30" t="n">
        <x:v>4655.651</x:v>
      </x:c>
      <x:c r="H191" s="31" t="n">
        <x:v>-0.007715293540927481</x:v>
      </x:c>
      <x:c r="I191" s="30" t="n">
        <x:f>ROUND(E191-F191,1)</x:f>
        <x:v>48.6</x:v>
      </x:c>
      <x:c r="J191" s="29" t="str">
        <x:v>中证1000</x:v>
      </x:c>
    </x:row>
    <x:row r="192">
      <x:c r="A192" s="23" t="n">
        <x:v>13</x:v>
      </x:c>
      <x:c r="B192" s="23" t="str">
        <x:v>周一</x:v>
      </x:c>
      <x:c r="C192" s="23" t="str">
        <x:v>8月19日</x:v>
      </x:c>
      <x:c r="D192" s="24" t="n">
        <x:v>4651.297</x:v>
      </x:c>
      <x:c r="E192" s="24" t="n">
        <x:v>4714.059</x:v>
      </x:c>
      <x:c r="F192" s="24" t="n">
        <x:v>4644.601</x:v>
      </x:c>
      <x:c r="G192" s="24" t="n">
        <x:v>4663.612</x:v>
      </x:c>
      <x:c r="H192" s="25" t="n">
        <x:v>0.001709964943678255</x:v>
      </x:c>
      <x:c r="I192" s="24" t="n">
        <x:f>ROUND(E192-F192,1)</x:f>
        <x:v>69.5</x:v>
      </x:c>
      <x:c r="J192" s="23" t="str">
        <x:v>中证1000</x:v>
      </x:c>
    </x:row>
    <x:row r="193">
      <x:c r="A193" s="23" t="n">
        <x:v>14</x:v>
      </x:c>
      <x:c r="B193" s="23" t="str">
        <x:v>周二</x:v>
      </x:c>
      <x:c r="C193" s="23" t="str">
        <x:v>8月20日</x:v>
      </x:c>
      <x:c r="D193" s="24" t="n">
        <x:v>4663.776</x:v>
      </x:c>
      <x:c r="E193" s="24" t="n">
        <x:v>4665.634</x:v>
      </x:c>
      <x:c r="F193" s="24" t="n">
        <x:v>4563.855</x:v>
      </x:c>
      <x:c r="G193" s="24" t="n">
        <x:v>4579.304</x:v>
      </x:c>
      <x:c r="H193" s="25" t="n">
        <x:v>-0.01807783323312484</x:v>
      </x:c>
      <x:c r="I193" s="24" t="n">
        <x:f>ROUND(E193-F193,1)</x:f>
        <x:v>101.8</x:v>
      </x:c>
      <x:c r="J193" s="23" t="str">
        <x:v>中证1000</x:v>
      </x:c>
    </x:row>
    <x:row r="194">
      <x:c r="A194" s="23" t="n">
        <x:v>15</x:v>
      </x:c>
      <x:c r="B194" s="23" t="str">
        <x:v>周三</x:v>
      </x:c>
      <x:c r="C194" s="23" t="str">
        <x:v>8月21日</x:v>
      </x:c>
      <x:c r="D194" s="24" t="n">
        <x:v>4564.378</x:v>
      </x:c>
      <x:c r="E194" s="24" t="n">
        <x:v>4590.2</x:v>
      </x:c>
      <x:c r="F194" s="24" t="n">
        <x:v>4543.881</x:v>
      </x:c>
      <x:c r="G194" s="24" t="n">
        <x:v>4548.264</x:v>
      </x:c>
      <x:c r="H194" s="25" t="n">
        <x:v>-0.006778322644663937</x:v>
      </x:c>
      <x:c r="I194" s="24" t="n">
        <x:f>ROUND(E194-F194,1)</x:f>
        <x:v>46.3</x:v>
      </x:c>
      <x:c r="J194" s="23" t="str">
        <x:v>中证1000</x:v>
      </x:c>
    </x:row>
    <x:row r="195">
      <x:c r="A195" s="23" t="n">
        <x:v>16</x:v>
      </x:c>
      <x:c r="B195" s="23" t="str">
        <x:v>周四</x:v>
      </x:c>
      <x:c r="C195" s="23" t="str">
        <x:v>8月22日</x:v>
      </x:c>
      <x:c r="D195" s="24" t="n">
        <x:v>4549.3</x:v>
      </x:c>
      <x:c r="E195" s="24" t="n">
        <x:v>4562.977</x:v>
      </x:c>
      <x:c r="F195" s="24" t="n">
        <x:v>4484.559</x:v>
      </x:c>
      <x:c r="G195" s="24" t="n">
        <x:v>4491.839</x:v>
      </x:c>
      <x:c r="H195" s="25" t="n">
        <x:v>-0.012405832203231881</x:v>
      </x:c>
      <x:c r="I195" s="24" t="n">
        <x:f>ROUND(E195-F195,1)</x:f>
        <x:v>78.4</x:v>
      </x:c>
      <x:c r="J195" s="23" t="str">
        <x:v>中证1000</x:v>
      </x:c>
    </x:row>
    <x:row r="196">
      <x:c r="A196" s="23" t="n">
        <x:v>17</x:v>
      </x:c>
      <x:c r="B196" s="23" t="str">
        <x:v>周五</x:v>
      </x:c>
      <x:c r="C196" s="23" t="str">
        <x:v>8月23日</x:v>
      </x:c>
      <x:c r="D196" s="24" t="n">
        <x:v>4482.654</x:v>
      </x:c>
      <x:c r="E196" s="24" t="n">
        <x:v>4510.598</x:v>
      </x:c>
      <x:c r="F196" s="24" t="n">
        <x:v>4462.76</x:v>
      </x:c>
      <x:c r="G196" s="24" t="n">
        <x:v>4495.344</x:v>
      </x:c>
      <x:c r="H196" s="25" t="n">
        <x:v>0.0007803040135676564</x:v>
      </x:c>
      <x:c r="I196" s="24" t="n">
        <x:f>ROUND(E196-F196,1)</x:f>
        <x:v>47.8</x:v>
      </x:c>
      <x:c r="J196" s="23" t="str">
        <x:v>中证1000</x:v>
      </x:c>
    </x:row>
    <x:row r="197">
      <x:c r="A197" s="23" t="n">
        <x:v>18</x:v>
      </x:c>
      <x:c r="B197" s="23" t="str">
        <x:v>周一</x:v>
      </x:c>
      <x:c r="C197" s="23" t="str">
        <x:v>8月26日</x:v>
      </x:c>
      <x:c r="D197" s="24" t="n">
        <x:v>4492.706</x:v>
      </x:c>
      <x:c r="E197" s="24" t="n">
        <x:v>4531.173</x:v>
      </x:c>
      <x:c r="F197" s="24" t="n">
        <x:v>4476.243</x:v>
      </x:c>
      <x:c r="G197" s="24" t="n">
        <x:v>4512.893</x:v>
      </x:c>
      <x:c r="H197" s="25" t="n">
        <x:v>0.0039038169270249057</x:v>
      </x:c>
      <x:c r="I197" s="24" t="n">
        <x:f>ROUND(E197-F197,1)</x:f>
        <x:v>54.9</x:v>
      </x:c>
      <x:c r="J197" s="23" t="str">
        <x:v>中证1000</x:v>
      </x:c>
    </x:row>
    <x:row r="198">
      <x:c r="A198" s="23" t="n">
        <x:v>19</x:v>
      </x:c>
      <x:c r="B198" s="23" t="str">
        <x:v>周二</x:v>
      </x:c>
      <x:c r="C198" s="23" t="str">
        <x:v>8月27日</x:v>
      </x:c>
      <x:c r="D198" s="24" t="n">
        <x:v>4500.735</x:v>
      </x:c>
      <x:c r="E198" s="24" t="n">
        <x:v>4501.084</x:v>
      </x:c>
      <x:c r="F198" s="24" t="n">
        <x:v>4449.215</x:v>
      </x:c>
      <x:c r="G198" s="24" t="n">
        <x:v>4459.68</x:v>
      </x:c>
      <x:c r="H198" s="25" t="n">
        <x:v>-0.011791327647254102</x:v>
      </x:c>
      <x:c r="I198" s="24" t="n">
        <x:f>ROUND(E198-F198,1)</x:f>
        <x:v>51.9</x:v>
      </x:c>
      <x:c r="J198" s="23" t="str">
        <x:v>中证1000</x:v>
      </x:c>
    </x:row>
    <x:row r="199">
      <x:c r="A199" s="23" t="n">
        <x:v>20</x:v>
      </x:c>
      <x:c r="B199" s="23" t="str">
        <x:v>周三</x:v>
      </x:c>
      <x:c r="C199" s="23" t="str">
        <x:v>8月28日</x:v>
      </x:c>
      <x:c r="D199" s="24" t="n">
        <x:v>4449.711</x:v>
      </x:c>
      <x:c r="E199" s="24" t="n">
        <x:v>4506.313</x:v>
      </x:c>
      <x:c r="F199" s="24" t="n">
        <x:v>4437.518</x:v>
      </x:c>
      <x:c r="G199" s="24" t="n">
        <x:v>4470.55</x:v>
      </x:c>
      <x:c r="H199" s="25" t="n">
        <x:v>0.0024373946112725697</x:v>
      </x:c>
      <x:c r="I199" s="24" t="n">
        <x:f>ROUND(E199-F199,1)</x:f>
        <x:v>68.8</x:v>
      </x:c>
      <x:c r="J199" s="23" t="str">
        <x:v>中证1000</x:v>
      </x:c>
    </x:row>
    <x:row r="200">
      <x:c r="A200" s="23" t="n">
        <x:v>21</x:v>
      </x:c>
      <x:c r="B200" s="23" t="str">
        <x:v>周四</x:v>
      </x:c>
      <x:c r="C200" s="23" t="str">
        <x:v>8月29日</x:v>
      </x:c>
      <x:c r="D200" s="24" t="n">
        <x:v>4453.431</x:v>
      </x:c>
      <x:c r="E200" s="24" t="n">
        <x:v>4558.947</x:v>
      </x:c>
      <x:c r="F200" s="24" t="n">
        <x:v>4443.903</x:v>
      </x:c>
      <x:c r="G200" s="24" t="n">
        <x:v>4542.464</x:v>
      </x:c>
      <x:c r="H200" s="25" t="n">
        <x:v>0.016086163894822647</x:v>
      </x:c>
      <x:c r="I200" s="24" t="n">
        <x:f>ROUND(E200-F200,1)</x:f>
        <x:v>115</x:v>
      </x:c>
      <x:c r="J200" s="23" t="str">
        <x:v>中证1000</x:v>
      </x:c>
    </x:row>
    <x:row r="201">
      <x:c r="A201" s="23" t="n">
        <x:v>22</x:v>
      </x:c>
      <x:c r="B201" s="23" t="str">
        <x:v>周五</x:v>
      </x:c>
      <x:c r="C201" s="23" t="str">
        <x:v>8月30日</x:v>
      </x:c>
      <x:c r="D201" s="24" t="n">
        <x:v>4539.929</x:v>
      </x:c>
      <x:c r="E201" s="24" t="n">
        <x:v>4691.015</x:v>
      </x:c>
      <x:c r="F201" s="24" t="n">
        <x:v>4534.044</x:v>
      </x:c>
      <x:c r="G201" s="24" t="n">
        <x:v>4629.32</x:v>
      </x:c>
      <x:c r="H201" s="25" t="n">
        <x:v>0.01912090002254274</x:v>
      </x:c>
      <x:c r="I201" s="24" t="n">
        <x:f>ROUND(E201-F201,1)</x:f>
        <x:v>157</x:v>
      </x:c>
      <x:c r="J201" s="23" t="str">
        <x:v>中证1000</x:v>
      </x:c>
    </x:row>
    <x:row r="202">
      <x:c r="A202" s="36" t="str">
        <x:v>合计</x:v>
      </x:c>
      <x:c r="B202" s="35" t="n">
        <x:v>22</x:v>
      </x:c>
      <x:c r="C202" s="35"/>
      <x:c r="D202" s="35"/>
      <x:c r="E202" s="35"/>
      <x:c r="F202" s="35"/>
      <x:c r="G202" s="35"/>
      <x:c r="H202" s="35"/>
      <x:c r="I202" s="37" t="n">
        <x:f>ROUND(SUM(I180:I201),1)</x:f>
        <x:v>1789.7</x:v>
      </x:c>
      <x:c r="J202" s="35"/>
    </x:row>
    <x:row r="203">
      <x:c r="A203" s="36" t="str">
        <x:v>均值</x:v>
      </x:c>
      <x:c r="B203" s="35"/>
      <x:c r="C203" s="35"/>
      <x:c r="D203" s="35"/>
      <x:c r="E203" s="35"/>
      <x:c r="F203" s="35"/>
      <x:c r="G203" s="35"/>
      <x:c r="H203" s="35"/>
      <x:c r="I203" s="39" t="n">
        <x:f>ROUND(IFERROR(AVERAGE(I180:I201),0),1)</x:f>
        <x:v>81.4</x:v>
      </x:c>
      <x:c r="J203" s="35"/>
    </x:row>
    <x:row r="205">
      <x:c r="A205" s="17" t="str">
        <x:v>9月</x:v>
      </x:c>
      <x:c r="B205" s="17"/>
      <x:c r="C205" s="17"/>
      <x:c r="D205" s="17"/>
      <x:c r="E205" s="17"/>
      <x:c r="F205" s="17"/>
      <x:c r="G205" s="17"/>
      <x:c r="H205" s="17"/>
      <x:c r="I205" s="17"/>
      <x:c r="J205" s="17"/>
    </x:row>
    <x:row r="206">
      <x:c r="A206" s="20" t="str">
        <x:v>序号</x:v>
      </x:c>
      <x:c r="B206" s="20" t="str">
        <x:v>星期</x:v>
      </x:c>
      <x:c r="C206" s="20" t="str">
        <x:v>日期</x:v>
      </x:c>
      <x:c r="D206" s="20" t="str">
        <x:v>开盘</x:v>
      </x:c>
      <x:c r="E206" s="20" t="str">
        <x:v>高点</x:v>
      </x:c>
      <x:c r="F206" s="20" t="str">
        <x:v>低点</x:v>
      </x:c>
      <x:c r="G206" s="20" t="str">
        <x:v>收盘</x:v>
      </x:c>
      <x:c r="H206" s="20" t="str">
        <x:v>涨幅</x:v>
      </x:c>
      <x:c r="I206" s="20" t="str">
        <x:v>振幅</x:v>
      </x:c>
      <x:c r="J206" s="20" t="str">
        <x:v>标的</x:v>
      </x:c>
    </x:row>
    <x:row r="207">
      <x:c r="A207" s="23" t="n">
        <x:v>1</x:v>
      </x:c>
      <x:c r="B207" s="23" t="str">
        <x:v>周一</x:v>
      </x:c>
      <x:c r="C207" s="23" t="str">
        <x:v>9月2日</x:v>
      </x:c>
      <x:c r="D207" s="24" t="n">
        <x:v>4627.182</x:v>
      </x:c>
      <x:c r="E207" s="24" t="n">
        <x:v>4635.765</x:v>
      </x:c>
      <x:c r="F207" s="24" t="n">
        <x:v>4529.834</x:v>
      </x:c>
      <x:c r="G207" s="24" t="n">
        <x:v>4532.515</x:v>
      </x:c>
      <x:c r="H207" s="25" t="n">
        <x:v>-0.02091127854630903</x:v>
      </x:c>
      <x:c r="I207" s="24" t="n">
        <x:f>ROUND(E207-F207,1)</x:f>
        <x:v>105.9</x:v>
      </x:c>
      <x:c r="J207" s="23" t="str">
        <x:v>中证1000</x:v>
      </x:c>
    </x:row>
    <x:row r="208">
      <x:c r="A208" s="23" t="n">
        <x:v>2</x:v>
      </x:c>
      <x:c r="B208" s="23" t="str">
        <x:v>周二</x:v>
      </x:c>
      <x:c r="C208" s="23" t="str">
        <x:v>9月3日</x:v>
      </x:c>
      <x:c r="D208" s="24" t="n">
        <x:v>4529.941</x:v>
      </x:c>
      <x:c r="E208" s="24" t="n">
        <x:v>4598.632</x:v>
      </x:c>
      <x:c r="F208" s="24" t="n">
        <x:v>4529.941</x:v>
      </x:c>
      <x:c r="G208" s="24" t="n">
        <x:v>4572.397</x:v>
      </x:c>
      <x:c r="H208" s="25" t="n">
        <x:v>0.008799088364848107</x:v>
      </x:c>
      <x:c r="I208" s="24" t="n">
        <x:f>ROUND(E208-F208,1)</x:f>
        <x:v>68.7</x:v>
      </x:c>
      <x:c r="J208" s="23" t="str">
        <x:v>中证1000</x:v>
      </x:c>
    </x:row>
    <x:row r="209">
      <x:c r="A209" s="23" t="n">
        <x:v>3</x:v>
      </x:c>
      <x:c r="B209" s="23" t="str">
        <x:v>周三</x:v>
      </x:c>
      <x:c r="C209" s="23" t="str">
        <x:v>9月4日</x:v>
      </x:c>
      <x:c r="D209" s="24" t="n">
        <x:v>4542.905</x:v>
      </x:c>
      <x:c r="E209" s="24" t="n">
        <x:v>4594.439</x:v>
      </x:c>
      <x:c r="F209" s="24" t="n">
        <x:v>4529.338</x:v>
      </x:c>
      <x:c r="G209" s="24" t="n">
        <x:v>4550.77</x:v>
      </x:c>
      <x:c r="H209" s="25" t="n">
        <x:v>-0.004729904249346606</x:v>
      </x:c>
      <x:c r="I209" s="24" t="n">
        <x:f>ROUND(E209-F209,1)</x:f>
        <x:v>65.1</x:v>
      </x:c>
      <x:c r="J209" s="23" t="str">
        <x:v>中证1000</x:v>
      </x:c>
    </x:row>
    <x:row r="210">
      <x:c r="A210" s="23" t="n">
        <x:v>4</x:v>
      </x:c>
      <x:c r="B210" s="23" t="str">
        <x:v>周四</x:v>
      </x:c>
      <x:c r="C210" s="23" t="str">
        <x:v>9月5日</x:v>
      </x:c>
      <x:c r="D210" s="24" t="n">
        <x:v>4554.518</x:v>
      </x:c>
      <x:c r="E210" s="24" t="n">
        <x:v>4614.752</x:v>
      </x:c>
      <x:c r="F210" s="24" t="n">
        <x:v>4554.518</x:v>
      </x:c>
      <x:c r="G210" s="24" t="n">
        <x:v>4586.781</x:v>
      </x:c>
      <x:c r="H210" s="25" t="n">
        <x:v>0.0079131663432781</x:v>
      </x:c>
      <x:c r="I210" s="24" t="n">
        <x:f>ROUND(E210-F210,1)</x:f>
        <x:v>60.2</x:v>
      </x:c>
      <x:c r="J210" s="23" t="str">
        <x:v>中证1000</x:v>
      </x:c>
    </x:row>
    <x:row r="211">
      <x:c r="A211" s="23" t="n">
        <x:v>5</x:v>
      </x:c>
      <x:c r="B211" s="23" t="str">
        <x:v>周五</x:v>
      </x:c>
      <x:c r="C211" s="23" t="str">
        <x:v>9月6日</x:v>
      </x:c>
      <x:c r="D211" s="24" t="n">
        <x:v>4588.928</x:v>
      </x:c>
      <x:c r="E211" s="24" t="n">
        <x:v>4595.697</x:v>
      </x:c>
      <x:c r="F211" s="24" t="n">
        <x:v>4506.387</x:v>
      </x:c>
      <x:c r="G211" s="24" t="n">
        <x:v>4508.228</x:v>
      </x:c>
      <x:c r="H211" s="25" t="n">
        <x:v>-0.01712595390972449</x:v>
      </x:c>
      <x:c r="I211" s="24" t="n">
        <x:f>ROUND(E211-F211,1)</x:f>
        <x:v>89.3</x:v>
      </x:c>
      <x:c r="J211" s="23" t="str">
        <x:v>中证1000</x:v>
      </x:c>
    </x:row>
    <x:row r="212">
      <x:c r="A212" s="23" t="n">
        <x:v>6</x:v>
      </x:c>
      <x:c r="B212" s="23" t="str">
        <x:v>周一</x:v>
      </x:c>
      <x:c r="C212" s="23" t="str">
        <x:v>9月9日</x:v>
      </x:c>
      <x:c r="D212" s="24" t="n">
        <x:v>4490.99</x:v>
      </x:c>
      <x:c r="E212" s="24" t="n">
        <x:v>4523.366</x:v>
      </x:c>
      <x:c r="F212" s="24" t="n">
        <x:v>4459.126</x:v>
      </x:c>
      <x:c r="G212" s="24" t="n">
        <x:v>4475.532</x:v>
      </x:c>
      <x:c r="H212" s="25" t="n">
        <x:v>-0.0072525169534459755</x:v>
      </x:c>
      <x:c r="I212" s="24" t="n">
        <x:f>ROUND(E212-F212,1)</x:f>
        <x:v>64.2</x:v>
      </x:c>
      <x:c r="J212" s="23" t="str">
        <x:v>中证1000</x:v>
      </x:c>
    </x:row>
    <x:row r="213">
      <x:c r="A213" s="23" t="n">
        <x:v>7</x:v>
      </x:c>
      <x:c r="B213" s="23" t="str">
        <x:v>周二</x:v>
      </x:c>
      <x:c r="C213" s="23" t="str">
        <x:v>9月10日</x:v>
      </x:c>
      <x:c r="D213" s="24" t="n">
        <x:v>4481.488</x:v>
      </x:c>
      <x:c r="E213" s="24" t="n">
        <x:v>4507.154</x:v>
      </x:c>
      <x:c r="F213" s="24" t="n">
        <x:v>4400.776</x:v>
      </x:c>
      <x:c r="G213" s="24" t="n">
        <x:v>4487.576</x:v>
      </x:c>
      <x:c r="H213" s="25" t="n">
        <x:v>0.002691076725627184</x:v>
      </x:c>
      <x:c r="I213" s="24" t="n">
        <x:f>ROUND(E213-F213,1)</x:f>
        <x:v>106.4</x:v>
      </x:c>
      <x:c r="J213" s="23" t="str">
        <x:v>中证1000</x:v>
      </x:c>
    </x:row>
    <x:row r="214">
      <x:c r="A214" s="23" t="n">
        <x:v>8</x:v>
      </x:c>
      <x:c r="B214" s="23" t="str">
        <x:v>周三</x:v>
      </x:c>
      <x:c r="C214" s="23" t="str">
        <x:v>9月11日</x:v>
      </x:c>
      <x:c r="D214" s="24" t="n">
        <x:v>4469.015</x:v>
      </x:c>
      <x:c r="E214" s="24" t="n">
        <x:v>4500.683</x:v>
      </x:c>
      <x:c r="F214" s="24" t="n">
        <x:v>4453.2</x:v>
      </x:c>
      <x:c r="G214" s="24" t="n">
        <x:v>4486.007</x:v>
      </x:c>
      <x:c r="H214" s="25" t="n">
        <x:v>-0.00034963196166493127</x:v>
      </x:c>
      <x:c r="I214" s="24" t="n">
        <x:f>ROUND(E214-F214,1)</x:f>
        <x:v>47.5</x:v>
      </x:c>
      <x:c r="J214" s="23" t="str">
        <x:v>中证1000</x:v>
      </x:c>
    </x:row>
    <x:row r="215">
      <x:c r="A215" s="23" t="n">
        <x:v>9</x:v>
      </x:c>
      <x:c r="B215" s="23" t="str">
        <x:v>周四</x:v>
      </x:c>
      <x:c r="C215" s="23" t="str">
        <x:v>9月12日</x:v>
      </x:c>
      <x:c r="D215" s="24" t="n">
        <x:v>4490.524</x:v>
      </x:c>
      <x:c r="E215" s="24" t="n">
        <x:v>4542.285</x:v>
      </x:c>
      <x:c r="F215" s="24" t="n">
        <x:v>4468.744</x:v>
      </x:c>
      <x:c r="G215" s="24" t="n">
        <x:v>4468.744</x:v>
      </x:c>
      <x:c r="H215" s="25" t="n">
        <x:v>-0.0038481883777711223</x:v>
      </x:c>
      <x:c r="I215" s="24" t="n">
        <x:f>ROUND(E215-F215,1)</x:f>
        <x:v>73.5</x:v>
      </x:c>
      <x:c r="J215" s="23" t="str">
        <x:v>中证1000</x:v>
      </x:c>
    </x:row>
    <x:row r="216">
      <x:c r="A216" s="23" t="n">
        <x:v>10</x:v>
      </x:c>
      <x:c r="B216" s="23" t="str">
        <x:v>周五</x:v>
      </x:c>
      <x:c r="C216" s="23" t="str">
        <x:v>9月13日</x:v>
      </x:c>
      <x:c r="D216" s="24" t="n">
        <x:v>4471.984</x:v>
      </x:c>
      <x:c r="E216" s="24" t="n">
        <x:v>4478.218</x:v>
      </x:c>
      <x:c r="F216" s="24" t="n">
        <x:v>4413.187</x:v>
      </x:c>
      <x:c r="G216" s="24" t="n">
        <x:v>4413.187</x:v>
      </x:c>
      <x:c r="H216" s="25" t="n">
        <x:v>-0.012432352356724796</x:v>
      </x:c>
      <x:c r="I216" s="24" t="n">
        <x:f>ROUND(E216-F216,1)</x:f>
        <x:v>65</x:v>
      </x:c>
      <x:c r="J216" s="23" t="str">
        <x:v>中证1000</x:v>
      </x:c>
    </x:row>
    <x:row r="217">
      <x:c r="A217" s="23" t="n">
        <x:v>11</x:v>
      </x:c>
      <x:c r="B217" s="23" t="str">
        <x:v>周三</x:v>
      </x:c>
      <x:c r="C217" s="23" t="str">
        <x:v>9月18日</x:v>
      </x:c>
      <x:c r="D217" s="24" t="n">
        <x:v>4413.903</x:v>
      </x:c>
      <x:c r="E217" s="24" t="n">
        <x:v>4425.792</x:v>
      </x:c>
      <x:c r="F217" s="24" t="n">
        <x:v>4342.209</x:v>
      </x:c>
      <x:c r="G217" s="24" t="n">
        <x:v>4399.133</x:v>
      </x:c>
      <x:c r="H217" s="25" t="n">
        <x:v>-0.0031845466779449882</x:v>
      </x:c>
      <x:c r="I217" s="24" t="n">
        <x:f>ROUND(E217-F217,1)</x:f>
        <x:v>83.6</x:v>
      </x:c>
      <x:c r="J217" s="23" t="str">
        <x:v>中证1000</x:v>
      </x:c>
    </x:row>
    <x:row r="218">
      <x:c r="A218" s="23" t="n">
        <x:v>12</x:v>
      </x:c>
      <x:c r="B218" s="23" t="str">
        <x:v>周四</x:v>
      </x:c>
      <x:c r="C218" s="23" t="str">
        <x:v>9月19日</x:v>
      </x:c>
      <x:c r="D218" s="24" t="n">
        <x:v>4418.784</x:v>
      </x:c>
      <x:c r="E218" s="24" t="n">
        <x:v>4527.613</x:v>
      </x:c>
      <x:c r="F218" s="24" t="n">
        <x:v>4385.486</x:v>
      </x:c>
      <x:c r="G218" s="24" t="n">
        <x:v>4482.275</x:v>
      </x:c>
      <x:c r="H218" s="25" t="n">
        <x:v>0.018899633177719366</x:v>
      </x:c>
      <x:c r="I218" s="24" t="n">
        <x:f>ROUND(E218-F218,1)</x:f>
        <x:v>142.1</x:v>
      </x:c>
      <x:c r="J218" s="23" t="str">
        <x:v>中证1000</x:v>
      </x:c>
    </x:row>
    <x:row r="219">
      <x:c r="A219" s="29" t="n">
        <x:v>13</x:v>
      </x:c>
      <x:c r="B219" s="29" t="str">
        <x:v>周五</x:v>
      </x:c>
      <x:c r="C219" s="29" t="str">
        <x:v>9月20日</x:v>
      </x:c>
      <x:c r="D219" s="30" t="n">
        <x:v>4484.175</x:v>
      </x:c>
      <x:c r="E219" s="30" t="n">
        <x:v>4487.076</x:v>
      </x:c>
      <x:c r="F219" s="30" t="n">
        <x:v>4428.165</x:v>
      </x:c>
      <x:c r="G219" s="30" t="n">
        <x:v>4463.356</x:v>
      </x:c>
      <x:c r="H219" s="31" t="n">
        <x:v>-0.004220847672219974</x:v>
      </x:c>
      <x:c r="I219" s="30" t="n">
        <x:f>ROUND(E219-F219,1)</x:f>
        <x:v>58.9</x:v>
      </x:c>
      <x:c r="J219" s="29" t="str">
        <x:v>中证1000</x:v>
      </x:c>
    </x:row>
    <x:row r="220">
      <x:c r="A220" s="23" t="n">
        <x:v>14</x:v>
      </x:c>
      <x:c r="B220" s="23" t="str">
        <x:v>周一</x:v>
      </x:c>
      <x:c r="C220" s="23" t="str">
        <x:v>9月23日</x:v>
      </x:c>
      <x:c r="D220" s="24" t="n">
        <x:v>4462.717</x:v>
      </x:c>
      <x:c r="E220" s="24" t="n">
        <x:v>4513.97</x:v>
      </x:c>
      <x:c r="F220" s="24" t="n">
        <x:v>4445.99</x:v>
      </x:c>
      <x:c r="G220" s="24" t="n">
        <x:v>4469.133</x:v>
      </x:c>
      <x:c r="H220" s="25" t="n">
        <x:v>0.0012943175493955739</x:v>
      </x:c>
      <x:c r="I220" s="24" t="n">
        <x:f>ROUND(E220-F220,1)</x:f>
        <x:v>68</x:v>
      </x:c>
      <x:c r="J220" s="23" t="str">
        <x:v>中证1000</x:v>
      </x:c>
    </x:row>
    <x:row r="221">
      <x:c r="A221" s="23" t="n">
        <x:v>15</x:v>
      </x:c>
      <x:c r="B221" s="23" t="str">
        <x:v>周二</x:v>
      </x:c>
      <x:c r="C221" s="23" t="str">
        <x:v>9月24日</x:v>
      </x:c>
      <x:c r="D221" s="24" t="n">
        <x:v>4489.492</x:v>
      </x:c>
      <x:c r="E221" s="24" t="n">
        <x:v>4642.558</x:v>
      </x:c>
      <x:c r="F221" s="24" t="n">
        <x:v>4466.336</x:v>
      </x:c>
      <x:c r="G221" s="24" t="n">
        <x:v>4642.558</x:v>
      </x:c>
      <x:c r="H221" s="25" t="n">
        <x:v>0.0388050657700274</x:v>
      </x:c>
      <x:c r="I221" s="24" t="n">
        <x:f>ROUND(E221-F221,1)</x:f>
        <x:v>176.2</x:v>
      </x:c>
      <x:c r="J221" s="23" t="str">
        <x:v>中证1000</x:v>
      </x:c>
    </x:row>
    <x:row r="222">
      <x:c r="A222" s="23" t="n">
        <x:v>16</x:v>
      </x:c>
      <x:c r="B222" s="23" t="str">
        <x:v>周三</x:v>
      </x:c>
      <x:c r="C222" s="23" t="str">
        <x:v>9月25日</x:v>
      </x:c>
      <x:c r="D222" s="24" t="n">
        <x:v>4688.389</x:v>
      </x:c>
      <x:c r="E222" s="24" t="n">
        <x:v>4799.857</x:v>
      </x:c>
      <x:c r="F222" s="24" t="n">
        <x:v>4681.853</x:v>
      </x:c>
      <x:c r="G222" s="24" t="n">
        <x:v>4686.258</x:v>
      </x:c>
      <x:c r="H222" s="25" t="n">
        <x:v>0.009412914173608566</x:v>
      </x:c>
      <x:c r="I222" s="24" t="n">
        <x:f>ROUND(E222-F222,1)</x:f>
        <x:v>118</x:v>
      </x:c>
      <x:c r="J222" s="23" t="str">
        <x:v>中证1000</x:v>
      </x:c>
    </x:row>
    <x:row r="223">
      <x:c r="A223" s="23" t="n">
        <x:v>17</x:v>
      </x:c>
      <x:c r="B223" s="23" t="str">
        <x:v>周四</x:v>
      </x:c>
      <x:c r="C223" s="23" t="str">
        <x:v>9月26日</x:v>
      </x:c>
      <x:c r="D223" s="24" t="n">
        <x:v>4675.944</x:v>
      </x:c>
      <x:c r="E223" s="24" t="n">
        <x:v>4874.132</x:v>
      </x:c>
      <x:c r="F223" s="24" t="n">
        <x:v>4672.866</x:v>
      </x:c>
      <x:c r="G223" s="24" t="n">
        <x:v>4874.132</x:v>
      </x:c>
      <x:c r="H223" s="25" t="n">
        <x:v>0.0400904090214409</x:v>
      </x:c>
      <x:c r="I223" s="33" t="n">
        <x:f>ROUND(E223-F223,1)</x:f>
        <x:v>201.3</x:v>
      </x:c>
      <x:c r="J223" s="23" t="str">
        <x:v>中证1000</x:v>
      </x:c>
    </x:row>
    <x:row r="224">
      <x:c r="A224" s="23" t="n">
        <x:v>18</x:v>
      </x:c>
      <x:c r="B224" s="23" t="str">
        <x:v>周五</x:v>
      </x:c>
      <x:c r="C224" s="23" t="str">
        <x:v>9月27日</x:v>
      </x:c>
      <x:c r="D224" s="24" t="n">
        <x:v>4950.938</x:v>
      </x:c>
      <x:c r="E224" s="24" t="n">
        <x:v>5164.542</x:v>
      </x:c>
      <x:c r="F224" s="24" t="n">
        <x:v>4944.84</x:v>
      </x:c>
      <x:c r="G224" s="24" t="n">
        <x:v>5136.441</x:v>
      </x:c>
      <x:c r="H224" s="25" t="n">
        <x:v>0.05381655646584882</x:v>
      </x:c>
      <x:c r="I224" s="33" t="n">
        <x:f>ROUND(E224-F224,1)</x:f>
        <x:v>219.7</x:v>
      </x:c>
      <x:c r="J224" s="23" t="str">
        <x:v>中证1000</x:v>
      </x:c>
    </x:row>
    <x:row r="225">
      <x:c r="A225" s="23" t="n">
        <x:v>19</x:v>
      </x:c>
      <x:c r="B225" s="23" t="str">
        <x:v>周一</x:v>
      </x:c>
      <x:c r="C225" s="23" t="str">
        <x:v>9月30日</x:v>
      </x:c>
      <x:c r="D225" s="24" t="n">
        <x:v>5375.571</x:v>
      </x:c>
      <x:c r="E225" s="24" t="n">
        <x:v>5732.568</x:v>
      </x:c>
      <x:c r="F225" s="24" t="n">
        <x:v>5307.549</x:v>
      </x:c>
      <x:c r="G225" s="24" t="n">
        <x:v>5708.826</x:v>
      </x:c>
      <x:c r="H225" s="25" t="n">
        <x:v>0.11143610916586022</x:v>
      </x:c>
      <x:c r="I225" s="33" t="n">
        <x:f>ROUND(E225-F225,1)</x:f>
        <x:v>425</x:v>
      </x:c>
      <x:c r="J225" s="23" t="str">
        <x:v>中证1000</x:v>
      </x:c>
    </x:row>
    <x:row r="226">
      <x:c r="A226" s="36" t="str">
        <x:v>合计</x:v>
      </x:c>
      <x:c r="B226" s="35" t="n">
        <x:v>19</x:v>
      </x:c>
      <x:c r="C226" s="35"/>
      <x:c r="D226" s="35"/>
      <x:c r="E226" s="35"/>
      <x:c r="F226" s="35"/>
      <x:c r="G226" s="35"/>
      <x:c r="H226" s="35"/>
      <x:c r="I226" s="37" t="n">
        <x:f>ROUND(SUM(I207:I225),1)</x:f>
        <x:v>2238.6</x:v>
      </x:c>
      <x:c r="J226" s="35"/>
    </x:row>
    <x:row r="227">
      <x:c r="A227" s="36" t="str">
        <x:v>均值</x:v>
      </x:c>
      <x:c r="B227" s="35"/>
      <x:c r="C227" s="35"/>
      <x:c r="D227" s="35"/>
      <x:c r="E227" s="35"/>
      <x:c r="F227" s="35"/>
      <x:c r="G227" s="35"/>
      <x:c r="H227" s="35"/>
      <x:c r="I227" s="39" t="n">
        <x:f>ROUND(IFERROR(AVERAGE(I207:I225),0),1)</x:f>
        <x:v>117.8</x:v>
      </x:c>
      <x:c r="J227" s="35"/>
    </x:row>
    <x:row r="229">
      <x:c r="A229" s="17" t="str">
        <x:v>10月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</x:row>
    <x:row r="230">
      <x:c r="A230" s="20" t="str">
        <x:v>序号</x:v>
      </x:c>
      <x:c r="B230" s="20" t="str">
        <x:v>星期</x:v>
      </x:c>
      <x:c r="C230" s="20" t="str">
        <x:v>日期</x:v>
      </x:c>
      <x:c r="D230" s="20" t="str">
        <x:v>开盘</x:v>
      </x:c>
      <x:c r="E230" s="20" t="str">
        <x:v>高点</x:v>
      </x:c>
      <x:c r="F230" s="20" t="str">
        <x:v>低点</x:v>
      </x:c>
      <x:c r="G230" s="20" t="str">
        <x:v>收盘</x:v>
      </x:c>
      <x:c r="H230" s="20" t="str">
        <x:v>涨幅</x:v>
      </x:c>
      <x:c r="I230" s="20" t="str">
        <x:v>振幅</x:v>
      </x:c>
      <x:c r="J230" s="20" t="str">
        <x:v>标的</x:v>
      </x:c>
    </x:row>
    <x:row r="231">
      <x:c r="A231" s="23" t="n">
        <x:v>1</x:v>
      </x:c>
      <x:c r="B231" s="23" t="str">
        <x:v>周二</x:v>
      </x:c>
      <x:c r="C231" s="23" t="str">
        <x:v>10月8日</x:v>
      </x:c>
      <x:c r="D231" s="24" t="n">
        <x:v>6437.113</x:v>
      </x:c>
      <x:c r="E231" s="24" t="n">
        <x:v>6437.113</x:v>
      </x:c>
      <x:c r="F231" s="24" t="n">
        <x:v>5861.322</x:v>
      </x:c>
      <x:c r="G231" s="24" t="n">
        <x:v>6201.985</x:v>
      </x:c>
      <x:c r="H231" s="25" t="n">
        <x:v>0.08638536189402157</x:v>
      </x:c>
      <x:c r="I231" s="33" t="n">
        <x:f>ROUND(E231-F231,1)</x:f>
        <x:v>575.8</x:v>
      </x:c>
      <x:c r="J231" s="23" t="str">
        <x:v>中证1000</x:v>
      </x:c>
    </x:row>
    <x:row r="232">
      <x:c r="A232" s="23" t="n">
        <x:v>2</x:v>
      </x:c>
      <x:c r="B232" s="23" t="str">
        <x:v>周三</x:v>
      </x:c>
      <x:c r="C232" s="23" t="str">
        <x:v>10月9日</x:v>
      </x:c>
      <x:c r="D232" s="24" t="n">
        <x:v>6052.671</x:v>
      </x:c>
      <x:c r="E232" s="24" t="n">
        <x:v>6105.029</x:v>
      </x:c>
      <x:c r="F232" s="24" t="n">
        <x:v>5706.045</x:v>
      </x:c>
      <x:c r="G232" s="24" t="n">
        <x:v>5727.38</x:v>
      </x:c>
      <x:c r="H232" s="25" t="n">
        <x:v>-0.07652469330383738</x:v>
      </x:c>
      <x:c r="I232" s="33" t="n">
        <x:f>ROUND(E232-F232,1)</x:f>
        <x:v>399</x:v>
      </x:c>
      <x:c r="J232" s="23" t="str">
        <x:v>中证1000</x:v>
      </x:c>
    </x:row>
    <x:row r="233">
      <x:c r="A233" s="23" t="n">
        <x:v>3</x:v>
      </x:c>
      <x:c r="B233" s="23" t="str">
        <x:v>周四</x:v>
      </x:c>
      <x:c r="C233" s="23" t="str">
        <x:v>10月10日</x:v>
      </x:c>
      <x:c r="D233" s="24" t="n">
        <x:v>5777.898</x:v>
      </x:c>
      <x:c r="E233" s="24" t="n">
        <x:v>5881.329</x:v>
      </x:c>
      <x:c r="F233" s="24" t="n">
        <x:v>5593.983</x:v>
      </x:c>
      <x:c r="G233" s="24" t="n">
        <x:v>5654.53</x:v>
      </x:c>
      <x:c r="H233" s="25" t="n">
        <x:v>-0.012719603029657578</x:v>
      </x:c>
      <x:c r="I233" s="33" t="n">
        <x:f>ROUND(E233-F233,1)</x:f>
        <x:v>287.3</x:v>
      </x:c>
      <x:c r="J233" s="23" t="str">
        <x:v>中证1000</x:v>
      </x:c>
    </x:row>
    <x:row r="234">
      <x:c r="A234" s="23" t="n">
        <x:v>4</x:v>
      </x:c>
      <x:c r="B234" s="23" t="str">
        <x:v>周五</x:v>
      </x:c>
      <x:c r="C234" s="23" t="str">
        <x:v>10月11日</x:v>
      </x:c>
      <x:c r="D234" s="24" t="n">
        <x:v>5610.948</x:v>
      </x:c>
      <x:c r="E234" s="24" t="n">
        <x:v>5616.806</x:v>
      </x:c>
      <x:c r="F234" s="24" t="n">
        <x:v>5349.321</x:v>
      </x:c>
      <x:c r="G234" s="24" t="n">
        <x:v>5416.758</x:v>
      </x:c>
      <x:c r="H234" s="25" t="n">
        <x:v>-0.04204982553810832</x:v>
      </x:c>
      <x:c r="I234" s="33" t="n">
        <x:f>ROUND(E234-F234,1)</x:f>
        <x:v>267.5</x:v>
      </x:c>
      <x:c r="J234" s="23" t="str">
        <x:v>中证1000</x:v>
      </x:c>
    </x:row>
    <x:row r="235">
      <x:c r="A235" s="23" t="n">
        <x:v>5</x:v>
      </x:c>
      <x:c r="B235" s="23" t="str">
        <x:v>周一</x:v>
      </x:c>
      <x:c r="C235" s="23" t="str">
        <x:v>10月14日</x:v>
      </x:c>
      <x:c r="D235" s="24" t="n">
        <x:v>5451.619</x:v>
      </x:c>
      <x:c r="E235" s="24" t="n">
        <x:v>5620.419</x:v>
      </x:c>
      <x:c r="F235" s="24" t="n">
        <x:v>5346.424</x:v>
      </x:c>
      <x:c r="G235" s="24" t="n">
        <x:v>5615.756</x:v>
      </x:c>
      <x:c r="H235" s="25" t="n">
        <x:v>0.036737472857380826</x:v>
      </x:c>
      <x:c r="I235" s="33" t="n">
        <x:f>ROUND(E235-F235,1)</x:f>
        <x:v>274</x:v>
      </x:c>
      <x:c r="J235" s="23" t="str">
        <x:v>中证1000</x:v>
      </x:c>
    </x:row>
    <x:row r="236">
      <x:c r="A236" s="23" t="n">
        <x:v>6</x:v>
      </x:c>
      <x:c r="B236" s="23" t="str">
        <x:v>周二</x:v>
      </x:c>
      <x:c r="C236" s="23" t="str">
        <x:v>10月15日</x:v>
      </x:c>
      <x:c r="D236" s="24" t="n">
        <x:v>5585.688</x:v>
      </x:c>
      <x:c r="E236" s="24" t="n">
        <x:v>5704.56</x:v>
      </x:c>
      <x:c r="F236" s="24" t="n">
        <x:v>5505.81</x:v>
      </x:c>
      <x:c r="G236" s="24" t="n">
        <x:v>5507.176</x:v>
      </x:c>
      <x:c r="H236" s="25" t="n">
        <x:v>-0.019334885632495413</x:v>
      </x:c>
      <x:c r="I236" s="33" t="n">
        <x:f>ROUND(E236-F236,1)</x:f>
        <x:v>198.8</x:v>
      </x:c>
      <x:c r="J236" s="23" t="str">
        <x:v>中证1000</x:v>
      </x:c>
    </x:row>
    <x:row r="237">
      <x:c r="A237" s="23" t="n">
        <x:v>7</x:v>
      </x:c>
      <x:c r="B237" s="23" t="str">
        <x:v>周三</x:v>
      </x:c>
      <x:c r="C237" s="23" t="str">
        <x:v>10月16日</x:v>
      </x:c>
      <x:c r="D237" s="24" t="n">
        <x:v>5425.432</x:v>
      </x:c>
      <x:c r="E237" s="24" t="n">
        <x:v>5598.835</x:v>
      </x:c>
      <x:c r="F237" s="24" t="n">
        <x:v>5424.393</x:v>
      </x:c>
      <x:c r="G237" s="24" t="n">
        <x:v>5524.255</x:v>
      </x:c>
      <x:c r="H237" s="25" t="n">
        <x:v>0.003101226472514984</x:v>
      </x:c>
      <x:c r="I237" s="24" t="n">
        <x:f>ROUND(E237-F237,1)</x:f>
        <x:v>174.4</x:v>
      </x:c>
      <x:c r="J237" s="23" t="str">
        <x:v>中证1000</x:v>
      </x:c>
    </x:row>
    <x:row r="238">
      <x:c r="A238" s="23" t="n">
        <x:v>8</x:v>
      </x:c>
      <x:c r="B238" s="23" t="str">
        <x:v>周四</x:v>
      </x:c>
      <x:c r="C238" s="23" t="str">
        <x:v>10月17日</x:v>
      </x:c>
      <x:c r="D238" s="24" t="n">
        <x:v>5563.465</x:v>
      </x:c>
      <x:c r="E238" s="24" t="n">
        <x:v>5624.794</x:v>
      </x:c>
      <x:c r="F238" s="24" t="n">
        <x:v>5504.485</x:v>
      </x:c>
      <x:c r="G238" s="24" t="n">
        <x:v>5505.615</x:v>
      </x:c>
      <x:c r="H238" s="25" t="n">
        <x:v>-0.0033742106401678518</x:v>
      </x:c>
      <x:c r="I238" s="24" t="n">
        <x:f>ROUND(E238-F238,1)</x:f>
        <x:v>120.3</x:v>
      </x:c>
      <x:c r="J238" s="23" t="str">
        <x:v>中证1000</x:v>
      </x:c>
    </x:row>
    <x:row r="239">
      <x:c r="A239" s="29" t="n">
        <x:v>9</x:v>
      </x:c>
      <x:c r="B239" s="29" t="str">
        <x:v>周五</x:v>
      </x:c>
      <x:c r="C239" s="29" t="str">
        <x:v>10月18日</x:v>
      </x:c>
      <x:c r="D239" s="30" t="n">
        <x:v>5495.196</x:v>
      </x:c>
      <x:c r="E239" s="30" t="n">
        <x:v>5880.896</x:v>
      </x:c>
      <x:c r="F239" s="30" t="n">
        <x:v>5484.235</x:v>
      </x:c>
      <x:c r="G239" s="30" t="n">
        <x:v>5749.434</x:v>
      </x:c>
      <x:c r="H239" s="31" t="n">
        <x:v>0.044285515787064744</x:v>
      </x:c>
      <x:c r="I239" s="33" t="n">
        <x:f>ROUND(E239-F239,1)</x:f>
        <x:v>396.7</x:v>
      </x:c>
      <x:c r="J239" s="29" t="str">
        <x:v>中证1000</x:v>
      </x:c>
    </x:row>
    <x:row r="240">
      <x:c r="A240" s="23" t="n">
        <x:v>10</x:v>
      </x:c>
      <x:c r="B240" s="23" t="str">
        <x:v>周一</x:v>
      </x:c>
      <x:c r="C240" s="23" t="str">
        <x:v>10月21日</x:v>
      </x:c>
      <x:c r="D240" s="24" t="n">
        <x:v>5797.003</x:v>
      </x:c>
      <x:c r="E240" s="24" t="n">
        <x:v>5954.436</x:v>
      </x:c>
      <x:c r="F240" s="24" t="n">
        <x:v>5767.79</x:v>
      </x:c>
      <x:c r="G240" s="24" t="n">
        <x:v>5860.571</x:v>
      </x:c>
      <x:c r="H240" s="25" t="n">
        <x:v>0.0193300766649378</x:v>
      </x:c>
      <x:c r="I240" s="33" t="n">
        <x:f>ROUND(E240-F240,1)</x:f>
        <x:v>186.6</x:v>
      </x:c>
      <x:c r="J240" s="23" t="str">
        <x:v>中证1000</x:v>
      </x:c>
    </x:row>
    <x:row r="241">
      <x:c r="A241" s="23" t="n">
        <x:v>11</x:v>
      </x:c>
      <x:c r="B241" s="23" t="str">
        <x:v>周二</x:v>
      </x:c>
      <x:c r="C241" s="23" t="str">
        <x:v>10月22日</x:v>
      </x:c>
      <x:c r="D241" s="24" t="n">
        <x:v>5866.786</x:v>
      </x:c>
      <x:c r="E241" s="24" t="n">
        <x:v>5940.367</x:v>
      </x:c>
      <x:c r="F241" s="24" t="n">
        <x:v>5814.297</x:v>
      </x:c>
      <x:c r="G241" s="24" t="n">
        <x:v>5888.815</x:v>
      </x:c>
      <x:c r="H241" s="25" t="n">
        <x:v>0.004819325625438076</x:v>
      </x:c>
      <x:c r="I241" s="24" t="n">
        <x:f>ROUND(E241-F241,1)</x:f>
        <x:v>126.1</x:v>
      </x:c>
      <x:c r="J241" s="23" t="str">
        <x:v>中证1000</x:v>
      </x:c>
    </x:row>
    <x:row r="242">
      <x:c r="A242" s="23" t="n">
        <x:v>12</x:v>
      </x:c>
      <x:c r="B242" s="23" t="str">
        <x:v>周三</x:v>
      </x:c>
      <x:c r="C242" s="23" t="str">
        <x:v>10月23日</x:v>
      </x:c>
      <x:c r="D242" s="24" t="n">
        <x:v>5871.318</x:v>
      </x:c>
      <x:c r="E242" s="24" t="n">
        <x:v>5991.589</x:v>
      </x:c>
      <x:c r="F242" s="24" t="n">
        <x:v>5856.368</x:v>
      </x:c>
      <x:c r="G242" s="24" t="n">
        <x:v>5903.578</x:v>
      </x:c>
      <x:c r="H242" s="25" t="n">
        <x:v>0.0025069559835044775</x:v>
      </x:c>
      <x:c r="I242" s="24" t="n">
        <x:f>ROUND(E242-F242,1)</x:f>
        <x:v>135.2</x:v>
      </x:c>
      <x:c r="J242" s="23" t="str">
        <x:v>中证1000</x:v>
      </x:c>
    </x:row>
    <x:row r="243">
      <x:c r="A243" s="23" t="n">
        <x:v>13</x:v>
      </x:c>
      <x:c r="B243" s="23" t="str">
        <x:v>周四</x:v>
      </x:c>
      <x:c r="C243" s="23" t="str">
        <x:v>10月24日</x:v>
      </x:c>
      <x:c r="D243" s="24" t="n">
        <x:v>5871.286</x:v>
      </x:c>
      <x:c r="E243" s="24" t="n">
        <x:v>5887.45</x:v>
      </x:c>
      <x:c r="F243" s="24" t="n">
        <x:v>5817.932</x:v>
      </x:c>
      <x:c r="G243" s="24" t="n">
        <x:v>5861.632</x:v>
      </x:c>
      <x:c r="H243" s="25" t="n">
        <x:v>-0.007105182653638353</x:v>
      </x:c>
      <x:c r="I243" s="24" t="n">
        <x:f>ROUND(E243-F243,1)</x:f>
        <x:v>69.5</x:v>
      </x:c>
      <x:c r="J243" s="23" t="str">
        <x:v>中证1000</x:v>
      </x:c>
    </x:row>
    <x:row r="244">
      <x:c r="A244" s="23" t="n">
        <x:v>14</x:v>
      </x:c>
      <x:c r="B244" s="23" t="str">
        <x:v>周五</x:v>
      </x:c>
      <x:c r="C244" s="23" t="str">
        <x:v>10月25日</x:v>
      </x:c>
      <x:c r="D244" s="24" t="n">
        <x:v>5876.437</x:v>
      </x:c>
      <x:c r="E244" s="24" t="n">
        <x:v>6014.11</x:v>
      </x:c>
      <x:c r="F244" s="24" t="n">
        <x:v>5876.214</x:v>
      </x:c>
      <x:c r="G244" s="24" t="n">
        <x:v>5974.909</x:v>
      </x:c>
      <x:c r="H244" s="25" t="n">
        <x:v>0.0193251640498755</x:v>
      </x:c>
      <x:c r="I244" s="24" t="n">
        <x:f>ROUND(E244-F244,1)</x:f>
        <x:v>137.9</x:v>
      </x:c>
      <x:c r="J244" s="23" t="str">
        <x:v>中证1000</x:v>
      </x:c>
    </x:row>
    <x:row r="245">
      <x:c r="A245" s="23" t="n">
        <x:v>15</x:v>
      </x:c>
      <x:c r="B245" s="23" t="str">
        <x:v>周一</x:v>
      </x:c>
      <x:c r="C245" s="23" t="str">
        <x:v>10月28日</x:v>
      </x:c>
      <x:c r="D245" s="24" t="n">
        <x:v>5988.723</x:v>
      </x:c>
      <x:c r="E245" s="24" t="n">
        <x:v>6082.088</x:v>
      </x:c>
      <x:c r="F245" s="24" t="n">
        <x:v>5965.001</x:v>
      </x:c>
      <x:c r="G245" s="24" t="n">
        <x:v>6082.088</x:v>
      </x:c>
      <x:c r="H245" s="25" t="n">
        <x:v>0.017938181150541466</x:v>
      </x:c>
      <x:c r="I245" s="24" t="n">
        <x:f>ROUND(E245-F245,1)</x:f>
        <x:v>117.1</x:v>
      </x:c>
      <x:c r="J245" s="23" t="str">
        <x:v>中证1000</x:v>
      </x:c>
    </x:row>
    <x:row r="246">
      <x:c r="A246" s="23" t="n">
        <x:v>16</x:v>
      </x:c>
      <x:c r="B246" s="23" t="str">
        <x:v>周二</x:v>
      </x:c>
      <x:c r="C246" s="23" t="str">
        <x:v>10月29日</x:v>
      </x:c>
      <x:c r="D246" s="24" t="n">
        <x:v>6106.194</x:v>
      </x:c>
      <x:c r="E246" s="24" t="n">
        <x:v>6113.638</x:v>
      </x:c>
      <x:c r="F246" s="24" t="n">
        <x:v>5982.526</x:v>
      </x:c>
      <x:c r="G246" s="24" t="n">
        <x:v>5983.836</x:v>
      </x:c>
      <x:c r="H246" s="25" t="n">
        <x:v>-0.016154320687237544</x:v>
      </x:c>
      <x:c r="I246" s="24" t="n">
        <x:f>ROUND(E246-F246,1)</x:f>
        <x:v>131.1</x:v>
      </x:c>
      <x:c r="J246" s="23" t="str">
        <x:v>中证1000</x:v>
      </x:c>
    </x:row>
    <x:row r="247">
      <x:c r="A247" s="23" t="n">
        <x:v>17</x:v>
      </x:c>
      <x:c r="B247" s="23" t="str">
        <x:v>周三</x:v>
      </x:c>
      <x:c r="C247" s="23" t="str">
        <x:v>10月30日</x:v>
      </x:c>
      <x:c r="D247" s="24" t="n">
        <x:v>5960.792</x:v>
      </x:c>
      <x:c r="E247" s="24" t="n">
        <x:v>6043.587</x:v>
      </x:c>
      <x:c r="F247" s="24" t="n">
        <x:v>5945.675</x:v>
      </x:c>
      <x:c r="G247" s="24" t="n">
        <x:v>6019.347</x:v>
      </x:c>
      <x:c r="H247" s="25" t="n">
        <x:v>0.005934487509350106</x:v>
      </x:c>
      <x:c r="I247" s="24" t="n">
        <x:f>ROUND(E247-F247,1)</x:f>
        <x:v>97.9</x:v>
      </x:c>
      <x:c r="J247" s="23" t="str">
        <x:v>中证1000</x:v>
      </x:c>
    </x:row>
    <x:row r="248">
      <x:c r="A248" s="23" t="n">
        <x:v>18</x:v>
      </x:c>
      <x:c r="B248" s="23" t="str">
        <x:v>周四</x:v>
      </x:c>
      <x:c r="C248" s="23" t="str">
        <x:v>10月31日</x:v>
      </x:c>
      <x:c r="D248" s="24" t="n">
        <x:v>6041.013</x:v>
      </x:c>
      <x:c r="E248" s="24" t="n">
        <x:v>6161.555</x:v>
      </x:c>
      <x:c r="F248" s="24" t="n">
        <x:v>6004.713</x:v>
      </x:c>
      <x:c r="G248" s="24" t="n">
        <x:v>6116.663</x:v>
      </x:c>
      <x:c r="H248" s="25" t="n">
        <x:v>0.016167202189872</x:v>
      </x:c>
      <x:c r="I248" s="24" t="n">
        <x:f>ROUND(E248-F248,1)</x:f>
        <x:v>156.8</x:v>
      </x:c>
      <x:c r="J248" s="23" t="str">
        <x:v>中证1000</x:v>
      </x:c>
    </x:row>
    <x:row r="249">
      <x:c r="A249" s="36" t="str">
        <x:v>合计</x:v>
      </x:c>
      <x:c r="B249" s="35" t="n">
        <x:v>18</x:v>
      </x:c>
      <x:c r="C249" s="35"/>
      <x:c r="D249" s="35"/>
      <x:c r="E249" s="35"/>
      <x:c r="F249" s="35"/>
      <x:c r="G249" s="35"/>
      <x:c r="H249" s="35"/>
      <x:c r="I249" s="37" t="n">
        <x:f>ROUND(SUM(I231:I248),1)</x:f>
        <x:v>3852</x:v>
      </x:c>
      <x:c r="J249" s="35"/>
    </x:row>
    <x:row r="250">
      <x:c r="A250" s="36" t="str">
        <x:v>均值</x:v>
      </x:c>
      <x:c r="B250" s="35"/>
      <x:c r="C250" s="35"/>
      <x:c r="D250" s="35"/>
      <x:c r="E250" s="35"/>
      <x:c r="F250" s="35"/>
      <x:c r="G250" s="35"/>
      <x:c r="H250" s="35"/>
      <x:c r="I250" s="39" t="n">
        <x:f>ROUND(IFERROR(AVERAGE(I231:I248),0),1)</x:f>
        <x:v>214</x:v>
      </x:c>
      <x:c r="J250" s="35"/>
    </x:row>
    <x:row r="252">
      <x:c r="A252" s="17" t="str">
        <x:v>11月</x:v>
      </x:c>
      <x:c r="B252" s="17"/>
      <x:c r="C252" s="17"/>
      <x:c r="D252" s="17"/>
      <x:c r="E252" s="17"/>
      <x:c r="F252" s="17"/>
      <x:c r="G252" s="17"/>
      <x:c r="H252" s="17"/>
      <x:c r="I252" s="17"/>
      <x:c r="J252" s="17"/>
    </x:row>
    <x:row r="253">
      <x:c r="A253" s="20" t="str">
        <x:v>序号</x:v>
      </x:c>
      <x:c r="B253" s="20" t="str">
        <x:v>星期</x:v>
      </x:c>
      <x:c r="C253" s="20" t="str">
        <x:v>日期</x:v>
      </x:c>
      <x:c r="D253" s="20" t="str">
        <x:v>开盘</x:v>
      </x:c>
      <x:c r="E253" s="20" t="str">
        <x:v>高点</x:v>
      </x:c>
      <x:c r="F253" s="20" t="str">
        <x:v>低点</x:v>
      </x:c>
      <x:c r="G253" s="20" t="str">
        <x:v>收盘</x:v>
      </x:c>
      <x:c r="H253" s="20" t="str">
        <x:v>涨幅</x:v>
      </x:c>
      <x:c r="I253" s="20" t="str">
        <x:v>振幅</x:v>
      </x:c>
      <x:c r="J253" s="20" t="str">
        <x:v>标的</x:v>
      </x:c>
    </x:row>
    <x:row r="254">
      <x:c r="A254" s="23" t="n">
        <x:v>1</x:v>
      </x:c>
      <x:c r="B254" s="23" t="str">
        <x:v>周五</x:v>
      </x:c>
      <x:c r="C254" s="23" t="str">
        <x:v>11月1日</x:v>
      </x:c>
      <x:c r="D254" s="24" t="n">
        <x:v>6100.79</x:v>
      </x:c>
      <x:c r="E254" s="24" t="n">
        <x:v>6125.408</x:v>
      </x:c>
      <x:c r="F254" s="24" t="n">
        <x:v>5912.532</x:v>
      </x:c>
      <x:c r="G254" s="24" t="n">
        <x:v>5930.232</x:v>
      </x:c>
      <x:c r="H254" s="25" t="n">
        <x:v>-0.030479200832218445</x:v>
      </x:c>
      <x:c r="I254" s="33" t="n">
        <x:f>ROUND(E254-F254,1)</x:f>
        <x:v>212.9</x:v>
      </x:c>
      <x:c r="J254" s="23" t="str">
        <x:v>中证1000</x:v>
      </x:c>
    </x:row>
    <x:row r="255">
      <x:c r="A255" s="23" t="n">
        <x:v>2</x:v>
      </x:c>
      <x:c r="B255" s="23" t="str">
        <x:v>周一</x:v>
      </x:c>
      <x:c r="C255" s="23" t="str">
        <x:v>11月4日</x:v>
      </x:c>
      <x:c r="D255" s="24" t="n">
        <x:v>5912.314</x:v>
      </x:c>
      <x:c r="E255" s="24" t="n">
        <x:v>6053.112</x:v>
      </x:c>
      <x:c r="F255" s="24" t="n">
        <x:v>5912.314</x:v>
      </x:c>
      <x:c r="G255" s="24" t="n">
        <x:v>6053.112</x:v>
      </x:c>
      <x:c r="H255" s="25" t="n">
        <x:v>0.02072094312667705</x:v>
      </x:c>
      <x:c r="I255" s="24" t="n">
        <x:f>ROUND(E255-F255,1)</x:f>
        <x:v>140.8</x:v>
      </x:c>
      <x:c r="J255" s="23" t="str">
        <x:v>中证1000</x:v>
      </x:c>
    </x:row>
    <x:row r="256">
      <x:c r="A256" s="23" t="n">
        <x:v>3</x:v>
      </x:c>
      <x:c r="B256" s="23" t="str">
        <x:v>周二</x:v>
      </x:c>
      <x:c r="C256" s="23" t="str">
        <x:v>11月5日</x:v>
      </x:c>
      <x:c r="D256" s="24" t="n">
        <x:v>6057.208</x:v>
      </x:c>
      <x:c r="E256" s="24" t="n">
        <x:v>6279.915</x:v>
      </x:c>
      <x:c r="F256" s="24" t="n">
        <x:v>6051.457</x:v>
      </x:c>
      <x:c r="G256" s="24" t="n">
        <x:v>6266.542</x:v>
      </x:c>
      <x:c r="H256" s="25" t="n">
        <x:v>0.035259549137699686</x:v>
      </x:c>
      <x:c r="I256" s="33" t="n">
        <x:f>ROUND(E256-F256,1)</x:f>
        <x:v>228.5</x:v>
      </x:c>
      <x:c r="J256" s="23" t="str">
        <x:v>中证1000</x:v>
      </x:c>
    </x:row>
    <x:row r="257">
      <x:c r="A257" s="23" t="n">
        <x:v>4</x:v>
      </x:c>
      <x:c r="B257" s="23" t="str">
        <x:v>周三</x:v>
      </x:c>
      <x:c r="C257" s="23" t="str">
        <x:v>11月6日</x:v>
      </x:c>
      <x:c r="D257" s="24" t="n">
        <x:v>6287.293</x:v>
      </x:c>
      <x:c r="E257" s="24" t="n">
        <x:v>6368.869</x:v>
      </x:c>
      <x:c r="F257" s="24" t="n">
        <x:v>6247.152</x:v>
      </x:c>
      <x:c r="G257" s="24" t="n">
        <x:v>6293.193</x:v>
      </x:c>
      <x:c r="H257" s="25" t="n">
        <x:v>0.004252903754574655</x:v>
      </x:c>
      <x:c r="I257" s="24" t="n">
        <x:f>ROUND(E257-F257,1)</x:f>
        <x:v>121.7</x:v>
      </x:c>
      <x:c r="J257" s="23" t="str">
        <x:v>中证1000</x:v>
      </x:c>
    </x:row>
    <x:row r="258">
      <x:c r="A258" s="23" t="n">
        <x:v>5</x:v>
      </x:c>
      <x:c r="B258" s="23" t="str">
        <x:v>周四</x:v>
      </x:c>
      <x:c r="C258" s="23" t="str">
        <x:v>11月7日</x:v>
      </x:c>
      <x:c r="D258" s="24" t="n">
        <x:v>6238.617</x:v>
      </x:c>
      <x:c r="E258" s="24" t="n">
        <x:v>6403.918</x:v>
      </x:c>
      <x:c r="F258" s="24" t="n">
        <x:v>6229.49</x:v>
      </x:c>
      <x:c r="G258" s="24" t="n">
        <x:v>6403.918</x:v>
      </x:c>
      <x:c r="H258" s="25" t="n">
        <x:v>0.01759440716342242</x:v>
      </x:c>
      <x:c r="I258" s="24" t="n">
        <x:f>ROUND(E258-F258,1)</x:f>
        <x:v>174.4</x:v>
      </x:c>
      <x:c r="J258" s="23" t="str">
        <x:v>中证1000</x:v>
      </x:c>
    </x:row>
    <x:row r="259">
      <x:c r="A259" s="23" t="n">
        <x:v>6</x:v>
      </x:c>
      <x:c r="B259" s="23" t="str">
        <x:v>周五</x:v>
      </x:c>
      <x:c r="C259" s="23" t="str">
        <x:v>11月8日</x:v>
      </x:c>
      <x:c r="D259" s="24" t="n">
        <x:v>6470.074</x:v>
      </x:c>
      <x:c r="E259" s="24" t="n">
        <x:v>6526.65</x:v>
      </x:c>
      <x:c r="F259" s="24" t="n">
        <x:v>6400.094</x:v>
      </x:c>
      <x:c r="G259" s="24" t="n">
        <x:v>6423.122</x:v>
      </x:c>
      <x:c r="H259" s="25" t="n">
        <x:v>0.002998789178749739</x:v>
      </x:c>
      <x:c r="I259" s="24" t="n">
        <x:f>ROUND(E259-F259,1)</x:f>
        <x:v>126.6</x:v>
      </x:c>
      <x:c r="J259" s="23" t="str">
        <x:v>中证1000</x:v>
      </x:c>
    </x:row>
    <x:row r="260">
      <x:c r="A260" s="23" t="n">
        <x:v>7</x:v>
      </x:c>
      <x:c r="B260" s="23" t="str">
        <x:v>周一</x:v>
      </x:c>
      <x:c r="C260" s="23" t="str">
        <x:v>11月11日</x:v>
      </x:c>
      <x:c r="D260" s="24" t="n">
        <x:v>6416.168</x:v>
      </x:c>
      <x:c r="E260" s="24" t="n">
        <x:v>6580.568</x:v>
      </x:c>
      <x:c r="F260" s="24" t="n">
        <x:v>6412.576</x:v>
      </x:c>
      <x:c r="G260" s="24" t="n">
        <x:v>6579.005</x:v>
      </x:c>
      <x:c r="H260" s="25" t="n">
        <x:v>0.02426903926159274</x:v>
      </x:c>
      <x:c r="I260" s="24" t="n">
        <x:f>ROUND(E260-F260,1)</x:f>
        <x:v>168</x:v>
      </x:c>
      <x:c r="J260" s="23" t="str">
        <x:v>中证1000</x:v>
      </x:c>
    </x:row>
    <x:row r="261">
      <x:c r="A261" s="23" t="n">
        <x:v>8</x:v>
      </x:c>
      <x:c r="B261" s="23" t="str">
        <x:v>周二</x:v>
      </x:c>
      <x:c r="C261" s="23" t="str">
        <x:v>11月12日</x:v>
      </x:c>
      <x:c r="D261" s="24" t="n">
        <x:v>6593.822</x:v>
      </x:c>
      <x:c r="E261" s="24" t="n">
        <x:v>6616.157</x:v>
      </x:c>
      <x:c r="F261" s="24" t="n">
        <x:v>6429.35</x:v>
      </x:c>
      <x:c r="G261" s="24" t="n">
        <x:v>6491.972</x:v>
      </x:c>
      <x:c r="H261" s="25" t="n">
        <x:v>-0.013228900114835018</x:v>
      </x:c>
      <x:c r="I261" s="33" t="n">
        <x:f>ROUND(E261-F261,1)</x:f>
        <x:v>186.8</x:v>
      </x:c>
      <x:c r="J261" s="23" t="str">
        <x:v>中证1000</x:v>
      </x:c>
    </x:row>
    <x:row r="262">
      <x:c r="A262" s="23" t="n">
        <x:v>9</x:v>
      </x:c>
      <x:c r="B262" s="23" t="str">
        <x:v>周三</x:v>
      </x:c>
      <x:c r="C262" s="23" t="str">
        <x:v>11月13日</x:v>
      </x:c>
      <x:c r="D262" s="24" t="n">
        <x:v>6453.864</x:v>
      </x:c>
      <x:c r="E262" s="24" t="n">
        <x:v>6512.597</x:v>
      </x:c>
      <x:c r="F262" s="24" t="n">
        <x:v>6357.556</x:v>
      </x:c>
      <x:c r="G262" s="24" t="n">
        <x:v>6474.394</x:v>
      </x:c>
      <x:c r="H262" s="25" t="n">
        <x:v>-0.002707651850624049</x:v>
      </x:c>
      <x:c r="I262" s="24" t="n">
        <x:f>ROUND(E262-F262,1)</x:f>
        <x:v>155</x:v>
      </x:c>
      <x:c r="J262" s="23" t="str">
        <x:v>中证1000</x:v>
      </x:c>
    </x:row>
    <x:row r="263">
      <x:c r="A263" s="23" t="n">
        <x:v>10</x:v>
      </x:c>
      <x:c r="B263" s="23" t="str">
        <x:v>周四</x:v>
      </x:c>
      <x:c r="C263" s="23" t="str">
        <x:v>11月14日</x:v>
      </x:c>
      <x:c r="D263" s="24" t="n">
        <x:v>6462.01</x:v>
      </x:c>
      <x:c r="E263" s="24" t="n">
        <x:v>6472.954</x:v>
      </x:c>
      <x:c r="F263" s="24" t="n">
        <x:v>6263.314</x:v>
      </x:c>
      <x:c r="G263" s="24" t="n">
        <x:v>6272.191</x:v>
      </x:c>
      <x:c r="H263" s="25" t="n">
        <x:v>-0.03123118549782422</x:v>
      </x:c>
      <x:c r="I263" s="33" t="n">
        <x:f>ROUND(E263-F263,1)</x:f>
        <x:v>209.6</x:v>
      </x:c>
      <x:c r="J263" s="23" t="str">
        <x:v>中证1000</x:v>
      </x:c>
    </x:row>
    <x:row r="264">
      <x:c r="A264" s="29" t="n">
        <x:v>11</x:v>
      </x:c>
      <x:c r="B264" s="29" t="str">
        <x:v>周五</x:v>
      </x:c>
      <x:c r="C264" s="29" t="str">
        <x:v>11月15日</x:v>
      </x:c>
      <x:c r="D264" s="30" t="n">
        <x:v>6246.336</x:v>
      </x:c>
      <x:c r="E264" s="30" t="n">
        <x:v>6331.872</x:v>
      </x:c>
      <x:c r="F264" s="30" t="n">
        <x:v>6124.661</x:v>
      </x:c>
      <x:c r="G264" s="30" t="n">
        <x:v>6125.513</x:v>
      </x:c>
      <x:c r="H264" s="31" t="n">
        <x:v>-0.023385448561754507</x:v>
      </x:c>
      <x:c r="I264" s="33" t="n">
        <x:f>ROUND(E264-F264,1)</x:f>
        <x:v>207.2</x:v>
      </x:c>
      <x:c r="J264" s="29" t="str">
        <x:v>中证1000</x:v>
      </x:c>
    </x:row>
    <x:row r="265">
      <x:c r="A265" s="23" t="n">
        <x:v>12</x:v>
      </x:c>
      <x:c r="B265" s="23" t="str">
        <x:v>周一</x:v>
      </x:c>
      <x:c r="C265" s="23" t="str">
        <x:v>11月18日</x:v>
      </x:c>
      <x:c r="D265" s="24" t="n">
        <x:v>6154.507</x:v>
      </x:c>
      <x:c r="E265" s="24" t="n">
        <x:v>6180.88</x:v>
      </x:c>
      <x:c r="F265" s="24" t="n">
        <x:v>5937.085</x:v>
      </x:c>
      <x:c r="G265" s="24" t="n">
        <x:v>5974.558</x:v>
      </x:c>
      <x:c r="H265" s="25" t="n">
        <x:v>-0.02464365025427262</x:v>
      </x:c>
      <x:c r="I265" s="33" t="n">
        <x:f>ROUND(E265-F265,1)</x:f>
        <x:v>243.8</x:v>
      </x:c>
      <x:c r="J265" s="23" t="str">
        <x:v>中证1000</x:v>
      </x:c>
    </x:row>
    <x:row r="266">
      <x:c r="A266" s="23" t="n">
        <x:v>13</x:v>
      </x:c>
      <x:c r="B266" s="23" t="str">
        <x:v>周二</x:v>
      </x:c>
      <x:c r="C266" s="23" t="str">
        <x:v>11月19日</x:v>
      </x:c>
      <x:c r="D266" s="24" t="n">
        <x:v>5977.844</x:v>
      </x:c>
      <x:c r="E266" s="24" t="n">
        <x:v>6130.496</x:v>
      </x:c>
      <x:c r="F266" s="24" t="n">
        <x:v>5945.456</x:v>
      </x:c>
      <x:c r="G266" s="24" t="n">
        <x:v>6130.285</x:v>
      </x:c>
      <x:c r="H266" s="25" t="n">
        <x:v>0.026065024391762615</x:v>
      </x:c>
      <x:c r="I266" s="33" t="n">
        <x:f>ROUND(E266-F266,1)</x:f>
        <x:v>185</x:v>
      </x:c>
      <x:c r="J266" s="23" t="str">
        <x:v>中证1000</x:v>
      </x:c>
    </x:row>
    <x:row r="267">
      <x:c r="A267" s="23" t="n">
        <x:v>14</x:v>
      </x:c>
      <x:c r="B267" s="23" t="str">
        <x:v>周三</x:v>
      </x:c>
      <x:c r="C267" s="23" t="str">
        <x:v>11月20日</x:v>
      </x:c>
      <x:c r="D267" s="24" t="n">
        <x:v>6116.96</x:v>
      </x:c>
      <x:c r="E267" s="24" t="n">
        <x:v>6262.083</x:v>
      </x:c>
      <x:c r="F267" s="24" t="n">
        <x:v>6105.222</x:v>
      </x:c>
      <x:c r="G267" s="24" t="n">
        <x:v>6250.803</x:v>
      </x:c>
      <x:c r="H267" s="25" t="n">
        <x:v>0.01965944487083382</x:v>
      </x:c>
      <x:c r="I267" s="24" t="n">
        <x:f>ROUND(E267-F267,1)</x:f>
        <x:v>156.9</x:v>
      </x:c>
      <x:c r="J267" s="23" t="str">
        <x:v>中证1000</x:v>
      </x:c>
    </x:row>
    <x:row r="268">
      <x:c r="A268" s="23" t="n">
        <x:v>15</x:v>
      </x:c>
      <x:c r="B268" s="23" t="str">
        <x:v>周四</x:v>
      </x:c>
      <x:c r="C268" s="23" t="str">
        <x:v>11月21日</x:v>
      </x:c>
      <x:c r="D268" s="24" t="n">
        <x:v>6241.009</x:v>
      </x:c>
      <x:c r="E268" s="24" t="n">
        <x:v>6292.86</x:v>
      </x:c>
      <x:c r="F268" s="24" t="n">
        <x:v>6199.706</x:v>
      </x:c>
      <x:c r="G268" s="24" t="n">
        <x:v>6262.164</x:v>
      </x:c>
      <x:c r="H268" s="25" t="n">
        <x:v>0.0018175264841973071</x:v>
      </x:c>
      <x:c r="I268" s="24" t="n">
        <x:f>ROUND(E268-F268,1)</x:f>
        <x:v>93.2</x:v>
      </x:c>
      <x:c r="J268" s="23" t="str">
        <x:v>中证1000</x:v>
      </x:c>
    </x:row>
    <x:row r="269">
      <x:c r="A269" s="23" t="n">
        <x:v>16</x:v>
      </x:c>
      <x:c r="B269" s="23" t="str">
        <x:v>周五</x:v>
      </x:c>
      <x:c r="C269" s="23" t="str">
        <x:v>11月22日</x:v>
      </x:c>
      <x:c r="D269" s="24" t="n">
        <x:v>6240.086</x:v>
      </x:c>
      <x:c r="E269" s="24" t="n">
        <x:v>6280.603</x:v>
      </x:c>
      <x:c r="F269" s="24" t="n">
        <x:v>6030.375</x:v>
      </x:c>
      <x:c r="G269" s="24" t="n">
        <x:v>6030.488</x:v>
      </x:c>
      <x:c r="H269" s="25" t="n">
        <x:v>-0.03699615660017841</x:v>
      </x:c>
      <x:c r="I269" s="33" t="n">
        <x:f>ROUND(E269-F269,1)</x:f>
        <x:v>250.2</x:v>
      </x:c>
      <x:c r="J269" s="23" t="str">
        <x:v>中证1000</x:v>
      </x:c>
    </x:row>
    <x:row r="270">
      <x:c r="A270" s="23" t="n">
        <x:v>17</x:v>
      </x:c>
      <x:c r="B270" s="23" t="str">
        <x:v>周一</x:v>
      </x:c>
      <x:c r="C270" s="23" t="str">
        <x:v>11月25日</x:v>
      </x:c>
      <x:c r="D270" s="24" t="n">
        <x:v>6047.938</x:v>
      </x:c>
      <x:c r="E270" s="24" t="n">
        <x:v>6076.191</x:v>
      </x:c>
      <x:c r="F270" s="24" t="n">
        <x:v>5937.905</x:v>
      </x:c>
      <x:c r="G270" s="24" t="n">
        <x:v>6052.129</x:v>
      </x:c>
      <x:c r="H270" s="25" t="n">
        <x:v>0.003588598468316162</x:v>
      </x:c>
      <x:c r="I270" s="24" t="n">
        <x:f>ROUND(E270-F270,1)</x:f>
        <x:v>138.3</x:v>
      </x:c>
      <x:c r="J270" s="23" t="str">
        <x:v>中证1000</x:v>
      </x:c>
    </x:row>
    <x:row r="271">
      <x:c r="A271" s="23" t="n">
        <x:v>18</x:v>
      </x:c>
      <x:c r="B271" s="23" t="str">
        <x:v>周二</x:v>
      </x:c>
      <x:c r="C271" s="23" t="str">
        <x:v>11月26日</x:v>
      </x:c>
      <x:c r="D271" s="24" t="n">
        <x:v>6036.638</x:v>
      </x:c>
      <x:c r="E271" s="24" t="n">
        <x:v>6093.371</x:v>
      </x:c>
      <x:c r="F271" s="24" t="n">
        <x:v>5979.392</x:v>
      </x:c>
      <x:c r="G271" s="24" t="n">
        <x:v>5981.57</x:v>
      </x:c>
      <x:c r="H271" s="25" t="n">
        <x:v>-0.011658541977542125</x:v>
      </x:c>
      <x:c r="I271" s="24" t="n">
        <x:f>ROUND(E271-F271,1)</x:f>
        <x:v>114</x:v>
      </x:c>
      <x:c r="J271" s="23" t="str">
        <x:v>中证1000</x:v>
      </x:c>
    </x:row>
    <x:row r="272">
      <x:c r="A272" s="23" t="n">
        <x:v>19</x:v>
      </x:c>
      <x:c r="B272" s="23" t="str">
        <x:v>周三</x:v>
      </x:c>
      <x:c r="C272" s="23" t="str">
        <x:v>11月27日</x:v>
      </x:c>
      <x:c r="D272" s="24" t="n">
        <x:v>5942.533</x:v>
      </x:c>
      <x:c r="E272" s="24" t="n">
        <x:v>6119.011</x:v>
      </x:c>
      <x:c r="F272" s="24" t="n">
        <x:v>5856.997</x:v>
      </x:c>
      <x:c r="G272" s="24" t="n">
        <x:v>6118.664</x:v>
      </x:c>
      <x:c r="H272" s="25" t="n">
        <x:v>0.02291940075933252</x:v>
      </x:c>
      <x:c r="I272" s="33" t="n">
        <x:f>ROUND(E272-F272,1)</x:f>
        <x:v>262</x:v>
      </x:c>
      <x:c r="J272" s="23" t="str">
        <x:v>中证1000</x:v>
      </x:c>
    </x:row>
    <x:row r="273">
      <x:c r="A273" s="23" t="n">
        <x:v>20</x:v>
      </x:c>
      <x:c r="B273" s="23" t="str">
        <x:v>周四</x:v>
      </x:c>
      <x:c r="C273" s="23" t="str">
        <x:v>11月28日</x:v>
      </x:c>
      <x:c r="D273" s="24" t="n">
        <x:v>6121.678</x:v>
      </x:c>
      <x:c r="E273" s="24" t="n">
        <x:v>6170.134</x:v>
      </x:c>
      <x:c r="F273" s="24" t="n">
        <x:v>6077.601</x:v>
      </x:c>
      <x:c r="G273" s="24" t="n">
        <x:v>6086.085</x:v>
      </x:c>
      <x:c r="H273" s="25" t="n">
        <x:v>-0.005324528361093206</x:v>
      </x:c>
      <x:c r="I273" s="24" t="n">
        <x:f>ROUND(E273-F273,1)</x:f>
        <x:v>92.5</x:v>
      </x:c>
      <x:c r="J273" s="23" t="str">
        <x:v>中证1000</x:v>
      </x:c>
    </x:row>
    <x:row r="274">
      <x:c r="A274" s="23" t="n">
        <x:v>21</x:v>
      </x:c>
      <x:c r="B274" s="23" t="str">
        <x:v>周五</x:v>
      </x:c>
      <x:c r="C274" s="23" t="str">
        <x:v>11月29日</x:v>
      </x:c>
      <x:c r="D274" s="24" t="n">
        <x:v>6066.714</x:v>
      </x:c>
      <x:c r="E274" s="24" t="n">
        <x:v>6246.198</x:v>
      </x:c>
      <x:c r="F274" s="24" t="n">
        <x:v>6039.832</x:v>
      </x:c>
      <x:c r="G274" s="24" t="n">
        <x:v>6189.128</x:v>
      </x:c>
      <x:c r="H274" s="25" t="n">
        <x:v>0.016930917001652057</x:v>
      </x:c>
      <x:c r="I274" s="33" t="n">
        <x:f>ROUND(E274-F274,1)</x:f>
        <x:v>206.4</x:v>
      </x:c>
      <x:c r="J274" s="23" t="str">
        <x:v>中证1000</x:v>
      </x:c>
    </x:row>
    <x:row r="275">
      <x:c r="A275" s="36" t="str">
        <x:v>合计</x:v>
      </x:c>
      <x:c r="B275" s="35" t="n">
        <x:v>21</x:v>
      </x:c>
      <x:c r="C275" s="35"/>
      <x:c r="D275" s="35"/>
      <x:c r="E275" s="35"/>
      <x:c r="F275" s="35"/>
      <x:c r="G275" s="35"/>
      <x:c r="H275" s="35"/>
      <x:c r="I275" s="37" t="n">
        <x:f>ROUND(SUM(I254:I274),1)</x:f>
        <x:v>3673.8</x:v>
      </x:c>
      <x:c r="J275" s="35"/>
    </x:row>
    <x:row r="276">
      <x:c r="A276" s="36" t="str">
        <x:v>均值</x:v>
      </x:c>
      <x:c r="B276" s="35"/>
      <x:c r="C276" s="35"/>
      <x:c r="D276" s="35"/>
      <x:c r="E276" s="35"/>
      <x:c r="F276" s="35"/>
      <x:c r="G276" s="35"/>
      <x:c r="H276" s="35"/>
      <x:c r="I276" s="39" t="n">
        <x:f>ROUND(IFERROR(AVERAGE(I254:I274),0),1)</x:f>
        <x:v>174.9</x:v>
      </x:c>
      <x:c r="J276" s="35"/>
    </x:row>
    <x:row r="278">
      <x:c r="A278" s="17" t="str">
        <x:v>12月</x:v>
      </x:c>
      <x:c r="B278" s="17"/>
      <x:c r="C278" s="17"/>
      <x:c r="D278" s="17"/>
      <x:c r="E278" s="17"/>
      <x:c r="F278" s="17"/>
      <x:c r="G278" s="17"/>
      <x:c r="H278" s="17"/>
      <x:c r="I278" s="17"/>
      <x:c r="J278" s="17"/>
    </x:row>
    <x:row r="279">
      <x:c r="A279" s="20" t="str">
        <x:v>序号</x:v>
      </x:c>
      <x:c r="B279" s="20" t="str">
        <x:v>星期</x:v>
      </x:c>
      <x:c r="C279" s="20" t="str">
        <x:v>日期</x:v>
      </x:c>
      <x:c r="D279" s="20" t="str">
        <x:v>开盘</x:v>
      </x:c>
      <x:c r="E279" s="20" t="str">
        <x:v>高点</x:v>
      </x:c>
      <x:c r="F279" s="20" t="str">
        <x:v>低点</x:v>
      </x:c>
      <x:c r="G279" s="20" t="str">
        <x:v>收盘</x:v>
      </x:c>
      <x:c r="H279" s="20" t="str">
        <x:v>涨幅</x:v>
      </x:c>
      <x:c r="I279" s="20" t="str">
        <x:v>振幅</x:v>
      </x:c>
      <x:c r="J279" s="20" t="str">
        <x:v>标的</x:v>
      </x:c>
    </x:row>
    <x:row r="280">
      <x:c r="A280" s="23" t="n">
        <x:v>1</x:v>
      </x:c>
      <x:c r="B280" s="23" t="str">
        <x:v>周一</x:v>
      </x:c>
      <x:c r="C280" s="23" t="str">
        <x:v>12月2日</x:v>
      </x:c>
      <x:c r="D280" s="24" t="n">
        <x:v>6188.802</x:v>
      </x:c>
      <x:c r="E280" s="24" t="n">
        <x:v>6325.86</x:v>
      </x:c>
      <x:c r="F280" s="24" t="n">
        <x:v>6188.802</x:v>
      </x:c>
      <x:c r="G280" s="24" t="n">
        <x:v>6313.608</x:v>
      </x:c>
      <x:c r="H280" s="25" t="n">
        <x:v>0.020112687926312045</x:v>
      </x:c>
      <x:c r="I280" s="24" t="n">
        <x:f>ROUND(E280-F280,1)</x:f>
        <x:v>137.1</x:v>
      </x:c>
      <x:c r="J280" s="23" t="str">
        <x:v>中证1000</x:v>
      </x:c>
    </x:row>
    <x:row r="281">
      <x:c r="A281" s="23" t="n">
        <x:v>2</x:v>
      </x:c>
      <x:c r="B281" s="23" t="str">
        <x:v>周二</x:v>
      </x:c>
      <x:c r="C281" s="23" t="str">
        <x:v>12月3日</x:v>
      </x:c>
      <x:c r="D281" s="24" t="n">
        <x:v>6318.966</x:v>
      </x:c>
      <x:c r="E281" s="24" t="n">
        <x:v>6342.357</x:v>
      </x:c>
      <x:c r="F281" s="24" t="n">
        <x:v>6239.44</x:v>
      </x:c>
      <x:c r="G281" s="24" t="n">
        <x:v>6303.276</x:v>
      </x:c>
      <x:c r="H281" s="25" t="n">
        <x:v>-0.0016364652350921993</x:v>
      </x:c>
      <x:c r="I281" s="24" t="n">
        <x:f>ROUND(E281-F281,1)</x:f>
        <x:v>102.9</x:v>
      </x:c>
      <x:c r="J281" s="23" t="str">
        <x:v>中证1000</x:v>
      </x:c>
    </x:row>
    <x:row r="282">
      <x:c r="A282" s="23" t="n">
        <x:v>3</x:v>
      </x:c>
      <x:c r="B282" s="23" t="str">
        <x:v>周三</x:v>
      </x:c>
      <x:c r="C282" s="23" t="str">
        <x:v>12月4日</x:v>
      </x:c>
      <x:c r="D282" s="24" t="n">
        <x:v>6301.048</x:v>
      </x:c>
      <x:c r="E282" s="24" t="n">
        <x:v>6303.505</x:v>
      </x:c>
      <x:c r="F282" s="24" t="n">
        <x:v>6175.839</x:v>
      </x:c>
      <x:c r="G282" s="24" t="n">
        <x:v>6204.945</x:v>
      </x:c>
      <x:c r="H282" s="25" t="n">
        <x:v>-0.015599983246806892</x:v>
      </x:c>
      <x:c r="I282" s="24" t="n">
        <x:f>ROUND(E282-F282,1)</x:f>
        <x:v>127.7</x:v>
      </x:c>
      <x:c r="J282" s="23" t="str">
        <x:v>中证1000</x:v>
      </x:c>
    </x:row>
    <x:row r="283">
      <x:c r="A283" s="23" t="n">
        <x:v>4</x:v>
      </x:c>
      <x:c r="B283" s="23" t="str">
        <x:v>周四</x:v>
      </x:c>
      <x:c r="C283" s="23" t="str">
        <x:v>12月5日</x:v>
      </x:c>
      <x:c r="D283" s="24" t="n">
        <x:v>6186.123</x:v>
      </x:c>
      <x:c r="E283" s="24" t="n">
        <x:v>6302.355</x:v>
      </x:c>
      <x:c r="F283" s="24" t="n">
        <x:v>6186.123</x:v>
      </x:c>
      <x:c r="G283" s="24" t="n">
        <x:v>6285.601</x:v>
      </x:c>
      <x:c r="H283" s="25" t="n">
        <x:v>0.012998664774627411</x:v>
      </x:c>
      <x:c r="I283" s="24" t="n">
        <x:f>ROUND(E283-F283,1)</x:f>
        <x:v>116.2</x:v>
      </x:c>
      <x:c r="J283" s="23" t="str">
        <x:v>中证1000</x:v>
      </x:c>
    </x:row>
    <x:row r="284">
      <x:c r="A284" s="23" t="n">
        <x:v>5</x:v>
      </x:c>
      <x:c r="B284" s="23" t="str">
        <x:v>周五</x:v>
      </x:c>
      <x:c r="C284" s="23" t="str">
        <x:v>12月6日</x:v>
      </x:c>
      <x:c r="D284" s="24" t="n">
        <x:v>6291.302</x:v>
      </x:c>
      <x:c r="E284" s="24" t="n">
        <x:v>6384.657</x:v>
      </x:c>
      <x:c r="F284" s="24" t="n">
        <x:v>6229.212</x:v>
      </x:c>
      <x:c r="G284" s="24" t="n">
        <x:v>6349.621</x:v>
      </x:c>
      <x:c r="H284" s="25" t="n">
        <x:v>0.010185183564785705</x:v>
      </x:c>
      <x:c r="I284" s="24" t="n">
        <x:f>ROUND(E284-F284,1)</x:f>
        <x:v>155.4</x:v>
      </x:c>
      <x:c r="J284" s="23" t="str">
        <x:v>中证1000</x:v>
      </x:c>
    </x:row>
    <x:row r="285">
      <x:c r="A285" s="23" t="n">
        <x:v>6</x:v>
      </x:c>
      <x:c r="B285" s="23" t="str">
        <x:v>周一</x:v>
      </x:c>
      <x:c r="C285" s="23" t="str">
        <x:v>12月9日</x:v>
      </x:c>
      <x:c r="D285" s="24" t="n">
        <x:v>6346.595</x:v>
      </x:c>
      <x:c r="E285" s="24" t="n">
        <x:v>6371.098</x:v>
      </x:c>
      <x:c r="F285" s="24" t="n">
        <x:v>6257.542</x:v>
      </x:c>
      <x:c r="G285" s="24" t="n">
        <x:v>6303.272</x:v>
      </x:c>
      <x:c r="H285" s="25" t="n">
        <x:v>-0.007299490788505336</x:v>
      </x:c>
      <x:c r="I285" s="24" t="n">
        <x:f>ROUND(E285-F285,1)</x:f>
        <x:v>113.6</x:v>
      </x:c>
      <x:c r="J285" s="23" t="str">
        <x:v>中证1000</x:v>
      </x:c>
    </x:row>
    <x:row r="286">
      <x:c r="A286" s="23" t="n">
        <x:v>7</x:v>
      </x:c>
      <x:c r="B286" s="23" t="str">
        <x:v>周二</x:v>
      </x:c>
      <x:c r="C286" s="23" t="str">
        <x:v>12月10日</x:v>
      </x:c>
      <x:c r="D286" s="24" t="n">
        <x:v>6493.537</x:v>
      </x:c>
      <x:c r="E286" s="24" t="n">
        <x:v>6497.889</x:v>
      </x:c>
      <x:c r="F286" s="24" t="n">
        <x:v>6352.762</x:v>
      </x:c>
      <x:c r="G286" s="24" t="n">
        <x:v>6362.02</x:v>
      </x:c>
      <x:c r="H286" s="25" t="n">
        <x:v>0.009320238758536936</x:v>
      </x:c>
      <x:c r="I286" s="24" t="n">
        <x:f>ROUND(E286-F286,1)</x:f>
        <x:v>145.1</x:v>
      </x:c>
      <x:c r="J286" s="23" t="str">
        <x:v>中证1000</x:v>
      </x:c>
    </x:row>
    <x:row r="287">
      <x:c r="A287" s="23" t="n">
        <x:v>8</x:v>
      </x:c>
      <x:c r="B287" s="23" t="str">
        <x:v>周三</x:v>
      </x:c>
      <x:c r="C287" s="23" t="str">
        <x:v>12月11日</x:v>
      </x:c>
      <x:c r="D287" s="24" t="n">
        <x:v>6343.781</x:v>
      </x:c>
      <x:c r="E287" s="24" t="n">
        <x:v>6454.971</x:v>
      </x:c>
      <x:c r="F287" s="24" t="n">
        <x:v>6343.781</x:v>
      </x:c>
      <x:c r="G287" s="24" t="n">
        <x:v>6447.374</x:v>
      </x:c>
      <x:c r="H287" s="25" t="n">
        <x:v>0.01341617913807247</x:v>
      </x:c>
      <x:c r="I287" s="24" t="n">
        <x:f>ROUND(E287-F287,1)</x:f>
        <x:v>111.2</x:v>
      </x:c>
      <x:c r="J287" s="23" t="str">
        <x:v>中证1000</x:v>
      </x:c>
    </x:row>
    <x:row r="288">
      <x:c r="A288" s="23" t="n">
        <x:v>9</x:v>
      </x:c>
      <x:c r="B288" s="23" t="str">
        <x:v>周四</x:v>
      </x:c>
      <x:c r="C288" s="23" t="str">
        <x:v>12月12日</x:v>
      </x:c>
      <x:c r="D288" s="24" t="n">
        <x:v>6454.942</x:v>
      </x:c>
      <x:c r="E288" s="24" t="n">
        <x:v>6493.71</x:v>
      </x:c>
      <x:c r="F288" s="24" t="n">
        <x:v>6390.589</x:v>
      </x:c>
      <x:c r="G288" s="24" t="n">
        <x:v>6490.146</x:v>
      </x:c>
      <x:c r="H288" s="25" t="n">
        <x:v>0.006634018749338777</x:v>
      </x:c>
      <x:c r="I288" s="24" t="n">
        <x:f>ROUND(E288-F288,1)</x:f>
        <x:v>103.1</x:v>
      </x:c>
      <x:c r="J288" s="23" t="str">
        <x:v>中证1000</x:v>
      </x:c>
    </x:row>
    <x:row r="289">
      <x:c r="A289" s="23" t="n">
        <x:v>10</x:v>
      </x:c>
      <x:c r="B289" s="23" t="str">
        <x:v>周五</x:v>
      </x:c>
      <x:c r="C289" s="23" t="str">
        <x:v>12月13日</x:v>
      </x:c>
      <x:c r="D289" s="24" t="n">
        <x:v>6447.203</x:v>
      </x:c>
      <x:c r="E289" s="24" t="n">
        <x:v>6460.939</x:v>
      </x:c>
      <x:c r="F289" s="24" t="n">
        <x:v>6351.301</x:v>
      </x:c>
      <x:c r="G289" s="24" t="n">
        <x:v>6354.988</x:v>
      </x:c>
      <x:c r="H289" s="25" t="n">
        <x:v>-0.020825109327278546</x:v>
      </x:c>
      <x:c r="I289" s="24" t="n">
        <x:f>ROUND(E289-F289,1)</x:f>
        <x:v>109.6</x:v>
      </x:c>
      <x:c r="J289" s="23" t="str">
        <x:v>中证1000</x:v>
      </x:c>
    </x:row>
    <x:row r="290">
      <x:c r="A290" s="23" t="n">
        <x:v>11</x:v>
      </x:c>
      <x:c r="B290" s="23" t="str">
        <x:v>周一</x:v>
      </x:c>
      <x:c r="C290" s="23" t="str">
        <x:v>12月16日</x:v>
      </x:c>
      <x:c r="D290" s="24" t="n">
        <x:v>6355.628</x:v>
      </x:c>
      <x:c r="E290" s="24" t="n">
        <x:v>6367.809</x:v>
      </x:c>
      <x:c r="F290" s="24" t="n">
        <x:v>6248.158</x:v>
      </x:c>
      <x:c r="G290" s="24" t="n">
        <x:v>6277.516</x:v>
      </x:c>
      <x:c r="H290" s="25" t="n">
        <x:v>-0.012190738991167405</x:v>
      </x:c>
      <x:c r="I290" s="24" t="n">
        <x:f>ROUND(E290-F290,1)</x:f>
        <x:v>119.7</x:v>
      </x:c>
      <x:c r="J290" s="23" t="str">
        <x:v>中证1000</x:v>
      </x:c>
    </x:row>
    <x:row r="291">
      <x:c r="A291" s="23" t="n">
        <x:v>12</x:v>
      </x:c>
      <x:c r="B291" s="23" t="str">
        <x:v>周二</x:v>
      </x:c>
      <x:c r="C291" s="23" t="str">
        <x:v>12月17日</x:v>
      </x:c>
      <x:c r="D291" s="24" t="n">
        <x:v>6262.493</x:v>
      </x:c>
      <x:c r="E291" s="24" t="n">
        <x:v>6269.14</x:v>
      </x:c>
      <x:c r="F291" s="24" t="n">
        <x:v>6133.129</x:v>
      </x:c>
      <x:c r="G291" s="24" t="n">
        <x:v>6143.944</x:v>
      </x:c>
      <x:c r="H291" s="25" t="n">
        <x:v>-0.02127784301943625</x:v>
      </x:c>
      <x:c r="I291" s="24" t="n">
        <x:f>ROUND(E291-F291,1)</x:f>
        <x:v>136</x:v>
      </x:c>
      <x:c r="J291" s="23" t="str">
        <x:v>中证1000</x:v>
      </x:c>
    </x:row>
    <x:row r="292">
      <x:c r="A292" s="23" t="n">
        <x:v>13</x:v>
      </x:c>
      <x:c r="B292" s="23" t="str">
        <x:v>周三</x:v>
      </x:c>
      <x:c r="C292" s="23" t="str">
        <x:v>12月18日</x:v>
      </x:c>
      <x:c r="D292" s="24" t="n">
        <x:v>6156.692</x:v>
      </x:c>
      <x:c r="E292" s="24" t="n">
        <x:v>6242.517</x:v>
      </x:c>
      <x:c r="F292" s="24" t="n">
        <x:v>6121.054</x:v>
      </x:c>
      <x:c r="G292" s="24" t="n">
        <x:v>6195.868</x:v>
      </x:c>
      <x:c r="H292" s="25" t="n">
        <x:v>0.008451248904612463</x:v>
      </x:c>
      <x:c r="I292" s="24" t="n">
        <x:f>ROUND(E292-F292,1)</x:f>
        <x:v>121.5</x:v>
      </x:c>
      <x:c r="J292" s="23" t="str">
        <x:v>中证1000</x:v>
      </x:c>
    </x:row>
    <x:row r="293">
      <x:c r="A293" s="23" t="n">
        <x:v>14</x:v>
      </x:c>
      <x:c r="B293" s="23" t="str">
        <x:v>周四</x:v>
      </x:c>
      <x:c r="C293" s="23" t="str">
        <x:v>12月19日</x:v>
      </x:c>
      <x:c r="D293" s="24" t="n">
        <x:v>6127.22</x:v>
      </x:c>
      <x:c r="E293" s="24" t="n">
        <x:v>6223.805</x:v>
      </x:c>
      <x:c r="F293" s="24" t="n">
        <x:v>6108.394</x:v>
      </x:c>
      <x:c r="G293" s="24" t="n">
        <x:v>6207.186</x:v>
      </x:c>
      <x:c r="H293" s="25" t="n">
        <x:v>0.0018267012789812132</x:v>
      </x:c>
      <x:c r="I293" s="24" t="n">
        <x:f>ROUND(E293-F293,1)</x:f>
        <x:v>115.4</x:v>
      </x:c>
      <x:c r="J293" s="23" t="str">
        <x:v>中证1000</x:v>
      </x:c>
    </x:row>
    <x:row r="294">
      <x:c r="A294" s="29" t="n">
        <x:v>15</x:v>
      </x:c>
      <x:c r="B294" s="29" t="str">
        <x:v>周五</x:v>
      </x:c>
      <x:c r="C294" s="29" t="str">
        <x:v>12月20日</x:v>
      </x:c>
      <x:c r="D294" s="30" t="n">
        <x:v>6195.644</x:v>
      </x:c>
      <x:c r="E294" s="30" t="n">
        <x:v>6320.963</x:v>
      </x:c>
      <x:c r="F294" s="30" t="n">
        <x:v>6191.081</x:v>
      </x:c>
      <x:c r="G294" s="30" t="n">
        <x:v>6271.753</x:v>
      </x:c>
      <x:c r="H294" s="31" t="n">
        <x:v>0.010401976032295535</x:v>
      </x:c>
      <x:c r="I294" s="30" t="n">
        <x:f>ROUND(E294-F294,1)</x:f>
        <x:v>129.9</x:v>
      </x:c>
      <x:c r="J294" s="29" t="str">
        <x:v>中证1000</x:v>
      </x:c>
    </x:row>
    <x:row r="295">
      <x:c r="A295" s="23" t="n">
        <x:v>16</x:v>
      </x:c>
      <x:c r="B295" s="23" t="str">
        <x:v>周一</x:v>
      </x:c>
      <x:c r="C295" s="23" t="str">
        <x:v>12月23日</x:v>
      </x:c>
      <x:c r="D295" s="24" t="n">
        <x:v>6271.763</x:v>
      </x:c>
      <x:c r="E295" s="24" t="n">
        <x:v>6276.971</x:v>
      </x:c>
      <x:c r="F295" s="24" t="n">
        <x:v>6086.912</x:v>
      </x:c>
      <x:c r="G295" s="24" t="n">
        <x:v>6096.381</x:v>
      </x:c>
      <x:c r="H295" s="25" t="n">
        <x:v>-0.02796219812865708</x:v>
      </x:c>
      <x:c r="I295" s="33" t="n">
        <x:f>ROUND(E295-F295,1)</x:f>
        <x:v>190.1</x:v>
      </x:c>
      <x:c r="J295" s="23" t="str">
        <x:v>中证1000</x:v>
      </x:c>
    </x:row>
    <x:row r="296">
      <x:c r="A296" s="23" t="n">
        <x:v>17</x:v>
      </x:c>
      <x:c r="B296" s="23" t="str">
        <x:v>周二</x:v>
      </x:c>
      <x:c r="C296" s="23" t="str">
        <x:v>12月24日</x:v>
      </x:c>
      <x:c r="D296" s="24" t="n">
        <x:v>6110.767</x:v>
      </x:c>
      <x:c r="E296" s="24" t="n">
        <x:v>6165.202</x:v>
      </x:c>
      <x:c r="F296" s="24" t="n">
        <x:v>6066.226</x:v>
      </x:c>
      <x:c r="G296" s="24" t="n">
        <x:v>6164.361</x:v>
      </x:c>
      <x:c r="H296" s="25" t="n">
        <x:v>0.011150877873282505</x:v>
      </x:c>
      <x:c r="I296" s="24" t="n">
        <x:f>ROUND(E296-F296,1)</x:f>
        <x:v>99</x:v>
      </x:c>
      <x:c r="J296" s="23" t="str">
        <x:v>中证1000</x:v>
      </x:c>
    </x:row>
    <x:row r="297">
      <x:c r="A297" s="23" t="n">
        <x:v>18</x:v>
      </x:c>
      <x:c r="B297" s="23" t="str">
        <x:v>周三</x:v>
      </x:c>
      <x:c r="C297" s="23" t="str">
        <x:v>12月25日</x:v>
      </x:c>
      <x:c r="D297" s="24" t="n">
        <x:v>6158.649</x:v>
      </x:c>
      <x:c r="E297" s="24" t="n">
        <x:v>6159.596</x:v>
      </x:c>
      <x:c r="F297" s="24" t="n">
        <x:v>6037.736</x:v>
      </x:c>
      <x:c r="G297" s="24" t="n">
        <x:v>6094.687</x:v>
      </x:c>
      <x:c r="H297" s="25" t="n">
        <x:v>-0.011302712479038801</x:v>
      </x:c>
      <x:c r="I297" s="24" t="n">
        <x:f>ROUND(E297-F297,1)</x:f>
        <x:v>121.9</x:v>
      </x:c>
      <x:c r="J297" s="23" t="str">
        <x:v>中证1000</x:v>
      </x:c>
    </x:row>
    <x:row r="298">
      <x:c r="A298" s="23" t="n">
        <x:v>19</x:v>
      </x:c>
      <x:c r="B298" s="23" t="str">
        <x:v>周四</x:v>
      </x:c>
      <x:c r="C298" s="23" t="str">
        <x:v>12月26日</x:v>
      </x:c>
      <x:c r="D298" s="24" t="n">
        <x:v>6083.887</x:v>
      </x:c>
      <x:c r="E298" s="24" t="n">
        <x:v>6185.807</x:v>
      </x:c>
      <x:c r="F298" s="24" t="n">
        <x:v>6083.887</x:v>
      </x:c>
      <x:c r="G298" s="24" t="n">
        <x:v>6160.452</x:v>
      </x:c>
      <x:c r="H298" s="25" t="n">
        <x:v>0.010790545929594053</x:v>
      </x:c>
      <x:c r="I298" s="24" t="n">
        <x:f>ROUND(E298-F298,1)</x:f>
        <x:v>101.9</x:v>
      </x:c>
      <x:c r="J298" s="23" t="str">
        <x:v>中证1000</x:v>
      </x:c>
    </x:row>
    <x:row r="299">
      <x:c r="A299" s="23" t="n">
        <x:v>20</x:v>
      </x:c>
      <x:c r="B299" s="23" t="str">
        <x:v>周五</x:v>
      </x:c>
      <x:c r="C299" s="23" t="str">
        <x:v>12月27日</x:v>
      </x:c>
      <x:c r="D299" s="24" t="n">
        <x:v>6164.67</x:v>
      </x:c>
      <x:c r="E299" s="24" t="n">
        <x:v>6250.201</x:v>
      </x:c>
      <x:c r="F299" s="24" t="n">
        <x:v>6135.479</x:v>
      </x:c>
      <x:c r="G299" s="24" t="n">
        <x:v>6171.565</x:v>
      </x:c>
      <x:c r="H299" s="25" t="n">
        <x:v>0.0018039260755540187</x:v>
      </x:c>
      <x:c r="I299" s="24" t="n">
        <x:f>ROUND(E299-F299,1)</x:f>
        <x:v>114.7</x:v>
      </x:c>
      <x:c r="J299" s="23" t="str">
        <x:v>中证1000</x:v>
      </x:c>
    </x:row>
    <x:row r="300">
      <x:c r="A300" s="23" t="n">
        <x:v>21</x:v>
      </x:c>
      <x:c r="B300" s="23" t="str">
        <x:v>周一</x:v>
      </x:c>
      <x:c r="C300" s="23" t="str">
        <x:v>12月30日</x:v>
      </x:c>
      <x:c r="D300" s="24" t="n">
        <x:v>6164.908</x:v>
      </x:c>
      <x:c r="E300" s="24" t="n">
        <x:v>6192.585</x:v>
      </x:c>
      <x:c r="F300" s="24" t="n">
        <x:v>6097.103</x:v>
      </x:c>
      <x:c r="G300" s="24" t="n">
        <x:v>6145.928</x:v>
      </x:c>
      <x:c r="H300" s="25" t="n">
        <x:v>-0.004154051687051741</x:v>
      </x:c>
      <x:c r="I300" s="24" t="n">
        <x:f>ROUND(E300-F300,1)</x:f>
        <x:v>95.5</x:v>
      </x:c>
      <x:c r="J300" s="23" t="str">
        <x:v>中证1000</x:v>
      </x:c>
    </x:row>
    <x:row r="301">
      <x:c r="A301" s="23" t="n">
        <x:v>22</x:v>
      </x:c>
      <x:c r="B301" s="23" t="str">
        <x:v>周二</x:v>
      </x:c>
      <x:c r="C301" s="23" t="str">
        <x:v>12月31日</x:v>
      </x:c>
      <x:c r="D301" s="24" t="n">
        <x:v>6151.034</x:v>
      </x:c>
      <x:c r="E301" s="24" t="n">
        <x:v>6160.733</x:v>
      </x:c>
      <x:c r="F301" s="24" t="n">
        <x:v>5957.717</x:v>
      </x:c>
      <x:c r="G301" s="24" t="n">
        <x:v>5957.717</x:v>
      </x:c>
      <x:c r="H301" s="25" t="n">
        <x:v>-0.030623691003213827</x:v>
      </x:c>
      <x:c r="I301" s="33" t="n">
        <x:f>ROUND(E301-F301,1)</x:f>
        <x:v>203</x:v>
      </x:c>
      <x:c r="J301" s="23" t="str">
        <x:v>中证1000</x:v>
      </x:c>
    </x:row>
    <x:row r="302">
      <x:c r="A302" s="36" t="str">
        <x:v>合计</x:v>
      </x:c>
      <x:c r="B302" s="35" t="n">
        <x:v>22</x:v>
      </x:c>
      <x:c r="C302" s="35"/>
      <x:c r="D302" s="35"/>
      <x:c r="E302" s="35"/>
      <x:c r="F302" s="35"/>
      <x:c r="G302" s="35"/>
      <x:c r="H302" s="35"/>
      <x:c r="I302" s="37" t="n">
        <x:f>ROUND(SUM(I280:I301),1)</x:f>
        <x:v>2770.5</x:v>
      </x:c>
      <x:c r="J302" s="35"/>
    </x:row>
    <x:row r="303">
      <x:c r="A303" s="36" t="str">
        <x:v>均值</x:v>
      </x:c>
      <x:c r="B303" s="35"/>
      <x:c r="C303" s="35"/>
      <x:c r="D303" s="35"/>
      <x:c r="E303" s="35"/>
      <x:c r="F303" s="35"/>
      <x:c r="G303" s="35"/>
      <x:c r="H303" s="35"/>
      <x:c r="I303" s="39" t="n">
        <x:f>ROUND(IFERROR(AVERAGE(I280:I301),0),1)</x:f>
        <x:v>125.9</x:v>
      </x:c>
      <x:c r="J303" s="35"/>
    </x:row>
  </x:sheetData>
  <x:mergeCells>
    <x:mergeCell ref="A1:J1"/>
    <x:mergeCell ref="A3:J3"/>
    <x:mergeCell ref="A30:J30"/>
    <x:mergeCell ref="A50:J50"/>
    <x:mergeCell ref="A76:J76"/>
    <x:mergeCell ref="A101:J101"/>
    <x:mergeCell ref="A126:J126"/>
    <x:mergeCell ref="A150:J150"/>
    <x:mergeCell ref="A178:J178"/>
    <x:mergeCell ref="A205:J205"/>
    <x:mergeCell ref="A229:J229"/>
    <x:mergeCell ref="A252:J252"/>
    <x:mergeCell ref="A278:J27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</x:cols>
  <x:sheetData>
    <x:row r="1" ht="38" customHeight="1">
      <x:c r="A1" s="15" t="str">
        <x:v>2024年统计 - 中证500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涨幅</x:v>
      </x:c>
      <x:c r="I4" s="20" t="str">
        <x:v>振幅</x:v>
      </x:c>
      <x:c r="J4" s="20" t="str">
        <x:v>标的</x:v>
      </x:c>
    </x:row>
    <x:row r="5">
      <x:c r="A5" s="23" t="n">
        <x:v>1</x:v>
      </x:c>
      <x:c r="B5" s="23" t="str">
        <x:v>周二</x:v>
      </x:c>
      <x:c r="C5" s="23" t="str">
        <x:v>1月2日</x:v>
      </x:c>
      <x:c r="D5" s="24" t="n">
        <x:v>5431.478</x:v>
      </x:c>
      <x:c r="E5" s="24" t="n">
        <x:v>5439.478</x:v>
      </x:c>
      <x:c r="F5" s="24" t="n">
        <x:v>5409.455</x:v>
      </x:c>
      <x:c r="G5" s="24" t="n">
        <x:v>5409.455</x:v>
      </x:c>
      <x:c r="H5" s="25" t="n">
        <x:v>-0.0036421377694697554</x:v>
      </x:c>
      <x:c r="I5" s="24" t="n">
        <x:f>ROUND(E5-F5,1)</x:f>
        <x:v>30</x:v>
      </x:c>
      <x:c r="J5" s="23" t="str">
        <x:v>中证500</x:v>
      </x:c>
    </x:row>
    <x:row r="6">
      <x:c r="A6" s="23" t="n">
        <x:v>2</x:v>
      </x:c>
      <x:c r="B6" s="23" t="str">
        <x:v>周三</x:v>
      </x:c>
      <x:c r="C6" s="23" t="str">
        <x:v>1月3日</x:v>
      </x:c>
      <x:c r="D6" s="24" t="n">
        <x:v>5398.294</x:v>
      </x:c>
      <x:c r="E6" s="24" t="n">
        <x:v>5428.52</x:v>
      </x:c>
      <x:c r="F6" s="24" t="n">
        <x:v>5373.832</x:v>
      </x:c>
      <x:c r="G6" s="24" t="n">
        <x:v>5401.395</x:v>
      </x:c>
      <x:c r="H6" s="25" t="n">
        <x:v>-0.0014899837414303896</x:v>
      </x:c>
      <x:c r="I6" s="24" t="n">
        <x:f>ROUND(E6-F6,1)</x:f>
        <x:v>54.7</x:v>
      </x:c>
      <x:c r="J6" s="23" t="str">
        <x:v>中证500</x:v>
      </x:c>
    </x:row>
    <x:row r="7">
      <x:c r="A7" s="23" t="n">
        <x:v>3</x:v>
      </x:c>
      <x:c r="B7" s="23" t="str">
        <x:v>周四</x:v>
      </x:c>
      <x:c r="C7" s="23" t="str">
        <x:v>1月4日</x:v>
      </x:c>
      <x:c r="D7" s="24" t="n">
        <x:v>5395.143</x:v>
      </x:c>
      <x:c r="E7" s="24" t="n">
        <x:v>5395.143</x:v>
      </x:c>
      <x:c r="F7" s="24" t="n">
        <x:v>5331.892</x:v>
      </x:c>
      <x:c r="G7" s="24" t="n">
        <x:v>5355.322</x:v>
      </x:c>
      <x:c r="H7" s="25" t="n">
        <x:v>-0.008529833496717099</x:v>
      </x:c>
      <x:c r="I7" s="24" t="n">
        <x:f>ROUND(E7-F7,1)</x:f>
        <x:v>63.3</x:v>
      </x:c>
      <x:c r="J7" s="23" t="str">
        <x:v>中证500</x:v>
      </x:c>
    </x:row>
    <x:row r="8">
      <x:c r="A8" s="23" t="n">
        <x:v>4</x:v>
      </x:c>
      <x:c r="B8" s="23" t="str">
        <x:v>周五</x:v>
      </x:c>
      <x:c r="C8" s="23" t="str">
        <x:v>1月5日</x:v>
      </x:c>
      <x:c r="D8" s="24" t="n">
        <x:v>5347.073</x:v>
      </x:c>
      <x:c r="E8" s="24" t="n">
        <x:v>5373.679</x:v>
      </x:c>
      <x:c r="F8" s="24" t="n">
        <x:v>5260.594</x:v>
      </x:c>
      <x:c r="G8" s="24" t="n">
        <x:v>5281.871</x:v>
      </x:c>
      <x:c r="H8" s="25" t="n">
        <x:v>-0.013715515145494517</x:v>
      </x:c>
      <x:c r="I8" s="24" t="n">
        <x:f>ROUND(E8-F8,1)</x:f>
        <x:v>113.1</x:v>
      </x:c>
      <x:c r="J8" s="23" t="str">
        <x:v>中证500</x:v>
      </x:c>
    </x:row>
    <x:row r="9">
      <x:c r="A9" s="23" t="n">
        <x:v>5</x:v>
      </x:c>
      <x:c r="B9" s="23" t="str">
        <x:v>周一</x:v>
      </x:c>
      <x:c r="C9" s="23" t="str">
        <x:v>1月8日</x:v>
      </x:c>
      <x:c r="D9" s="24" t="n">
        <x:v>5268.234</x:v>
      </x:c>
      <x:c r="E9" s="24" t="n">
        <x:v>5268.979</x:v>
      </x:c>
      <x:c r="F9" s="24" t="n">
        <x:v>5167.7</x:v>
      </x:c>
      <x:c r="G9" s="24" t="n">
        <x:v>5167.7</x:v>
      </x:c>
      <x:c r="H9" s="25" t="n">
        <x:v>-0.021615635822987755</x:v>
      </x:c>
      <x:c r="I9" s="24" t="n">
        <x:f>ROUND(E9-F9,1)</x:f>
        <x:v>101.3</x:v>
      </x:c>
      <x:c r="J9" s="23" t="str">
        <x:v>中证500</x:v>
      </x:c>
    </x:row>
    <x:row r="10">
      <x:c r="A10" s="23" t="n">
        <x:v>6</x:v>
      </x:c>
      <x:c r="B10" s="23" t="str">
        <x:v>周二</x:v>
      </x:c>
      <x:c r="C10" s="23" t="str">
        <x:v>1月9日</x:v>
      </x:c>
      <x:c r="D10" s="24" t="n">
        <x:v>5176.113</x:v>
      </x:c>
      <x:c r="E10" s="24" t="n">
        <x:v>5220.458</x:v>
      </x:c>
      <x:c r="F10" s="24" t="n">
        <x:v>5152.999</x:v>
      </x:c>
      <x:c r="G10" s="24" t="n">
        <x:v>5180.653</x:v>
      </x:c>
      <x:c r="H10" s="25" t="n">
        <x:v>0.002506530951874142</x:v>
      </x:c>
      <x:c r="I10" s="24" t="n">
        <x:f>ROUND(E10-F10,1)</x:f>
        <x:v>67.5</x:v>
      </x:c>
      <x:c r="J10" s="23" t="str">
        <x:v>中证500</x:v>
      </x:c>
    </x:row>
    <x:row r="11">
      <x:c r="A11" s="23" t="n">
        <x:v>7</x:v>
      </x:c>
      <x:c r="B11" s="23" t="str">
        <x:v>周三</x:v>
      </x:c>
      <x:c r="C11" s="23" t="str">
        <x:v>1月10日</x:v>
      </x:c>
      <x:c r="D11" s="24" t="n">
        <x:v>5167.732</x:v>
      </x:c>
      <x:c r="E11" s="24" t="n">
        <x:v>5211.816</x:v>
      </x:c>
      <x:c r="F11" s="24" t="n">
        <x:v>5118.433</x:v>
      </x:c>
      <x:c r="G11" s="24" t="n">
        <x:v>5158.078</x:v>
      </x:c>
      <x:c r="H11" s="25" t="n">
        <x:v>-0.00435755878650812</x:v>
      </x:c>
      <x:c r="I11" s="24" t="n">
        <x:f>ROUND(E11-F11,1)</x:f>
        <x:v>93.4</x:v>
      </x:c>
      <x:c r="J11" s="23" t="str">
        <x:v>中证500</x:v>
      </x:c>
    </x:row>
    <x:row r="12">
      <x:c r="A12" s="23" t="n">
        <x:v>8</x:v>
      </x:c>
      <x:c r="B12" s="23" t="str">
        <x:v>周四</x:v>
      </x:c>
      <x:c r="C12" s="23" t="str">
        <x:v>1月11日</x:v>
      </x:c>
      <x:c r="D12" s="24" t="n">
        <x:v>5152.359</x:v>
      </x:c>
      <x:c r="E12" s="24" t="n">
        <x:v>5243.139</x:v>
      </x:c>
      <x:c r="F12" s="24" t="n">
        <x:v>5146.898</x:v>
      </x:c>
      <x:c r="G12" s="24" t="n">
        <x:v>5223.863</x:v>
      </x:c>
      <x:c r="H12" s="25" t="n">
        <x:v>0.012753781544210918</x:v>
      </x:c>
      <x:c r="I12" s="24" t="n">
        <x:f>ROUND(E12-F12,1)</x:f>
        <x:v>96.2</x:v>
      </x:c>
      <x:c r="J12" s="23" t="str">
        <x:v>中证500</x:v>
      </x:c>
    </x:row>
    <x:row r="13">
      <x:c r="A13" s="23" t="n">
        <x:v>9</x:v>
      </x:c>
      <x:c r="B13" s="23" t="str">
        <x:v>周五</x:v>
      </x:c>
      <x:c r="C13" s="23" t="str">
        <x:v>1月12日</x:v>
      </x:c>
      <x:c r="D13" s="24" t="n">
        <x:v>5213.136</x:v>
      </x:c>
      <x:c r="E13" s="24" t="n">
        <x:v>5262.617</x:v>
      </x:c>
      <x:c r="F13" s="24" t="n">
        <x:v>5206.161</x:v>
      </x:c>
      <x:c r="G13" s="24" t="n">
        <x:v>5206.178</x:v>
      </x:c>
      <x:c r="H13" s="25" t="n">
        <x:v>-0.0033854256897626334</x:v>
      </x:c>
      <x:c r="I13" s="24" t="n">
        <x:f>ROUND(E13-F13,1)</x:f>
        <x:v>56.5</x:v>
      </x:c>
      <x:c r="J13" s="23" t="str">
        <x:v>中证500</x:v>
      </x:c>
    </x:row>
    <x:row r="14">
      <x:c r="A14" s="23" t="n">
        <x:v>10</x:v>
      </x:c>
      <x:c r="B14" s="23" t="str">
        <x:v>周一</x:v>
      </x:c>
      <x:c r="C14" s="23" t="str">
        <x:v>1月15日</x:v>
      </x:c>
      <x:c r="D14" s="24" t="n">
        <x:v>5189.528</x:v>
      </x:c>
      <x:c r="E14" s="24" t="n">
        <x:v>5238.958</x:v>
      </x:c>
      <x:c r="F14" s="24" t="n">
        <x:v>5171.24</x:v>
      </x:c>
      <x:c r="G14" s="24" t="n">
        <x:v>5193.296</x:v>
      </x:c>
      <x:c r="H14" s="25" t="n">
        <x:v>-0.0024743679528436147</x:v>
      </x:c>
      <x:c r="I14" s="24" t="n">
        <x:f>ROUND(E14-F14,1)</x:f>
        <x:v>67.7</x:v>
      </x:c>
      <x:c r="J14" s="23" t="str">
        <x:v>中证500</x:v>
      </x:c>
    </x:row>
    <x:row r="15">
      <x:c r="A15" s="23" t="n">
        <x:v>11</x:v>
      </x:c>
      <x:c r="B15" s="23" t="str">
        <x:v>周二</x:v>
      </x:c>
      <x:c r="C15" s="23" t="str">
        <x:v>1月16日</x:v>
      </x:c>
      <x:c r="D15" s="24" t="n">
        <x:v>5188.369</x:v>
      </x:c>
      <x:c r="E15" s="24" t="n">
        <x:v>5210.083</x:v>
      </x:c>
      <x:c r="F15" s="24" t="n">
        <x:v>5124.082</x:v>
      </x:c>
      <x:c r="G15" s="24" t="n">
        <x:v>5190.398</x:v>
      </x:c>
      <x:c r="H15" s="25" t="n">
        <x:v>-0.0005580271180383178</x:v>
      </x:c>
      <x:c r="I15" s="24" t="n">
        <x:f>ROUND(E15-F15,1)</x:f>
        <x:v>86</x:v>
      </x:c>
      <x:c r="J15" s="23" t="str">
        <x:v>中证500</x:v>
      </x:c>
    </x:row>
    <x:row r="16">
      <x:c r="A16" s="23" t="n">
        <x:v>12</x:v>
      </x:c>
      <x:c r="B16" s="23" t="str">
        <x:v>周三</x:v>
      </x:c>
      <x:c r="C16" s="23" t="str">
        <x:v>1月17日</x:v>
      </x:c>
      <x:c r="D16" s="24" t="n">
        <x:v>5180.925</x:v>
      </x:c>
      <x:c r="E16" s="24" t="n">
        <x:v>5180.925</x:v>
      </x:c>
      <x:c r="F16" s="24" t="n">
        <x:v>5061.54</x:v>
      </x:c>
      <x:c r="G16" s="24" t="n">
        <x:v>5061.54</x:v>
      </x:c>
      <x:c r="H16" s="25" t="n">
        <x:v>-0.02482622719876204</x:v>
      </x:c>
      <x:c r="I16" s="24" t="n">
        <x:f>ROUND(E16-F16,1)</x:f>
        <x:v>119.4</x:v>
      </x:c>
      <x:c r="J16" s="23" t="str">
        <x:v>中证500</x:v>
      </x:c>
    </x:row>
    <x:row r="17">
      <x:c r="A17" s="23" t="n">
        <x:v>13</x:v>
      </x:c>
      <x:c r="B17" s="23" t="str">
        <x:v>周四</x:v>
      </x:c>
      <x:c r="C17" s="23" t="str">
        <x:v>1月18日</x:v>
      </x:c>
      <x:c r="D17" s="24" t="n">
        <x:v>5033.103</x:v>
      </x:c>
      <x:c r="E17" s="24" t="n">
        <x:v>5069.23</x:v>
      </x:c>
      <x:c r="F17" s="24" t="n">
        <x:v>4924.682</x:v>
      </x:c>
      <x:c r="G17" s="24" t="n">
        <x:v>5066.958</x:v>
      </x:c>
      <x:c r="H17" s="25" t="n">
        <x:v>0.0010704252065576458</x:v>
      </x:c>
      <x:c r="I17" s="24" t="n">
        <x:f>ROUND(E17-F17,1)</x:f>
        <x:v>144.5</x:v>
      </x:c>
      <x:c r="J17" s="23" t="str">
        <x:v>中证500</x:v>
      </x:c>
    </x:row>
    <x:row r="18">
      <x:c r="A18" s="29" t="n">
        <x:v>14</x:v>
      </x:c>
      <x:c r="B18" s="29" t="str">
        <x:v>周五</x:v>
      </x:c>
      <x:c r="C18" s="29" t="str">
        <x:v>1月19日</x:v>
      </x:c>
      <x:c r="D18" s="30" t="n">
        <x:v>5056.477</x:v>
      </x:c>
      <x:c r="E18" s="30" t="n">
        <x:v>5084.29</x:v>
      </x:c>
      <x:c r="F18" s="30" t="n">
        <x:v>5014.767</x:v>
      </x:c>
      <x:c r="G18" s="30" t="n">
        <x:v>5018.433</x:v>
      </x:c>
      <x:c r="H18" s="31" t="n">
        <x:v>-0.009576751968340735</x:v>
      </x:c>
      <x:c r="I18" s="30" t="n">
        <x:f>ROUND(E18-F18,1)</x:f>
        <x:v>69.5</x:v>
      </x:c>
      <x:c r="J18" s="29" t="str">
        <x:v>中证500</x:v>
      </x:c>
    </x:row>
    <x:row r="19">
      <x:c r="A19" s="23" t="n">
        <x:v>15</x:v>
      </x:c>
      <x:c r="B19" s="23" t="str">
        <x:v>周一</x:v>
      </x:c>
      <x:c r="C19" s="23" t="str">
        <x:v>1月22日</x:v>
      </x:c>
      <x:c r="D19" s="24" t="n">
        <x:v>5008.68</x:v>
      </x:c>
      <x:c r="E19" s="24" t="n">
        <x:v>5008.767</x:v>
      </x:c>
      <x:c r="F19" s="24" t="n">
        <x:v>4753.63</x:v>
      </x:c>
      <x:c r="G19" s="24" t="n">
        <x:v>4780.975</x:v>
      </x:c>
      <x:c r="H19" s="25" t="n">
        <x:v>-0.04731716055589452</x:v>
      </x:c>
      <x:c r="I19" s="33" t="n">
        <x:f>ROUND(E19-F19,1)</x:f>
        <x:v>255.1</x:v>
      </x:c>
      <x:c r="J19" s="23" t="str">
        <x:v>中证500</x:v>
      </x:c>
    </x:row>
    <x:row r="20">
      <x:c r="A20" s="23" t="n">
        <x:v>16</x:v>
      </x:c>
      <x:c r="B20" s="23" t="str">
        <x:v>周二</x:v>
      </x:c>
      <x:c r="C20" s="23" t="str">
        <x:v>1月23日</x:v>
      </x:c>
      <x:c r="D20" s="24" t="n">
        <x:v>4771.496</x:v>
      </x:c>
      <x:c r="E20" s="24" t="n">
        <x:v>4889.422</x:v>
      </x:c>
      <x:c r="F20" s="24" t="n">
        <x:v>4727.881</x:v>
      </x:c>
      <x:c r="G20" s="24" t="n">
        <x:v>4865.743</x:v>
      </x:c>
      <x:c r="H20" s="25" t="n">
        <x:v>0.017730274682465463</x:v>
      </x:c>
      <x:c r="I20" s="33" t="n">
        <x:f>ROUND(E20-F20,1)</x:f>
        <x:v>161.5</x:v>
      </x:c>
      <x:c r="J20" s="23" t="str">
        <x:v>中证500</x:v>
      </x:c>
    </x:row>
    <x:row r="21">
      <x:c r="A21" s="23" t="n">
        <x:v>17</x:v>
      </x:c>
      <x:c r="B21" s="23" t="str">
        <x:v>周三</x:v>
      </x:c>
      <x:c r="C21" s="23" t="str">
        <x:v>1月24日</x:v>
      </x:c>
      <x:c r="D21" s="24" t="n">
        <x:v>4886.204</x:v>
      </x:c>
      <x:c r="E21" s="24" t="n">
        <x:v>4941.44</x:v>
      </x:c>
      <x:c r="F21" s="24" t="n">
        <x:v>4766.804</x:v>
      </x:c>
      <x:c r="G21" s="24" t="n">
        <x:v>4933.701</x:v>
      </x:c>
      <x:c r="H21" s="25" t="n">
        <x:v>0.013966623391329813</x:v>
      </x:c>
      <x:c r="I21" s="33" t="n">
        <x:f>ROUND(E21-F21,1)</x:f>
        <x:v>174.6</x:v>
      </x:c>
      <x:c r="J21" s="23" t="str">
        <x:v>中证500</x:v>
      </x:c>
    </x:row>
    <x:row r="22">
      <x:c r="A22" s="23" t="n">
        <x:v>18</x:v>
      </x:c>
      <x:c r="B22" s="23" t="str">
        <x:v>周四</x:v>
      </x:c>
      <x:c r="C22" s="23" t="str">
        <x:v>1月25日</x:v>
      </x:c>
      <x:c r="D22" s="24" t="n">
        <x:v>4931.627</x:v>
      </x:c>
      <x:c r="E22" s="24" t="n">
        <x:v>5074.494</x:v>
      </x:c>
      <x:c r="F22" s="24" t="n">
        <x:v>4910.959</x:v>
      </x:c>
      <x:c r="G22" s="24" t="n">
        <x:v>5073.178</x:v>
      </x:c>
      <x:c r="H22" s="25" t="n">
        <x:v>0.02827025796658522</x:v>
      </x:c>
      <x:c r="I22" s="33" t="n">
        <x:f>ROUND(E22-F22,1)</x:f>
        <x:v>163.5</x:v>
      </x:c>
      <x:c r="J22" s="23" t="str">
        <x:v>中证500</x:v>
      </x:c>
    </x:row>
    <x:row r="23">
      <x:c r="A23" s="23" t="n">
        <x:v>19</x:v>
      </x:c>
      <x:c r="B23" s="23" t="str">
        <x:v>周五</x:v>
      </x:c>
      <x:c r="C23" s="23" t="str">
        <x:v>1月26日</x:v>
      </x:c>
      <x:c r="D23" s="24" t="n">
        <x:v>5055.288</x:v>
      </x:c>
      <x:c r="E23" s="24" t="n">
        <x:v>5086.129</x:v>
      </x:c>
      <x:c r="F23" s="24" t="n">
        <x:v>5009.973</x:v>
      </x:c>
      <x:c r="G23" s="24" t="n">
        <x:v>5027.093</x:v>
      </x:c>
      <x:c r="H23" s="25" t="n">
        <x:v>-0.009084049485352241</x:v>
      </x:c>
      <x:c r="I23" s="24" t="n">
        <x:f>ROUND(E23-F23,1)</x:f>
        <x:v>76.2</x:v>
      </x:c>
      <x:c r="J23" s="23" t="str">
        <x:v>中证500</x:v>
      </x:c>
    </x:row>
    <x:row r="24">
      <x:c r="A24" s="23" t="n">
        <x:v>20</x:v>
      </x:c>
      <x:c r="B24" s="23" t="str">
        <x:v>周一</x:v>
      </x:c>
      <x:c r="C24" s="23" t="str">
        <x:v>1月29日</x:v>
      </x:c>
      <x:c r="D24" s="24" t="n">
        <x:v>5032.111</x:v>
      </x:c>
      <x:c r="E24" s="24" t="n">
        <x:v>5050.109</x:v>
      </x:c>
      <x:c r="F24" s="24" t="n">
        <x:v>4927.914</x:v>
      </x:c>
      <x:c r="G24" s="24" t="n">
        <x:v>4927.914</x:v>
      </x:c>
      <x:c r="H24" s="25" t="n">
        <x:v>-0.01972889699872271</x:v>
      </x:c>
      <x:c r="I24" s="24" t="n">
        <x:f>ROUND(E24-F24,1)</x:f>
        <x:v>122.2</x:v>
      </x:c>
      <x:c r="J24" s="23" t="str">
        <x:v>中证500</x:v>
      </x:c>
    </x:row>
    <x:row r="25">
      <x:c r="A25" s="23" t="n">
        <x:v>21</x:v>
      </x:c>
      <x:c r="B25" s="23" t="str">
        <x:v>周二</x:v>
      </x:c>
      <x:c r="C25" s="23" t="str">
        <x:v>1月30日</x:v>
      </x:c>
      <x:c r="D25" s="24" t="n">
        <x:v>4898.361</x:v>
      </x:c>
      <x:c r="E25" s="24" t="n">
        <x:v>4939.351</x:v>
      </x:c>
      <x:c r="F25" s="24" t="n">
        <x:v>4810.099</x:v>
      </x:c>
      <x:c r="G25" s="24" t="n">
        <x:v>4814.991</x:v>
      </x:c>
      <x:c r="H25" s="25" t="n">
        <x:v>-0.02291496970117579</x:v>
      </x:c>
      <x:c r="I25" s="24" t="n">
        <x:f>ROUND(E25-F25,1)</x:f>
        <x:v>129.3</x:v>
      </x:c>
      <x:c r="J25" s="23" t="str">
        <x:v>中证500</x:v>
      </x:c>
    </x:row>
    <x:row r="26">
      <x:c r="A26" s="23" t="n">
        <x:v>22</x:v>
      </x:c>
      <x:c r="B26" s="23" t="str">
        <x:v>周三</x:v>
      </x:c>
      <x:c r="C26" s="23" t="str">
        <x:v>1月31日</x:v>
      </x:c>
      <x:c r="D26" s="24" t="n">
        <x:v>4786.813</x:v>
      </x:c>
      <x:c r="E26" s="24" t="n">
        <x:v>4832.401</x:v>
      </x:c>
      <x:c r="F26" s="24" t="n">
        <x:v>4690.943</x:v>
      </x:c>
      <x:c r="G26" s="24" t="n">
        <x:v>4696.98</x:v>
      </x:c>
      <x:c r="H26" s="25" t="n">
        <x:v>-0.024509080079277545</x:v>
      </x:c>
      <x:c r="I26" s="24" t="n">
        <x:f>ROUND(E26-F26,1)</x:f>
        <x:v>141.5</x:v>
      </x:c>
      <x:c r="J26" s="23" t="str">
        <x:v>中证500</x:v>
      </x:c>
    </x:row>
    <x:row r="27">
      <x:c r="A27" s="36" t="str">
        <x:v>合计</x:v>
      </x:c>
      <x:c r="B27" s="35" t="n">
        <x:v>22</x:v>
      </x:c>
      <x:c r="C27" s="35"/>
      <x:c r="D27" s="35"/>
      <x:c r="E27" s="35"/>
      <x:c r="F27" s="35"/>
      <x:c r="G27" s="35"/>
      <x:c r="H27" s="35"/>
      <x:c r="I27" s="37" t="n">
        <x:f>ROUND(SUM(I5:I26),1)</x:f>
        <x:v>2387</x:v>
      </x:c>
      <x:c r="J27" s="35"/>
    </x:row>
    <x:row r="28">
      <x:c r="A28" s="36" t="str">
        <x:v>均值</x:v>
      </x:c>
      <x:c r="B28" s="35"/>
      <x:c r="C28" s="35"/>
      <x:c r="D28" s="35"/>
      <x:c r="E28" s="35"/>
      <x:c r="F28" s="35"/>
      <x:c r="G28" s="35"/>
      <x:c r="H28" s="35"/>
      <x:c r="I28" s="39" t="n">
        <x:f>ROUND(IFERROR(AVERAGE(I5:I26),0),1)</x:f>
        <x:v>108.5</x:v>
      </x:c>
      <x:c r="J28" s="35"/>
    </x:row>
    <x:row r="30">
      <x:c r="A30" s="17" t="str">
        <x:v>2月</x:v>
      </x:c>
      <x:c r="B30" s="17"/>
      <x:c r="C30" s="17"/>
      <x:c r="D30" s="17"/>
      <x:c r="E30" s="17"/>
      <x:c r="F30" s="17"/>
      <x:c r="G30" s="17"/>
      <x:c r="H30" s="17"/>
      <x:c r="I30" s="17"/>
      <x:c r="J30" s="17"/>
    </x:row>
    <x:row r="31">
      <x:c r="A31" s="20" t="str">
        <x:v>序号</x:v>
      </x:c>
      <x:c r="B31" s="20" t="str">
        <x:v>星期</x:v>
      </x:c>
      <x:c r="C31" s="20" t="str">
        <x:v>日期</x:v>
      </x:c>
      <x:c r="D31" s="20" t="str">
        <x:v>开盘</x:v>
      </x:c>
      <x:c r="E31" s="20" t="str">
        <x:v>高点</x:v>
      </x:c>
      <x:c r="F31" s="20" t="str">
        <x:v>低点</x:v>
      </x:c>
      <x:c r="G31" s="20" t="str">
        <x:v>收盘</x:v>
      </x:c>
      <x:c r="H31" s="20" t="str">
        <x:v>涨幅</x:v>
      </x:c>
      <x:c r="I31" s="20" t="str">
        <x:v>振幅</x:v>
      </x:c>
      <x:c r="J31" s="20" t="str">
        <x:v>标的</x:v>
      </x:c>
    </x:row>
    <x:row r="32">
      <x:c r="A32" s="23" t="n">
        <x:v>1</x:v>
      </x:c>
      <x:c r="B32" s="23" t="str">
        <x:v>周四</x:v>
      </x:c>
      <x:c r="C32" s="23" t="str">
        <x:v>2月1日</x:v>
      </x:c>
      <x:c r="D32" s="24" t="n">
        <x:v>4667.913</x:v>
      </x:c>
      <x:c r="E32" s="24" t="n">
        <x:v>4771.047</x:v>
      </x:c>
      <x:c r="F32" s="24" t="n">
        <x:v>4629.99</x:v>
      </x:c>
      <x:c r="G32" s="24" t="n">
        <x:v>4678.731</x:v>
      </x:c>
      <x:c r="H32" s="25" t="n">
        <x:v>-0.003885262445230686</x:v>
      </x:c>
      <x:c r="I32" s="24" t="n">
        <x:f>ROUND(E32-F32,1)</x:f>
        <x:v>141.1</x:v>
      </x:c>
      <x:c r="J32" s="23" t="str">
        <x:v>中证500</x:v>
      </x:c>
    </x:row>
    <x:row r="33">
      <x:c r="A33" s="23" t="n">
        <x:v>2</x:v>
      </x:c>
      <x:c r="B33" s="23" t="str">
        <x:v>周五</x:v>
      </x:c>
      <x:c r="C33" s="23" t="str">
        <x:v>2月2日</x:v>
      </x:c>
      <x:c r="D33" s="24" t="n">
        <x:v>4686.1</x:v>
      </x:c>
      <x:c r="E33" s="24" t="n">
        <x:v>4724.049</x:v>
      </x:c>
      <x:c r="F33" s="24" t="n">
        <x:v>4435.557</x:v>
      </x:c>
      <x:c r="G33" s="24" t="n">
        <x:v>4563.222</x:v>
      </x:c>
      <x:c r="H33" s="25" t="n">
        <x:v>-0.024688104530908084</x:v>
      </x:c>
      <x:c r="I33" s="33" t="n">
        <x:f>ROUND(E33-F33,1)</x:f>
        <x:v>288.5</x:v>
      </x:c>
      <x:c r="J33" s="23" t="str">
        <x:v>中证500</x:v>
      </x:c>
    </x:row>
    <x:row r="34">
      <x:c r="A34" s="23" t="n">
        <x:v>3</x:v>
      </x:c>
      <x:c r="B34" s="23" t="str">
        <x:v>周一</x:v>
      </x:c>
      <x:c r="C34" s="23" t="str">
        <x:v>2月5日</x:v>
      </x:c>
      <x:c r="D34" s="24" t="n">
        <x:v>4527.709</x:v>
      </x:c>
      <x:c r="E34" s="24" t="n">
        <x:v>4598.061</x:v>
      </x:c>
      <x:c r="F34" s="24" t="n">
        <x:v>4281.24</x:v>
      </x:c>
      <x:c r="G34" s="24" t="n">
        <x:v>4460.264</x:v>
      </x:c>
      <x:c r="H34" s="25" t="n">
        <x:v>-0.02256256653741584</x:v>
      </x:c>
      <x:c r="I34" s="33" t="n">
        <x:f>ROUND(E34-F34,1)</x:f>
        <x:v>316.8</x:v>
      </x:c>
      <x:c r="J34" s="23" t="str">
        <x:v>中证500</x:v>
      </x:c>
    </x:row>
    <x:row r="35">
      <x:c r="A35" s="23" t="n">
        <x:v>4</x:v>
      </x:c>
      <x:c r="B35" s="23" t="str">
        <x:v>周二</x:v>
      </x:c>
      <x:c r="C35" s="23" t="str">
        <x:v>2月6日</x:v>
      </x:c>
      <x:c r="D35" s="24" t="n">
        <x:v>4411.298</x:v>
      </x:c>
      <x:c r="E35" s="24" t="n">
        <x:v>4817.118</x:v>
      </x:c>
      <x:c r="F35" s="24" t="n">
        <x:v>4405.309</x:v>
      </x:c>
      <x:c r="G35" s="24" t="n">
        <x:v>4805.901</x:v>
      </x:c>
      <x:c r="H35" s="25" t="n">
        <x:v>0.07749249820190007</x:v>
      </x:c>
      <x:c r="I35" s="33" t="n">
        <x:f>ROUND(E35-F35,1)</x:f>
        <x:v>411.8</x:v>
      </x:c>
      <x:c r="J35" s="23" t="str">
        <x:v>中证500</x:v>
      </x:c>
    </x:row>
    <x:row r="36">
      <x:c r="A36" s="23" t="n">
        <x:v>5</x:v>
      </x:c>
      <x:c r="B36" s="23" t="str">
        <x:v>周三</x:v>
      </x:c>
      <x:c r="C36" s="23" t="str">
        <x:v>2月7日</x:v>
      </x:c>
      <x:c r="D36" s="24" t="n">
        <x:v>4813.955</x:v>
      </x:c>
      <x:c r="E36" s="24" t="n">
        <x:v>5110.804</x:v>
      </x:c>
      <x:c r="F36" s="24" t="n">
        <x:v>4813.233</x:v>
      </x:c>
      <x:c r="G36" s="24" t="n">
        <x:v>5109.569</x:v>
      </x:c>
      <x:c r="H36" s="25" t="n">
        <x:v>0.06318648677948224</x:v>
      </x:c>
      <x:c r="I36" s="33" t="n">
        <x:f>ROUND(E36-F36,1)</x:f>
        <x:v>297.6</x:v>
      </x:c>
      <x:c r="J36" s="23" t="str">
        <x:v>中证500</x:v>
      </x:c>
    </x:row>
    <x:row r="37">
      <x:c r="A37" s="23" t="n">
        <x:v>6</x:v>
      </x:c>
      <x:c r="B37" s="23" t="str">
        <x:v>周四</x:v>
      </x:c>
      <x:c r="C37" s="23" t="str">
        <x:v>2月8日</x:v>
      </x:c>
      <x:c r="D37" s="24" t="n">
        <x:v>5131.803</x:v>
      </x:c>
      <x:c r="E37" s="24" t="n">
        <x:v>5367.224</x:v>
      </x:c>
      <x:c r="F37" s="24" t="n">
        <x:v>5129.784</x:v>
      </x:c>
      <x:c r="G37" s="24" t="n">
        <x:v>5150.229</x:v>
      </x:c>
      <x:c r="H37" s="25" t="n">
        <x:v>0.007957618343151784</x:v>
      </x:c>
      <x:c r="I37" s="33" t="n">
        <x:f>ROUND(E37-F37,1)</x:f>
        <x:v>237.4</x:v>
      </x:c>
      <x:c r="J37" s="23" t="str">
        <x:v>中证500</x:v>
      </x:c>
    </x:row>
    <x:row r="38">
      <x:c r="A38" s="29" t="n">
        <x:v>7</x:v>
      </x:c>
      <x:c r="B38" s="29" t="str">
        <x:v>周一</x:v>
      </x:c>
      <x:c r="C38" s="29" t="str">
        <x:v>2月19日</x:v>
      </x:c>
      <x:c r="D38" s="30" t="n">
        <x:v>5225.138</x:v>
      </x:c>
      <x:c r="E38" s="30" t="n">
        <x:v>5225.138</x:v>
      </x:c>
      <x:c r="F38" s="30" t="n">
        <x:v>5074.761</x:v>
      </x:c>
      <x:c r="G38" s="30" t="n">
        <x:v>5141.604</x:v>
      </x:c>
      <x:c r="H38" s="31" t="n">
        <x:v>-0.0016746828150748794</x:v>
      </x:c>
      <x:c r="I38" s="30" t="n">
        <x:f>ROUND(E38-F38,1)</x:f>
        <x:v>150.4</x:v>
      </x:c>
      <x:c r="J38" s="29" t="str">
        <x:v>中证500</x:v>
      </x:c>
    </x:row>
    <x:row r="39">
      <x:c r="A39" s="23" t="n">
        <x:v>8</x:v>
      </x:c>
      <x:c r="B39" s="23" t="str">
        <x:v>周二</x:v>
      </x:c>
      <x:c r="C39" s="23" t="str">
        <x:v>2月20日</x:v>
      </x:c>
      <x:c r="D39" s="24" t="n">
        <x:v>5107.568</x:v>
      </x:c>
      <x:c r="E39" s="24" t="n">
        <x:v>5151.72</x:v>
      </x:c>
      <x:c r="F39" s="24" t="n">
        <x:v>5072.884</x:v>
      </x:c>
      <x:c r="G39" s="24" t="n">
        <x:v>5140.958</x:v>
      </x:c>
      <x:c r="H39" s="25" t="n">
        <x:v>-0.0001256417258117537</x:v>
      </x:c>
      <x:c r="I39" s="24" t="n">
        <x:f>ROUND(E39-F39,1)</x:f>
        <x:v>78.8</x:v>
      </x:c>
      <x:c r="J39" s="23" t="str">
        <x:v>中证500</x:v>
      </x:c>
    </x:row>
    <x:row r="40">
      <x:c r="A40" s="23" t="n">
        <x:v>9</x:v>
      </x:c>
      <x:c r="B40" s="23" t="str">
        <x:v>周三</x:v>
      </x:c>
      <x:c r="C40" s="23" t="str">
        <x:v>2月21日</x:v>
      </x:c>
      <x:c r="D40" s="24" t="n">
        <x:v>5101.411</x:v>
      </x:c>
      <x:c r="E40" s="24" t="n">
        <x:v>5252.879</x:v>
      </x:c>
      <x:c r="F40" s="24" t="n">
        <x:v>5074.822</x:v>
      </x:c>
      <x:c r="G40" s="24" t="n">
        <x:v>5139.037</x:v>
      </x:c>
      <x:c r="H40" s="25" t="n">
        <x:v>-0.00037366576424069375</x:v>
      </x:c>
      <x:c r="I40" s="33" t="n">
        <x:f>ROUND(E40-F40,1)</x:f>
        <x:v>178.1</x:v>
      </x:c>
      <x:c r="J40" s="23" t="str">
        <x:v>中证500</x:v>
      </x:c>
    </x:row>
    <x:row r="41">
      <x:c r="A41" s="23" t="n">
        <x:v>10</x:v>
      </x:c>
      <x:c r="B41" s="23" t="str">
        <x:v>周四</x:v>
      </x:c>
      <x:c r="C41" s="23" t="str">
        <x:v>2月22日</x:v>
      </x:c>
      <x:c r="D41" s="24" t="n">
        <x:v>5133.548</x:v>
      </x:c>
      <x:c r="E41" s="24" t="n">
        <x:v>5184.623</x:v>
      </x:c>
      <x:c r="F41" s="24" t="n">
        <x:v>5117.68</x:v>
      </x:c>
      <x:c r="G41" s="24" t="n">
        <x:v>5176.343</x:v>
      </x:c>
      <x:c r="H41" s="25" t="n">
        <x:v>0.007259336720089715</x:v>
      </x:c>
      <x:c r="I41" s="24" t="n">
        <x:f>ROUND(E41-F41,1)</x:f>
        <x:v>66.9</x:v>
      </x:c>
      <x:c r="J41" s="23" t="str">
        <x:v>中证500</x:v>
      </x:c>
    </x:row>
    <x:row r="42">
      <x:c r="A42" s="23" t="n">
        <x:v>11</x:v>
      </x:c>
      <x:c r="B42" s="23" t="str">
        <x:v>周五</x:v>
      </x:c>
      <x:c r="C42" s="23" t="str">
        <x:v>2月23日</x:v>
      </x:c>
      <x:c r="D42" s="24" t="n">
        <x:v>5190.647</x:v>
      </x:c>
      <x:c r="E42" s="24" t="n">
        <x:v>5197.712</x:v>
      </x:c>
      <x:c r="F42" s="24" t="n">
        <x:v>5118.568</x:v>
      </x:c>
      <x:c r="G42" s="24" t="n">
        <x:v>5197.712</x:v>
      </x:c>
      <x:c r="H42" s="25" t="n">
        <x:v>0.004128204023574389</x:v>
      </x:c>
      <x:c r="I42" s="24" t="n">
        <x:f>ROUND(E42-F42,1)</x:f>
        <x:v>79.1</x:v>
      </x:c>
      <x:c r="J42" s="23" t="str">
        <x:v>中证500</x:v>
      </x:c>
    </x:row>
    <x:row r="43">
      <x:c r="A43" s="23" t="n">
        <x:v>12</x:v>
      </x:c>
      <x:c r="B43" s="23" t="str">
        <x:v>周一</x:v>
      </x:c>
      <x:c r="C43" s="23" t="str">
        <x:v>2月26日</x:v>
      </x:c>
      <x:c r="D43" s="24" t="n">
        <x:v>5194.737</x:v>
      </x:c>
      <x:c r="E43" s="24" t="n">
        <x:v>5255.362</x:v>
      </x:c>
      <x:c r="F43" s="24" t="n">
        <x:v>5162.95</x:v>
      </x:c>
      <x:c r="G43" s="24" t="n">
        <x:v>5195.464</x:v>
      </x:c>
      <x:c r="H43" s="25" t="n">
        <x:v>-0.0004324979914239746</x:v>
      </x:c>
      <x:c r="I43" s="24" t="n">
        <x:f>ROUND(E43-F43,1)</x:f>
        <x:v>92.4</x:v>
      </x:c>
      <x:c r="J43" s="23" t="str">
        <x:v>中证500</x:v>
      </x:c>
    </x:row>
    <x:row r="44">
      <x:c r="A44" s="23" t="n">
        <x:v>13</x:v>
      </x:c>
      <x:c r="B44" s="23" t="str">
        <x:v>周二</x:v>
      </x:c>
      <x:c r="C44" s="23" t="str">
        <x:v>2月27日</x:v>
      </x:c>
      <x:c r="D44" s="24" t="n">
        <x:v>5174.819</x:v>
      </x:c>
      <x:c r="E44" s="24" t="n">
        <x:v>5307.804</x:v>
      </x:c>
      <x:c r="F44" s="24" t="n">
        <x:v>5160.878</x:v>
      </x:c>
      <x:c r="G44" s="24" t="n">
        <x:v>5307.804</x:v>
      </x:c>
      <x:c r="H44" s="25" t="n">
        <x:v>0.021622707808195862</x:v>
      </x:c>
      <x:c r="I44" s="24" t="n">
        <x:f>ROUND(E44-F44,1)</x:f>
        <x:v>146.9</x:v>
      </x:c>
      <x:c r="J44" s="23" t="str">
        <x:v>中证500</x:v>
      </x:c>
    </x:row>
    <x:row r="45">
      <x:c r="A45" s="23" t="n">
        <x:v>14</x:v>
      </x:c>
      <x:c r="B45" s="23" t="str">
        <x:v>周三</x:v>
      </x:c>
      <x:c r="C45" s="23" t="str">
        <x:v>2月28日</x:v>
      </x:c>
      <x:c r="D45" s="24" t="n">
        <x:v>5311.425</x:v>
      </x:c>
      <x:c r="E45" s="24" t="n">
        <x:v>5383.319</x:v>
      </x:c>
      <x:c r="F45" s="24" t="n">
        <x:v>5184.047</x:v>
      </x:c>
      <x:c r="G45" s="24" t="n">
        <x:v>5184.047</x:v>
      </x:c>
      <x:c r="H45" s="25" t="n">
        <x:v>-0.02331604558118583</x:v>
      </x:c>
      <x:c r="I45" s="33" t="n">
        <x:f>ROUND(E45-F45,1)</x:f>
        <x:v>199.3</x:v>
      </x:c>
      <x:c r="J45" s="23" t="str">
        <x:v>中证500</x:v>
      </x:c>
    </x:row>
    <x:row r="46">
      <x:c r="A46" s="23" t="n">
        <x:v>15</x:v>
      </x:c>
      <x:c r="B46" s="23" t="str">
        <x:v>周四</x:v>
      </x:c>
      <x:c r="C46" s="23" t="str">
        <x:v>2月29日</x:v>
      </x:c>
      <x:c r="D46" s="24" t="n">
        <x:v>5154.149</x:v>
      </x:c>
      <x:c r="E46" s="24" t="n">
        <x:v>5349.768</x:v>
      </x:c>
      <x:c r="F46" s="24" t="n">
        <x:v>5154.149</x:v>
      </x:c>
      <x:c r="G46" s="24" t="n">
        <x:v>5346.793</x:v>
      </x:c>
      <x:c r="H46" s="25" t="n">
        <x:v>0.03139361969519183</x:v>
      </x:c>
      <x:c r="I46" s="33" t="n">
        <x:f>ROUND(E46-F46,1)</x:f>
        <x:v>195.6</x:v>
      </x:c>
      <x:c r="J46" s="23" t="str">
        <x:v>中证500</x:v>
      </x:c>
    </x:row>
    <x:row r="47">
      <x:c r="A47" s="36" t="str">
        <x:v>合计</x:v>
      </x:c>
      <x:c r="B47" s="35" t="n">
        <x:v>15</x:v>
      </x:c>
      <x:c r="C47" s="35"/>
      <x:c r="D47" s="35"/>
      <x:c r="E47" s="35"/>
      <x:c r="F47" s="35"/>
      <x:c r="G47" s="35"/>
      <x:c r="H47" s="35"/>
      <x:c r="I47" s="37" t="n">
        <x:f>ROUND(SUM(I32:I46),1)</x:f>
        <x:v>2880.7</x:v>
      </x:c>
      <x:c r="J47" s="35"/>
    </x:row>
    <x:row r="48">
      <x:c r="A48" s="36" t="str">
        <x:v>均值</x:v>
      </x:c>
      <x:c r="B48" s="35"/>
      <x:c r="C48" s="35"/>
      <x:c r="D48" s="35"/>
      <x:c r="E48" s="35"/>
      <x:c r="F48" s="35"/>
      <x:c r="G48" s="35"/>
      <x:c r="H48" s="35"/>
      <x:c r="I48" s="39" t="n">
        <x:f>ROUND(IFERROR(AVERAGE(I32:I46),0),1)</x:f>
        <x:v>192</x:v>
      </x:c>
      <x:c r="J48" s="35"/>
    </x:row>
    <x:row r="50">
      <x:c r="A50" s="17" t="str">
        <x:v>3月</x:v>
      </x:c>
      <x:c r="B50" s="17"/>
      <x:c r="C50" s="17"/>
      <x:c r="D50" s="17"/>
      <x:c r="E50" s="17"/>
      <x:c r="F50" s="17"/>
      <x:c r="G50" s="17"/>
      <x:c r="H50" s="17"/>
      <x:c r="I50" s="17"/>
      <x:c r="J50" s="17"/>
    </x:row>
    <x:row r="51">
      <x:c r="A51" s="20" t="str">
        <x:v>序号</x:v>
      </x:c>
      <x:c r="B51" s="20" t="str">
        <x:v>星期</x:v>
      </x:c>
      <x:c r="C51" s="20" t="str">
        <x:v>日期</x:v>
      </x:c>
      <x:c r="D51" s="20" t="str">
        <x:v>开盘</x:v>
      </x:c>
      <x:c r="E51" s="20" t="str">
        <x:v>高点</x:v>
      </x:c>
      <x:c r="F51" s="20" t="str">
        <x:v>低点</x:v>
      </x:c>
      <x:c r="G51" s="20" t="str">
        <x:v>收盘</x:v>
      </x:c>
      <x:c r="H51" s="20" t="str">
        <x:v>涨幅</x:v>
      </x:c>
      <x:c r="I51" s="20" t="str">
        <x:v>振幅</x:v>
      </x:c>
      <x:c r="J51" s="20" t="str">
        <x:v>标的</x:v>
      </x:c>
    </x:row>
    <x:row r="52">
      <x:c r="A52" s="23" t="n">
        <x:v>1</x:v>
      </x:c>
      <x:c r="B52" s="23" t="str">
        <x:v>周五</x:v>
      </x:c>
      <x:c r="C52" s="23" t="str">
        <x:v>3月1日</x:v>
      </x:c>
      <x:c r="D52" s="24" t="n">
        <x:v>5350.857</x:v>
      </x:c>
      <x:c r="E52" s="24" t="n">
        <x:v>5387.784</x:v>
      </x:c>
      <x:c r="F52" s="24" t="n">
        <x:v>5321.559</x:v>
      </x:c>
      <x:c r="G52" s="24" t="n">
        <x:v>5379.048</x:v>
      </x:c>
      <x:c r="H52" s="25" t="n">
        <x:v>0.006032588132736771</x:v>
      </x:c>
      <x:c r="I52" s="24" t="n">
        <x:f>ROUND(E52-F52,1)</x:f>
        <x:v>66.2</x:v>
      </x:c>
      <x:c r="J52" s="23" t="str">
        <x:v>中证500</x:v>
      </x:c>
    </x:row>
    <x:row r="53">
      <x:c r="A53" s="23" t="n">
        <x:v>2</x:v>
      </x:c>
      <x:c r="B53" s="23" t="str">
        <x:v>周一</x:v>
      </x:c>
      <x:c r="C53" s="23" t="str">
        <x:v>3月4日</x:v>
      </x:c>
      <x:c r="D53" s="24" t="n">
        <x:v>5386.944</x:v>
      </x:c>
      <x:c r="E53" s="24" t="n">
        <x:v>5400.123</x:v>
      </x:c>
      <x:c r="F53" s="24" t="n">
        <x:v>5325.964</x:v>
      </x:c>
      <x:c r="G53" s="24" t="n">
        <x:v>5388.82</x:v>
      </x:c>
      <x:c r="H53" s="25" t="n">
        <x:v>0.001816678341594935</x:v>
      </x:c>
      <x:c r="I53" s="24" t="n">
        <x:f>ROUND(E53-F53,1)</x:f>
        <x:v>74.2</x:v>
      </x:c>
      <x:c r="J53" s="23" t="str">
        <x:v>中证500</x:v>
      </x:c>
    </x:row>
    <x:row r="54">
      <x:c r="A54" s="23" t="n">
        <x:v>3</x:v>
      </x:c>
      <x:c r="B54" s="23" t="str">
        <x:v>周二</x:v>
      </x:c>
      <x:c r="C54" s="23" t="str">
        <x:v>3月5日</x:v>
      </x:c>
      <x:c r="D54" s="24" t="n">
        <x:v>5358.221</x:v>
      </x:c>
      <x:c r="E54" s="24" t="n">
        <x:v>5382.983</x:v>
      </x:c>
      <x:c r="F54" s="24" t="n">
        <x:v>5329.97</x:v>
      </x:c>
      <x:c r="G54" s="24" t="n">
        <x:v>5351.827</x:v>
      </x:c>
      <x:c r="H54" s="25" t="n">
        <x:v>-0.006864768168170277</x:v>
      </x:c>
      <x:c r="I54" s="24" t="n">
        <x:f>ROUND(E54-F54,1)</x:f>
        <x:v>53</x:v>
      </x:c>
      <x:c r="J54" s="23" t="str">
        <x:v>中证500</x:v>
      </x:c>
    </x:row>
    <x:row r="55">
      <x:c r="A55" s="23" t="n">
        <x:v>4</x:v>
      </x:c>
      <x:c r="B55" s="23" t="str">
        <x:v>周三</x:v>
      </x:c>
      <x:c r="C55" s="23" t="str">
        <x:v>3月6日</x:v>
      </x:c>
      <x:c r="D55" s="24" t="n">
        <x:v>5332.833</x:v>
      </x:c>
      <x:c r="E55" s="24" t="n">
        <x:v>5405.491</x:v>
      </x:c>
      <x:c r="F55" s="24" t="n">
        <x:v>5293.952</x:v>
      </x:c>
      <x:c r="G55" s="24" t="n">
        <x:v>5350.102</x:v>
      </x:c>
      <x:c r="H55" s="25" t="n">
        <x:v>-0.000322319835824314</x:v>
      </x:c>
      <x:c r="I55" s="24" t="n">
        <x:f>ROUND(E55-F55,1)</x:f>
        <x:v>111.5</x:v>
      </x:c>
      <x:c r="J55" s="23" t="str">
        <x:v>中证500</x:v>
      </x:c>
    </x:row>
    <x:row r="56">
      <x:c r="A56" s="23" t="n">
        <x:v>5</x:v>
      </x:c>
      <x:c r="B56" s="23" t="str">
        <x:v>周四</x:v>
      </x:c>
      <x:c r="C56" s="23" t="str">
        <x:v>3月7日</x:v>
      </x:c>
      <x:c r="D56" s="24" t="n">
        <x:v>5354.334</x:v>
      </x:c>
      <x:c r="E56" s="24" t="n">
        <x:v>5384.657</x:v>
      </x:c>
      <x:c r="F56" s="24" t="n">
        <x:v>5277.299</x:v>
      </x:c>
      <x:c r="G56" s="24" t="n">
        <x:v>5277.299</x:v>
      </x:c>
      <x:c r="H56" s="25" t="n">
        <x:v>-0.013607777945168098</x:v>
      </x:c>
      <x:c r="I56" s="24" t="n">
        <x:f>ROUND(E56-F56,1)</x:f>
        <x:v>107.4</x:v>
      </x:c>
      <x:c r="J56" s="23" t="str">
        <x:v>中证500</x:v>
      </x:c>
    </x:row>
    <x:row r="57">
      <x:c r="A57" s="23" t="n">
        <x:v>6</x:v>
      </x:c>
      <x:c r="B57" s="23" t="str">
        <x:v>周五</x:v>
      </x:c>
      <x:c r="C57" s="23" t="str">
        <x:v>3月8日</x:v>
      </x:c>
      <x:c r="D57" s="24" t="n">
        <x:v>5282.408</x:v>
      </x:c>
      <x:c r="E57" s="24" t="n">
        <x:v>5361.71</x:v>
      </x:c>
      <x:c r="F57" s="24" t="n">
        <x:v>5268.53</x:v>
      </x:c>
      <x:c r="G57" s="24" t="n">
        <x:v>5349.595</x:v>
      </x:c>
      <x:c r="H57" s="25" t="n">
        <x:v>0.013699432228494235</x:v>
      </x:c>
      <x:c r="I57" s="24" t="n">
        <x:f>ROUND(E57-F57,1)</x:f>
        <x:v>93.2</x:v>
      </x:c>
      <x:c r="J57" s="23" t="str">
        <x:v>中证500</x:v>
      </x:c>
    </x:row>
    <x:row r="58">
      <x:c r="A58" s="23" t="n">
        <x:v>7</x:v>
      </x:c>
      <x:c r="B58" s="23" t="str">
        <x:v>周一</x:v>
      </x:c>
      <x:c r="C58" s="23" t="str">
        <x:v>3月11日</x:v>
      </x:c>
      <x:c r="D58" s="24" t="n">
        <x:v>5342.178</x:v>
      </x:c>
      <x:c r="E58" s="24" t="n">
        <x:v>5443.042</x:v>
      </x:c>
      <x:c r="F58" s="24" t="n">
        <x:v>5339.261</x:v>
      </x:c>
      <x:c r="G58" s="24" t="n">
        <x:v>5441.051</x:v>
      </x:c>
      <x:c r="H58" s="25" t="n">
        <x:v>0.017095873612862356</x:v>
      </x:c>
      <x:c r="I58" s="24" t="n">
        <x:f>ROUND(E58-F58,1)</x:f>
        <x:v>103.8</x:v>
      </x:c>
      <x:c r="J58" s="23" t="str">
        <x:v>中证500</x:v>
      </x:c>
    </x:row>
    <x:row r="59">
      <x:c r="A59" s="23" t="n">
        <x:v>8</x:v>
      </x:c>
      <x:c r="B59" s="23" t="str">
        <x:v>周二</x:v>
      </x:c>
      <x:c r="C59" s="23" t="str">
        <x:v>3月12日</x:v>
      </x:c>
      <x:c r="D59" s="24" t="n">
        <x:v>5445.878</x:v>
      </x:c>
      <x:c r="E59" s="24" t="n">
        <x:v>5473.29</x:v>
      </x:c>
      <x:c r="F59" s="24" t="n">
        <x:v>5385.14</x:v>
      </x:c>
      <x:c r="G59" s="24" t="n">
        <x:v>5423.718</x:v>
      </x:c>
      <x:c r="H59" s="25" t="n">
        <x:v>-0.0031855977824873927</x:v>
      </x:c>
      <x:c r="I59" s="24" t="n">
        <x:f>ROUND(E59-F59,1)</x:f>
        <x:v>88.1</x:v>
      </x:c>
      <x:c r="J59" s="23" t="str">
        <x:v>中证500</x:v>
      </x:c>
    </x:row>
    <x:row r="60">
      <x:c r="A60" s="23" t="n">
        <x:v>9</x:v>
      </x:c>
      <x:c r="B60" s="23" t="str">
        <x:v>周三</x:v>
      </x:c>
      <x:c r="C60" s="23" t="str">
        <x:v>3月13日</x:v>
      </x:c>
      <x:c r="D60" s="24" t="n">
        <x:v>5430.044</x:v>
      </x:c>
      <x:c r="E60" s="24" t="n">
        <x:v>5459.322</x:v>
      </x:c>
      <x:c r="F60" s="24" t="n">
        <x:v>5389.525</x:v>
      </x:c>
      <x:c r="G60" s="24" t="n">
        <x:v>5415.113</x:v>
      </x:c>
      <x:c r="H60" s="25" t="n">
        <x:v>-0.001586550038184087</x:v>
      </x:c>
      <x:c r="I60" s="24" t="n">
        <x:f>ROUND(E60-F60,1)</x:f>
        <x:v>69.8</x:v>
      </x:c>
      <x:c r="J60" s="23" t="str">
        <x:v>中证500</x:v>
      </x:c>
    </x:row>
    <x:row r="61">
      <x:c r="A61" s="23" t="n">
        <x:v>10</x:v>
      </x:c>
      <x:c r="B61" s="23" t="str">
        <x:v>周四</x:v>
      </x:c>
      <x:c r="C61" s="23" t="str">
        <x:v>3月14日</x:v>
      </x:c>
      <x:c r="D61" s="24" t="n">
        <x:v>5415.15</x:v>
      </x:c>
      <x:c r="E61" s="24" t="n">
        <x:v>5447.542</x:v>
      </x:c>
      <x:c r="F61" s="24" t="n">
        <x:v>5352.12</x:v>
      </x:c>
      <x:c r="G61" s="24" t="n">
        <x:v>5392.927</x:v>
      </x:c>
      <x:c r="H61" s="25" t="n">
        <x:v>-0.004097052083677721</x:v>
      </x:c>
      <x:c r="I61" s="24" t="n">
        <x:f>ROUND(E61-F61,1)</x:f>
        <x:v>95.4</x:v>
      </x:c>
      <x:c r="J61" s="23" t="str">
        <x:v>中证500</x:v>
      </x:c>
    </x:row>
    <x:row r="62">
      <x:c r="A62" s="29" t="n">
        <x:v>11</x:v>
      </x:c>
      <x:c r="B62" s="29" t="str">
        <x:v>周五</x:v>
      </x:c>
      <x:c r="C62" s="29" t="str">
        <x:v>3月15日</x:v>
      </x:c>
      <x:c r="D62" s="30" t="n">
        <x:v>5380.019</x:v>
      </x:c>
      <x:c r="E62" s="30" t="n">
        <x:v>5456.734</x:v>
      </x:c>
      <x:c r="F62" s="30" t="n">
        <x:v>5357.18</x:v>
      </x:c>
      <x:c r="G62" s="30" t="n">
        <x:v>5454.146</x:v>
      </x:c>
      <x:c r="H62" s="31" t="n">
        <x:v>0.01135172050354094</x:v>
      </x:c>
      <x:c r="I62" s="30" t="n">
        <x:f>ROUND(E62-F62,1)</x:f>
        <x:v>99.6</x:v>
      </x:c>
      <x:c r="J62" s="29" t="str">
        <x:v>中证500</x:v>
      </x:c>
    </x:row>
    <x:row r="63">
      <x:c r="A63" s="23" t="n">
        <x:v>12</x:v>
      </x:c>
      <x:c r="B63" s="23" t="str">
        <x:v>周一</x:v>
      </x:c>
      <x:c r="C63" s="23" t="str">
        <x:v>3月18日</x:v>
      </x:c>
      <x:c r="D63" s="24" t="n">
        <x:v>5472.315</x:v>
      </x:c>
      <x:c r="E63" s="24" t="n">
        <x:v>5528.447</x:v>
      </x:c>
      <x:c r="F63" s="24" t="n">
        <x:v>5459.545</x:v>
      </x:c>
      <x:c r="G63" s="24" t="n">
        <x:v>5528.447</x:v>
      </x:c>
      <x:c r="H63" s="25" t="n">
        <x:v>0.013622847646542757</x:v>
      </x:c>
      <x:c r="I63" s="24" t="n">
        <x:f>ROUND(E63-F63,1)</x:f>
        <x:v>68.9</x:v>
      </x:c>
      <x:c r="J63" s="23" t="str">
        <x:v>中证500</x:v>
      </x:c>
    </x:row>
    <x:row r="64">
      <x:c r="A64" s="23" t="n">
        <x:v>13</x:v>
      </x:c>
      <x:c r="B64" s="23" t="str">
        <x:v>周二</x:v>
      </x:c>
      <x:c r="C64" s="23" t="str">
        <x:v>3月19日</x:v>
      </x:c>
      <x:c r="D64" s="24" t="n">
        <x:v>5514.55</x:v>
      </x:c>
      <x:c r="E64" s="24" t="n">
        <x:v>5533.639</x:v>
      </x:c>
      <x:c r="F64" s="24" t="n">
        <x:v>5477.117</x:v>
      </x:c>
      <x:c r="G64" s="24" t="n">
        <x:v>5478.225</x:v>
      </x:c>
      <x:c r="H64" s="25" t="n">
        <x:v>-0.009084287142483216</x:v>
      </x:c>
      <x:c r="I64" s="24" t="n">
        <x:f>ROUND(E64-F64,1)</x:f>
        <x:v>56.5</x:v>
      </x:c>
      <x:c r="J64" s="23" t="str">
        <x:v>中证500</x:v>
      </x:c>
    </x:row>
    <x:row r="65">
      <x:c r="A65" s="23" t="n">
        <x:v>14</x:v>
      </x:c>
      <x:c r="B65" s="23" t="str">
        <x:v>周三</x:v>
      </x:c>
      <x:c r="C65" s="23" t="str">
        <x:v>3月20日</x:v>
      </x:c>
      <x:c r="D65" s="24" t="n">
        <x:v>5469.606</x:v>
      </x:c>
      <x:c r="E65" s="24" t="n">
        <x:v>5499.238</x:v>
      </x:c>
      <x:c r="F65" s="24" t="n">
        <x:v>5455.761</x:v>
      </x:c>
      <x:c r="G65" s="24" t="n">
        <x:v>5493.414</x:v>
      </x:c>
      <x:c r="H65" s="25" t="n">
        <x:v>0.0027726133921113227</x:v>
      </x:c>
      <x:c r="I65" s="24" t="n">
        <x:f>ROUND(E65-F65,1)</x:f>
        <x:v>43.5</x:v>
      </x:c>
      <x:c r="J65" s="23" t="str">
        <x:v>中证500</x:v>
      </x:c>
    </x:row>
    <x:row r="66">
      <x:c r="A66" s="23" t="n">
        <x:v>15</x:v>
      </x:c>
      <x:c r="B66" s="23" t="str">
        <x:v>周四</x:v>
      </x:c>
      <x:c r="C66" s="23" t="str">
        <x:v>3月21日</x:v>
      </x:c>
      <x:c r="D66" s="24" t="n">
        <x:v>5505.699</x:v>
      </x:c>
      <x:c r="E66" s="24" t="n">
        <x:v>5517.457</x:v>
      </x:c>
      <x:c r="F66" s="24" t="n">
        <x:v>5454.231</x:v>
      </x:c>
      <x:c r="G66" s="24" t="n">
        <x:v>5465.829</x:v>
      </x:c>
      <x:c r="H66" s="25" t="n">
        <x:v>-0.0050214675245666696</x:v>
      </x:c>
      <x:c r="I66" s="24" t="n">
        <x:f>ROUND(E66-F66,1)</x:f>
        <x:v>63.2</x:v>
      </x:c>
      <x:c r="J66" s="23" t="str">
        <x:v>中证500</x:v>
      </x:c>
    </x:row>
    <x:row r="67">
      <x:c r="A67" s="23" t="n">
        <x:v>16</x:v>
      </x:c>
      <x:c r="B67" s="23" t="str">
        <x:v>周五</x:v>
      </x:c>
      <x:c r="C67" s="23" t="str">
        <x:v>3月22日</x:v>
      </x:c>
      <x:c r="D67" s="24" t="n">
        <x:v>5454.414</x:v>
      </x:c>
      <x:c r="E67" s="24" t="n">
        <x:v>5463.541</x:v>
      </x:c>
      <x:c r="F67" s="24" t="n">
        <x:v>5356.108</x:v>
      </x:c>
      <x:c r="G67" s="24" t="n">
        <x:v>5384.566</x:v>
      </x:c>
      <x:c r="H67" s="25" t="n">
        <x:v>-0.01486746109327608</x:v>
      </x:c>
      <x:c r="I67" s="24" t="n">
        <x:f>ROUND(E67-F67,1)</x:f>
        <x:v>107.4</x:v>
      </x:c>
      <x:c r="J67" s="23" t="str">
        <x:v>中证500</x:v>
      </x:c>
    </x:row>
    <x:row r="68">
      <x:c r="A68" s="23" t="n">
        <x:v>17</x:v>
      </x:c>
      <x:c r="B68" s="23" t="str">
        <x:v>周一</x:v>
      </x:c>
      <x:c r="C68" s="23" t="str">
        <x:v>3月25日</x:v>
      </x:c>
      <x:c r="D68" s="24" t="n">
        <x:v>5369.776</x:v>
      </x:c>
      <x:c r="E68" s="24" t="n">
        <x:v>5401.598</x:v>
      </x:c>
      <x:c r="F68" s="24" t="n">
        <x:v>5292.637</x:v>
      </x:c>
      <x:c r="G68" s="24" t="n">
        <x:v>5294.746</x:v>
      </x:c>
      <x:c r="H68" s="25" t="n">
        <x:v>-0.01668101013154999</x:v>
      </x:c>
      <x:c r="I68" s="24" t="n">
        <x:f>ROUND(E68-F68,1)</x:f>
        <x:v>109</x:v>
      </x:c>
      <x:c r="J68" s="23" t="str">
        <x:v>中证500</x:v>
      </x:c>
    </x:row>
    <x:row r="69">
      <x:c r="A69" s="23" t="n">
        <x:v>18</x:v>
      </x:c>
      <x:c r="B69" s="23" t="str">
        <x:v>周二</x:v>
      </x:c>
      <x:c r="C69" s="23" t="str">
        <x:v>3月26日</x:v>
      </x:c>
      <x:c r="D69" s="24" t="n">
        <x:v>5291.523</x:v>
      </x:c>
      <x:c r="E69" s="24" t="n">
        <x:v>5318.876</x:v>
      </x:c>
      <x:c r="F69" s="24" t="n">
        <x:v>5237.899</x:v>
      </x:c>
      <x:c r="G69" s="24" t="n">
        <x:v>5284.419</x:v>
      </x:c>
      <x:c r="H69" s="25" t="n">
        <x:v>-0.001950424061890832</x:v>
      </x:c>
      <x:c r="I69" s="24" t="n">
        <x:f>ROUND(E69-F69,1)</x:f>
        <x:v>81</x:v>
      </x:c>
      <x:c r="J69" s="23" t="str">
        <x:v>中证500</x:v>
      </x:c>
    </x:row>
    <x:row r="70">
      <x:c r="A70" s="23" t="n">
        <x:v>19</x:v>
      </x:c>
      <x:c r="B70" s="23" t="str">
        <x:v>周三</x:v>
      </x:c>
      <x:c r="C70" s="23" t="str">
        <x:v>3月27日</x:v>
      </x:c>
      <x:c r="D70" s="24" t="n">
        <x:v>5280.733</x:v>
      </x:c>
      <x:c r="E70" s="24" t="n">
        <x:v>5282.695</x:v>
      </x:c>
      <x:c r="F70" s="24" t="n">
        <x:v>5156.684</x:v>
      </x:c>
      <x:c r="G70" s="24" t="n">
        <x:v>5156.684</x:v>
      </x:c>
      <x:c r="H70" s="25" t="n">
        <x:v>-0.02417200452878543</x:v>
      </x:c>
      <x:c r="I70" s="24" t="n">
        <x:f>ROUND(E70-F70,1)</x:f>
        <x:v>126</x:v>
      </x:c>
      <x:c r="J70" s="23" t="str">
        <x:v>中证500</x:v>
      </x:c>
    </x:row>
    <x:row r="71">
      <x:c r="A71" s="23" t="n">
        <x:v>20</x:v>
      </x:c>
      <x:c r="B71" s="23" t="str">
        <x:v>周四</x:v>
      </x:c>
      <x:c r="C71" s="23" t="str">
        <x:v>3月28日</x:v>
      </x:c>
      <x:c r="D71" s="24" t="n">
        <x:v>5156.48</x:v>
      </x:c>
      <x:c r="E71" s="24" t="n">
        <x:v>5276.638</x:v>
      </x:c>
      <x:c r="F71" s="24" t="n">
        <x:v>5156.48</x:v>
      </x:c>
      <x:c r="G71" s="24" t="n">
        <x:v>5223.806</x:v>
      </x:c>
      <x:c r="H71" s="25" t="n">
        <x:v>0.013016504404768536</x:v>
      </x:c>
      <x:c r="I71" s="24" t="n">
        <x:f>ROUND(E71-F71,1)</x:f>
        <x:v>120.2</x:v>
      </x:c>
      <x:c r="J71" s="23" t="str">
        <x:v>中证500</x:v>
      </x:c>
    </x:row>
    <x:row r="72">
      <x:c r="A72" s="23" t="n">
        <x:v>21</x:v>
      </x:c>
      <x:c r="B72" s="23" t="str">
        <x:v>周五</x:v>
      </x:c>
      <x:c r="C72" s="23" t="str">
        <x:v>3月29日</x:v>
      </x:c>
      <x:c r="D72" s="24" t="n">
        <x:v>5220.552</x:v>
      </x:c>
      <x:c r="E72" s="24" t="n">
        <x:v>5287.038</x:v>
      </x:c>
      <x:c r="F72" s="24" t="n">
        <x:v>5211.195</x:v>
      </x:c>
      <x:c r="G72" s="24" t="n">
        <x:v>5286.161</x:v>
      </x:c>
      <x:c r="H72" s="25" t="n">
        <x:v>0.011936699027490727</x:v>
      </x:c>
      <x:c r="I72" s="24" t="n">
        <x:f>ROUND(E72-F72,1)</x:f>
        <x:v>75.8</x:v>
      </x:c>
      <x:c r="J72" s="23" t="str">
        <x:v>中证500</x:v>
      </x:c>
    </x:row>
    <x:row r="73">
      <x:c r="A73" s="36" t="str">
        <x:v>合计</x:v>
      </x:c>
      <x:c r="B73" s="35" t="n">
        <x:v>21</x:v>
      </x:c>
      <x:c r="C73" s="35"/>
      <x:c r="D73" s="35"/>
      <x:c r="E73" s="35"/>
      <x:c r="F73" s="35"/>
      <x:c r="G73" s="35"/>
      <x:c r="H73" s="35"/>
      <x:c r="I73" s="37" t="n">
        <x:f>ROUND(SUM(I52:I72),1)</x:f>
        <x:v>1813.7</x:v>
      </x:c>
      <x:c r="J73" s="35"/>
    </x:row>
    <x:row r="74">
      <x:c r="A74" s="36" t="str">
        <x:v>均值</x:v>
      </x:c>
      <x:c r="B74" s="35"/>
      <x:c r="C74" s="35"/>
      <x:c r="D74" s="35"/>
      <x:c r="E74" s="35"/>
      <x:c r="F74" s="35"/>
      <x:c r="G74" s="35"/>
      <x:c r="H74" s="35"/>
      <x:c r="I74" s="39" t="n">
        <x:f>ROUND(IFERROR(AVERAGE(I52:I72),0),1)</x:f>
        <x:v>86.4</x:v>
      </x:c>
      <x:c r="J74" s="35"/>
    </x:row>
    <x:row r="76">
      <x:c r="A76" s="17" t="str">
        <x:v>4月</x:v>
      </x:c>
      <x:c r="B76" s="17"/>
      <x:c r="C76" s="17"/>
      <x:c r="D76" s="17"/>
      <x:c r="E76" s="17"/>
      <x:c r="F76" s="17"/>
      <x:c r="G76" s="17"/>
      <x:c r="H76" s="17"/>
      <x:c r="I76" s="17"/>
      <x:c r="J76" s="17"/>
    </x:row>
    <x:row r="77">
      <x:c r="A77" s="20" t="str">
        <x:v>序号</x:v>
      </x:c>
      <x:c r="B77" s="20" t="str">
        <x:v>星期</x:v>
      </x:c>
      <x:c r="C77" s="20" t="str">
        <x:v>日期</x:v>
      </x:c>
      <x:c r="D77" s="20" t="str">
        <x:v>开盘</x:v>
      </x:c>
      <x:c r="E77" s="20" t="str">
        <x:v>高点</x:v>
      </x:c>
      <x:c r="F77" s="20" t="str">
        <x:v>低点</x:v>
      </x:c>
      <x:c r="G77" s="20" t="str">
        <x:v>收盘</x:v>
      </x:c>
      <x:c r="H77" s="20" t="str">
        <x:v>涨幅</x:v>
      </x:c>
      <x:c r="I77" s="20" t="str">
        <x:v>振幅</x:v>
      </x:c>
      <x:c r="J77" s="20" t="str">
        <x:v>标的</x:v>
      </x:c>
    </x:row>
    <x:row r="78">
      <x:c r="A78" s="23" t="n">
        <x:v>1</x:v>
      </x:c>
      <x:c r="B78" s="23" t="str">
        <x:v>周一</x:v>
      </x:c>
      <x:c r="C78" s="23" t="str">
        <x:v>4月1日</x:v>
      </x:c>
      <x:c r="D78" s="24" t="n">
        <x:v>5309.833</x:v>
      </x:c>
      <x:c r="E78" s="24" t="n">
        <x:v>5401.78</x:v>
      </x:c>
      <x:c r="F78" s="24" t="n">
        <x:v>5309.833</x:v>
      </x:c>
      <x:c r="G78" s="24" t="n">
        <x:v>5401.225</x:v>
      </x:c>
      <x:c r="H78" s="25" t="n">
        <x:v>0.02176702525708163</x:v>
      </x:c>
      <x:c r="I78" s="24" t="n">
        <x:f>ROUND(E78-F78,1)</x:f>
        <x:v>91.9</x:v>
      </x:c>
      <x:c r="J78" s="23" t="str">
        <x:v>中证500</x:v>
      </x:c>
    </x:row>
    <x:row r="79">
      <x:c r="A79" s="23" t="n">
        <x:v>2</x:v>
      </x:c>
      <x:c r="B79" s="23" t="str">
        <x:v>周二</x:v>
      </x:c>
      <x:c r="C79" s="23" t="str">
        <x:v>4月2日</x:v>
      </x:c>
      <x:c r="D79" s="24" t="n">
        <x:v>5395.481</x:v>
      </x:c>
      <x:c r="E79" s="24" t="n">
        <x:v>5402.16</x:v>
      </x:c>
      <x:c r="F79" s="24" t="n">
        <x:v>5353.312</x:v>
      </x:c>
      <x:c r="G79" s="24" t="n">
        <x:v>5381.229</x:v>
      </x:c>
      <x:c r="H79" s="25" t="n">
        <x:v>-0.0037021231294752655</x:v>
      </x:c>
      <x:c r="I79" s="24" t="n">
        <x:f>ROUND(E79-F79,1)</x:f>
        <x:v>48.8</x:v>
      </x:c>
      <x:c r="J79" s="23" t="str">
        <x:v>中证500</x:v>
      </x:c>
    </x:row>
    <x:row r="80">
      <x:c r="A80" s="23" t="n">
        <x:v>3</x:v>
      </x:c>
      <x:c r="B80" s="23" t="str">
        <x:v>周三</x:v>
      </x:c>
      <x:c r="C80" s="23" t="str">
        <x:v>4月3日</x:v>
      </x:c>
      <x:c r="D80" s="24" t="n">
        <x:v>5373.502</x:v>
      </x:c>
      <x:c r="E80" s="24" t="n">
        <x:v>5386.342</x:v>
      </x:c>
      <x:c r="F80" s="24" t="n">
        <x:v>5350.16</x:v>
      </x:c>
      <x:c r="G80" s="24" t="n">
        <x:v>5374.595</x:v>
      </x:c>
      <x:c r="H80" s="25" t="n">
        <x:v>-0.0012328038817898124</x:v>
      </x:c>
      <x:c r="I80" s="24" t="n">
        <x:f>ROUND(E80-F80,1)</x:f>
        <x:v>36.2</x:v>
      </x:c>
      <x:c r="J80" s="23" t="str">
        <x:v>中证500</x:v>
      </x:c>
    </x:row>
    <x:row r="81">
      <x:c r="A81" s="23" t="n">
        <x:v>4</x:v>
      </x:c>
      <x:c r="B81" s="23" t="str">
        <x:v>周一</x:v>
      </x:c>
      <x:c r="C81" s="23" t="str">
        <x:v>4月8日</x:v>
      </x:c>
      <x:c r="D81" s="24" t="n">
        <x:v>5358.957</x:v>
      </x:c>
      <x:c r="E81" s="24" t="n">
        <x:v>5383.659</x:v>
      </x:c>
      <x:c r="F81" s="24" t="n">
        <x:v>5297.559</x:v>
      </x:c>
      <x:c r="G81" s="24" t="n">
        <x:v>5298.591</x:v>
      </x:c>
      <x:c r="H81" s="25" t="n">
        <x:v>-0.014141344603639916</x:v>
      </x:c>
      <x:c r="I81" s="24" t="n">
        <x:f>ROUND(E81-F81,1)</x:f>
        <x:v>86.1</x:v>
      </x:c>
      <x:c r="J81" s="23" t="str">
        <x:v>中证500</x:v>
      </x:c>
    </x:row>
    <x:row r="82">
      <x:c r="A82" s="23" t="n">
        <x:v>5</x:v>
      </x:c>
      <x:c r="B82" s="23" t="str">
        <x:v>周二</x:v>
      </x:c>
      <x:c r="C82" s="23" t="str">
        <x:v>4月9日</x:v>
      </x:c>
      <x:c r="D82" s="24" t="n">
        <x:v>5294.474</x:v>
      </x:c>
      <x:c r="E82" s="24" t="n">
        <x:v>5342.898</x:v>
      </x:c>
      <x:c r="F82" s="24" t="n">
        <x:v>5284.956</x:v>
      </x:c>
      <x:c r="G82" s="24" t="n">
        <x:v>5342.898</x:v>
      </x:c>
      <x:c r="H82" s="25" t="n">
        <x:v>0.008362034359700399</x:v>
      </x:c>
      <x:c r="I82" s="24" t="n">
        <x:f>ROUND(E82-F82,1)</x:f>
        <x:v>57.9</x:v>
      </x:c>
      <x:c r="J82" s="23" t="str">
        <x:v>中证500</x:v>
      </x:c>
    </x:row>
    <x:row r="83">
      <x:c r="A83" s="23" t="n">
        <x:v>6</x:v>
      </x:c>
      <x:c r="B83" s="23" t="str">
        <x:v>周三</x:v>
      </x:c>
      <x:c r="C83" s="23" t="str">
        <x:v>4月10日</x:v>
      </x:c>
      <x:c r="D83" s="24" t="n">
        <x:v>5335.73</x:v>
      </x:c>
      <x:c r="E83" s="24" t="n">
        <x:v>5335.73</x:v>
      </x:c>
      <x:c r="F83" s="24" t="n">
        <x:v>5242.863</x:v>
      </x:c>
      <x:c r="G83" s="24" t="n">
        <x:v>5275.473</x:v>
      </x:c>
      <x:c r="H83" s="25" t="n">
        <x:v>-0.012619555903930824</x:v>
      </x:c>
      <x:c r="I83" s="24" t="n">
        <x:f>ROUND(E83-F83,1)</x:f>
        <x:v>92.9</x:v>
      </x:c>
      <x:c r="J83" s="23" t="str">
        <x:v>中证500</x:v>
      </x:c>
    </x:row>
    <x:row r="84">
      <x:c r="A84" s="23" t="n">
        <x:v>7</x:v>
      </x:c>
      <x:c r="B84" s="23" t="str">
        <x:v>周四</x:v>
      </x:c>
      <x:c r="C84" s="23" t="str">
        <x:v>4月11日</x:v>
      </x:c>
      <x:c r="D84" s="24" t="n">
        <x:v>5244.054</x:v>
      </x:c>
      <x:c r="E84" s="24" t="n">
        <x:v>5353.809</x:v>
      </x:c>
      <x:c r="F84" s="24" t="n">
        <x:v>5240.51</x:v>
      </x:c>
      <x:c r="G84" s="24" t="n">
        <x:v>5301.809</x:v>
      </x:c>
      <x:c r="H84" s="25" t="n">
        <x:v>0.004992158996927953</x:v>
      </x:c>
      <x:c r="I84" s="24" t="n">
        <x:f>ROUND(E84-F84,1)</x:f>
        <x:v>113.3</x:v>
      </x:c>
      <x:c r="J84" s="23" t="str">
        <x:v>中证500</x:v>
      </x:c>
    </x:row>
    <x:row r="85">
      <x:c r="A85" s="23" t="n">
        <x:v>8</x:v>
      </x:c>
      <x:c r="B85" s="23" t="str">
        <x:v>周五</x:v>
      </x:c>
      <x:c r="C85" s="23" t="str">
        <x:v>4月12日</x:v>
      </x:c>
      <x:c r="D85" s="24" t="n">
        <x:v>5307.723</x:v>
      </x:c>
      <x:c r="E85" s="24" t="n">
        <x:v>5336.448</x:v>
      </x:c>
      <x:c r="F85" s="24" t="n">
        <x:v>5270.462</x:v>
      </x:c>
      <x:c r="G85" s="24" t="n">
        <x:v>5277.219</x:v>
      </x:c>
      <x:c r="H85" s="25" t="n">
        <x:v>-0.004638039582338771</x:v>
      </x:c>
      <x:c r="I85" s="24" t="n">
        <x:f>ROUND(E85-F85,1)</x:f>
        <x:v>66</x:v>
      </x:c>
      <x:c r="J85" s="23" t="str">
        <x:v>中证500</x:v>
      </x:c>
    </x:row>
    <x:row r="86">
      <x:c r="A86" s="23" t="n">
        <x:v>9</x:v>
      </x:c>
      <x:c r="B86" s="23" t="str">
        <x:v>周一</x:v>
      </x:c>
      <x:c r="C86" s="23" t="str">
        <x:v>4月15日</x:v>
      </x:c>
      <x:c r="D86" s="24" t="n">
        <x:v>5270.042</x:v>
      </x:c>
      <x:c r="E86" s="24" t="n">
        <x:v>5376.048</x:v>
      </x:c>
      <x:c r="F86" s="24" t="n">
        <x:v>5219.429</x:v>
      </x:c>
      <x:c r="G86" s="24" t="n">
        <x:v>5339.722</x:v>
      </x:c>
      <x:c r="H86" s="25" t="n">
        <x:v>0.011843927644465735</x:v>
      </x:c>
      <x:c r="I86" s="24" t="n">
        <x:f>ROUND(E86-F86,1)</x:f>
        <x:v>156.6</x:v>
      </x:c>
      <x:c r="J86" s="23" t="str">
        <x:v>中证500</x:v>
      </x:c>
    </x:row>
    <x:row r="87">
      <x:c r="A87" s="23" t="n">
        <x:v>10</x:v>
      </x:c>
      <x:c r="B87" s="23" t="str">
        <x:v>周二</x:v>
      </x:c>
      <x:c r="C87" s="23" t="str">
        <x:v>4月16日</x:v>
      </x:c>
      <x:c r="D87" s="24" t="n">
        <x:v>5309.101</x:v>
      </x:c>
      <x:c r="E87" s="24" t="n">
        <x:v>5346.762</x:v>
      </x:c>
      <x:c r="F87" s="24" t="n">
        <x:v>5184.654</x:v>
      </x:c>
      <x:c r="G87" s="24" t="n">
        <x:v>5191.554</x:v>
      </x:c>
      <x:c r="H87" s="25" t="n">
        <x:v>-0.02774826105179251</x:v>
      </x:c>
      <x:c r="I87" s="33" t="n">
        <x:f>ROUND(E87-F87,1)</x:f>
        <x:v>162.1</x:v>
      </x:c>
      <x:c r="J87" s="23" t="str">
        <x:v>中证500</x:v>
      </x:c>
    </x:row>
    <x:row r="88">
      <x:c r="A88" s="23" t="n">
        <x:v>11</x:v>
      </x:c>
      <x:c r="B88" s="23" t="str">
        <x:v>周三</x:v>
      </x:c>
      <x:c r="C88" s="23" t="str">
        <x:v>4月17日</x:v>
      </x:c>
      <x:c r="D88" s="24" t="n">
        <x:v>5211.249</x:v>
      </x:c>
      <x:c r="E88" s="24" t="n">
        <x:v>5339.747</x:v>
      </x:c>
      <x:c r="F88" s="24" t="n">
        <x:v>5211.249</x:v>
      </x:c>
      <x:c r="G88" s="24" t="n">
        <x:v>5339.747</x:v>
      </x:c>
      <x:c r="H88" s="25" t="n">
        <x:v>0.02854501754195371</x:v>
      </x:c>
      <x:c r="I88" s="24" t="n">
        <x:f>ROUND(E88-F88,1)</x:f>
        <x:v>128.5</x:v>
      </x:c>
      <x:c r="J88" s="23" t="str">
        <x:v>中证500</x:v>
      </x:c>
    </x:row>
    <x:row r="89">
      <x:c r="A89" s="23" t="n">
        <x:v>12</x:v>
      </x:c>
      <x:c r="B89" s="23" t="str">
        <x:v>周四</x:v>
      </x:c>
      <x:c r="C89" s="23" t="str">
        <x:v>4月18日</x:v>
      </x:c>
      <x:c r="D89" s="24" t="n">
        <x:v>5317.799</x:v>
      </x:c>
      <x:c r="E89" s="24" t="n">
        <x:v>5410.696</x:v>
      </x:c>
      <x:c r="F89" s="24" t="n">
        <x:v>5299.229</x:v>
      </x:c>
      <x:c r="G89" s="24" t="n">
        <x:v>5349.836</x:v>
      </x:c>
      <x:c r="H89" s="25" t="n">
        <x:v>0.0018894153599411379</x:v>
      </x:c>
      <x:c r="I89" s="24" t="n">
        <x:f>ROUND(E89-F89,1)</x:f>
        <x:v>111.5</x:v>
      </x:c>
      <x:c r="J89" s="23" t="str">
        <x:v>中证500</x:v>
      </x:c>
    </x:row>
    <x:row r="90">
      <x:c r="A90" s="29" t="n">
        <x:v>13</x:v>
      </x:c>
      <x:c r="B90" s="29" t="str">
        <x:v>周五</x:v>
      </x:c>
      <x:c r="C90" s="29" t="str">
        <x:v>4月19日</x:v>
      </x:c>
      <x:c r="D90" s="30" t="n">
        <x:v>5322.359</x:v>
      </x:c>
      <x:c r="E90" s="30" t="n">
        <x:v>5369.954</x:v>
      </x:c>
      <x:c r="F90" s="30" t="n">
        <x:v>5292.016</x:v>
      </x:c>
      <x:c r="G90" s="30" t="n">
        <x:v>5314.867</x:v>
      </x:c>
      <x:c r="H90" s="31" t="n">
        <x:v>-0.006536462052294745</x:v>
      </x:c>
      <x:c r="I90" s="30" t="n">
        <x:f>ROUND(E90-F90,1)</x:f>
        <x:v>77.9</x:v>
      </x:c>
      <x:c r="J90" s="29" t="str">
        <x:v>中证500</x:v>
      </x:c>
    </x:row>
    <x:row r="91">
      <x:c r="A91" s="23" t="n">
        <x:v>14</x:v>
      </x:c>
      <x:c r="B91" s="23" t="str">
        <x:v>周一</x:v>
      </x:c>
      <x:c r="C91" s="23" t="str">
        <x:v>4月22日</x:v>
      </x:c>
      <x:c r="D91" s="24" t="n">
        <x:v>5289.407</x:v>
      </x:c>
      <x:c r="E91" s="24" t="n">
        <x:v>5340.631</x:v>
      </x:c>
      <x:c r="F91" s="24" t="n">
        <x:v>5264.186</x:v>
      </x:c>
      <x:c r="G91" s="24" t="n">
        <x:v>5267.581</x:v>
      </x:c>
      <x:c r="H91" s="25" t="n">
        <x:v>-0.008896930064289488</x:v>
      </x:c>
      <x:c r="I91" s="24" t="n">
        <x:f>ROUND(E91-F91,1)</x:f>
        <x:v>76.4</x:v>
      </x:c>
      <x:c r="J91" s="23" t="str">
        <x:v>中证500</x:v>
      </x:c>
    </x:row>
    <x:row r="92">
      <x:c r="A92" s="23" t="n">
        <x:v>15</x:v>
      </x:c>
      <x:c r="B92" s="23" t="str">
        <x:v>周二</x:v>
      </x:c>
      <x:c r="C92" s="23" t="str">
        <x:v>4月23日</x:v>
      </x:c>
      <x:c r="D92" s="24" t="n">
        <x:v>5257.766</x:v>
      </x:c>
      <x:c r="E92" s="24" t="n">
        <x:v>5280.059</x:v>
      </x:c>
      <x:c r="F92" s="24" t="n">
        <x:v>5196.955</x:v>
      </x:c>
      <x:c r="G92" s="24" t="n">
        <x:v>5208.271</x:v>
      </x:c>
      <x:c r="H92" s="25" t="n">
        <x:v>-0.011259437681167217</x:v>
      </x:c>
      <x:c r="I92" s="24" t="n">
        <x:f>ROUND(E92-F92,1)</x:f>
        <x:v>83.1</x:v>
      </x:c>
      <x:c r="J92" s="23" t="str">
        <x:v>中证500</x:v>
      </x:c>
    </x:row>
    <x:row r="93">
      <x:c r="A93" s="23" t="n">
        <x:v>16</x:v>
      </x:c>
      <x:c r="B93" s="23" t="str">
        <x:v>周三</x:v>
      </x:c>
      <x:c r="C93" s="23" t="str">
        <x:v>4月24日</x:v>
      </x:c>
      <x:c r="D93" s="24" t="n">
        <x:v>5210.183</x:v>
      </x:c>
      <x:c r="E93" s="24" t="n">
        <x:v>5263.039</x:v>
      </x:c>
      <x:c r="F93" s="24" t="n">
        <x:v>5183.701</x:v>
      </x:c>
      <x:c r="G93" s="24" t="n">
        <x:v>5263.039</x:v>
      </x:c>
      <x:c r="H93" s="25" t="n">
        <x:v>0.010515581850483624</x:v>
      </x:c>
      <x:c r="I93" s="24" t="n">
        <x:f>ROUND(E93-F93,1)</x:f>
        <x:v>79.3</x:v>
      </x:c>
      <x:c r="J93" s="23" t="str">
        <x:v>中证500</x:v>
      </x:c>
    </x:row>
    <x:row r="94">
      <x:c r="A94" s="23" t="n">
        <x:v>17</x:v>
      </x:c>
      <x:c r="B94" s="23" t="str">
        <x:v>周四</x:v>
      </x:c>
      <x:c r="C94" s="23" t="str">
        <x:v>4月25日</x:v>
      </x:c>
      <x:c r="D94" s="24" t="n">
        <x:v>5240.482</x:v>
      </x:c>
      <x:c r="E94" s="24" t="n">
        <x:v>5297.163</x:v>
      </x:c>
      <x:c r="F94" s="24" t="n">
        <x:v>5229.825</x:v>
      </x:c>
      <x:c r="G94" s="24" t="n">
        <x:v>5259.335</x:v>
      </x:c>
      <x:c r="H94" s="25" t="n">
        <x:v>-0.0007037758982975095</x:v>
      </x:c>
      <x:c r="I94" s="24" t="n">
        <x:f>ROUND(E94-F94,1)</x:f>
        <x:v>67.3</x:v>
      </x:c>
      <x:c r="J94" s="23" t="str">
        <x:v>中证500</x:v>
      </x:c>
    </x:row>
    <x:row r="95">
      <x:c r="A95" s="23" t="n">
        <x:v>18</x:v>
      </x:c>
      <x:c r="B95" s="23" t="str">
        <x:v>周五</x:v>
      </x:c>
      <x:c r="C95" s="23" t="str">
        <x:v>4月26日</x:v>
      </x:c>
      <x:c r="D95" s="24" t="n">
        <x:v>5258.385</x:v>
      </x:c>
      <x:c r="E95" s="24" t="n">
        <x:v>5379.671</x:v>
      </x:c>
      <x:c r="F95" s="24" t="n">
        <x:v>5258.385</x:v>
      </x:c>
      <x:c r="G95" s="24" t="n">
        <x:v>5372.121</x:v>
      </x:c>
      <x:c r="H95" s="25" t="n">
        <x:v>0.021444916515110712</x:v>
      </x:c>
      <x:c r="I95" s="24" t="n">
        <x:f>ROUND(E95-F95,1)</x:f>
        <x:v>121.3</x:v>
      </x:c>
      <x:c r="J95" s="23" t="str">
        <x:v>中证500</x:v>
      </x:c>
    </x:row>
    <x:row r="96">
      <x:c r="A96" s="23" t="n">
        <x:v>19</x:v>
      </x:c>
      <x:c r="B96" s="23" t="str">
        <x:v>周一</x:v>
      </x:c>
      <x:c r="C96" s="23" t="str">
        <x:v>4月29日</x:v>
      </x:c>
      <x:c r="D96" s="24" t="n">
        <x:v>5371.212</x:v>
      </x:c>
      <x:c r="E96" s="24" t="n">
        <x:v>5488.278</x:v>
      </x:c>
      <x:c r="F96" s="24" t="n">
        <x:v>5371.212</x:v>
      </x:c>
      <x:c r="G96" s="24" t="n">
        <x:v>5478.491</x:v>
      </x:c>
      <x:c r="H96" s="25" t="n">
        <x:v>0.019800373074247535</x:v>
      </x:c>
      <x:c r="I96" s="24" t="n">
        <x:f>ROUND(E96-F96,1)</x:f>
        <x:v>117.1</x:v>
      </x:c>
      <x:c r="J96" s="23" t="str">
        <x:v>中证500</x:v>
      </x:c>
    </x:row>
    <x:row r="97">
      <x:c r="A97" s="23" t="n">
        <x:v>20</x:v>
      </x:c>
      <x:c r="B97" s="23" t="str">
        <x:v>周二</x:v>
      </x:c>
      <x:c r="C97" s="23" t="str">
        <x:v>4月30日</x:v>
      </x:c>
      <x:c r="D97" s="24" t="n">
        <x:v>5471.168</x:v>
      </x:c>
      <x:c r="E97" s="24" t="n">
        <x:v>5478.035</x:v>
      </x:c>
      <x:c r="F97" s="24" t="n">
        <x:v>5436.575</x:v>
      </x:c>
      <x:c r="G97" s="24" t="n">
        <x:v>5441.141</x:v>
      </x:c>
      <x:c r="H97" s="25" t="n">
        <x:v>-0.006817570750777935</x:v>
      </x:c>
      <x:c r="I97" s="24" t="n">
        <x:f>ROUND(E97-F97,1)</x:f>
        <x:v>41.5</x:v>
      </x:c>
      <x:c r="J97" s="23" t="str">
        <x:v>中证500</x:v>
      </x:c>
    </x:row>
    <x:row r="98">
      <x:c r="A98" s="36" t="str">
        <x:v>合计</x:v>
      </x:c>
      <x:c r="B98" s="35" t="n">
        <x:v>20</x:v>
      </x:c>
      <x:c r="C98" s="35"/>
      <x:c r="D98" s="35"/>
      <x:c r="E98" s="35"/>
      <x:c r="F98" s="35"/>
      <x:c r="G98" s="35"/>
      <x:c r="H98" s="35"/>
      <x:c r="I98" s="37" t="n">
        <x:f>ROUND(SUM(I78:I97),1)</x:f>
        <x:v>1815.7</x:v>
      </x:c>
      <x:c r="J98" s="35"/>
    </x:row>
    <x:row r="99">
      <x:c r="A99" s="36" t="str">
        <x:v>均值</x:v>
      </x:c>
      <x:c r="B99" s="35"/>
      <x:c r="C99" s="35"/>
      <x:c r="D99" s="35"/>
      <x:c r="E99" s="35"/>
      <x:c r="F99" s="35"/>
      <x:c r="G99" s="35"/>
      <x:c r="H99" s="35"/>
      <x:c r="I99" s="39" t="n">
        <x:f>ROUND(IFERROR(AVERAGE(I78:I97),0),1)</x:f>
        <x:v>90.8</x:v>
      </x:c>
      <x:c r="J99" s="35"/>
    </x:row>
    <x:row r="101">
      <x:c r="A101" s="17" t="str">
        <x:v>5月</x:v>
      </x:c>
      <x:c r="B101" s="17"/>
      <x:c r="C101" s="17"/>
      <x:c r="D101" s="17"/>
      <x:c r="E101" s="17"/>
      <x:c r="F101" s="17"/>
      <x:c r="G101" s="17"/>
      <x:c r="H101" s="17"/>
      <x:c r="I101" s="17"/>
      <x:c r="J101" s="17"/>
    </x:row>
    <x:row r="102">
      <x:c r="A102" s="20" t="str">
        <x:v>序号</x:v>
      </x:c>
      <x:c r="B102" s="20" t="str">
        <x:v>星期</x:v>
      </x:c>
      <x:c r="C102" s="20" t="str">
        <x:v>日期</x:v>
      </x:c>
      <x:c r="D102" s="20" t="str">
        <x:v>开盘</x:v>
      </x:c>
      <x:c r="E102" s="20" t="str">
        <x:v>高点</x:v>
      </x:c>
      <x:c r="F102" s="20" t="str">
        <x:v>低点</x:v>
      </x:c>
      <x:c r="G102" s="20" t="str">
        <x:v>收盘</x:v>
      </x:c>
      <x:c r="H102" s="20" t="str">
        <x:v>涨幅</x:v>
      </x:c>
      <x:c r="I102" s="20" t="str">
        <x:v>振幅</x:v>
      </x:c>
      <x:c r="J102" s="20" t="str">
        <x:v>标的</x:v>
      </x:c>
    </x:row>
    <x:row r="103">
      <x:c r="A103" s="23" t="n">
        <x:v>1</x:v>
      </x:c>
      <x:c r="B103" s="23" t="str">
        <x:v>周一</x:v>
      </x:c>
      <x:c r="C103" s="23" t="str">
        <x:v>5月6日</x:v>
      </x:c>
      <x:c r="D103" s="24" t="n">
        <x:v>5498.444</x:v>
      </x:c>
      <x:c r="E103" s="24" t="n">
        <x:v>5535.949</x:v>
      </x:c>
      <x:c r="F103" s="24" t="n">
        <x:v>5496.907</x:v>
      </x:c>
      <x:c r="G103" s="24" t="n">
        <x:v>5528.604</x:v>
      </x:c>
      <x:c r="H103" s="25" t="n">
        <x:v>0.01607438586869936</x:v>
      </x:c>
      <x:c r="I103" s="24" t="n">
        <x:f>ROUND(E103-F103,1)</x:f>
        <x:v>39</x:v>
      </x:c>
      <x:c r="J103" s="23" t="str">
        <x:v>中证500</x:v>
      </x:c>
    </x:row>
    <x:row r="104">
      <x:c r="A104" s="23" t="n">
        <x:v>2</x:v>
      </x:c>
      <x:c r="B104" s="23" t="str">
        <x:v>周二</x:v>
      </x:c>
      <x:c r="C104" s="23" t="str">
        <x:v>5月7日</x:v>
      </x:c>
      <x:c r="D104" s="24" t="n">
        <x:v>5532.323</x:v>
      </x:c>
      <x:c r="E104" s="24" t="n">
        <x:v>5543.125</x:v>
      </x:c>
      <x:c r="F104" s="24" t="n">
        <x:v>5507.501</x:v>
      </x:c>
      <x:c r="G104" s="24" t="n">
        <x:v>5527.085</x:v>
      </x:c>
      <x:c r="H104" s="25" t="n">
        <x:v>-0.000274752903264619</x:v>
      </x:c>
      <x:c r="I104" s="24" t="n">
        <x:f>ROUND(E104-F104,1)</x:f>
        <x:v>35.6</x:v>
      </x:c>
      <x:c r="J104" s="23" t="str">
        <x:v>中证500</x:v>
      </x:c>
    </x:row>
    <x:row r="105">
      <x:c r="A105" s="23" t="n">
        <x:v>3</x:v>
      </x:c>
      <x:c r="B105" s="23" t="str">
        <x:v>周三</x:v>
      </x:c>
      <x:c r="C105" s="23" t="str">
        <x:v>5月8日</x:v>
      </x:c>
      <x:c r="D105" s="24" t="n">
        <x:v>5516.448</x:v>
      </x:c>
      <x:c r="E105" s="24" t="n">
        <x:v>5516.448</x:v>
      </x:c>
      <x:c r="F105" s="24" t="n">
        <x:v>5454.874</x:v>
      </x:c>
      <x:c r="G105" s="24" t="n">
        <x:v>5458.756</x:v>
      </x:c>
      <x:c r="H105" s="25" t="n">
        <x:v>-0.012362574485465627</x:v>
      </x:c>
      <x:c r="I105" s="24" t="n">
        <x:f>ROUND(E105-F105,1)</x:f>
        <x:v>61.6</x:v>
      </x:c>
      <x:c r="J105" s="23" t="str">
        <x:v>中证500</x:v>
      </x:c>
    </x:row>
    <x:row r="106">
      <x:c r="A106" s="23" t="n">
        <x:v>4</x:v>
      </x:c>
      <x:c r="B106" s="23" t="str">
        <x:v>周四</x:v>
      </x:c>
      <x:c r="C106" s="23" t="str">
        <x:v>5月9日</x:v>
      </x:c>
      <x:c r="D106" s="24" t="n">
        <x:v>5461.36</x:v>
      </x:c>
      <x:c r="E106" s="24" t="n">
        <x:v>5568.732</x:v>
      </x:c>
      <x:c r="F106" s="24" t="n">
        <x:v>5461.36</x:v>
      </x:c>
      <x:c r="G106" s="24" t="n">
        <x:v>5556.771</x:v>
      </x:c>
      <x:c r="H106" s="25" t="n">
        <x:v>0.017955556174336973</x:v>
      </x:c>
      <x:c r="I106" s="24" t="n">
        <x:f>ROUND(E106-F106,1)</x:f>
        <x:v>107.4</x:v>
      </x:c>
      <x:c r="J106" s="23" t="str">
        <x:v>中证500</x:v>
      </x:c>
    </x:row>
    <x:row r="107">
      <x:c r="A107" s="23" t="n">
        <x:v>5</x:v>
      </x:c>
      <x:c r="B107" s="23" t="str">
        <x:v>周五</x:v>
      </x:c>
      <x:c r="C107" s="23" t="str">
        <x:v>5月10日</x:v>
      </x:c>
      <x:c r="D107" s="24" t="n">
        <x:v>5562.193</x:v>
      </x:c>
      <x:c r="E107" s="24" t="n">
        <x:v>5570.565</x:v>
      </x:c>
      <x:c r="F107" s="24" t="n">
        <x:v>5497.497</x:v>
      </x:c>
      <x:c r="G107" s="24" t="n">
        <x:v>5535.395</x:v>
      </x:c>
      <x:c r="H107" s="25" t="n">
        <x:v>-0.003846838388697149</x:v>
      </x:c>
      <x:c r="I107" s="24" t="n">
        <x:f>ROUND(E107-F107,1)</x:f>
        <x:v>73.1</x:v>
      </x:c>
      <x:c r="J107" s="23" t="str">
        <x:v>中证500</x:v>
      </x:c>
    </x:row>
    <x:row r="108">
      <x:c r="A108" s="23" t="n">
        <x:v>6</x:v>
      </x:c>
      <x:c r="B108" s="23" t="str">
        <x:v>周一</x:v>
      </x:c>
      <x:c r="C108" s="23" t="str">
        <x:v>5月13日</x:v>
      </x:c>
      <x:c r="D108" s="24" t="n">
        <x:v>5503.129</x:v>
      </x:c>
      <x:c r="E108" s="24" t="n">
        <x:v>5527.2</x:v>
      </x:c>
      <x:c r="F108" s="24" t="n">
        <x:v>5462.508</x:v>
      </x:c>
      <x:c r="G108" s="24" t="n">
        <x:v>5505.26</x:v>
      </x:c>
      <x:c r="H108" s="25" t="n">
        <x:v>-0.005444055934581082</x:v>
      </x:c>
      <x:c r="I108" s="24" t="n">
        <x:f>ROUND(E108-F108,1)</x:f>
        <x:v>64.7</x:v>
      </x:c>
      <x:c r="J108" s="23" t="str">
        <x:v>中证500</x:v>
      </x:c>
    </x:row>
    <x:row r="109">
      <x:c r="A109" s="23" t="n">
        <x:v>7</x:v>
      </x:c>
      <x:c r="B109" s="23" t="str">
        <x:v>周二</x:v>
      </x:c>
      <x:c r="C109" s="23" t="str">
        <x:v>5月14日</x:v>
      </x:c>
      <x:c r="D109" s="24" t="n">
        <x:v>5508.466</x:v>
      </x:c>
      <x:c r="E109" s="24" t="n">
        <x:v>5538.743</x:v>
      </x:c>
      <x:c r="F109" s="24" t="n">
        <x:v>5484.964</x:v>
      </x:c>
      <x:c r="G109" s="24" t="n">
        <x:v>5500.738</x:v>
      </x:c>
      <x:c r="H109" s="25" t="n">
        <x:v>-0.0008213962646632655</x:v>
      </x:c>
      <x:c r="I109" s="24" t="n">
        <x:f>ROUND(E109-F109,1)</x:f>
        <x:v>53.8</x:v>
      </x:c>
      <x:c r="J109" s="23" t="str">
        <x:v>中证500</x:v>
      </x:c>
    </x:row>
    <x:row r="110">
      <x:c r="A110" s="23" t="n">
        <x:v>8</x:v>
      </x:c>
      <x:c r="B110" s="23" t="str">
        <x:v>周三</x:v>
      </x:c>
      <x:c r="C110" s="23" t="str">
        <x:v>5月15日</x:v>
      </x:c>
      <x:c r="D110" s="24" t="n">
        <x:v>5495.557</x:v>
      </x:c>
      <x:c r="E110" s="24" t="n">
        <x:v>5497.084</x:v>
      </x:c>
      <x:c r="F110" s="24" t="n">
        <x:v>5441.355</x:v>
      </x:c>
      <x:c r="G110" s="24" t="n">
        <x:v>5446.656</x:v>
      </x:c>
      <x:c r="H110" s="25" t="n">
        <x:v>-0.009831771664093103</x:v>
      </x:c>
      <x:c r="I110" s="24" t="n">
        <x:f>ROUND(E110-F110,1)</x:f>
        <x:v>55.7</x:v>
      </x:c>
      <x:c r="J110" s="23" t="str">
        <x:v>中证500</x:v>
      </x:c>
    </x:row>
    <x:row r="111">
      <x:c r="A111" s="23" t="n">
        <x:v>9</x:v>
      </x:c>
      <x:c r="B111" s="23" t="str">
        <x:v>周四</x:v>
      </x:c>
      <x:c r="C111" s="23" t="str">
        <x:v>5月16日</x:v>
      </x:c>
      <x:c r="D111" s="24" t="n">
        <x:v>5461.108</x:v>
      </x:c>
      <x:c r="E111" s="24" t="n">
        <x:v>5475.374</x:v>
      </x:c>
      <x:c r="F111" s="24" t="n">
        <x:v>5408.125</x:v>
      </x:c>
      <x:c r="G111" s="24" t="n">
        <x:v>5424.665</x:v>
      </x:c>
      <x:c r="H111" s="25" t="n">
        <x:v>-0.004037523206899762</x:v>
      </x:c>
      <x:c r="I111" s="24" t="n">
        <x:f>ROUND(E111-F111,1)</x:f>
        <x:v>67.2</x:v>
      </x:c>
      <x:c r="J111" s="23" t="str">
        <x:v>中证500</x:v>
      </x:c>
    </x:row>
    <x:row r="112">
      <x:c r="A112" s="29" t="n">
        <x:v>10</x:v>
      </x:c>
      <x:c r="B112" s="29" t="str">
        <x:v>周五</x:v>
      </x:c>
      <x:c r="C112" s="29" t="str">
        <x:v>5月17日</x:v>
      </x:c>
      <x:c r="D112" s="30" t="n">
        <x:v>5418.658</x:v>
      </x:c>
      <x:c r="E112" s="30" t="n">
        <x:v>5493.201</x:v>
      </x:c>
      <x:c r="F112" s="30" t="n">
        <x:v>5409.705</x:v>
      </x:c>
      <x:c r="G112" s="30" t="n">
        <x:v>5491.894</x:v>
      </x:c>
      <x:c r="H112" s="31" t="n">
        <x:v>0.012393207691166142</x:v>
      </x:c>
      <x:c r="I112" s="30" t="n">
        <x:f>ROUND(E112-F112,1)</x:f>
        <x:v>83.5</x:v>
      </x:c>
      <x:c r="J112" s="29" t="str">
        <x:v>中证500</x:v>
      </x:c>
    </x:row>
    <x:row r="113">
      <x:c r="A113" s="23" t="n">
        <x:v>11</x:v>
      </x:c>
      <x:c r="B113" s="23" t="str">
        <x:v>周一</x:v>
      </x:c>
      <x:c r="C113" s="23" t="str">
        <x:v>5月20日</x:v>
      </x:c>
      <x:c r="D113" s="24" t="n">
        <x:v>5496.79</x:v>
      </x:c>
      <x:c r="E113" s="24" t="n">
        <x:v>5536.662</x:v>
      </x:c>
      <x:c r="F113" s="24" t="n">
        <x:v>5484.358</x:v>
      </x:c>
      <x:c r="G113" s="24" t="n">
        <x:v>5523.501</x:v>
      </x:c>
      <x:c r="H113" s="25" t="n">
        <x:v>0.005755209404988415</x:v>
      </x:c>
      <x:c r="I113" s="24" t="n">
        <x:f>ROUND(E113-F113,1)</x:f>
        <x:v>52.3</x:v>
      </x:c>
      <x:c r="J113" s="23" t="str">
        <x:v>中证500</x:v>
      </x:c>
    </x:row>
    <x:row r="114">
      <x:c r="A114" s="23" t="n">
        <x:v>12</x:v>
      </x:c>
      <x:c r="B114" s="23" t="str">
        <x:v>周二</x:v>
      </x:c>
      <x:c r="C114" s="23" t="str">
        <x:v>5月21日</x:v>
      </x:c>
      <x:c r="D114" s="24" t="n">
        <x:v>5511.484</x:v>
      </x:c>
      <x:c r="E114" s="24" t="n">
        <x:v>5513.424</x:v>
      </x:c>
      <x:c r="F114" s="24" t="n">
        <x:v>5460.975</x:v>
      </x:c>
      <x:c r="G114" s="24" t="n">
        <x:v>5478.913</x:v>
      </x:c>
      <x:c r="H114" s="25" t="n">
        <x:v>-0.008072416389532822</x:v>
      </x:c>
      <x:c r="I114" s="24" t="n">
        <x:f>ROUND(E114-F114,1)</x:f>
        <x:v>52.4</x:v>
      </x:c>
      <x:c r="J114" s="23" t="str">
        <x:v>中证500</x:v>
      </x:c>
    </x:row>
    <x:row r="115">
      <x:c r="A115" s="23" t="n">
        <x:v>13</x:v>
      </x:c>
      <x:c r="B115" s="23" t="str">
        <x:v>周三</x:v>
      </x:c>
      <x:c r="C115" s="23" t="str">
        <x:v>5月22日</x:v>
      </x:c>
      <x:c r="D115" s="24" t="n">
        <x:v>5472.01</x:v>
      </x:c>
      <x:c r="E115" s="24" t="n">
        <x:v>5486.305</x:v>
      </x:c>
      <x:c r="F115" s="24" t="n">
        <x:v>5455.077</x:v>
      </x:c>
      <x:c r="G115" s="24" t="n">
        <x:v>5468.607</x:v>
      </x:c>
      <x:c r="H115" s="25" t="n">
        <x:v>-0.001881030051033794</x:v>
      </x:c>
      <x:c r="I115" s="24" t="n">
        <x:f>ROUND(E115-F115,1)</x:f>
        <x:v>31.2</x:v>
      </x:c>
      <x:c r="J115" s="23" t="str">
        <x:v>中证500</x:v>
      </x:c>
    </x:row>
    <x:row r="116">
      <x:c r="A116" s="23" t="n">
        <x:v>14</x:v>
      </x:c>
      <x:c r="B116" s="23" t="str">
        <x:v>周四</x:v>
      </x:c>
      <x:c r="C116" s="23" t="str">
        <x:v>5月23日</x:v>
      </x:c>
      <x:c r="D116" s="24" t="n">
        <x:v>5448.94</x:v>
      </x:c>
      <x:c r="E116" s="24" t="n">
        <x:v>5448.94</x:v>
      </x:c>
      <x:c r="F116" s="24" t="n">
        <x:v>5352.393</x:v>
      </x:c>
      <x:c r="G116" s="24" t="n">
        <x:v>5362.305</x:v>
      </x:c>
      <x:c r="H116" s="25" t="n">
        <x:v>-0.019438588291314396</x:v>
      </x:c>
      <x:c r="I116" s="24" t="n">
        <x:f>ROUND(E116-F116,1)</x:f>
        <x:v>96.5</x:v>
      </x:c>
      <x:c r="J116" s="23" t="str">
        <x:v>中证500</x:v>
      </x:c>
    </x:row>
    <x:row r="117">
      <x:c r="A117" s="23" t="n">
        <x:v>15</x:v>
      </x:c>
      <x:c r="B117" s="23" t="str">
        <x:v>周五</x:v>
      </x:c>
      <x:c r="C117" s="23" t="str">
        <x:v>5月24日</x:v>
      </x:c>
      <x:c r="D117" s="24" t="n">
        <x:v>5348.51</x:v>
      </x:c>
      <x:c r="E117" s="24" t="n">
        <x:v>5400.159</x:v>
      </x:c>
      <x:c r="F117" s="24" t="n">
        <x:v>5311.489</x:v>
      </x:c>
      <x:c r="G117" s="24" t="n">
        <x:v>5313.455</x:v>
      </x:c>
      <x:c r="H117" s="25" t="n">
        <x:v>-0.009109888378225461</x:v>
      </x:c>
      <x:c r="I117" s="24" t="n">
        <x:f>ROUND(E117-F117,1)</x:f>
        <x:v>88.7</x:v>
      </x:c>
      <x:c r="J117" s="23" t="str">
        <x:v>中证500</x:v>
      </x:c>
    </x:row>
    <x:row r="118">
      <x:c r="A118" s="23" t="n">
        <x:v>16</x:v>
      </x:c>
      <x:c r="B118" s="23" t="str">
        <x:v>周一</x:v>
      </x:c>
      <x:c r="C118" s="23" t="str">
        <x:v>5月27日</x:v>
      </x:c>
      <x:c r="D118" s="24" t="n">
        <x:v>5325.851</x:v>
      </x:c>
      <x:c r="E118" s="24" t="n">
        <x:v>5373.112</x:v>
      </x:c>
      <x:c r="F118" s="24" t="n">
        <x:v>5284.506</x:v>
      </x:c>
      <x:c r="G118" s="24" t="n">
        <x:v>5371.369</x:v>
      </x:c>
      <x:c r="H118" s="25" t="n">
        <x:v>0.01089949947821145</x:v>
      </x:c>
      <x:c r="I118" s="24" t="n">
        <x:f>ROUND(E118-F118,1)</x:f>
        <x:v>88.6</x:v>
      </x:c>
      <x:c r="J118" s="23" t="str">
        <x:v>中证500</x:v>
      </x:c>
    </x:row>
    <x:row r="119">
      <x:c r="A119" s="23" t="n">
        <x:v>17</x:v>
      </x:c>
      <x:c r="B119" s="23" t="str">
        <x:v>周二</x:v>
      </x:c>
      <x:c r="C119" s="23" t="str">
        <x:v>5月28日</x:v>
      </x:c>
      <x:c r="D119" s="24" t="n">
        <x:v>5363.33</x:v>
      </x:c>
      <x:c r="E119" s="24" t="n">
        <x:v>5365.473</x:v>
      </x:c>
      <x:c r="F119" s="24" t="n">
        <x:v>5310.318</x:v>
      </x:c>
      <x:c r="G119" s="24" t="n">
        <x:v>5316.129</x:v>
      </x:c>
      <x:c r="H119" s="25" t="n">
        <x:v>-0.010284156608864503</x:v>
      </x:c>
      <x:c r="I119" s="24" t="n">
        <x:f>ROUND(E119-F119,1)</x:f>
        <x:v>55.2</x:v>
      </x:c>
      <x:c r="J119" s="23" t="str">
        <x:v>中证500</x:v>
      </x:c>
    </x:row>
    <x:row r="120">
      <x:c r="A120" s="23" t="n">
        <x:v>18</x:v>
      </x:c>
      <x:c r="B120" s="23" t="str">
        <x:v>周三</x:v>
      </x:c>
      <x:c r="C120" s="23" t="str">
        <x:v>5月29日</x:v>
      </x:c>
      <x:c r="D120" s="24" t="n">
        <x:v>5308.593</x:v>
      </x:c>
      <x:c r="E120" s="24" t="n">
        <x:v>5361.744</x:v>
      </x:c>
      <x:c r="F120" s="24" t="n">
        <x:v>5305.963</x:v>
      </x:c>
      <x:c r="G120" s="24" t="n">
        <x:v>5328.306</x:v>
      </x:c>
      <x:c r="H120" s="25" t="n">
        <x:v>0.002290576470209693</x:v>
      </x:c>
      <x:c r="I120" s="24" t="n">
        <x:f>ROUND(E120-F120,1)</x:f>
        <x:v>55.8</x:v>
      </x:c>
      <x:c r="J120" s="23" t="str">
        <x:v>中证500</x:v>
      </x:c>
    </x:row>
    <x:row r="121">
      <x:c r="A121" s="23" t="n">
        <x:v>19</x:v>
      </x:c>
      <x:c r="B121" s="23" t="str">
        <x:v>周四</x:v>
      </x:c>
      <x:c r="C121" s="23" t="str">
        <x:v>5月30日</x:v>
      </x:c>
      <x:c r="D121" s="24" t="n">
        <x:v>5316.398</x:v>
      </x:c>
      <x:c r="E121" s="24" t="n">
        <x:v>5349.688</x:v>
      </x:c>
      <x:c r="F121" s="24" t="n">
        <x:v>5296.493</x:v>
      </x:c>
      <x:c r="G121" s="24" t="n">
        <x:v>5308.66</x:v>
      </x:c>
      <x:c r="H121" s="25" t="n">
        <x:v>-0.0036871005531589063</x:v>
      </x:c>
      <x:c r="I121" s="24" t="n">
        <x:f>ROUND(E121-F121,1)</x:f>
        <x:v>53.2</x:v>
      </x:c>
      <x:c r="J121" s="23" t="str">
        <x:v>中证500</x:v>
      </x:c>
    </x:row>
    <x:row r="122">
      <x:c r="A122" s="23" t="n">
        <x:v>20</x:v>
      </x:c>
      <x:c r="B122" s="23" t="str">
        <x:v>周五</x:v>
      </x:c>
      <x:c r="C122" s="23" t="str">
        <x:v>5月31日</x:v>
      </x:c>
      <x:c r="D122" s="24" t="n">
        <x:v>5310.722</x:v>
      </x:c>
      <x:c r="E122" s="24" t="n">
        <x:v>5357.021</x:v>
      </x:c>
      <x:c r="F122" s="24" t="n">
        <x:v>5308.54</x:v>
      </x:c>
      <x:c r="G122" s="24" t="n">
        <x:v>5308.54</x:v>
      </x:c>
      <x:c r="H122" s="25" t="n">
        <x:v>-0.000022604574412388168</x:v>
      </x:c>
      <x:c r="I122" s="24" t="n">
        <x:f>ROUND(E122-F122,1)</x:f>
        <x:v>48.5</x:v>
      </x:c>
      <x:c r="J122" s="23" t="str">
        <x:v>中证500</x:v>
      </x:c>
    </x:row>
    <x:row r="123">
      <x:c r="A123" s="36" t="str">
        <x:v>合计</x:v>
      </x:c>
      <x:c r="B123" s="35" t="n">
        <x:v>20</x:v>
      </x:c>
      <x:c r="C123" s="35"/>
      <x:c r="D123" s="35"/>
      <x:c r="E123" s="35"/>
      <x:c r="F123" s="35"/>
      <x:c r="G123" s="35"/>
      <x:c r="H123" s="35"/>
      <x:c r="I123" s="37" t="n">
        <x:f>ROUND(SUM(I103:I122),1)</x:f>
        <x:v>1264</x:v>
      </x:c>
      <x:c r="J123" s="35"/>
    </x:row>
    <x:row r="124">
      <x:c r="A124" s="36" t="str">
        <x:v>均值</x:v>
      </x:c>
      <x:c r="B124" s="35"/>
      <x:c r="C124" s="35"/>
      <x:c r="D124" s="35"/>
      <x:c r="E124" s="35"/>
      <x:c r="F124" s="35"/>
      <x:c r="G124" s="35"/>
      <x:c r="H124" s="35"/>
      <x:c r="I124" s="39" t="n">
        <x:f>ROUND(IFERROR(AVERAGE(I103:I122),0),1)</x:f>
        <x:v>63.2</x:v>
      </x:c>
      <x:c r="J124" s="35"/>
    </x:row>
    <x:row r="126">
      <x:c r="A126" s="17" t="str">
        <x:v>6月</x:v>
      </x:c>
      <x:c r="B126" s="17"/>
      <x:c r="C126" s="17"/>
      <x:c r="D126" s="17"/>
      <x:c r="E126" s="17"/>
      <x:c r="F126" s="17"/>
      <x:c r="G126" s="17"/>
      <x:c r="H126" s="17"/>
      <x:c r="I126" s="17"/>
      <x:c r="J126" s="17"/>
    </x:row>
    <x:row r="127">
      <x:c r="A127" s="20" t="str">
        <x:v>序号</x:v>
      </x:c>
      <x:c r="B127" s="20" t="str">
        <x:v>星期</x:v>
      </x:c>
      <x:c r="C127" s="20" t="str">
        <x:v>日期</x:v>
      </x:c>
      <x:c r="D127" s="20" t="str">
        <x:v>开盘</x:v>
      </x:c>
      <x:c r="E127" s="20" t="str">
        <x:v>高点</x:v>
      </x:c>
      <x:c r="F127" s="20" t="str">
        <x:v>低点</x:v>
      </x:c>
      <x:c r="G127" s="20" t="str">
        <x:v>收盘</x:v>
      </x:c>
      <x:c r="H127" s="20" t="str">
        <x:v>涨幅</x:v>
      </x:c>
      <x:c r="I127" s="20" t="str">
        <x:v>振幅</x:v>
      </x:c>
      <x:c r="J127" s="20" t="str">
        <x:v>标的</x:v>
      </x:c>
    </x:row>
    <x:row r="128">
      <x:c r="A128" s="23" t="n">
        <x:v>1</x:v>
      </x:c>
      <x:c r="B128" s="23" t="str">
        <x:v>周一</x:v>
      </x:c>
      <x:c r="C128" s="23" t="str">
        <x:v>6月3日</x:v>
      </x:c>
      <x:c r="D128" s="24" t="n">
        <x:v>5300.787</x:v>
      </x:c>
      <x:c r="E128" s="24" t="n">
        <x:v>5316.335</x:v>
      </x:c>
      <x:c r="F128" s="24" t="n">
        <x:v>5232.688</x:v>
      </x:c>
      <x:c r="G128" s="24" t="n">
        <x:v>5274.069</x:v>
      </x:c>
      <x:c r="H128" s="25" t="n">
        <x:v>-0.00649349915419295</x:v>
      </x:c>
      <x:c r="I128" s="24" t="n">
        <x:f>ROUND(E128-F128,1)</x:f>
        <x:v>83.6</x:v>
      </x:c>
      <x:c r="J128" s="23" t="str">
        <x:v>中证500</x:v>
      </x:c>
    </x:row>
    <x:row r="129">
      <x:c r="A129" s="23" t="n">
        <x:v>2</x:v>
      </x:c>
      <x:c r="B129" s="23" t="str">
        <x:v>周二</x:v>
      </x:c>
      <x:c r="C129" s="23" t="str">
        <x:v>6月4日</x:v>
      </x:c>
      <x:c r="D129" s="24" t="n">
        <x:v>5263.226</x:v>
      </x:c>
      <x:c r="E129" s="24" t="n">
        <x:v>5352.284</x:v>
      </x:c>
      <x:c r="F129" s="24" t="n">
        <x:v>5247.584</x:v>
      </x:c>
      <x:c r="G129" s="24" t="n">
        <x:v>5341.95</x:v>
      </x:c>
      <x:c r="H129" s="25" t="n">
        <x:v>0.012870707607351983</x:v>
      </x:c>
      <x:c r="I129" s="24" t="n">
        <x:f>ROUND(E129-F129,1)</x:f>
        <x:v>104.7</x:v>
      </x:c>
      <x:c r="J129" s="23" t="str">
        <x:v>中证500</x:v>
      </x:c>
    </x:row>
    <x:row r="130">
      <x:c r="A130" s="23" t="n">
        <x:v>3</x:v>
      </x:c>
      <x:c r="B130" s="23" t="str">
        <x:v>周三</x:v>
      </x:c>
      <x:c r="C130" s="23" t="str">
        <x:v>6月5日</x:v>
      </x:c>
      <x:c r="D130" s="24" t="n">
        <x:v>5328.868</x:v>
      </x:c>
      <x:c r="E130" s="24" t="n">
        <x:v>5347.43</x:v>
      </x:c>
      <x:c r="F130" s="24" t="n">
        <x:v>5277.941</x:v>
      </x:c>
      <x:c r="G130" s="24" t="n">
        <x:v>5277.941</x:v>
      </x:c>
      <x:c r="H130" s="25" t="n">
        <x:v>-0.011982328550435684</x:v>
      </x:c>
      <x:c r="I130" s="24" t="n">
        <x:f>ROUND(E130-F130,1)</x:f>
        <x:v>69.5</x:v>
      </x:c>
      <x:c r="J130" s="23" t="str">
        <x:v>中证500</x:v>
      </x:c>
    </x:row>
    <x:row r="131">
      <x:c r="A131" s="23" t="n">
        <x:v>4</x:v>
      </x:c>
      <x:c r="B131" s="23" t="str">
        <x:v>周四</x:v>
      </x:c>
      <x:c r="C131" s="23" t="str">
        <x:v>6月6日</x:v>
      </x:c>
      <x:c r="D131" s="24" t="n">
        <x:v>5291.521</x:v>
      </x:c>
      <x:c r="E131" s="24" t="n">
        <x:v>5305.878</x:v>
      </x:c>
      <x:c r="F131" s="24" t="n">
        <x:v>5213.662</x:v>
      </x:c>
      <x:c r="G131" s="24" t="n">
        <x:v>5228.8</x:v>
      </x:c>
      <x:c r="H131" s="25" t="n">
        <x:v>-0.009310638372046931</x:v>
      </x:c>
      <x:c r="I131" s="24" t="n">
        <x:f>ROUND(E131-F131,1)</x:f>
        <x:v>92.2</x:v>
      </x:c>
      <x:c r="J131" s="23" t="str">
        <x:v>中证500</x:v>
      </x:c>
    </x:row>
    <x:row r="132">
      <x:c r="A132" s="23" t="n">
        <x:v>5</x:v>
      </x:c>
      <x:c r="B132" s="23" t="str">
        <x:v>周五</x:v>
      </x:c>
      <x:c r="C132" s="23" t="str">
        <x:v>6月7日</x:v>
      </x:c>
      <x:c r="D132" s="24" t="n">
        <x:v>5247.146</x:v>
      </x:c>
      <x:c r="E132" s="24" t="n">
        <x:v>5258.818</x:v>
      </x:c>
      <x:c r="F132" s="24" t="n">
        <x:v>5172.051</x:v>
      </x:c>
      <x:c r="G132" s="24" t="n">
        <x:v>5208.98</x:v>
      </x:c>
      <x:c r="H132" s="25" t="n">
        <x:v>-0.0037905446756426597</x:v>
      </x:c>
      <x:c r="I132" s="24" t="n">
        <x:f>ROUND(E132-F132,1)</x:f>
        <x:v>86.8</x:v>
      </x:c>
      <x:c r="J132" s="23" t="str">
        <x:v>中证500</x:v>
      </x:c>
    </x:row>
    <x:row r="133">
      <x:c r="A133" s="23" t="n">
        <x:v>6</x:v>
      </x:c>
      <x:c r="B133" s="23" t="str">
        <x:v>周二</x:v>
      </x:c>
      <x:c r="C133" s="23" t="str">
        <x:v>6月11日</x:v>
      </x:c>
      <x:c r="D133" s="24" t="n">
        <x:v>5182.413</x:v>
      </x:c>
      <x:c r="E133" s="24" t="n">
        <x:v>5232.85</x:v>
      </x:c>
      <x:c r="F133" s="24" t="n">
        <x:v>5159.334</x:v>
      </x:c>
      <x:c r="G133" s="24" t="n">
        <x:v>5217.47</x:v>
      </x:c>
      <x:c r="H133" s="25" t="n">
        <x:v>0.00162987763439304</x:v>
      </x:c>
      <x:c r="I133" s="24" t="n">
        <x:f>ROUND(E133-F133,1)</x:f>
        <x:v>73.5</x:v>
      </x:c>
      <x:c r="J133" s="23" t="str">
        <x:v>中证500</x:v>
      </x:c>
    </x:row>
    <x:row r="134">
      <x:c r="A134" s="23" t="n">
        <x:v>7</x:v>
      </x:c>
      <x:c r="B134" s="23" t="str">
        <x:v>周三</x:v>
      </x:c>
      <x:c r="C134" s="23" t="str">
        <x:v>6月12日</x:v>
      </x:c>
      <x:c r="D134" s="24" t="n">
        <x:v>5209.134</x:v>
      </x:c>
      <x:c r="E134" s="24" t="n">
        <x:v>5245.991</x:v>
      </x:c>
      <x:c r="F134" s="24" t="n">
        <x:v>5205.572</x:v>
      </x:c>
      <x:c r="G134" s="24" t="n">
        <x:v>5232.953</x:v>
      </x:c>
      <x:c r="H134" s="25" t="n">
        <x:v>0.0029675302397522696</x:v>
      </x:c>
      <x:c r="I134" s="24" t="n">
        <x:f>ROUND(E134-F134,1)</x:f>
        <x:v>40.4</x:v>
      </x:c>
      <x:c r="J134" s="23" t="str">
        <x:v>中证500</x:v>
      </x:c>
    </x:row>
    <x:row r="135">
      <x:c r="A135" s="23" t="n">
        <x:v>8</x:v>
      </x:c>
      <x:c r="B135" s="23" t="str">
        <x:v>周四</x:v>
      </x:c>
      <x:c r="C135" s="23" t="str">
        <x:v>6月13日</x:v>
      </x:c>
      <x:c r="D135" s="24" t="n">
        <x:v>5231.91</x:v>
      </x:c>
      <x:c r="E135" s="24" t="n">
        <x:v>5233.795</x:v>
      </x:c>
      <x:c r="F135" s="24" t="n">
        <x:v>5182.742</x:v>
      </x:c>
      <x:c r="G135" s="24" t="n">
        <x:v>5194.59</x:v>
      </x:c>
      <x:c r="H135" s="25" t="n">
        <x:v>-0.007331042338809546</x:v>
      </x:c>
      <x:c r="I135" s="24" t="n">
        <x:f>ROUND(E135-F135,1)</x:f>
        <x:v>51.1</x:v>
      </x:c>
      <x:c r="J135" s="23" t="str">
        <x:v>中证500</x:v>
      </x:c>
    </x:row>
    <x:row r="136">
      <x:c r="A136" s="23" t="n">
        <x:v>9</x:v>
      </x:c>
      <x:c r="B136" s="23" t="str">
        <x:v>周五</x:v>
      </x:c>
      <x:c r="C136" s="23" t="str">
        <x:v>6月14日</x:v>
      </x:c>
      <x:c r="D136" s="24" t="n">
        <x:v>5180.289</x:v>
      </x:c>
      <x:c r="E136" s="24" t="n">
        <x:v>5235.878</x:v>
      </x:c>
      <x:c r="F136" s="24" t="n">
        <x:v>5163.384</x:v>
      </x:c>
      <x:c r="G136" s="24" t="n">
        <x:v>5213.093</x:v>
      </x:c>
      <x:c r="H136" s="25" t="n">
        <x:v>0.0035619750548165907</x:v>
      </x:c>
      <x:c r="I136" s="24" t="n">
        <x:f>ROUND(E136-F136,1)</x:f>
        <x:v>72.5</x:v>
      </x:c>
      <x:c r="J136" s="23" t="str">
        <x:v>中证500</x:v>
      </x:c>
    </x:row>
    <x:row r="137">
      <x:c r="A137" s="23" t="n">
        <x:v>10</x:v>
      </x:c>
      <x:c r="B137" s="23" t="str">
        <x:v>周一</x:v>
      </x:c>
      <x:c r="C137" s="23" t="str">
        <x:v>6月17日</x:v>
      </x:c>
      <x:c r="D137" s="24" t="n">
        <x:v>5189.284</x:v>
      </x:c>
      <x:c r="E137" s="24" t="n">
        <x:v>5223.589</x:v>
      </x:c>
      <x:c r="F137" s="24" t="n">
        <x:v>5184.599</x:v>
      </x:c>
      <x:c r="G137" s="24" t="n">
        <x:v>5207.128</x:v>
      </x:c>
      <x:c r="H137" s="25" t="n">
        <x:v>-0.0011442343345879902</x:v>
      </x:c>
      <x:c r="I137" s="24" t="n">
        <x:f>ROUND(E137-F137,1)</x:f>
        <x:v>39</x:v>
      </x:c>
      <x:c r="J137" s="23" t="str">
        <x:v>中证500</x:v>
      </x:c>
    </x:row>
    <x:row r="138">
      <x:c r="A138" s="23" t="n">
        <x:v>11</x:v>
      </x:c>
      <x:c r="B138" s="23" t="str">
        <x:v>周二</x:v>
      </x:c>
      <x:c r="C138" s="23" t="str">
        <x:v>6月18日</x:v>
      </x:c>
      <x:c r="D138" s="24" t="n">
        <x:v>5207.978</x:v>
      </x:c>
      <x:c r="E138" s="24" t="n">
        <x:v>5243.587</x:v>
      </x:c>
      <x:c r="F138" s="24" t="n">
        <x:v>5204.971</x:v>
      </x:c>
      <x:c r="G138" s="24" t="n">
        <x:v>5230.891</x:v>
      </x:c>
      <x:c r="H138" s="25" t="n">
        <x:v>0.004563552115484759</x:v>
      </x:c>
      <x:c r="I138" s="24" t="n">
        <x:f>ROUND(E138-F138,1)</x:f>
        <x:v>38.6</x:v>
      </x:c>
      <x:c r="J138" s="23" t="str">
        <x:v>中证500</x:v>
      </x:c>
    </x:row>
    <x:row r="139">
      <x:c r="A139" s="23" t="n">
        <x:v>12</x:v>
      </x:c>
      <x:c r="B139" s="23" t="str">
        <x:v>周三</x:v>
      </x:c>
      <x:c r="C139" s="23" t="str">
        <x:v>6月19日</x:v>
      </x:c>
      <x:c r="D139" s="24" t="n">
        <x:v>5235.476</x:v>
      </x:c>
      <x:c r="E139" s="24" t="n">
        <x:v>5236.302</x:v>
      </x:c>
      <x:c r="F139" s="24" t="n">
        <x:v>5168.82</x:v>
      </x:c>
      <x:c r="G139" s="24" t="n">
        <x:v>5168.82</x:v>
      </x:c>
      <x:c r="H139" s="25" t="n">
        <x:v>-0.011866238466830992</x:v>
      </x:c>
      <x:c r="I139" s="24" t="n">
        <x:f>ROUND(E139-F139,1)</x:f>
        <x:v>67.5</x:v>
      </x:c>
      <x:c r="J139" s="23" t="str">
        <x:v>中证500</x:v>
      </x:c>
    </x:row>
    <x:row r="140">
      <x:c r="A140" s="23" t="n">
        <x:v>13</x:v>
      </x:c>
      <x:c r="B140" s="23" t="str">
        <x:v>周四</x:v>
      </x:c>
      <x:c r="C140" s="23" t="str">
        <x:v>6月20日</x:v>
      </x:c>
      <x:c r="D140" s="24" t="n">
        <x:v>5162.161</x:v>
      </x:c>
      <x:c r="E140" s="24" t="n">
        <x:v>5184.747</x:v>
      </x:c>
      <x:c r="F140" s="24" t="n">
        <x:v>5092.287</x:v>
      </x:c>
      <x:c r="G140" s="24" t="n">
        <x:v>5094.565</x:v>
      </x:c>
      <x:c r="H140" s="25" t="n">
        <x:v>-0.014365948127425643</x:v>
      </x:c>
      <x:c r="I140" s="24" t="n">
        <x:f>ROUND(E140-F140,1)</x:f>
        <x:v>92.5</x:v>
      </x:c>
      <x:c r="J140" s="23" t="str">
        <x:v>中证500</x:v>
      </x:c>
    </x:row>
    <x:row r="141">
      <x:c r="A141" s="29" t="n">
        <x:v>14</x:v>
      </x:c>
      <x:c r="B141" s="29" t="str">
        <x:v>周五</x:v>
      </x:c>
      <x:c r="C141" s="29" t="str">
        <x:v>6月21日</x:v>
      </x:c>
      <x:c r="D141" s="30" t="n">
        <x:v>5079.923</x:v>
      </x:c>
      <x:c r="E141" s="30" t="n">
        <x:v>5128.138</x:v>
      </x:c>
      <x:c r="F141" s="30" t="n">
        <x:v>5071.655</x:v>
      </x:c>
      <x:c r="G141" s="30" t="n">
        <x:v>5102.329</x:v>
      </x:c>
      <x:c r="H141" s="31" t="n">
        <x:v>0.0015239770225721205</x:v>
      </x:c>
      <x:c r="I141" s="30" t="n">
        <x:f>ROUND(E141-F141,1)</x:f>
        <x:v>56.5</x:v>
      </x:c>
      <x:c r="J141" s="29" t="str">
        <x:v>中证500</x:v>
      </x:c>
    </x:row>
    <x:row r="142">
      <x:c r="A142" s="23" t="n">
        <x:v>15</x:v>
      </x:c>
      <x:c r="B142" s="23" t="str">
        <x:v>周一</x:v>
      </x:c>
      <x:c r="C142" s="23" t="str">
        <x:v>6月24日</x:v>
      </x:c>
      <x:c r="D142" s="24" t="n">
        <x:v>5072.803</x:v>
      </x:c>
      <x:c r="E142" s="24" t="n">
        <x:v>5078.955</x:v>
      </x:c>
      <x:c r="F142" s="24" t="n">
        <x:v>4986.768</x:v>
      </x:c>
      <x:c r="G142" s="24" t="n">
        <x:v>4992.91</x:v>
      </x:c>
      <x:c r="H142" s="25" t="n">
        <x:v>-0.02144491270555071</x:v>
      </x:c>
      <x:c r="I142" s="24" t="n">
        <x:f>ROUND(E142-F142,1)</x:f>
        <x:v>92.2</x:v>
      </x:c>
      <x:c r="J142" s="23" t="str">
        <x:v>中证500</x:v>
      </x:c>
    </x:row>
    <x:row r="143">
      <x:c r="A143" s="23" t="n">
        <x:v>16</x:v>
      </x:c>
      <x:c r="B143" s="23" t="str">
        <x:v>周二</x:v>
      </x:c>
      <x:c r="C143" s="23" t="str">
        <x:v>6月25日</x:v>
      </x:c>
      <x:c r="D143" s="24" t="n">
        <x:v>4989.071</x:v>
      </x:c>
      <x:c r="E143" s="24" t="n">
        <x:v>5007.336</x:v>
      </x:c>
      <x:c r="F143" s="24" t="n">
        <x:v>4918.039</x:v>
      </x:c>
      <x:c r="G143" s="24" t="n">
        <x:v>4948.634</x:v>
      </x:c>
      <x:c r="H143" s="25" t="n">
        <x:v>-0.008867774504247028</x:v>
      </x:c>
      <x:c r="I143" s="24" t="n">
        <x:f>ROUND(E143-F143,1)</x:f>
        <x:v>89.3</x:v>
      </x:c>
      <x:c r="J143" s="23" t="str">
        <x:v>中证500</x:v>
      </x:c>
    </x:row>
    <x:row r="144">
      <x:c r="A144" s="23" t="n">
        <x:v>17</x:v>
      </x:c>
      <x:c r="B144" s="23" t="str">
        <x:v>周三</x:v>
      </x:c>
      <x:c r="C144" s="23" t="str">
        <x:v>6月26日</x:v>
      </x:c>
      <x:c r="D144" s="24" t="n">
        <x:v>4942.165</x:v>
      </x:c>
      <x:c r="E144" s="24" t="n">
        <x:v>5024.768</x:v>
      </x:c>
      <x:c r="F144" s="24" t="n">
        <x:v>4915.664</x:v>
      </x:c>
      <x:c r="G144" s="24" t="n">
        <x:v>5020.432</x:v>
      </x:c>
      <x:c r="H144" s="25" t="n">
        <x:v>0.014508650265911749</x:v>
      </x:c>
      <x:c r="I144" s="24" t="n">
        <x:f>ROUND(E144-F144,1)</x:f>
        <x:v>109.1</x:v>
      </x:c>
      <x:c r="J144" s="23" t="str">
        <x:v>中证500</x:v>
      </x:c>
    </x:row>
    <x:row r="145">
      <x:c r="A145" s="23" t="n">
        <x:v>18</x:v>
      </x:c>
      <x:c r="B145" s="23" t="str">
        <x:v>周四</x:v>
      </x:c>
      <x:c r="C145" s="23" t="str">
        <x:v>6月27日</x:v>
      </x:c>
      <x:c r="D145" s="24" t="n">
        <x:v>4998.994</x:v>
      </x:c>
      <x:c r="E145" s="24" t="n">
        <x:v>5000.175</x:v>
      </x:c>
      <x:c r="F145" s="24" t="n">
        <x:v>4925.16</x:v>
      </x:c>
      <x:c r="G145" s="24" t="n">
        <x:v>4928.051</x:v>
      </x:c>
      <x:c r="H145" s="25" t="n">
        <x:v>-0.018401006128556108</x:v>
      </x:c>
      <x:c r="I145" s="24" t="n">
        <x:f>ROUND(E145-F145,1)</x:f>
        <x:v>75</x:v>
      </x:c>
      <x:c r="J145" s="23" t="str">
        <x:v>中证500</x:v>
      </x:c>
    </x:row>
    <x:row r="146">
      <x:c r="A146" s="23" t="n">
        <x:v>19</x:v>
      </x:c>
      <x:c r="B146" s="23" t="str">
        <x:v>周五</x:v>
      </x:c>
      <x:c r="C146" s="23" t="str">
        <x:v>6月28日</x:v>
      </x:c>
      <x:c r="D146" s="24" t="n">
        <x:v>4914.669</x:v>
      </x:c>
      <x:c r="E146" s="24" t="n">
        <x:v>5003.409</x:v>
      </x:c>
      <x:c r="F146" s="24" t="n">
        <x:v>4914.547</x:v>
      </x:c>
      <x:c r="G146" s="24" t="n">
        <x:v>4942.782</x:v>
      </x:c>
      <x:c r="H146" s="25" t="n">
        <x:v>0.00298921419441478</x:v>
      </x:c>
      <x:c r="I146" s="24" t="n">
        <x:f>ROUND(E146-F146,1)</x:f>
        <x:v>88.9</x:v>
      </x:c>
      <x:c r="J146" s="23" t="str">
        <x:v>中证500</x:v>
      </x:c>
    </x:row>
    <x:row r="147">
      <x:c r="A147" s="36" t="str">
        <x:v>合计</x:v>
      </x:c>
      <x:c r="B147" s="35" t="n">
        <x:v>19</x:v>
      </x:c>
      <x:c r="C147" s="35"/>
      <x:c r="D147" s="35"/>
      <x:c r="E147" s="35"/>
      <x:c r="F147" s="35"/>
      <x:c r="G147" s="35"/>
      <x:c r="H147" s="35"/>
      <x:c r="I147" s="37" t="n">
        <x:f>ROUND(SUM(I128:I146),1)</x:f>
        <x:v>1422.9</x:v>
      </x:c>
      <x:c r="J147" s="35"/>
    </x:row>
    <x:row r="148">
      <x:c r="A148" s="36" t="str">
        <x:v>均值</x:v>
      </x:c>
      <x:c r="B148" s="35"/>
      <x:c r="C148" s="35"/>
      <x:c r="D148" s="35"/>
      <x:c r="E148" s="35"/>
      <x:c r="F148" s="35"/>
      <x:c r="G148" s="35"/>
      <x:c r="H148" s="35"/>
      <x:c r="I148" s="39" t="n">
        <x:f>ROUND(IFERROR(AVERAGE(I128:I146),0),1)</x:f>
        <x:v>74.9</x:v>
      </x:c>
      <x:c r="J148" s="35"/>
    </x:row>
    <x:row r="150">
      <x:c r="A150" s="17" t="str">
        <x:v>7月</x:v>
      </x:c>
      <x:c r="B150" s="17"/>
      <x:c r="C150" s="17"/>
      <x:c r="D150" s="17"/>
      <x:c r="E150" s="17"/>
      <x:c r="F150" s="17"/>
      <x:c r="G150" s="17"/>
      <x:c r="H150" s="17"/>
      <x:c r="I150" s="17"/>
      <x:c r="J150" s="17"/>
    </x:row>
    <x:row r="151">
      <x:c r="A151" s="20" t="str">
        <x:v>序号</x:v>
      </x:c>
      <x:c r="B151" s="20" t="str">
        <x:v>星期</x:v>
      </x:c>
      <x:c r="C151" s="20" t="str">
        <x:v>日期</x:v>
      </x:c>
      <x:c r="D151" s="20" t="str">
        <x:v>开盘</x:v>
      </x:c>
      <x:c r="E151" s="20" t="str">
        <x:v>高点</x:v>
      </x:c>
      <x:c r="F151" s="20" t="str">
        <x:v>低点</x:v>
      </x:c>
      <x:c r="G151" s="20" t="str">
        <x:v>收盘</x:v>
      </x:c>
      <x:c r="H151" s="20" t="str">
        <x:v>涨幅</x:v>
      </x:c>
      <x:c r="I151" s="20" t="str">
        <x:v>振幅</x:v>
      </x:c>
      <x:c r="J151" s="20" t="str">
        <x:v>标的</x:v>
      </x:c>
    </x:row>
    <x:row r="152">
      <x:c r="A152" s="23" t="n">
        <x:v>1</x:v>
      </x:c>
      <x:c r="B152" s="23" t="str">
        <x:v>周一</x:v>
      </x:c>
      <x:c r="C152" s="23" t="str">
        <x:v>7月1日</x:v>
      </x:c>
      <x:c r="D152" s="24" t="n">
        <x:v>4943.787</x:v>
      </x:c>
      <x:c r="E152" s="24" t="n">
        <x:v>5017.61</x:v>
      </x:c>
      <x:c r="F152" s="24" t="n">
        <x:v>4929.087</x:v>
      </x:c>
      <x:c r="G152" s="24" t="n">
        <x:v>5003.161</x:v>
      </x:c>
      <x:c r="H152" s="25" t="n">
        <x:v>0.012215590329494486</x:v>
      </x:c>
      <x:c r="I152" s="24" t="n">
        <x:f>ROUND(E152-F152,1)</x:f>
        <x:v>88.5</x:v>
      </x:c>
      <x:c r="J152" s="23" t="str">
        <x:v>中证500</x:v>
      </x:c>
    </x:row>
    <x:row r="153">
      <x:c r="A153" s="23" t="n">
        <x:v>2</x:v>
      </x:c>
      <x:c r="B153" s="23" t="str">
        <x:v>周二</x:v>
      </x:c>
      <x:c r="C153" s="23" t="str">
        <x:v>7月2日</x:v>
      </x:c>
      <x:c r="D153" s="24" t="n">
        <x:v>5000.576</x:v>
      </x:c>
      <x:c r="E153" s="24" t="n">
        <x:v>5002.742</x:v>
      </x:c>
      <x:c r="F153" s="24" t="n">
        <x:v>4934.117</x:v>
      </x:c>
      <x:c r="G153" s="24" t="n">
        <x:v>4949.477</x:v>
      </x:c>
      <x:c r="H153" s="25" t="n">
        <x:v>-0.010730016483579075</x:v>
      </x:c>
      <x:c r="I153" s="24" t="n">
        <x:f>ROUND(E153-F153,1)</x:f>
        <x:v>68.6</x:v>
      </x:c>
      <x:c r="J153" s="23" t="str">
        <x:v>中证500</x:v>
      </x:c>
    </x:row>
    <x:row r="154">
      <x:c r="A154" s="23" t="n">
        <x:v>3</x:v>
      </x:c>
      <x:c r="B154" s="23" t="str">
        <x:v>周三</x:v>
      </x:c>
      <x:c r="C154" s="23" t="str">
        <x:v>7月3日</x:v>
      </x:c>
      <x:c r="D154" s="24" t="n">
        <x:v>4945.399</x:v>
      </x:c>
      <x:c r="E154" s="24" t="n">
        <x:v>4950.515</x:v>
      </x:c>
      <x:c r="F154" s="24" t="n">
        <x:v>4905.39</x:v>
      </x:c>
      <x:c r="G154" s="24" t="n">
        <x:v>4910.925</x:v>
      </x:c>
      <x:c r="H154" s="25" t="n">
        <x:v>-0.007789105798450935</x:v>
      </x:c>
      <x:c r="I154" s="24" t="n">
        <x:f>ROUND(E154-F154,1)</x:f>
        <x:v>45.1</x:v>
      </x:c>
      <x:c r="J154" s="23" t="str">
        <x:v>中证500</x:v>
      </x:c>
    </x:row>
    <x:row r="155">
      <x:c r="A155" s="23" t="n">
        <x:v>4</x:v>
      </x:c>
      <x:c r="B155" s="23" t="str">
        <x:v>周四</x:v>
      </x:c>
      <x:c r="C155" s="23" t="str">
        <x:v>7月4日</x:v>
      </x:c>
      <x:c r="D155" s="24" t="n">
        <x:v>4917.441</x:v>
      </x:c>
      <x:c r="E155" s="24" t="n">
        <x:v>4935.606</x:v>
      </x:c>
      <x:c r="F155" s="24" t="n">
        <x:v>4827.342</x:v>
      </x:c>
      <x:c r="G155" s="24" t="n">
        <x:v>4834.498</x:v>
      </x:c>
      <x:c r="H155" s="25" t="n">
        <x:v>-0.0155626485845336</x:v>
      </x:c>
      <x:c r="I155" s="24" t="n">
        <x:f>ROUND(E155-F155,1)</x:f>
        <x:v>108.3</x:v>
      </x:c>
      <x:c r="J155" s="23" t="str">
        <x:v>中证500</x:v>
      </x:c>
    </x:row>
    <x:row r="156">
      <x:c r="A156" s="23" t="n">
        <x:v>5</x:v>
      </x:c>
      <x:c r="B156" s="23" t="str">
        <x:v>周五</x:v>
      </x:c>
      <x:c r="C156" s="23" t="str">
        <x:v>7月5日</x:v>
      </x:c>
      <x:c r="D156" s="24" t="n">
        <x:v>4828.863</x:v>
      </x:c>
      <x:c r="E156" s="24" t="n">
        <x:v>4877.933</x:v>
      </x:c>
      <x:c r="F156" s="24" t="n">
        <x:v>4794.129</x:v>
      </x:c>
      <x:c r="G156" s="24" t="n">
        <x:v>4866.265</x:v>
      </x:c>
      <x:c r="H156" s="25" t="n">
        <x:v>0.006570899398448571</x:v>
      </x:c>
      <x:c r="I156" s="24" t="n">
        <x:f>ROUND(E156-F156,1)</x:f>
        <x:v>83.8</x:v>
      </x:c>
      <x:c r="J156" s="23" t="str">
        <x:v>中证500</x:v>
      </x:c>
    </x:row>
    <x:row r="157">
      <x:c r="A157" s="23" t="n">
        <x:v>6</x:v>
      </x:c>
      <x:c r="B157" s="23" t="str">
        <x:v>周一</x:v>
      </x:c>
      <x:c r="C157" s="23" t="str">
        <x:v>7月8日</x:v>
      </x:c>
      <x:c r="D157" s="24" t="n">
        <x:v>4857.025</x:v>
      </x:c>
      <x:c r="E157" s="24" t="n">
        <x:v>4857.266</x:v>
      </x:c>
      <x:c r="F157" s="24" t="n">
        <x:v>4768.564</x:v>
      </x:c>
      <x:c r="G157" s="24" t="n">
        <x:v>4783.617</x:v>
      </x:c>
      <x:c r="H157" s="25" t="n">
        <x:v>-0.016983867504133054</x:v>
      </x:c>
      <x:c r="I157" s="24" t="n">
        <x:f>ROUND(E157-F157,1)</x:f>
        <x:v>88.7</x:v>
      </x:c>
      <x:c r="J157" s="23" t="str">
        <x:v>中证500</x:v>
      </x:c>
    </x:row>
    <x:row r="158">
      <x:c r="A158" s="23" t="n">
        <x:v>7</x:v>
      </x:c>
      <x:c r="B158" s="23" t="str">
        <x:v>周二</x:v>
      </x:c>
      <x:c r="C158" s="23" t="str">
        <x:v>7月9日</x:v>
      </x:c>
      <x:c r="D158" s="24" t="n">
        <x:v>4775.313</x:v>
      </x:c>
      <x:c r="E158" s="24" t="n">
        <x:v>4888.482</x:v>
      </x:c>
      <x:c r="F158" s="24" t="n">
        <x:v>4745.317</x:v>
      </x:c>
      <x:c r="G158" s="24" t="n">
        <x:v>4876.899</x:v>
      </x:c>
      <x:c r="H158" s="25" t="n">
        <x:v>0.01950030698527927</x:v>
      </x:c>
      <x:c r="I158" s="24" t="n">
        <x:f>ROUND(E158-F158,1)</x:f>
        <x:v>143.2</x:v>
      </x:c>
      <x:c r="J158" s="23" t="str">
        <x:v>中证500</x:v>
      </x:c>
    </x:row>
    <x:row r="159">
      <x:c r="A159" s="23" t="n">
        <x:v>8</x:v>
      </x:c>
      <x:c r="B159" s="23" t="str">
        <x:v>周三</x:v>
      </x:c>
      <x:c r="C159" s="23" t="str">
        <x:v>7月10日</x:v>
      </x:c>
      <x:c r="D159" s="24" t="n">
        <x:v>4857.483</x:v>
      </x:c>
      <x:c r="E159" s="24" t="n">
        <x:v>4891.373</x:v>
      </x:c>
      <x:c r="F159" s="24" t="n">
        <x:v>4836.17</x:v>
      </x:c>
      <x:c r="G159" s="24" t="n">
        <x:v>4844.162</x:v>
      </x:c>
      <x:c r="H159" s="25" t="n">
        <x:v>-0.006712667209224588</x:v>
      </x:c>
      <x:c r="I159" s="24" t="n">
        <x:f>ROUND(E159-F159,1)</x:f>
        <x:v>55.2</x:v>
      </x:c>
      <x:c r="J159" s="23" t="str">
        <x:v>中证500</x:v>
      </x:c>
    </x:row>
    <x:row r="160">
      <x:c r="A160" s="23" t="n">
        <x:v>9</x:v>
      </x:c>
      <x:c r="B160" s="23" t="str">
        <x:v>周四</x:v>
      </x:c>
      <x:c r="C160" s="23" t="str">
        <x:v>7月11日</x:v>
      </x:c>
      <x:c r="D160" s="24" t="n">
        <x:v>4902.811</x:v>
      </x:c>
      <x:c r="E160" s="24" t="n">
        <x:v>4941.702</x:v>
      </x:c>
      <x:c r="F160" s="24" t="n">
        <x:v>4871.172</x:v>
      </x:c>
      <x:c r="G160" s="24" t="n">
        <x:v>4939.732</x:v>
      </x:c>
      <x:c r="H160" s="25" t="n">
        <x:v>0.019728902542895943</x:v>
      </x:c>
      <x:c r="I160" s="24" t="n">
        <x:f>ROUND(E160-F160,1)</x:f>
        <x:v>70.5</x:v>
      </x:c>
      <x:c r="J160" s="23" t="str">
        <x:v>中证500</x:v>
      </x:c>
    </x:row>
    <x:row r="161">
      <x:c r="A161" s="23" t="n">
        <x:v>10</x:v>
      </x:c>
      <x:c r="B161" s="23" t="str">
        <x:v>周五</x:v>
      </x:c>
      <x:c r="C161" s="23" t="str">
        <x:v>7月12日</x:v>
      </x:c>
      <x:c r="D161" s="24" t="n">
        <x:v>4926.981</x:v>
      </x:c>
      <x:c r="E161" s="24" t="n">
        <x:v>4937.347</x:v>
      </x:c>
      <x:c r="F161" s="24" t="n">
        <x:v>4905.797</x:v>
      </x:c>
      <x:c r="G161" s="24" t="n">
        <x:v>4919.364</x:v>
      </x:c>
      <x:c r="H161" s="25" t="n">
        <x:v>-0.004123300616308834</x:v>
      </x:c>
      <x:c r="I161" s="24" t="n">
        <x:f>ROUND(E161-F161,1)</x:f>
        <x:v>31.6</x:v>
      </x:c>
      <x:c r="J161" s="23" t="str">
        <x:v>中证500</x:v>
      </x:c>
    </x:row>
    <x:row r="162">
      <x:c r="A162" s="23" t="n">
        <x:v>11</x:v>
      </x:c>
      <x:c r="B162" s="23" t="str">
        <x:v>周一</x:v>
      </x:c>
      <x:c r="C162" s="23" t="str">
        <x:v>7月15日</x:v>
      </x:c>
      <x:c r="D162" s="24" t="n">
        <x:v>4903.516</x:v>
      </x:c>
      <x:c r="E162" s="24" t="n">
        <x:v>4903.516</x:v>
      </x:c>
      <x:c r="F162" s="24" t="n">
        <x:v>4868.743</x:v>
      </x:c>
      <x:c r="G162" s="24" t="n">
        <x:v>4883.897</x:v>
      </x:c>
      <x:c r="H162" s="25" t="n">
        <x:v>-0.00720967181936516</x:v>
      </x:c>
      <x:c r="I162" s="24" t="n">
        <x:f>ROUND(E162-F162,1)</x:f>
        <x:v>34.8</x:v>
      </x:c>
      <x:c r="J162" s="23" t="str">
        <x:v>中证500</x:v>
      </x:c>
    </x:row>
    <x:row r="163">
      <x:c r="A163" s="23" t="n">
        <x:v>12</x:v>
      </x:c>
      <x:c r="B163" s="23" t="str">
        <x:v>周二</x:v>
      </x:c>
      <x:c r="C163" s="23" t="str">
        <x:v>7月16日</x:v>
      </x:c>
      <x:c r="D163" s="24" t="n">
        <x:v>4877.601</x:v>
      </x:c>
      <x:c r="E163" s="24" t="n">
        <x:v>4907.832</x:v>
      </x:c>
      <x:c r="F163" s="24" t="n">
        <x:v>4850.432</x:v>
      </x:c>
      <x:c r="G163" s="24" t="n">
        <x:v>4898.363</x:v>
      </x:c>
      <x:c r="H163" s="25" t="n">
        <x:v>0.002961978927893183</x:v>
      </x:c>
      <x:c r="I163" s="24" t="n">
        <x:f>ROUND(E163-F163,1)</x:f>
        <x:v>57.4</x:v>
      </x:c>
      <x:c r="J163" s="23" t="str">
        <x:v>中证500</x:v>
      </x:c>
    </x:row>
    <x:row r="164">
      <x:c r="A164" s="23" t="n">
        <x:v>13</x:v>
      </x:c>
      <x:c r="B164" s="23" t="str">
        <x:v>周三</x:v>
      </x:c>
      <x:c r="C164" s="23" t="str">
        <x:v>7月17日</x:v>
      </x:c>
      <x:c r="D164" s="24" t="n">
        <x:v>4893.414</x:v>
      </x:c>
      <x:c r="E164" s="24" t="n">
        <x:v>4900.36</x:v>
      </x:c>
      <x:c r="F164" s="24" t="n">
        <x:v>4853.603</x:v>
      </x:c>
      <x:c r="G164" s="24" t="n">
        <x:v>4856.579</x:v>
      </x:c>
      <x:c r="H164" s="25" t="n">
        <x:v>-0.008530196720823002</x:v>
      </x:c>
      <x:c r="I164" s="24" t="n">
        <x:f>ROUND(E164-F164,1)</x:f>
        <x:v>46.8</x:v>
      </x:c>
      <x:c r="J164" s="23" t="str">
        <x:v>中证500</x:v>
      </x:c>
    </x:row>
    <x:row r="165">
      <x:c r="A165" s="23" t="n">
        <x:v>14</x:v>
      </x:c>
      <x:c r="B165" s="23" t="str">
        <x:v>周四</x:v>
      </x:c>
      <x:c r="C165" s="23" t="str">
        <x:v>7月18日</x:v>
      </x:c>
      <x:c r="D165" s="24" t="n">
        <x:v>4822.13</x:v>
      </x:c>
      <x:c r="E165" s="24" t="n">
        <x:v>4879.693</x:v>
      </x:c>
      <x:c r="F165" s="24" t="n">
        <x:v>4793.429</x:v>
      </x:c>
      <x:c r="G165" s="24" t="n">
        <x:v>4877.692</x:v>
      </x:c>
      <x:c r="H165" s="25" t="n">
        <x:v>0.00434729878789164</x:v>
      </x:c>
      <x:c r="I165" s="24" t="n">
        <x:f>ROUND(E165-F165,1)</x:f>
        <x:v>86.3</x:v>
      </x:c>
      <x:c r="J165" s="23" t="str">
        <x:v>中证500</x:v>
      </x:c>
    </x:row>
    <x:row r="166">
      <x:c r="A166" s="29" t="n">
        <x:v>15</x:v>
      </x:c>
      <x:c r="B166" s="29" t="str">
        <x:v>周五</x:v>
      </x:c>
      <x:c r="C166" s="29" t="str">
        <x:v>7月19日</x:v>
      </x:c>
      <x:c r="D166" s="30" t="n">
        <x:v>4853.042</x:v>
      </x:c>
      <x:c r="E166" s="30" t="n">
        <x:v>4900.379</x:v>
      </x:c>
      <x:c r="F166" s="30" t="n">
        <x:v>4842.93</x:v>
      </x:c>
      <x:c r="G166" s="30" t="n">
        <x:v>4872.053</x:v>
      </x:c>
      <x:c r="H166" s="31" t="n">
        <x:v>-0.0011560795556587733</x:v>
      </x:c>
      <x:c r="I166" s="30" t="n">
        <x:f>ROUND(E166-F166,1)</x:f>
        <x:v>57.4</x:v>
      </x:c>
      <x:c r="J166" s="29" t="str">
        <x:v>中证500</x:v>
      </x:c>
    </x:row>
    <x:row r="167">
      <x:c r="A167" s="23" t="n">
        <x:v>16</x:v>
      </x:c>
      <x:c r="B167" s="23" t="str">
        <x:v>周一</x:v>
      </x:c>
      <x:c r="C167" s="23" t="str">
        <x:v>7月22日</x:v>
      </x:c>
      <x:c r="D167" s="24" t="n">
        <x:v>4872.636</x:v>
      </x:c>
      <x:c r="E167" s="24" t="n">
        <x:v>4885.364</x:v>
      </x:c>
      <x:c r="F167" s="24" t="n">
        <x:v>4839.112</x:v>
      </x:c>
      <x:c r="G167" s="24" t="n">
        <x:v>4865.978</x:v>
      </x:c>
      <x:c r="H167" s="25" t="n">
        <x:v>-0.001246907617794779</x:v>
      </x:c>
      <x:c r="I167" s="24" t="n">
        <x:f>ROUND(E167-F167,1)</x:f>
        <x:v>46.3</x:v>
      </x:c>
      <x:c r="J167" s="23" t="str">
        <x:v>中证500</x:v>
      </x:c>
    </x:row>
    <x:row r="168">
      <x:c r="A168" s="23" t="n">
        <x:v>17</x:v>
      </x:c>
      <x:c r="B168" s="23" t="str">
        <x:v>周二</x:v>
      </x:c>
      <x:c r="C168" s="23" t="str">
        <x:v>7月23日</x:v>
      </x:c>
      <x:c r="D168" s="24" t="n">
        <x:v>4862.971</x:v>
      </x:c>
      <x:c r="E168" s="24" t="n">
        <x:v>4862.971</x:v>
      </x:c>
      <x:c r="F168" s="24" t="n">
        <x:v>4722.799</x:v>
      </x:c>
      <x:c r="G168" s="24" t="n">
        <x:v>4722.799</x:v>
      </x:c>
      <x:c r="H168" s="25" t="n">
        <x:v>-0.02942450623492343</x:v>
      </x:c>
      <x:c r="I168" s="24" t="n">
        <x:f>ROUND(E168-F168,1)</x:f>
        <x:v>140.2</x:v>
      </x:c>
      <x:c r="J168" s="23" t="str">
        <x:v>中证500</x:v>
      </x:c>
    </x:row>
    <x:row r="169">
      <x:c r="A169" s="23" t="n">
        <x:v>18</x:v>
      </x:c>
      <x:c r="B169" s="23" t="str">
        <x:v>周三</x:v>
      </x:c>
      <x:c r="C169" s="23" t="str">
        <x:v>7月24日</x:v>
      </x:c>
      <x:c r="D169" s="24" t="n">
        <x:v>4712.287</x:v>
      </x:c>
      <x:c r="E169" s="24" t="n">
        <x:v>4738.762</x:v>
      </x:c>
      <x:c r="F169" s="24" t="n">
        <x:v>4661.827</x:v>
      </x:c>
      <x:c r="G169" s="24" t="n">
        <x:v>4668.062</x:v>
      </x:c>
      <x:c r="H169" s="25" t="n">
        <x:v>-0.011589949095864527</x:v>
      </x:c>
      <x:c r="I169" s="24" t="n">
        <x:f>ROUND(E169-F169,1)</x:f>
        <x:v>76.9</x:v>
      </x:c>
      <x:c r="J169" s="23" t="str">
        <x:v>中证500</x:v>
      </x:c>
    </x:row>
    <x:row r="170">
      <x:c r="A170" s="23" t="n">
        <x:v>19</x:v>
      </x:c>
      <x:c r="B170" s="23" t="str">
        <x:v>周四</x:v>
      </x:c>
      <x:c r="C170" s="23" t="str">
        <x:v>7月25日</x:v>
      </x:c>
      <x:c r="D170" s="24" t="n">
        <x:v>4644.422</x:v>
      </x:c>
      <x:c r="E170" s="24" t="n">
        <x:v>4710.463</x:v>
      </x:c>
      <x:c r="F170" s="24" t="n">
        <x:v>4635.244</x:v>
      </x:c>
      <x:c r="G170" s="24" t="n">
        <x:v>4665.449</x:v>
      </x:c>
      <x:c r="H170" s="25" t="n">
        <x:v>-0.0005597612028289678</x:v>
      </x:c>
      <x:c r="I170" s="24" t="n">
        <x:f>ROUND(E170-F170,1)</x:f>
        <x:v>75.2</x:v>
      </x:c>
      <x:c r="J170" s="23" t="str">
        <x:v>中证500</x:v>
      </x:c>
    </x:row>
    <x:row r="171">
      <x:c r="A171" s="23" t="n">
        <x:v>20</x:v>
      </x:c>
      <x:c r="B171" s="23" t="str">
        <x:v>周五</x:v>
      </x:c>
      <x:c r="C171" s="23" t="str">
        <x:v>7月26日</x:v>
      </x:c>
      <x:c r="D171" s="24" t="n">
        <x:v>4670.446</x:v>
      </x:c>
      <x:c r="E171" s="24" t="n">
        <x:v>4744.454</x:v>
      </x:c>
      <x:c r="F171" s="24" t="n">
        <x:v>4670.446</x:v>
      </x:c>
      <x:c r="G171" s="24" t="n">
        <x:v>4736.377</x:v>
      </x:c>
      <x:c r="H171" s="25" t="n">
        <x:v>0.015202823994003856</x:v>
      </x:c>
      <x:c r="I171" s="24" t="n">
        <x:f>ROUND(E171-F171,1)</x:f>
        <x:v>74</x:v>
      </x:c>
      <x:c r="J171" s="23" t="str">
        <x:v>中证500</x:v>
      </x:c>
    </x:row>
    <x:row r="172">
      <x:c r="A172" s="23" t="n">
        <x:v>21</x:v>
      </x:c>
      <x:c r="B172" s="23" t="str">
        <x:v>周一</x:v>
      </x:c>
      <x:c r="C172" s="23" t="str">
        <x:v>7月29日</x:v>
      </x:c>
      <x:c r="D172" s="24" t="n">
        <x:v>4740.499</x:v>
      </x:c>
      <x:c r="E172" s="24" t="n">
        <x:v>4742.148</x:v>
      </x:c>
      <x:c r="F172" s="24" t="n">
        <x:v>4702.98</x:v>
      </x:c>
      <x:c r="G172" s="24" t="n">
        <x:v>4708.844</x:v>
      </x:c>
      <x:c r="H172" s="25" t="n">
        <x:v>-0.0058130930033652994</x:v>
      </x:c>
      <x:c r="I172" s="24" t="n">
        <x:f>ROUND(E172-F172,1)</x:f>
        <x:v>39.2</x:v>
      </x:c>
      <x:c r="J172" s="23" t="str">
        <x:v>中证500</x:v>
      </x:c>
    </x:row>
    <x:row r="173">
      <x:c r="A173" s="23" t="n">
        <x:v>22</x:v>
      </x:c>
      <x:c r="B173" s="23" t="str">
        <x:v>周二</x:v>
      </x:c>
      <x:c r="C173" s="23" t="str">
        <x:v>7月30日</x:v>
      </x:c>
      <x:c r="D173" s="24" t="n">
        <x:v>4694.525</x:v>
      </x:c>
      <x:c r="E173" s="24" t="n">
        <x:v>4712.042</x:v>
      </x:c>
      <x:c r="F173" s="24" t="n">
        <x:v>4650.559</x:v>
      </x:c>
      <x:c r="G173" s="24" t="n">
        <x:v>4699.282</x:v>
      </x:c>
      <x:c r="H173" s="25" t="n">
        <x:v>-0.002030647012302822</x:v>
      </x:c>
      <x:c r="I173" s="24" t="n">
        <x:f>ROUND(E173-F173,1)</x:f>
        <x:v>61.5</x:v>
      </x:c>
      <x:c r="J173" s="23" t="str">
        <x:v>中证500</x:v>
      </x:c>
    </x:row>
    <x:row r="174">
      <x:c r="A174" s="23" t="n">
        <x:v>23</x:v>
      </x:c>
      <x:c r="B174" s="23" t="str">
        <x:v>周三</x:v>
      </x:c>
      <x:c r="C174" s="23" t="str">
        <x:v>7月31日</x:v>
      </x:c>
      <x:c r="D174" s="24" t="n">
        <x:v>4694.729</x:v>
      </x:c>
      <x:c r="E174" s="24" t="n">
        <x:v>4887.919</x:v>
      </x:c>
      <x:c r="F174" s="24" t="n">
        <x:v>4687.046</x:v>
      </x:c>
      <x:c r="G174" s="24" t="n">
        <x:v>4886.414</x:v>
      </x:c>
      <x:c r="H174" s="25" t="n">
        <x:v>0.03982140250361632</x:v>
      </x:c>
      <x:c r="I174" s="33" t="n">
        <x:f>ROUND(E174-F174,1)</x:f>
        <x:v>200.9</x:v>
      </x:c>
      <x:c r="J174" s="23" t="str">
        <x:v>中证500</x:v>
      </x:c>
    </x:row>
    <x:row r="175">
      <x:c r="A175" s="36" t="str">
        <x:v>合计</x:v>
      </x:c>
      <x:c r="B175" s="35" t="n">
        <x:v>23</x:v>
      </x:c>
      <x:c r="C175" s="35"/>
      <x:c r="D175" s="35"/>
      <x:c r="E175" s="35"/>
      <x:c r="F175" s="35"/>
      <x:c r="G175" s="35"/>
      <x:c r="H175" s="35"/>
      <x:c r="I175" s="37" t="n">
        <x:f>ROUND(SUM(I152:I174),1)</x:f>
        <x:v>1780.4</x:v>
      </x:c>
      <x:c r="J175" s="35"/>
    </x:row>
    <x:row r="176">
      <x:c r="A176" s="36" t="str">
        <x:v>均值</x:v>
      </x:c>
      <x:c r="B176" s="35"/>
      <x:c r="C176" s="35"/>
      <x:c r="D176" s="35"/>
      <x:c r="E176" s="35"/>
      <x:c r="F176" s="35"/>
      <x:c r="G176" s="35"/>
      <x:c r="H176" s="35"/>
      <x:c r="I176" s="39" t="n">
        <x:f>ROUND(IFERROR(AVERAGE(I152:I174),0),1)</x:f>
        <x:v>77.4</x:v>
      </x:c>
      <x:c r="J176" s="35"/>
    </x:row>
    <x:row r="178">
      <x:c r="A178" s="17" t="str">
        <x:v>8月</x:v>
      </x:c>
      <x:c r="B178" s="17"/>
      <x:c r="C178" s="17"/>
      <x:c r="D178" s="17"/>
      <x:c r="E178" s="17"/>
      <x:c r="F178" s="17"/>
      <x:c r="G178" s="17"/>
      <x:c r="H178" s="17"/>
      <x:c r="I178" s="17"/>
      <x:c r="J178" s="17"/>
    </x:row>
    <x:row r="179">
      <x:c r="A179" s="20" t="str">
        <x:v>序号</x:v>
      </x:c>
      <x:c r="B179" s="20" t="str">
        <x:v>星期</x:v>
      </x:c>
      <x:c r="C179" s="20" t="str">
        <x:v>日期</x:v>
      </x:c>
      <x:c r="D179" s="20" t="str">
        <x:v>开盘</x:v>
      </x:c>
      <x:c r="E179" s="20" t="str">
        <x:v>高点</x:v>
      </x:c>
      <x:c r="F179" s="20" t="str">
        <x:v>低点</x:v>
      </x:c>
      <x:c r="G179" s="20" t="str">
        <x:v>收盘</x:v>
      </x:c>
      <x:c r="H179" s="20" t="str">
        <x:v>涨幅</x:v>
      </x:c>
      <x:c r="I179" s="20" t="str">
        <x:v>振幅</x:v>
      </x:c>
      <x:c r="J179" s="20" t="str">
        <x:v>标的</x:v>
      </x:c>
    </x:row>
    <x:row r="180">
      <x:c r="A180" s="23" t="n">
        <x:v>1</x:v>
      </x:c>
      <x:c r="B180" s="23" t="str">
        <x:v>周四</x:v>
      </x:c>
      <x:c r="C180" s="23" t="str">
        <x:v>8月1日</x:v>
      </x:c>
      <x:c r="D180" s="24" t="n">
        <x:v>4893.871</x:v>
      </x:c>
      <x:c r="E180" s="24" t="n">
        <x:v>4928.241</x:v>
      </x:c>
      <x:c r="F180" s="24" t="n">
        <x:v>4834.654</x:v>
      </x:c>
      <x:c r="G180" s="24" t="n">
        <x:v>4852.973</x:v>
      </x:c>
      <x:c r="H180" s="25" t="n">
        <x:v>-0.006843668997346453</x:v>
      </x:c>
      <x:c r="I180" s="24" t="n">
        <x:f>ROUND(E180-F180,1)</x:f>
        <x:v>93.6</x:v>
      </x:c>
      <x:c r="J180" s="23" t="str">
        <x:v>中证500</x:v>
      </x:c>
    </x:row>
    <x:row r="181">
      <x:c r="A181" s="23" t="n">
        <x:v>2</x:v>
      </x:c>
      <x:c r="B181" s="23" t="str">
        <x:v>周五</x:v>
      </x:c>
      <x:c r="C181" s="23" t="str">
        <x:v>8月2日</x:v>
      </x:c>
      <x:c r="D181" s="24" t="n">
        <x:v>4816.937</x:v>
      </x:c>
      <x:c r="E181" s="24" t="n">
        <x:v>4874.711</x:v>
      </x:c>
      <x:c r="F181" s="24" t="n">
        <x:v>4783.115</x:v>
      </x:c>
      <x:c r="G181" s="24" t="n">
        <x:v>4788.616</x:v>
      </x:c>
      <x:c r="H181" s="25" t="n">
        <x:v>-0.013261355461899327</x:v>
      </x:c>
      <x:c r="I181" s="24" t="n">
        <x:f>ROUND(E181-F181,1)</x:f>
        <x:v>91.6</x:v>
      </x:c>
      <x:c r="J181" s="23" t="str">
        <x:v>中证500</x:v>
      </x:c>
    </x:row>
    <x:row r="182">
      <x:c r="A182" s="23" t="n">
        <x:v>3</x:v>
      </x:c>
      <x:c r="B182" s="23" t="str">
        <x:v>周一</x:v>
      </x:c>
      <x:c r="C182" s="23" t="str">
        <x:v>8月5日</x:v>
      </x:c>
      <x:c r="D182" s="24" t="n">
        <x:v>4756.076</x:v>
      </x:c>
      <x:c r="E182" s="24" t="n">
        <x:v>4846.542</x:v>
      </x:c>
      <x:c r="F182" s="24" t="n">
        <x:v>4693.817</x:v>
      </x:c>
      <x:c r="G182" s="24" t="n">
        <x:v>4693.848</x:v>
      </x:c>
      <x:c r="H182" s="25" t="n">
        <x:v>-0.019790269255250403</x:v>
      </x:c>
      <x:c r="I182" s="24" t="n">
        <x:f>ROUND(E182-F182,1)</x:f>
        <x:v>152.7</x:v>
      </x:c>
      <x:c r="J182" s="23" t="str">
        <x:v>中证500</x:v>
      </x:c>
    </x:row>
    <x:row r="183">
      <x:c r="A183" s="23" t="n">
        <x:v>4</x:v>
      </x:c>
      <x:c r="B183" s="23" t="str">
        <x:v>周二</x:v>
      </x:c>
      <x:c r="C183" s="23" t="str">
        <x:v>8月6日</x:v>
      </x:c>
      <x:c r="D183" s="24" t="n">
        <x:v>4740.454</x:v>
      </x:c>
      <x:c r="E183" s="24" t="n">
        <x:v>4774.928</x:v>
      </x:c>
      <x:c r="F183" s="24" t="n">
        <x:v>4699.177</x:v>
      </x:c>
      <x:c r="G183" s="24" t="n">
        <x:v>4750.776</x:v>
      </x:c>
      <x:c r="H183" s="25" t="n">
        <x:v>0.012128215485460947</x:v>
      </x:c>
      <x:c r="I183" s="24" t="n">
        <x:f>ROUND(E183-F183,1)</x:f>
        <x:v>75.8</x:v>
      </x:c>
      <x:c r="J183" s="23" t="str">
        <x:v>中证500</x:v>
      </x:c>
    </x:row>
    <x:row r="184">
      <x:c r="A184" s="23" t="n">
        <x:v>5</x:v>
      </x:c>
      <x:c r="B184" s="23" t="str">
        <x:v>周三</x:v>
      </x:c>
      <x:c r="C184" s="23" t="str">
        <x:v>8月7日</x:v>
      </x:c>
      <x:c r="D184" s="24" t="n">
        <x:v>4747.98</x:v>
      </x:c>
      <x:c r="E184" s="24" t="n">
        <x:v>4783.42</x:v>
      </x:c>
      <x:c r="F184" s="24" t="n">
        <x:v>4719.938</x:v>
      </x:c>
      <x:c r="G184" s="24" t="n">
        <x:v>4751.941</x:v>
      </x:c>
      <x:c r="H184" s="25" t="n">
        <x:v>0.00024522309618468796</x:v>
      </x:c>
      <x:c r="I184" s="24" t="n">
        <x:f>ROUND(E184-F184,1)</x:f>
        <x:v>63.5</x:v>
      </x:c>
      <x:c r="J184" s="23" t="str">
        <x:v>中证500</x:v>
      </x:c>
    </x:row>
    <x:row r="185">
      <x:c r="A185" s="23" t="n">
        <x:v>6</x:v>
      </x:c>
      <x:c r="B185" s="23" t="str">
        <x:v>周四</x:v>
      </x:c>
      <x:c r="C185" s="23" t="str">
        <x:v>8月8日</x:v>
      </x:c>
      <x:c r="D185" s="24" t="n">
        <x:v>4737.093</x:v>
      </x:c>
      <x:c r="E185" s="24" t="n">
        <x:v>4791.659</x:v>
      </x:c>
      <x:c r="F185" s="24" t="n">
        <x:v>4701.786</x:v>
      </x:c>
      <x:c r="G185" s="24" t="n">
        <x:v>4755.815</x:v>
      </x:c>
      <x:c r="H185" s="25" t="n">
        <x:v>0.0008152458121848394</x:v>
      </x:c>
      <x:c r="I185" s="24" t="n">
        <x:f>ROUND(E185-F185,1)</x:f>
        <x:v>89.9</x:v>
      </x:c>
      <x:c r="J185" s="23" t="str">
        <x:v>中证500</x:v>
      </x:c>
    </x:row>
    <x:row r="186">
      <x:c r="A186" s="23" t="n">
        <x:v>7</x:v>
      </x:c>
      <x:c r="B186" s="23" t="str">
        <x:v>周五</x:v>
      </x:c>
      <x:c r="C186" s="23" t="str">
        <x:v>8月9日</x:v>
      </x:c>
      <x:c r="D186" s="24" t="n">
        <x:v>4778.257</x:v>
      </x:c>
      <x:c r="E186" s="24" t="n">
        <x:v>4805.099</x:v>
      </x:c>
      <x:c r="F186" s="24" t="n">
        <x:v>4720.31</x:v>
      </x:c>
      <x:c r="G186" s="24" t="n">
        <x:v>4720.31</x:v>
      </x:c>
      <x:c r="H186" s="25" t="n">
        <x:v>-0.007465597379208266</x:v>
      </x:c>
      <x:c r="I186" s="24" t="n">
        <x:f>ROUND(E186-F186,1)</x:f>
        <x:v>84.8</x:v>
      </x:c>
      <x:c r="J186" s="23" t="str">
        <x:v>中证500</x:v>
      </x:c>
    </x:row>
    <x:row r="187">
      <x:c r="A187" s="23" t="n">
        <x:v>8</x:v>
      </x:c>
      <x:c r="B187" s="23" t="str">
        <x:v>周一</x:v>
      </x:c>
      <x:c r="C187" s="23" t="str">
        <x:v>8月12日</x:v>
      </x:c>
      <x:c r="D187" s="24" t="n">
        <x:v>4716.961</x:v>
      </x:c>
      <x:c r="E187" s="24" t="n">
        <x:v>4737.191</x:v>
      </x:c>
      <x:c r="F187" s="24" t="n">
        <x:v>4696.053</x:v>
      </x:c>
      <x:c r="G187" s="24" t="n">
        <x:v>4714.159</x:v>
      </x:c>
      <x:c r="H187" s="25" t="n">
        <x:v>-0.0013030923816446105</x:v>
      </x:c>
      <x:c r="I187" s="24" t="n">
        <x:f>ROUND(E187-F187,1)</x:f>
        <x:v>41.1</x:v>
      </x:c>
      <x:c r="J187" s="23" t="str">
        <x:v>中证500</x:v>
      </x:c>
    </x:row>
    <x:row r="188">
      <x:c r="A188" s="23" t="n">
        <x:v>9</x:v>
      </x:c>
      <x:c r="B188" s="23" t="str">
        <x:v>周二</x:v>
      </x:c>
      <x:c r="C188" s="23" t="str">
        <x:v>8月13日</x:v>
      </x:c>
      <x:c r="D188" s="24" t="n">
        <x:v>4713.96</x:v>
      </x:c>
      <x:c r="E188" s="24" t="n">
        <x:v>4731.835</x:v>
      </x:c>
      <x:c r="F188" s="24" t="n">
        <x:v>4680.588</x:v>
      </x:c>
      <x:c r="G188" s="24" t="n">
        <x:v>4731.835</x:v>
      </x:c>
      <x:c r="H188" s="25" t="n">
        <x:v>0.003749555328957044</x:v>
      </x:c>
      <x:c r="I188" s="24" t="n">
        <x:f>ROUND(E188-F188,1)</x:f>
        <x:v>51.2</x:v>
      </x:c>
      <x:c r="J188" s="23" t="str">
        <x:v>中证500</x:v>
      </x:c>
    </x:row>
    <x:row r="189">
      <x:c r="A189" s="23" t="n">
        <x:v>10</x:v>
      </x:c>
      <x:c r="B189" s="23" t="str">
        <x:v>周三</x:v>
      </x:c>
      <x:c r="C189" s="23" t="str">
        <x:v>8月14日</x:v>
      </x:c>
      <x:c r="D189" s="24" t="n">
        <x:v>4729.815</x:v>
      </x:c>
      <x:c r="E189" s="24" t="n">
        <x:v>4730.237</x:v>
      </x:c>
      <x:c r="F189" s="24" t="n">
        <x:v>4667.073</x:v>
      </x:c>
      <x:c r="G189" s="24" t="n">
        <x:v>4667.073</x:v>
      </x:c>
      <x:c r="H189" s="25" t="n">
        <x:v>-0.013686445110617673</x:v>
      </x:c>
      <x:c r="I189" s="24" t="n">
        <x:f>ROUND(E189-F189,1)</x:f>
        <x:v>63.2</x:v>
      </x:c>
      <x:c r="J189" s="23" t="str">
        <x:v>中证500</x:v>
      </x:c>
    </x:row>
    <x:row r="190">
      <x:c r="A190" s="23" t="n">
        <x:v>11</x:v>
      </x:c>
      <x:c r="B190" s="23" t="str">
        <x:v>周四</x:v>
      </x:c>
      <x:c r="C190" s="23" t="str">
        <x:v>8月15日</x:v>
      </x:c>
      <x:c r="D190" s="24" t="n">
        <x:v>4656.695</x:v>
      </x:c>
      <x:c r="E190" s="24" t="n">
        <x:v>4746.41</x:v>
      </x:c>
      <x:c r="F190" s="24" t="n">
        <x:v>4647.795</x:v>
      </x:c>
      <x:c r="G190" s="24" t="n">
        <x:v>4698.375</x:v>
      </x:c>
      <x:c r="H190" s="25" t="n">
        <x:v>0.006706987441593482</x:v>
      </x:c>
      <x:c r="I190" s="24" t="n">
        <x:f>ROUND(E190-F190,1)</x:f>
        <x:v>98.6</x:v>
      </x:c>
      <x:c r="J190" s="23" t="str">
        <x:v>中证500</x:v>
      </x:c>
    </x:row>
    <x:row r="191">
      <x:c r="A191" s="29" t="n">
        <x:v>12</x:v>
      </x:c>
      <x:c r="B191" s="29" t="str">
        <x:v>周五</x:v>
      </x:c>
      <x:c r="C191" s="29" t="str">
        <x:v>8月16日</x:v>
      </x:c>
      <x:c r="D191" s="30" t="n">
        <x:v>4703.604</x:v>
      </x:c>
      <x:c r="E191" s="30" t="n">
        <x:v>4708.019</x:v>
      </x:c>
      <x:c r="F191" s="30" t="n">
        <x:v>4662.113</x:v>
      </x:c>
      <x:c r="G191" s="30" t="n">
        <x:v>4670.379</x:v>
      </x:c>
      <x:c r="H191" s="31" t="n">
        <x:v>-0.005958655918269606</x:v>
      </x:c>
      <x:c r="I191" s="30" t="n">
        <x:f>ROUND(E191-F191,1)</x:f>
        <x:v>45.9</x:v>
      </x:c>
      <x:c r="J191" s="29" t="str">
        <x:v>中证500</x:v>
      </x:c>
    </x:row>
    <x:row r="192">
      <x:c r="A192" s="23" t="n">
        <x:v>13</x:v>
      </x:c>
      <x:c r="B192" s="23" t="str">
        <x:v>周一</x:v>
      </x:c>
      <x:c r="C192" s="23" t="str">
        <x:v>8月19日</x:v>
      </x:c>
      <x:c r="D192" s="24" t="n">
        <x:v>4666.331</x:v>
      </x:c>
      <x:c r="E192" s="24" t="n">
        <x:v>4729.874</x:v>
      </x:c>
      <x:c r="F192" s="24" t="n">
        <x:v>4666.258</x:v>
      </x:c>
      <x:c r="G192" s="24" t="n">
        <x:v>4682.963</x:v>
      </x:c>
      <x:c r="H192" s="25" t="n">
        <x:v>0.0026944280110885455</x:v>
      </x:c>
      <x:c r="I192" s="24" t="n">
        <x:f>ROUND(E192-F192,1)</x:f>
        <x:v>63.6</x:v>
      </x:c>
      <x:c r="J192" s="23" t="str">
        <x:v>中证500</x:v>
      </x:c>
    </x:row>
    <x:row r="193">
      <x:c r="A193" s="23" t="n">
        <x:v>14</x:v>
      </x:c>
      <x:c r="B193" s="23" t="str">
        <x:v>周二</x:v>
      </x:c>
      <x:c r="C193" s="23" t="str">
        <x:v>8月20日</x:v>
      </x:c>
      <x:c r="D193" s="24" t="n">
        <x:v>4684.295</x:v>
      </x:c>
      <x:c r="E193" s="24" t="n">
        <x:v>4686.363</x:v>
      </x:c>
      <x:c r="F193" s="24" t="n">
        <x:v>4590.391</x:v>
      </x:c>
      <x:c r="G193" s="24" t="n">
        <x:v>4602.01</x:v>
      </x:c>
      <x:c r="H193" s="25" t="n">
        <x:v>-0.01728670501987728</x:v>
      </x:c>
      <x:c r="I193" s="24" t="n">
        <x:f>ROUND(E193-F193,1)</x:f>
        <x:v>96</x:v>
      </x:c>
      <x:c r="J193" s="23" t="str">
        <x:v>中证500</x:v>
      </x:c>
    </x:row>
    <x:row r="194">
      <x:c r="A194" s="23" t="n">
        <x:v>15</x:v>
      </x:c>
      <x:c r="B194" s="23" t="str">
        <x:v>周三</x:v>
      </x:c>
      <x:c r="C194" s="23" t="str">
        <x:v>8月21日</x:v>
      </x:c>
      <x:c r="D194" s="24" t="n">
        <x:v>4589.089</x:v>
      </x:c>
      <x:c r="E194" s="24" t="n">
        <x:v>4610.867</x:v>
      </x:c>
      <x:c r="F194" s="24" t="n">
        <x:v>4582.265</x:v>
      </x:c>
      <x:c r="G194" s="24" t="n">
        <x:v>4587.122</x:v>
      </x:c>
      <x:c r="H194" s="25" t="n">
        <x:v>-0.0032351081375311397</x:v>
      </x:c>
      <x:c r="I194" s="24" t="n">
        <x:f>ROUND(E194-F194,1)</x:f>
        <x:v>28.6</x:v>
      </x:c>
      <x:c r="J194" s="23" t="str">
        <x:v>中证500</x:v>
      </x:c>
    </x:row>
    <x:row r="195">
      <x:c r="A195" s="23" t="n">
        <x:v>16</x:v>
      </x:c>
      <x:c r="B195" s="23" t="str">
        <x:v>周四</x:v>
      </x:c>
      <x:c r="C195" s="23" t="str">
        <x:v>8月22日</x:v>
      </x:c>
      <x:c r="D195" s="24" t="n">
        <x:v>4589.496</x:v>
      </x:c>
      <x:c r="E195" s="24" t="n">
        <x:v>4595.05</x:v>
      </x:c>
      <x:c r="F195" s="24" t="n">
        <x:v>4526.25</x:v>
      </x:c>
      <x:c r="G195" s="24" t="n">
        <x:v>4533.37</x:v>
      </x:c>
      <x:c r="H195" s="25" t="n">
        <x:v>-0.011718022760240587</x:v>
      </x:c>
      <x:c r="I195" s="24" t="n">
        <x:f>ROUND(E195-F195,1)</x:f>
        <x:v>68.8</x:v>
      </x:c>
      <x:c r="J195" s="23" t="str">
        <x:v>中证500</x:v>
      </x:c>
    </x:row>
    <x:row r="196">
      <x:c r="A196" s="23" t="n">
        <x:v>17</x:v>
      </x:c>
      <x:c r="B196" s="23" t="str">
        <x:v>周五</x:v>
      </x:c>
      <x:c r="C196" s="23" t="str">
        <x:v>8月23日</x:v>
      </x:c>
      <x:c r="D196" s="24" t="n">
        <x:v>4523.991</x:v>
      </x:c>
      <x:c r="E196" s="24" t="n">
        <x:v>4549.303</x:v>
      </x:c>
      <x:c r="F196" s="24" t="n">
        <x:v>4513.204</x:v>
      </x:c>
      <x:c r="G196" s="24" t="n">
        <x:v>4537.087</x:v>
      </x:c>
      <x:c r="H196" s="25" t="n">
        <x:v>0.0008199198388838536</x:v>
      </x:c>
      <x:c r="I196" s="24" t="n">
        <x:f>ROUND(E196-F196,1)</x:f>
        <x:v>36.1</x:v>
      </x:c>
      <x:c r="J196" s="23" t="str">
        <x:v>中证500</x:v>
      </x:c>
    </x:row>
    <x:row r="197">
      <x:c r="A197" s="23" t="n">
        <x:v>18</x:v>
      </x:c>
      <x:c r="B197" s="23" t="str">
        <x:v>周一</x:v>
      </x:c>
      <x:c r="C197" s="23" t="str">
        <x:v>8月26日</x:v>
      </x:c>
      <x:c r="D197" s="24" t="n">
        <x:v>4542.856</x:v>
      </x:c>
      <x:c r="E197" s="24" t="n">
        <x:v>4558.592</x:v>
      </x:c>
      <x:c r="F197" s="24" t="n">
        <x:v>4523.727</x:v>
      </x:c>
      <x:c r="G197" s="24" t="n">
        <x:v>4544.359</x:v>
      </x:c>
      <x:c r="H197" s="25" t="n">
        <x:v>0.0016027905129436526</x:v>
      </x:c>
      <x:c r="I197" s="24" t="n">
        <x:f>ROUND(E197-F197,1)</x:f>
        <x:v>34.9</x:v>
      </x:c>
      <x:c r="J197" s="23" t="str">
        <x:v>中证500</x:v>
      </x:c>
    </x:row>
    <x:row r="198">
      <x:c r="A198" s="23" t="n">
        <x:v>19</x:v>
      </x:c>
      <x:c r="B198" s="23" t="str">
        <x:v>周二</x:v>
      </x:c>
      <x:c r="C198" s="23" t="str">
        <x:v>8月27日</x:v>
      </x:c>
      <x:c r="D198" s="24" t="n">
        <x:v>4532.486</x:v>
      </x:c>
      <x:c r="E198" s="24" t="n">
        <x:v>4532.486</x:v>
      </x:c>
      <x:c r="F198" s="24" t="n">
        <x:v>4487.092</x:v>
      </x:c>
      <x:c r="G198" s="24" t="n">
        <x:v>4495.286</x:v>
      </x:c>
      <x:c r="H198" s="25" t="n">
        <x:v>-0.01079866269368246</x:v>
      </x:c>
      <x:c r="I198" s="24" t="n">
        <x:f>ROUND(E198-F198,1)</x:f>
        <x:v>45.4</x:v>
      </x:c>
      <x:c r="J198" s="23" t="str">
        <x:v>中证500</x:v>
      </x:c>
    </x:row>
    <x:row r="199">
      <x:c r="A199" s="23" t="n">
        <x:v>20</x:v>
      </x:c>
      <x:c r="B199" s="23" t="str">
        <x:v>周三</x:v>
      </x:c>
      <x:c r="C199" s="23" t="str">
        <x:v>8月28日</x:v>
      </x:c>
      <x:c r="D199" s="24" t="n">
        <x:v>4486.431</x:v>
      </x:c>
      <x:c r="E199" s="24" t="n">
        <x:v>4527.769</x:v>
      </x:c>
      <x:c r="F199" s="24" t="n">
        <x:v>4482.032</x:v>
      </x:c>
      <x:c r="G199" s="24" t="n">
        <x:v>4500.009</x:v>
      </x:c>
      <x:c r="H199" s="25" t="n">
        <x:v>0.0010506561762699818</x:v>
      </x:c>
      <x:c r="I199" s="24" t="n">
        <x:f>ROUND(E199-F199,1)</x:f>
        <x:v>45.7</x:v>
      </x:c>
      <x:c r="J199" s="23" t="str">
        <x:v>中证500</x:v>
      </x:c>
    </x:row>
    <x:row r="200">
      <x:c r="A200" s="23" t="n">
        <x:v>21</x:v>
      </x:c>
      <x:c r="B200" s="23" t="str">
        <x:v>周四</x:v>
      </x:c>
      <x:c r="C200" s="23" t="str">
        <x:v>8月29日</x:v>
      </x:c>
      <x:c r="D200" s="24" t="n">
        <x:v>4483.553</x:v>
      </x:c>
      <x:c r="E200" s="24" t="n">
        <x:v>4577.792</x:v>
      </x:c>
      <x:c r="F200" s="24" t="n">
        <x:v>4475.223</x:v>
      </x:c>
      <x:c r="G200" s="24" t="n">
        <x:v>4557.901</x:v>
      </x:c>
      <x:c r="H200" s="25" t="n">
        <x:v>0.012864863159162576</x:v>
      </x:c>
      <x:c r="I200" s="24" t="n">
        <x:f>ROUND(E200-F200,1)</x:f>
        <x:v>102.6</x:v>
      </x:c>
      <x:c r="J200" s="23" t="str">
        <x:v>中证500</x:v>
      </x:c>
    </x:row>
    <x:row r="201">
      <x:c r="A201" s="23" t="n">
        <x:v>22</x:v>
      </x:c>
      <x:c r="B201" s="23" t="str">
        <x:v>周五</x:v>
      </x:c>
      <x:c r="C201" s="23" t="str">
        <x:v>8月30日</x:v>
      </x:c>
      <x:c r="D201" s="24" t="n">
        <x:v>4557.501</x:v>
      </x:c>
      <x:c r="E201" s="24" t="n">
        <x:v>4704.341</x:v>
      </x:c>
      <x:c r="F201" s="24" t="n">
        <x:v>4548.383</x:v>
      </x:c>
      <x:c r="G201" s="24" t="n">
        <x:v>4639.114</x:v>
      </x:c>
      <x:c r="H201" s="25" t="n">
        <x:v>0.017818070203806435</x:v>
      </x:c>
      <x:c r="I201" s="24" t="n">
        <x:f>ROUND(E201-F201,1)</x:f>
        <x:v>156</x:v>
      </x:c>
      <x:c r="J201" s="23" t="str">
        <x:v>中证500</x:v>
      </x:c>
    </x:row>
    <x:row r="202">
      <x:c r="A202" s="36" t="str">
        <x:v>合计</x:v>
      </x:c>
      <x:c r="B202" s="35" t="n">
        <x:v>22</x:v>
      </x:c>
      <x:c r="C202" s="35"/>
      <x:c r="D202" s="35"/>
      <x:c r="E202" s="35"/>
      <x:c r="F202" s="35"/>
      <x:c r="G202" s="35"/>
      <x:c r="H202" s="35"/>
      <x:c r="I202" s="37" t="n">
        <x:f>ROUND(SUM(I180:I201),1)</x:f>
        <x:v>1629.6</x:v>
      </x:c>
      <x:c r="J202" s="35"/>
    </x:row>
    <x:row r="203">
      <x:c r="A203" s="36" t="str">
        <x:v>均值</x:v>
      </x:c>
      <x:c r="B203" s="35"/>
      <x:c r="C203" s="35"/>
      <x:c r="D203" s="35"/>
      <x:c r="E203" s="35"/>
      <x:c r="F203" s="35"/>
      <x:c r="G203" s="35"/>
      <x:c r="H203" s="35"/>
      <x:c r="I203" s="39" t="n">
        <x:f>ROUND(IFERROR(AVERAGE(I180:I201),0),1)</x:f>
        <x:v>74.1</x:v>
      </x:c>
      <x:c r="J203" s="35"/>
    </x:row>
    <x:row r="205">
      <x:c r="A205" s="17" t="str">
        <x:v>9月</x:v>
      </x:c>
      <x:c r="B205" s="17"/>
      <x:c r="C205" s="17"/>
      <x:c r="D205" s="17"/>
      <x:c r="E205" s="17"/>
      <x:c r="F205" s="17"/>
      <x:c r="G205" s="17"/>
      <x:c r="H205" s="17"/>
      <x:c r="I205" s="17"/>
      <x:c r="J205" s="17"/>
    </x:row>
    <x:row r="206">
      <x:c r="A206" s="20" t="str">
        <x:v>序号</x:v>
      </x:c>
      <x:c r="B206" s="20" t="str">
        <x:v>星期</x:v>
      </x:c>
      <x:c r="C206" s="20" t="str">
        <x:v>日期</x:v>
      </x:c>
      <x:c r="D206" s="20" t="str">
        <x:v>开盘</x:v>
      </x:c>
      <x:c r="E206" s="20" t="str">
        <x:v>高点</x:v>
      </x:c>
      <x:c r="F206" s="20" t="str">
        <x:v>低点</x:v>
      </x:c>
      <x:c r="G206" s="20" t="str">
        <x:v>收盘</x:v>
      </x:c>
      <x:c r="H206" s="20" t="str">
        <x:v>涨幅</x:v>
      </x:c>
      <x:c r="I206" s="20" t="str">
        <x:v>振幅</x:v>
      </x:c>
      <x:c r="J206" s="20" t="str">
        <x:v>标的</x:v>
      </x:c>
    </x:row>
    <x:row r="207">
      <x:c r="A207" s="23" t="n">
        <x:v>1</x:v>
      </x:c>
      <x:c r="B207" s="23" t="str">
        <x:v>周一</x:v>
      </x:c>
      <x:c r="C207" s="23" t="str">
        <x:v>9月2日</x:v>
      </x:c>
      <x:c r="D207" s="24" t="n">
        <x:v>4631.9</x:v>
      </x:c>
      <x:c r="E207" s="24" t="n">
        <x:v>4632.311</x:v>
      </x:c>
      <x:c r="F207" s="24" t="n">
        <x:v>4546.839</x:v>
      </x:c>
      <x:c r="G207" s="24" t="n">
        <x:v>4546.883</x:v>
      </x:c>
      <x:c r="H207" s="25" t="n">
        <x:v>-0.01988116696420905</x:v>
      </x:c>
      <x:c r="I207" s="24" t="n">
        <x:f>ROUND(E207-F207,1)</x:f>
        <x:v>85.5</x:v>
      </x:c>
      <x:c r="J207" s="23" t="str">
        <x:v>中证500</x:v>
      </x:c>
    </x:row>
    <x:row r="208">
      <x:c r="A208" s="23" t="n">
        <x:v>2</x:v>
      </x:c>
      <x:c r="B208" s="23" t="str">
        <x:v>周二</x:v>
      </x:c>
      <x:c r="C208" s="23" t="str">
        <x:v>9月3日</x:v>
      </x:c>
      <x:c r="D208" s="24" t="n">
        <x:v>4543.22</x:v>
      </x:c>
      <x:c r="E208" s="24" t="n">
        <x:v>4612.283</x:v>
      </x:c>
      <x:c r="F208" s="24" t="n">
        <x:v>4543.22</x:v>
      </x:c>
      <x:c r="G208" s="24" t="n">
        <x:v>4596.482</x:v>
      </x:c>
      <x:c r="H208" s="25" t="n">
        <x:v>0.010908351941318895</x:v>
      </x:c>
      <x:c r="I208" s="24" t="n">
        <x:f>ROUND(E208-F208,1)</x:f>
        <x:v>69.1</x:v>
      </x:c>
      <x:c r="J208" s="23" t="str">
        <x:v>中证500</x:v>
      </x:c>
    </x:row>
    <x:row r="209">
      <x:c r="A209" s="23" t="n">
        <x:v>3</x:v>
      </x:c>
      <x:c r="B209" s="23" t="str">
        <x:v>周三</x:v>
      </x:c>
      <x:c r="C209" s="23" t="str">
        <x:v>9月4日</x:v>
      </x:c>
      <x:c r="D209" s="24" t="n">
        <x:v>4567.686</x:v>
      </x:c>
      <x:c r="E209" s="24" t="n">
        <x:v>4623.378</x:v>
      </x:c>
      <x:c r="F209" s="24" t="n">
        <x:v>4552.304</x:v>
      </x:c>
      <x:c r="G209" s="24" t="n">
        <x:v>4582.084</x:v>
      </x:c>
      <x:c r="H209" s="25" t="n">
        <x:v>-0.0031323956016797716</x:v>
      </x:c>
      <x:c r="I209" s="24" t="n">
        <x:f>ROUND(E209-F209,1)</x:f>
        <x:v>71.1</x:v>
      </x:c>
      <x:c r="J209" s="23" t="str">
        <x:v>中证500</x:v>
      </x:c>
    </x:row>
    <x:row r="210">
      <x:c r="A210" s="23" t="n">
        <x:v>4</x:v>
      </x:c>
      <x:c r="B210" s="23" t="str">
        <x:v>周四</x:v>
      </x:c>
      <x:c r="C210" s="23" t="str">
        <x:v>9月5日</x:v>
      </x:c>
      <x:c r="D210" s="24" t="n">
        <x:v>4585.168</x:v>
      </x:c>
      <x:c r="E210" s="24" t="n">
        <x:v>4630.639</x:v>
      </x:c>
      <x:c r="F210" s="24" t="n">
        <x:v>4582.054</x:v>
      </x:c>
      <x:c r="G210" s="24" t="n">
        <x:v>4601.091</x:v>
      </x:c>
      <x:c r="H210" s="25" t="n">
        <x:v>0.004148112518234104</x:v>
      </x:c>
      <x:c r="I210" s="24" t="n">
        <x:f>ROUND(E210-F210,1)</x:f>
        <x:v>48.6</x:v>
      </x:c>
      <x:c r="J210" s="23" t="str">
        <x:v>中证500</x:v>
      </x:c>
    </x:row>
    <x:row r="211">
      <x:c r="A211" s="23" t="n">
        <x:v>5</x:v>
      </x:c>
      <x:c r="B211" s="23" t="str">
        <x:v>周五</x:v>
      </x:c>
      <x:c r="C211" s="23" t="str">
        <x:v>9月6日</x:v>
      </x:c>
      <x:c r="D211" s="24" t="n">
        <x:v>4609.342</x:v>
      </x:c>
      <x:c r="E211" s="24" t="n">
        <x:v>4613.31</x:v>
      </x:c>
      <x:c r="F211" s="24" t="n">
        <x:v>4535.349</x:v>
      </x:c>
      <x:c r="G211" s="24" t="n">
        <x:v>4537.454</x:v>
      </x:c>
      <x:c r="H211" s="25" t="n">
        <x:v>-0.013830850117939608</x:v>
      </x:c>
      <x:c r="I211" s="24" t="n">
        <x:f>ROUND(E211-F211,1)</x:f>
        <x:v>78</x:v>
      </x:c>
      <x:c r="J211" s="23" t="str">
        <x:v>中证500</x:v>
      </x:c>
    </x:row>
    <x:row r="212">
      <x:c r="A212" s="23" t="n">
        <x:v>6</x:v>
      </x:c>
      <x:c r="B212" s="23" t="str">
        <x:v>周一</x:v>
      </x:c>
      <x:c r="C212" s="23" t="str">
        <x:v>9月9日</x:v>
      </x:c>
      <x:c r="D212" s="24" t="n">
        <x:v>4517.566</x:v>
      </x:c>
      <x:c r="E212" s="24" t="n">
        <x:v>4541.794</x:v>
      </x:c>
      <x:c r="F212" s="24" t="n">
        <x:v>4487.843</x:v>
      </x:c>
      <x:c r="G212" s="24" t="n">
        <x:v>4507.187</x:v>
      </x:c>
      <x:c r="H212" s="25" t="n">
        <x:v>-0.006670480846747928</x:v>
      </x:c>
      <x:c r="I212" s="24" t="n">
        <x:f>ROUND(E212-F212,1)</x:f>
        <x:v>54</x:v>
      </x:c>
      <x:c r="J212" s="23" t="str">
        <x:v>中证500</x:v>
      </x:c>
    </x:row>
    <x:row r="213">
      <x:c r="A213" s="23" t="n">
        <x:v>7</x:v>
      </x:c>
      <x:c r="B213" s="23" t="str">
        <x:v>周二</x:v>
      </x:c>
      <x:c r="C213" s="23" t="str">
        <x:v>9月10日</x:v>
      </x:c>
      <x:c r="D213" s="24" t="n">
        <x:v>4509.324</x:v>
      </x:c>
      <x:c r="E213" s="24" t="n">
        <x:v>4528.669</x:v>
      </x:c>
      <x:c r="F213" s="24" t="n">
        <x:v>4432.913</x:v>
      </x:c>
      <x:c r="G213" s="24" t="n">
        <x:v>4507.707</x:v>
      </x:c>
      <x:c r="H213" s="25" t="n">
        <x:v>0.00011537129477878771</x:v>
      </x:c>
      <x:c r="I213" s="24" t="n">
        <x:f>ROUND(E213-F213,1)</x:f>
        <x:v>95.8</x:v>
      </x:c>
      <x:c r="J213" s="23" t="str">
        <x:v>中证500</x:v>
      </x:c>
    </x:row>
    <x:row r="214">
      <x:c r="A214" s="23" t="n">
        <x:v>8</x:v>
      </x:c>
      <x:c r="B214" s="23" t="str">
        <x:v>周三</x:v>
      </x:c>
      <x:c r="C214" s="23" t="str">
        <x:v>9月11日</x:v>
      </x:c>
      <x:c r="D214" s="24" t="n">
        <x:v>4490.187</x:v>
      </x:c>
      <x:c r="E214" s="24" t="n">
        <x:v>4529.345</x:v>
      </x:c>
      <x:c r="F214" s="24" t="n">
        <x:v>4479.031</x:v>
      </x:c>
      <x:c r="G214" s="24" t="n">
        <x:v>4514.916</x:v>
      </x:c>
      <x:c r="H214" s="25" t="n">
        <x:v>0.0015992609989956552</x:v>
      </x:c>
      <x:c r="I214" s="24" t="n">
        <x:f>ROUND(E214-F214,1)</x:f>
        <x:v>50.3</x:v>
      </x:c>
      <x:c r="J214" s="23" t="str">
        <x:v>中证500</x:v>
      </x:c>
    </x:row>
    <x:row r="215">
      <x:c r="A215" s="23" t="n">
        <x:v>9</x:v>
      </x:c>
      <x:c r="B215" s="23" t="str">
        <x:v>周四</x:v>
      </x:c>
      <x:c r="C215" s="23" t="str">
        <x:v>9月12日</x:v>
      </x:c>
      <x:c r="D215" s="24" t="n">
        <x:v>4518.988</x:v>
      </x:c>
      <x:c r="E215" s="24" t="n">
        <x:v>4568.746</x:v>
      </x:c>
      <x:c r="F215" s="24" t="n">
        <x:v>4496.592</x:v>
      </x:c>
      <x:c r="G215" s="24" t="n">
        <x:v>4496.592</x:v>
      </x:c>
      <x:c r="H215" s="25" t="n">
        <x:v>-0.004058547268653623</x:v>
      </x:c>
      <x:c r="I215" s="24" t="n">
        <x:f>ROUND(E215-F215,1)</x:f>
        <x:v>72.2</x:v>
      </x:c>
      <x:c r="J215" s="23" t="str">
        <x:v>中证500</x:v>
      </x:c>
    </x:row>
    <x:row r="216">
      <x:c r="A216" s="23" t="n">
        <x:v>10</x:v>
      </x:c>
      <x:c r="B216" s="23" t="str">
        <x:v>周五</x:v>
      </x:c>
      <x:c r="C216" s="23" t="str">
        <x:v>9月13日</x:v>
      </x:c>
      <x:c r="D216" s="24" t="n">
        <x:v>4500.395</x:v>
      </x:c>
      <x:c r="E216" s="24" t="n">
        <x:v>4509.072</x:v>
      </x:c>
      <x:c r="F216" s="24" t="n">
        <x:v>4450.959</x:v>
      </x:c>
      <x:c r="G216" s="24" t="n">
        <x:v>4450.959</x:v>
      </x:c>
      <x:c r="H216" s="25" t="n">
        <x:v>-0.010148352352181367</x:v>
      </x:c>
      <x:c r="I216" s="24" t="n">
        <x:f>ROUND(E216-F216,1)</x:f>
        <x:v>58.1</x:v>
      </x:c>
      <x:c r="J216" s="23" t="str">
        <x:v>中证500</x:v>
      </x:c>
    </x:row>
    <x:row r="217">
      <x:c r="A217" s="23" t="n">
        <x:v>11</x:v>
      </x:c>
      <x:c r="B217" s="23" t="str">
        <x:v>周三</x:v>
      </x:c>
      <x:c r="C217" s="23" t="str">
        <x:v>9月18日</x:v>
      </x:c>
      <x:c r="D217" s="24" t="n">
        <x:v>4450.089</x:v>
      </x:c>
      <x:c r="E217" s="24" t="n">
        <x:v>4474.722</x:v>
      </x:c>
      <x:c r="F217" s="24" t="n">
        <x:v>4397.161</x:v>
      </x:c>
      <x:c r="G217" s="24" t="n">
        <x:v>4462.87</x:v>
      </x:c>
      <x:c r="H217" s="25" t="n">
        <x:v>0.0026760525091333864</x:v>
      </x:c>
      <x:c r="I217" s="24" t="n">
        <x:f>ROUND(E217-F217,1)</x:f>
        <x:v>77.6</x:v>
      </x:c>
      <x:c r="J217" s="23" t="str">
        <x:v>中证500</x:v>
      </x:c>
    </x:row>
    <x:row r="218">
      <x:c r="A218" s="23" t="n">
        <x:v>12</x:v>
      </x:c>
      <x:c r="B218" s="23" t="str">
        <x:v>周四</x:v>
      </x:c>
      <x:c r="C218" s="23" t="str">
        <x:v>9月19日</x:v>
      </x:c>
      <x:c r="D218" s="24" t="n">
        <x:v>4481.464</x:v>
      </x:c>
      <x:c r="E218" s="24" t="n">
        <x:v>4565.39</x:v>
      </x:c>
      <x:c r="F218" s="24" t="n">
        <x:v>4437.536</x:v>
      </x:c>
      <x:c r="G218" s="24" t="n">
        <x:v>4520.394</x:v>
      </x:c>
      <x:c r="H218" s="25" t="n">
        <x:v>0.01288946350666742</x:v>
      </x:c>
      <x:c r="I218" s="24" t="n">
        <x:f>ROUND(E218-F218,1)</x:f>
        <x:v>127.9</x:v>
      </x:c>
      <x:c r="J218" s="23" t="str">
        <x:v>中证500</x:v>
      </x:c>
    </x:row>
    <x:row r="219">
      <x:c r="A219" s="29" t="n">
        <x:v>13</x:v>
      </x:c>
      <x:c r="B219" s="29" t="str">
        <x:v>周五</x:v>
      </x:c>
      <x:c r="C219" s="29" t="str">
        <x:v>9月20日</x:v>
      </x:c>
      <x:c r="D219" s="30" t="n">
        <x:v>4514.96</x:v>
      </x:c>
      <x:c r="E219" s="30" t="n">
        <x:v>4515.806</x:v>
      </x:c>
      <x:c r="F219" s="30" t="n">
        <x:v>4471.944</x:v>
      </x:c>
      <x:c r="G219" s="30" t="n">
        <x:v>4498.39</x:v>
      </x:c>
      <x:c r="H219" s="31" t="n">
        <x:v>-0.004867717283051021</x:v>
      </x:c>
      <x:c r="I219" s="30" t="n">
        <x:f>ROUND(E219-F219,1)</x:f>
        <x:v>43.9</x:v>
      </x:c>
      <x:c r="J219" s="29" t="str">
        <x:v>中证500</x:v>
      </x:c>
    </x:row>
    <x:row r="220">
      <x:c r="A220" s="23" t="n">
        <x:v>14</x:v>
      </x:c>
      <x:c r="B220" s="23" t="str">
        <x:v>周一</x:v>
      </x:c>
      <x:c r="C220" s="23" t="str">
        <x:v>9月23日</x:v>
      </x:c>
      <x:c r="D220" s="24" t="n">
        <x:v>4495.781</x:v>
      </x:c>
      <x:c r="E220" s="24" t="n">
        <x:v>4545.541</x:v>
      </x:c>
      <x:c r="F220" s="24" t="n">
        <x:v>4483.13</x:v>
      </x:c>
      <x:c r="G220" s="24" t="n">
        <x:v>4494.688</x:v>
      </x:c>
      <x:c r="H220" s="25" t="n">
        <x:v>-0.000822961103861708</x:v>
      </x:c>
      <x:c r="I220" s="24" t="n">
        <x:f>ROUND(E220-F220,1)</x:f>
        <x:v>62.4</x:v>
      </x:c>
      <x:c r="J220" s="23" t="str">
        <x:v>中证500</x:v>
      </x:c>
    </x:row>
    <x:row r="221">
      <x:c r="A221" s="23" t="n">
        <x:v>15</x:v>
      </x:c>
      <x:c r="B221" s="23" t="str">
        <x:v>周二</x:v>
      </x:c>
      <x:c r="C221" s="23" t="str">
        <x:v>9月24日</x:v>
      </x:c>
      <x:c r="D221" s="24" t="n">
        <x:v>4524.221</x:v>
      </x:c>
      <x:c r="E221" s="24" t="n">
        <x:v>4690.574</x:v>
      </x:c>
      <x:c r="F221" s="24" t="n">
        <x:v>4503.125</x:v>
      </x:c>
      <x:c r="G221" s="24" t="n">
        <x:v>4689.596</x:v>
      </x:c>
      <x:c r="H221" s="25" t="n">
        <x:v>0.043364077773585086</x:v>
      </x:c>
      <x:c r="I221" s="33" t="n">
        <x:f>ROUND(E221-F221,1)</x:f>
        <x:v>187.4</x:v>
      </x:c>
      <x:c r="J221" s="23" t="str">
        <x:v>中证500</x:v>
      </x:c>
    </x:row>
    <x:row r="222">
      <x:c r="A222" s="23" t="n">
        <x:v>16</x:v>
      </x:c>
      <x:c r="B222" s="23" t="str">
        <x:v>周三</x:v>
      </x:c>
      <x:c r="C222" s="23" t="str">
        <x:v>9月25日</x:v>
      </x:c>
      <x:c r="D222" s="24" t="n">
        <x:v>4743.634</x:v>
      </x:c>
      <x:c r="E222" s="24" t="n">
        <x:v>4847.203</x:v>
      </x:c>
      <x:c r="F222" s="24" t="n">
        <x:v>4724.43</x:v>
      </x:c>
      <x:c r="G222" s="24" t="n">
        <x:v>4731.476</x:v>
      </x:c>
      <x:c r="H222" s="25" t="n">
        <x:v>0.008930406798368207</x:v>
      </x:c>
      <x:c r="I222" s="24" t="n">
        <x:f>ROUND(E222-F222,1)</x:f>
        <x:v>122.8</x:v>
      </x:c>
      <x:c r="J222" s="23" t="str">
        <x:v>中证500</x:v>
      </x:c>
    </x:row>
    <x:row r="223">
      <x:c r="A223" s="23" t="n">
        <x:v>17</x:v>
      </x:c>
      <x:c r="B223" s="23" t="str">
        <x:v>周四</x:v>
      </x:c>
      <x:c r="C223" s="23" t="str">
        <x:v>9月26日</x:v>
      </x:c>
      <x:c r="D223" s="24" t="n">
        <x:v>4725.996</x:v>
      </x:c>
      <x:c r="E223" s="24" t="n">
        <x:v>4938.184</x:v>
      </x:c>
      <x:c r="F223" s="24" t="n">
        <x:v>4719.349</x:v>
      </x:c>
      <x:c r="G223" s="24" t="n">
        <x:v>4938.184</x:v>
      </x:c>
      <x:c r="H223" s="25" t="n">
        <x:v>0.04368784709042184</x:v>
      </x:c>
      <x:c r="I223" s="33" t="n">
        <x:f>ROUND(E223-F223,1)</x:f>
        <x:v>218.8</x:v>
      </x:c>
      <x:c r="J223" s="23" t="str">
        <x:v>中证500</x:v>
      </x:c>
    </x:row>
    <x:row r="224">
      <x:c r="A224" s="23" t="n">
        <x:v>18</x:v>
      </x:c>
      <x:c r="B224" s="23" t="str">
        <x:v>周五</x:v>
      </x:c>
      <x:c r="C224" s="23" t="str">
        <x:v>9月27日</x:v>
      </x:c>
      <x:c r="D224" s="24" t="n">
        <x:v>5027.264</x:v>
      </x:c>
      <x:c r="E224" s="24" t="n">
        <x:v>5227.958</x:v>
      </x:c>
      <x:c r="F224" s="24" t="n">
        <x:v>5021.515</x:v>
      </x:c>
      <x:c r="G224" s="24" t="n">
        <x:v>5201.666</x:v>
      </x:c>
      <x:c r="H224" s="25" t="n">
        <x:v>0.053356051536354254</x:v>
      </x:c>
      <x:c r="I224" s="33" t="n">
        <x:f>ROUND(E224-F224,1)</x:f>
        <x:v>206.4</x:v>
      </x:c>
      <x:c r="J224" s="23" t="str">
        <x:v>中证500</x:v>
      </x:c>
    </x:row>
    <x:row r="225">
      <x:c r="A225" s="23" t="n">
        <x:v>19</x:v>
      </x:c>
      <x:c r="B225" s="23" t="str">
        <x:v>周一</x:v>
      </x:c>
      <x:c r="C225" s="23" t="str">
        <x:v>9月30日</x:v>
      </x:c>
      <x:c r="D225" s="24" t="n">
        <x:v>5449.789</x:v>
      </x:c>
      <x:c r="E225" s="24" t="n">
        <x:v>5757.921</x:v>
      </x:c>
      <x:c r="F225" s="24" t="n">
        <x:v>5387.338</x:v>
      </x:c>
      <x:c r="G225" s="24" t="n">
        <x:v>5743.217</x:v>
      </x:c>
      <x:c r="H225" s="25" t="n">
        <x:v>0.10411106749260712</x:v>
      </x:c>
      <x:c r="I225" s="33" t="n">
        <x:f>ROUND(E225-F225,1)</x:f>
        <x:v>370.6</x:v>
      </x:c>
      <x:c r="J225" s="23" t="str">
        <x:v>中证500</x:v>
      </x:c>
    </x:row>
    <x:row r="226">
      <x:c r="A226" s="36" t="str">
        <x:v>合计</x:v>
      </x:c>
      <x:c r="B226" s="35" t="n">
        <x:v>19</x:v>
      </x:c>
      <x:c r="C226" s="35"/>
      <x:c r="D226" s="35"/>
      <x:c r="E226" s="35"/>
      <x:c r="F226" s="35"/>
      <x:c r="G226" s="35"/>
      <x:c r="H226" s="35"/>
      <x:c r="I226" s="37" t="n">
        <x:f>ROUND(SUM(I207:I225),1)</x:f>
        <x:v>2100.5</x:v>
      </x:c>
      <x:c r="J226" s="35"/>
    </x:row>
    <x:row r="227">
      <x:c r="A227" s="36" t="str">
        <x:v>均值</x:v>
      </x:c>
      <x:c r="B227" s="35"/>
      <x:c r="C227" s="35"/>
      <x:c r="D227" s="35"/>
      <x:c r="E227" s="35"/>
      <x:c r="F227" s="35"/>
      <x:c r="G227" s="35"/>
      <x:c r="H227" s="35"/>
      <x:c r="I227" s="39" t="n">
        <x:f>ROUND(IFERROR(AVERAGE(I207:I225),0),1)</x:f>
        <x:v>110.6</x:v>
      </x:c>
      <x:c r="J227" s="35"/>
    </x:row>
    <x:row r="229">
      <x:c r="A229" s="17" t="str">
        <x:v>10月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</x:row>
    <x:row r="230">
      <x:c r="A230" s="20" t="str">
        <x:v>序号</x:v>
      </x:c>
      <x:c r="B230" s="20" t="str">
        <x:v>星期</x:v>
      </x:c>
      <x:c r="C230" s="20" t="str">
        <x:v>日期</x:v>
      </x:c>
      <x:c r="D230" s="20" t="str">
        <x:v>开盘</x:v>
      </x:c>
      <x:c r="E230" s="20" t="str">
        <x:v>高点</x:v>
      </x:c>
      <x:c r="F230" s="20" t="str">
        <x:v>低点</x:v>
      </x:c>
      <x:c r="G230" s="20" t="str">
        <x:v>收盘</x:v>
      </x:c>
      <x:c r="H230" s="20" t="str">
        <x:v>涨幅</x:v>
      </x:c>
      <x:c r="I230" s="20" t="str">
        <x:v>振幅</x:v>
      </x:c>
      <x:c r="J230" s="20" t="str">
        <x:v>标的</x:v>
      </x:c>
    </x:row>
    <x:row r="231">
      <x:c r="A231" s="23" t="n">
        <x:v>1</x:v>
      </x:c>
      <x:c r="B231" s="23" t="str">
        <x:v>周二</x:v>
      </x:c>
      <x:c r="C231" s="23" t="str">
        <x:v>10月8日</x:v>
      </x:c>
      <x:c r="D231" s="24" t="n">
        <x:v>6417.814</x:v>
      </x:c>
      <x:c r="E231" s="24" t="n">
        <x:v>6417.814</x:v>
      </x:c>
      <x:c r="F231" s="24" t="n">
        <x:v>5868.853</x:v>
      </x:c>
      <x:c r="G231" s="24" t="n">
        <x:v>6155.582</x:v>
      </x:c>
      <x:c r="H231" s="25" t="n">
        <x:v>0.07180035161478338</x:v>
      </x:c>
      <x:c r="I231" s="33" t="n">
        <x:f>ROUND(E231-F231,1)</x:f>
        <x:v>549</x:v>
      </x:c>
      <x:c r="J231" s="23" t="str">
        <x:v>中证500</x:v>
      </x:c>
    </x:row>
    <x:row r="232">
      <x:c r="A232" s="23" t="n">
        <x:v>2</x:v>
      </x:c>
      <x:c r="B232" s="23" t="str">
        <x:v>周三</x:v>
      </x:c>
      <x:c r="C232" s="23" t="str">
        <x:v>10月9日</x:v>
      </x:c>
      <x:c r="D232" s="24" t="n">
        <x:v>6013.702</x:v>
      </x:c>
      <x:c r="E232" s="24" t="n">
        <x:v>6088.08</x:v>
      </x:c>
      <x:c r="F232" s="24" t="n">
        <x:v>5704.478</x:v>
      </x:c>
      <x:c r="G232" s="24" t="n">
        <x:v>5735.641</x:v>
      </x:c>
      <x:c r="H232" s="25" t="n">
        <x:v>-0.06822116901375053</x:v>
      </x:c>
      <x:c r="I232" s="33" t="n">
        <x:f>ROUND(E232-F232,1)</x:f>
        <x:v>383.6</x:v>
      </x:c>
      <x:c r="J232" s="23" t="str">
        <x:v>中证500</x:v>
      </x:c>
    </x:row>
    <x:row r="233">
      <x:c r="A233" s="23" t="n">
        <x:v>3</x:v>
      </x:c>
      <x:c r="B233" s="23" t="str">
        <x:v>周四</x:v>
      </x:c>
      <x:c r="C233" s="23" t="str">
        <x:v>10月10日</x:v>
      </x:c>
      <x:c r="D233" s="24" t="n">
        <x:v>5768.611</x:v>
      </x:c>
      <x:c r="E233" s="24" t="n">
        <x:v>5875.936</x:v>
      </x:c>
      <x:c r="F233" s="24" t="n">
        <x:v>5597.477</x:v>
      </x:c>
      <x:c r="G233" s="24" t="n">
        <x:v>5690.882</x:v>
      </x:c>
      <x:c r="H233" s="25" t="n">
        <x:v>-0.007803661351887259</x:v>
      </x:c>
      <x:c r="I233" s="33" t="n">
        <x:f>ROUND(E233-F233,1)</x:f>
        <x:v>278.5</x:v>
      </x:c>
      <x:c r="J233" s="23" t="str">
        <x:v>中证500</x:v>
      </x:c>
    </x:row>
    <x:row r="234">
      <x:c r="A234" s="23" t="n">
        <x:v>4</x:v>
      </x:c>
      <x:c r="B234" s="23" t="str">
        <x:v>周五</x:v>
      </x:c>
      <x:c r="C234" s="23" t="str">
        <x:v>10月11日</x:v>
      </x:c>
      <x:c r="D234" s="24" t="n">
        <x:v>5650.049</x:v>
      </x:c>
      <x:c r="E234" s="24" t="n">
        <x:v>5652.852</x:v>
      </x:c>
      <x:c r="F234" s="24" t="n">
        <x:v>5408.87</x:v>
      </x:c>
      <x:c r="G234" s="24" t="n">
        <x:v>5470.813</x:v>
      </x:c>
      <x:c r="H234" s="25" t="n">
        <x:v>-0.038670455651689806</x:v>
      </x:c>
      <x:c r="I234" s="33" t="n">
        <x:f>ROUND(E234-F234,1)</x:f>
        <x:v>244</x:v>
      </x:c>
      <x:c r="J234" s="23" t="str">
        <x:v>中证500</x:v>
      </x:c>
    </x:row>
    <x:row r="235">
      <x:c r="A235" s="23" t="n">
        <x:v>5</x:v>
      </x:c>
      <x:c r="B235" s="23" t="str">
        <x:v>周一</x:v>
      </x:c>
      <x:c r="C235" s="23" t="str">
        <x:v>10月14日</x:v>
      </x:c>
      <x:c r="D235" s="24" t="n">
        <x:v>5503.646</x:v>
      </x:c>
      <x:c r="E235" s="24" t="n">
        <x:v>5623.969</x:v>
      </x:c>
      <x:c r="F235" s="24" t="n">
        <x:v>5408.392</x:v>
      </x:c>
      <x:c r="G235" s="24" t="n">
        <x:v>5608.153</x:v>
      </x:c>
      <x:c r="H235" s="25" t="n">
        <x:v>0.025104129861503344</x:v>
      </x:c>
      <x:c r="I235" s="33" t="n">
        <x:f>ROUND(E235-F235,1)</x:f>
        <x:v>215.6</x:v>
      </x:c>
      <x:c r="J235" s="23" t="str">
        <x:v>中证500</x:v>
      </x:c>
    </x:row>
    <x:row r="236">
      <x:c r="A236" s="23" t="n">
        <x:v>6</x:v>
      </x:c>
      <x:c r="B236" s="23" t="str">
        <x:v>周二</x:v>
      </x:c>
      <x:c r="C236" s="23" t="str">
        <x:v>10月15日</x:v>
      </x:c>
      <x:c r="D236" s="24" t="n">
        <x:v>5578.261</x:v>
      </x:c>
      <x:c r="E236" s="24" t="n">
        <x:v>5661.075</x:v>
      </x:c>
      <x:c r="F236" s="24" t="n">
        <x:v>5471.881</x:v>
      </x:c>
      <x:c r="G236" s="24" t="n">
        <x:v>5472.56</x:v>
      </x:c>
      <x:c r="H236" s="25" t="n">
        <x:v>-0.0241778353764599</x:v>
      </x:c>
      <x:c r="I236" s="33" t="n">
        <x:f>ROUND(E236-F236,1)</x:f>
        <x:v>189.2</x:v>
      </x:c>
      <x:c r="J236" s="23" t="str">
        <x:v>中证500</x:v>
      </x:c>
    </x:row>
    <x:row r="237">
      <x:c r="A237" s="23" t="n">
        <x:v>7</x:v>
      </x:c>
      <x:c r="B237" s="23" t="str">
        <x:v>周三</x:v>
      </x:c>
      <x:c r="C237" s="23" t="str">
        <x:v>10月16日</x:v>
      </x:c>
      <x:c r="D237" s="24" t="n">
        <x:v>5393.666</x:v>
      </x:c>
      <x:c r="E237" s="24" t="n">
        <x:v>5546.176</x:v>
      </x:c>
      <x:c r="F237" s="24" t="n">
        <x:v>5393.666</x:v>
      </x:c>
      <x:c r="G237" s="24" t="n">
        <x:v>5461.088</x:v>
      </x:c>
      <x:c r="H237" s="25" t="n">
        <x:v>-0.0020962766968294355</x:v>
      </x:c>
      <x:c r="I237" s="24" t="n">
        <x:f>ROUND(E237-F237,1)</x:f>
        <x:v>152.5</x:v>
      </x:c>
      <x:c r="J237" s="23" t="str">
        <x:v>中证500</x:v>
      </x:c>
    </x:row>
    <x:row r="238">
      <x:c r="A238" s="23" t="n">
        <x:v>8</x:v>
      </x:c>
      <x:c r="B238" s="23" t="str">
        <x:v>周四</x:v>
      </x:c>
      <x:c r="C238" s="23" t="str">
        <x:v>10月17日</x:v>
      </x:c>
      <x:c r="D238" s="24" t="n">
        <x:v>5499.766</x:v>
      </x:c>
      <x:c r="E238" s="24" t="n">
        <x:v>5541.033</x:v>
      </x:c>
      <x:c r="F238" s="24" t="n">
        <x:v>5417.881</x:v>
      </x:c>
      <x:c r="G238" s="24" t="n">
        <x:v>5418.988</x:v>
      </x:c>
      <x:c r="H238" s="25" t="n">
        <x:v>-0.00770908654099689</x:v>
      </x:c>
      <x:c r="I238" s="24" t="n">
        <x:f>ROUND(E238-F238,1)</x:f>
        <x:v>123.2</x:v>
      </x:c>
      <x:c r="J238" s="23" t="str">
        <x:v>中证500</x:v>
      </x:c>
    </x:row>
    <x:row r="239">
      <x:c r="A239" s="29" t="n">
        <x:v>9</x:v>
      </x:c>
      <x:c r="B239" s="29" t="str">
        <x:v>周五</x:v>
      </x:c>
      <x:c r="C239" s="29" t="str">
        <x:v>10月18日</x:v>
      </x:c>
      <x:c r="D239" s="30" t="n">
        <x:v>5416.032</x:v>
      </x:c>
      <x:c r="E239" s="30" t="n">
        <x:v>5774.141</x:v>
      </x:c>
      <x:c r="F239" s="30" t="n">
        <x:v>5404.204</x:v>
      </x:c>
      <x:c r="G239" s="30" t="n">
        <x:v>5640.02</x:v>
      </x:c>
      <x:c r="H239" s="31" t="n">
        <x:v>0.04078842765475765</x:v>
      </x:c>
      <x:c r="I239" s="33" t="n">
        <x:f>ROUND(E239-F239,1)</x:f>
        <x:v>369.9</x:v>
      </x:c>
      <x:c r="J239" s="29" t="str">
        <x:v>中证500</x:v>
      </x:c>
    </x:row>
    <x:row r="240">
      <x:c r="A240" s="23" t="n">
        <x:v>10</x:v>
      </x:c>
      <x:c r="B240" s="23" t="str">
        <x:v>周一</x:v>
      </x:c>
      <x:c r="C240" s="23" t="str">
        <x:v>10月21日</x:v>
      </x:c>
      <x:c r="D240" s="24" t="n">
        <x:v>5680.565</x:v>
      </x:c>
      <x:c r="E240" s="24" t="n">
        <x:v>5797.881</x:v>
      </x:c>
      <x:c r="F240" s="24" t="n">
        <x:v>5631.232</x:v>
      </x:c>
      <x:c r="G240" s="24" t="n">
        <x:v>5704.225</x:v>
      </x:c>
      <x:c r="H240" s="25" t="n">
        <x:v>0.011383824880053517</x:v>
      </x:c>
      <x:c r="I240" s="33" t="n">
        <x:f>ROUND(E240-F240,1)</x:f>
        <x:v>166.6</x:v>
      </x:c>
      <x:c r="J240" s="23" t="str">
        <x:v>中证500</x:v>
      </x:c>
    </x:row>
    <x:row r="241">
      <x:c r="A241" s="23" t="n">
        <x:v>11</x:v>
      </x:c>
      <x:c r="B241" s="23" t="str">
        <x:v>周二</x:v>
      </x:c>
      <x:c r="C241" s="23" t="str">
        <x:v>10月22日</x:v>
      </x:c>
      <x:c r="D241" s="24" t="n">
        <x:v>5703.32</x:v>
      </x:c>
      <x:c r="E241" s="24" t="n">
        <x:v>5779.298</x:v>
      </x:c>
      <x:c r="F241" s="24" t="n">
        <x:v>5673.79</x:v>
      </x:c>
      <x:c r="G241" s="24" t="n">
        <x:v>5753.85</x:v>
      </x:c>
      <x:c r="H241" s="25" t="n">
        <x:v>0.008699691895042605</x:v>
      </x:c>
      <x:c r="I241" s="24" t="n">
        <x:f>ROUND(E241-F241,1)</x:f>
        <x:v>105.5</x:v>
      </x:c>
      <x:c r="J241" s="23" t="str">
        <x:v>中证500</x:v>
      </x:c>
    </x:row>
    <x:row r="242">
      <x:c r="A242" s="23" t="n">
        <x:v>12</x:v>
      </x:c>
      <x:c r="B242" s="23" t="str">
        <x:v>周三</x:v>
      </x:c>
      <x:c r="C242" s="23" t="str">
        <x:v>10月23日</x:v>
      </x:c>
      <x:c r="D242" s="24" t="n">
        <x:v>5745.107</x:v>
      </x:c>
      <x:c r="E242" s="24" t="n">
        <x:v>5853.456</x:v>
      </x:c>
      <x:c r="F242" s="24" t="n">
        <x:v>5727.774</x:v>
      </x:c>
      <x:c r="G242" s="24" t="n">
        <x:v>5776.383</x:v>
      </x:c>
      <x:c r="H242" s="25" t="n">
        <x:v>0.003916160483849795</x:v>
      </x:c>
      <x:c r="I242" s="24" t="n">
        <x:f>ROUND(E242-F242,1)</x:f>
        <x:v>125.7</x:v>
      </x:c>
      <x:c r="J242" s="23" t="str">
        <x:v>中证500</x:v>
      </x:c>
    </x:row>
    <x:row r="243">
      <x:c r="A243" s="23" t="n">
        <x:v>13</x:v>
      </x:c>
      <x:c r="B243" s="23" t="str">
        <x:v>周四</x:v>
      </x:c>
      <x:c r="C243" s="23" t="str">
        <x:v>10月24日</x:v>
      </x:c>
      <x:c r="D243" s="24" t="n">
        <x:v>5747.558</x:v>
      </x:c>
      <x:c r="E243" s="24" t="n">
        <x:v>5759.865</x:v>
      </x:c>
      <x:c r="F243" s="24" t="n">
        <x:v>5694.779</x:v>
      </x:c>
      <x:c r="G243" s="24" t="n">
        <x:v>5726.704</x:v>
      </x:c>
      <x:c r="H243" s="25" t="n">
        <x:v>-0.008600364622636691</x:v>
      </x:c>
      <x:c r="I243" s="24" t="n">
        <x:f>ROUND(E243-F243,1)</x:f>
        <x:v>65.1</x:v>
      </x:c>
      <x:c r="J243" s="23" t="str">
        <x:v>中证500</x:v>
      </x:c>
    </x:row>
    <x:row r="244">
      <x:c r="A244" s="23" t="n">
        <x:v>14</x:v>
      </x:c>
      <x:c r="B244" s="23" t="str">
        <x:v>周五</x:v>
      </x:c>
      <x:c r="C244" s="23" t="str">
        <x:v>10月25日</x:v>
      </x:c>
      <x:c r="D244" s="24" t="n">
        <x:v>5735.285</x:v>
      </x:c>
      <x:c r="E244" s="24" t="n">
        <x:v>5855.265</x:v>
      </x:c>
      <x:c r="F244" s="24" t="n">
        <x:v>5729.438</x:v>
      </x:c>
      <x:c r="G244" s="24" t="n">
        <x:v>5809.688</x:v>
      </x:c>
      <x:c r="H244" s="25" t="n">
        <x:v>0.01449070879165415</x:v>
      </x:c>
      <x:c r="I244" s="24" t="n">
        <x:f>ROUND(E244-F244,1)</x:f>
        <x:v>125.8</x:v>
      </x:c>
      <x:c r="J244" s="23" t="str">
        <x:v>中证500</x:v>
      </x:c>
    </x:row>
    <x:row r="245">
      <x:c r="A245" s="23" t="n">
        <x:v>15</x:v>
      </x:c>
      <x:c r="B245" s="23" t="str">
        <x:v>周一</x:v>
      </x:c>
      <x:c r="C245" s="23" t="str">
        <x:v>10月28日</x:v>
      </x:c>
      <x:c r="D245" s="24" t="n">
        <x:v>5816.33</x:v>
      </x:c>
      <x:c r="E245" s="24" t="n">
        <x:v>5883.72</x:v>
      </x:c>
      <x:c r="F245" s="24" t="n">
        <x:v>5787.484</x:v>
      </x:c>
      <x:c r="G245" s="24" t="n">
        <x:v>5883.72</x:v>
      </x:c>
      <x:c r="H245" s="25" t="n">
        <x:v>0.01274285297248312</x:v>
      </x:c>
      <x:c r="I245" s="24" t="n">
        <x:f>ROUND(E245-F245,1)</x:f>
        <x:v>96.2</x:v>
      </x:c>
      <x:c r="J245" s="23" t="str">
        <x:v>中证500</x:v>
      </x:c>
    </x:row>
    <x:row r="246">
      <x:c r="A246" s="23" t="n">
        <x:v>16</x:v>
      </x:c>
      <x:c r="B246" s="23" t="str">
        <x:v>周二</x:v>
      </x:c>
      <x:c r="C246" s="23" t="str">
        <x:v>10月29日</x:v>
      </x:c>
      <x:c r="D246" s="24" t="n">
        <x:v>5903.307</x:v>
      </x:c>
      <x:c r="E246" s="24" t="n">
        <x:v>5917.215</x:v>
      </x:c>
      <x:c r="F246" s="24" t="n">
        <x:v>5807.29</x:v>
      </x:c>
      <x:c r="G246" s="24" t="n">
        <x:v>5812.529</x:v>
      </x:c>
      <x:c r="H246" s="25" t="n">
        <x:v>-0.01209965803947155</x:v>
      </x:c>
      <x:c r="I246" s="24" t="n">
        <x:f>ROUND(E246-F246,1)</x:f>
        <x:v>109.9</x:v>
      </x:c>
      <x:c r="J246" s="23" t="str">
        <x:v>中证500</x:v>
      </x:c>
    </x:row>
    <x:row r="247">
      <x:c r="A247" s="23" t="n">
        <x:v>17</x:v>
      </x:c>
      <x:c r="B247" s="23" t="str">
        <x:v>周三</x:v>
      </x:c>
      <x:c r="C247" s="23" t="str">
        <x:v>10月30日</x:v>
      </x:c>
      <x:c r="D247" s="24" t="n">
        <x:v>5793.833</x:v>
      </x:c>
      <x:c r="E247" s="24" t="n">
        <x:v>5869.111</x:v>
      </x:c>
      <x:c r="F247" s="24" t="n">
        <x:v>5777.43</x:v>
      </x:c>
      <x:c r="G247" s="24" t="n">
        <x:v>5837.934</x:v>
      </x:c>
      <x:c r="H247" s="25" t="n">
        <x:v>0.004370730881514628</x:v>
      </x:c>
      <x:c r="I247" s="24" t="n">
        <x:f>ROUND(E247-F247,1)</x:f>
        <x:v>91.7</x:v>
      </x:c>
      <x:c r="J247" s="23" t="str">
        <x:v>中证500</x:v>
      </x:c>
    </x:row>
    <x:row r="248">
      <x:c r="A248" s="23" t="n">
        <x:v>18</x:v>
      </x:c>
      <x:c r="B248" s="23" t="str">
        <x:v>周四</x:v>
      </x:c>
      <x:c r="C248" s="23" t="str">
        <x:v>10月31日</x:v>
      </x:c>
      <x:c r="D248" s="24" t="n">
        <x:v>5839.977</x:v>
      </x:c>
      <x:c r="E248" s="24" t="n">
        <x:v>5935.183</x:v>
      </x:c>
      <x:c r="F248" s="24" t="n">
        <x:v>5812.032</x:v>
      </x:c>
      <x:c r="G248" s="24" t="n">
        <x:v>5901.29</x:v>
      </x:c>
      <x:c r="H248" s="25" t="n">
        <x:v>0.010852469383860752</x:v>
      </x:c>
      <x:c r="I248" s="24" t="n">
        <x:f>ROUND(E248-F248,1)</x:f>
        <x:v>123.2</x:v>
      </x:c>
      <x:c r="J248" s="23" t="str">
        <x:v>中证500</x:v>
      </x:c>
    </x:row>
    <x:row r="249">
      <x:c r="A249" s="36" t="str">
        <x:v>合计</x:v>
      </x:c>
      <x:c r="B249" s="35" t="n">
        <x:v>18</x:v>
      </x:c>
      <x:c r="C249" s="35"/>
      <x:c r="D249" s="35"/>
      <x:c r="E249" s="35"/>
      <x:c r="F249" s="35"/>
      <x:c r="G249" s="35"/>
      <x:c r="H249" s="35"/>
      <x:c r="I249" s="37" t="n">
        <x:f>ROUND(SUM(I231:I248),1)</x:f>
        <x:v>3515.2</x:v>
      </x:c>
      <x:c r="J249" s="35"/>
    </x:row>
    <x:row r="250">
      <x:c r="A250" s="36" t="str">
        <x:v>均值</x:v>
      </x:c>
      <x:c r="B250" s="35"/>
      <x:c r="C250" s="35"/>
      <x:c r="D250" s="35"/>
      <x:c r="E250" s="35"/>
      <x:c r="F250" s="35"/>
      <x:c r="G250" s="35"/>
      <x:c r="H250" s="35"/>
      <x:c r="I250" s="39" t="n">
        <x:f>ROUND(IFERROR(AVERAGE(I231:I248),0),1)</x:f>
        <x:v>195.3</x:v>
      </x:c>
      <x:c r="J250" s="35"/>
    </x:row>
    <x:row r="252">
      <x:c r="A252" s="17" t="str">
        <x:v>11月</x:v>
      </x:c>
      <x:c r="B252" s="17"/>
      <x:c r="C252" s="17"/>
      <x:c r="D252" s="17"/>
      <x:c r="E252" s="17"/>
      <x:c r="F252" s="17"/>
      <x:c r="G252" s="17"/>
      <x:c r="H252" s="17"/>
      <x:c r="I252" s="17"/>
      <x:c r="J252" s="17"/>
    </x:row>
    <x:row r="253">
      <x:c r="A253" s="20" t="str">
        <x:v>序号</x:v>
      </x:c>
      <x:c r="B253" s="20" t="str">
        <x:v>星期</x:v>
      </x:c>
      <x:c r="C253" s="20" t="str">
        <x:v>日期</x:v>
      </x:c>
      <x:c r="D253" s="20" t="str">
        <x:v>开盘</x:v>
      </x:c>
      <x:c r="E253" s="20" t="str">
        <x:v>高点</x:v>
      </x:c>
      <x:c r="F253" s="20" t="str">
        <x:v>低点</x:v>
      </x:c>
      <x:c r="G253" s="20" t="str">
        <x:v>收盘</x:v>
      </x:c>
      <x:c r="H253" s="20" t="str">
        <x:v>涨幅</x:v>
      </x:c>
      <x:c r="I253" s="20" t="str">
        <x:v>振幅</x:v>
      </x:c>
      <x:c r="J253" s="20" t="str">
        <x:v>标的</x:v>
      </x:c>
    </x:row>
    <x:row r="254">
      <x:c r="A254" s="23" t="n">
        <x:v>1</x:v>
      </x:c>
      <x:c r="B254" s="23" t="str">
        <x:v>周五</x:v>
      </x:c>
      <x:c r="C254" s="23" t="str">
        <x:v>11月1日</x:v>
      </x:c>
      <x:c r="D254" s="24" t="n">
        <x:v>5893.319</x:v>
      </x:c>
      <x:c r="E254" s="24" t="n">
        <x:v>5934.203</x:v>
      </x:c>
      <x:c r="F254" s="24" t="n">
        <x:v>5795.081</x:v>
      </x:c>
      <x:c r="G254" s="24" t="n">
        <x:v>5831.822</x:v>
      </x:c>
      <x:c r="H254" s="25" t="n">
        <x:v>-0.011771663483746697</x:v>
      </x:c>
      <x:c r="I254" s="24" t="n">
        <x:f>ROUND(E254-F254,1)</x:f>
        <x:v>139.1</x:v>
      </x:c>
      <x:c r="J254" s="23" t="str">
        <x:v>中证500</x:v>
      </x:c>
    </x:row>
    <x:row r="255">
      <x:c r="A255" s="23" t="n">
        <x:v>2</x:v>
      </x:c>
      <x:c r="B255" s="23" t="str">
        <x:v>周一</x:v>
      </x:c>
      <x:c r="C255" s="23" t="str">
        <x:v>11月4日</x:v>
      </x:c>
      <x:c r="D255" s="24" t="n">
        <x:v>5835.392</x:v>
      </x:c>
      <x:c r="E255" s="24" t="n">
        <x:v>5928.909</x:v>
      </x:c>
      <x:c r="F255" s="24" t="n">
        <x:v>5835.392</x:v>
      </x:c>
      <x:c r="G255" s="24" t="n">
        <x:v>5928.909</x:v>
      </x:c>
      <x:c r="H255" s="25" t="n">
        <x:v>0.016647798921160417</x:v>
      </x:c>
      <x:c r="I255" s="24" t="n">
        <x:f>ROUND(E255-F255,1)</x:f>
        <x:v>93.5</x:v>
      </x:c>
      <x:c r="J255" s="23" t="str">
        <x:v>中证500</x:v>
      </x:c>
    </x:row>
    <x:row r="256">
      <x:c r="A256" s="23" t="n">
        <x:v>3</x:v>
      </x:c>
      <x:c r="B256" s="23" t="str">
        <x:v>周二</x:v>
      </x:c>
      <x:c r="C256" s="23" t="str">
        <x:v>11月5日</x:v>
      </x:c>
      <x:c r="D256" s="24" t="n">
        <x:v>5925.865</x:v>
      </x:c>
      <x:c r="E256" s="24" t="n">
        <x:v>6119.254</x:v>
      </x:c>
      <x:c r="F256" s="24" t="n">
        <x:v>5910.889</x:v>
      </x:c>
      <x:c r="G256" s="24" t="n">
        <x:v>6111.971</x:v>
      </x:c>
      <x:c r="H256" s="25" t="n">
        <x:v>0.030876169629184824</x:v>
      </x:c>
      <x:c r="I256" s="33" t="n">
        <x:f>ROUND(E256-F256,1)</x:f>
        <x:v>208.4</x:v>
      </x:c>
      <x:c r="J256" s="23" t="str">
        <x:v>中证500</x:v>
      </x:c>
    </x:row>
    <x:row r="257">
      <x:c r="A257" s="23" t="n">
        <x:v>4</x:v>
      </x:c>
      <x:c r="B257" s="23" t="str">
        <x:v>周三</x:v>
      </x:c>
      <x:c r="C257" s="23" t="str">
        <x:v>11月6日</x:v>
      </x:c>
      <x:c r="D257" s="24" t="n">
        <x:v>6134.924</x:v>
      </x:c>
      <x:c r="E257" s="24" t="n">
        <x:v>6204.533</x:v>
      </x:c>
      <x:c r="F257" s="24" t="n">
        <x:v>6081.807</x:v>
      </x:c>
      <x:c r="G257" s="24" t="n">
        <x:v>6125.787</x:v>
      </x:c>
      <x:c r="H257" s="25" t="n">
        <x:v>0.002260481929642788</x:v>
      </x:c>
      <x:c r="I257" s="24" t="n">
        <x:f>ROUND(E257-F257,1)</x:f>
        <x:v>122.7</x:v>
      </x:c>
      <x:c r="J257" s="23" t="str">
        <x:v>中证500</x:v>
      </x:c>
    </x:row>
    <x:row r="258">
      <x:c r="A258" s="23" t="n">
        <x:v>5</x:v>
      </x:c>
      <x:c r="B258" s="23" t="str">
        <x:v>周四</x:v>
      </x:c>
      <x:c r="C258" s="23" t="str">
        <x:v>11月7日</x:v>
      </x:c>
      <x:c r="D258" s="24" t="n">
        <x:v>6061.735</x:v>
      </x:c>
      <x:c r="E258" s="24" t="n">
        <x:v>6240.757</x:v>
      </x:c>
      <x:c r="F258" s="24" t="n">
        <x:v>6049.587</x:v>
      </x:c>
      <x:c r="G258" s="24" t="n">
        <x:v>6239.56</x:v>
      </x:c>
      <x:c r="H258" s="25" t="n">
        <x:v>0.018572797258540108</x:v>
      </x:c>
      <x:c r="I258" s="33" t="n">
        <x:f>ROUND(E258-F258,1)</x:f>
        <x:v>191.2</x:v>
      </x:c>
      <x:c r="J258" s="23" t="str">
        <x:v>中证500</x:v>
      </x:c>
    </x:row>
    <x:row r="259">
      <x:c r="A259" s="23" t="n">
        <x:v>6</x:v>
      </x:c>
      <x:c r="B259" s="23" t="str">
        <x:v>周五</x:v>
      </x:c>
      <x:c r="C259" s="23" t="str">
        <x:v>11月8日</x:v>
      </x:c>
      <x:c r="D259" s="24" t="n">
        <x:v>6306.799</x:v>
      </x:c>
      <x:c r="E259" s="24" t="n">
        <x:v>6333.679</x:v>
      </x:c>
      <x:c r="F259" s="24" t="n">
        <x:v>6206.295</x:v>
      </x:c>
      <x:c r="G259" s="24" t="n">
        <x:v>6222.445</x:v>
      </x:c>
      <x:c r="H259" s="25" t="n">
        <x:v>-0.0027429818769273417</x:v>
      </x:c>
      <x:c r="I259" s="24" t="n">
        <x:f>ROUND(E259-F259,1)</x:f>
        <x:v>127.4</x:v>
      </x:c>
      <x:c r="J259" s="23" t="str">
        <x:v>中证500</x:v>
      </x:c>
    </x:row>
    <x:row r="260">
      <x:c r="A260" s="23" t="n">
        <x:v>7</x:v>
      </x:c>
      <x:c r="B260" s="23" t="str">
        <x:v>周一</x:v>
      </x:c>
      <x:c r="C260" s="23" t="str">
        <x:v>11月11日</x:v>
      </x:c>
      <x:c r="D260" s="24" t="n">
        <x:v>6211.033</x:v>
      </x:c>
      <x:c r="E260" s="24" t="n">
        <x:v>6330.805</x:v>
      </x:c>
      <x:c r="F260" s="24" t="n">
        <x:v>6199.056</x:v>
      </x:c>
      <x:c r="G260" s="24" t="n">
        <x:v>6330.615</x:v>
      </x:c>
      <x:c r="H260" s="25" t="n">
        <x:v>0.017383841882089746</x:v>
      </x:c>
      <x:c r="I260" s="24" t="n">
        <x:f>ROUND(E260-F260,1)</x:f>
        <x:v>131.7</x:v>
      </x:c>
      <x:c r="J260" s="23" t="str">
        <x:v>中证500</x:v>
      </x:c>
    </x:row>
    <x:row r="261">
      <x:c r="A261" s="23" t="n">
        <x:v>8</x:v>
      </x:c>
      <x:c r="B261" s="23" t="str">
        <x:v>周二</x:v>
      </x:c>
      <x:c r="C261" s="23" t="str">
        <x:v>11月12日</x:v>
      </x:c>
      <x:c r="D261" s="24" t="n">
        <x:v>6349.23</x:v>
      </x:c>
      <x:c r="E261" s="24" t="n">
        <x:v>6382.978</x:v>
      </x:c>
      <x:c r="F261" s="24" t="n">
        <x:v>6205.099</x:v>
      </x:c>
      <x:c r="G261" s="24" t="n">
        <x:v>6263.883</x:v>
      </x:c>
      <x:c r="H261" s="25" t="n">
        <x:v>-0.01054115595404237</x:v>
      </x:c>
      <x:c r="I261" s="33" t="n">
        <x:f>ROUND(E261-F261,1)</x:f>
        <x:v>177.9</x:v>
      </x:c>
      <x:c r="J261" s="23" t="str">
        <x:v>中证500</x:v>
      </x:c>
    </x:row>
    <x:row r="262">
      <x:c r="A262" s="23" t="n">
        <x:v>9</x:v>
      </x:c>
      <x:c r="B262" s="23" t="str">
        <x:v>周三</x:v>
      </x:c>
      <x:c r="C262" s="23" t="str">
        <x:v>11月13日</x:v>
      </x:c>
      <x:c r="D262" s="24" t="n">
        <x:v>6234.158</x:v>
      </x:c>
      <x:c r="E262" s="24" t="n">
        <x:v>6282.278</x:v>
      </x:c>
      <x:c r="F262" s="24" t="n">
        <x:v>6162.898</x:v>
      </x:c>
      <x:c r="G262" s="24" t="n">
        <x:v>6259.841</x:v>
      </x:c>
      <x:c r="H262" s="25" t="n">
        <x:v>-0.000645286637697362</x:v>
      </x:c>
      <x:c r="I262" s="24" t="n">
        <x:f>ROUND(E262-F262,1)</x:f>
        <x:v>119.4</x:v>
      </x:c>
      <x:c r="J262" s="23" t="str">
        <x:v>中证500</x:v>
      </x:c>
    </x:row>
    <x:row r="263">
      <x:c r="A263" s="23" t="n">
        <x:v>10</x:v>
      </x:c>
      <x:c r="B263" s="23" t="str">
        <x:v>周四</x:v>
      </x:c>
      <x:c r="C263" s="23" t="str">
        <x:v>11月14日</x:v>
      </x:c>
      <x:c r="D263" s="24" t="n">
        <x:v>6240.609</x:v>
      </x:c>
      <x:c r="E263" s="24" t="n">
        <x:v>6240.609</x:v>
      </x:c>
      <x:c r="F263" s="24" t="n">
        <x:v>6068.658</x:v>
      </x:c>
      <x:c r="G263" s="24" t="n">
        <x:v>6078.305</x:v>
      </x:c>
      <x:c r="H263" s="25" t="n">
        <x:v>-0.029000097606313058</x:v>
      </x:c>
      <x:c r="I263" s="33" t="n">
        <x:f>ROUND(E263-F263,1)</x:f>
        <x:v>172</x:v>
      </x:c>
      <x:c r="J263" s="23" t="str">
        <x:v>中证500</x:v>
      </x:c>
    </x:row>
    <x:row r="264">
      <x:c r="A264" s="29" t="n">
        <x:v>11</x:v>
      </x:c>
      <x:c r="B264" s="29" t="str">
        <x:v>周五</x:v>
      </x:c>
      <x:c r="C264" s="29" t="str">
        <x:v>11月15日</x:v>
      </x:c>
      <x:c r="D264" s="30" t="n">
        <x:v>6055.535</x:v>
      </x:c>
      <x:c r="E264" s="30" t="n">
        <x:v>6093.423</x:v>
      </x:c>
      <x:c r="F264" s="30" t="n">
        <x:v>5924.35</x:v>
      </x:c>
      <x:c r="G264" s="30" t="n">
        <x:v>5924.483</x:v>
      </x:c>
      <x:c r="H264" s="31" t="n">
        <x:v>-0.025306726134999846</x:v>
      </x:c>
      <x:c r="I264" s="33" t="n">
        <x:f>ROUND(E264-F264,1)</x:f>
        <x:v>169.1</x:v>
      </x:c>
      <x:c r="J264" s="29" t="str">
        <x:v>中证500</x:v>
      </x:c>
    </x:row>
    <x:row r="265">
      <x:c r="A265" s="23" t="n">
        <x:v>12</x:v>
      </x:c>
      <x:c r="B265" s="23" t="str">
        <x:v>周一</x:v>
      </x:c>
      <x:c r="C265" s="23" t="str">
        <x:v>11月18日</x:v>
      </x:c>
      <x:c r="D265" s="24" t="n">
        <x:v>5940.486</x:v>
      </x:c>
      <x:c r="E265" s="24" t="n">
        <x:v>5977.492</x:v>
      </x:c>
      <x:c r="F265" s="24" t="n">
        <x:v>5799.908</x:v>
      </x:c>
      <x:c r="G265" s="24" t="n">
        <x:v>5833.036</x:v>
      </x:c>
      <x:c r="H265" s="25" t="n">
        <x:v>-0.015435439683091356</x:v>
      </x:c>
      <x:c r="I265" s="33" t="n">
        <x:f>ROUND(E265-F265,1)</x:f>
        <x:v>177.6</x:v>
      </x:c>
      <x:c r="J265" s="23" t="str">
        <x:v>中证500</x:v>
      </x:c>
    </x:row>
    <x:row r="266">
      <x:c r="A266" s="23" t="n">
        <x:v>13</x:v>
      </x:c>
      <x:c r="B266" s="23" t="str">
        <x:v>周二</x:v>
      </x:c>
      <x:c r="C266" s="23" t="str">
        <x:v>11月19日</x:v>
      </x:c>
      <x:c r="D266" s="24" t="n">
        <x:v>5836.611</x:v>
      </x:c>
      <x:c r="E266" s="24" t="n">
        <x:v>5936.935</x:v>
      </x:c>
      <x:c r="F266" s="24" t="n">
        <x:v>5776.202</x:v>
      </x:c>
      <x:c r="G266" s="24" t="n">
        <x:v>5936.602</x:v>
      </x:c>
      <x:c r="H266" s="25" t="n">
        <x:v>0.017755076430181482</x:v>
      </x:c>
      <x:c r="I266" s="33" t="n">
        <x:f>ROUND(E266-F266,1)</x:f>
        <x:v>160.7</x:v>
      </x:c>
      <x:c r="J266" s="23" t="str">
        <x:v>中证500</x:v>
      </x:c>
    </x:row>
    <x:row r="267">
      <x:c r="A267" s="23" t="n">
        <x:v>14</x:v>
      </x:c>
      <x:c r="B267" s="23" t="str">
        <x:v>周三</x:v>
      </x:c>
      <x:c r="C267" s="23" t="str">
        <x:v>11月20日</x:v>
      </x:c>
      <x:c r="D267" s="24" t="n">
        <x:v>5920.323</x:v>
      </x:c>
      <x:c r="E267" s="24" t="n">
        <x:v>6015.234</x:v>
      </x:c>
      <x:c r="F267" s="24" t="n">
        <x:v>5909.106</x:v>
      </x:c>
      <x:c r="G267" s="24" t="n">
        <x:v>5992.39</x:v>
      </x:c>
      <x:c r="H267" s="25" t="n">
        <x:v>0.009397294950882706</x:v>
      </x:c>
      <x:c r="I267" s="24" t="n">
        <x:f>ROUND(E267-F267,1)</x:f>
        <x:v>106.1</x:v>
      </x:c>
      <x:c r="J267" s="23" t="str">
        <x:v>中证500</x:v>
      </x:c>
    </x:row>
    <x:row r="268">
      <x:c r="A268" s="23" t="n">
        <x:v>15</x:v>
      </x:c>
      <x:c r="B268" s="23" t="str">
        <x:v>周四</x:v>
      </x:c>
      <x:c r="C268" s="23" t="str">
        <x:v>11月21日</x:v>
      </x:c>
      <x:c r="D268" s="24" t="n">
        <x:v>5973.155</x:v>
      </x:c>
      <x:c r="E268" s="24" t="n">
        <x:v>6009.629</x:v>
      </x:c>
      <x:c r="F268" s="24" t="n">
        <x:v>5937.805</x:v>
      </x:c>
      <x:c r="G268" s="24" t="n">
        <x:v>5985.313</x:v>
      </x:c>
      <x:c r="H268" s="25" t="n">
        <x:v>-0.0011809978990019454</x:v>
      </x:c>
      <x:c r="I268" s="24" t="n">
        <x:f>ROUND(E268-F268,1)</x:f>
        <x:v>71.8</x:v>
      </x:c>
      <x:c r="J268" s="23" t="str">
        <x:v>中证500</x:v>
      </x:c>
    </x:row>
    <x:row r="269">
      <x:c r="A269" s="23" t="n">
        <x:v>16</x:v>
      </x:c>
      <x:c r="B269" s="23" t="str">
        <x:v>周五</x:v>
      </x:c>
      <x:c r="C269" s="23" t="str">
        <x:v>11月22日</x:v>
      </x:c>
      <x:c r="D269" s="24" t="n">
        <x:v>5969.075</x:v>
      </x:c>
      <x:c r="E269" s="24" t="n">
        <x:v>5983.339</x:v>
      </x:c>
      <x:c r="F269" s="24" t="n">
        <x:v>5750.246</x:v>
      </x:c>
      <x:c r="G269" s="24" t="n">
        <x:v>5750.246</x:v>
      </x:c>
      <x:c r="H269" s="25" t="n">
        <x:v>-0.0392739694649219</x:v>
      </x:c>
      <x:c r="I269" s="33" t="n">
        <x:f>ROUND(E269-F269,1)</x:f>
        <x:v>233.1</x:v>
      </x:c>
      <x:c r="J269" s="23" t="str">
        <x:v>中证500</x:v>
      </x:c>
    </x:row>
    <x:row r="270">
      <x:c r="A270" s="23" t="n">
        <x:v>17</x:v>
      </x:c>
      <x:c r="B270" s="23" t="str">
        <x:v>周一</x:v>
      </x:c>
      <x:c r="C270" s="23" t="str">
        <x:v>11月25日</x:v>
      </x:c>
      <x:c r="D270" s="24" t="n">
        <x:v>5754.547</x:v>
      </x:c>
      <x:c r="E270" s="24" t="n">
        <x:v>5774.817</x:v>
      </x:c>
      <x:c r="F270" s="24" t="n">
        <x:v>5662.095</x:v>
      </x:c>
      <x:c r="G270" s="24" t="n">
        <x:v>5735.649</x:v>
      </x:c>
      <x:c r="H270" s="25" t="n">
        <x:v>-0.0025385000919960765</x:v>
      </x:c>
      <x:c r="I270" s="24" t="n">
        <x:f>ROUND(E270-F270,1)</x:f>
        <x:v>112.7</x:v>
      </x:c>
      <x:c r="J270" s="23" t="str">
        <x:v>中证500</x:v>
      </x:c>
    </x:row>
    <x:row r="271">
      <x:c r="A271" s="23" t="n">
        <x:v>18</x:v>
      </x:c>
      <x:c r="B271" s="23" t="str">
        <x:v>周二</x:v>
      </x:c>
      <x:c r="C271" s="23" t="str">
        <x:v>11月26日</x:v>
      </x:c>
      <x:c r="D271" s="24" t="n">
        <x:v>5727.373</x:v>
      </x:c>
      <x:c r="E271" s="24" t="n">
        <x:v>5773.356</x:v>
      </x:c>
      <x:c r="F271" s="24" t="n">
        <x:v>5688.576</x:v>
      </x:c>
      <x:c r="G271" s="24" t="n">
        <x:v>5690.479</x:v>
      </x:c>
      <x:c r="H271" s="25" t="n">
        <x:v>-0.007875307571994061</x:v>
      </x:c>
      <x:c r="I271" s="24" t="n">
        <x:f>ROUND(E271-F271,1)</x:f>
        <x:v>84.8</x:v>
      </x:c>
      <x:c r="J271" s="23" t="str">
        <x:v>中证500</x:v>
      </x:c>
    </x:row>
    <x:row r="272">
      <x:c r="A272" s="23" t="n">
        <x:v>19</x:v>
      </x:c>
      <x:c r="B272" s="23" t="str">
        <x:v>周三</x:v>
      </x:c>
      <x:c r="C272" s="23" t="str">
        <x:v>11月27日</x:v>
      </x:c>
      <x:c r="D272" s="24" t="n">
        <x:v>5669.555</x:v>
      </x:c>
      <x:c r="E272" s="24" t="n">
        <x:v>5805.635</x:v>
      </x:c>
      <x:c r="F272" s="24" t="n">
        <x:v>5603.996</x:v>
      </x:c>
      <x:c r="G272" s="24" t="n">
        <x:v>5804.937</x:v>
      </x:c>
      <x:c r="H272" s="25" t="n">
        <x:v>0.020113948228259737</x:v>
      </x:c>
      <x:c r="I272" s="33" t="n">
        <x:f>ROUND(E272-F272,1)</x:f>
        <x:v>201.6</x:v>
      </x:c>
      <x:c r="J272" s="23" t="str">
        <x:v>中证500</x:v>
      </x:c>
    </x:row>
    <x:row r="273">
      <x:c r="A273" s="23" t="n">
        <x:v>20</x:v>
      </x:c>
      <x:c r="B273" s="23" t="str">
        <x:v>周四</x:v>
      </x:c>
      <x:c r="C273" s="23" t="str">
        <x:v>11月28日</x:v>
      </x:c>
      <x:c r="D273" s="24" t="n">
        <x:v>5802.797</x:v>
      </x:c>
      <x:c r="E273" s="24" t="n">
        <x:v>5826.488</x:v>
      </x:c>
      <x:c r="F273" s="24" t="n">
        <x:v>5749.287</x:v>
      </x:c>
      <x:c r="G273" s="24" t="n">
        <x:v>5757.597</x:v>
      </x:c>
      <x:c r="H273" s="25" t="n">
        <x:v>-0.008155127264947049</x:v>
      </x:c>
      <x:c r="I273" s="24" t="n">
        <x:f>ROUND(E273-F273,1)</x:f>
        <x:v>77.2</x:v>
      </x:c>
      <x:c r="J273" s="23" t="str">
        <x:v>中证500</x:v>
      </x:c>
    </x:row>
    <x:row r="274">
      <x:c r="A274" s="23" t="n">
        <x:v>21</x:v>
      </x:c>
      <x:c r="B274" s="23" t="str">
        <x:v>周五</x:v>
      </x:c>
      <x:c r="C274" s="23" t="str">
        <x:v>11月29日</x:v>
      </x:c>
      <x:c r="D274" s="24" t="n">
        <x:v>5748.167</x:v>
      </x:c>
      <x:c r="E274" s="24" t="n">
        <x:v>5899.873</x:v>
      </x:c>
      <x:c r="F274" s="24" t="n">
        <x:v>5736.409</x:v>
      </x:c>
      <x:c r="G274" s="24" t="n">
        <x:v>5851.939</x:v>
      </x:c>
      <x:c r="H274" s="25" t="n">
        <x:v>0.01638565533502967</x:v>
      </x:c>
      <x:c r="I274" s="33" t="n">
        <x:f>ROUND(E274-F274,1)</x:f>
        <x:v>163.5</x:v>
      </x:c>
      <x:c r="J274" s="23" t="str">
        <x:v>中证500</x:v>
      </x:c>
    </x:row>
    <x:row r="275">
      <x:c r="A275" s="36" t="str">
        <x:v>合计</x:v>
      </x:c>
      <x:c r="B275" s="35" t="n">
        <x:v>21</x:v>
      </x:c>
      <x:c r="C275" s="35"/>
      <x:c r="D275" s="35"/>
      <x:c r="E275" s="35"/>
      <x:c r="F275" s="35"/>
      <x:c r="G275" s="35"/>
      <x:c r="H275" s="35"/>
      <x:c r="I275" s="37" t="n">
        <x:f>ROUND(SUM(I254:I274),1)</x:f>
        <x:v>3041.5</x:v>
      </x:c>
      <x:c r="J275" s="35"/>
    </x:row>
    <x:row r="276">
      <x:c r="A276" s="36" t="str">
        <x:v>均值</x:v>
      </x:c>
      <x:c r="B276" s="35"/>
      <x:c r="C276" s="35"/>
      <x:c r="D276" s="35"/>
      <x:c r="E276" s="35"/>
      <x:c r="F276" s="35"/>
      <x:c r="G276" s="35"/>
      <x:c r="H276" s="35"/>
      <x:c r="I276" s="39" t="n">
        <x:f>ROUND(IFERROR(AVERAGE(I254:I274),0),1)</x:f>
        <x:v>144.8</x:v>
      </x:c>
      <x:c r="J276" s="35"/>
    </x:row>
    <x:row r="278">
      <x:c r="A278" s="17" t="str">
        <x:v>12月</x:v>
      </x:c>
      <x:c r="B278" s="17"/>
      <x:c r="C278" s="17"/>
      <x:c r="D278" s="17"/>
      <x:c r="E278" s="17"/>
      <x:c r="F278" s="17"/>
      <x:c r="G278" s="17"/>
      <x:c r="H278" s="17"/>
      <x:c r="I278" s="17"/>
      <x:c r="J278" s="17"/>
    </x:row>
    <x:row r="279">
      <x:c r="A279" s="20" t="str">
        <x:v>序号</x:v>
      </x:c>
      <x:c r="B279" s="20" t="str">
        <x:v>星期</x:v>
      </x:c>
      <x:c r="C279" s="20" t="str">
        <x:v>日期</x:v>
      </x:c>
      <x:c r="D279" s="20" t="str">
        <x:v>开盘</x:v>
      </x:c>
      <x:c r="E279" s="20" t="str">
        <x:v>高点</x:v>
      </x:c>
      <x:c r="F279" s="20" t="str">
        <x:v>低点</x:v>
      </x:c>
      <x:c r="G279" s="20" t="str">
        <x:v>收盘</x:v>
      </x:c>
      <x:c r="H279" s="20" t="str">
        <x:v>涨幅</x:v>
      </x:c>
      <x:c r="I279" s="20" t="str">
        <x:v>振幅</x:v>
      </x:c>
      <x:c r="J279" s="20" t="str">
        <x:v>标的</x:v>
      </x:c>
    </x:row>
    <x:row r="280">
      <x:c r="A280" s="23" t="n">
        <x:v>1</x:v>
      </x:c>
      <x:c r="B280" s="23" t="str">
        <x:v>周一</x:v>
      </x:c>
      <x:c r="C280" s="23" t="str">
        <x:v>12月2日</x:v>
      </x:c>
      <x:c r="D280" s="24" t="n">
        <x:v>5853.705</x:v>
      </x:c>
      <x:c r="E280" s="24" t="n">
        <x:v>5956.598</x:v>
      </x:c>
      <x:c r="F280" s="24" t="n">
        <x:v>5848.424</x:v>
      </x:c>
      <x:c r="G280" s="24" t="n">
        <x:v>5943.625</x:v>
      </x:c>
      <x:c r="H280" s="25" t="n">
        <x:v>0.015667627430839604</x:v>
      </x:c>
      <x:c r="I280" s="24" t="n">
        <x:f>ROUND(E280-F280,1)</x:f>
        <x:v>108.2</x:v>
      </x:c>
      <x:c r="J280" s="23" t="str">
        <x:v>中证500</x:v>
      </x:c>
    </x:row>
    <x:row r="281">
      <x:c r="A281" s="23" t="n">
        <x:v>2</x:v>
      </x:c>
      <x:c r="B281" s="23" t="str">
        <x:v>周二</x:v>
      </x:c>
      <x:c r="C281" s="23" t="str">
        <x:v>12月3日</x:v>
      </x:c>
      <x:c r="D281" s="24" t="n">
        <x:v>5946.735</x:v>
      </x:c>
      <x:c r="E281" s="24" t="n">
        <x:v>5954.661</x:v>
      </x:c>
      <x:c r="F281" s="24" t="n">
        <x:v>5877.801</x:v>
      </x:c>
      <x:c r="G281" s="24" t="n">
        <x:v>5932.121</x:v>
      </x:c>
      <x:c r="H281" s="25" t="n">
        <x:v>-0.0019355191486676304</x:v>
      </x:c>
      <x:c r="I281" s="24" t="n">
        <x:f>ROUND(E281-F281,1)</x:f>
        <x:v>76.9</x:v>
      </x:c>
      <x:c r="J281" s="23" t="str">
        <x:v>中证500</x:v>
      </x:c>
    </x:row>
    <x:row r="282">
      <x:c r="A282" s="23" t="n">
        <x:v>3</x:v>
      </x:c>
      <x:c r="B282" s="23" t="str">
        <x:v>周三</x:v>
      </x:c>
      <x:c r="C282" s="23" t="str">
        <x:v>12月4日</x:v>
      </x:c>
      <x:c r="D282" s="24" t="n">
        <x:v>5929.476</x:v>
      </x:c>
      <x:c r="E282" s="24" t="n">
        <x:v>5940.855</x:v>
      </x:c>
      <x:c r="F282" s="24" t="n">
        <x:v>5850.909</x:v>
      </x:c>
      <x:c r="G282" s="24" t="n">
        <x:v>5879.27</x:v>
      </x:c>
      <x:c r="H282" s="25" t="n">
        <x:v>-0.008909292308771133</x:v>
      </x:c>
      <x:c r="I282" s="24" t="n">
        <x:f>ROUND(E282-F282,1)</x:f>
        <x:v>89.9</x:v>
      </x:c>
      <x:c r="J282" s="23" t="str">
        <x:v>中证500</x:v>
      </x:c>
    </x:row>
    <x:row r="283">
      <x:c r="A283" s="23" t="n">
        <x:v>4</x:v>
      </x:c>
      <x:c r="B283" s="23" t="str">
        <x:v>周四</x:v>
      </x:c>
      <x:c r="C283" s="23" t="str">
        <x:v>12月5日</x:v>
      </x:c>
      <x:c r="D283" s="24" t="n">
        <x:v>5855.742</x:v>
      </x:c>
      <x:c r="E283" s="24" t="n">
        <x:v>5923.624</x:v>
      </x:c>
      <x:c r="F283" s="24" t="n">
        <x:v>5853.527</x:v>
      </x:c>
      <x:c r="G283" s="24" t="n">
        <x:v>5901.986</x:v>
      </x:c>
      <x:c r="H283" s="25" t="n">
        <x:v>0.0038637449887484188</x:v>
      </x:c>
      <x:c r="I283" s="24" t="n">
        <x:f>ROUND(E283-F283,1)</x:f>
        <x:v>70.1</x:v>
      </x:c>
      <x:c r="J283" s="23" t="str">
        <x:v>中证500</x:v>
      </x:c>
    </x:row>
    <x:row r="284">
      <x:c r="A284" s="23" t="n">
        <x:v>5</x:v>
      </x:c>
      <x:c r="B284" s="23" t="str">
        <x:v>周五</x:v>
      </x:c>
      <x:c r="C284" s="23" t="str">
        <x:v>12月6日</x:v>
      </x:c>
      <x:c r="D284" s="24" t="n">
        <x:v>5903.499</x:v>
      </x:c>
      <x:c r="E284" s="24" t="n">
        <x:v>6011.769</x:v>
      </x:c>
      <x:c r="F284" s="24" t="n">
        <x:v>5877.043</x:v>
      </x:c>
      <x:c r="G284" s="24" t="n">
        <x:v>5979.197</x:v>
      </x:c>
      <x:c r="H284" s="25" t="n">
        <x:v>0.013082206565722121</x:v>
      </x:c>
      <x:c r="I284" s="24" t="n">
        <x:f>ROUND(E284-F284,1)</x:f>
        <x:v>134.7</x:v>
      </x:c>
      <x:c r="J284" s="23" t="str">
        <x:v>中证500</x:v>
      </x:c>
    </x:row>
    <x:row r="285">
      <x:c r="A285" s="23" t="n">
        <x:v>6</x:v>
      </x:c>
      <x:c r="B285" s="23" t="str">
        <x:v>周一</x:v>
      </x:c>
      <x:c r="C285" s="23" t="str">
        <x:v>12月9日</x:v>
      </x:c>
      <x:c r="D285" s="24" t="n">
        <x:v>5983.334</x:v>
      </x:c>
      <x:c r="E285" s="24" t="n">
        <x:v>6004.234</x:v>
      </x:c>
      <x:c r="F285" s="24" t="n">
        <x:v>5911.362</x:v>
      </x:c>
      <x:c r="G285" s="24" t="n">
        <x:v>5947.109</x:v>
      </x:c>
      <x:c r="H285" s="25" t="n">
        <x:v>-0.005366606920628292</x:v>
      </x:c>
      <x:c r="I285" s="24" t="n">
        <x:f>ROUND(E285-F285,1)</x:f>
        <x:v>92.9</x:v>
      </x:c>
      <x:c r="J285" s="23" t="str">
        <x:v>中证500</x:v>
      </x:c>
    </x:row>
    <x:row r="286">
      <x:c r="A286" s="23" t="n">
        <x:v>7</x:v>
      </x:c>
      <x:c r="B286" s="23" t="str">
        <x:v>周二</x:v>
      </x:c>
      <x:c r="C286" s="23" t="str">
        <x:v>12月10日</x:v>
      </x:c>
      <x:c r="D286" s="24" t="n">
        <x:v>6132.291</x:v>
      </x:c>
      <x:c r="E286" s="24" t="n">
        <x:v>6141.066</x:v>
      </x:c>
      <x:c r="F286" s="24" t="n">
        <x:v>5982.583</x:v>
      </x:c>
      <x:c r="G286" s="24" t="n">
        <x:v>5992.094</x:v>
      </x:c>
      <x:c r="H286" s="25" t="n">
        <x:v>0.007564179503015689</x:v>
      </x:c>
      <x:c r="I286" s="24" t="n">
        <x:f>ROUND(E286-F286,1)</x:f>
        <x:v>158.5</x:v>
      </x:c>
      <x:c r="J286" s="23" t="str">
        <x:v>中证500</x:v>
      </x:c>
    </x:row>
    <x:row r="287">
      <x:c r="A287" s="23" t="n">
        <x:v>8</x:v>
      </x:c>
      <x:c r="B287" s="23" t="str">
        <x:v>周三</x:v>
      </x:c>
      <x:c r="C287" s="23" t="str">
        <x:v>12月11日</x:v>
      </x:c>
      <x:c r="D287" s="24" t="n">
        <x:v>5973.326</x:v>
      </x:c>
      <x:c r="E287" s="24" t="n">
        <x:v>6051.472</x:v>
      </x:c>
      <x:c r="F287" s="24" t="n">
        <x:v>5972.27</x:v>
      </x:c>
      <x:c r="G287" s="24" t="n">
        <x:v>6047.105</x:v>
      </x:c>
      <x:c r="H287" s="25" t="n">
        <x:v>0.009180596966603005</x:v>
      </x:c>
      <x:c r="I287" s="24" t="n">
        <x:f>ROUND(E287-F287,1)</x:f>
        <x:v>79.2</x:v>
      </x:c>
      <x:c r="J287" s="23" t="str">
        <x:v>中证500</x:v>
      </x:c>
    </x:row>
    <x:row r="288">
      <x:c r="A288" s="23" t="n">
        <x:v>9</x:v>
      </x:c>
      <x:c r="B288" s="23" t="str">
        <x:v>周四</x:v>
      </x:c>
      <x:c r="C288" s="23" t="str">
        <x:v>12月12日</x:v>
      </x:c>
      <x:c r="D288" s="24" t="n">
        <x:v>6048.781</x:v>
      </x:c>
      <x:c r="E288" s="24" t="n">
        <x:v>6107.715</x:v>
      </x:c>
      <x:c r="F288" s="24" t="n">
        <x:v>6023.234</x:v>
      </x:c>
      <x:c r="G288" s="24" t="n">
        <x:v>6100.395</x:v>
      </x:c>
      <x:c r="H288" s="25" t="n">
        <x:v>0.008812481344379064</x:v>
      </x:c>
      <x:c r="I288" s="24" t="n">
        <x:f>ROUND(E288-F288,1)</x:f>
        <x:v>84.5</x:v>
      </x:c>
      <x:c r="J288" s="23" t="str">
        <x:v>中证500</x:v>
      </x:c>
    </x:row>
    <x:row r="289">
      <x:c r="A289" s="23" t="n">
        <x:v>10</x:v>
      </x:c>
      <x:c r="B289" s="23" t="str">
        <x:v>周五</x:v>
      </x:c>
      <x:c r="C289" s="23" t="str">
        <x:v>12月13日</x:v>
      </x:c>
      <x:c r="D289" s="24" t="n">
        <x:v>6065.954</x:v>
      </x:c>
      <x:c r="E289" s="24" t="n">
        <x:v>6065.954</x:v>
      </x:c>
      <x:c r="F289" s="24" t="n">
        <x:v>5988.292</x:v>
      </x:c>
      <x:c r="G289" s="24" t="n">
        <x:v>5988.292</x:v>
      </x:c>
      <x:c r="H289" s="25" t="n">
        <x:v>-0.01837635103956381</x:v>
      </x:c>
      <x:c r="I289" s="24" t="n">
        <x:f>ROUND(E289-F289,1)</x:f>
        <x:v>77.7</x:v>
      </x:c>
      <x:c r="J289" s="23" t="str">
        <x:v>中证500</x:v>
      </x:c>
    </x:row>
    <x:row r="290">
      <x:c r="A290" s="23" t="n">
        <x:v>11</x:v>
      </x:c>
      <x:c r="B290" s="23" t="str">
        <x:v>周一</x:v>
      </x:c>
      <x:c r="C290" s="23" t="str">
        <x:v>12月16日</x:v>
      </x:c>
      <x:c r="D290" s="24" t="n">
        <x:v>5983.16</x:v>
      </x:c>
      <x:c r="E290" s="24" t="n">
        <x:v>5991.577</x:v>
      </x:c>
      <x:c r="F290" s="24" t="n">
        <x:v>5888.043</x:v>
      </x:c>
      <x:c r="G290" s="24" t="n">
        <x:v>5912.601</x:v>
      </x:c>
      <x:c r="H290" s="25" t="n">
        <x:v>-0.01263983119059675</x:v>
      </x:c>
      <x:c r="I290" s="24" t="n">
        <x:f>ROUND(E290-F290,1)</x:f>
        <x:v>103.5</x:v>
      </x:c>
      <x:c r="J290" s="23" t="str">
        <x:v>中证500</x:v>
      </x:c>
    </x:row>
    <x:row r="291">
      <x:c r="A291" s="23" t="n">
        <x:v>12</x:v>
      </x:c>
      <x:c r="B291" s="23" t="str">
        <x:v>周二</x:v>
      </x:c>
      <x:c r="C291" s="23" t="str">
        <x:v>12月17日</x:v>
      </x:c>
      <x:c r="D291" s="24" t="n">
        <x:v>5896.968</x:v>
      </x:c>
      <x:c r="E291" s="24" t="n">
        <x:v>5924.624</x:v>
      </x:c>
      <x:c r="F291" s="24" t="n">
        <x:v>5837.251</x:v>
      </x:c>
      <x:c r="G291" s="24" t="n">
        <x:v>5848.163</x:v>
      </x:c>
      <x:c r="H291" s="25" t="n">
        <x:v>-0.010898418479447503</x:v>
      </x:c>
      <x:c r="I291" s="24" t="n">
        <x:f>ROUND(E291-F291,1)</x:f>
        <x:v>87.4</x:v>
      </x:c>
      <x:c r="J291" s="23" t="str">
        <x:v>中证500</x:v>
      </x:c>
    </x:row>
    <x:row r="292">
      <x:c r="A292" s="23" t="n">
        <x:v>13</x:v>
      </x:c>
      <x:c r="B292" s="23" t="str">
        <x:v>周三</x:v>
      </x:c>
      <x:c r="C292" s="23" t="str">
        <x:v>12月18日</x:v>
      </x:c>
      <x:c r="D292" s="24" t="n">
        <x:v>5861.262</x:v>
      </x:c>
      <x:c r="E292" s="24" t="n">
        <x:v>5921.98</x:v>
      </x:c>
      <x:c r="F292" s="24" t="n">
        <x:v>5853.163</x:v>
      </x:c>
      <x:c r="G292" s="24" t="n">
        <x:v>5888.616</x:v>
      </x:c>
      <x:c r="H292" s="25" t="n">
        <x:v>0.006917214858751519</x:v>
      </x:c>
      <x:c r="I292" s="24" t="n">
        <x:f>ROUND(E292-F292,1)</x:f>
        <x:v>68.8</x:v>
      </x:c>
      <x:c r="J292" s="23" t="str">
        <x:v>中证500</x:v>
      </x:c>
    </x:row>
    <x:row r="293">
      <x:c r="A293" s="23" t="n">
        <x:v>14</x:v>
      </x:c>
      <x:c r="B293" s="23" t="str">
        <x:v>周四</x:v>
      </x:c>
      <x:c r="C293" s="23" t="str">
        <x:v>12月19日</x:v>
      </x:c>
      <x:c r="D293" s="24" t="n">
        <x:v>5829.263</x:v>
      </x:c>
      <x:c r="E293" s="24" t="n">
        <x:v>5918.49</x:v>
      </x:c>
      <x:c r="F293" s="24" t="n">
        <x:v>5816.473</x:v>
      </x:c>
      <x:c r="G293" s="24" t="n">
        <x:v>5901.916</x:v>
      </x:c>
      <x:c r="H293" s="25" t="n">
        <x:v>0.0022585952284883692</x:v>
      </x:c>
      <x:c r="I293" s="24" t="n">
        <x:f>ROUND(E293-F293,1)</x:f>
        <x:v>102</x:v>
      </x:c>
      <x:c r="J293" s="23" t="str">
        <x:v>中证500</x:v>
      </x:c>
    </x:row>
    <x:row r="294">
      <x:c r="A294" s="29" t="n">
        <x:v>15</x:v>
      </x:c>
      <x:c r="B294" s="29" t="str">
        <x:v>周五</x:v>
      </x:c>
      <x:c r="C294" s="29" t="str">
        <x:v>12月20日</x:v>
      </x:c>
      <x:c r="D294" s="30" t="n">
        <x:v>5889.946</x:v>
      </x:c>
      <x:c r="E294" s="30" t="n">
        <x:v>5962.415</x:v>
      </x:c>
      <x:c r="F294" s="30" t="n">
        <x:v>5889.946</x:v>
      </x:c>
      <x:c r="G294" s="30" t="n">
        <x:v>5917.175</x:v>
      </x:c>
      <x:c r="H294" s="31" t="n">
        <x:v>0.002585431578490782</x:v>
      </x:c>
      <x:c r="I294" s="30" t="n">
        <x:f>ROUND(E294-F294,1)</x:f>
        <x:v>72.5</x:v>
      </x:c>
      <x:c r="J294" s="29" t="str">
        <x:v>中证500</x:v>
      </x:c>
    </x:row>
    <x:row r="295">
      <x:c r="A295" s="23" t="n">
        <x:v>16</x:v>
      </x:c>
      <x:c r="B295" s="23" t="str">
        <x:v>周一</x:v>
      </x:c>
      <x:c r="C295" s="23" t="str">
        <x:v>12月23日</x:v>
      </x:c>
      <x:c r="D295" s="24" t="n">
        <x:v>5917.694</x:v>
      </x:c>
      <x:c r="E295" s="24" t="n">
        <x:v>5935.152</x:v>
      </x:c>
      <x:c r="F295" s="24" t="n">
        <x:v>5815.342</x:v>
      </x:c>
      <x:c r="G295" s="24" t="n">
        <x:v>5818.551</x:v>
      </x:c>
      <x:c r="H295" s="25" t="n">
        <x:v>-0.016667413081411286</x:v>
      </x:c>
      <x:c r="I295" s="24" t="n">
        <x:f>ROUND(E295-F295,1)</x:f>
        <x:v>119.8</x:v>
      </x:c>
      <x:c r="J295" s="23" t="str">
        <x:v>中证500</x:v>
      </x:c>
    </x:row>
    <x:row r="296">
      <x:c r="A296" s="23" t="n">
        <x:v>17</x:v>
      </x:c>
      <x:c r="B296" s="23" t="str">
        <x:v>周二</x:v>
      </x:c>
      <x:c r="C296" s="23" t="str">
        <x:v>12月24日</x:v>
      </x:c>
      <x:c r="D296" s="24" t="n">
        <x:v>5827.16</x:v>
      </x:c>
      <x:c r="E296" s="24" t="n">
        <x:v>5897.195</x:v>
      </x:c>
      <x:c r="F296" s="24" t="n">
        <x:v>5827.16</x:v>
      </x:c>
      <x:c r="G296" s="24" t="n">
        <x:v>5895.26</x:v>
      </x:c>
      <x:c r="H296" s="25" t="n">
        <x:v>0.013183522839277373</x:v>
      </x:c>
      <x:c r="I296" s="24" t="n">
        <x:f>ROUND(E296-F296,1)</x:f>
        <x:v>70</x:v>
      </x:c>
      <x:c r="J296" s="23" t="str">
        <x:v>中证500</x:v>
      </x:c>
    </x:row>
    <x:row r="297">
      <x:c r="A297" s="23" t="n">
        <x:v>18</x:v>
      </x:c>
      <x:c r="B297" s="23" t="str">
        <x:v>周三</x:v>
      </x:c>
      <x:c r="C297" s="23" t="str">
        <x:v>12月25日</x:v>
      </x:c>
      <x:c r="D297" s="24" t="n">
        <x:v>5896.43</x:v>
      </x:c>
      <x:c r="E297" s="24" t="n">
        <x:v>5897.51</x:v>
      </x:c>
      <x:c r="F297" s="24" t="n">
        <x:v>5796.648</x:v>
      </x:c>
      <x:c r="G297" s="24" t="n">
        <x:v>5840.289</x:v>
      </x:c>
      <x:c r="H297" s="25" t="n">
        <x:v>-0.009324609940867812</x:v>
      </x:c>
      <x:c r="I297" s="24" t="n">
        <x:f>ROUND(E297-F297,1)</x:f>
        <x:v>100.9</x:v>
      </x:c>
      <x:c r="J297" s="23" t="str">
        <x:v>中证500</x:v>
      </x:c>
    </x:row>
    <x:row r="298">
      <x:c r="A298" s="23" t="n">
        <x:v>19</x:v>
      </x:c>
      <x:c r="B298" s="23" t="str">
        <x:v>周四</x:v>
      </x:c>
      <x:c r="C298" s="23" t="str">
        <x:v>12月26日</x:v>
      </x:c>
      <x:c r="D298" s="24" t="n">
        <x:v>5830.721</x:v>
      </x:c>
      <x:c r="E298" s="24" t="n">
        <x:v>5897.483</x:v>
      </x:c>
      <x:c r="F298" s="24" t="n">
        <x:v>5830.721</x:v>
      </x:c>
      <x:c r="G298" s="24" t="n">
        <x:v>5887.061</x:v>
      </x:c>
      <x:c r="H298" s="25" t="n">
        <x:v>0.008008507798158648</x:v>
      </x:c>
      <x:c r="I298" s="24" t="n">
        <x:f>ROUND(E298-F298,1)</x:f>
        <x:v>66.8</x:v>
      </x:c>
      <x:c r="J298" s="23" t="str">
        <x:v>中证500</x:v>
      </x:c>
    </x:row>
    <x:row r="299">
      <x:c r="A299" s="23" t="n">
        <x:v>20</x:v>
      </x:c>
      <x:c r="B299" s="23" t="str">
        <x:v>周五</x:v>
      </x:c>
      <x:c r="C299" s="23" t="str">
        <x:v>12月27日</x:v>
      </x:c>
      <x:c r="D299" s="24" t="n">
        <x:v>5892.694</x:v>
      </x:c>
      <x:c r="E299" s="24" t="n">
        <x:v>5975.792</x:v>
      </x:c>
      <x:c r="F299" s="24" t="n">
        <x:v>5881.717</x:v>
      </x:c>
      <x:c r="G299" s="24" t="n">
        <x:v>5899.167</x:v>
      </x:c>
      <x:c r="H299" s="25" t="n">
        <x:v>0.002056374139829842</x:v>
      </x:c>
      <x:c r="I299" s="24" t="n">
        <x:f>ROUND(E299-F299,1)</x:f>
        <x:v>94.1</x:v>
      </x:c>
      <x:c r="J299" s="23" t="str">
        <x:v>中证500</x:v>
      </x:c>
    </x:row>
    <x:row r="300">
      <x:c r="A300" s="23" t="n">
        <x:v>21</x:v>
      </x:c>
      <x:c r="B300" s="23" t="str">
        <x:v>周一</x:v>
      </x:c>
      <x:c r="C300" s="23" t="str">
        <x:v>12月30日</x:v>
      </x:c>
      <x:c r="D300" s="24" t="n">
        <x:v>5890.463</x:v>
      </x:c>
      <x:c r="E300" s="24" t="n">
        <x:v>5928.572</x:v>
      </x:c>
      <x:c r="F300" s="24" t="n">
        <x:v>5867.854</x:v>
      </x:c>
      <x:c r="G300" s="24" t="n">
        <x:v>5898.884</x:v>
      </x:c>
      <x:c r="H300" s="25" t="n">
        <x:v>-0.00004797287481439483</x:v>
      </x:c>
      <x:c r="I300" s="24" t="n">
        <x:f>ROUND(E300-F300,1)</x:f>
        <x:v>60.7</x:v>
      </x:c>
      <x:c r="J300" s="23" t="str">
        <x:v>中证500</x:v>
      </x:c>
    </x:row>
    <x:row r="301">
      <x:c r="A301" s="23" t="n">
        <x:v>22</x:v>
      </x:c>
      <x:c r="B301" s="23" t="str">
        <x:v>周二</x:v>
      </x:c>
      <x:c r="C301" s="23" t="str">
        <x:v>12月31日</x:v>
      </x:c>
      <x:c r="D301" s="24" t="n">
        <x:v>5902.033</x:v>
      </x:c>
      <x:c r="E301" s="24" t="n">
        <x:v>5905.463</x:v>
      </x:c>
      <x:c r="F301" s="24" t="n">
        <x:v>5725.732</x:v>
      </x:c>
      <x:c r="G301" s="24" t="n">
        <x:v>5725.732</x:v>
      </x:c>
      <x:c r="H301" s="25" t="n">
        <x:v>-0.029353348870735596</x:v>
      </x:c>
      <x:c r="I301" s="33" t="n">
        <x:f>ROUND(E301-F301,1)</x:f>
        <x:v>179.7</x:v>
      </x:c>
      <x:c r="J301" s="23" t="str">
        <x:v>中证500</x:v>
      </x:c>
    </x:row>
    <x:row r="302">
      <x:c r="A302" s="36" t="str">
        <x:v>合计</x:v>
      </x:c>
      <x:c r="B302" s="35" t="n">
        <x:v>22</x:v>
      </x:c>
      <x:c r="C302" s="35"/>
      <x:c r="D302" s="35"/>
      <x:c r="E302" s="35"/>
      <x:c r="F302" s="35"/>
      <x:c r="G302" s="35"/>
      <x:c r="H302" s="35"/>
      <x:c r="I302" s="37" t="n">
        <x:f>ROUND(SUM(I280:I301),1)</x:f>
        <x:v>2098.8</x:v>
      </x:c>
      <x:c r="J302" s="35"/>
    </x:row>
    <x:row r="303">
      <x:c r="A303" s="36" t="str">
        <x:v>均值</x:v>
      </x:c>
      <x:c r="B303" s="35"/>
      <x:c r="C303" s="35"/>
      <x:c r="D303" s="35"/>
      <x:c r="E303" s="35"/>
      <x:c r="F303" s="35"/>
      <x:c r="G303" s="35"/>
      <x:c r="H303" s="35"/>
      <x:c r="I303" s="39" t="n">
        <x:f>ROUND(IFERROR(AVERAGE(I280:I301),0),1)</x:f>
        <x:v>95.4</x:v>
      </x:c>
      <x:c r="J303" s="35"/>
    </x:row>
  </x:sheetData>
  <x:mergeCells>
    <x:mergeCell ref="A1:J1"/>
    <x:mergeCell ref="A3:J3"/>
    <x:mergeCell ref="A30:J30"/>
    <x:mergeCell ref="A50:J50"/>
    <x:mergeCell ref="A76:J76"/>
    <x:mergeCell ref="A101:J101"/>
    <x:mergeCell ref="A126:J126"/>
    <x:mergeCell ref="A150:J150"/>
    <x:mergeCell ref="A178:J178"/>
    <x:mergeCell ref="A205:J205"/>
    <x:mergeCell ref="A229:J229"/>
    <x:mergeCell ref="A252:J252"/>
    <x:mergeCell ref="A278:J27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</x:cols>
  <x:sheetData>
    <x:row r="1" ht="38" customHeight="1">
      <x:c r="A1" s="15" t="str">
        <x:v>2024年统计 - 上证指数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涨幅</x:v>
      </x:c>
      <x:c r="I4" s="20" t="str">
        <x:v>振幅</x:v>
      </x:c>
      <x:c r="J4" s="20" t="str">
        <x:v>标的</x:v>
      </x:c>
    </x:row>
    <x:row r="5">
      <x:c r="A5" s="23" t="n">
        <x:v>1</x:v>
      </x:c>
      <x:c r="B5" s="23" t="str">
        <x:v>周二</x:v>
      </x:c>
      <x:c r="C5" s="23" t="str">
        <x:v>1月2日</x:v>
      </x:c>
      <x:c r="D5" s="24" t="n">
        <x:v>2972.775</x:v>
      </x:c>
      <x:c r="E5" s="24" t="n">
        <x:v>2976.268</x:v>
      </x:c>
      <x:c r="F5" s="24" t="n">
        <x:v>2962.276</x:v>
      </x:c>
      <x:c r="G5" s="24" t="n">
        <x:v>2962.276</x:v>
      </x:c>
      <x:c r="H5" s="25" t="n">
        <x:v>-0.004255219021592094</x:v>
      </x:c>
      <x:c r="I5" s="24" t="n">
        <x:f>ROUND(E5-F5,1)</x:f>
        <x:v>14</x:v>
      </x:c>
      <x:c r="J5" s="23" t="str">
        <x:v>上证指数</x:v>
      </x:c>
    </x:row>
    <x:row r="6">
      <x:c r="A6" s="23" t="n">
        <x:v>2</x:v>
      </x:c>
      <x:c r="B6" s="23" t="str">
        <x:v>周三</x:v>
      </x:c>
      <x:c r="C6" s="23" t="str">
        <x:v>1月3日</x:v>
      </x:c>
      <x:c r="D6" s="24" t="n">
        <x:v>2957.112</x:v>
      </x:c>
      <x:c r="E6" s="24" t="n">
        <x:v>2971.283</x:v>
      </x:c>
      <x:c r="F6" s="24" t="n">
        <x:v>2953.29</x:v>
      </x:c>
      <x:c r="G6" s="24" t="n">
        <x:v>2967.247</x:v>
      </x:c>
      <x:c r="H6" s="25" t="n">
        <x:v>0.0016781015678484223</x:v>
      </x:c>
      <x:c r="I6" s="24" t="n">
        <x:f>ROUND(E6-F6,1)</x:f>
        <x:v>18</x:v>
      </x:c>
      <x:c r="J6" s="23" t="str">
        <x:v>上证指数</x:v>
      </x:c>
    </x:row>
    <x:row r="7">
      <x:c r="A7" s="23" t="n">
        <x:v>3</x:v>
      </x:c>
      <x:c r="B7" s="23" t="str">
        <x:v>周四</x:v>
      </x:c>
      <x:c r="C7" s="23" t="str">
        <x:v>1月4日</x:v>
      </x:c>
      <x:c r="D7" s="24" t="n">
        <x:v>2965.509</x:v>
      </x:c>
      <x:c r="E7" s="24" t="n">
        <x:v>2966.683</x:v>
      </x:c>
      <x:c r="F7" s="24" t="n">
        <x:v>2936.635</x:v>
      </x:c>
      <x:c r="G7" s="24" t="n">
        <x:v>2954.349</x:v>
      </x:c>
      <x:c r="H7" s="25" t="n">
        <x:v>-0.004346790139142298</x:v>
      </x:c>
      <x:c r="I7" s="24" t="n">
        <x:f>ROUND(E7-F7,1)</x:f>
        <x:v>30</x:v>
      </x:c>
      <x:c r="J7" s="23" t="str">
        <x:v>上证指数</x:v>
      </x:c>
    </x:row>
    <x:row r="8">
      <x:c r="A8" s="23" t="n">
        <x:v>4</x:v>
      </x:c>
      <x:c r="B8" s="23" t="str">
        <x:v>周五</x:v>
      </x:c>
      <x:c r="C8" s="23" t="str">
        <x:v>1月5日</x:v>
      </x:c>
      <x:c r="D8" s="24" t="n">
        <x:v>2949.822</x:v>
      </x:c>
      <x:c r="E8" s="24" t="n">
        <x:v>2967.968</x:v>
      </x:c>
      <x:c r="F8" s="24" t="n">
        <x:v>2916.721</x:v>
      </x:c>
      <x:c r="G8" s="24" t="n">
        <x:v>2929.183</x:v>
      </x:c>
      <x:c r="H8" s="25" t="n">
        <x:v>-0.0085182894776481</x:v>
      </x:c>
      <x:c r="I8" s="33" t="n">
        <x:f>ROUND(E8-F8,1)</x:f>
        <x:v>51.2</x:v>
      </x:c>
      <x:c r="J8" s="23" t="str">
        <x:v>上证指数</x:v>
      </x:c>
    </x:row>
    <x:row r="9">
      <x:c r="A9" s="23" t="n">
        <x:v>5</x:v>
      </x:c>
      <x:c r="B9" s="23" t="str">
        <x:v>周一</x:v>
      </x:c>
      <x:c r="C9" s="23" t="str">
        <x:v>1月8日</x:v>
      </x:c>
      <x:c r="D9" s="24" t="n">
        <x:v>2923.457</x:v>
      </x:c>
      <x:c r="E9" s="24" t="n">
        <x:v>2924.456</x:v>
      </x:c>
      <x:c r="F9" s="24" t="n">
        <x:v>2887.538</x:v>
      </x:c>
      <x:c r="G9" s="24" t="n">
        <x:v>2887.538</x:v>
      </x:c>
      <x:c r="H9" s="25" t="n">
        <x:v>-0.014217274919320455</x:v>
      </x:c>
      <x:c r="I9" s="24" t="n">
        <x:f>ROUND(E9-F9,1)</x:f>
        <x:v>36.9</x:v>
      </x:c>
      <x:c r="J9" s="23" t="str">
        <x:v>上证指数</x:v>
      </x:c>
    </x:row>
    <x:row r="10">
      <x:c r="A10" s="23" t="n">
        <x:v>6</x:v>
      </x:c>
      <x:c r="B10" s="23" t="str">
        <x:v>周二</x:v>
      </x:c>
      <x:c r="C10" s="23" t="str">
        <x:v>1月9日</x:v>
      </x:c>
      <x:c r="D10" s="24" t="n">
        <x:v>2887.11</x:v>
      </x:c>
      <x:c r="E10" s="24" t="n">
        <x:v>2900.727</x:v>
      </x:c>
      <x:c r="F10" s="24" t="n">
        <x:v>2878.412</x:v>
      </x:c>
      <x:c r="G10" s="24" t="n">
        <x:v>2893.251</x:v>
      </x:c>
      <x:c r="H10" s="25" t="n">
        <x:v>0.0019785021010980675</x:v>
      </x:c>
      <x:c r="I10" s="24" t="n">
        <x:f>ROUND(E10-F10,1)</x:f>
        <x:v>22.3</x:v>
      </x:c>
      <x:c r="J10" s="23" t="str">
        <x:v>上证指数</x:v>
      </x:c>
    </x:row>
    <x:row r="11">
      <x:c r="A11" s="23" t="n">
        <x:v>7</x:v>
      </x:c>
      <x:c r="B11" s="23" t="str">
        <x:v>周三</x:v>
      </x:c>
      <x:c r="C11" s="23" t="str">
        <x:v>1月10日</x:v>
      </x:c>
      <x:c r="D11" s="24" t="n">
        <x:v>2886.981</x:v>
      </x:c>
      <x:c r="E11" s="24" t="n">
        <x:v>2903.162</x:v>
      </x:c>
      <x:c r="F11" s="24" t="n">
        <x:v>2870.416</x:v>
      </x:c>
      <x:c r="G11" s="24" t="n">
        <x:v>2877.702</x:v>
      </x:c>
      <x:c r="H11" s="25" t="n">
        <x:v>-0.005374231271327634</x:v>
      </x:c>
      <x:c r="I11" s="24" t="n">
        <x:f>ROUND(E11-F11,1)</x:f>
        <x:v>32.7</x:v>
      </x:c>
      <x:c r="J11" s="23" t="str">
        <x:v>上证指数</x:v>
      </x:c>
    </x:row>
    <x:row r="12">
      <x:c r="A12" s="23" t="n">
        <x:v>8</x:v>
      </x:c>
      <x:c r="B12" s="23" t="str">
        <x:v>周四</x:v>
      </x:c>
      <x:c r="C12" s="23" t="str">
        <x:v>1月11日</x:v>
      </x:c>
      <x:c r="D12" s="24" t="n">
        <x:v>2873.798</x:v>
      </x:c>
      <x:c r="E12" s="24" t="n">
        <x:v>2896.179</x:v>
      </x:c>
      <x:c r="F12" s="24" t="n">
        <x:v>2867.722</x:v>
      </x:c>
      <x:c r="G12" s="24" t="n">
        <x:v>2886.65</x:v>
      </x:c>
      <x:c r="H12" s="25" t="n">
        <x:v>0.0031094255068802035</x:v>
      </x:c>
      <x:c r="I12" s="24" t="n">
        <x:f>ROUND(E12-F12,1)</x:f>
        <x:v>28.5</x:v>
      </x:c>
      <x:c r="J12" s="23" t="str">
        <x:v>上证指数</x:v>
      </x:c>
    </x:row>
    <x:row r="13">
      <x:c r="A13" s="23" t="n">
        <x:v>9</x:v>
      </x:c>
      <x:c r="B13" s="23" t="str">
        <x:v>周五</x:v>
      </x:c>
      <x:c r="C13" s="23" t="str">
        <x:v>1月12日</x:v>
      </x:c>
      <x:c r="D13" s="24" t="n">
        <x:v>2880.04</x:v>
      </x:c>
      <x:c r="E13" s="24" t="n">
        <x:v>2904.174</x:v>
      </x:c>
      <x:c r="F13" s="24" t="n">
        <x:v>2878.875</x:v>
      </x:c>
      <x:c r="G13" s="24" t="n">
        <x:v>2881.977</x:v>
      </x:c>
      <x:c r="H13" s="25" t="n">
        <x:v>-0.0016188315175030832</x:v>
      </x:c>
      <x:c r="I13" s="24" t="n">
        <x:f>ROUND(E13-F13,1)</x:f>
        <x:v>25.3</x:v>
      </x:c>
      <x:c r="J13" s="23" t="str">
        <x:v>上证指数</x:v>
      </x:c>
    </x:row>
    <x:row r="14">
      <x:c r="A14" s="23" t="n">
        <x:v>10</x:v>
      </x:c>
      <x:c r="B14" s="23" t="str">
        <x:v>周一</x:v>
      </x:c>
      <x:c r="C14" s="23" t="str">
        <x:v>1月15日</x:v>
      </x:c>
      <x:c r="D14" s="24" t="n">
        <x:v>2872.556</x:v>
      </x:c>
      <x:c r="E14" s="24" t="n">
        <x:v>2904.464</x:v>
      </x:c>
      <x:c r="F14" s="24" t="n">
        <x:v>2869.224</x:v>
      </x:c>
      <x:c r="G14" s="24" t="n">
        <x:v>2886.291</x:v>
      </x:c>
      <x:c r="H14" s="25" t="n">
        <x:v>0.0014968891146598384</x:v>
      </x:c>
      <x:c r="I14" s="24" t="n">
        <x:f>ROUND(E14-F14,1)</x:f>
        <x:v>35.2</x:v>
      </x:c>
      <x:c r="J14" s="23" t="str">
        <x:v>上证指数</x:v>
      </x:c>
    </x:row>
    <x:row r="15">
      <x:c r="A15" s="23" t="n">
        <x:v>11</x:v>
      </x:c>
      <x:c r="B15" s="23" t="str">
        <x:v>周二</x:v>
      </x:c>
      <x:c r="C15" s="23" t="str">
        <x:v>1月16日</x:v>
      </x:c>
      <x:c r="D15" s="24" t="n">
        <x:v>2881.56</x:v>
      </x:c>
      <x:c r="E15" s="24" t="n">
        <x:v>2896.683</x:v>
      </x:c>
      <x:c r="F15" s="24" t="n">
        <x:v>2861.13</x:v>
      </x:c>
      <x:c r="G15" s="24" t="n">
        <x:v>2893.989</x:v>
      </x:c>
      <x:c r="H15" s="25" t="n">
        <x:v>0.0026670907403307798</x:v>
      </x:c>
      <x:c r="I15" s="24" t="n">
        <x:f>ROUND(E15-F15,1)</x:f>
        <x:v>35.6</x:v>
      </x:c>
      <x:c r="J15" s="23" t="str">
        <x:v>上证指数</x:v>
      </x:c>
    </x:row>
    <x:row r="16">
      <x:c r="A16" s="23" t="n">
        <x:v>12</x:v>
      </x:c>
      <x:c r="B16" s="23" t="str">
        <x:v>周三</x:v>
      </x:c>
      <x:c r="C16" s="23" t="str">
        <x:v>1月17日</x:v>
      </x:c>
      <x:c r="D16" s="24" t="n">
        <x:v>2887.292</x:v>
      </x:c>
      <x:c r="E16" s="24" t="n">
        <x:v>2887.489</x:v>
      </x:c>
      <x:c r="F16" s="24" t="n">
        <x:v>2833.615</x:v>
      </x:c>
      <x:c r="G16" s="24" t="n">
        <x:v>2833.615</x:v>
      </x:c>
      <x:c r="H16" s="25" t="n">
        <x:v>-0.02086186229456999</x:v>
      </x:c>
      <x:c r="I16" s="33" t="n">
        <x:f>ROUND(E16-F16,1)</x:f>
        <x:v>53.9</x:v>
      </x:c>
      <x:c r="J16" s="23" t="str">
        <x:v>上证指数</x:v>
      </x:c>
    </x:row>
    <x:row r="17">
      <x:c r="A17" s="23" t="n">
        <x:v>13</x:v>
      </x:c>
      <x:c r="B17" s="23" t="str">
        <x:v>周四</x:v>
      </x:c>
      <x:c r="C17" s="23" t="str">
        <x:v>1月18日</x:v>
      </x:c>
      <x:c r="D17" s="24" t="n">
        <x:v>2822.667</x:v>
      </x:c>
      <x:c r="E17" s="24" t="n">
        <x:v>2849.256</x:v>
      </x:c>
      <x:c r="F17" s="24" t="n">
        <x:v>2760.978</x:v>
      </x:c>
      <x:c r="G17" s="24" t="n">
        <x:v>2845.784</x:v>
      </x:c>
      <x:c r="H17" s="25" t="n">
        <x:v>0.004294514251230508</x:v>
      </x:c>
      <x:c r="I17" s="33" t="n">
        <x:f>ROUND(E17-F17,1)</x:f>
        <x:v>88.3</x:v>
      </x:c>
      <x:c r="J17" s="23" t="str">
        <x:v>上证指数</x:v>
      </x:c>
    </x:row>
    <x:row r="18">
      <x:c r="A18" s="29" t="n">
        <x:v>14</x:v>
      </x:c>
      <x:c r="B18" s="29" t="str">
        <x:v>周五</x:v>
      </x:c>
      <x:c r="C18" s="29" t="str">
        <x:v>1月19日</x:v>
      </x:c>
      <x:c r="D18" s="30" t="n">
        <x:v>2836.975</x:v>
      </x:c>
      <x:c r="E18" s="30" t="n">
        <x:v>2849.876</x:v>
      </x:c>
      <x:c r="F18" s="30" t="n">
        <x:v>2822.843</x:v>
      </x:c>
      <x:c r="G18" s="30" t="n">
        <x:v>2832.279</x:v>
      </x:c>
      <x:c r="H18" s="31" t="n">
        <x:v>-0.004745616673647812</x:v>
      </x:c>
      <x:c r="I18" s="30" t="n">
        <x:f>ROUND(E18-F18,1)</x:f>
        <x:v>27</x:v>
      </x:c>
      <x:c r="J18" s="29" t="str">
        <x:v>上证指数</x:v>
      </x:c>
    </x:row>
    <x:row r="19">
      <x:c r="A19" s="23" t="n">
        <x:v>15</x:v>
      </x:c>
      <x:c r="B19" s="23" t="str">
        <x:v>周一</x:v>
      </x:c>
      <x:c r="C19" s="23" t="str">
        <x:v>1月22日</x:v>
      </x:c>
      <x:c r="D19" s="24" t="n">
        <x:v>2826.503</x:v>
      </x:c>
      <x:c r="E19" s="24" t="n">
        <x:v>2828.32</x:v>
      </x:c>
      <x:c r="F19" s="24" t="n">
        <x:v>2735.372</x:v>
      </x:c>
      <x:c r="G19" s="24" t="n">
        <x:v>2756.34</x:v>
      </x:c>
      <x:c r="H19" s="25" t="n">
        <x:v>-0.026811977209872273</x:v>
      </x:c>
      <x:c r="I19" s="33" t="n">
        <x:f>ROUND(E19-F19,1)</x:f>
        <x:v>92.9</x:v>
      </x:c>
      <x:c r="J19" s="23" t="str">
        <x:v>上证指数</x:v>
      </x:c>
    </x:row>
    <x:row r="20">
      <x:c r="A20" s="23" t="n">
        <x:v>16</x:v>
      </x:c>
      <x:c r="B20" s="23" t="str">
        <x:v>周二</x:v>
      </x:c>
      <x:c r="C20" s="23" t="str">
        <x:v>1月23日</x:v>
      </x:c>
      <x:c r="D20" s="24" t="n">
        <x:v>2746.892</x:v>
      </x:c>
      <x:c r="E20" s="24" t="n">
        <x:v>2784.841</x:v>
      </x:c>
      <x:c r="F20" s="24" t="n">
        <x:v>2724.157</x:v>
      </x:c>
      <x:c r="G20" s="24" t="n">
        <x:v>2770.976</x:v>
      </x:c>
      <x:c r="H20" s="25" t="n">
        <x:v>0.00530993999288909</x:v>
      </x:c>
      <x:c r="I20" s="33" t="n">
        <x:f>ROUND(E20-F20,1)</x:f>
        <x:v>60.7</x:v>
      </x:c>
      <x:c r="J20" s="23" t="str">
        <x:v>上证指数</x:v>
      </x:c>
    </x:row>
    <x:row r="21">
      <x:c r="A21" s="23" t="n">
        <x:v>17</x:v>
      </x:c>
      <x:c r="B21" s="23" t="str">
        <x:v>周三</x:v>
      </x:c>
      <x:c r="C21" s="23" t="str">
        <x:v>1月24日</x:v>
      </x:c>
      <x:c r="D21" s="24" t="n">
        <x:v>2782.142</x:v>
      </x:c>
      <x:c r="E21" s="24" t="n">
        <x:v>2823.695</x:v>
      </x:c>
      <x:c r="F21" s="24" t="n">
        <x:v>2743.397</x:v>
      </x:c>
      <x:c r="G21" s="24" t="n">
        <x:v>2820.772</x:v>
      </x:c>
      <x:c r="H21" s="25" t="n">
        <x:v>0.017970563440462772</x:v>
      </x:c>
      <x:c r="I21" s="33" t="n">
        <x:f>ROUND(E21-F21,1)</x:f>
        <x:v>80.3</x:v>
      </x:c>
      <x:c r="J21" s="23" t="str">
        <x:v>上证指数</x:v>
      </x:c>
    </x:row>
    <x:row r="22">
      <x:c r="A22" s="23" t="n">
        <x:v>18</x:v>
      </x:c>
      <x:c r="B22" s="23" t="str">
        <x:v>周四</x:v>
      </x:c>
      <x:c r="C22" s="23" t="str">
        <x:v>1月25日</x:v>
      </x:c>
      <x:c r="D22" s="24" t="n">
        <x:v>2823.826</x:v>
      </x:c>
      <x:c r="E22" s="24" t="n">
        <x:v>2906.794</x:v>
      </x:c>
      <x:c r="F22" s="24" t="n">
        <x:v>2821.709</x:v>
      </x:c>
      <x:c r="G22" s="24" t="n">
        <x:v>2906.109</x:v>
      </x:c>
      <x:c r="H22" s="25" t="n">
        <x:v>0.030253065472856333</x:v>
      </x:c>
      <x:c r="I22" s="33" t="n">
        <x:f>ROUND(E22-F22,1)</x:f>
        <x:v>85.1</x:v>
      </x:c>
      <x:c r="J22" s="23" t="str">
        <x:v>上证指数</x:v>
      </x:c>
    </x:row>
    <x:row r="23">
      <x:c r="A23" s="23" t="n">
        <x:v>19</x:v>
      </x:c>
      <x:c r="B23" s="23" t="str">
        <x:v>周五</x:v>
      </x:c>
      <x:c r="C23" s="23" t="str">
        <x:v>1月26日</x:v>
      </x:c>
      <x:c r="D23" s="24" t="n">
        <x:v>2897.915</x:v>
      </x:c>
      <x:c r="E23" s="24" t="n">
        <x:v>2924.307</x:v>
      </x:c>
      <x:c r="F23" s="24" t="n">
        <x:v>2890.482</x:v>
      </x:c>
      <x:c r="G23" s="24" t="n">
        <x:v>2910.223</x:v>
      </x:c>
      <x:c r="H23" s="25" t="n">
        <x:v>0.0014156385737769117</x:v>
      </x:c>
      <x:c r="I23" s="24" t="n">
        <x:f>ROUND(E23-F23,1)</x:f>
        <x:v>33.8</x:v>
      </x:c>
      <x:c r="J23" s="23" t="str">
        <x:v>上证指数</x:v>
      </x:c>
    </x:row>
    <x:row r="24">
      <x:c r="A24" s="23" t="n">
        <x:v>20</x:v>
      </x:c>
      <x:c r="B24" s="23" t="str">
        <x:v>周一</x:v>
      </x:c>
      <x:c r="C24" s="23" t="str">
        <x:v>1月29日</x:v>
      </x:c>
      <x:c r="D24" s="24" t="n">
        <x:v>2910.607</x:v>
      </x:c>
      <x:c r="E24" s="24" t="n">
        <x:v>2923.899</x:v>
      </x:c>
      <x:c r="F24" s="24" t="n">
        <x:v>2883.333</x:v>
      </x:c>
      <x:c r="G24" s="24" t="n">
        <x:v>2883.356</x:v>
      </x:c>
      <x:c r="H24" s="25" t="n">
        <x:v>-0.009231938583400545</x:v>
      </x:c>
      <x:c r="I24" s="24" t="n">
        <x:f>ROUND(E24-F24,1)</x:f>
        <x:v>40.6</x:v>
      </x:c>
      <x:c r="J24" s="23" t="str">
        <x:v>上证指数</x:v>
      </x:c>
    </x:row>
    <x:row r="25">
      <x:c r="A25" s="23" t="n">
        <x:v>21</x:v>
      </x:c>
      <x:c r="B25" s="23" t="str">
        <x:v>周二</x:v>
      </x:c>
      <x:c r="C25" s="23" t="str">
        <x:v>1月30日</x:v>
      </x:c>
      <x:c r="D25" s="24" t="n">
        <x:v>2866.28</x:v>
      </x:c>
      <x:c r="E25" s="24" t="n">
        <x:v>2881.347</x:v>
      </x:c>
      <x:c r="F25" s="24" t="n">
        <x:v>2829.25</x:v>
      </x:c>
      <x:c r="G25" s="24" t="n">
        <x:v>2830.527</x:v>
      </x:c>
      <x:c r="H25" s="25" t="n">
        <x:v>-0.01832205249715957</x:v>
      </x:c>
      <x:c r="I25" s="33" t="n">
        <x:f>ROUND(E25-F25,1)</x:f>
        <x:v>52.1</x:v>
      </x:c>
      <x:c r="J25" s="23" t="str">
        <x:v>上证指数</x:v>
      </x:c>
    </x:row>
    <x:row r="26">
      <x:c r="A26" s="23" t="n">
        <x:v>22</x:v>
      </x:c>
      <x:c r="B26" s="23" t="str">
        <x:v>周三</x:v>
      </x:c>
      <x:c r="C26" s="23" t="str">
        <x:v>1月31日</x:v>
      </x:c>
      <x:c r="D26" s="24" t="n">
        <x:v>2815.504</x:v>
      </x:c>
      <x:c r="E26" s="24" t="n">
        <x:v>2834.011</x:v>
      </x:c>
      <x:c r="F26" s="24" t="n">
        <x:v>2782.587</x:v>
      </x:c>
      <x:c r="G26" s="24" t="n">
        <x:v>2788.548</x:v>
      </x:c>
      <x:c r="H26" s="25" t="n">
        <x:v>-0.01483080712531637</x:v>
      </x:c>
      <x:c r="I26" s="33" t="n">
        <x:f>ROUND(E26-F26,1)</x:f>
        <x:v>51.4</x:v>
      </x:c>
      <x:c r="J26" s="23" t="str">
        <x:v>上证指数</x:v>
      </x:c>
    </x:row>
    <x:row r="27">
      <x:c r="A27" s="36" t="str">
        <x:v>合计</x:v>
      </x:c>
      <x:c r="B27" s="35" t="n">
        <x:v>22</x:v>
      </x:c>
      <x:c r="C27" s="35"/>
      <x:c r="D27" s="35"/>
      <x:c r="E27" s="35"/>
      <x:c r="F27" s="35"/>
      <x:c r="G27" s="35"/>
      <x:c r="H27" s="35"/>
      <x:c r="I27" s="37" t="n">
        <x:f>ROUND(SUM(I5:I26),1)</x:f>
        <x:v>995.8</x:v>
      </x:c>
      <x:c r="J27" s="35"/>
    </x:row>
    <x:row r="28">
      <x:c r="A28" s="36" t="str">
        <x:v>均值</x:v>
      </x:c>
      <x:c r="B28" s="35"/>
      <x:c r="C28" s="35"/>
      <x:c r="D28" s="35"/>
      <x:c r="E28" s="35"/>
      <x:c r="F28" s="35"/>
      <x:c r="G28" s="35"/>
      <x:c r="H28" s="35"/>
      <x:c r="I28" s="39" t="n">
        <x:f>ROUND(IFERROR(AVERAGE(I5:I26),0),1)</x:f>
        <x:v>45.3</x:v>
      </x:c>
      <x:c r="J28" s="35"/>
    </x:row>
    <x:row r="30">
      <x:c r="A30" s="17" t="str">
        <x:v>2月</x:v>
      </x:c>
      <x:c r="B30" s="17"/>
      <x:c r="C30" s="17"/>
      <x:c r="D30" s="17"/>
      <x:c r="E30" s="17"/>
      <x:c r="F30" s="17"/>
      <x:c r="G30" s="17"/>
      <x:c r="H30" s="17"/>
      <x:c r="I30" s="17"/>
      <x:c r="J30" s="17"/>
    </x:row>
    <x:row r="31">
      <x:c r="A31" s="20" t="str">
        <x:v>序号</x:v>
      </x:c>
      <x:c r="B31" s="20" t="str">
        <x:v>星期</x:v>
      </x:c>
      <x:c r="C31" s="20" t="str">
        <x:v>日期</x:v>
      </x:c>
      <x:c r="D31" s="20" t="str">
        <x:v>开盘</x:v>
      </x:c>
      <x:c r="E31" s="20" t="str">
        <x:v>高点</x:v>
      </x:c>
      <x:c r="F31" s="20" t="str">
        <x:v>低点</x:v>
      </x:c>
      <x:c r="G31" s="20" t="str">
        <x:v>收盘</x:v>
      </x:c>
      <x:c r="H31" s="20" t="str">
        <x:v>涨幅</x:v>
      </x:c>
      <x:c r="I31" s="20" t="str">
        <x:v>振幅</x:v>
      </x:c>
      <x:c r="J31" s="20" t="str">
        <x:v>标的</x:v>
      </x:c>
    </x:row>
    <x:row r="32">
      <x:c r="A32" s="23" t="n">
        <x:v>1</x:v>
      </x:c>
      <x:c r="B32" s="23" t="str">
        <x:v>周四</x:v>
      </x:c>
      <x:c r="C32" s="23" t="str">
        <x:v>2月1日</x:v>
      </x:c>
      <x:c r="D32" s="24" t="n">
        <x:v>2773.424</x:v>
      </x:c>
      <x:c r="E32" s="24" t="n">
        <x:v>2805.015</x:v>
      </x:c>
      <x:c r="F32" s="24" t="n">
        <x:v>2752.782</x:v>
      </x:c>
      <x:c r="G32" s="24" t="n">
        <x:v>2770.74</x:v>
      </x:c>
      <x:c r="H32" s="25" t="n">
        <x:v>-0.006386119227641096</x:v>
      </x:c>
      <x:c r="I32" s="33" t="n">
        <x:f>ROUND(E32-F32,1)</x:f>
        <x:v>52.2</x:v>
      </x:c>
      <x:c r="J32" s="23" t="str">
        <x:v>上证指数</x:v>
      </x:c>
    </x:row>
    <x:row r="33">
      <x:c r="A33" s="23" t="n">
        <x:v>2</x:v>
      </x:c>
      <x:c r="B33" s="23" t="str">
        <x:v>周五</x:v>
      </x:c>
      <x:c r="C33" s="23" t="str">
        <x:v>2月2日</x:v>
      </x:c>
      <x:c r="D33" s="24" t="n">
        <x:v>2773.295</x:v>
      </x:c>
      <x:c r="E33" s="24" t="n">
        <x:v>2791.676</x:v>
      </x:c>
      <x:c r="F33" s="24" t="n">
        <x:v>2666.334</x:v>
      </x:c>
      <x:c r="G33" s="24" t="n">
        <x:v>2730.152</x:v>
      </x:c>
      <x:c r="H33" s="25" t="n">
        <x:v>-0.014648794184946912</x:v>
      </x:c>
      <x:c r="I33" s="33" t="n">
        <x:f>ROUND(E33-F33,1)</x:f>
        <x:v>125.3</x:v>
      </x:c>
      <x:c r="J33" s="23" t="str">
        <x:v>上证指数</x:v>
      </x:c>
    </x:row>
    <x:row r="34">
      <x:c r="A34" s="23" t="n">
        <x:v>3</x:v>
      </x:c>
      <x:c r="B34" s="23" t="str">
        <x:v>周一</x:v>
      </x:c>
      <x:c r="C34" s="23" t="str">
        <x:v>2月5日</x:v>
      </x:c>
      <x:c r="D34" s="24" t="n">
        <x:v>2716.081</x:v>
      </x:c>
      <x:c r="E34" s="24" t="n">
        <x:v>2739.738</x:v>
      </x:c>
      <x:c r="F34" s="24" t="n">
        <x:v>2635.09</x:v>
      </x:c>
      <x:c r="G34" s="24" t="n">
        <x:v>2702.185</x:v>
      </x:c>
      <x:c r="H34" s="25" t="n">
        <x:v>-0.010243751996225847</x:v>
      </x:c>
      <x:c r="I34" s="33" t="n">
        <x:f>ROUND(E34-F34,1)</x:f>
        <x:v>104.6</x:v>
      </x:c>
      <x:c r="J34" s="23" t="str">
        <x:v>上证指数</x:v>
      </x:c>
    </x:row>
    <x:row r="35">
      <x:c r="A35" s="23" t="n">
        <x:v>4</x:v>
      </x:c>
      <x:c r="B35" s="23" t="str">
        <x:v>周二</x:v>
      </x:c>
      <x:c r="C35" s="23" t="str">
        <x:v>2月6日</x:v>
      </x:c>
      <x:c r="D35" s="24" t="n">
        <x:v>2680.485</x:v>
      </x:c>
      <x:c r="E35" s="24" t="n">
        <x:v>2802.931</x:v>
      </x:c>
      <x:c r="F35" s="24" t="n">
        <x:v>2669.673</x:v>
      </x:c>
      <x:c r="G35" s="24" t="n">
        <x:v>2789.486</x:v>
      </x:c>
      <x:c r="H35" s="25" t="n">
        <x:v>0.03230755851283318</x:v>
      </x:c>
      <x:c r="I35" s="33" t="n">
        <x:f>ROUND(E35-F35,1)</x:f>
        <x:v>133.3</x:v>
      </x:c>
      <x:c r="J35" s="23" t="str">
        <x:v>上证指数</x:v>
      </x:c>
    </x:row>
    <x:row r="36">
      <x:c r="A36" s="23" t="n">
        <x:v>5</x:v>
      </x:c>
      <x:c r="B36" s="23" t="str">
        <x:v>周三</x:v>
      </x:c>
      <x:c r="C36" s="23" t="str">
        <x:v>2月7日</x:v>
      </x:c>
      <x:c r="D36" s="24" t="n">
        <x:v>2791.515</x:v>
      </x:c>
      <x:c r="E36" s="24" t="n">
        <x:v>2829.696</x:v>
      </x:c>
      <x:c r="F36" s="24" t="n">
        <x:v>2770.529</x:v>
      </x:c>
      <x:c r="G36" s="24" t="n">
        <x:v>2829.696</x:v>
      </x:c>
      <x:c r="H36" s="25" t="n">
        <x:v>0.014414842017489882</x:v>
      </x:c>
      <x:c r="I36" s="33" t="n">
        <x:f>ROUND(E36-F36,1)</x:f>
        <x:v>59.2</x:v>
      </x:c>
      <x:c r="J36" s="23" t="str">
        <x:v>上证指数</x:v>
      </x:c>
    </x:row>
    <x:row r="37">
      <x:c r="A37" s="23" t="n">
        <x:v>6</x:v>
      </x:c>
      <x:c r="B37" s="23" t="str">
        <x:v>周四</x:v>
      </x:c>
      <x:c r="C37" s="23" t="str">
        <x:v>2月8日</x:v>
      </x:c>
      <x:c r="D37" s="24" t="n">
        <x:v>2832.486</x:v>
      </x:c>
      <x:c r="E37" s="24" t="n">
        <x:v>2867.474</x:v>
      </x:c>
      <x:c r="F37" s="24" t="n">
        <x:v>2827.902</x:v>
      </x:c>
      <x:c r="G37" s="24" t="n">
        <x:v>2865.903</x:v>
      </x:c>
      <x:c r="H37" s="25" t="n">
        <x:v>0.012795367417560044</x:v>
      </x:c>
      <x:c r="I37" s="24" t="n">
        <x:f>ROUND(E37-F37,1)</x:f>
        <x:v>39.6</x:v>
      </x:c>
      <x:c r="J37" s="23" t="str">
        <x:v>上证指数</x:v>
      </x:c>
    </x:row>
    <x:row r="38">
      <x:c r="A38" s="29" t="n">
        <x:v>7</x:v>
      </x:c>
      <x:c r="B38" s="29" t="str">
        <x:v>周一</x:v>
      </x:c>
      <x:c r="C38" s="29" t="str">
        <x:v>2月19日</x:v>
      </x:c>
      <x:c r="D38" s="30" t="n">
        <x:v>2886.587</x:v>
      </x:c>
      <x:c r="E38" s="30" t="n">
        <x:v>2910.544</x:v>
      </x:c>
      <x:c r="F38" s="30" t="n">
        <x:v>2867.71</x:v>
      </x:c>
      <x:c r="G38" s="30" t="n">
        <x:v>2910.544</x:v>
      </x:c>
      <x:c r="H38" s="31" t="n">
        <x:v>0.015576591391962769</x:v>
      </x:c>
      <x:c r="I38" s="30" t="n">
        <x:f>ROUND(E38-F38,1)</x:f>
        <x:v>42.8</x:v>
      </x:c>
      <x:c r="J38" s="29" t="str">
        <x:v>上证指数</x:v>
      </x:c>
    </x:row>
    <x:row r="39">
      <x:c r="A39" s="23" t="n">
        <x:v>8</x:v>
      </x:c>
      <x:c r="B39" s="23" t="str">
        <x:v>周二</x:v>
      </x:c>
      <x:c r="C39" s="23" t="str">
        <x:v>2月20日</x:v>
      </x:c>
      <x:c r="D39" s="24" t="n">
        <x:v>2902.877</x:v>
      </x:c>
      <x:c r="E39" s="24" t="n">
        <x:v>2927.308</x:v>
      </x:c>
      <x:c r="F39" s="24" t="n">
        <x:v>2887.474</x:v>
      </x:c>
      <x:c r="G39" s="24" t="n">
        <x:v>2922.73</x:v>
      </x:c>
      <x:c r="H39" s="25" t="n">
        <x:v>0.004186846170338043</x:v>
      </x:c>
      <x:c r="I39" s="24" t="n">
        <x:f>ROUND(E39-F39,1)</x:f>
        <x:v>39.8</x:v>
      </x:c>
      <x:c r="J39" s="23" t="str">
        <x:v>上证指数</x:v>
      </x:c>
    </x:row>
    <x:row r="40">
      <x:c r="A40" s="23" t="n">
        <x:v>9</x:v>
      </x:c>
      <x:c r="B40" s="23" t="str">
        <x:v>周三</x:v>
      </x:c>
      <x:c r="C40" s="23" t="str">
        <x:v>2月21日</x:v>
      </x:c>
      <x:c r="D40" s="24" t="n">
        <x:v>2906.024</x:v>
      </x:c>
      <x:c r="E40" s="24" t="n">
        <x:v>2994.615</x:v>
      </x:c>
      <x:c r="F40" s="24" t="n">
        <x:v>2898.05</x:v>
      </x:c>
      <x:c r="G40" s="24" t="n">
        <x:v>2950.956</x:v>
      </x:c>
      <x:c r="H40" s="25" t="n">
        <x:v>0.009657409339898004</x:v>
      </x:c>
      <x:c r="I40" s="33" t="n">
        <x:f>ROUND(E40-F40,1)</x:f>
        <x:v>96.6</x:v>
      </x:c>
      <x:c r="J40" s="23" t="str">
        <x:v>上证指数</x:v>
      </x:c>
    </x:row>
    <x:row r="41">
      <x:c r="A41" s="23" t="n">
        <x:v>10</x:v>
      </x:c>
      <x:c r="B41" s="23" t="str">
        <x:v>周四</x:v>
      </x:c>
      <x:c r="C41" s="23" t="str">
        <x:v>2月22日</x:v>
      </x:c>
      <x:c r="D41" s="24" t="n">
        <x:v>2945.447</x:v>
      </x:c>
      <x:c r="E41" s="24" t="n">
        <x:v>2988.358</x:v>
      </x:c>
      <x:c r="F41" s="24" t="n">
        <x:v>2944.499</x:v>
      </x:c>
      <x:c r="G41" s="24" t="n">
        <x:v>2988.358</x:v>
      </x:c>
      <x:c r="H41" s="25" t="n">
        <x:v>0.012674536658628499</x:v>
      </x:c>
      <x:c r="I41" s="24" t="n">
        <x:f>ROUND(E41-F41,1)</x:f>
        <x:v>43.9</x:v>
      </x:c>
      <x:c r="J41" s="23" t="str">
        <x:v>上证指数</x:v>
      </x:c>
    </x:row>
    <x:row r="42">
      <x:c r="A42" s="23" t="n">
        <x:v>11</x:v>
      </x:c>
      <x:c r="B42" s="23" t="str">
        <x:v>周五</x:v>
      </x:c>
      <x:c r="C42" s="23" t="str">
        <x:v>2月23日</x:v>
      </x:c>
      <x:c r="D42" s="24" t="n">
        <x:v>2992.912</x:v>
      </x:c>
      <x:c r="E42" s="24" t="n">
        <x:v>3009.136</x:v>
      </x:c>
      <x:c r="F42" s="24" t="n">
        <x:v>2979.973</x:v>
      </x:c>
      <x:c r="G42" s="24" t="n">
        <x:v>3004.881</x:v>
      </x:c>
      <x:c r="H42" s="25" t="n">
        <x:v>0.005529123351352139</x:v>
      </x:c>
      <x:c r="I42" s="24" t="n">
        <x:f>ROUND(E42-F42,1)</x:f>
        <x:v>29.2</x:v>
      </x:c>
      <x:c r="J42" s="23" t="str">
        <x:v>上证指数</x:v>
      </x:c>
    </x:row>
    <x:row r="43">
      <x:c r="A43" s="23" t="n">
        <x:v>12</x:v>
      </x:c>
      <x:c r="B43" s="23" t="str">
        <x:v>周一</x:v>
      </x:c>
      <x:c r="C43" s="23" t="str">
        <x:v>2月26日</x:v>
      </x:c>
      <x:c r="D43" s="24" t="n">
        <x:v>3002.118</x:v>
      </x:c>
      <x:c r="E43" s="24" t="n">
        <x:v>3009.479</x:v>
      </x:c>
      <x:c r="F43" s="24" t="n">
        <x:v>2967.057</x:v>
      </x:c>
      <x:c r="G43" s="24" t="n">
        <x:v>2977.022</x:v>
      </x:c>
      <x:c r="H43" s="25" t="n">
        <x:v>-0.00927124901119214</x:v>
      </x:c>
      <x:c r="I43" s="24" t="n">
        <x:f>ROUND(E43-F43,1)</x:f>
        <x:v>42.4</x:v>
      </x:c>
      <x:c r="J43" s="23" t="str">
        <x:v>上证指数</x:v>
      </x:c>
    </x:row>
    <x:row r="44">
      <x:c r="A44" s="23" t="n">
        <x:v>13</x:v>
      </x:c>
      <x:c r="B44" s="23" t="str">
        <x:v>周二</x:v>
      </x:c>
      <x:c r="C44" s="23" t="str">
        <x:v>2月27日</x:v>
      </x:c>
      <x:c r="D44" s="24" t="n">
        <x:v>2966.417</x:v>
      </x:c>
      <x:c r="E44" s="24" t="n">
        <x:v>3015.481</x:v>
      </x:c>
      <x:c r="F44" s="24" t="n">
        <x:v>2961.148</x:v>
      </x:c>
      <x:c r="G44" s="24" t="n">
        <x:v>3015.481</x:v>
      </x:c>
      <x:c r="H44" s="25" t="n">
        <x:v>0.012918614642417836</x:v>
      </x:c>
      <x:c r="I44" s="33" t="n">
        <x:f>ROUND(E44-F44,1)</x:f>
        <x:v>54.3</x:v>
      </x:c>
      <x:c r="J44" s="23" t="str">
        <x:v>上证指数</x:v>
      </x:c>
    </x:row>
    <x:row r="45">
      <x:c r="A45" s="23" t="n">
        <x:v>14</x:v>
      </x:c>
      <x:c r="B45" s="23" t="str">
        <x:v>周三</x:v>
      </x:c>
      <x:c r="C45" s="23" t="str">
        <x:v>2月28日</x:v>
      </x:c>
      <x:c r="D45" s="24" t="n">
        <x:v>3016.256</x:v>
      </x:c>
      <x:c r="E45" s="24" t="n">
        <x:v>3031.488</x:v>
      </x:c>
      <x:c r="F45" s="24" t="n">
        <x:v>2957.852</x:v>
      </x:c>
      <x:c r="G45" s="24" t="n">
        <x:v>2957.852</x:v>
      </x:c>
      <x:c r="H45" s="25" t="n">
        <x:v>-0.019111047292289518</x:v>
      </x:c>
      <x:c r="I45" s="33" t="n">
        <x:f>ROUND(E45-F45,1)</x:f>
        <x:v>73.6</x:v>
      </x:c>
      <x:c r="J45" s="23" t="str">
        <x:v>上证指数</x:v>
      </x:c>
    </x:row>
    <x:row r="46">
      <x:c r="A46" s="23" t="n">
        <x:v>15</x:v>
      </x:c>
      <x:c r="B46" s="23" t="str">
        <x:v>周四</x:v>
      </x:c>
      <x:c r="C46" s="23" t="str">
        <x:v>2月29日</x:v>
      </x:c>
      <x:c r="D46" s="24" t="n">
        <x:v>2943.624</x:v>
      </x:c>
      <x:c r="E46" s="24" t="n">
        <x:v>3015.171</x:v>
      </x:c>
      <x:c r="F46" s="24" t="n">
        <x:v>2943.624</x:v>
      </x:c>
      <x:c r="G46" s="24" t="n">
        <x:v>3015.171</x:v>
      </x:c>
      <x:c r="H46" s="25" t="n">
        <x:v>0.019378589598127327</x:v>
      </x:c>
      <x:c r="I46" s="33" t="n">
        <x:f>ROUND(E46-F46,1)</x:f>
        <x:v>71.5</x:v>
      </x:c>
      <x:c r="J46" s="23" t="str">
        <x:v>上证指数</x:v>
      </x:c>
    </x:row>
    <x:row r="47">
      <x:c r="A47" s="36" t="str">
        <x:v>合计</x:v>
      </x:c>
      <x:c r="B47" s="35" t="n">
        <x:v>15</x:v>
      </x:c>
      <x:c r="C47" s="35"/>
      <x:c r="D47" s="35"/>
      <x:c r="E47" s="35"/>
      <x:c r="F47" s="35"/>
      <x:c r="G47" s="35"/>
      <x:c r="H47" s="35"/>
      <x:c r="I47" s="37" t="n">
        <x:f>ROUND(SUM(I32:I46),1)</x:f>
        <x:v>1008.3</x:v>
      </x:c>
      <x:c r="J47" s="35"/>
    </x:row>
    <x:row r="48">
      <x:c r="A48" s="36" t="str">
        <x:v>均值</x:v>
      </x:c>
      <x:c r="B48" s="35"/>
      <x:c r="C48" s="35"/>
      <x:c r="D48" s="35"/>
      <x:c r="E48" s="35"/>
      <x:c r="F48" s="35"/>
      <x:c r="G48" s="35"/>
      <x:c r="H48" s="35"/>
      <x:c r="I48" s="39" t="n">
        <x:f>ROUND(IFERROR(AVERAGE(I32:I46),0),1)</x:f>
        <x:v>67.2</x:v>
      </x:c>
      <x:c r="J48" s="35"/>
    </x:row>
    <x:row r="50">
      <x:c r="A50" s="17" t="str">
        <x:v>3月</x:v>
      </x:c>
      <x:c r="B50" s="17"/>
      <x:c r="C50" s="17"/>
      <x:c r="D50" s="17"/>
      <x:c r="E50" s="17"/>
      <x:c r="F50" s="17"/>
      <x:c r="G50" s="17"/>
      <x:c r="H50" s="17"/>
      <x:c r="I50" s="17"/>
      <x:c r="J50" s="17"/>
    </x:row>
    <x:row r="51">
      <x:c r="A51" s="20" t="str">
        <x:v>序号</x:v>
      </x:c>
      <x:c r="B51" s="20" t="str">
        <x:v>星期</x:v>
      </x:c>
      <x:c r="C51" s="20" t="str">
        <x:v>日期</x:v>
      </x:c>
      <x:c r="D51" s="20" t="str">
        <x:v>开盘</x:v>
      </x:c>
      <x:c r="E51" s="20" t="str">
        <x:v>高点</x:v>
      </x:c>
      <x:c r="F51" s="20" t="str">
        <x:v>低点</x:v>
      </x:c>
      <x:c r="G51" s="20" t="str">
        <x:v>收盘</x:v>
      </x:c>
      <x:c r="H51" s="20" t="str">
        <x:v>涨幅</x:v>
      </x:c>
      <x:c r="I51" s="20" t="str">
        <x:v>振幅</x:v>
      </x:c>
      <x:c r="J51" s="20" t="str">
        <x:v>标的</x:v>
      </x:c>
    </x:row>
    <x:row r="52">
      <x:c r="A52" s="23" t="n">
        <x:v>1</x:v>
      </x:c>
      <x:c r="B52" s="23" t="str">
        <x:v>周五</x:v>
      </x:c>
      <x:c r="C52" s="23" t="str">
        <x:v>3月1日</x:v>
      </x:c>
      <x:c r="D52" s="24" t="n">
        <x:v>3013.823</x:v>
      </x:c>
      <x:c r="E52" s="24" t="n">
        <x:v>3032.232</x:v>
      </x:c>
      <x:c r="F52" s="24" t="n">
        <x:v>3003.763</x:v>
      </x:c>
      <x:c r="G52" s="24" t="n">
        <x:v>3027.02</x:v>
      </x:c>
      <x:c r="H52" s="25" t="n">
        <x:v>0.003929793699926298</x:v>
      </x:c>
      <x:c r="I52" s="24" t="n">
        <x:f>ROUND(E52-F52,1)</x:f>
        <x:v>28.5</x:v>
      </x:c>
      <x:c r="J52" s="23" t="str">
        <x:v>上证指数</x:v>
      </x:c>
    </x:row>
    <x:row r="53">
      <x:c r="A53" s="23" t="n">
        <x:v>2</x:v>
      </x:c>
      <x:c r="B53" s="23" t="str">
        <x:v>周一</x:v>
      </x:c>
      <x:c r="C53" s="23" t="str">
        <x:v>3月4日</x:v>
      </x:c>
      <x:c r="D53" s="24" t="n">
        <x:v>3026.607</x:v>
      </x:c>
      <x:c r="E53" s="24" t="n">
        <x:v>3040.345</x:v>
      </x:c>
      <x:c r="F53" s="24" t="n">
        <x:v>3007.683</x:v>
      </x:c>
      <x:c r="G53" s="24" t="n">
        <x:v>3039.306</x:v>
      </x:c>
      <x:c r="H53" s="25" t="n">
        <x:v>0.004058777279304371</x:v>
      </x:c>
      <x:c r="I53" s="24" t="n">
        <x:f>ROUND(E53-F53,1)</x:f>
        <x:v>32.7</x:v>
      </x:c>
      <x:c r="J53" s="23" t="str">
        <x:v>上证指数</x:v>
      </x:c>
    </x:row>
    <x:row r="54">
      <x:c r="A54" s="23" t="n">
        <x:v>3</x:v>
      </x:c>
      <x:c r="B54" s="23" t="str">
        <x:v>周二</x:v>
      </x:c>
      <x:c r="C54" s="23" t="str">
        <x:v>3月5日</x:v>
      </x:c>
      <x:c r="D54" s="24" t="n">
        <x:v>3027.103</x:v>
      </x:c>
      <x:c r="E54" s="24" t="n">
        <x:v>3052.541</x:v>
      </x:c>
      <x:c r="F54" s="24" t="n">
        <x:v>3022.178</x:v>
      </x:c>
      <x:c r="G54" s="24" t="n">
        <x:v>3047.793</x:v>
      </x:c>
      <x:c r="H54" s="25" t="n">
        <x:v>0.002792413794465043</x:v>
      </x:c>
      <x:c r="I54" s="24" t="n">
        <x:f>ROUND(E54-F54,1)</x:f>
        <x:v>30.4</x:v>
      </x:c>
      <x:c r="J54" s="23" t="str">
        <x:v>上证指数</x:v>
      </x:c>
    </x:row>
    <x:row r="55">
      <x:c r="A55" s="23" t="n">
        <x:v>4</x:v>
      </x:c>
      <x:c r="B55" s="23" t="str">
        <x:v>周三</x:v>
      </x:c>
      <x:c r="C55" s="23" t="str">
        <x:v>3月6日</x:v>
      </x:c>
      <x:c r="D55" s="24" t="n">
        <x:v>3041.752</x:v>
      </x:c>
      <x:c r="E55" s="24" t="n">
        <x:v>3060.563</x:v>
      </x:c>
      <x:c r="F55" s="24" t="n">
        <x:v>3034.354</x:v>
      </x:c>
      <x:c r="G55" s="24" t="n">
        <x:v>3039.931</x:v>
      </x:c>
      <x:c r="H55" s="25" t="n">
        <x:v>-0.002579571512894785</x:v>
      </x:c>
      <x:c r="I55" s="24" t="n">
        <x:f>ROUND(E55-F55,1)</x:f>
        <x:v>26.2</x:v>
      </x:c>
      <x:c r="J55" s="23" t="str">
        <x:v>上证指数</x:v>
      </x:c>
    </x:row>
    <x:row r="56">
      <x:c r="A56" s="23" t="n">
        <x:v>5</x:v>
      </x:c>
      <x:c r="B56" s="23" t="str">
        <x:v>周四</x:v>
      </x:c>
      <x:c r="C56" s="23" t="str">
        <x:v>3月7日</x:v>
      </x:c>
      <x:c r="D56" s="24" t="n">
        <x:v>3040.211</x:v>
      </x:c>
      <x:c r="E56" s="24" t="n">
        <x:v>3063.692</x:v>
      </x:c>
      <x:c r="F56" s="24" t="n">
        <x:v>3023.118</x:v>
      </x:c>
      <x:c r="G56" s="24" t="n">
        <x:v>3027.401</x:v>
      </x:c>
      <x:c r="H56" s="25" t="n">
        <x:v>-0.0041218040804216205</x:v>
      </x:c>
      <x:c r="I56" s="24" t="n">
        <x:f>ROUND(E56-F56,1)</x:f>
        <x:v>40.6</x:v>
      </x:c>
      <x:c r="J56" s="23" t="str">
        <x:v>上证指数</x:v>
      </x:c>
    </x:row>
    <x:row r="57">
      <x:c r="A57" s="23" t="n">
        <x:v>6</x:v>
      </x:c>
      <x:c r="B57" s="23" t="str">
        <x:v>周五</x:v>
      </x:c>
      <x:c r="C57" s="23" t="str">
        <x:v>3月8日</x:v>
      </x:c>
      <x:c r="D57" s="24" t="n">
        <x:v>3026.165</x:v>
      </x:c>
      <x:c r="E57" s="24" t="n">
        <x:v>3049.194</x:v>
      </x:c>
      <x:c r="F57" s="24" t="n">
        <x:v>3016.903</x:v>
      </x:c>
      <x:c r="G57" s="24" t="n">
        <x:v>3046.019</x:v>
      </x:c>
      <x:c r="H57" s="25" t="n">
        <x:v>0.006149829507224203</x:v>
      </x:c>
      <x:c r="I57" s="24" t="n">
        <x:f>ROUND(E57-F57,1)</x:f>
        <x:v>32.3</x:v>
      </x:c>
      <x:c r="J57" s="23" t="str">
        <x:v>上证指数</x:v>
      </x:c>
    </x:row>
    <x:row r="58">
      <x:c r="A58" s="23" t="n">
        <x:v>7</x:v>
      </x:c>
      <x:c r="B58" s="23" t="str">
        <x:v>周一</x:v>
      </x:c>
      <x:c r="C58" s="23" t="str">
        <x:v>3月11日</x:v>
      </x:c>
      <x:c r="D58" s="24" t="n">
        <x:v>3042.619</x:v>
      </x:c>
      <x:c r="E58" s="24" t="n">
        <x:v>3068.455</x:v>
      </x:c>
      <x:c r="F58" s="24" t="n">
        <x:v>3035.445</x:v>
      </x:c>
      <x:c r="G58" s="24" t="n">
        <x:v>3068.455</x:v>
      </x:c>
      <x:c r="H58" s="25" t="n">
        <x:v>0.007365679596877062</x:v>
      </x:c>
      <x:c r="I58" s="24" t="n">
        <x:f>ROUND(E58-F58,1)</x:f>
        <x:v>33</x:v>
      </x:c>
      <x:c r="J58" s="23" t="str">
        <x:v>上证指数</x:v>
      </x:c>
    </x:row>
    <x:row r="59">
      <x:c r="A59" s="23" t="n">
        <x:v>8</x:v>
      </x:c>
      <x:c r="B59" s="23" t="str">
        <x:v>周二</x:v>
      </x:c>
      <x:c r="C59" s="23" t="str">
        <x:v>3月12日</x:v>
      </x:c>
      <x:c r="D59" s="24" t="n">
        <x:v>3068.182</x:v>
      </x:c>
      <x:c r="E59" s="24" t="n">
        <x:v>3075.131</x:v>
      </x:c>
      <x:c r="F59" s="24" t="n">
        <x:v>3044.857</x:v>
      </x:c>
      <x:c r="G59" s="24" t="n">
        <x:v>3055.935</x:v>
      </x:c>
      <x:c r="H59" s="25" t="n">
        <x:v>-0.004080229301065219</x:v>
      </x:c>
      <x:c r="I59" s="24" t="n">
        <x:f>ROUND(E59-F59,1)</x:f>
        <x:v>30.3</x:v>
      </x:c>
      <x:c r="J59" s="23" t="str">
        <x:v>上证指数</x:v>
      </x:c>
    </x:row>
    <x:row r="60">
      <x:c r="A60" s="23" t="n">
        <x:v>9</x:v>
      </x:c>
      <x:c r="B60" s="23" t="str">
        <x:v>周三</x:v>
      </x:c>
      <x:c r="C60" s="23" t="str">
        <x:v>3月13日</x:v>
      </x:c>
      <x:c r="D60" s="24" t="n">
        <x:v>3053.341</x:v>
      </x:c>
      <x:c r="E60" s="24" t="n">
        <x:v>3061.951</x:v>
      </x:c>
      <x:c r="F60" s="24" t="n">
        <x:v>3031.899</x:v>
      </x:c>
      <x:c r="G60" s="24" t="n">
        <x:v>3043.835</x:v>
      </x:c>
      <x:c r="H60" s="25" t="n">
        <x:v>-0.003959508301060066</x:v>
      </x:c>
      <x:c r="I60" s="24" t="n">
        <x:f>ROUND(E60-F60,1)</x:f>
        <x:v>30.1</x:v>
      </x:c>
      <x:c r="J60" s="23" t="str">
        <x:v>上证指数</x:v>
      </x:c>
    </x:row>
    <x:row r="61">
      <x:c r="A61" s="23" t="n">
        <x:v>10</x:v>
      </x:c>
      <x:c r="B61" s="23" t="str">
        <x:v>周四</x:v>
      </x:c>
      <x:c r="C61" s="23" t="str">
        <x:v>3月14日</x:v>
      </x:c>
      <x:c r="D61" s="24" t="n">
        <x:v>3042.413</x:v>
      </x:c>
      <x:c r="E61" s="24" t="n">
        <x:v>3059.998</x:v>
      </x:c>
      <x:c r="F61" s="24" t="n">
        <x:v>3020.637</x:v>
      </x:c>
      <x:c r="G61" s="24" t="n">
        <x:v>3038.234</x:v>
      </x:c>
      <x:c r="H61" s="25" t="n">
        <x:v>-0.0018401128839112824</x:v>
      </x:c>
      <x:c r="I61" s="24" t="n">
        <x:f>ROUND(E61-F61,1)</x:f>
        <x:v>39.4</x:v>
      </x:c>
      <x:c r="J61" s="23" t="str">
        <x:v>上证指数</x:v>
      </x:c>
    </x:row>
    <x:row r="62">
      <x:c r="A62" s="29" t="n">
        <x:v>11</x:v>
      </x:c>
      <x:c r="B62" s="29" t="str">
        <x:v>周五</x:v>
      </x:c>
      <x:c r="C62" s="29" t="str">
        <x:v>3月15日</x:v>
      </x:c>
      <x:c r="D62" s="30" t="n">
        <x:v>3031.523</x:v>
      </x:c>
      <x:c r="E62" s="30" t="n">
        <x:v>3056.447</x:v>
      </x:c>
      <x:c r="F62" s="30" t="n">
        <x:v>3023.215</x:v>
      </x:c>
      <x:c r="G62" s="30" t="n">
        <x:v>3054.636</x:v>
      </x:c>
      <x:c r="H62" s="31" t="n">
        <x:v>0.005398530857070316</x:v>
      </x:c>
      <x:c r="I62" s="30" t="n">
        <x:f>ROUND(E62-F62,1)</x:f>
        <x:v>33.2</x:v>
      </x:c>
      <x:c r="J62" s="29" t="str">
        <x:v>上证指数</x:v>
      </x:c>
    </x:row>
    <x:row r="63">
      <x:c r="A63" s="23" t="n">
        <x:v>12</x:v>
      </x:c>
      <x:c r="B63" s="23" t="str">
        <x:v>周一</x:v>
      </x:c>
      <x:c r="C63" s="23" t="str">
        <x:v>3月18日</x:v>
      </x:c>
      <x:c r="D63" s="24" t="n">
        <x:v>3057.209</x:v>
      </x:c>
      <x:c r="E63" s="24" t="n">
        <x:v>3085.312</x:v>
      </x:c>
      <x:c r="F63" s="24" t="n">
        <x:v>3055.922</x:v>
      </x:c>
      <x:c r="G63" s="24" t="n">
        <x:v>3084.926</x:v>
      </x:c>
      <x:c r="H63" s="25" t="n">
        <x:v>0.009916075106821243</x:v>
      </x:c>
      <x:c r="I63" s="24" t="n">
        <x:f>ROUND(E63-F63,1)</x:f>
        <x:v>29.4</x:v>
      </x:c>
      <x:c r="J63" s="23" t="str">
        <x:v>上证指数</x:v>
      </x:c>
    </x:row>
    <x:row r="64">
      <x:c r="A64" s="23" t="n">
        <x:v>13</x:v>
      </x:c>
      <x:c r="B64" s="23" t="str">
        <x:v>周二</x:v>
      </x:c>
      <x:c r="C64" s="23" t="str">
        <x:v>3月19日</x:v>
      </x:c>
      <x:c r="D64" s="24" t="n">
        <x:v>3077.981</x:v>
      </x:c>
      <x:c r="E64" s="24" t="n">
        <x:v>3090.046</x:v>
      </x:c>
      <x:c r="F64" s="24" t="n">
        <x:v>3062.628</x:v>
      </x:c>
      <x:c r="G64" s="24" t="n">
        <x:v>3062.756</x:v>
      </x:c>
      <x:c r="H64" s="25" t="n">
        <x:v>-0.007186558121653475</x:v>
      </x:c>
      <x:c r="I64" s="24" t="n">
        <x:f>ROUND(E64-F64,1)</x:f>
        <x:v>27.4</x:v>
      </x:c>
      <x:c r="J64" s="23" t="str">
        <x:v>上证指数</x:v>
      </x:c>
    </x:row>
    <x:row r="65">
      <x:c r="A65" s="23" t="n">
        <x:v>14</x:v>
      </x:c>
      <x:c r="B65" s="23" t="str">
        <x:v>周三</x:v>
      </x:c>
      <x:c r="C65" s="23" t="str">
        <x:v>3月20日</x:v>
      </x:c>
      <x:c r="D65" s="24" t="n">
        <x:v>3058.648</x:v>
      </x:c>
      <x:c r="E65" s="24" t="n">
        <x:v>3081.755</x:v>
      </x:c>
      <x:c r="F65" s="24" t="n">
        <x:v>3056.645</x:v>
      </x:c>
      <x:c r="G65" s="24" t="n">
        <x:v>3079.686</x:v>
      </x:c>
      <x:c r="H65" s="25" t="n">
        <x:v>0.005527701194610435</x:v>
      </x:c>
      <x:c r="I65" s="24" t="n">
        <x:f>ROUND(E65-F65,1)</x:f>
        <x:v>25.1</x:v>
      </x:c>
      <x:c r="J65" s="23" t="str">
        <x:v>上证指数</x:v>
      </x:c>
    </x:row>
    <x:row r="66">
      <x:c r="A66" s="23" t="n">
        <x:v>15</x:v>
      </x:c>
      <x:c r="B66" s="23" t="str">
        <x:v>周四</x:v>
      </x:c>
      <x:c r="C66" s="23" t="str">
        <x:v>3月21日</x:v>
      </x:c>
      <x:c r="D66" s="24" t="n">
        <x:v>3084.412</x:v>
      </x:c>
      <x:c r="E66" s="24" t="n">
        <x:v>3090.051</x:v>
      </x:c>
      <x:c r="F66" s="24" t="n">
        <x:v>3069.272</x:v>
      </x:c>
      <x:c r="G66" s="24" t="n">
        <x:v>3077.113</x:v>
      </x:c>
      <x:c r="H66" s="25" t="n">
        <x:v>-0.0008354747854165678</x:v>
      </x:c>
      <x:c r="I66" s="24" t="n">
        <x:f>ROUND(E66-F66,1)</x:f>
        <x:v>20.8</x:v>
      </x:c>
      <x:c r="J66" s="23" t="str">
        <x:v>上证指数</x:v>
      </x:c>
    </x:row>
    <x:row r="67">
      <x:c r="A67" s="23" t="n">
        <x:v>16</x:v>
      </x:c>
      <x:c r="B67" s="23" t="str">
        <x:v>周五</x:v>
      </x:c>
      <x:c r="C67" s="23" t="str">
        <x:v>3月22日</x:v>
      </x:c>
      <x:c r="D67" s="24" t="n">
        <x:v>3070.548</x:v>
      </x:c>
      <x:c r="E67" s="24" t="n">
        <x:v>3073.206</x:v>
      </x:c>
      <x:c r="F67" s="24" t="n">
        <x:v>3027.762</x:v>
      </x:c>
      <x:c r="G67" s="24" t="n">
        <x:v>3048.034</x:v>
      </x:c>
      <x:c r="H67" s="25" t="n">
        <x:v>-0.00945009169309019</x:v>
      </x:c>
      <x:c r="I67" s="24" t="n">
        <x:f>ROUND(E67-F67,1)</x:f>
        <x:v>45.4</x:v>
      </x:c>
      <x:c r="J67" s="23" t="str">
        <x:v>上证指数</x:v>
      </x:c>
    </x:row>
    <x:row r="68">
      <x:c r="A68" s="23" t="n">
        <x:v>17</x:v>
      </x:c>
      <x:c r="B68" s="23" t="str">
        <x:v>周一</x:v>
      </x:c>
      <x:c r="C68" s="23" t="str">
        <x:v>3月25日</x:v>
      </x:c>
      <x:c r="D68" s="24" t="n">
        <x:v>3040.501</x:v>
      </x:c>
      <x:c r="E68" s="24" t="n">
        <x:v>3065.261</x:v>
      </x:c>
      <x:c r="F68" s="24" t="n">
        <x:v>3026.306</x:v>
      </x:c>
      <x:c r="G68" s="24" t="n">
        <x:v>3026.306</x:v>
      </x:c>
      <x:c r="H68" s="25" t="n">
        <x:v>-0.007128529406168038</x:v>
      </x:c>
      <x:c r="I68" s="24" t="n">
        <x:f>ROUND(E68-F68,1)</x:f>
        <x:v>39</x:v>
      </x:c>
      <x:c r="J68" s="23" t="str">
        <x:v>上证指数</x:v>
      </x:c>
    </x:row>
    <x:row r="69">
      <x:c r="A69" s="23" t="n">
        <x:v>18</x:v>
      </x:c>
      <x:c r="B69" s="23" t="str">
        <x:v>周二</x:v>
      </x:c>
      <x:c r="C69" s="23" t="str">
        <x:v>3月26日</x:v>
      </x:c>
      <x:c r="D69" s="24" t="n">
        <x:v>3026.922</x:v>
      </x:c>
      <x:c r="E69" s="24" t="n">
        <x:v>3036.494</x:v>
      </x:c>
      <x:c r="F69" s="24" t="n">
        <x:v>3006.26</x:v>
      </x:c>
      <x:c r="G69" s="24" t="n">
        <x:v>3031.481</x:v>
      </x:c>
      <x:c r="H69" s="25" t="n">
        <x:v>0.0017100055314962503</x:v>
      </x:c>
      <x:c r="I69" s="24" t="n">
        <x:f>ROUND(E69-F69,1)</x:f>
        <x:v>30.2</x:v>
      </x:c>
      <x:c r="J69" s="23" t="str">
        <x:v>上证指数</x:v>
      </x:c>
    </x:row>
    <x:row r="70">
      <x:c r="A70" s="23" t="n">
        <x:v>19</x:v>
      </x:c>
      <x:c r="B70" s="23" t="str">
        <x:v>周三</x:v>
      </x:c>
      <x:c r="C70" s="23" t="str">
        <x:v>3月27日</x:v>
      </x:c>
      <x:c r="D70" s="24" t="n">
        <x:v>3026.814</x:v>
      </x:c>
      <x:c r="E70" s="24" t="n">
        <x:v>3030.45</x:v>
      </x:c>
      <x:c r="F70" s="24" t="n">
        <x:v>2993.139</x:v>
      </x:c>
      <x:c r="G70" s="24" t="n">
        <x:v>2993.139</x:v>
      </x:c>
      <x:c r="H70" s="25" t="n">
        <x:v>-0.012647943364975767</x:v>
      </x:c>
      <x:c r="I70" s="24" t="n">
        <x:f>ROUND(E70-F70,1)</x:f>
        <x:v>37.3</x:v>
      </x:c>
      <x:c r="J70" s="23" t="str">
        <x:v>上证指数</x:v>
      </x:c>
    </x:row>
    <x:row r="71">
      <x:c r="A71" s="23" t="n">
        <x:v>20</x:v>
      </x:c>
      <x:c r="B71" s="23" t="str">
        <x:v>周四</x:v>
      </x:c>
      <x:c r="C71" s="23" t="str">
        <x:v>3月28日</x:v>
      </x:c>
      <x:c r="D71" s="24" t="n">
        <x:v>2988.59</x:v>
      </x:c>
      <x:c r="E71" s="24" t="n">
        <x:v>3033.367</x:v>
      </x:c>
      <x:c r="F71" s="24" t="n">
        <x:v>2984.12</x:v>
      </x:c>
      <x:c r="G71" s="24" t="n">
        <x:v>3010.664</x:v>
      </x:c>
      <x:c r="H71" s="25" t="n">
        <x:v>0.0058550571824429465</x:v>
      </x:c>
      <x:c r="I71" s="24" t="n">
        <x:f>ROUND(E71-F71,1)</x:f>
        <x:v>49.2</x:v>
      </x:c>
      <x:c r="J71" s="23" t="str">
        <x:v>上证指数</x:v>
      </x:c>
    </x:row>
    <x:row r="72">
      <x:c r="A72" s="23" t="n">
        <x:v>21</x:v>
      </x:c>
      <x:c r="B72" s="23" t="str">
        <x:v>周五</x:v>
      </x:c>
      <x:c r="C72" s="23" t="str">
        <x:v>3月29日</x:v>
      </x:c>
      <x:c r="D72" s="24" t="n">
        <x:v>3008.376</x:v>
      </x:c>
      <x:c r="E72" s="24" t="n">
        <x:v>3041.298</x:v>
      </x:c>
      <x:c r="F72" s="24" t="n">
        <x:v>3008.167</x:v>
      </x:c>
      <x:c r="G72" s="24" t="n">
        <x:v>3041.167</x:v>
      </x:c>
      <x:c r="H72" s="25" t="n">
        <x:v>0.010131652020949344</x:v>
      </x:c>
      <x:c r="I72" s="24" t="n">
        <x:f>ROUND(E72-F72,1)</x:f>
        <x:v>33.1</x:v>
      </x:c>
      <x:c r="J72" s="23" t="str">
        <x:v>上证指数</x:v>
      </x:c>
    </x:row>
    <x:row r="73">
      <x:c r="A73" s="36" t="str">
        <x:v>合计</x:v>
      </x:c>
      <x:c r="B73" s="35" t="n">
        <x:v>21</x:v>
      </x:c>
      <x:c r="C73" s="35"/>
      <x:c r="D73" s="35"/>
      <x:c r="E73" s="35"/>
      <x:c r="F73" s="35"/>
      <x:c r="G73" s="35"/>
      <x:c r="H73" s="35"/>
      <x:c r="I73" s="37" t="n">
        <x:f>ROUND(SUM(I52:I72),1)</x:f>
        <x:v>693.6</x:v>
      </x:c>
      <x:c r="J73" s="35"/>
    </x:row>
    <x:row r="74">
      <x:c r="A74" s="36" t="str">
        <x:v>均值</x:v>
      </x:c>
      <x:c r="B74" s="35"/>
      <x:c r="C74" s="35"/>
      <x:c r="D74" s="35"/>
      <x:c r="E74" s="35"/>
      <x:c r="F74" s="35"/>
      <x:c r="G74" s="35"/>
      <x:c r="H74" s="35"/>
      <x:c r="I74" s="39" t="n">
        <x:f>ROUND(IFERROR(AVERAGE(I52:I72),0),1)</x:f>
        <x:v>33</x:v>
      </x:c>
      <x:c r="J74" s="35"/>
    </x:row>
    <x:row r="76">
      <x:c r="A76" s="17" t="str">
        <x:v>4月</x:v>
      </x:c>
      <x:c r="B76" s="17"/>
      <x:c r="C76" s="17"/>
      <x:c r="D76" s="17"/>
      <x:c r="E76" s="17"/>
      <x:c r="F76" s="17"/>
      <x:c r="G76" s="17"/>
      <x:c r="H76" s="17"/>
      <x:c r="I76" s="17"/>
      <x:c r="J76" s="17"/>
    </x:row>
    <x:row r="77">
      <x:c r="A77" s="20" t="str">
        <x:v>序号</x:v>
      </x:c>
      <x:c r="B77" s="20" t="str">
        <x:v>星期</x:v>
      </x:c>
      <x:c r="C77" s="20" t="str">
        <x:v>日期</x:v>
      </x:c>
      <x:c r="D77" s="20" t="str">
        <x:v>开盘</x:v>
      </x:c>
      <x:c r="E77" s="20" t="str">
        <x:v>高点</x:v>
      </x:c>
      <x:c r="F77" s="20" t="str">
        <x:v>低点</x:v>
      </x:c>
      <x:c r="G77" s="20" t="str">
        <x:v>收盘</x:v>
      </x:c>
      <x:c r="H77" s="20" t="str">
        <x:v>涨幅</x:v>
      </x:c>
      <x:c r="I77" s="20" t="str">
        <x:v>振幅</x:v>
      </x:c>
      <x:c r="J77" s="20" t="str">
        <x:v>标的</x:v>
      </x:c>
    </x:row>
    <x:row r="78">
      <x:c r="A78" s="23" t="n">
        <x:v>1</x:v>
      </x:c>
      <x:c r="B78" s="23" t="str">
        <x:v>周一</x:v>
      </x:c>
      <x:c r="C78" s="23" t="str">
        <x:v>4月1日</x:v>
      </x:c>
      <x:c r="D78" s="24" t="n">
        <x:v>3049.021</x:v>
      </x:c>
      <x:c r="E78" s="24" t="n">
        <x:v>3078.488</x:v>
      </x:c>
      <x:c r="F78" s="24" t="n">
        <x:v>3049.021</x:v>
      </x:c>
      <x:c r="G78" s="24" t="n">
        <x:v>3077.379</x:v>
      </x:c>
      <x:c r="H78" s="25" t="n">
        <x:v>0.011907271123223317</x:v>
      </x:c>
      <x:c r="I78" s="24" t="n">
        <x:f>ROUND(E78-F78,1)</x:f>
        <x:v>29.5</x:v>
      </x:c>
      <x:c r="J78" s="23" t="str">
        <x:v>上证指数</x:v>
      </x:c>
    </x:row>
    <x:row r="79">
      <x:c r="A79" s="23" t="n">
        <x:v>2</x:v>
      </x:c>
      <x:c r="B79" s="23" t="str">
        <x:v>周二</x:v>
      </x:c>
      <x:c r="C79" s="23" t="str">
        <x:v>4月2日</x:v>
      </x:c>
      <x:c r="D79" s="24" t="n">
        <x:v>3076.875</x:v>
      </x:c>
      <x:c r="E79" s="24" t="n">
        <x:v>3085.537</x:v>
      </x:c>
      <x:c r="F79" s="24" t="n">
        <x:v>3063.981</x:v>
      </x:c>
      <x:c r="G79" s="24" t="n">
        <x:v>3074.959</x:v>
      </x:c>
      <x:c r="H79" s="25" t="n">
        <x:v>-0.0007863834776282719</x:v>
      </x:c>
      <x:c r="I79" s="24" t="n">
        <x:f>ROUND(E79-F79,1)</x:f>
        <x:v>21.6</x:v>
      </x:c>
      <x:c r="J79" s="23" t="str">
        <x:v>上证指数</x:v>
      </x:c>
    </x:row>
    <x:row r="80">
      <x:c r="A80" s="23" t="n">
        <x:v>3</x:v>
      </x:c>
      <x:c r="B80" s="23" t="str">
        <x:v>周三</x:v>
      </x:c>
      <x:c r="C80" s="23" t="str">
        <x:v>4月3日</x:v>
      </x:c>
      <x:c r="D80" s="24" t="n">
        <x:v>3074.893</x:v>
      </x:c>
      <x:c r="E80" s="24" t="n">
        <x:v>3079.02</x:v>
      </x:c>
      <x:c r="F80" s="24" t="n">
        <x:v>3057.397</x:v>
      </x:c>
      <x:c r="G80" s="24" t="n">
        <x:v>3069.296</x:v>
      </x:c>
      <x:c r="H80" s="25" t="n">
        <x:v>-0.0018416505716011278</x:v>
      </x:c>
      <x:c r="I80" s="24" t="n">
        <x:f>ROUND(E80-F80,1)</x:f>
        <x:v>21.6</x:v>
      </x:c>
      <x:c r="J80" s="23" t="str">
        <x:v>上证指数</x:v>
      </x:c>
    </x:row>
    <x:row r="81">
      <x:c r="A81" s="23" t="n">
        <x:v>4</x:v>
      </x:c>
      <x:c r="B81" s="23" t="str">
        <x:v>周一</x:v>
      </x:c>
      <x:c r="C81" s="23" t="str">
        <x:v>4月8日</x:v>
      </x:c>
      <x:c r="D81" s="24" t="n">
        <x:v>3057.326</x:v>
      </x:c>
      <x:c r="E81" s="24" t="n">
        <x:v>3077.351</x:v>
      </x:c>
      <x:c r="F81" s="24" t="n">
        <x:v>3045.469</x:v>
      </x:c>
      <x:c r="G81" s="24" t="n">
        <x:v>3047.053</x:v>
      </x:c>
      <x:c r="H81" s="25" t="n">
        <x:v>-0.0072469387116784745</x:v>
      </x:c>
      <x:c r="I81" s="24" t="n">
        <x:f>ROUND(E81-F81,1)</x:f>
        <x:v>31.9</x:v>
      </x:c>
      <x:c r="J81" s="23" t="str">
        <x:v>上证指数</x:v>
      </x:c>
    </x:row>
    <x:row r="82">
      <x:c r="A82" s="23" t="n">
        <x:v>5</x:v>
      </x:c>
      <x:c r="B82" s="23" t="str">
        <x:v>周二</x:v>
      </x:c>
      <x:c r="C82" s="23" t="str">
        <x:v>4月9日</x:v>
      </x:c>
      <x:c r="D82" s="24" t="n">
        <x:v>3044.614</x:v>
      </x:c>
      <x:c r="E82" s="24" t="n">
        <x:v>3051.585</x:v>
      </x:c>
      <x:c r="F82" s="24" t="n">
        <x:v>3033.209</x:v>
      </x:c>
      <x:c r="G82" s="24" t="n">
        <x:v>3048.537</x:v>
      </x:c>
      <x:c r="H82" s="25" t="n">
        <x:v>0.0004870279578332859</x:v>
      </x:c>
      <x:c r="I82" s="24" t="n">
        <x:f>ROUND(E82-F82,1)</x:f>
        <x:v>18.4</x:v>
      </x:c>
      <x:c r="J82" s="23" t="str">
        <x:v>上证指数</x:v>
      </x:c>
    </x:row>
    <x:row r="83">
      <x:c r="A83" s="23" t="n">
        <x:v>6</x:v>
      </x:c>
      <x:c r="B83" s="23" t="str">
        <x:v>周三</x:v>
      </x:c>
      <x:c r="C83" s="23" t="str">
        <x:v>4月10日</x:v>
      </x:c>
      <x:c r="D83" s="24" t="n">
        <x:v>3045.961</x:v>
      </x:c>
      <x:c r="E83" s="24" t="n">
        <x:v>3049.607</x:v>
      </x:c>
      <x:c r="F83" s="24" t="n">
        <x:v>3013.59</x:v>
      </x:c>
      <x:c r="G83" s="24" t="n">
        <x:v>3027.335</x:v>
      </x:c>
      <x:c r="H83" s="25" t="n">
        <x:v>-0.006954811439060737</x:v>
      </x:c>
      <x:c r="I83" s="24" t="n">
        <x:f>ROUND(E83-F83,1)</x:f>
        <x:v>36</x:v>
      </x:c>
      <x:c r="J83" s="23" t="str">
        <x:v>上证指数</x:v>
      </x:c>
    </x:row>
    <x:row r="84">
      <x:c r="A84" s="23" t="n">
        <x:v>7</x:v>
      </x:c>
      <x:c r="B84" s="23" t="str">
        <x:v>周四</x:v>
      </x:c>
      <x:c r="C84" s="23" t="str">
        <x:v>4月11日</x:v>
      </x:c>
      <x:c r="D84" s="24" t="n">
        <x:v>3013.573</x:v>
      </x:c>
      <x:c r="E84" s="24" t="n">
        <x:v>3050.337</x:v>
      </x:c>
      <x:c r="F84" s="24" t="n">
        <x:v>3009.897</x:v>
      </x:c>
      <x:c r="G84" s="24" t="n">
        <x:v>3034.246</x:v>
      </x:c>
      <x:c r="H84" s="25" t="n">
        <x:v>0.002282865953057822</x:v>
      </x:c>
      <x:c r="I84" s="24" t="n">
        <x:f>ROUND(E84-F84,1)</x:f>
        <x:v>40.4</x:v>
      </x:c>
      <x:c r="J84" s="23" t="str">
        <x:v>上证指数</x:v>
      </x:c>
    </x:row>
    <x:row r="85">
      <x:c r="A85" s="23" t="n">
        <x:v>8</x:v>
      </x:c>
      <x:c r="B85" s="23" t="str">
        <x:v>周五</x:v>
      </x:c>
      <x:c r="C85" s="23" t="str">
        <x:v>4月12日</x:v>
      </x:c>
      <x:c r="D85" s="24" t="n">
        <x:v>3035.577</x:v>
      </x:c>
      <x:c r="E85" s="24" t="n">
        <x:v>3043.56</x:v>
      </x:c>
      <x:c r="F85" s="24" t="n">
        <x:v>3014.83</x:v>
      </x:c>
      <x:c r="G85" s="24" t="n">
        <x:v>3019.474</x:v>
      </x:c>
      <x:c r="H85" s="25" t="n">
        <x:v>-0.004868425302365087</x:v>
      </x:c>
      <x:c r="I85" s="24" t="n">
        <x:f>ROUND(E85-F85,1)</x:f>
        <x:v>28.7</x:v>
      </x:c>
      <x:c r="J85" s="23" t="str">
        <x:v>上证指数</x:v>
      </x:c>
    </x:row>
    <x:row r="86">
      <x:c r="A86" s="23" t="n">
        <x:v>9</x:v>
      </x:c>
      <x:c r="B86" s="23" t="str">
        <x:v>周一</x:v>
      </x:c>
      <x:c r="C86" s="23" t="str">
        <x:v>4月15日</x:v>
      </x:c>
      <x:c r="D86" s="24" t="n">
        <x:v>3013.672</x:v>
      </x:c>
      <x:c r="E86" s="24" t="n">
        <x:v>3066.941</x:v>
      </x:c>
      <x:c r="F86" s="24" t="n">
        <x:v>2995.542</x:v>
      </x:c>
      <x:c r="G86" s="24" t="n">
        <x:v>3057.378</x:v>
      </x:c>
      <x:c r="H86" s="25" t="n">
        <x:v>0.01255317979224202</x:v>
      </x:c>
      <x:c r="I86" s="33" t="n">
        <x:f>ROUND(E86-F86,1)</x:f>
        <x:v>71.4</x:v>
      </x:c>
      <x:c r="J86" s="23" t="str">
        <x:v>上证指数</x:v>
      </x:c>
    </x:row>
    <x:row r="87">
      <x:c r="A87" s="23" t="n">
        <x:v>10</x:v>
      </x:c>
      <x:c r="B87" s="23" t="str">
        <x:v>周二</x:v>
      </x:c>
      <x:c r="C87" s="23" t="str">
        <x:v>4月16日</x:v>
      </x:c>
      <x:c r="D87" s="24" t="n">
        <x:v>3043.551</x:v>
      </x:c>
      <x:c r="E87" s="24" t="n">
        <x:v>3052.435</x:v>
      </x:c>
      <x:c r="F87" s="24" t="n">
        <x:v>3005.34</x:v>
      </x:c>
      <x:c r="G87" s="24" t="n">
        <x:v>3007.068</x:v>
      </x:c>
      <x:c r="H87" s="25" t="n">
        <x:v>-0.01645527638388189</x:v>
      </x:c>
      <x:c r="I87" s="24" t="n">
        <x:f>ROUND(E87-F87,1)</x:f>
        <x:v>47.1</x:v>
      </x:c>
      <x:c r="J87" s="23" t="str">
        <x:v>上证指数</x:v>
      </x:c>
    </x:row>
    <x:row r="88">
      <x:c r="A88" s="23" t="n">
        <x:v>11</x:v>
      </x:c>
      <x:c r="B88" s="23" t="str">
        <x:v>周三</x:v>
      </x:c>
      <x:c r="C88" s="23" t="str">
        <x:v>4月17日</x:v>
      </x:c>
      <x:c r="D88" s="24" t="n">
        <x:v>3008.061</x:v>
      </x:c>
      <x:c r="E88" s="24" t="n">
        <x:v>3071.381</x:v>
      </x:c>
      <x:c r="F88" s="24" t="n">
        <x:v>3002.056</x:v>
      </x:c>
      <x:c r="G88" s="24" t="n">
        <x:v>3071.381</x:v>
      </x:c>
      <x:c r="H88" s="25" t="n">
        <x:v>0.02138727823913511</x:v>
      </x:c>
      <x:c r="I88" s="33" t="n">
        <x:f>ROUND(E88-F88,1)</x:f>
        <x:v>69.3</x:v>
      </x:c>
      <x:c r="J88" s="23" t="str">
        <x:v>上证指数</x:v>
      </x:c>
    </x:row>
    <x:row r="89">
      <x:c r="A89" s="23" t="n">
        <x:v>12</x:v>
      </x:c>
      <x:c r="B89" s="23" t="str">
        <x:v>周四</x:v>
      </x:c>
      <x:c r="C89" s="23" t="str">
        <x:v>4月18日</x:v>
      </x:c>
      <x:c r="D89" s="24" t="n">
        <x:v>3060.031</x:v>
      </x:c>
      <x:c r="E89" s="24" t="n">
        <x:v>3102.553</x:v>
      </x:c>
      <x:c r="F89" s="24" t="n">
        <x:v>3057.761</x:v>
      </x:c>
      <x:c r="G89" s="24" t="n">
        <x:v>3074.225</x:v>
      </x:c>
      <x:c r="H89" s="25" t="n">
        <x:v>0.0009259678301063445</x:v>
      </x:c>
      <x:c r="I89" s="24" t="n">
        <x:f>ROUND(E89-F89,1)</x:f>
        <x:v>44.8</x:v>
      </x:c>
      <x:c r="J89" s="23" t="str">
        <x:v>上证指数</x:v>
      </x:c>
    </x:row>
    <x:row r="90">
      <x:c r="A90" s="29" t="n">
        <x:v>13</x:v>
      </x:c>
      <x:c r="B90" s="29" t="str">
        <x:v>周五</x:v>
      </x:c>
      <x:c r="C90" s="29" t="str">
        <x:v>4月19日</x:v>
      </x:c>
      <x:c r="D90" s="30" t="n">
        <x:v>3060.299</x:v>
      </x:c>
      <x:c r="E90" s="30" t="n">
        <x:v>3080.323</x:v>
      </x:c>
      <x:c r="F90" s="30" t="n">
        <x:v>3055.058</x:v>
      </x:c>
      <x:c r="G90" s="30" t="n">
        <x:v>3065.261</x:v>
      </x:c>
      <x:c r="H90" s="31" t="n">
        <x:v>-0.0029158568419682673</x:v>
      </x:c>
      <x:c r="I90" s="30" t="n">
        <x:f>ROUND(E90-F90,1)</x:f>
        <x:v>25.3</x:v>
      </x:c>
      <x:c r="J90" s="29" t="str">
        <x:v>上证指数</x:v>
      </x:c>
    </x:row>
    <x:row r="91">
      <x:c r="A91" s="23" t="n">
        <x:v>14</x:v>
      </x:c>
      <x:c r="B91" s="23" t="str">
        <x:v>周一</x:v>
      </x:c>
      <x:c r="C91" s="23" t="str">
        <x:v>4月22日</x:v>
      </x:c>
      <x:c r="D91" s="24" t="n">
        <x:v>3059.065</x:v>
      </x:c>
      <x:c r="E91" s="24" t="n">
        <x:v>3078.423</x:v>
      </x:c>
      <x:c r="F91" s="24" t="n">
        <x:v>3042.542</x:v>
      </x:c>
      <x:c r="G91" s="24" t="n">
        <x:v>3044.595</x:v>
      </x:c>
      <x:c r="H91" s="25" t="n">
        <x:v>-0.0067420033726329764</x:v>
      </x:c>
      <x:c r="I91" s="24" t="n">
        <x:f>ROUND(E91-F91,1)</x:f>
        <x:v>35.9</x:v>
      </x:c>
      <x:c r="J91" s="23" t="str">
        <x:v>上证指数</x:v>
      </x:c>
    </x:row>
    <x:row r="92">
      <x:c r="A92" s="23" t="n">
        <x:v>15</x:v>
      </x:c>
      <x:c r="B92" s="23" t="str">
        <x:v>周二</x:v>
      </x:c>
      <x:c r="C92" s="23" t="str">
        <x:v>4月23日</x:v>
      </x:c>
      <x:c r="D92" s="24" t="n">
        <x:v>3038.612</x:v>
      </x:c>
      <x:c r="E92" s="24" t="n">
        <x:v>3044.944</x:v>
      </x:c>
      <x:c r="F92" s="24" t="n">
        <x:v>3016.517</x:v>
      </x:c>
      <x:c r="G92" s="24" t="n">
        <x:v>3021.978</x:v>
      </x:c>
      <x:c r="H92" s="25" t="n">
        <x:v>-0.007428574243864894</x:v>
      </x:c>
      <x:c r="I92" s="24" t="n">
        <x:f>ROUND(E92-F92,1)</x:f>
        <x:v>28.4</x:v>
      </x:c>
      <x:c r="J92" s="23" t="str">
        <x:v>上证指数</x:v>
      </x:c>
    </x:row>
    <x:row r="93">
      <x:c r="A93" s="23" t="n">
        <x:v>16</x:v>
      </x:c>
      <x:c r="B93" s="23" t="str">
        <x:v>周三</x:v>
      </x:c>
      <x:c r="C93" s="23" t="str">
        <x:v>4月24日</x:v>
      </x:c>
      <x:c r="D93" s="24" t="n">
        <x:v>3029.403</x:v>
      </x:c>
      <x:c r="E93" s="24" t="n">
        <x:v>3045.64</x:v>
      </x:c>
      <x:c r="F93" s="24" t="n">
        <x:v>3019.124</x:v>
      </x:c>
      <x:c r="G93" s="24" t="n">
        <x:v>3044.822</x:v>
      </x:c>
      <x:c r="H93" s="25" t="n">
        <x:v>0.007559287327703945</x:v>
      </x:c>
      <x:c r="I93" s="24" t="n">
        <x:f>ROUND(E93-F93,1)</x:f>
        <x:v>26.5</x:v>
      </x:c>
      <x:c r="J93" s="23" t="str">
        <x:v>上证指数</x:v>
      </x:c>
    </x:row>
    <x:row r="94">
      <x:c r="A94" s="23" t="n">
        <x:v>17</x:v>
      </x:c>
      <x:c r="B94" s="23" t="str">
        <x:v>周四</x:v>
      </x:c>
      <x:c r="C94" s="23" t="str">
        <x:v>4月25日</x:v>
      </x:c>
      <x:c r="D94" s="24" t="n">
        <x:v>3037.927</x:v>
      </x:c>
      <x:c r="E94" s="24" t="n">
        <x:v>3060.264</x:v>
      </x:c>
      <x:c r="F94" s="24" t="n">
        <x:v>3034.65</x:v>
      </x:c>
      <x:c r="G94" s="24" t="n">
        <x:v>3052.9</x:v>
      </x:c>
      <x:c r="H94" s="25" t="n">
        <x:v>0.0026530286499506506</x:v>
      </x:c>
      <x:c r="I94" s="24" t="n">
        <x:f>ROUND(E94-F94,1)</x:f>
        <x:v>25.6</x:v>
      </x:c>
      <x:c r="J94" s="23" t="str">
        <x:v>上证指数</x:v>
      </x:c>
    </x:row>
    <x:row r="95">
      <x:c r="A95" s="23" t="n">
        <x:v>18</x:v>
      </x:c>
      <x:c r="B95" s="23" t="str">
        <x:v>周五</x:v>
      </x:c>
      <x:c r="C95" s="23" t="str">
        <x:v>4月26日</x:v>
      </x:c>
      <x:c r="D95" s="24" t="n">
        <x:v>3054.979</x:v>
      </x:c>
      <x:c r="E95" s="24" t="n">
        <x:v>3092.43</x:v>
      </x:c>
      <x:c r="F95" s="24" t="n">
        <x:v>3054.979</x:v>
      </x:c>
      <x:c r="G95" s="24" t="n">
        <x:v>3088.636</x:v>
      </x:c>
      <x:c r="H95" s="25" t="n">
        <x:v>0.011705591404893578</x:v>
      </x:c>
      <x:c r="I95" s="24" t="n">
        <x:f>ROUND(E95-F95,1)</x:f>
        <x:v>37.5</x:v>
      </x:c>
      <x:c r="J95" s="23" t="str">
        <x:v>上证指数</x:v>
      </x:c>
    </x:row>
    <x:row r="96">
      <x:c r="A96" s="23" t="n">
        <x:v>19</x:v>
      </x:c>
      <x:c r="B96" s="23" t="str">
        <x:v>周一</x:v>
      </x:c>
      <x:c r="C96" s="23" t="str">
        <x:v>4月29日</x:v>
      </x:c>
      <x:c r="D96" s="24" t="n">
        <x:v>3086.682</x:v>
      </x:c>
      <x:c r="E96" s="24" t="n">
        <x:v>3119.686</x:v>
      </x:c>
      <x:c r="F96" s="24" t="n">
        <x:v>3080.586</x:v>
      </x:c>
      <x:c r="G96" s="24" t="n">
        <x:v>3113.043</x:v>
      </x:c>
      <x:c r="H96" s="25" t="n">
        <x:v>0.007902193719169226</x:v>
      </x:c>
      <x:c r="I96" s="24" t="n">
        <x:f>ROUND(E96-F96,1)</x:f>
        <x:v>39.1</x:v>
      </x:c>
      <x:c r="J96" s="23" t="str">
        <x:v>上证指数</x:v>
      </x:c>
    </x:row>
    <x:row r="97">
      <x:c r="A97" s="23" t="n">
        <x:v>20</x:v>
      </x:c>
      <x:c r="B97" s="23" t="str">
        <x:v>周二</x:v>
      </x:c>
      <x:c r="C97" s="23" t="str">
        <x:v>4月30日</x:v>
      </x:c>
      <x:c r="D97" s="24" t="n">
        <x:v>3110.159</x:v>
      </x:c>
      <x:c r="E97" s="24" t="n">
        <x:v>3123.288</x:v>
      </x:c>
      <x:c r="F97" s="24" t="n">
        <x:v>3104.294</x:v>
      </x:c>
      <x:c r="G97" s="24" t="n">
        <x:v>3104.825</x:v>
      </x:c>
      <x:c r="H97" s="25" t="n">
        <x:v>-0.0026398607407608354</x:v>
      </x:c>
      <x:c r="I97" s="24" t="n">
        <x:f>ROUND(E97-F97,1)</x:f>
        <x:v>19</x:v>
      </x:c>
      <x:c r="J97" s="23" t="str">
        <x:v>上证指数</x:v>
      </x:c>
    </x:row>
    <x:row r="98">
      <x:c r="A98" s="36" t="str">
        <x:v>合计</x:v>
      </x:c>
      <x:c r="B98" s="35" t="n">
        <x:v>20</x:v>
      </x:c>
      <x:c r="C98" s="35"/>
      <x:c r="D98" s="35"/>
      <x:c r="E98" s="35"/>
      <x:c r="F98" s="35"/>
      <x:c r="G98" s="35"/>
      <x:c r="H98" s="35"/>
      <x:c r="I98" s="37" t="n">
        <x:f>ROUND(SUM(I78:I97),1)</x:f>
        <x:v>698</x:v>
      </x:c>
      <x:c r="J98" s="35"/>
    </x:row>
    <x:row r="99">
      <x:c r="A99" s="36" t="str">
        <x:v>均值</x:v>
      </x:c>
      <x:c r="B99" s="35"/>
      <x:c r="C99" s="35"/>
      <x:c r="D99" s="35"/>
      <x:c r="E99" s="35"/>
      <x:c r="F99" s="35"/>
      <x:c r="G99" s="35"/>
      <x:c r="H99" s="35"/>
      <x:c r="I99" s="39" t="n">
        <x:f>ROUND(IFERROR(AVERAGE(I78:I97),0),1)</x:f>
        <x:v>34.9</x:v>
      </x:c>
      <x:c r="J99" s="35"/>
    </x:row>
    <x:row r="101">
      <x:c r="A101" s="17" t="str">
        <x:v>5月</x:v>
      </x:c>
      <x:c r="B101" s="17"/>
      <x:c r="C101" s="17"/>
      <x:c r="D101" s="17"/>
      <x:c r="E101" s="17"/>
      <x:c r="F101" s="17"/>
      <x:c r="G101" s="17"/>
      <x:c r="H101" s="17"/>
      <x:c r="I101" s="17"/>
      <x:c r="J101" s="17"/>
    </x:row>
    <x:row r="102">
      <x:c r="A102" s="20" t="str">
        <x:v>序号</x:v>
      </x:c>
      <x:c r="B102" s="20" t="str">
        <x:v>星期</x:v>
      </x:c>
      <x:c r="C102" s="20" t="str">
        <x:v>日期</x:v>
      </x:c>
      <x:c r="D102" s="20" t="str">
        <x:v>开盘</x:v>
      </x:c>
      <x:c r="E102" s="20" t="str">
        <x:v>高点</x:v>
      </x:c>
      <x:c r="F102" s="20" t="str">
        <x:v>低点</x:v>
      </x:c>
      <x:c r="G102" s="20" t="str">
        <x:v>收盘</x:v>
      </x:c>
      <x:c r="H102" s="20" t="str">
        <x:v>涨幅</x:v>
      </x:c>
      <x:c r="I102" s="20" t="str">
        <x:v>振幅</x:v>
      </x:c>
      <x:c r="J102" s="20" t="str">
        <x:v>标的</x:v>
      </x:c>
    </x:row>
    <x:row r="103">
      <x:c r="A103" s="23" t="n">
        <x:v>1</x:v>
      </x:c>
      <x:c r="B103" s="23" t="str">
        <x:v>周一</x:v>
      </x:c>
      <x:c r="C103" s="23" t="str">
        <x:v>5月6日</x:v>
      </x:c>
      <x:c r="D103" s="24" t="n">
        <x:v>3132.512</x:v>
      </x:c>
      <x:c r="E103" s="24" t="n">
        <x:v>3142.382</x:v>
      </x:c>
      <x:c r="F103" s="24" t="n">
        <x:v>3126.769</x:v>
      </x:c>
      <x:c r="G103" s="24" t="n">
        <x:v>3140.72</x:v>
      </x:c>
      <x:c r="H103" s="25" t="n">
        <x:v>0.011561038061726592</x:v>
      </x:c>
      <x:c r="I103" s="24" t="n">
        <x:f>ROUND(E103-F103,1)</x:f>
        <x:v>15.6</x:v>
      </x:c>
      <x:c r="J103" s="23" t="str">
        <x:v>上证指数</x:v>
      </x:c>
    </x:row>
    <x:row r="104">
      <x:c r="A104" s="23" t="n">
        <x:v>2</x:v>
      </x:c>
      <x:c r="B104" s="23" t="str">
        <x:v>周二</x:v>
      </x:c>
      <x:c r="C104" s="23" t="str">
        <x:v>5月7日</x:v>
      </x:c>
      <x:c r="D104" s="24" t="n">
        <x:v>3139.664</x:v>
      </x:c>
      <x:c r="E104" s="24" t="n">
        <x:v>3151.219</x:v>
      </x:c>
      <x:c r="F104" s="24" t="n">
        <x:v>3133.69</x:v>
      </x:c>
      <x:c r="G104" s="24" t="n">
        <x:v>3147.738</x:v>
      </x:c>
      <x:c r="H104" s="25" t="n">
        <x:v>0.002234519473241825</x:v>
      </x:c>
      <x:c r="I104" s="24" t="n">
        <x:f>ROUND(E104-F104,1)</x:f>
        <x:v>17.5</x:v>
      </x:c>
      <x:c r="J104" s="23" t="str">
        <x:v>上证指数</x:v>
      </x:c>
    </x:row>
    <x:row r="105">
      <x:c r="A105" s="23" t="n">
        <x:v>3</x:v>
      </x:c>
      <x:c r="B105" s="23" t="str">
        <x:v>周三</x:v>
      </x:c>
      <x:c r="C105" s="23" t="str">
        <x:v>5月8日</x:v>
      </x:c>
      <x:c r="D105" s="24" t="n">
        <x:v>3141.487</x:v>
      </x:c>
      <x:c r="E105" s="24" t="n">
        <x:v>3144.986</x:v>
      </x:c>
      <x:c r="F105" s="24" t="n">
        <x:v>3126.173</x:v>
      </x:c>
      <x:c r="G105" s="24" t="n">
        <x:v>3128.48</x:v>
      </x:c>
      <x:c r="H105" s="25" t="n">
        <x:v>-0.006118044132008338</x:v>
      </x:c>
      <x:c r="I105" s="24" t="n">
        <x:f>ROUND(E105-F105,1)</x:f>
        <x:v>18.8</x:v>
      </x:c>
      <x:c r="J105" s="23" t="str">
        <x:v>上证指数</x:v>
      </x:c>
    </x:row>
    <x:row r="106">
      <x:c r="A106" s="23" t="n">
        <x:v>4</x:v>
      </x:c>
      <x:c r="B106" s="23" t="str">
        <x:v>周四</x:v>
      </x:c>
      <x:c r="C106" s="23" t="str">
        <x:v>5月9日</x:v>
      </x:c>
      <x:c r="D106" s="24" t="n">
        <x:v>3128.164</x:v>
      </x:c>
      <x:c r="E106" s="24" t="n">
        <x:v>3158.465</x:v>
      </x:c>
      <x:c r="F106" s="24" t="n">
        <x:v>3128.164</x:v>
      </x:c>
      <x:c r="G106" s="24" t="n">
        <x:v>3154.32</x:v>
      </x:c>
      <x:c r="H106" s="25" t="n">
        <x:v>0.008259602107093533</x:v>
      </x:c>
      <x:c r="I106" s="24" t="n">
        <x:f>ROUND(E106-F106,1)</x:f>
        <x:v>30.3</x:v>
      </x:c>
      <x:c r="J106" s="23" t="str">
        <x:v>上证指数</x:v>
      </x:c>
    </x:row>
    <x:row r="107">
      <x:c r="A107" s="23" t="n">
        <x:v>5</x:v>
      </x:c>
      <x:c r="B107" s="23" t="str">
        <x:v>周五</x:v>
      </x:c>
      <x:c r="C107" s="23" t="str">
        <x:v>5月10日</x:v>
      </x:c>
      <x:c r="D107" s="24" t="n">
        <x:v>3158.589</x:v>
      </x:c>
      <x:c r="E107" s="24" t="n">
        <x:v>3163.144</x:v>
      </x:c>
      <x:c r="F107" s="24" t="n">
        <x:v>3137.152</x:v>
      </x:c>
      <x:c r="G107" s="24" t="n">
        <x:v>3154.547</x:v>
      </x:c>
      <x:c r="H107" s="25" t="n">
        <x:v>0.00007196479748405871</x:v>
      </x:c>
      <x:c r="I107" s="24" t="n">
        <x:f>ROUND(E107-F107,1)</x:f>
        <x:v>26</x:v>
      </x:c>
      <x:c r="J107" s="23" t="str">
        <x:v>上证指数</x:v>
      </x:c>
    </x:row>
    <x:row r="108">
      <x:c r="A108" s="23" t="n">
        <x:v>6</x:v>
      </x:c>
      <x:c r="B108" s="23" t="str">
        <x:v>周一</x:v>
      </x:c>
      <x:c r="C108" s="23" t="str">
        <x:v>5月13日</x:v>
      </x:c>
      <x:c r="D108" s="24" t="n">
        <x:v>3139.475</x:v>
      </x:c>
      <x:c r="E108" s="24" t="n">
        <x:v>3157.366</x:v>
      </x:c>
      <x:c r="F108" s="24" t="n">
        <x:v>3126.17</x:v>
      </x:c>
      <x:c r="G108" s="24" t="n">
        <x:v>3148.021</x:v>
      </x:c>
      <x:c r="H108" s="25" t="n">
        <x:v>-0.00206875979340293</x:v>
      </x:c>
      <x:c r="I108" s="24" t="n">
        <x:f>ROUND(E108-F108,1)</x:f>
        <x:v>31.2</x:v>
      </x:c>
      <x:c r="J108" s="23" t="str">
        <x:v>上证指数</x:v>
      </x:c>
    </x:row>
    <x:row r="109">
      <x:c r="A109" s="23" t="n">
        <x:v>7</x:v>
      </x:c>
      <x:c r="B109" s="23" t="str">
        <x:v>周二</x:v>
      </x:c>
      <x:c r="C109" s="23" t="str">
        <x:v>5月14日</x:v>
      </x:c>
      <x:c r="D109" s="24" t="n">
        <x:v>3148.849</x:v>
      </x:c>
      <x:c r="E109" s="24" t="n">
        <x:v>3155.807</x:v>
      </x:c>
      <x:c r="F109" s="24" t="n">
        <x:v>3137.609</x:v>
      </x:c>
      <x:c r="G109" s="24" t="n">
        <x:v>3145.774</x:v>
      </x:c>
      <x:c r="H109" s="25" t="n">
        <x:v>-0.0007137817695626048</x:v>
      </x:c>
      <x:c r="I109" s="24" t="n">
        <x:f>ROUND(E109-F109,1)</x:f>
        <x:v>18.2</x:v>
      </x:c>
      <x:c r="J109" s="23" t="str">
        <x:v>上证指数</x:v>
      </x:c>
    </x:row>
    <x:row r="110">
      <x:c r="A110" s="23" t="n">
        <x:v>8</x:v>
      </x:c>
      <x:c r="B110" s="23" t="str">
        <x:v>周三</x:v>
      </x:c>
      <x:c r="C110" s="23" t="str">
        <x:v>5月15日</x:v>
      </x:c>
      <x:c r="D110" s="24" t="n">
        <x:v>3141.252</x:v>
      </x:c>
      <x:c r="E110" s="24" t="n">
        <x:v>3142.973</x:v>
      </x:c>
      <x:c r="F110" s="24" t="n">
        <x:v>3117.929</x:v>
      </x:c>
      <x:c r="G110" s="24" t="n">
        <x:v>3119.902</x:v>
      </x:c>
      <x:c r="H110" s="25" t="n">
        <x:v>-0.008224367039717406</x:v>
      </x:c>
      <x:c r="I110" s="24" t="n">
        <x:f>ROUND(E110-F110,1)</x:f>
        <x:v>25</x:v>
      </x:c>
      <x:c r="J110" s="23" t="str">
        <x:v>上证指数</x:v>
      </x:c>
    </x:row>
    <x:row r="111">
      <x:c r="A111" s="23" t="n">
        <x:v>9</x:v>
      </x:c>
      <x:c r="B111" s="23" t="str">
        <x:v>周四</x:v>
      </x:c>
      <x:c r="C111" s="23" t="str">
        <x:v>5月16日</x:v>
      </x:c>
      <x:c r="D111" s="24" t="n">
        <x:v>3127.184</x:v>
      </x:c>
      <x:c r="E111" s="24" t="n">
        <x:v>3137.878</x:v>
      </x:c>
      <x:c r="F111" s="24" t="n">
        <x:v>3116.163</x:v>
      </x:c>
      <x:c r="G111" s="24" t="n">
        <x:v>3122.401</x:v>
      </x:c>
      <x:c r="H111" s="25" t="n">
        <x:v>0.0008009866976590452</x:v>
      </x:c>
      <x:c r="I111" s="24" t="n">
        <x:f>ROUND(E111-F111,1)</x:f>
        <x:v>21.7</x:v>
      </x:c>
      <x:c r="J111" s="23" t="str">
        <x:v>上证指数</x:v>
      </x:c>
    </x:row>
    <x:row r="112">
      <x:c r="A112" s="29" t="n">
        <x:v>10</x:v>
      </x:c>
      <x:c r="B112" s="29" t="str">
        <x:v>周五</x:v>
      </x:c>
      <x:c r="C112" s="29" t="str">
        <x:v>5月17日</x:v>
      </x:c>
      <x:c r="D112" s="30" t="n">
        <x:v>3121.713</x:v>
      </x:c>
      <x:c r="E112" s="30" t="n">
        <x:v>3154.026</x:v>
      </x:c>
      <x:c r="F112" s="30" t="n">
        <x:v>3116.784</x:v>
      </x:c>
      <x:c r="G112" s="30" t="n">
        <x:v>3154.026</x:v>
      </x:c>
      <x:c r="H112" s="31" t="n">
        <x:v>0.010128423607345782</x:v>
      </x:c>
      <x:c r="I112" s="30" t="n">
        <x:f>ROUND(E112-F112,1)</x:f>
        <x:v>37.2</x:v>
      </x:c>
      <x:c r="J112" s="29" t="str">
        <x:v>上证指数</x:v>
      </x:c>
    </x:row>
    <x:row r="113">
      <x:c r="A113" s="23" t="n">
        <x:v>11</x:v>
      </x:c>
      <x:c r="B113" s="23" t="str">
        <x:v>周一</x:v>
      </x:c>
      <x:c r="C113" s="23" t="str">
        <x:v>5月20日</x:v>
      </x:c>
      <x:c r="D113" s="24" t="n">
        <x:v>3156.148</x:v>
      </x:c>
      <x:c r="E113" s="24" t="n">
        <x:v>3174.266</x:v>
      </x:c>
      <x:c r="F113" s="24" t="n">
        <x:v>3155.99</x:v>
      </x:c>
      <x:c r="G113" s="24" t="n">
        <x:v>3171.145</x:v>
      </x:c>
      <x:c r="H113" s="25" t="n">
        <x:v>0.0054276661004062365</x:v>
      </x:c>
      <x:c r="I113" s="24" t="n">
        <x:f>ROUND(E113-F113,1)</x:f>
        <x:v>18.3</x:v>
      </x:c>
      <x:c r="J113" s="23" t="str">
        <x:v>上证指数</x:v>
      </x:c>
    </x:row>
    <x:row r="114">
      <x:c r="A114" s="23" t="n">
        <x:v>12</x:v>
      </x:c>
      <x:c r="B114" s="23" t="str">
        <x:v>周二</x:v>
      </x:c>
      <x:c r="C114" s="23" t="str">
        <x:v>5月21日</x:v>
      </x:c>
      <x:c r="D114" s="24" t="n">
        <x:v>3164.683</x:v>
      </x:c>
      <x:c r="E114" s="24" t="n">
        <x:v>3165.224</x:v>
      </x:c>
      <x:c r="F114" s="24" t="n">
        <x:v>3148.342</x:v>
      </x:c>
      <x:c r="G114" s="24" t="n">
        <x:v>3157.966</x:v>
      </x:c>
      <x:c r="H114" s="25" t="n">
        <x:v>-0.004155912138990803</x:v>
      </x:c>
      <x:c r="I114" s="24" t="n">
        <x:f>ROUND(E114-F114,1)</x:f>
        <x:v>16.9</x:v>
      </x:c>
      <x:c r="J114" s="23" t="str">
        <x:v>上证指数</x:v>
      </x:c>
    </x:row>
    <x:row r="115">
      <x:c r="A115" s="23" t="n">
        <x:v>13</x:v>
      </x:c>
      <x:c r="B115" s="23" t="str">
        <x:v>周三</x:v>
      </x:c>
      <x:c r="C115" s="23" t="str">
        <x:v>5月22日</x:v>
      </x:c>
      <x:c r="D115" s="24" t="n">
        <x:v>3157.189</x:v>
      </x:c>
      <x:c r="E115" s="24" t="n">
        <x:v>3166.919</x:v>
      </x:c>
      <x:c r="F115" s="24" t="n">
        <x:v>3152.457</x:v>
      </x:c>
      <x:c r="G115" s="24" t="n">
        <x:v>3158.54</x:v>
      </x:c>
      <x:c r="H115" s="25" t="n">
        <x:v>0.00018176256489144116</x:v>
      </x:c>
      <x:c r="I115" s="24" t="n">
        <x:f>ROUND(E115-F115,1)</x:f>
        <x:v>14.5</x:v>
      </x:c>
      <x:c r="J115" s="23" t="str">
        <x:v>上证指数</x:v>
      </x:c>
    </x:row>
    <x:row r="116">
      <x:c r="A116" s="23" t="n">
        <x:v>14</x:v>
      </x:c>
      <x:c r="B116" s="23" t="str">
        <x:v>周四</x:v>
      </x:c>
      <x:c r="C116" s="23" t="str">
        <x:v>5月23日</x:v>
      </x:c>
      <x:c r="D116" s="24" t="n">
        <x:v>3149.875</x:v>
      </x:c>
      <x:c r="E116" s="24" t="n">
        <x:v>3150.628</x:v>
      </x:c>
      <x:c r="F116" s="24" t="n">
        <x:v>3110.277</x:v>
      </x:c>
      <x:c r="G116" s="24" t="n">
        <x:v>3116.387</x:v>
      </x:c>
      <x:c r="H116" s="25" t="n">
        <x:v>-0.013345723023928668</x:v>
      </x:c>
      <x:c r="I116" s="24" t="n">
        <x:f>ROUND(E116-F116,1)</x:f>
        <x:v>40.4</x:v>
      </x:c>
      <x:c r="J116" s="23" t="str">
        <x:v>上证指数</x:v>
      </x:c>
    </x:row>
    <x:row r="117">
      <x:c r="A117" s="23" t="n">
        <x:v>15</x:v>
      </x:c>
      <x:c r="B117" s="23" t="str">
        <x:v>周五</x:v>
      </x:c>
      <x:c r="C117" s="23" t="str">
        <x:v>5月24日</x:v>
      </x:c>
      <x:c r="D117" s="24" t="n">
        <x:v>3110.753</x:v>
      </x:c>
      <x:c r="E117" s="24" t="n">
        <x:v>3130.425</x:v>
      </x:c>
      <x:c r="F117" s="24" t="n">
        <x:v>3087.794</x:v>
      </x:c>
      <x:c r="G117" s="24" t="n">
        <x:v>3088.871</x:v>
      </x:c>
      <x:c r="H117" s="25" t="n">
        <x:v>-0.0088294553917726</x:v>
      </x:c>
      <x:c r="I117" s="24" t="n">
        <x:f>ROUND(E117-F117,1)</x:f>
        <x:v>42.6</x:v>
      </x:c>
      <x:c r="J117" s="23" t="str">
        <x:v>上证指数</x:v>
      </x:c>
    </x:row>
    <x:row r="118">
      <x:c r="A118" s="23" t="n">
        <x:v>16</x:v>
      </x:c>
      <x:c r="B118" s="23" t="str">
        <x:v>周一</x:v>
      </x:c>
      <x:c r="C118" s="23" t="str">
        <x:v>5月27日</x:v>
      </x:c>
      <x:c r="D118" s="24" t="n">
        <x:v>3094.14</x:v>
      </x:c>
      <x:c r="E118" s="24" t="n">
        <x:v>3125.506</x:v>
      </x:c>
      <x:c r="F118" s="24" t="n">
        <x:v>3091.989</x:v>
      </x:c>
      <x:c r="G118" s="24" t="n">
        <x:v>3124.043</x:v>
      </x:c>
      <x:c r="H118" s="25" t="n">
        <x:v>0.011386684649504542</x:v>
      </x:c>
      <x:c r="I118" s="24" t="n">
        <x:f>ROUND(E118-F118,1)</x:f>
        <x:v>33.5</x:v>
      </x:c>
      <x:c r="J118" s="23" t="str">
        <x:v>上证指数</x:v>
      </x:c>
    </x:row>
    <x:row r="119">
      <x:c r="A119" s="23" t="n">
        <x:v>17</x:v>
      </x:c>
      <x:c r="B119" s="23" t="str">
        <x:v>周二</x:v>
      </x:c>
      <x:c r="C119" s="23" t="str">
        <x:v>5月28日</x:v>
      </x:c>
      <x:c r="D119" s="24" t="n">
        <x:v>3122.388</x:v>
      </x:c>
      <x:c r="E119" s="24" t="n">
        <x:v>3130.31</x:v>
      </x:c>
      <x:c r="F119" s="24" t="n">
        <x:v>3106.365</x:v>
      </x:c>
      <x:c r="G119" s="24" t="n">
        <x:v>3109.572</x:v>
      </x:c>
      <x:c r="H119" s="25" t="n">
        <x:v>-0.004632138546108333</x:v>
      </x:c>
      <x:c r="I119" s="24" t="n">
        <x:f>ROUND(E119-F119,1)</x:f>
        <x:v>23.9</x:v>
      </x:c>
      <x:c r="J119" s="23" t="str">
        <x:v>上证指数</x:v>
      </x:c>
    </x:row>
    <x:row r="120">
      <x:c r="A120" s="23" t="n">
        <x:v>18</x:v>
      </x:c>
      <x:c r="B120" s="23" t="str">
        <x:v>周三</x:v>
      </x:c>
      <x:c r="C120" s="23" t="str">
        <x:v>5月29日</x:v>
      </x:c>
      <x:c r="D120" s="24" t="n">
        <x:v>3108.027</x:v>
      </x:c>
      <x:c r="E120" s="24" t="n">
        <x:v>3128.137</x:v>
      </x:c>
      <x:c r="F120" s="24" t="n">
        <x:v>3100.98</x:v>
      </x:c>
      <x:c r="G120" s="24" t="n">
        <x:v>3111.018</x:v>
      </x:c>
      <x:c r="H120" s="25" t="n">
        <x:v>0.00046501576422741664</x:v>
      </x:c>
      <x:c r="I120" s="24" t="n">
        <x:f>ROUND(E120-F120,1)</x:f>
        <x:v>27.2</x:v>
      </x:c>
      <x:c r="J120" s="23" t="str">
        <x:v>上证指数</x:v>
      </x:c>
    </x:row>
    <x:row r="121">
      <x:c r="A121" s="23" t="n">
        <x:v>19</x:v>
      </x:c>
      <x:c r="B121" s="23" t="str">
        <x:v>周四</x:v>
      </x:c>
      <x:c r="C121" s="23" t="str">
        <x:v>5月30日</x:v>
      </x:c>
      <x:c r="D121" s="24" t="n">
        <x:v>3103.708</x:v>
      </x:c>
      <x:c r="E121" s="24" t="n">
        <x:v>3121.218</x:v>
      </x:c>
      <x:c r="F121" s="24" t="n">
        <x:v>3085.384</x:v>
      </x:c>
      <x:c r="G121" s="24" t="n">
        <x:v>3091.678</x:v>
      </x:c>
      <x:c r="H121" s="25" t="n">
        <x:v>-0.006216614625823458</x:v>
      </x:c>
      <x:c r="I121" s="24" t="n">
        <x:f>ROUND(E121-F121,1)</x:f>
        <x:v>35.8</x:v>
      </x:c>
      <x:c r="J121" s="23" t="str">
        <x:v>上证指数</x:v>
      </x:c>
    </x:row>
    <x:row r="122">
      <x:c r="A122" s="23" t="n">
        <x:v>20</x:v>
      </x:c>
      <x:c r="B122" s="23" t="str">
        <x:v>周五</x:v>
      </x:c>
      <x:c r="C122" s="23" t="str">
        <x:v>5月31日</x:v>
      </x:c>
      <x:c r="D122" s="24" t="n">
        <x:v>3094.759</x:v>
      </x:c>
      <x:c r="E122" s="24" t="n">
        <x:v>3107.604</x:v>
      </x:c>
      <x:c r="F122" s="24" t="n">
        <x:v>3086.813</x:v>
      </x:c>
      <x:c r="G122" s="24" t="n">
        <x:v>3086.813</x:v>
      </x:c>
      <x:c r="H122" s="25" t="n">
        <x:v>-0.0015735791372839536</x:v>
      </x:c>
      <x:c r="I122" s="24" t="n">
        <x:f>ROUND(E122-F122,1)</x:f>
        <x:v>20.8</x:v>
      </x:c>
      <x:c r="J122" s="23" t="str">
        <x:v>上证指数</x:v>
      </x:c>
    </x:row>
    <x:row r="123">
      <x:c r="A123" s="36" t="str">
        <x:v>合计</x:v>
      </x:c>
      <x:c r="B123" s="35" t="n">
        <x:v>20</x:v>
      </x:c>
      <x:c r="C123" s="35"/>
      <x:c r="D123" s="35"/>
      <x:c r="E123" s="35"/>
      <x:c r="F123" s="35"/>
      <x:c r="G123" s="35"/>
      <x:c r="H123" s="35"/>
      <x:c r="I123" s="37" t="n">
        <x:f>ROUND(SUM(I103:I122),1)</x:f>
        <x:v>515.4</x:v>
      </x:c>
      <x:c r="J123" s="35"/>
    </x:row>
    <x:row r="124">
      <x:c r="A124" s="36" t="str">
        <x:v>均值</x:v>
      </x:c>
      <x:c r="B124" s="35"/>
      <x:c r="C124" s="35"/>
      <x:c r="D124" s="35"/>
      <x:c r="E124" s="35"/>
      <x:c r="F124" s="35"/>
      <x:c r="G124" s="35"/>
      <x:c r="H124" s="35"/>
      <x:c r="I124" s="39" t="n">
        <x:f>ROUND(IFERROR(AVERAGE(I103:I122),0),1)</x:f>
        <x:v>25.8</x:v>
      </x:c>
      <x:c r="J124" s="35"/>
    </x:row>
    <x:row r="126">
      <x:c r="A126" s="17" t="str">
        <x:v>6月</x:v>
      </x:c>
      <x:c r="B126" s="17"/>
      <x:c r="C126" s="17"/>
      <x:c r="D126" s="17"/>
      <x:c r="E126" s="17"/>
      <x:c r="F126" s="17"/>
      <x:c r="G126" s="17"/>
      <x:c r="H126" s="17"/>
      <x:c r="I126" s="17"/>
      <x:c r="J126" s="17"/>
    </x:row>
    <x:row r="127">
      <x:c r="A127" s="20" t="str">
        <x:v>序号</x:v>
      </x:c>
      <x:c r="B127" s="20" t="str">
        <x:v>星期</x:v>
      </x:c>
      <x:c r="C127" s="20" t="str">
        <x:v>日期</x:v>
      </x:c>
      <x:c r="D127" s="20" t="str">
        <x:v>开盘</x:v>
      </x:c>
      <x:c r="E127" s="20" t="str">
        <x:v>高点</x:v>
      </x:c>
      <x:c r="F127" s="20" t="str">
        <x:v>低点</x:v>
      </x:c>
      <x:c r="G127" s="20" t="str">
        <x:v>收盘</x:v>
      </x:c>
      <x:c r="H127" s="20" t="str">
        <x:v>涨幅</x:v>
      </x:c>
      <x:c r="I127" s="20" t="str">
        <x:v>振幅</x:v>
      </x:c>
      <x:c r="J127" s="20" t="str">
        <x:v>标的</x:v>
      </x:c>
    </x:row>
    <x:row r="128">
      <x:c r="A128" s="23" t="n">
        <x:v>1</x:v>
      </x:c>
      <x:c r="B128" s="23" t="str">
        <x:v>周一</x:v>
      </x:c>
      <x:c r="C128" s="23" t="str">
        <x:v>6月3日</x:v>
      </x:c>
      <x:c r="D128" s="24" t="n">
        <x:v>3085.981</x:v>
      </x:c>
      <x:c r="E128" s="24" t="n">
        <x:v>3097.204</x:v>
      </x:c>
      <x:c r="F128" s="24" t="n">
        <x:v>3061.277</x:v>
      </x:c>
      <x:c r="G128" s="24" t="n">
        <x:v>3078.489</x:v>
      </x:c>
      <x:c r="H128" s="25" t="n">
        <x:v>-0.002696632416670508</x:v>
      </x:c>
      <x:c r="I128" s="24" t="n">
        <x:f>ROUND(E128-F128,1)</x:f>
        <x:v>35.9</x:v>
      </x:c>
      <x:c r="J128" s="23" t="str">
        <x:v>上证指数</x:v>
      </x:c>
    </x:row>
    <x:row r="129">
      <x:c r="A129" s="23" t="n">
        <x:v>2</x:v>
      </x:c>
      <x:c r="B129" s="23" t="str">
        <x:v>周二</x:v>
      </x:c>
      <x:c r="C129" s="23" t="str">
        <x:v>6月4日</x:v>
      </x:c>
      <x:c r="D129" s="24" t="n">
        <x:v>3071.32</x:v>
      </x:c>
      <x:c r="E129" s="24" t="n">
        <x:v>3095.322</x:v>
      </x:c>
      <x:c r="F129" s="24" t="n">
        <x:v>3063.588</x:v>
      </x:c>
      <x:c r="G129" s="24" t="n">
        <x:v>3091.199</x:v>
      </x:c>
      <x:c r="H129" s="25" t="n">
        <x:v>0.004128648827395498</x:v>
      </x:c>
      <x:c r="I129" s="24" t="n">
        <x:f>ROUND(E129-F129,1)</x:f>
        <x:v>31.7</x:v>
      </x:c>
      <x:c r="J129" s="23" t="str">
        <x:v>上证指数</x:v>
      </x:c>
    </x:row>
    <x:row r="130">
      <x:c r="A130" s="23" t="n">
        <x:v>3</x:v>
      </x:c>
      <x:c r="B130" s="23" t="str">
        <x:v>周三</x:v>
      </x:c>
      <x:c r="C130" s="23" t="str">
        <x:v>6月5日</x:v>
      </x:c>
      <x:c r="D130" s="24" t="n">
        <x:v>3086.051</x:v>
      </x:c>
      <x:c r="E130" s="24" t="n">
        <x:v>3092.346</x:v>
      </x:c>
      <x:c r="F130" s="24" t="n">
        <x:v>3064.736</x:v>
      </x:c>
      <x:c r="G130" s="24" t="n">
        <x:v>3065.403</x:v>
      </x:c>
      <x:c r="H130" s="25" t="n">
        <x:v>-0.008344981995659362</x:v>
      </x:c>
      <x:c r="I130" s="24" t="n">
        <x:f>ROUND(E130-F130,1)</x:f>
        <x:v>27.6</x:v>
      </x:c>
      <x:c r="J130" s="23" t="str">
        <x:v>上证指数</x:v>
      </x:c>
    </x:row>
    <x:row r="131">
      <x:c r="A131" s="23" t="n">
        <x:v>4</x:v>
      </x:c>
      <x:c r="B131" s="23" t="str">
        <x:v>周四</x:v>
      </x:c>
      <x:c r="C131" s="23" t="str">
        <x:v>6月6日</x:v>
      </x:c>
      <x:c r="D131" s="24" t="n">
        <x:v>3069.439</x:v>
      </x:c>
      <x:c r="E131" s="24" t="n">
        <x:v>3077.673</x:v>
      </x:c>
      <x:c r="F131" s="24" t="n">
        <x:v>3040.83</x:v>
      </x:c>
      <x:c r="G131" s="24" t="n">
        <x:v>3048.794</x:v>
      </x:c>
      <x:c r="H131" s="25" t="n">
        <x:v>-0.005418210917129018</x:v>
      </x:c>
      <x:c r="I131" s="24" t="n">
        <x:f>ROUND(E131-F131,1)</x:f>
        <x:v>36.8</x:v>
      </x:c>
      <x:c r="J131" s="23" t="str">
        <x:v>上证指数</x:v>
      </x:c>
    </x:row>
    <x:row r="132">
      <x:c r="A132" s="23" t="n">
        <x:v>5</x:v>
      </x:c>
      <x:c r="B132" s="23" t="str">
        <x:v>周五</x:v>
      </x:c>
      <x:c r="C132" s="23" t="str">
        <x:v>6月7日</x:v>
      </x:c>
      <x:c r="D132" s="24" t="n">
        <x:v>3053.915</x:v>
      </x:c>
      <x:c r="E132" s="24" t="n">
        <x:v>3065.025</x:v>
      </x:c>
      <x:c r="F132" s="24" t="n">
        <x:v>3031.044</x:v>
      </x:c>
      <x:c r="G132" s="24" t="n">
        <x:v>3051.279</x:v>
      </x:c>
      <x:c r="H132" s="25" t="n">
        <x:v>0.0008150763875813816</x:v>
      </x:c>
      <x:c r="I132" s="24" t="n">
        <x:f>ROUND(E132-F132,1)</x:f>
        <x:v>34</x:v>
      </x:c>
      <x:c r="J132" s="23" t="str">
        <x:v>上证指数</x:v>
      </x:c>
    </x:row>
    <x:row r="133">
      <x:c r="A133" s="23" t="n">
        <x:v>6</x:v>
      </x:c>
      <x:c r="B133" s="23" t="str">
        <x:v>周二</x:v>
      </x:c>
      <x:c r="C133" s="23" t="str">
        <x:v>6月11日</x:v>
      </x:c>
      <x:c r="D133" s="24" t="n">
        <x:v>3042.134</x:v>
      </x:c>
      <x:c r="E133" s="24" t="n">
        <x:v>3043.2</x:v>
      </x:c>
      <x:c r="F133" s="24" t="n">
        <x:v>3013.861</x:v>
      </x:c>
      <x:c r="G133" s="24" t="n">
        <x:v>3028.045</x:v>
      </x:c>
      <x:c r="H133" s="25" t="n">
        <x:v>-0.0076145118161924374</x:v>
      </x:c>
      <x:c r="I133" s="24" t="n">
        <x:f>ROUND(E133-F133,1)</x:f>
        <x:v>29.3</x:v>
      </x:c>
      <x:c r="J133" s="23" t="str">
        <x:v>上证指数</x:v>
      </x:c>
    </x:row>
    <x:row r="134">
      <x:c r="A134" s="23" t="n">
        <x:v>7</x:v>
      </x:c>
      <x:c r="B134" s="23" t="str">
        <x:v>周三</x:v>
      </x:c>
      <x:c r="C134" s="23" t="str">
        <x:v>6月12日</x:v>
      </x:c>
      <x:c r="D134" s="24" t="n">
        <x:v>3025.296</x:v>
      </x:c>
      <x:c r="E134" s="24" t="n">
        <x:v>3042.042</x:v>
      </x:c>
      <x:c r="F134" s="24" t="n">
        <x:v>3021.309</x:v>
      </x:c>
      <x:c r="G134" s="24" t="n">
        <x:v>3037.468</x:v>
      </x:c>
      <x:c r="H134" s="25" t="n">
        <x:v>0.003111908838871136</x:v>
      </x:c>
      <x:c r="I134" s="24" t="n">
        <x:f>ROUND(E134-F134,1)</x:f>
        <x:v>20.7</x:v>
      </x:c>
      <x:c r="J134" s="23" t="str">
        <x:v>上证指数</x:v>
      </x:c>
    </x:row>
    <x:row r="135">
      <x:c r="A135" s="23" t="n">
        <x:v>8</x:v>
      </x:c>
      <x:c r="B135" s="23" t="str">
        <x:v>周四</x:v>
      </x:c>
      <x:c r="C135" s="23" t="str">
        <x:v>6月13日</x:v>
      </x:c>
      <x:c r="D135" s="24" t="n">
        <x:v>3038.086</x:v>
      </x:c>
      <x:c r="E135" s="24" t="n">
        <x:v>3040.402</x:v>
      </x:c>
      <x:c r="F135" s="24" t="n">
        <x:v>3022.822</x:v>
      </x:c>
      <x:c r="G135" s="24" t="n">
        <x:v>3028.919</x:v>
      </x:c>
      <x:c r="H135" s="25" t="n">
        <x:v>-0.002814515247568039</x:v>
      </x:c>
      <x:c r="I135" s="24" t="n">
        <x:f>ROUND(E135-F135,1)</x:f>
        <x:v>17.6</x:v>
      </x:c>
      <x:c r="J135" s="23" t="str">
        <x:v>上证指数</x:v>
      </x:c>
    </x:row>
    <x:row r="136">
      <x:c r="A136" s="23" t="n">
        <x:v>9</x:v>
      </x:c>
      <x:c r="B136" s="23" t="str">
        <x:v>周五</x:v>
      </x:c>
      <x:c r="C136" s="23" t="str">
        <x:v>6月14日</x:v>
      </x:c>
      <x:c r="D136" s="24" t="n">
        <x:v>3020.959</x:v>
      </x:c>
      <x:c r="E136" s="24" t="n">
        <x:v>3037.905</x:v>
      </x:c>
      <x:c r="F136" s="24" t="n">
        <x:v>3011.577</x:v>
      </x:c>
      <x:c r="G136" s="24" t="n">
        <x:v>3032.633</x:v>
      </x:c>
      <x:c r="H136" s="25" t="n">
        <x:v>0.0012261800332065143</x:v>
      </x:c>
      <x:c r="I136" s="24" t="n">
        <x:f>ROUND(E136-F136,1)</x:f>
        <x:v>26.3</x:v>
      </x:c>
      <x:c r="J136" s="23" t="str">
        <x:v>上证指数</x:v>
      </x:c>
    </x:row>
    <x:row r="137">
      <x:c r="A137" s="23" t="n">
        <x:v>10</x:v>
      </x:c>
      <x:c r="B137" s="23" t="str">
        <x:v>周一</x:v>
      </x:c>
      <x:c r="C137" s="23" t="str">
        <x:v>6月17日</x:v>
      </x:c>
      <x:c r="D137" s="24" t="n">
        <x:v>3017.717</x:v>
      </x:c>
      <x:c r="E137" s="24" t="n">
        <x:v>3026.624</x:v>
      </x:c>
      <x:c r="F137" s="24" t="n">
        <x:v>3012.045</x:v>
      </x:c>
      <x:c r="G137" s="24" t="n">
        <x:v>3015.891</x:v>
      </x:c>
      <x:c r="H137" s="25" t="n">
        <x:v>-0.005520615254137162</x:v>
      </x:c>
      <x:c r="I137" s="24" t="n">
        <x:f>ROUND(E137-F137,1)</x:f>
        <x:v>14.6</x:v>
      </x:c>
      <x:c r="J137" s="23" t="str">
        <x:v>上证指数</x:v>
      </x:c>
    </x:row>
    <x:row r="138">
      <x:c r="A138" s="23" t="n">
        <x:v>11</x:v>
      </x:c>
      <x:c r="B138" s="23" t="str">
        <x:v>周二</x:v>
      </x:c>
      <x:c r="C138" s="23" t="str">
        <x:v>6月18日</x:v>
      </x:c>
      <x:c r="D138" s="24" t="n">
        <x:v>3015.071</x:v>
      </x:c>
      <x:c r="E138" s="24" t="n">
        <x:v>3031.976</x:v>
      </x:c>
      <x:c r="F138" s="24" t="n">
        <x:v>3012.523</x:v>
      </x:c>
      <x:c r="G138" s="24" t="n">
        <x:v>3030.246</x:v>
      </x:c>
      <x:c r="H138" s="25" t="n">
        <x:v>0.004759787406109828</x:v>
      </x:c>
      <x:c r="I138" s="24" t="n">
        <x:f>ROUND(E138-F138,1)</x:f>
        <x:v>19.5</x:v>
      </x:c>
      <x:c r="J138" s="23" t="str">
        <x:v>上证指数</x:v>
      </x:c>
    </x:row>
    <x:row r="139">
      <x:c r="A139" s="23" t="n">
        <x:v>12</x:v>
      </x:c>
      <x:c r="B139" s="23" t="str">
        <x:v>周三</x:v>
      </x:c>
      <x:c r="C139" s="23" t="str">
        <x:v>6月19日</x:v>
      </x:c>
      <x:c r="D139" s="24" t="n">
        <x:v>3029.099</x:v>
      </x:c>
      <x:c r="E139" s="24" t="n">
        <x:v>3030.226</x:v>
      </x:c>
      <x:c r="F139" s="24" t="n">
        <x:v>3015.326</x:v>
      </x:c>
      <x:c r="G139" s="24" t="n">
        <x:v>3018.049</x:v>
      </x:c>
      <x:c r="H139" s="25" t="n">
        <x:v>-0.0040250857521139105</x:v>
      </x:c>
      <x:c r="I139" s="24" t="n">
        <x:f>ROUND(E139-F139,1)</x:f>
        <x:v>14.9</x:v>
      </x:c>
      <x:c r="J139" s="23" t="str">
        <x:v>上证指数</x:v>
      </x:c>
    </x:row>
    <x:row r="140">
      <x:c r="A140" s="23" t="n">
        <x:v>13</x:v>
      </x:c>
      <x:c r="B140" s="23" t="str">
        <x:v>周四</x:v>
      </x:c>
      <x:c r="C140" s="23" t="str">
        <x:v>6月20日</x:v>
      </x:c>
      <x:c r="D140" s="24" t="n">
        <x:v>3015.722</x:v>
      </x:c>
      <x:c r="E140" s="24" t="n">
        <x:v>3028.514</x:v>
      </x:c>
      <x:c r="F140" s="24" t="n">
        <x:v>3001.768</x:v>
      </x:c>
      <x:c r="G140" s="24" t="n">
        <x:v>3005.437</x:v>
      </x:c>
      <x:c r="H140" s="25" t="n">
        <x:v>-0.004178858593747226</x:v>
      </x:c>
      <x:c r="I140" s="24" t="n">
        <x:f>ROUND(E140-F140,1)</x:f>
        <x:v>26.7</x:v>
      </x:c>
      <x:c r="J140" s="23" t="str">
        <x:v>上证指数</x:v>
      </x:c>
    </x:row>
    <x:row r="141">
      <x:c r="A141" s="29" t="n">
        <x:v>14</x:v>
      </x:c>
      <x:c r="B141" s="29" t="str">
        <x:v>周五</x:v>
      </x:c>
      <x:c r="C141" s="29" t="str">
        <x:v>6月21日</x:v>
      </x:c>
      <x:c r="D141" s="30" t="n">
        <x:v>2998.241</x:v>
      </x:c>
      <x:c r="E141" s="30" t="n">
        <x:v>3011.914</x:v>
      </x:c>
      <x:c r="F141" s="30" t="n">
        <x:v>2985.929</x:v>
      </x:c>
      <x:c r="G141" s="30" t="n">
        <x:v>2998.138</x:v>
      </x:c>
      <x:c r="H141" s="31" t="n">
        <x:v>-0.0024285985698585533</x:v>
      </x:c>
      <x:c r="I141" s="30" t="n">
        <x:f>ROUND(E141-F141,1)</x:f>
        <x:v>26</x:v>
      </x:c>
      <x:c r="J141" s="29" t="str">
        <x:v>上证指数</x:v>
      </x:c>
    </x:row>
    <x:row r="142">
      <x:c r="A142" s="23" t="n">
        <x:v>15</x:v>
      </x:c>
      <x:c r="B142" s="23" t="str">
        <x:v>周一</x:v>
      </x:c>
      <x:c r="C142" s="23" t="str">
        <x:v>6月24日</x:v>
      </x:c>
      <x:c r="D142" s="24" t="n">
        <x:v>2982.826</x:v>
      </x:c>
      <x:c r="E142" s="24" t="n">
        <x:v>2990.643</x:v>
      </x:c>
      <x:c r="F142" s="24" t="n">
        <x:v>2960.127</x:v>
      </x:c>
      <x:c r="G142" s="24" t="n">
        <x:v>2963.099</x:v>
      </x:c>
      <x:c r="H142" s="25" t="n">
        <x:v>-0.01168692034856289</x:v>
      </x:c>
      <x:c r="I142" s="24" t="n">
        <x:f>ROUND(E142-F142,1)</x:f>
        <x:v>30.5</x:v>
      </x:c>
      <x:c r="J142" s="23" t="str">
        <x:v>上证指数</x:v>
      </x:c>
    </x:row>
    <x:row r="143">
      <x:c r="A143" s="23" t="n">
        <x:v>16</x:v>
      </x:c>
      <x:c r="B143" s="23" t="str">
        <x:v>周二</x:v>
      </x:c>
      <x:c r="C143" s="23" t="str">
        <x:v>6月25日</x:v>
      </x:c>
      <x:c r="D143" s="24" t="n">
        <x:v>2962.765</x:v>
      </x:c>
      <x:c r="E143" s="24" t="n">
        <x:v>2971.653</x:v>
      </x:c>
      <x:c r="F143" s="24" t="n">
        <x:v>2935.538</x:v>
      </x:c>
      <x:c r="G143" s="24" t="n">
        <x:v>2949.996</x:v>
      </x:c>
      <x:c r="H143" s="25" t="n">
        <x:v>-0.004422059472194539</x:v>
      </x:c>
      <x:c r="I143" s="24" t="n">
        <x:f>ROUND(E143-F143,1)</x:f>
        <x:v>36.1</x:v>
      </x:c>
      <x:c r="J143" s="23" t="str">
        <x:v>上证指数</x:v>
      </x:c>
    </x:row>
    <x:row r="144">
      <x:c r="A144" s="23" t="n">
        <x:v>17</x:v>
      </x:c>
      <x:c r="B144" s="23" t="str">
        <x:v>周三</x:v>
      </x:c>
      <x:c r="C144" s="23" t="str">
        <x:v>6月26日</x:v>
      </x:c>
      <x:c r="D144" s="24" t="n">
        <x:v>2943.447</x:v>
      </x:c>
      <x:c r="E144" s="24" t="n">
        <x:v>2976.669</x:v>
      </x:c>
      <x:c r="F144" s="24" t="n">
        <x:v>2933.33</x:v>
      </x:c>
      <x:c r="G144" s="24" t="n">
        <x:v>2972.525</x:v>
      </x:c>
      <x:c r="H144" s="25" t="n">
        <x:v>0.007636959507741681</x:v>
      </x:c>
      <x:c r="I144" s="24" t="n">
        <x:f>ROUND(E144-F144,1)</x:f>
        <x:v>43.3</x:v>
      </x:c>
      <x:c r="J144" s="23" t="str">
        <x:v>上证指数</x:v>
      </x:c>
    </x:row>
    <x:row r="145">
      <x:c r="A145" s="23" t="n">
        <x:v>18</x:v>
      </x:c>
      <x:c r="B145" s="23" t="str">
        <x:v>周四</x:v>
      </x:c>
      <x:c r="C145" s="23" t="str">
        <x:v>6月27日</x:v>
      </x:c>
      <x:c r="D145" s="24" t="n">
        <x:v>2962.696</x:v>
      </x:c>
      <x:c r="E145" s="24" t="n">
        <x:v>2963.064</x:v>
      </x:c>
      <x:c r="F145" s="24" t="n">
        <x:v>2944.898</x:v>
      </x:c>
      <x:c r="G145" s="24" t="n">
        <x:v>2945.852</x:v>
      </x:c>
      <x:c r="H145" s="25" t="n">
        <x:v>-0.00897317936770936</x:v>
      </x:c>
      <x:c r="I145" s="24" t="n">
        <x:f>ROUND(E145-F145,1)</x:f>
        <x:v>18.2</x:v>
      </x:c>
      <x:c r="J145" s="23" t="str">
        <x:v>上证指数</x:v>
      </x:c>
    </x:row>
    <x:row r="146">
      <x:c r="A146" s="23" t="n">
        <x:v>19</x:v>
      </x:c>
      <x:c r="B146" s="23" t="str">
        <x:v>周五</x:v>
      </x:c>
      <x:c r="C146" s="23" t="str">
        <x:v>6月28日</x:v>
      </x:c>
      <x:c r="D146" s="24" t="n">
        <x:v>2940.303</x:v>
      </x:c>
      <x:c r="E146" s="24" t="n">
        <x:v>2985.468</x:v>
      </x:c>
      <x:c r="F146" s="24" t="n">
        <x:v>2939.984</x:v>
      </x:c>
      <x:c r="G146" s="24" t="n">
        <x:v>2967.403</x:v>
      </x:c>
      <x:c r="H146" s="25" t="n">
        <x:v>0.00731571036155243</x:v>
      </x:c>
      <x:c r="I146" s="24" t="n">
        <x:f>ROUND(E146-F146,1)</x:f>
        <x:v>45.5</x:v>
      </x:c>
      <x:c r="J146" s="23" t="str">
        <x:v>上证指数</x:v>
      </x:c>
    </x:row>
    <x:row r="147">
      <x:c r="A147" s="36" t="str">
        <x:v>合计</x:v>
      </x:c>
      <x:c r="B147" s="35" t="n">
        <x:v>19</x:v>
      </x:c>
      <x:c r="C147" s="35"/>
      <x:c r="D147" s="35"/>
      <x:c r="E147" s="35"/>
      <x:c r="F147" s="35"/>
      <x:c r="G147" s="35"/>
      <x:c r="H147" s="35"/>
      <x:c r="I147" s="37" t="n">
        <x:f>ROUND(SUM(I128:I146),1)</x:f>
        <x:v>535.2</x:v>
      </x:c>
      <x:c r="J147" s="35"/>
    </x:row>
    <x:row r="148">
      <x:c r="A148" s="36" t="str">
        <x:v>均值</x:v>
      </x:c>
      <x:c r="B148" s="35"/>
      <x:c r="C148" s="35"/>
      <x:c r="D148" s="35"/>
      <x:c r="E148" s="35"/>
      <x:c r="F148" s="35"/>
      <x:c r="G148" s="35"/>
      <x:c r="H148" s="35"/>
      <x:c r="I148" s="39" t="n">
        <x:f>ROUND(IFERROR(AVERAGE(I128:I146),0),1)</x:f>
        <x:v>28.2</x:v>
      </x:c>
      <x:c r="J148" s="35"/>
    </x:row>
    <x:row r="150">
      <x:c r="A150" s="17" t="str">
        <x:v>7月</x:v>
      </x:c>
      <x:c r="B150" s="17"/>
      <x:c r="C150" s="17"/>
      <x:c r="D150" s="17"/>
      <x:c r="E150" s="17"/>
      <x:c r="F150" s="17"/>
      <x:c r="G150" s="17"/>
      <x:c r="H150" s="17"/>
      <x:c r="I150" s="17"/>
      <x:c r="J150" s="17"/>
    </x:row>
    <x:row r="151">
      <x:c r="A151" s="20" t="str">
        <x:v>序号</x:v>
      </x:c>
      <x:c r="B151" s="20" t="str">
        <x:v>星期</x:v>
      </x:c>
      <x:c r="C151" s="20" t="str">
        <x:v>日期</x:v>
      </x:c>
      <x:c r="D151" s="20" t="str">
        <x:v>开盘</x:v>
      </x:c>
      <x:c r="E151" s="20" t="str">
        <x:v>高点</x:v>
      </x:c>
      <x:c r="F151" s="20" t="str">
        <x:v>低点</x:v>
      </x:c>
      <x:c r="G151" s="20" t="str">
        <x:v>收盘</x:v>
      </x:c>
      <x:c r="H151" s="20" t="str">
        <x:v>涨幅</x:v>
      </x:c>
      <x:c r="I151" s="20" t="str">
        <x:v>振幅</x:v>
      </x:c>
      <x:c r="J151" s="20" t="str">
        <x:v>标的</x:v>
      </x:c>
    </x:row>
    <x:row r="152">
      <x:c r="A152" s="23" t="n">
        <x:v>1</x:v>
      </x:c>
      <x:c r="B152" s="23" t="str">
        <x:v>周一</x:v>
      </x:c>
      <x:c r="C152" s="23" t="str">
        <x:v>7月1日</x:v>
      </x:c>
      <x:c r="D152" s="24" t="n">
        <x:v>2965.245</x:v>
      </x:c>
      <x:c r="E152" s="24" t="n">
        <x:v>2996.409</x:v>
      </x:c>
      <x:c r="F152" s="24" t="n">
        <x:v>2961.856</x:v>
      </x:c>
      <x:c r="G152" s="24" t="n">
        <x:v>2994.73</x:v>
      </x:c>
      <x:c r="H152" s="25" t="n">
        <x:v>0.00920906260457377</x:v>
      </x:c>
      <x:c r="I152" s="24" t="n">
        <x:f>ROUND(E152-F152,1)</x:f>
        <x:v>34.6</x:v>
      </x:c>
      <x:c r="J152" s="23" t="str">
        <x:v>上证指数</x:v>
      </x:c>
    </x:row>
    <x:row r="153">
      <x:c r="A153" s="23" t="n">
        <x:v>2</x:v>
      </x:c>
      <x:c r="B153" s="23" t="str">
        <x:v>周二</x:v>
      </x:c>
      <x:c r="C153" s="23" t="str">
        <x:v>7月2日</x:v>
      </x:c>
      <x:c r="D153" s="24" t="n">
        <x:v>2992.856</x:v>
      </x:c>
      <x:c r="E153" s="24" t="n">
        <x:v>3004.987</x:v>
      </x:c>
      <x:c r="F153" s="24" t="n">
        <x:v>2989.47</x:v>
      </x:c>
      <x:c r="G153" s="24" t="n">
        <x:v>2997.011</x:v>
      </x:c>
      <x:c r="H153" s="25" t="n">
        <x:v>0.0007616713359801519</x:v>
      </x:c>
      <x:c r="I153" s="24" t="n">
        <x:f>ROUND(E153-F153,1)</x:f>
        <x:v>15.5</x:v>
      </x:c>
      <x:c r="J153" s="23" t="str">
        <x:v>上证指数</x:v>
      </x:c>
    </x:row>
    <x:row r="154">
      <x:c r="A154" s="23" t="n">
        <x:v>3</x:v>
      </x:c>
      <x:c r="B154" s="23" t="str">
        <x:v>周三</x:v>
      </x:c>
      <x:c r="C154" s="23" t="str">
        <x:v>7月3日</x:v>
      </x:c>
      <x:c r="D154" s="24" t="n">
        <x:v>2995.664</x:v>
      </x:c>
      <x:c r="E154" s="24" t="n">
        <x:v>2998.537</x:v>
      </x:c>
      <x:c r="F154" s="24" t="n">
        <x:v>2978.069</x:v>
      </x:c>
      <x:c r="G154" s="24" t="n">
        <x:v>2982.376</x:v>
      </x:c>
      <x:c r="H154" s="25" t="n">
        <x:v>-0.004883198626898566</x:v>
      </x:c>
      <x:c r="I154" s="24" t="n">
        <x:f>ROUND(E154-F154,1)</x:f>
        <x:v>20.5</x:v>
      </x:c>
      <x:c r="J154" s="23" t="str">
        <x:v>上证指数</x:v>
      </x:c>
    </x:row>
    <x:row r="155">
      <x:c r="A155" s="23" t="n">
        <x:v>4</x:v>
      </x:c>
      <x:c r="B155" s="23" t="str">
        <x:v>周四</x:v>
      </x:c>
      <x:c r="C155" s="23" t="str">
        <x:v>7月4日</x:v>
      </x:c>
      <x:c r="D155" s="24" t="n">
        <x:v>2984.83</x:v>
      </x:c>
      <x:c r="E155" s="24" t="n">
        <x:v>2995.57</x:v>
      </x:c>
      <x:c r="F155" s="24" t="n">
        <x:v>2955.29</x:v>
      </x:c>
      <x:c r="G155" s="24" t="n">
        <x:v>2957.567</x:v>
      </x:c>
      <x:c r="H155" s="25" t="n">
        <x:v>-0.008318535288642459</x:v>
      </x:c>
      <x:c r="I155" s="24" t="n">
        <x:f>ROUND(E155-F155,1)</x:f>
        <x:v>40.3</x:v>
      </x:c>
      <x:c r="J155" s="23" t="str">
        <x:v>上证指数</x:v>
      </x:c>
    </x:row>
    <x:row r="156">
      <x:c r="A156" s="23" t="n">
        <x:v>5</x:v>
      </x:c>
      <x:c r="B156" s="23" t="str">
        <x:v>周五</x:v>
      </x:c>
      <x:c r="C156" s="23" t="str">
        <x:v>7月5日</x:v>
      </x:c>
      <x:c r="D156" s="24" t="n">
        <x:v>2954.372</x:v>
      </x:c>
      <x:c r="E156" s="24" t="n">
        <x:v>2957.107</x:v>
      </x:c>
      <x:c r="F156" s="24" t="n">
        <x:v>2920.205</x:v>
      </x:c>
      <x:c r="G156" s="24" t="n">
        <x:v>2949.933</x:v>
      </x:c>
      <x:c r="H156" s="25" t="n">
        <x:v>-0.002581175675817282</x:v>
      </x:c>
      <x:c r="I156" s="24" t="n">
        <x:f>ROUND(E156-F156,1)</x:f>
        <x:v>36.9</x:v>
      </x:c>
      <x:c r="J156" s="23" t="str">
        <x:v>上证指数</x:v>
      </x:c>
    </x:row>
    <x:row r="157">
      <x:c r="A157" s="23" t="n">
        <x:v>6</x:v>
      </x:c>
      <x:c r="B157" s="23" t="str">
        <x:v>周一</x:v>
      </x:c>
      <x:c r="C157" s="23" t="str">
        <x:v>7月8日</x:v>
      </x:c>
      <x:c r="D157" s="24" t="n">
        <x:v>2939.837</x:v>
      </x:c>
      <x:c r="E157" s="24" t="n">
        <x:v>2947.61</x:v>
      </x:c>
      <x:c r="F157" s="24" t="n">
        <x:v>2917.232</x:v>
      </x:c>
      <x:c r="G157" s="24" t="n">
        <x:v>2922.45</x:v>
      </x:c>
      <x:c r="H157" s="25" t="n">
        <x:v>-0.009316482781134394</x:v>
      </x:c>
      <x:c r="I157" s="24" t="n">
        <x:f>ROUND(E157-F157,1)</x:f>
        <x:v>30.4</x:v>
      </x:c>
      <x:c r="J157" s="23" t="str">
        <x:v>上证指数</x:v>
      </x:c>
    </x:row>
    <x:row r="158">
      <x:c r="A158" s="23" t="n">
        <x:v>7</x:v>
      </x:c>
      <x:c r="B158" s="23" t="str">
        <x:v>周二</x:v>
      </x:c>
      <x:c r="C158" s="23" t="str">
        <x:v>7月9日</x:v>
      </x:c>
      <x:c r="D158" s="24" t="n">
        <x:v>2919.573</x:v>
      </x:c>
      <x:c r="E158" s="24" t="n">
        <x:v>2963.782</x:v>
      </x:c>
      <x:c r="F158" s="24" t="n">
        <x:v>2904.039</x:v>
      </x:c>
      <x:c r="G158" s="24" t="n">
        <x:v>2959.372</x:v>
      </x:c>
      <x:c r="H158" s="25" t="n">
        <x:v>0.012633920169720536</x:v>
      </x:c>
      <x:c r="I158" s="33" t="n">
        <x:f>ROUND(E158-F158,1)</x:f>
        <x:v>59.7</x:v>
      </x:c>
      <x:c r="J158" s="23" t="str">
        <x:v>上证指数</x:v>
      </x:c>
    </x:row>
    <x:row r="159">
      <x:c r="A159" s="23" t="n">
        <x:v>8</x:v>
      </x:c>
      <x:c r="B159" s="23" t="str">
        <x:v>周三</x:v>
      </x:c>
      <x:c r="C159" s="23" t="str">
        <x:v>7月10日</x:v>
      </x:c>
      <x:c r="D159" s="24" t="n">
        <x:v>2949.026</x:v>
      </x:c>
      <x:c r="E159" s="24" t="n">
        <x:v>2958.859</x:v>
      </x:c>
      <x:c r="F159" s="24" t="n">
        <x:v>2935.33</x:v>
      </x:c>
      <x:c r="G159" s="24" t="n">
        <x:v>2939.364</x:v>
      </x:c>
      <x:c r="H159" s="25" t="n">
        <x:v>-0.006760893865319972</x:v>
      </x:c>
      <x:c r="I159" s="24" t="n">
        <x:f>ROUND(E159-F159,1)</x:f>
        <x:v>23.5</x:v>
      </x:c>
      <x:c r="J159" s="23" t="str">
        <x:v>上证指数</x:v>
      </x:c>
    </x:row>
    <x:row r="160">
      <x:c r="A160" s="23" t="n">
        <x:v>9</x:v>
      </x:c>
      <x:c r="B160" s="23" t="str">
        <x:v>周四</x:v>
      </x:c>
      <x:c r="C160" s="23" t="str">
        <x:v>7月11日</x:v>
      </x:c>
      <x:c r="D160" s="24" t="n">
        <x:v>2957.25</x:v>
      </x:c>
      <x:c r="E160" s="24" t="n">
        <x:v>2971.361</x:v>
      </x:c>
      <x:c r="F160" s="24" t="n">
        <x:v>2947.403</x:v>
      </x:c>
      <x:c r="G160" s="24" t="n">
        <x:v>2970.387</x:v>
      </x:c>
      <x:c r="H160" s="25" t="n">
        <x:v>0.010554323996619708</x:v>
      </x:c>
      <x:c r="I160" s="24" t="n">
        <x:f>ROUND(E160-F160,1)</x:f>
        <x:v>24</x:v>
      </x:c>
      <x:c r="J160" s="23" t="str">
        <x:v>上证指数</x:v>
      </x:c>
    </x:row>
    <x:row r="161">
      <x:c r="A161" s="23" t="n">
        <x:v>10</x:v>
      </x:c>
      <x:c r="B161" s="23" t="str">
        <x:v>周五</x:v>
      </x:c>
      <x:c r="C161" s="23" t="str">
        <x:v>7月12日</x:v>
      </x:c>
      <x:c r="D161" s="24" t="n">
        <x:v>2965.612</x:v>
      </x:c>
      <x:c r="E161" s="24" t="n">
        <x:v>2977.142</x:v>
      </x:c>
      <x:c r="F161" s="24" t="n">
        <x:v>2963.303</x:v>
      </x:c>
      <x:c r="G161" s="24" t="n">
        <x:v>2971.295</x:v>
      </x:c>
      <x:c r="H161" s="25" t="n">
        <x:v>0.00030568407416264876</x:v>
      </x:c>
      <x:c r="I161" s="24" t="n">
        <x:f>ROUND(E161-F161,1)</x:f>
        <x:v>13.8</x:v>
      </x:c>
      <x:c r="J161" s="23" t="str">
        <x:v>上证指数</x:v>
      </x:c>
    </x:row>
    <x:row r="162">
      <x:c r="A162" s="23" t="n">
        <x:v>11</x:v>
      </x:c>
      <x:c r="B162" s="23" t="str">
        <x:v>周一</x:v>
      </x:c>
      <x:c r="C162" s="23" t="str">
        <x:v>7月15日</x:v>
      </x:c>
      <x:c r="D162" s="24" t="n">
        <x:v>2963.847</x:v>
      </x:c>
      <x:c r="E162" s="24" t="n">
        <x:v>2977.313</x:v>
      </x:c>
      <x:c r="F162" s="24" t="n">
        <x:v>2959.129</x:v>
      </x:c>
      <x:c r="G162" s="24" t="n">
        <x:v>2974.011</x:v>
      </x:c>
      <x:c r="H162" s="25" t="n">
        <x:v>0.0009140795511721755</x:v>
      </x:c>
      <x:c r="I162" s="24" t="n">
        <x:f>ROUND(E162-F162,1)</x:f>
        <x:v>18.2</x:v>
      </x:c>
      <x:c r="J162" s="23" t="str">
        <x:v>上证指数</x:v>
      </x:c>
    </x:row>
    <x:row r="163">
      <x:c r="A163" s="23" t="n">
        <x:v>12</x:v>
      </x:c>
      <x:c r="B163" s="23" t="str">
        <x:v>周二</x:v>
      </x:c>
      <x:c r="C163" s="23" t="str">
        <x:v>7月16日</x:v>
      </x:c>
      <x:c r="D163" s="24" t="n">
        <x:v>2963.9</x:v>
      </x:c>
      <x:c r="E163" s="24" t="n">
        <x:v>2977.361</x:v>
      </x:c>
      <x:c r="F163" s="24" t="n">
        <x:v>2959.666</x:v>
      </x:c>
      <x:c r="G163" s="24" t="n">
        <x:v>2976.304</x:v>
      </x:c>
      <x:c r="H163" s="25" t="n">
        <x:v>0.0007710126156224018</x:v>
      </x:c>
      <x:c r="I163" s="24" t="n">
        <x:f>ROUND(E163-F163,1)</x:f>
        <x:v>17.7</x:v>
      </x:c>
      <x:c r="J163" s="23" t="str">
        <x:v>上证指数</x:v>
      </x:c>
    </x:row>
    <x:row r="164">
      <x:c r="A164" s="23" t="n">
        <x:v>13</x:v>
      </x:c>
      <x:c r="B164" s="23" t="str">
        <x:v>周三</x:v>
      </x:c>
      <x:c r="C164" s="23" t="str">
        <x:v>7月17日</x:v>
      </x:c>
      <x:c r="D164" s="24" t="n">
        <x:v>2970.808</x:v>
      </x:c>
      <x:c r="E164" s="24" t="n">
        <x:v>2972.795</x:v>
      </x:c>
      <x:c r="F164" s="24" t="n">
        <x:v>2957.948</x:v>
      </x:c>
      <x:c r="G164" s="24" t="n">
        <x:v>2962.855</x:v>
      </x:c>
      <x:c r="H164" s="25" t="n">
        <x:v>-0.004518691639026184</x:v>
      </x:c>
      <x:c r="I164" s="24" t="n">
        <x:f>ROUND(E164-F164,1)</x:f>
        <x:v>14.8</x:v>
      </x:c>
      <x:c r="J164" s="23" t="str">
        <x:v>上证指数</x:v>
      </x:c>
    </x:row>
    <x:row r="165">
      <x:c r="A165" s="23" t="n">
        <x:v>14</x:v>
      </x:c>
      <x:c r="B165" s="23" t="str">
        <x:v>周四</x:v>
      </x:c>
      <x:c r="C165" s="23" t="str">
        <x:v>7月18日</x:v>
      </x:c>
      <x:c r="D165" s="24" t="n">
        <x:v>2951.143</x:v>
      </x:c>
      <x:c r="E165" s="24" t="n">
        <x:v>2978.092</x:v>
      </x:c>
      <x:c r="F165" s="24" t="n">
        <x:v>2937.905</x:v>
      </x:c>
      <x:c r="G165" s="24" t="n">
        <x:v>2977.133</x:v>
      </x:c>
      <x:c r="H165" s="25" t="n">
        <x:v>0.004819000592334088</x:v>
      </x:c>
      <x:c r="I165" s="24" t="n">
        <x:f>ROUND(E165-F165,1)</x:f>
        <x:v>40.2</x:v>
      </x:c>
      <x:c r="J165" s="23" t="str">
        <x:v>上证指数</x:v>
      </x:c>
    </x:row>
    <x:row r="166">
      <x:c r="A166" s="29" t="n">
        <x:v>15</x:v>
      </x:c>
      <x:c r="B166" s="29" t="str">
        <x:v>周五</x:v>
      </x:c>
      <x:c r="C166" s="29" t="str">
        <x:v>7月19日</x:v>
      </x:c>
      <x:c r="D166" s="30" t="n">
        <x:v>2963.514</x:v>
      </x:c>
      <x:c r="E166" s="30" t="n">
        <x:v>2986.243</x:v>
      </x:c>
      <x:c r="F166" s="30" t="n">
        <x:v>2955.12</x:v>
      </x:c>
      <x:c r="G166" s="30" t="n">
        <x:v>2982.309</x:v>
      </x:c>
      <x:c r="H166" s="31" t="n">
        <x:v>0.00173858541086358</x:v>
      </x:c>
      <x:c r="I166" s="30" t="n">
        <x:f>ROUND(E166-F166,1)</x:f>
        <x:v>31.1</x:v>
      </x:c>
      <x:c r="J166" s="29" t="str">
        <x:v>上证指数</x:v>
      </x:c>
    </x:row>
    <x:row r="167">
      <x:c r="A167" s="23" t="n">
        <x:v>16</x:v>
      </x:c>
      <x:c r="B167" s="23" t="str">
        <x:v>周一</x:v>
      </x:c>
      <x:c r="C167" s="23" t="str">
        <x:v>7月22日</x:v>
      </x:c>
      <x:c r="D167" s="24" t="n">
        <x:v>2978.193</x:v>
      </x:c>
      <x:c r="E167" s="24" t="n">
        <x:v>2978.601</x:v>
      </x:c>
      <x:c r="F167" s="24" t="n">
        <x:v>2946.561</x:v>
      </x:c>
      <x:c r="G167" s="24" t="n">
        <x:v>2964.216</x:v>
      </x:c>
      <x:c r="H167" s="25" t="n">
        <x:v>-0.0060667757767556285</x:v>
      </x:c>
      <x:c r="I167" s="24" t="n">
        <x:f>ROUND(E167-F167,1)</x:f>
        <x:v>32</x:v>
      </x:c>
      <x:c r="J167" s="23" t="str">
        <x:v>上证指数</x:v>
      </x:c>
    </x:row>
    <x:row r="168">
      <x:c r="A168" s="23" t="n">
        <x:v>17</x:v>
      </x:c>
      <x:c r="B168" s="23" t="str">
        <x:v>周二</x:v>
      </x:c>
      <x:c r="C168" s="23" t="str">
        <x:v>7月23日</x:v>
      </x:c>
      <x:c r="D168" s="24" t="n">
        <x:v>2960.5</x:v>
      </x:c>
      <x:c r="E168" s="24" t="n">
        <x:v>2960.5</x:v>
      </x:c>
      <x:c r="F168" s="24" t="n">
        <x:v>2915.368</x:v>
      </x:c>
      <x:c r="G168" s="24" t="n">
        <x:v>2915.369</x:v>
      </x:c>
      <x:c r="H168" s="25" t="n">
        <x:v>-0.016478893575906706</x:v>
      </x:c>
      <x:c r="I168" s="24" t="n">
        <x:f>ROUND(E168-F168,1)</x:f>
        <x:v>45.1</x:v>
      </x:c>
      <x:c r="J168" s="23" t="str">
        <x:v>上证指数</x:v>
      </x:c>
    </x:row>
    <x:row r="169">
      <x:c r="A169" s="23" t="n">
        <x:v>18</x:v>
      </x:c>
      <x:c r="B169" s="23" t="str">
        <x:v>周三</x:v>
      </x:c>
      <x:c r="C169" s="23" t="str">
        <x:v>7月24日</x:v>
      </x:c>
      <x:c r="D169" s="24" t="n">
        <x:v>2909.152</x:v>
      </x:c>
      <x:c r="E169" s="24" t="n">
        <x:v>2922.03</x:v>
      </x:c>
      <x:c r="F169" s="24" t="n">
        <x:v>2894.289</x:v>
      </x:c>
      <x:c r="G169" s="24" t="n">
        <x:v>2901.952</x:v>
      </x:c>
      <x:c r="H169" s="25" t="n">
        <x:v>-0.004602161853267894</x:v>
      </x:c>
      <x:c r="I169" s="24" t="n">
        <x:f>ROUND(E169-F169,1)</x:f>
        <x:v>27.7</x:v>
      </x:c>
      <x:c r="J169" s="23" t="str">
        <x:v>上证指数</x:v>
      </x:c>
    </x:row>
    <x:row r="170">
      <x:c r="A170" s="23" t="n">
        <x:v>19</x:v>
      </x:c>
      <x:c r="B170" s="23" t="str">
        <x:v>周四</x:v>
      </x:c>
      <x:c r="C170" s="23" t="str">
        <x:v>7月25日</x:v>
      </x:c>
      <x:c r="D170" s="24" t="n">
        <x:v>2891.892</x:v>
      </x:c>
      <x:c r="E170" s="24" t="n">
        <x:v>2897.767</x:v>
      </x:c>
      <x:c r="F170" s="24" t="n">
        <x:v>2872.85</x:v>
      </x:c>
      <x:c r="G170" s="24" t="n">
        <x:v>2886.742</x:v>
      </x:c>
      <x:c r="H170" s="25" t="n">
        <x:v>-0.005241299649339504</x:v>
      </x:c>
      <x:c r="I170" s="24" t="n">
        <x:f>ROUND(E170-F170,1)</x:f>
        <x:v>24.9</x:v>
      </x:c>
      <x:c r="J170" s="23" t="str">
        <x:v>上证指数</x:v>
      </x:c>
    </x:row>
    <x:row r="171">
      <x:c r="A171" s="23" t="n">
        <x:v>20</x:v>
      </x:c>
      <x:c r="B171" s="23" t="str">
        <x:v>周五</x:v>
      </x:c>
      <x:c r="C171" s="23" t="str">
        <x:v>7月26日</x:v>
      </x:c>
      <x:c r="D171" s="24" t="n">
        <x:v>2885.995</x:v>
      </x:c>
      <x:c r="E171" s="24" t="n">
        <x:v>2899.116</x:v>
      </x:c>
      <x:c r="F171" s="24" t="n">
        <x:v>2875.396</x:v>
      </x:c>
      <x:c r="G171" s="24" t="n">
        <x:v>2890.897</x:v>
      </x:c>
      <x:c r="H171" s="25" t="n">
        <x:v>0.0014393388809945673</x:v>
      </x:c>
      <x:c r="I171" s="24" t="n">
        <x:f>ROUND(E171-F171,1)</x:f>
        <x:v>23.7</x:v>
      </x:c>
      <x:c r="J171" s="23" t="str">
        <x:v>上证指数</x:v>
      </x:c>
    </x:row>
    <x:row r="172">
      <x:c r="A172" s="23" t="n">
        <x:v>21</x:v>
      </x:c>
      <x:c r="B172" s="23" t="str">
        <x:v>周一</x:v>
      </x:c>
      <x:c r="C172" s="23" t="str">
        <x:v>7月29日</x:v>
      </x:c>
      <x:c r="D172" s="24" t="n">
        <x:v>2889.473</x:v>
      </x:c>
      <x:c r="E172" s="24" t="n">
        <x:v>2898.951</x:v>
      </x:c>
      <x:c r="F172" s="24" t="n">
        <x:v>2878.583</x:v>
      </x:c>
      <x:c r="G172" s="24" t="n">
        <x:v>2891.845</x:v>
      </x:c>
      <x:c r="H172" s="25" t="n">
        <x:v>0.00032792589981589515</x:v>
      </x:c>
      <x:c r="I172" s="24" t="n">
        <x:f>ROUND(E172-F172,1)</x:f>
        <x:v>20.4</x:v>
      </x:c>
      <x:c r="J172" s="23" t="str">
        <x:v>上证指数</x:v>
      </x:c>
    </x:row>
    <x:row r="173">
      <x:c r="A173" s="23" t="n">
        <x:v>22</x:v>
      </x:c>
      <x:c r="B173" s="23" t="str">
        <x:v>周二</x:v>
      </x:c>
      <x:c r="C173" s="23" t="str">
        <x:v>7月30日</x:v>
      </x:c>
      <x:c r="D173" s="24" t="n">
        <x:v>2885.215</x:v>
      </x:c>
      <x:c r="E173" s="24" t="n">
        <x:v>2885.215</x:v>
      </x:c>
      <x:c r="F173" s="24" t="n">
        <x:v>2865.149</x:v>
      </x:c>
      <x:c r="G173" s="24" t="n">
        <x:v>2879.3</x:v>
      </x:c>
      <x:c r="H173" s="25" t="n">
        <x:v>-0.004338060995661808</x:v>
      </x:c>
      <x:c r="I173" s="24" t="n">
        <x:f>ROUND(E173-F173,1)</x:f>
        <x:v>20.1</x:v>
      </x:c>
      <x:c r="J173" s="23" t="str">
        <x:v>上证指数</x:v>
      </x:c>
    </x:row>
    <x:row r="174">
      <x:c r="A174" s="23" t="n">
        <x:v>23</x:v>
      </x:c>
      <x:c r="B174" s="23" t="str">
        <x:v>周三</x:v>
      </x:c>
      <x:c r="C174" s="23" t="str">
        <x:v>7月31日</x:v>
      </x:c>
      <x:c r="D174" s="24" t="n">
        <x:v>2877.541</x:v>
      </x:c>
      <x:c r="E174" s="24" t="n">
        <x:v>2940.593</x:v>
      </x:c>
      <x:c r="F174" s="24" t="n">
        <x:v>2876.301</x:v>
      </x:c>
      <x:c r="G174" s="24" t="n">
        <x:v>2938.749</x:v>
      </x:c>
      <x:c r="H174" s="25" t="n">
        <x:v>0.02064703226478648</x:v>
      </x:c>
      <x:c r="I174" s="33" t="n">
        <x:f>ROUND(E174-F174,1)</x:f>
        <x:v>64.3</x:v>
      </x:c>
      <x:c r="J174" s="23" t="str">
        <x:v>上证指数</x:v>
      </x:c>
    </x:row>
    <x:row r="175">
      <x:c r="A175" s="36" t="str">
        <x:v>合计</x:v>
      </x:c>
      <x:c r="B175" s="35" t="n">
        <x:v>23</x:v>
      </x:c>
      <x:c r="C175" s="35"/>
      <x:c r="D175" s="35"/>
      <x:c r="E175" s="35"/>
      <x:c r="F175" s="35"/>
      <x:c r="G175" s="35"/>
      <x:c r="H175" s="35"/>
      <x:c r="I175" s="37" t="n">
        <x:f>ROUND(SUM(I152:I174),1)</x:f>
        <x:v>679.4</x:v>
      </x:c>
      <x:c r="J175" s="35"/>
    </x:row>
    <x:row r="176">
      <x:c r="A176" s="36" t="str">
        <x:v>均值</x:v>
      </x:c>
      <x:c r="B176" s="35"/>
      <x:c r="C176" s="35"/>
      <x:c r="D176" s="35"/>
      <x:c r="E176" s="35"/>
      <x:c r="F176" s="35"/>
      <x:c r="G176" s="35"/>
      <x:c r="H176" s="35"/>
      <x:c r="I176" s="39" t="n">
        <x:f>ROUND(IFERROR(AVERAGE(I152:I174),0),1)</x:f>
        <x:v>29.5</x:v>
      </x:c>
      <x:c r="J176" s="35"/>
    </x:row>
    <x:row r="178">
      <x:c r="A178" s="17" t="str">
        <x:v>8月</x:v>
      </x:c>
      <x:c r="B178" s="17"/>
      <x:c r="C178" s="17"/>
      <x:c r="D178" s="17"/>
      <x:c r="E178" s="17"/>
      <x:c r="F178" s="17"/>
      <x:c r="G178" s="17"/>
      <x:c r="H178" s="17"/>
      <x:c r="I178" s="17"/>
      <x:c r="J178" s="17"/>
    </x:row>
    <x:row r="179">
      <x:c r="A179" s="20" t="str">
        <x:v>序号</x:v>
      </x:c>
      <x:c r="B179" s="20" t="str">
        <x:v>星期</x:v>
      </x:c>
      <x:c r="C179" s="20" t="str">
        <x:v>日期</x:v>
      </x:c>
      <x:c r="D179" s="20" t="str">
        <x:v>开盘</x:v>
      </x:c>
      <x:c r="E179" s="20" t="str">
        <x:v>高点</x:v>
      </x:c>
      <x:c r="F179" s="20" t="str">
        <x:v>低点</x:v>
      </x:c>
      <x:c r="G179" s="20" t="str">
        <x:v>收盘</x:v>
      </x:c>
      <x:c r="H179" s="20" t="str">
        <x:v>涨幅</x:v>
      </x:c>
      <x:c r="I179" s="20" t="str">
        <x:v>振幅</x:v>
      </x:c>
      <x:c r="J179" s="20" t="str">
        <x:v>标的</x:v>
      </x:c>
    </x:row>
    <x:row r="180">
      <x:c r="A180" s="23" t="n">
        <x:v>1</x:v>
      </x:c>
      <x:c r="B180" s="23" t="str">
        <x:v>周四</x:v>
      </x:c>
      <x:c r="C180" s="23" t="str">
        <x:v>8月1日</x:v>
      </x:c>
      <x:c r="D180" s="24" t="n">
        <x:v>2940.12</x:v>
      </x:c>
      <x:c r="E180" s="24" t="n">
        <x:v>2947.877</x:v>
      </x:c>
      <x:c r="F180" s="24" t="n">
        <x:v>2928.826</x:v>
      </x:c>
      <x:c r="G180" s="24" t="n">
        <x:v>2932.387</x:v>
      </x:c>
      <x:c r="H180" s="25" t="n">
        <x:v>-0.0021648667511242614</x:v>
      </x:c>
      <x:c r="I180" s="24" t="n">
        <x:f>ROUND(E180-F180,1)</x:f>
        <x:v>19.1</x:v>
      </x:c>
      <x:c r="J180" s="23" t="str">
        <x:v>上证指数</x:v>
      </x:c>
    </x:row>
    <x:row r="181">
      <x:c r="A181" s="23" t="n">
        <x:v>2</x:v>
      </x:c>
      <x:c r="B181" s="23" t="str">
        <x:v>周五</x:v>
      </x:c>
      <x:c r="C181" s="23" t="str">
        <x:v>8月2日</x:v>
      </x:c>
      <x:c r="D181" s="24" t="n">
        <x:v>2913.02</x:v>
      </x:c>
      <x:c r="E181" s="24" t="n">
        <x:v>2931.259</x:v>
      </x:c>
      <x:c r="F181" s="24" t="n">
        <x:v>2902.72</x:v>
      </x:c>
      <x:c r="G181" s="24" t="n">
        <x:v>2905.338</x:v>
      </x:c>
      <x:c r="H181" s="25" t="n">
        <x:v>-0.009224225861047652</x:v>
      </x:c>
      <x:c r="I181" s="24" t="n">
        <x:f>ROUND(E181-F181,1)</x:f>
        <x:v>28.5</x:v>
      </x:c>
      <x:c r="J181" s="23" t="str">
        <x:v>上证指数</x:v>
      </x:c>
    </x:row>
    <x:row r="182">
      <x:c r="A182" s="23" t="n">
        <x:v>3</x:v>
      </x:c>
      <x:c r="B182" s="23" t="str">
        <x:v>周一</x:v>
      </x:c>
      <x:c r="C182" s="23" t="str">
        <x:v>8月5日</x:v>
      </x:c>
      <x:c r="D182" s="24" t="n">
        <x:v>2889.363</x:v>
      </x:c>
      <x:c r="E182" s="24" t="n">
        <x:v>2919.025</x:v>
      </x:c>
      <x:c r="F182" s="24" t="n">
        <x:v>2860.698</x:v>
      </x:c>
      <x:c r="G182" s="24" t="n">
        <x:v>2860.698</x:v>
      </x:c>
      <x:c r="H182" s="25" t="n">
        <x:v>-0.015364821580139854</x:v>
      </x:c>
      <x:c r="I182" s="33" t="n">
        <x:f>ROUND(E182-F182,1)</x:f>
        <x:v>58.3</x:v>
      </x:c>
      <x:c r="J182" s="23" t="str">
        <x:v>上证指数</x:v>
      </x:c>
    </x:row>
    <x:row r="183">
      <x:c r="A183" s="23" t="n">
        <x:v>4</x:v>
      </x:c>
      <x:c r="B183" s="23" t="str">
        <x:v>周二</x:v>
      </x:c>
      <x:c r="C183" s="23" t="str">
        <x:v>8月6日</x:v>
      </x:c>
      <x:c r="D183" s="24" t="n">
        <x:v>2878.651</x:v>
      </x:c>
      <x:c r="E183" s="24" t="n">
        <x:v>2888.201</x:v>
      </x:c>
      <x:c r="F183" s="24" t="n">
        <x:v>2845.335</x:v>
      </x:c>
      <x:c r="G183" s="24" t="n">
        <x:v>2867.284</x:v>
      </x:c>
      <x:c r="H183" s="25" t="n">
        <x:v>0.0023022353285806485</x:v>
      </x:c>
      <x:c r="I183" s="24" t="n">
        <x:f>ROUND(E183-F183,1)</x:f>
        <x:v>42.9</x:v>
      </x:c>
      <x:c r="J183" s="23" t="str">
        <x:v>上证指数</x:v>
      </x:c>
    </x:row>
    <x:row r="184">
      <x:c r="A184" s="23" t="n">
        <x:v>5</x:v>
      </x:c>
      <x:c r="B184" s="23" t="str">
        <x:v>周三</x:v>
      </x:c>
      <x:c r="C184" s="23" t="str">
        <x:v>8月7日</x:v>
      </x:c>
      <x:c r="D184" s="24" t="n">
        <x:v>2864.01</x:v>
      </x:c>
      <x:c r="E184" s="24" t="n">
        <x:v>2886.942</x:v>
      </x:c>
      <x:c r="F184" s="24" t="n">
        <x:v>2857.725</x:v>
      </x:c>
      <x:c r="G184" s="24" t="n">
        <x:v>2869.834</x:v>
      </x:c>
      <x:c r="H184" s="25" t="n">
        <x:v>0.000889343364661288</x:v>
      </x:c>
      <x:c r="I184" s="24" t="n">
        <x:f>ROUND(E184-F184,1)</x:f>
        <x:v>29.2</x:v>
      </x:c>
      <x:c r="J184" s="23" t="str">
        <x:v>上证指数</x:v>
      </x:c>
    </x:row>
    <x:row r="185">
      <x:c r="A185" s="23" t="n">
        <x:v>6</x:v>
      </x:c>
      <x:c r="B185" s="23" t="str">
        <x:v>周四</x:v>
      </x:c>
      <x:c r="C185" s="23" t="str">
        <x:v>8月8日</x:v>
      </x:c>
      <x:c r="D185" s="24" t="n">
        <x:v>2864.758</x:v>
      </x:c>
      <x:c r="E185" s="24" t="n">
        <x:v>2886.399</x:v>
      </x:c>
      <x:c r="F185" s="24" t="n">
        <x:v>2850.875</x:v>
      </x:c>
      <x:c r="G185" s="24" t="n">
        <x:v>2869.901</x:v>
      </x:c>
      <x:c r="H185" s="25" t="n">
        <x:v>0.000023346298078541494</x:v>
      </x:c>
      <x:c r="I185" s="24" t="n">
        <x:f>ROUND(E185-F185,1)</x:f>
        <x:v>35.5</x:v>
      </x:c>
      <x:c r="J185" s="23" t="str">
        <x:v>上证指数</x:v>
      </x:c>
    </x:row>
    <x:row r="186">
      <x:c r="A186" s="23" t="n">
        <x:v>7</x:v>
      </x:c>
      <x:c r="B186" s="23" t="str">
        <x:v>周五</x:v>
      </x:c>
      <x:c r="C186" s="23" t="str">
        <x:v>8月9日</x:v>
      </x:c>
      <x:c r="D186" s="24" t="n">
        <x:v>2879.873</x:v>
      </x:c>
      <x:c r="E186" s="24" t="n">
        <x:v>2887.849</x:v>
      </x:c>
      <x:c r="F186" s="24" t="n">
        <x:v>2862.194</x:v>
      </x:c>
      <x:c r="G186" s="24" t="n">
        <x:v>2862.194</x:v>
      </x:c>
      <x:c r="H186" s="25" t="n">
        <x:v>-0.002685458487940884</x:v>
      </x:c>
      <x:c r="I186" s="24" t="n">
        <x:f>ROUND(E186-F186,1)</x:f>
        <x:v>25.7</x:v>
      </x:c>
      <x:c r="J186" s="23" t="str">
        <x:v>上证指数</x:v>
      </x:c>
    </x:row>
    <x:row r="187">
      <x:c r="A187" s="23" t="n">
        <x:v>8</x:v>
      </x:c>
      <x:c r="B187" s="23" t="str">
        <x:v>周一</x:v>
      </x:c>
      <x:c r="C187" s="23" t="str">
        <x:v>8月12日</x:v>
      </x:c>
      <x:c r="D187" s="24" t="n">
        <x:v>2858.895</x:v>
      </x:c>
      <x:c r="E187" s="24" t="n">
        <x:v>2869.269</x:v>
      </x:c>
      <x:c r="F187" s="24" t="n">
        <x:v>2851.295</x:v>
      </x:c>
      <x:c r="G187" s="24" t="n">
        <x:v>2858.205</x:v>
      </x:c>
      <x:c r="H187" s="25" t="n">
        <x:v>-0.0013936861023396974</x:v>
      </x:c>
      <x:c r="I187" s="24" t="n">
        <x:f>ROUND(E187-F187,1)</x:f>
        <x:v>18</x:v>
      </x:c>
      <x:c r="J187" s="23" t="str">
        <x:v>上证指数</x:v>
      </x:c>
    </x:row>
    <x:row r="188">
      <x:c r="A188" s="23" t="n">
        <x:v>9</x:v>
      </x:c>
      <x:c r="B188" s="23" t="str">
        <x:v>周二</x:v>
      </x:c>
      <x:c r="C188" s="23" t="str">
        <x:v>8月13日</x:v>
      </x:c>
      <x:c r="D188" s="24" t="n">
        <x:v>2860.41</x:v>
      </x:c>
      <x:c r="E188" s="24" t="n">
        <x:v>2867.946</x:v>
      </x:c>
      <x:c r="F188" s="24" t="n">
        <x:v>2845.31</x:v>
      </x:c>
      <x:c r="G188" s="24" t="n">
        <x:v>2867.946</x:v>
      </x:c>
      <x:c r="H188" s="25" t="n">
        <x:v>0.003408083045127963</x:v>
      </x:c>
      <x:c r="I188" s="24" t="n">
        <x:f>ROUND(E188-F188,1)</x:f>
        <x:v>22.6</x:v>
      </x:c>
      <x:c r="J188" s="23" t="str">
        <x:v>上证指数</x:v>
      </x:c>
    </x:row>
    <x:row r="189">
      <x:c r="A189" s="23" t="n">
        <x:v>10</x:v>
      </x:c>
      <x:c r="B189" s="23" t="str">
        <x:v>周三</x:v>
      </x:c>
      <x:c r="C189" s="23" t="str">
        <x:v>8月14日</x:v>
      </x:c>
      <x:c r="D189" s="24" t="n">
        <x:v>2866.243</x:v>
      </x:c>
      <x:c r="E189" s="24" t="n">
        <x:v>2866.243</x:v>
      </x:c>
      <x:c r="F189" s="24" t="n">
        <x:v>2850.401</x:v>
      </x:c>
      <x:c r="G189" s="24" t="n">
        <x:v>2850.654</x:v>
      </x:c>
      <x:c r="H189" s="25" t="n">
        <x:v>-0.006029402227238578</x:v>
      </x:c>
      <x:c r="I189" s="24" t="n">
        <x:f>ROUND(E189-F189,1)</x:f>
        <x:v>15.8</x:v>
      </x:c>
      <x:c r="J189" s="23" t="str">
        <x:v>上证指数</x:v>
      </x:c>
    </x:row>
    <x:row r="190">
      <x:c r="A190" s="23" t="n">
        <x:v>11</x:v>
      </x:c>
      <x:c r="B190" s="23" t="str">
        <x:v>周四</x:v>
      </x:c>
      <x:c r="C190" s="23" t="str">
        <x:v>8月15日</x:v>
      </x:c>
      <x:c r="D190" s="24" t="n">
        <x:v>2844.201</x:v>
      </x:c>
      <x:c r="E190" s="24" t="n">
        <x:v>2889.087</x:v>
      </x:c>
      <x:c r="F190" s="24" t="n">
        <x:v>2839.388</x:v>
      </x:c>
      <x:c r="G190" s="24" t="n">
        <x:v>2877.358</x:v>
      </x:c>
      <x:c r="H190" s="25" t="n">
        <x:v>0.009367674926525682</x:v>
      </x:c>
      <x:c r="I190" s="24" t="n">
        <x:f>ROUND(E190-F190,1)</x:f>
        <x:v>49.7</x:v>
      </x:c>
      <x:c r="J190" s="23" t="str">
        <x:v>上证指数</x:v>
      </x:c>
    </x:row>
    <x:row r="191">
      <x:c r="A191" s="29" t="n">
        <x:v>12</x:v>
      </x:c>
      <x:c r="B191" s="29" t="str">
        <x:v>周五</x:v>
      </x:c>
      <x:c r="C191" s="29" t="str">
        <x:v>8月16日</x:v>
      </x:c>
      <x:c r="D191" s="30" t="n">
        <x:v>2877.94</x:v>
      </x:c>
      <x:c r="E191" s="30" t="n">
        <x:v>2888.675</x:v>
      </x:c>
      <x:c r="F191" s="30" t="n">
        <x:v>2873.06</x:v>
      </x:c>
      <x:c r="G191" s="30" t="n">
        <x:v>2879.43</x:v>
      </x:c>
      <x:c r="H191" s="31" t="n">
        <x:v>0.0007201050408047749</x:v>
      </x:c>
      <x:c r="I191" s="30" t="n">
        <x:f>ROUND(E191-F191,1)</x:f>
        <x:v>15.6</x:v>
      </x:c>
      <x:c r="J191" s="29" t="str">
        <x:v>上证指数</x:v>
      </x:c>
    </x:row>
    <x:row r="192">
      <x:c r="A192" s="23" t="n">
        <x:v>13</x:v>
      </x:c>
      <x:c r="B192" s="23" t="str">
        <x:v>周一</x:v>
      </x:c>
      <x:c r="C192" s="23" t="str">
        <x:v>8月19日</x:v>
      </x:c>
      <x:c r="D192" s="24" t="n">
        <x:v>2877.954</x:v>
      </x:c>
      <x:c r="E192" s="24" t="n">
        <x:v>2905.155</x:v>
      </x:c>
      <x:c r="F192" s="24" t="n">
        <x:v>2877.771</x:v>
      </x:c>
      <x:c r="G192" s="24" t="n">
        <x:v>2893.674</x:v>
      </x:c>
      <x:c r="H192" s="25" t="n">
        <x:v>0.004946812389952315</x:v>
      </x:c>
      <x:c r="I192" s="24" t="n">
        <x:f>ROUND(E192-F192,1)</x:f>
        <x:v>27.4</x:v>
      </x:c>
      <x:c r="J192" s="23" t="str">
        <x:v>上证指数</x:v>
      </x:c>
    </x:row>
    <x:row r="193">
      <x:c r="A193" s="23" t="n">
        <x:v>14</x:v>
      </x:c>
      <x:c r="B193" s="23" t="str">
        <x:v>周二</x:v>
      </x:c>
      <x:c r="C193" s="23" t="str">
        <x:v>8月20日</x:v>
      </x:c>
      <x:c r="D193" s="24" t="n">
        <x:v>2895.551</x:v>
      </x:c>
      <x:c r="E193" s="24" t="n">
        <x:v>2896.519</x:v>
      </x:c>
      <x:c r="F193" s="24" t="n">
        <x:v>2855.329</x:v>
      </x:c>
      <x:c r="G193" s="24" t="n">
        <x:v>2866.661</x:v>
      </x:c>
      <x:c r="H193" s="25" t="n">
        <x:v>-0.009335191179103086</x:v>
      </x:c>
      <x:c r="I193" s="24" t="n">
        <x:f>ROUND(E193-F193,1)</x:f>
        <x:v>41.2</x:v>
      </x:c>
      <x:c r="J193" s="23" t="str">
        <x:v>上证指数</x:v>
      </x:c>
    </x:row>
    <x:row r="194">
      <x:c r="A194" s="23" t="n">
        <x:v>15</x:v>
      </x:c>
      <x:c r="B194" s="23" t="str">
        <x:v>周三</x:v>
      </x:c>
      <x:c r="C194" s="23" t="str">
        <x:v>8月21日</x:v>
      </x:c>
      <x:c r="D194" s="24" t="n">
        <x:v>2858.939</x:v>
      </x:c>
      <x:c r="E194" s="24" t="n">
        <x:v>2863.891</x:v>
      </x:c>
      <x:c r="F194" s="24" t="n">
        <x:v>2848.151</x:v>
      </x:c>
      <x:c r="G194" s="24" t="n">
        <x:v>2856.584</x:v>
      </x:c>
      <x:c r="H194" s="25" t="n">
        <x:v>-0.003515239506868828</x:v>
      </x:c>
      <x:c r="I194" s="24" t="n">
        <x:f>ROUND(E194-F194,1)</x:f>
        <x:v>15.7</x:v>
      </x:c>
      <x:c r="J194" s="23" t="str">
        <x:v>上证指数</x:v>
      </x:c>
    </x:row>
    <x:row r="195">
      <x:c r="A195" s="23" t="n">
        <x:v>16</x:v>
      </x:c>
      <x:c r="B195" s="23" t="str">
        <x:v>周四</x:v>
      </x:c>
      <x:c r="C195" s="23" t="str">
        <x:v>8月22日</x:v>
      </x:c>
      <x:c r="D195" s="24" t="n">
        <x:v>2856.2</x:v>
      </x:c>
      <x:c r="E195" s="24" t="n">
        <x:v>2861.607</x:v>
      </x:c>
      <x:c r="F195" s="24" t="n">
        <x:v>2845.502</x:v>
      </x:c>
      <x:c r="G195" s="24" t="n">
        <x:v>2848.772</x:v>
      </x:c>
      <x:c r="H195" s="25" t="n">
        <x:v>-0.002734734914149217</x:v>
      </x:c>
      <x:c r="I195" s="24" t="n">
        <x:f>ROUND(E195-F195,1)</x:f>
        <x:v>16.1</x:v>
      </x:c>
      <x:c r="J195" s="23" t="str">
        <x:v>上证指数</x:v>
      </x:c>
    </x:row>
    <x:row r="196">
      <x:c r="A196" s="23" t="n">
        <x:v>17</x:v>
      </x:c>
      <x:c r="B196" s="23" t="str">
        <x:v>周五</x:v>
      </x:c>
      <x:c r="C196" s="23" t="str">
        <x:v>8月23日</x:v>
      </x:c>
      <x:c r="D196" s="24" t="n">
        <x:v>2844.77</x:v>
      </x:c>
      <x:c r="E196" s="24" t="n">
        <x:v>2860.733</x:v>
      </x:c>
      <x:c r="F196" s="24" t="n">
        <x:v>2839.337</x:v>
      </x:c>
      <x:c r="G196" s="24" t="n">
        <x:v>2854.368</x:v>
      </x:c>
      <x:c r="H196" s="25" t="n">
        <x:v>0.001964355167770604</x:v>
      </x:c>
      <x:c r="I196" s="24" t="n">
        <x:f>ROUND(E196-F196,1)</x:f>
        <x:v>21.4</x:v>
      </x:c>
      <x:c r="J196" s="23" t="str">
        <x:v>上证指数</x:v>
      </x:c>
    </x:row>
    <x:row r="197">
      <x:c r="A197" s="23" t="n">
        <x:v>18</x:v>
      </x:c>
      <x:c r="B197" s="23" t="str">
        <x:v>周一</x:v>
      </x:c>
      <x:c r="C197" s="23" t="str">
        <x:v>8月26日</x:v>
      </x:c>
      <x:c r="D197" s="24" t="n">
        <x:v>2855.474</x:v>
      </x:c>
      <x:c r="E197" s="24" t="n">
        <x:v>2860.655</x:v>
      </x:c>
      <x:c r="F197" s="24" t="n">
        <x:v>2844.383</x:v>
      </x:c>
      <x:c r="G197" s="24" t="n">
        <x:v>2855.52</x:v>
      </x:c>
      <x:c r="H197" s="25" t="n">
        <x:v>0.00040359196851991186</x:v>
      </x:c>
      <x:c r="I197" s="24" t="n">
        <x:f>ROUND(E197-F197,1)</x:f>
        <x:v>16.3</x:v>
      </x:c>
      <x:c r="J197" s="23" t="str">
        <x:v>上证指数</x:v>
      </x:c>
    </x:row>
    <x:row r="198">
      <x:c r="A198" s="23" t="n">
        <x:v>19</x:v>
      </x:c>
      <x:c r="B198" s="23" t="str">
        <x:v>周二</x:v>
      </x:c>
      <x:c r="C198" s="23" t="str">
        <x:v>8月27日</x:v>
      </x:c>
      <x:c r="D198" s="24" t="n">
        <x:v>2850.877</x:v>
      </x:c>
      <x:c r="E198" s="24" t="n">
        <x:v>2853.78</x:v>
      </x:c>
      <x:c r="F198" s="24" t="n">
        <x:v>2843.158</x:v>
      </x:c>
      <x:c r="G198" s="24" t="n">
        <x:v>2848.731</x:v>
      </x:c>
      <x:c r="H198" s="25" t="n">
        <x:v>-0.002377500420238654</x:v>
      </x:c>
      <x:c r="I198" s="24" t="n">
        <x:f>ROUND(E198-F198,1)</x:f>
        <x:v>10.6</x:v>
      </x:c>
      <x:c r="J198" s="23" t="str">
        <x:v>上证指数</x:v>
      </x:c>
    </x:row>
    <x:row r="199">
      <x:c r="A199" s="23" t="n">
        <x:v>20</x:v>
      </x:c>
      <x:c r="B199" s="23" t="str">
        <x:v>周三</x:v>
      </x:c>
      <x:c r="C199" s="23" t="str">
        <x:v>8月28日</x:v>
      </x:c>
      <x:c r="D199" s="24" t="n">
        <x:v>2844.327</x:v>
      </x:c>
      <x:c r="E199" s="24" t="n">
        <x:v>2852.562</x:v>
      </x:c>
      <x:c r="F199" s="24" t="n">
        <x:v>2830.962</x:v>
      </x:c>
      <x:c r="G199" s="24" t="n">
        <x:v>2837.429</x:v>
      </x:c>
      <x:c r="H199" s="25" t="n">
        <x:v>-0.003967380563486</x:v>
      </x:c>
      <x:c r="I199" s="24" t="n">
        <x:f>ROUND(E199-F199,1)</x:f>
        <x:v>21.6</x:v>
      </x:c>
      <x:c r="J199" s="23" t="str">
        <x:v>上证指数</x:v>
      </x:c>
    </x:row>
    <x:row r="200">
      <x:c r="A200" s="23" t="n">
        <x:v>21</x:v>
      </x:c>
      <x:c r="B200" s="23" t="str">
        <x:v>周四</x:v>
      </x:c>
      <x:c r="C200" s="23" t="str">
        <x:v>8月29日</x:v>
      </x:c>
      <x:c r="D200" s="24" t="n">
        <x:v>2829.451</x:v>
      </x:c>
      <x:c r="E200" s="24" t="n">
        <x:v>2831.431</x:v>
      </x:c>
      <x:c r="F200" s="24" t="n">
        <x:v>2815.383</x:v>
      </x:c>
      <x:c r="G200" s="24" t="n">
        <x:v>2823.106</x:v>
      </x:c>
      <x:c r="H200" s="25" t="n">
        <x:v>-0.005047879612141815</x:v>
      </x:c>
      <x:c r="I200" s="24" t="n">
        <x:f>ROUND(E200-F200,1)</x:f>
        <x:v>16</x:v>
      </x:c>
      <x:c r="J200" s="23" t="str">
        <x:v>上证指数</x:v>
      </x:c>
    </x:row>
    <x:row r="201">
      <x:c r="A201" s="23" t="n">
        <x:v>22</x:v>
      </x:c>
      <x:c r="B201" s="23" t="str">
        <x:v>周五</x:v>
      </x:c>
      <x:c r="C201" s="23" t="str">
        <x:v>8月30日</x:v>
      </x:c>
      <x:c r="D201" s="24" t="n">
        <x:v>2819.65</x:v>
      </x:c>
      <x:c r="E201" s="24" t="n">
        <x:v>2867.965</x:v>
      </x:c>
      <x:c r="F201" s="24" t="n">
        <x:v>2817.014</x:v>
      </x:c>
      <x:c r="G201" s="24" t="n">
        <x:v>2842.214</x:v>
      </x:c>
      <x:c r="H201" s="25" t="n">
        <x:v>0.00676843164939589</x:v>
      </x:c>
      <x:c r="I201" s="33" t="n">
        <x:f>ROUND(E201-F201,1)</x:f>
        <x:v>51</x:v>
      </x:c>
      <x:c r="J201" s="23" t="str">
        <x:v>上证指数</x:v>
      </x:c>
    </x:row>
    <x:row r="202">
      <x:c r="A202" s="36" t="str">
        <x:v>合计</x:v>
      </x:c>
      <x:c r="B202" s="35" t="n">
        <x:v>22</x:v>
      </x:c>
      <x:c r="C202" s="35"/>
      <x:c r="D202" s="35"/>
      <x:c r="E202" s="35"/>
      <x:c r="F202" s="35"/>
      <x:c r="G202" s="35"/>
      <x:c r="H202" s="35"/>
      <x:c r="I202" s="37" t="n">
        <x:f>ROUND(SUM(I180:I201),1)</x:f>
        <x:v>598.2</x:v>
      </x:c>
      <x:c r="J202" s="35"/>
    </x:row>
    <x:row r="203">
      <x:c r="A203" s="36" t="str">
        <x:v>均值</x:v>
      </x:c>
      <x:c r="B203" s="35"/>
      <x:c r="C203" s="35"/>
      <x:c r="D203" s="35"/>
      <x:c r="E203" s="35"/>
      <x:c r="F203" s="35"/>
      <x:c r="G203" s="35"/>
      <x:c r="H203" s="35"/>
      <x:c r="I203" s="39" t="n">
        <x:f>ROUND(IFERROR(AVERAGE(I180:I201),0),1)</x:f>
        <x:v>27.2</x:v>
      </x:c>
      <x:c r="J203" s="35"/>
    </x:row>
    <x:row r="205">
      <x:c r="A205" s="17" t="str">
        <x:v>9月</x:v>
      </x:c>
      <x:c r="B205" s="17"/>
      <x:c r="C205" s="17"/>
      <x:c r="D205" s="17"/>
      <x:c r="E205" s="17"/>
      <x:c r="F205" s="17"/>
      <x:c r="G205" s="17"/>
      <x:c r="H205" s="17"/>
      <x:c r="I205" s="17"/>
      <x:c r="J205" s="17"/>
    </x:row>
    <x:row r="206">
      <x:c r="A206" s="20" t="str">
        <x:v>序号</x:v>
      </x:c>
      <x:c r="B206" s="20" t="str">
        <x:v>星期</x:v>
      </x:c>
      <x:c r="C206" s="20" t="str">
        <x:v>日期</x:v>
      </x:c>
      <x:c r="D206" s="20" t="str">
        <x:v>开盘</x:v>
      </x:c>
      <x:c r="E206" s="20" t="str">
        <x:v>高点</x:v>
      </x:c>
      <x:c r="F206" s="20" t="str">
        <x:v>低点</x:v>
      </x:c>
      <x:c r="G206" s="20" t="str">
        <x:v>收盘</x:v>
      </x:c>
      <x:c r="H206" s="20" t="str">
        <x:v>涨幅</x:v>
      </x:c>
      <x:c r="I206" s="20" t="str">
        <x:v>振幅</x:v>
      </x:c>
      <x:c r="J206" s="20" t="str">
        <x:v>标的</x:v>
      </x:c>
    </x:row>
    <x:row r="207">
      <x:c r="A207" s="23" t="n">
        <x:v>1</x:v>
      </x:c>
      <x:c r="B207" s="23" t="str">
        <x:v>周一</x:v>
      </x:c>
      <x:c r="C207" s="23" t="str">
        <x:v>9月2日</x:v>
      </x:c>
      <x:c r="D207" s="24" t="n">
        <x:v>2832.35</x:v>
      </x:c>
      <x:c r="E207" s="24" t="n">
        <x:v>2839.278</x:v>
      </x:c>
      <x:c r="F207" s="24" t="n">
        <x:v>2810.374</x:v>
      </x:c>
      <x:c r="G207" s="24" t="n">
        <x:v>2811.035</x:v>
      </x:c>
      <x:c r="H207" s="25" t="n">
        <x:v>-0.0109699691859938</x:v>
      </x:c>
      <x:c r="I207" s="24" t="n">
        <x:f>ROUND(E207-F207,1)</x:f>
        <x:v>28.9</x:v>
      </x:c>
      <x:c r="J207" s="23" t="str">
        <x:v>上证指数</x:v>
      </x:c>
    </x:row>
    <x:row r="208">
      <x:c r="A208" s="23" t="n">
        <x:v>2</x:v>
      </x:c>
      <x:c r="B208" s="23" t="str">
        <x:v>周二</x:v>
      </x:c>
      <x:c r="C208" s="23" t="str">
        <x:v>9月3日</x:v>
      </x:c>
      <x:c r="D208" s="24" t="n">
        <x:v>2809.173</x:v>
      </x:c>
      <x:c r="E208" s="24" t="n">
        <x:v>2814.903</x:v>
      </x:c>
      <x:c r="F208" s="24" t="n">
        <x:v>2794.911</x:v>
      </x:c>
      <x:c r="G208" s="24" t="n">
        <x:v>2802.979</x:v>
      </x:c>
      <x:c r="H208" s="25" t="n">
        <x:v>-0.002865848344115296</x:v>
      </x:c>
      <x:c r="I208" s="24" t="n">
        <x:f>ROUND(E208-F208,1)</x:f>
        <x:v>20</x:v>
      </x:c>
      <x:c r="J208" s="23" t="str">
        <x:v>上证指数</x:v>
      </x:c>
    </x:row>
    <x:row r="209">
      <x:c r="A209" s="23" t="n">
        <x:v>3</x:v>
      </x:c>
      <x:c r="B209" s="23" t="str">
        <x:v>周三</x:v>
      </x:c>
      <x:c r="C209" s="23" t="str">
        <x:v>9月4日</x:v>
      </x:c>
      <x:c r="D209" s="24" t="n">
        <x:v>2786.505</x:v>
      </x:c>
      <x:c r="E209" s="24" t="n">
        <x:v>2800.607</x:v>
      </x:c>
      <x:c r="F209" s="24" t="n">
        <x:v>2781.935</x:v>
      </x:c>
      <x:c r="G209" s="24" t="n">
        <x:v>2784.278</x:v>
      </x:c>
      <x:c r="H209" s="25" t="n">
        <x:v>-0.006671830220633113</x:v>
      </x:c>
      <x:c r="I209" s="24" t="n">
        <x:f>ROUND(E209-F209,1)</x:f>
        <x:v>18.7</x:v>
      </x:c>
      <x:c r="J209" s="23" t="str">
        <x:v>上证指数</x:v>
      </x:c>
    </x:row>
    <x:row r="210">
      <x:c r="A210" s="23" t="n">
        <x:v>4</x:v>
      </x:c>
      <x:c r="B210" s="23" t="str">
        <x:v>周四</x:v>
      </x:c>
      <x:c r="C210" s="23" t="str">
        <x:v>9月5日</x:v>
      </x:c>
      <x:c r="D210" s="24" t="n">
        <x:v>2785.264</x:v>
      </x:c>
      <x:c r="E210" s="24" t="n">
        <x:v>2796.019</x:v>
      </x:c>
      <x:c r="F210" s="24" t="n">
        <x:v>2777.471</x:v>
      </x:c>
      <x:c r="G210" s="24" t="n">
        <x:v>2788.314</x:v>
      </x:c>
      <x:c r="H210" s="25" t="n">
        <x:v>0.00144956789515982</x:v>
      </x:c>
      <x:c r="I210" s="24" t="n">
        <x:f>ROUND(E210-F210,1)</x:f>
        <x:v>18.5</x:v>
      </x:c>
      <x:c r="J210" s="23" t="str">
        <x:v>上证指数</x:v>
      </x:c>
    </x:row>
    <x:row r="211">
      <x:c r="A211" s="23" t="n">
        <x:v>5</x:v>
      </x:c>
      <x:c r="B211" s="23" t="str">
        <x:v>周五</x:v>
      </x:c>
      <x:c r="C211" s="23" t="str">
        <x:v>9月6日</x:v>
      </x:c>
      <x:c r="D211" s="24" t="n">
        <x:v>2791.765</x:v>
      </x:c>
      <x:c r="E211" s="24" t="n">
        <x:v>2804.093</x:v>
      </x:c>
      <x:c r="F211" s="24" t="n">
        <x:v>2765.639</x:v>
      </x:c>
      <x:c r="G211" s="24" t="n">
        <x:v>2765.807</x:v>
      </x:c>
      <x:c r="H211" s="25" t="n">
        <x:v>-0.00807190294923743</x:v>
      </x:c>
      <x:c r="I211" s="24" t="n">
        <x:f>ROUND(E211-F211,1)</x:f>
        <x:v>38.5</x:v>
      </x:c>
      <x:c r="J211" s="23" t="str">
        <x:v>上证指数</x:v>
      </x:c>
    </x:row>
    <x:row r="212">
      <x:c r="A212" s="23" t="n">
        <x:v>6</x:v>
      </x:c>
      <x:c r="B212" s="23" t="str">
        <x:v>周一</x:v>
      </x:c>
      <x:c r="C212" s="23" t="str">
        <x:v>9月9日</x:v>
      </x:c>
      <x:c r="D212" s="24" t="n">
        <x:v>2754.724</x:v>
      </x:c>
      <x:c r="E212" s="24" t="n">
        <x:v>2756.556</x:v>
      </x:c>
      <x:c r="F212" s="24" t="n">
        <x:v>2726.967</x:v>
      </x:c>
      <x:c r="G212" s="24" t="n">
        <x:v>2736.488</x:v>
      </x:c>
      <x:c r="H212" s="25" t="n">
        <x:v>-0.010600522740740748</x:v>
      </x:c>
      <x:c r="I212" s="24" t="n">
        <x:f>ROUND(E212-F212,1)</x:f>
        <x:v>29.6</x:v>
      </x:c>
      <x:c r="J212" s="23" t="str">
        <x:v>上证指数</x:v>
      </x:c>
    </x:row>
    <x:row r="213">
      <x:c r="A213" s="23" t="n">
        <x:v>7</x:v>
      </x:c>
      <x:c r="B213" s="23" t="str">
        <x:v>周二</x:v>
      </x:c>
      <x:c r="C213" s="23" t="str">
        <x:v>9月10日</x:v>
      </x:c>
      <x:c r="D213" s="24" t="n">
        <x:v>2737.881</x:v>
      </x:c>
      <x:c r="E213" s="24" t="n">
        <x:v>2750.118</x:v>
      </x:c>
      <x:c r="F213" s="24" t="n">
        <x:v>2718.627</x:v>
      </x:c>
      <x:c r="G213" s="24" t="n">
        <x:v>2744.192</x:v>
      </x:c>
      <x:c r="H213" s="25" t="n">
        <x:v>0.002815287331791705</x:v>
      </x:c>
      <x:c r="I213" s="24" t="n">
        <x:f>ROUND(E213-F213,1)</x:f>
        <x:v>31.5</x:v>
      </x:c>
      <x:c r="J213" s="23" t="str">
        <x:v>上证指数</x:v>
      </x:c>
    </x:row>
    <x:row r="214">
      <x:c r="A214" s="23" t="n">
        <x:v>8</x:v>
      </x:c>
      <x:c r="B214" s="23" t="str">
        <x:v>周三</x:v>
      </x:c>
      <x:c r="C214" s="23" t="str">
        <x:v>9月11日</x:v>
      </x:c>
      <x:c r="D214" s="24" t="n">
        <x:v>2732.731</x:v>
      </x:c>
      <x:c r="E214" s="24" t="n">
        <x:v>2732.731</x:v>
      </x:c>
      <x:c r="F214" s="24" t="n">
        <x:v>2710.621</x:v>
      </x:c>
      <x:c r="G214" s="24" t="n">
        <x:v>2721.795</x:v>
      </x:c>
      <x:c r="H214" s="25" t="n">
        <x:v>-0.0081616009375437</x:v>
      </x:c>
      <x:c r="I214" s="24" t="n">
        <x:f>ROUND(E214-F214,1)</x:f>
        <x:v>22.1</x:v>
      </x:c>
      <x:c r="J214" s="23" t="str">
        <x:v>上证指数</x:v>
      </x:c>
    </x:row>
    <x:row r="215">
      <x:c r="A215" s="23" t="n">
        <x:v>9</x:v>
      </x:c>
      <x:c r="B215" s="23" t="str">
        <x:v>周四</x:v>
      </x:c>
      <x:c r="C215" s="23" t="str">
        <x:v>9月12日</x:v>
      </x:c>
      <x:c r="D215" s="24" t="n">
        <x:v>2722.138</x:v>
      </x:c>
      <x:c r="E215" s="24" t="n">
        <x:v>2734.683</x:v>
      </x:c>
      <x:c r="F215" s="24" t="n">
        <x:v>2716.555</x:v>
      </x:c>
      <x:c r="G215" s="24" t="n">
        <x:v>2717.123</x:v>
      </x:c>
      <x:c r="H215" s="25" t="n">
        <x:v>-0.0017165142856093718</x:v>
      </x:c>
      <x:c r="I215" s="24" t="n">
        <x:f>ROUND(E215-F215,1)</x:f>
        <x:v>18.1</x:v>
      </x:c>
      <x:c r="J215" s="23" t="str">
        <x:v>上证指数</x:v>
      </x:c>
    </x:row>
    <x:row r="216">
      <x:c r="A216" s="23" t="n">
        <x:v>10</x:v>
      </x:c>
      <x:c r="B216" s="23" t="str">
        <x:v>周五</x:v>
      </x:c>
      <x:c r="C216" s="23" t="str">
        <x:v>9月13日</x:v>
      </x:c>
      <x:c r="D216" s="24" t="n">
        <x:v>2718.986</x:v>
      </x:c>
      <x:c r="E216" s="24" t="n">
        <x:v>2728.78</x:v>
      </x:c>
      <x:c r="F216" s="24" t="n">
        <x:v>2703.369</x:v>
      </x:c>
      <x:c r="G216" s="24" t="n">
        <x:v>2704.09</x:v>
      </x:c>
      <x:c r="H216" s="25" t="n">
        <x:v>-0.004796617598835207</x:v>
      </x:c>
      <x:c r="I216" s="24" t="n">
        <x:f>ROUND(E216-F216,1)</x:f>
        <x:v>25.4</x:v>
      </x:c>
      <x:c r="J216" s="23" t="str">
        <x:v>上证指数</x:v>
      </x:c>
    </x:row>
    <x:row r="217">
      <x:c r="A217" s="23" t="n">
        <x:v>11</x:v>
      </x:c>
      <x:c r="B217" s="23" t="str">
        <x:v>周三</x:v>
      </x:c>
      <x:c r="C217" s="23" t="str">
        <x:v>9月18日</x:v>
      </x:c>
      <x:c r="D217" s="24" t="n">
        <x:v>2705.345</x:v>
      </x:c>
      <x:c r="E217" s="24" t="n">
        <x:v>2724.114</x:v>
      </x:c>
      <x:c r="F217" s="24" t="n">
        <x:v>2689.695</x:v>
      </x:c>
      <x:c r="G217" s="24" t="n">
        <x:v>2717.281</x:v>
      </x:c>
      <x:c r="H217" s="25" t="n">
        <x:v>0.0048781660373729</x:v>
      </x:c>
      <x:c r="I217" s="24" t="n">
        <x:f>ROUND(E217-F217,1)</x:f>
        <x:v>34.4</x:v>
      </x:c>
      <x:c r="J217" s="23" t="str">
        <x:v>上证指数</x:v>
      </x:c>
    </x:row>
    <x:row r="218">
      <x:c r="A218" s="23" t="n">
        <x:v>12</x:v>
      </x:c>
      <x:c r="B218" s="23" t="str">
        <x:v>周四</x:v>
      </x:c>
      <x:c r="C218" s="23" t="str">
        <x:v>9月19日</x:v>
      </x:c>
      <x:c r="D218" s="24" t="n">
        <x:v>2723.205</x:v>
      </x:c>
      <x:c r="E218" s="24" t="n">
        <x:v>2747.74</x:v>
      </x:c>
      <x:c r="F218" s="24" t="n">
        <x:v>2697.776</x:v>
      </x:c>
      <x:c r="G218" s="24" t="n">
        <x:v>2736.022</x:v>
      </x:c>
      <x:c r="H218" s="25" t="n">
        <x:v>0.006896967961723455</x:v>
      </x:c>
      <x:c r="I218" s="33" t="n">
        <x:f>ROUND(E218-F218,1)</x:f>
        <x:v>50</x:v>
      </x:c>
      <x:c r="J218" s="23" t="str">
        <x:v>上证指数</x:v>
      </x:c>
    </x:row>
    <x:row r="219">
      <x:c r="A219" s="29" t="n">
        <x:v>13</x:v>
      </x:c>
      <x:c r="B219" s="29" t="str">
        <x:v>周五</x:v>
      </x:c>
      <x:c r="C219" s="29" t="str">
        <x:v>9月20日</x:v>
      </x:c>
      <x:c r="D219" s="30" t="n">
        <x:v>2734.228</x:v>
      </x:c>
      <x:c r="E219" s="30" t="n">
        <x:v>2741.155</x:v>
      </x:c>
      <x:c r="F219" s="30" t="n">
        <x:v>2717.945</x:v>
      </x:c>
      <x:c r="G219" s="30" t="n">
        <x:v>2736.814</x:v>
      </x:c>
      <x:c r="H219" s="31" t="n">
        <x:v>0.00028947135658996537</x:v>
      </x:c>
      <x:c r="I219" s="30" t="n">
        <x:f>ROUND(E219-F219,1)</x:f>
        <x:v>23.2</x:v>
      </x:c>
      <x:c r="J219" s="29" t="str">
        <x:v>上证指数</x:v>
      </x:c>
    </x:row>
    <x:row r="220">
      <x:c r="A220" s="23" t="n">
        <x:v>14</x:v>
      </x:c>
      <x:c r="B220" s="23" t="str">
        <x:v>周一</x:v>
      </x:c>
      <x:c r="C220" s="23" t="str">
        <x:v>9月23日</x:v>
      </x:c>
      <x:c r="D220" s="24" t="n">
        <x:v>2735.39</x:v>
      </x:c>
      <x:c r="E220" s="24" t="n">
        <x:v>2760.48</x:v>
      </x:c>
      <x:c r="F220" s="24" t="n">
        <x:v>2731.357</x:v>
      </x:c>
      <x:c r="G220" s="24" t="n">
        <x:v>2748.918</x:v>
      </x:c>
      <x:c r="H220" s="25" t="n">
        <x:v>0.004422660801939982</x:v>
      </x:c>
      <x:c r="I220" s="24" t="n">
        <x:f>ROUND(E220-F220,1)</x:f>
        <x:v>29.1</x:v>
      </x:c>
      <x:c r="J220" s="23" t="str">
        <x:v>上证指数</x:v>
      </x:c>
    </x:row>
    <x:row r="221">
      <x:c r="A221" s="23" t="n">
        <x:v>15</x:v>
      </x:c>
      <x:c r="B221" s="23" t="str">
        <x:v>周二</x:v>
      </x:c>
      <x:c r="C221" s="23" t="str">
        <x:v>9月24日</x:v>
      </x:c>
      <x:c r="D221" s="24" t="n">
        <x:v>2770.754</x:v>
      </x:c>
      <x:c r="E221" s="24" t="n">
        <x:v>2863.152</x:v>
      </x:c>
      <x:c r="F221" s="24" t="n">
        <x:v>2761.372</x:v>
      </x:c>
      <x:c r="G221" s="24" t="n">
        <x:v>2863.126</x:v>
      </x:c>
      <x:c r="H221" s="25" t="n">
        <x:v>0.04154652848866358</x:v>
      </x:c>
      <x:c r="I221" s="33" t="n">
        <x:f>ROUND(E221-F221,1)</x:f>
        <x:v>101.8</x:v>
      </x:c>
      <x:c r="J221" s="23" t="str">
        <x:v>上证指数</x:v>
      </x:c>
    </x:row>
    <x:row r="222">
      <x:c r="A222" s="23" t="n">
        <x:v>16</x:v>
      </x:c>
      <x:c r="B222" s="23" t="str">
        <x:v>周三</x:v>
      </x:c>
      <x:c r="C222" s="23" t="str">
        <x:v>9月25日</x:v>
      </x:c>
      <x:c r="D222" s="24" t="n">
        <x:v>2901.419</x:v>
      </x:c>
      <x:c r="E222" s="24" t="n">
        <x:v>2952.451</x:v>
      </x:c>
      <x:c r="F222" s="24" t="n">
        <x:v>2889.048</x:v>
      </x:c>
      <x:c r="G222" s="24" t="n">
        <x:v>2896.306</x:v>
      </x:c>
      <x:c r="H222" s="25" t="n">
        <x:v>0.011588732036242888</x:v>
      </x:c>
      <x:c r="I222" s="33" t="n">
        <x:f>ROUND(E222-F222,1)</x:f>
        <x:v>63.4</x:v>
      </x:c>
      <x:c r="J222" s="23" t="str">
        <x:v>上证指数</x:v>
      </x:c>
    </x:row>
    <x:row r="223">
      <x:c r="A223" s="23" t="n">
        <x:v>17</x:v>
      </x:c>
      <x:c r="B223" s="23" t="str">
        <x:v>周四</x:v>
      </x:c>
      <x:c r="C223" s="23" t="str">
        <x:v>9月26日</x:v>
      </x:c>
      <x:c r="D223" s="24" t="n">
        <x:v>2893.745</x:v>
      </x:c>
      <x:c r="E223" s="24" t="n">
        <x:v>3000.953</x:v>
      </x:c>
      <x:c r="F223" s="24" t="n">
        <x:v>2889.014</x:v>
      </x:c>
      <x:c r="G223" s="24" t="n">
        <x:v>3000.953</x:v>
      </x:c>
      <x:c r="H223" s="25" t="n">
        <x:v>0.03613119608218196</x:v>
      </x:c>
      <x:c r="I223" s="33" t="n">
        <x:f>ROUND(E223-F223,1)</x:f>
        <x:v>111.9</x:v>
      </x:c>
      <x:c r="J223" s="23" t="str">
        <x:v>上证指数</x:v>
      </x:c>
    </x:row>
    <x:row r="224">
      <x:c r="A224" s="23" t="n">
        <x:v>18</x:v>
      </x:c>
      <x:c r="B224" s="23" t="str">
        <x:v>周五</x:v>
      </x:c>
      <x:c r="C224" s="23" t="str">
        <x:v>9月27日</x:v>
      </x:c>
      <x:c r="D224" s="24" t="n">
        <x:v>3049.103</x:v>
      </x:c>
      <x:c r="E224" s="24" t="n">
        <x:v>3087.529</x:v>
      </x:c>
      <x:c r="F224" s="24" t="n">
        <x:v>3017.445</x:v>
      </x:c>
      <x:c r="G224" s="24" t="n">
        <x:v>3087.529</x:v>
      </x:c>
      <x:c r="H224" s="25" t="n">
        <x:v>0.028849502141486294</x:v>
      </x:c>
      <x:c r="I224" s="33" t="n">
        <x:f>ROUND(E224-F224,1)</x:f>
        <x:v>70.1</x:v>
      </x:c>
      <x:c r="J224" s="23" t="str">
        <x:v>上证指数</x:v>
      </x:c>
    </x:row>
    <x:row r="225">
      <x:c r="A225" s="23" t="n">
        <x:v>19</x:v>
      </x:c>
      <x:c r="B225" s="23" t="str">
        <x:v>周一</x:v>
      </x:c>
      <x:c r="C225" s="23" t="str">
        <x:v>9月30日</x:v>
      </x:c>
      <x:c r="D225" s="24" t="n">
        <x:v>3194.722</x:v>
      </x:c>
      <x:c r="E225" s="24" t="n">
        <x:v>3358.588</x:v>
      </x:c>
      <x:c r="F225" s="24" t="n">
        <x:v>3153.697</x:v>
      </x:c>
      <x:c r="G225" s="24" t="n">
        <x:v>3336.497</x:v>
      </x:c>
      <x:c r="H225" s="25" t="n">
        <x:v>0.08063665150999388</x:v>
      </x:c>
      <x:c r="I225" s="33" t="n">
        <x:f>ROUND(E225-F225,1)</x:f>
        <x:v>204.9</x:v>
      </x:c>
      <x:c r="J225" s="23" t="str">
        <x:v>上证指数</x:v>
      </x:c>
    </x:row>
    <x:row r="226">
      <x:c r="A226" s="36" t="str">
        <x:v>合计</x:v>
      </x:c>
      <x:c r="B226" s="35" t="n">
        <x:v>19</x:v>
      </x:c>
      <x:c r="C226" s="35"/>
      <x:c r="D226" s="35"/>
      <x:c r="E226" s="35"/>
      <x:c r="F226" s="35"/>
      <x:c r="G226" s="35"/>
      <x:c r="H226" s="35"/>
      <x:c r="I226" s="37" t="n">
        <x:f>ROUND(SUM(I207:I225),1)</x:f>
        <x:v>940.1</x:v>
      </x:c>
      <x:c r="J226" s="35"/>
    </x:row>
    <x:row r="227">
      <x:c r="A227" s="36" t="str">
        <x:v>均值</x:v>
      </x:c>
      <x:c r="B227" s="35"/>
      <x:c r="C227" s="35"/>
      <x:c r="D227" s="35"/>
      <x:c r="E227" s="35"/>
      <x:c r="F227" s="35"/>
      <x:c r="G227" s="35"/>
      <x:c r="H227" s="35"/>
      <x:c r="I227" s="39" t="n">
        <x:f>ROUND(IFERROR(AVERAGE(I207:I225),0),1)</x:f>
        <x:v>49.5</x:v>
      </x:c>
      <x:c r="J227" s="35"/>
    </x:row>
    <x:row r="229">
      <x:c r="A229" s="17" t="str">
        <x:v>10月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</x:row>
    <x:row r="230">
      <x:c r="A230" s="20" t="str">
        <x:v>序号</x:v>
      </x:c>
      <x:c r="B230" s="20" t="str">
        <x:v>星期</x:v>
      </x:c>
      <x:c r="C230" s="20" t="str">
        <x:v>日期</x:v>
      </x:c>
      <x:c r="D230" s="20" t="str">
        <x:v>开盘</x:v>
      </x:c>
      <x:c r="E230" s="20" t="str">
        <x:v>高点</x:v>
      </x:c>
      <x:c r="F230" s="20" t="str">
        <x:v>低点</x:v>
      </x:c>
      <x:c r="G230" s="20" t="str">
        <x:v>收盘</x:v>
      </x:c>
      <x:c r="H230" s="20" t="str">
        <x:v>涨幅</x:v>
      </x:c>
      <x:c r="I230" s="20" t="str">
        <x:v>振幅</x:v>
      </x:c>
      <x:c r="J230" s="20" t="str">
        <x:v>标的</x:v>
      </x:c>
    </x:row>
    <x:row r="231">
      <x:c r="A231" s="23" t="n">
        <x:v>1</x:v>
      </x:c>
      <x:c r="B231" s="23" t="str">
        <x:v>周二</x:v>
      </x:c>
      <x:c r="C231" s="23" t="str">
        <x:v>10月8日</x:v>
      </x:c>
      <x:c r="D231" s="24" t="n">
        <x:v>3674.405</x:v>
      </x:c>
      <x:c r="E231" s="24" t="n">
        <x:v>3674.405</x:v>
      </x:c>
      <x:c r="F231" s="24" t="n">
        <x:v>3372.187</x:v>
      </x:c>
      <x:c r="G231" s="24" t="n">
        <x:v>3489.775</x:v>
      </x:c>
      <x:c r="H231" s="25" t="n">
        <x:v>0.04593979853720831</x:v>
      </x:c>
      <x:c r="I231" s="33" t="n">
        <x:f>ROUND(E231-F231,1)</x:f>
        <x:v>302.2</x:v>
      </x:c>
      <x:c r="J231" s="23" t="str">
        <x:v>上证指数</x:v>
      </x:c>
    </x:row>
    <x:row r="232">
      <x:c r="A232" s="23" t="n">
        <x:v>2</x:v>
      </x:c>
      <x:c r="B232" s="23" t="str">
        <x:v>周三</x:v>
      </x:c>
      <x:c r="C232" s="23" t="str">
        <x:v>10月9日</x:v>
      </x:c>
      <x:c r="D232" s="24" t="n">
        <x:v>3427.22</x:v>
      </x:c>
      <x:c r="E232" s="24" t="n">
        <x:v>3437.157</x:v>
      </x:c>
      <x:c r="F232" s="24" t="n">
        <x:v>3249.159</x:v>
      </x:c>
      <x:c r="G232" s="24" t="n">
        <x:v>3258.858</x:v>
      </x:c>
      <x:c r="H232" s="25" t="n">
        <x:v>-0.06616959546102541</x:v>
      </x:c>
      <x:c r="I232" s="33" t="n">
        <x:f>ROUND(E232-F232,1)</x:f>
        <x:v>188</x:v>
      </x:c>
      <x:c r="J232" s="23" t="str">
        <x:v>上证指数</x:v>
      </x:c>
    </x:row>
    <x:row r="233">
      <x:c r="A233" s="23" t="n">
        <x:v>3</x:v>
      </x:c>
      <x:c r="B233" s="23" t="str">
        <x:v>周四</x:v>
      </x:c>
      <x:c r="C233" s="23" t="str">
        <x:v>10月10日</x:v>
      </x:c>
      <x:c r="D233" s="24" t="n">
        <x:v>3277.692</x:v>
      </x:c>
      <x:c r="E233" s="24" t="n">
        <x:v>3379.805</x:v>
      </x:c>
      <x:c r="F233" s="24" t="n">
        <x:v>3228.125</x:v>
      </x:c>
      <x:c r="G233" s="24" t="n">
        <x:v>3301.926</x:v>
      </x:c>
      <x:c r="H233" s="25" t="n">
        <x:v>0.013215672484041985</x:v>
      </x:c>
      <x:c r="I233" s="33" t="n">
        <x:f>ROUND(E233-F233,1)</x:f>
        <x:v>151.7</x:v>
      </x:c>
      <x:c r="J233" s="23" t="str">
        <x:v>上证指数</x:v>
      </x:c>
    </x:row>
    <x:row r="234">
      <x:c r="A234" s="23" t="n">
        <x:v>4</x:v>
      </x:c>
      <x:c r="B234" s="23" t="str">
        <x:v>周五</x:v>
      </x:c>
      <x:c r="C234" s="23" t="str">
        <x:v>10月11日</x:v>
      </x:c>
      <x:c r="D234" s="24" t="n">
        <x:v>3287.873</x:v>
      </x:c>
      <x:c r="E234" s="24" t="n">
        <x:v>3297.752</x:v>
      </x:c>
      <x:c r="F234" s="24" t="n">
        <x:v>3187.988</x:v>
      </x:c>
      <x:c r="G234" s="24" t="n">
        <x:v>3217.738</x:v>
      </x:c>
      <x:c r="H234" s="25" t="n">
        <x:v>-0.025496634388535666</x:v>
      </x:c>
      <x:c r="I234" s="33" t="n">
        <x:f>ROUND(E234-F234,1)</x:f>
        <x:v>109.8</x:v>
      </x:c>
      <x:c r="J234" s="23" t="str">
        <x:v>上证指数</x:v>
      </x:c>
    </x:row>
    <x:row r="235">
      <x:c r="A235" s="23" t="n">
        <x:v>5</x:v>
      </x:c>
      <x:c r="B235" s="23" t="str">
        <x:v>周一</x:v>
      </x:c>
      <x:c r="C235" s="23" t="str">
        <x:v>10月14日</x:v>
      </x:c>
      <x:c r="D235" s="24" t="n">
        <x:v>3241.428</x:v>
      </x:c>
      <x:c r="E235" s="24" t="n">
        <x:v>3294.62</x:v>
      </x:c>
      <x:c r="F235" s="24" t="n">
        <x:v>3203.901</x:v>
      </x:c>
      <x:c r="G235" s="24" t="n">
        <x:v>3284.323</x:v>
      </x:c>
      <x:c r="H235" s="25" t="n">
        <x:v>0.020693108015630957</x:v>
      </x:c>
      <x:c r="I235" s="33" t="n">
        <x:f>ROUND(E235-F235,1)</x:f>
        <x:v>90.7</x:v>
      </x:c>
      <x:c r="J235" s="23" t="str">
        <x:v>上证指数</x:v>
      </x:c>
    </x:row>
    <x:row r="236">
      <x:c r="A236" s="23" t="n">
        <x:v>6</x:v>
      </x:c>
      <x:c r="B236" s="23" t="str">
        <x:v>周二</x:v>
      </x:c>
      <x:c r="C236" s="23" t="str">
        <x:v>10月15日</x:v>
      </x:c>
      <x:c r="D236" s="24" t="n">
        <x:v>3265.746</x:v>
      </x:c>
      <x:c r="E236" s="24" t="n">
        <x:v>3285.215</x:v>
      </x:c>
      <x:c r="F236" s="24" t="n">
        <x:v>3201.292</x:v>
      </x:c>
      <x:c r="G236" s="24" t="n">
        <x:v>3201.292</x:v>
      </x:c>
      <x:c r="H236" s="25" t="n">
        <x:v>-0.02528100920646359</x:v>
      </x:c>
      <x:c r="I236" s="33" t="n">
        <x:f>ROUND(E236-F236,1)</x:f>
        <x:v>83.9</x:v>
      </x:c>
      <x:c r="J236" s="23" t="str">
        <x:v>上证指数</x:v>
      </x:c>
    </x:row>
    <x:row r="237">
      <x:c r="A237" s="23" t="n">
        <x:v>7</x:v>
      </x:c>
      <x:c r="B237" s="23" t="str">
        <x:v>周三</x:v>
      </x:c>
      <x:c r="C237" s="23" t="str">
        <x:v>10月16日</x:v>
      </x:c>
      <x:c r="D237" s="24" t="n">
        <x:v>3169.169</x:v>
      </x:c>
      <x:c r="E237" s="24" t="n">
        <x:v>3236.848</x:v>
      </x:c>
      <x:c r="F237" s="24" t="n">
        <x:v>3167.736</x:v>
      </x:c>
      <x:c r="G237" s="24" t="n">
        <x:v>3202.948</x:v>
      </x:c>
      <x:c r="H237" s="25" t="n">
        <x:v>0.0005172911437008043</x:v>
      </x:c>
      <x:c r="I237" s="33" t="n">
        <x:f>ROUND(E237-F237,1)</x:f>
        <x:v>69.1</x:v>
      </x:c>
      <x:c r="J237" s="23" t="str">
        <x:v>上证指数</x:v>
      </x:c>
    </x:row>
    <x:row r="238">
      <x:c r="A238" s="23" t="n">
        <x:v>8</x:v>
      </x:c>
      <x:c r="B238" s="23" t="str">
        <x:v>周四</x:v>
      </x:c>
      <x:c r="C238" s="23" t="str">
        <x:v>10月17日</x:v>
      </x:c>
      <x:c r="D238" s="24" t="n">
        <x:v>3220.733</x:v>
      </x:c>
      <x:c r="E238" s="24" t="n">
        <x:v>3241.568</x:v>
      </x:c>
      <x:c r="F238" s="24" t="n">
        <x:v>3169.384</x:v>
      </x:c>
      <x:c r="G238" s="24" t="n">
        <x:v>3169.384</x:v>
      </x:c>
      <x:c r="H238" s="25" t="n">
        <x:v>-0.010479096132687715</x:v>
      </x:c>
      <x:c r="I238" s="33" t="n">
        <x:f>ROUND(E238-F238,1)</x:f>
        <x:v>72.2</x:v>
      </x:c>
      <x:c r="J238" s="23" t="str">
        <x:v>上证指数</x:v>
      </x:c>
    </x:row>
    <x:row r="239">
      <x:c r="A239" s="29" t="n">
        <x:v>9</x:v>
      </x:c>
      <x:c r="B239" s="29" t="str">
        <x:v>周五</x:v>
      </x:c>
      <x:c r="C239" s="29" t="str">
        <x:v>10月18日</x:v>
      </x:c>
      <x:c r="D239" s="30" t="n">
        <x:v>3165.975</x:v>
      </x:c>
      <x:c r="E239" s="30" t="n">
        <x:v>3313.978</x:v>
      </x:c>
      <x:c r="F239" s="30" t="n">
        <x:v>3152.821</x:v>
      </x:c>
      <x:c r="G239" s="30" t="n">
        <x:v>3261.563</x:v>
      </x:c>
      <x:c r="H239" s="31" t="n">
        <x:v>0.029084200589136522</x:v>
      </x:c>
      <x:c r="I239" s="33" t="n">
        <x:f>ROUND(E239-F239,1)</x:f>
        <x:v>161.2</x:v>
      </x:c>
      <x:c r="J239" s="29" t="str">
        <x:v>上证指数</x:v>
      </x:c>
    </x:row>
    <x:row r="240">
      <x:c r="A240" s="23" t="n">
        <x:v>10</x:v>
      </x:c>
      <x:c r="B240" s="23" t="str">
        <x:v>周一</x:v>
      </x:c>
      <x:c r="C240" s="23" t="str">
        <x:v>10月21日</x:v>
      </x:c>
      <x:c r="D240" s="24" t="n">
        <x:v>3276.06</x:v>
      </x:c>
      <x:c r="E240" s="24" t="n">
        <x:v>3300.664</x:v>
      </x:c>
      <x:c r="F240" s="24" t="n">
        <x:v>3239.097</x:v>
      </x:c>
      <x:c r="G240" s="24" t="n">
        <x:v>3268.11</x:v>
      </x:c>
      <x:c r="H240" s="25" t="n">
        <x:v>0.002007319803419394</x:v>
      </x:c>
      <x:c r="I240" s="33" t="n">
        <x:f>ROUND(E240-F240,1)</x:f>
        <x:v>61.6</x:v>
      </x:c>
      <x:c r="J240" s="23" t="str">
        <x:v>上证指数</x:v>
      </x:c>
    </x:row>
    <x:row r="241">
      <x:c r="A241" s="23" t="n">
        <x:v>11</x:v>
      </x:c>
      <x:c r="B241" s="23" t="str">
        <x:v>周二</x:v>
      </x:c>
      <x:c r="C241" s="23" t="str">
        <x:v>10月22日</x:v>
      </x:c>
      <x:c r="D241" s="24" t="n">
        <x:v>3263.822</x:v>
      </x:c>
      <x:c r="E241" s="24" t="n">
        <x:v>3294.961</x:v>
      </x:c>
      <x:c r="F241" s="24" t="n">
        <x:v>3255.138</x:v>
      </x:c>
      <x:c r="G241" s="24" t="n">
        <x:v>3285.867</x:v>
      </x:c>
      <x:c r="H241" s="25" t="n">
        <x:v>0.005433415643904205</x:v>
      </x:c>
      <x:c r="I241" s="24" t="n">
        <x:f>ROUND(E241-F241,1)</x:f>
        <x:v>39.8</x:v>
      </x:c>
      <x:c r="J241" s="23" t="str">
        <x:v>上证指数</x:v>
      </x:c>
    </x:row>
    <x:row r="242">
      <x:c r="A242" s="23" t="n">
        <x:v>12</x:v>
      </x:c>
      <x:c r="B242" s="23" t="str">
        <x:v>周三</x:v>
      </x:c>
      <x:c r="C242" s="23" t="str">
        <x:v>10月23日</x:v>
      </x:c>
      <x:c r="D242" s="24" t="n">
        <x:v>3285.247</x:v>
      </x:c>
      <x:c r="E242" s="24" t="n">
        <x:v>3331.082</x:v>
      </x:c>
      <x:c r="F242" s="24" t="n">
        <x:v>3277.066</x:v>
      </x:c>
      <x:c r="G242" s="24" t="n">
        <x:v>3302.803</x:v>
      </x:c>
      <x:c r="H242" s="25" t="n">
        <x:v>0.005154195224578384</x:v>
      </x:c>
      <x:c r="I242" s="33" t="n">
        <x:f>ROUND(E242-F242,1)</x:f>
        <x:v>54</x:v>
      </x:c>
      <x:c r="J242" s="23" t="str">
        <x:v>上证指数</x:v>
      </x:c>
    </x:row>
    <x:row r="243">
      <x:c r="A243" s="23" t="n">
        <x:v>13</x:v>
      </x:c>
      <x:c r="B243" s="23" t="str">
        <x:v>周四</x:v>
      </x:c>
      <x:c r="C243" s="23" t="str">
        <x:v>10月24日</x:v>
      </x:c>
      <x:c r="D243" s="24" t="n">
        <x:v>3287.824</x:v>
      </x:c>
      <x:c r="E243" s="24" t="n">
        <x:v>3292.945</x:v>
      </x:c>
      <x:c r="F243" s="24" t="n">
        <x:v>3266.882</x:v>
      </x:c>
      <x:c r="G243" s="24" t="n">
        <x:v>3280.263</x:v>
      </x:c>
      <x:c r="H243" s="25" t="n">
        <x:v>-0.006824506335981861</x:v>
      </x:c>
      <x:c r="I243" s="24" t="n">
        <x:f>ROUND(E243-F243,1)</x:f>
        <x:v>26.1</x:v>
      </x:c>
      <x:c r="J243" s="23" t="str">
        <x:v>上证指数</x:v>
      </x:c>
    </x:row>
    <x:row r="244">
      <x:c r="A244" s="23" t="n">
        <x:v>14</x:v>
      </x:c>
      <x:c r="B244" s="23" t="str">
        <x:v>周五</x:v>
      </x:c>
      <x:c r="C244" s="23" t="str">
        <x:v>10月25日</x:v>
      </x:c>
      <x:c r="D244" s="24" t="n">
        <x:v>3280.762</x:v>
      </x:c>
      <x:c r="E244" s="24" t="n">
        <x:v>3319.357</x:v>
      </x:c>
      <x:c r="F244" s="24" t="n">
        <x:v>3276.13</x:v>
      </x:c>
      <x:c r="G244" s="24" t="n">
        <x:v>3299.7</x:v>
      </x:c>
      <x:c r="H244" s="25" t="n">
        <x:v>0.005925439515063191</x:v>
      </x:c>
      <x:c r="I244" s="24" t="n">
        <x:f>ROUND(E244-F244,1)</x:f>
        <x:v>43.2</x:v>
      </x:c>
      <x:c r="J244" s="23" t="str">
        <x:v>上证指数</x:v>
      </x:c>
    </x:row>
    <x:row r="245">
      <x:c r="A245" s="23" t="n">
        <x:v>15</x:v>
      </x:c>
      <x:c r="B245" s="23" t="str">
        <x:v>周一</x:v>
      </x:c>
      <x:c r="C245" s="23" t="str">
        <x:v>10月28日</x:v>
      </x:c>
      <x:c r="D245" s="24" t="n">
        <x:v>3300.463</x:v>
      </x:c>
      <x:c r="E245" s="24" t="n">
        <x:v>3322.198</x:v>
      </x:c>
      <x:c r="F245" s="24" t="n">
        <x:v>3279.715</x:v>
      </x:c>
      <x:c r="G245" s="24" t="n">
        <x:v>3322.198</x:v>
      </x:c>
      <x:c r="H245" s="25" t="n">
        <x:v>0.006818195593538912</x:v>
      </x:c>
      <x:c r="I245" s="24" t="n">
        <x:f>ROUND(E245-F245,1)</x:f>
        <x:v>42.5</x:v>
      </x:c>
      <x:c r="J245" s="23" t="str">
        <x:v>上证指数</x:v>
      </x:c>
    </x:row>
    <x:row r="246">
      <x:c r="A246" s="23" t="n">
        <x:v>16</x:v>
      </x:c>
      <x:c r="B246" s="23" t="str">
        <x:v>周二</x:v>
      </x:c>
      <x:c r="C246" s="23" t="str">
        <x:v>10月29日</x:v>
      </x:c>
      <x:c r="D246" s="24" t="n">
        <x:v>3328.089</x:v>
      </x:c>
      <x:c r="E246" s="24" t="n">
        <x:v>3340.458</x:v>
      </x:c>
      <x:c r="F246" s="24" t="n">
        <x:v>3284.211</x:v>
      </x:c>
      <x:c r="G246" s="24" t="n">
        <x:v>3286.407</x:v>
      </x:c>
      <x:c r="H246" s="25" t="n">
        <x:v>-0.010773289250068707</x:v>
      </x:c>
      <x:c r="I246" s="33" t="n">
        <x:f>ROUND(E246-F246,1)</x:f>
        <x:v>56.2</x:v>
      </x:c>
      <x:c r="J246" s="23" t="str">
        <x:v>上证指数</x:v>
      </x:c>
    </x:row>
    <x:row r="247">
      <x:c r="A247" s="23" t="n">
        <x:v>17</x:v>
      </x:c>
      <x:c r="B247" s="23" t="str">
        <x:v>周三</x:v>
      </x:c>
      <x:c r="C247" s="23" t="str">
        <x:v>10月30日</x:v>
      </x:c>
      <x:c r="D247" s="24" t="n">
        <x:v>3273.642</x:v>
      </x:c>
      <x:c r="E247" s="24" t="n">
        <x:v>3291.68</x:v>
      </x:c>
      <x:c r="F247" s="24" t="n">
        <x:v>3244.806</x:v>
      </x:c>
      <x:c r="G247" s="24" t="n">
        <x:v>3266.238</x:v>
      </x:c>
      <x:c r="H247" s="25" t="n">
        <x:v>-0.006137097444108508</x:v>
      </x:c>
      <x:c r="I247" s="24" t="n">
        <x:f>ROUND(E247-F247,1)</x:f>
        <x:v>46.9</x:v>
      </x:c>
      <x:c r="J247" s="23" t="str">
        <x:v>上证指数</x:v>
      </x:c>
    </x:row>
    <x:row r="248">
      <x:c r="A248" s="23" t="n">
        <x:v>18</x:v>
      </x:c>
      <x:c r="B248" s="23" t="str">
        <x:v>周四</x:v>
      </x:c>
      <x:c r="C248" s="23" t="str">
        <x:v>10月31日</x:v>
      </x:c>
      <x:c r="D248" s="24" t="n">
        <x:v>3267.975</x:v>
      </x:c>
      <x:c r="E248" s="24" t="n">
        <x:v>3295.742</x:v>
      </x:c>
      <x:c r="F248" s="24" t="n">
        <x:v>3252.39</x:v>
      </x:c>
      <x:c r="G248" s="24" t="n">
        <x:v>3279.824</x:v>
      </x:c>
      <x:c r="H248" s="25" t="n">
        <x:v>0.004159525423438337</x:v>
      </x:c>
      <x:c r="I248" s="24" t="n">
        <x:f>ROUND(E248-F248,1)</x:f>
        <x:v>43.4</x:v>
      </x:c>
      <x:c r="J248" s="23" t="str">
        <x:v>上证指数</x:v>
      </x:c>
    </x:row>
    <x:row r="249">
      <x:c r="A249" s="36" t="str">
        <x:v>合计</x:v>
      </x:c>
      <x:c r="B249" s="35" t="n">
        <x:v>18</x:v>
      </x:c>
      <x:c r="C249" s="35"/>
      <x:c r="D249" s="35"/>
      <x:c r="E249" s="35"/>
      <x:c r="F249" s="35"/>
      <x:c r="G249" s="35"/>
      <x:c r="H249" s="35"/>
      <x:c r="I249" s="37" t="n">
        <x:f>ROUND(SUM(I231:I248),1)</x:f>
        <x:v>1642.5</x:v>
      </x:c>
      <x:c r="J249" s="35"/>
    </x:row>
    <x:row r="250">
      <x:c r="A250" s="36" t="str">
        <x:v>均值</x:v>
      </x:c>
      <x:c r="B250" s="35"/>
      <x:c r="C250" s="35"/>
      <x:c r="D250" s="35"/>
      <x:c r="E250" s="35"/>
      <x:c r="F250" s="35"/>
      <x:c r="G250" s="35"/>
      <x:c r="H250" s="35"/>
      <x:c r="I250" s="39" t="n">
        <x:f>ROUND(IFERROR(AVERAGE(I231:I248),0),1)</x:f>
        <x:v>91.3</x:v>
      </x:c>
      <x:c r="J250" s="35"/>
    </x:row>
    <x:row r="252">
      <x:c r="A252" s="17" t="str">
        <x:v>11月</x:v>
      </x:c>
      <x:c r="B252" s="17"/>
      <x:c r="C252" s="17"/>
      <x:c r="D252" s="17"/>
      <x:c r="E252" s="17"/>
      <x:c r="F252" s="17"/>
      <x:c r="G252" s="17"/>
      <x:c r="H252" s="17"/>
      <x:c r="I252" s="17"/>
      <x:c r="J252" s="17"/>
    </x:row>
    <x:row r="253">
      <x:c r="A253" s="20" t="str">
        <x:v>序号</x:v>
      </x:c>
      <x:c r="B253" s="20" t="str">
        <x:v>星期</x:v>
      </x:c>
      <x:c r="C253" s="20" t="str">
        <x:v>日期</x:v>
      </x:c>
      <x:c r="D253" s="20" t="str">
        <x:v>开盘</x:v>
      </x:c>
      <x:c r="E253" s="20" t="str">
        <x:v>高点</x:v>
      </x:c>
      <x:c r="F253" s="20" t="str">
        <x:v>低点</x:v>
      </x:c>
      <x:c r="G253" s="20" t="str">
        <x:v>收盘</x:v>
      </x:c>
      <x:c r="H253" s="20" t="str">
        <x:v>涨幅</x:v>
      </x:c>
      <x:c r="I253" s="20" t="str">
        <x:v>振幅</x:v>
      </x:c>
      <x:c r="J253" s="20" t="str">
        <x:v>标的</x:v>
      </x:c>
    </x:row>
    <x:row r="254">
      <x:c r="A254" s="23" t="n">
        <x:v>1</x:v>
      </x:c>
      <x:c r="B254" s="23" t="str">
        <x:v>周五</x:v>
      </x:c>
      <x:c r="C254" s="23" t="str">
        <x:v>11月1日</x:v>
      </x:c>
      <x:c r="D254" s="24" t="n">
        <x:v>3275.577</x:v>
      </x:c>
      <x:c r="E254" s="24" t="n">
        <x:v>3305.318</x:v>
      </x:c>
      <x:c r="F254" s="24" t="n">
        <x:v>3258.735</x:v>
      </x:c>
      <x:c r="G254" s="24" t="n">
        <x:v>3272.014</x:v>
      </x:c>
      <x:c r="H254" s="25" t="n">
        <x:v>-0.0023812253340422807</x:v>
      </x:c>
      <x:c r="I254" s="24" t="n">
        <x:f>ROUND(E254-F254,1)</x:f>
        <x:v>46.6</x:v>
      </x:c>
      <x:c r="J254" s="23" t="str">
        <x:v>上证指数</x:v>
      </x:c>
    </x:row>
    <x:row r="255">
      <x:c r="A255" s="23" t="n">
        <x:v>2</x:v>
      </x:c>
      <x:c r="B255" s="23" t="str">
        <x:v>周一</x:v>
      </x:c>
      <x:c r="C255" s="23" t="str">
        <x:v>11月4日</x:v>
      </x:c>
      <x:c r="D255" s="24" t="n">
        <x:v>3275.679</x:v>
      </x:c>
      <x:c r="E255" s="24" t="n">
        <x:v>3310.207</x:v>
      </x:c>
      <x:c r="F255" s="24" t="n">
        <x:v>3263.842</x:v>
      </x:c>
      <x:c r="G255" s="24" t="n">
        <x:v>3310.207</x:v>
      </x:c>
      <x:c r="H255" s="25" t="n">
        <x:v>0.011672627317609097</x:v>
      </x:c>
      <x:c r="I255" s="24" t="n">
        <x:f>ROUND(E255-F255,1)</x:f>
        <x:v>46.4</x:v>
      </x:c>
      <x:c r="J255" s="23" t="str">
        <x:v>上证指数</x:v>
      </x:c>
    </x:row>
    <x:row r="256">
      <x:c r="A256" s="23" t="n">
        <x:v>3</x:v>
      </x:c>
      <x:c r="B256" s="23" t="str">
        <x:v>周二</x:v>
      </x:c>
      <x:c r="C256" s="23" t="str">
        <x:v>11月5日</x:v>
      </x:c>
      <x:c r="D256" s="24" t="n">
        <x:v>3306.81</x:v>
      </x:c>
      <x:c r="E256" s="24" t="n">
        <x:v>3386.987</x:v>
      </x:c>
      <x:c r="F256" s="24" t="n">
        <x:v>3302.047</x:v>
      </x:c>
      <x:c r="G256" s="24" t="n">
        <x:v>3386.987</x:v>
      </x:c>
      <x:c r="H256" s="25" t="n">
        <x:v>0.023194924063661304</x:v>
      </x:c>
      <x:c r="I256" s="33" t="n">
        <x:f>ROUND(E256-F256,1)</x:f>
        <x:v>84.9</x:v>
      </x:c>
      <x:c r="J256" s="23" t="str">
        <x:v>上证指数</x:v>
      </x:c>
    </x:row>
    <x:row r="257">
      <x:c r="A257" s="23" t="n">
        <x:v>4</x:v>
      </x:c>
      <x:c r="B257" s="23" t="str">
        <x:v>周三</x:v>
      </x:c>
      <x:c r="C257" s="23" t="str">
        <x:v>11月6日</x:v>
      </x:c>
      <x:c r="D257" s="24" t="n">
        <x:v>3395.222</x:v>
      </x:c>
      <x:c r="E257" s="24" t="n">
        <x:v>3420.999</x:v>
      </x:c>
      <x:c r="F257" s="24" t="n">
        <x:v>3367.081</x:v>
      </x:c>
      <x:c r="G257" s="24" t="n">
        <x:v>3383.806</x:v>
      </x:c>
      <x:c r="H257" s="25" t="n">
        <x:v>-0.0009391828194202922</x:v>
      </x:c>
      <x:c r="I257" s="33" t="n">
        <x:f>ROUND(E257-F257,1)</x:f>
        <x:v>53.9</x:v>
      </x:c>
      <x:c r="J257" s="23" t="str">
        <x:v>上证指数</x:v>
      </x:c>
    </x:row>
    <x:row r="258">
      <x:c r="A258" s="23" t="n">
        <x:v>5</x:v>
      </x:c>
      <x:c r="B258" s="23" t="str">
        <x:v>周四</x:v>
      </x:c>
      <x:c r="C258" s="23" t="str">
        <x:v>11月7日</x:v>
      </x:c>
      <x:c r="D258" s="24" t="n">
        <x:v>3359.985</x:v>
      </x:c>
      <x:c r="E258" s="24" t="n">
        <x:v>3470.661</x:v>
      </x:c>
      <x:c r="F258" s="24" t="n">
        <x:v>3356.258</x:v>
      </x:c>
      <x:c r="G258" s="24" t="n">
        <x:v>3470.661</x:v>
      </x:c>
      <x:c r="H258" s="25" t="n">
        <x:v>0.025667842660010765</x:v>
      </x:c>
      <x:c r="I258" s="33" t="n">
        <x:f>ROUND(E258-F258,1)</x:f>
        <x:v>114.4</x:v>
      </x:c>
      <x:c r="J258" s="23" t="str">
        <x:v>上证指数</x:v>
      </x:c>
    </x:row>
    <x:row r="259">
      <x:c r="A259" s="23" t="n">
        <x:v>6</x:v>
      </x:c>
      <x:c r="B259" s="23" t="str">
        <x:v>周五</x:v>
      </x:c>
      <x:c r="C259" s="23" t="str">
        <x:v>11月8日</x:v>
      </x:c>
      <x:c r="D259" s="24" t="n">
        <x:v>3502.133</x:v>
      </x:c>
      <x:c r="E259" s="24" t="n">
        <x:v>3509.818</x:v>
      </x:c>
      <x:c r="F259" s="24" t="n">
        <x:v>3443.193</x:v>
      </x:c>
      <x:c r="G259" s="24" t="n">
        <x:v>3452.297</x:v>
      </x:c>
      <x:c r="H259" s="25" t="n">
        <x:v>-0.005291211097828374</x:v>
      </x:c>
      <x:c r="I259" s="33" t="n">
        <x:f>ROUND(E259-F259,1)</x:f>
        <x:v>66.6</x:v>
      </x:c>
      <x:c r="J259" s="23" t="str">
        <x:v>上证指数</x:v>
      </x:c>
    </x:row>
    <x:row r="260">
      <x:c r="A260" s="23" t="n">
        <x:v>7</x:v>
      </x:c>
      <x:c r="B260" s="23" t="str">
        <x:v>周一</x:v>
      </x:c>
      <x:c r="C260" s="23" t="str">
        <x:v>11月11日</x:v>
      </x:c>
      <x:c r="D260" s="24" t="n">
        <x:v>3432.367</x:v>
      </x:c>
      <x:c r="E260" s="24" t="n">
        <x:v>3471.122</x:v>
      </x:c>
      <x:c r="F260" s="24" t="n">
        <x:v>3416.727</x:v>
      </x:c>
      <x:c r="G260" s="24" t="n">
        <x:v>3470.066</x:v>
      </x:c>
      <x:c r="H260" s="25" t="n">
        <x:v>0.0051470079196545004</x:v>
      </x:c>
      <x:c r="I260" s="33" t="n">
        <x:f>ROUND(E260-F260,1)</x:f>
        <x:v>54.4</x:v>
      </x:c>
      <x:c r="J260" s="23" t="str">
        <x:v>上证指数</x:v>
      </x:c>
    </x:row>
    <x:row r="261">
      <x:c r="A261" s="23" t="n">
        <x:v>8</x:v>
      </x:c>
      <x:c r="B261" s="23" t="str">
        <x:v>周二</x:v>
      </x:c>
      <x:c r="C261" s="23" t="str">
        <x:v>11月12日</x:v>
      </x:c>
      <x:c r="D261" s="24" t="n">
        <x:v>3469.891</x:v>
      </x:c>
      <x:c r="E261" s="24" t="n">
        <x:v>3489.424</x:v>
      </x:c>
      <x:c r="F261" s="24" t="n">
        <x:v>3402.042</x:v>
      </x:c>
      <x:c r="G261" s="24" t="n">
        <x:v>3421.97</x:v>
      </x:c>
      <x:c r="H261" s="25" t="n">
        <x:v>-0.013860255107539743</x:v>
      </x:c>
      <x:c r="I261" s="33" t="n">
        <x:f>ROUND(E261-F261,1)</x:f>
        <x:v>87.4</x:v>
      </x:c>
      <x:c r="J261" s="23" t="str">
        <x:v>上证指数</x:v>
      </x:c>
    </x:row>
    <x:row r="262">
      <x:c r="A262" s="23" t="n">
        <x:v>9</x:v>
      </x:c>
      <x:c r="B262" s="23" t="str">
        <x:v>周三</x:v>
      </x:c>
      <x:c r="C262" s="23" t="str">
        <x:v>11月13日</x:v>
      </x:c>
      <x:c r="D262" s="24" t="n">
        <x:v>3406.916</x:v>
      </x:c>
      <x:c r="E262" s="24" t="n">
        <x:v>3442.298</x:v>
      </x:c>
      <x:c r="F262" s="24" t="n">
        <x:v>3404.525</x:v>
      </x:c>
      <x:c r="G262" s="24" t="n">
        <x:v>3439.278</x:v>
      </x:c>
      <x:c r="H262" s="25" t="n">
        <x:v>0.005057905241717453</x:v>
      </x:c>
      <x:c r="I262" s="24" t="n">
        <x:f>ROUND(E262-F262,1)</x:f>
        <x:v>37.8</x:v>
      </x:c>
      <x:c r="J262" s="23" t="str">
        <x:v>上证指数</x:v>
      </x:c>
    </x:row>
    <x:row r="263">
      <x:c r="A263" s="23" t="n">
        <x:v>10</x:v>
      </x:c>
      <x:c r="B263" s="23" t="str">
        <x:v>周四</x:v>
      </x:c>
      <x:c r="C263" s="23" t="str">
        <x:v>11月14日</x:v>
      </x:c>
      <x:c r="D263" s="24" t="n">
        <x:v>3429.505</x:v>
      </x:c>
      <x:c r="E263" s="24" t="n">
        <x:v>3441.775</x:v>
      </x:c>
      <x:c r="F263" s="24" t="n">
        <x:v>3376.153</x:v>
      </x:c>
      <x:c r="G263" s="24" t="n">
        <x:v>3379.839</x:v>
      </x:c>
      <x:c r="H263" s="25" t="n">
        <x:v>-0.01728240636552203</x:v>
      </x:c>
      <x:c r="I263" s="33" t="n">
        <x:f>ROUND(E263-F263,1)</x:f>
        <x:v>65.6</x:v>
      </x:c>
      <x:c r="J263" s="23" t="str">
        <x:v>上证指数</x:v>
      </x:c>
    </x:row>
    <x:row r="264">
      <x:c r="A264" s="29" t="n">
        <x:v>11</x:v>
      </x:c>
      <x:c r="B264" s="29" t="str">
        <x:v>周五</x:v>
      </x:c>
      <x:c r="C264" s="29" t="str">
        <x:v>11月15日</x:v>
      </x:c>
      <x:c r="D264" s="30" t="n">
        <x:v>3369.809</x:v>
      </x:c>
      <x:c r="E264" s="30" t="n">
        <x:v>3391.32</x:v>
      </x:c>
      <x:c r="F264" s="30" t="n">
        <x:v>3330.726</x:v>
      </x:c>
      <x:c r="G264" s="30" t="n">
        <x:v>3330.726</x:v>
      </x:c>
      <x:c r="H264" s="31" t="n">
        <x:v>-0.014531165537766677</x:v>
      </x:c>
      <x:c r="I264" s="33" t="n">
        <x:f>ROUND(E264-F264,1)</x:f>
        <x:v>60.6</x:v>
      </x:c>
      <x:c r="J264" s="29" t="str">
        <x:v>上证指数</x:v>
      </x:c>
    </x:row>
    <x:row r="265">
      <x:c r="A265" s="23" t="n">
        <x:v>12</x:v>
      </x:c>
      <x:c r="B265" s="23" t="str">
        <x:v>周一</x:v>
      </x:c>
      <x:c r="C265" s="23" t="str">
        <x:v>11月18日</x:v>
      </x:c>
      <x:c r="D265" s="24" t="n">
        <x:v>3344.69</x:v>
      </x:c>
      <x:c r="E265" s="24" t="n">
        <x:v>3386.903</x:v>
      </x:c>
      <x:c r="F265" s="24" t="n">
        <x:v>3309.008</x:v>
      </x:c>
      <x:c r="G265" s="24" t="n">
        <x:v>3323.849</x:v>
      </x:c>
      <x:c r="H265" s="25" t="n">
        <x:v>-0.0020647150200886477</x:v>
      </x:c>
      <x:c r="I265" s="33" t="n">
        <x:f>ROUND(E265-F265,1)</x:f>
        <x:v>77.9</x:v>
      </x:c>
      <x:c r="J265" s="23" t="str">
        <x:v>上证指数</x:v>
      </x:c>
    </x:row>
    <x:row r="266">
      <x:c r="A266" s="23" t="n">
        <x:v>13</x:v>
      </x:c>
      <x:c r="B266" s="23" t="str">
        <x:v>周二</x:v>
      </x:c>
      <x:c r="C266" s="23" t="str">
        <x:v>11月19日</x:v>
      </x:c>
      <x:c r="D266" s="24" t="n">
        <x:v>3324.883</x:v>
      </x:c>
      <x:c r="E266" s="24" t="n">
        <x:v>3346.758</x:v>
      </x:c>
      <x:c r="F266" s="24" t="n">
        <x:v>3284.133</x:v>
      </x:c>
      <x:c r="G266" s="24" t="n">
        <x:v>3346.01</x:v>
      </x:c>
      <x:c r="H266" s="25" t="n">
        <x:v>0.006667270384424828</x:v>
      </x:c>
      <x:c r="I266" s="33" t="n">
        <x:f>ROUND(E266-F266,1)</x:f>
        <x:v>62.6</x:v>
      </x:c>
      <x:c r="J266" s="23" t="str">
        <x:v>上证指数</x:v>
      </x:c>
    </x:row>
    <x:row r="267">
      <x:c r="A267" s="23" t="n">
        <x:v>14</x:v>
      </x:c>
      <x:c r="B267" s="23" t="str">
        <x:v>周三</x:v>
      </x:c>
      <x:c r="C267" s="23" t="str">
        <x:v>11月20日</x:v>
      </x:c>
      <x:c r="D267" s="24" t="n">
        <x:v>3337.678</x:v>
      </x:c>
      <x:c r="E267" s="24" t="n">
        <x:v>3375.248</x:v>
      </x:c>
      <x:c r="F267" s="24" t="n">
        <x:v>3333.002</x:v>
      </x:c>
      <x:c r="G267" s="24" t="n">
        <x:v>3367.989</x:v>
      </x:c>
      <x:c r="H267" s="25" t="n">
        <x:v>0.006568719161030634</x:v>
      </x:c>
      <x:c r="I267" s="24" t="n">
        <x:f>ROUND(E267-F267,1)</x:f>
        <x:v>42.2</x:v>
      </x:c>
      <x:c r="J267" s="23" t="str">
        <x:v>上证指数</x:v>
      </x:c>
    </x:row>
    <x:row r="268">
      <x:c r="A268" s="23" t="n">
        <x:v>15</x:v>
      </x:c>
      <x:c r="B268" s="23" t="str">
        <x:v>周四</x:v>
      </x:c>
      <x:c r="C268" s="23" t="str">
        <x:v>11月21日</x:v>
      </x:c>
      <x:c r="D268" s="24" t="n">
        <x:v>3362.944</x:v>
      </x:c>
      <x:c r="E268" s="24" t="n">
        <x:v>3378.518</x:v>
      </x:c>
      <x:c r="F268" s="24" t="n">
        <x:v>3348.855</x:v>
      </x:c>
      <x:c r="G268" s="24" t="n">
        <x:v>3370.404</x:v>
      </x:c>
      <x:c r="H268" s="25" t="n">
        <x:v>0.0007170450972375786</x:v>
      </x:c>
      <x:c r="I268" s="24" t="n">
        <x:f>ROUND(E268-F268,1)</x:f>
        <x:v>29.7</x:v>
      </x:c>
      <x:c r="J268" s="23" t="str">
        <x:v>上证指数</x:v>
      </x:c>
    </x:row>
    <x:row r="269">
      <x:c r="A269" s="23" t="n">
        <x:v>16</x:v>
      </x:c>
      <x:c r="B269" s="23" t="str">
        <x:v>周五</x:v>
      </x:c>
      <x:c r="C269" s="23" t="str">
        <x:v>11月22日</x:v>
      </x:c>
      <x:c r="D269" s="24" t="n">
        <x:v>3368.043</x:v>
      </x:c>
      <x:c r="E269" s="24" t="n">
        <x:v>3372.003</x:v>
      </x:c>
      <x:c r="F269" s="24" t="n">
        <x:v>3267.192</x:v>
      </x:c>
      <x:c r="G269" s="24" t="n">
        <x:v>3267.192</x:v>
      </x:c>
      <x:c r="H269" s="25" t="n">
        <x:v>-0.030623035102023355</x:v>
      </x:c>
      <x:c r="I269" s="33" t="n">
        <x:f>ROUND(E269-F269,1)</x:f>
        <x:v>104.8</x:v>
      </x:c>
      <x:c r="J269" s="23" t="str">
        <x:v>上证指数</x:v>
      </x:c>
    </x:row>
    <x:row r="270">
      <x:c r="A270" s="23" t="n">
        <x:v>17</x:v>
      </x:c>
      <x:c r="B270" s="23" t="str">
        <x:v>周一</x:v>
      </x:c>
      <x:c r="C270" s="23" t="str">
        <x:v>11月25日</x:v>
      </x:c>
      <x:c r="D270" s="24" t="n">
        <x:v>3274.884</x:v>
      </x:c>
      <x:c r="E270" s="24" t="n">
        <x:v>3285.456</x:v>
      </x:c>
      <x:c r="F270" s="24" t="n">
        <x:v>3232.918</x:v>
      </x:c>
      <x:c r="G270" s="24" t="n">
        <x:v>3263.76</x:v>
      </x:c>
      <x:c r="H270" s="25" t="n">
        <x:v>-0.0010504433164625349</x:v>
      </x:c>
      <x:c r="I270" s="33" t="n">
        <x:f>ROUND(E270-F270,1)</x:f>
        <x:v>52.5</x:v>
      </x:c>
      <x:c r="J270" s="23" t="str">
        <x:v>上证指数</x:v>
      </x:c>
    </x:row>
    <x:row r="271">
      <x:c r="A271" s="23" t="n">
        <x:v>18</x:v>
      </x:c>
      <x:c r="B271" s="23" t="str">
        <x:v>周二</x:v>
      </x:c>
      <x:c r="C271" s="23" t="str">
        <x:v>11月26日</x:v>
      </x:c>
      <x:c r="D271" s="24" t="n">
        <x:v>3256.858</x:v>
      </x:c>
      <x:c r="E271" s="24" t="n">
        <x:v>3285.328</x:v>
      </x:c>
      <x:c r="F271" s="24" t="n">
        <x:v>3252.866</x:v>
      </x:c>
      <x:c r="G271" s="24" t="n">
        <x:v>3259.757</x:v>
      </x:c>
      <x:c r="H271" s="25" t="n">
        <x:v>-0.001226499497512079</x:v>
      </x:c>
      <x:c r="I271" s="24" t="n">
        <x:f>ROUND(E271-F271,1)</x:f>
        <x:v>32.5</x:v>
      </x:c>
      <x:c r="J271" s="23" t="str">
        <x:v>上证指数</x:v>
      </x:c>
    </x:row>
    <x:row r="272">
      <x:c r="A272" s="23" t="n">
        <x:v>19</x:v>
      </x:c>
      <x:c r="B272" s="23" t="str">
        <x:v>周三</x:v>
      </x:c>
      <x:c r="C272" s="23" t="str">
        <x:v>11月27日</x:v>
      </x:c>
      <x:c r="D272" s="24" t="n">
        <x:v>3250.591</x:v>
      </x:c>
      <x:c r="E272" s="24" t="n">
        <x:v>3309.881</x:v>
      </x:c>
      <x:c r="F272" s="24" t="n">
        <x:v>3227.355</x:v>
      </x:c>
      <x:c r="G272" s="24" t="n">
        <x:v>3309.779</x:v>
      </x:c>
      <x:c r="H272" s="25" t="n">
        <x:v>0.01534531561708441</x:v>
      </x:c>
      <x:c r="I272" s="33" t="n">
        <x:f>ROUND(E272-F272,1)</x:f>
        <x:v>82.5</x:v>
      </x:c>
      <x:c r="J272" s="23" t="str">
        <x:v>上证指数</x:v>
      </x:c>
    </x:row>
    <x:row r="273">
      <x:c r="A273" s="23" t="n">
        <x:v>20</x:v>
      </x:c>
      <x:c r="B273" s="23" t="str">
        <x:v>周四</x:v>
      </x:c>
      <x:c r="C273" s="23" t="str">
        <x:v>11月28日</x:v>
      </x:c>
      <x:c r="D273" s="24" t="n">
        <x:v>3308.28</x:v>
      </x:c>
      <x:c r="E273" s="24" t="n">
        <x:v>3319.256</x:v>
      </x:c>
      <x:c r="F273" s="24" t="n">
        <x:v>3290.364</x:v>
      </x:c>
      <x:c r="G273" s="24" t="n">
        <x:v>3295.698</x:v>
      </x:c>
      <x:c r="H273" s="25" t="n">
        <x:v>-0.004254362602457817</x:v>
      </x:c>
      <x:c r="I273" s="24" t="n">
        <x:f>ROUND(E273-F273,1)</x:f>
        <x:v>28.9</x:v>
      </x:c>
      <x:c r="J273" s="23" t="str">
        <x:v>上证指数</x:v>
      </x:c>
    </x:row>
    <x:row r="274">
      <x:c r="A274" s="23" t="n">
        <x:v>21</x:v>
      </x:c>
      <x:c r="B274" s="23" t="str">
        <x:v>周五</x:v>
      </x:c>
      <x:c r="C274" s="23" t="str">
        <x:v>11月29日</x:v>
      </x:c>
      <x:c r="D274" s="24" t="n">
        <x:v>3295.21</x:v>
      </x:c>
      <x:c r="E274" s="24" t="n">
        <x:v>3357.501</x:v>
      </x:c>
      <x:c r="F274" s="24" t="n">
        <x:v>3293.69</x:v>
      </x:c>
      <x:c r="G274" s="24" t="n">
        <x:v>3326.456</x:v>
      </x:c>
      <x:c r="H274" s="25" t="n">
        <x:v>0.009332772602343997</x:v>
      </x:c>
      <x:c r="I274" s="33" t="n">
        <x:f>ROUND(E274-F274,1)</x:f>
        <x:v>63.8</x:v>
      </x:c>
      <x:c r="J274" s="23" t="str">
        <x:v>上证指数</x:v>
      </x:c>
    </x:row>
    <x:row r="275">
      <x:c r="A275" s="36" t="str">
        <x:v>合计</x:v>
      </x:c>
      <x:c r="B275" s="35" t="n">
        <x:v>21</x:v>
      </x:c>
      <x:c r="C275" s="35"/>
      <x:c r="D275" s="35"/>
      <x:c r="E275" s="35"/>
      <x:c r="F275" s="35"/>
      <x:c r="G275" s="35"/>
      <x:c r="H275" s="35"/>
      <x:c r="I275" s="37" t="n">
        <x:f>ROUND(SUM(I254:I274),1)</x:f>
        <x:v>1296</x:v>
      </x:c>
      <x:c r="J275" s="35"/>
    </x:row>
    <x:row r="276">
      <x:c r="A276" s="36" t="str">
        <x:v>均值</x:v>
      </x:c>
      <x:c r="B276" s="35"/>
      <x:c r="C276" s="35"/>
      <x:c r="D276" s="35"/>
      <x:c r="E276" s="35"/>
      <x:c r="F276" s="35"/>
      <x:c r="G276" s="35"/>
      <x:c r="H276" s="35"/>
      <x:c r="I276" s="39" t="n">
        <x:f>ROUND(IFERROR(AVERAGE(I254:I274),0),1)</x:f>
        <x:v>61.7</x:v>
      </x:c>
      <x:c r="J276" s="35"/>
    </x:row>
    <x:row r="278">
      <x:c r="A278" s="17" t="str">
        <x:v>12月</x:v>
      </x:c>
      <x:c r="B278" s="17"/>
      <x:c r="C278" s="17"/>
      <x:c r="D278" s="17"/>
      <x:c r="E278" s="17"/>
      <x:c r="F278" s="17"/>
      <x:c r="G278" s="17"/>
      <x:c r="H278" s="17"/>
      <x:c r="I278" s="17"/>
      <x:c r="J278" s="17"/>
    </x:row>
    <x:row r="279">
      <x:c r="A279" s="20" t="str">
        <x:v>序号</x:v>
      </x:c>
      <x:c r="B279" s="20" t="str">
        <x:v>星期</x:v>
      </x:c>
      <x:c r="C279" s="20" t="str">
        <x:v>日期</x:v>
      </x:c>
      <x:c r="D279" s="20" t="str">
        <x:v>开盘</x:v>
      </x:c>
      <x:c r="E279" s="20" t="str">
        <x:v>高点</x:v>
      </x:c>
      <x:c r="F279" s="20" t="str">
        <x:v>低点</x:v>
      </x:c>
      <x:c r="G279" s="20" t="str">
        <x:v>收盘</x:v>
      </x:c>
      <x:c r="H279" s="20" t="str">
        <x:v>涨幅</x:v>
      </x:c>
      <x:c r="I279" s="20" t="str">
        <x:v>振幅</x:v>
      </x:c>
      <x:c r="J279" s="20" t="str">
        <x:v>标的</x:v>
      </x:c>
    </x:row>
    <x:row r="280">
      <x:c r="A280" s="23" t="n">
        <x:v>1</x:v>
      </x:c>
      <x:c r="B280" s="23" t="str">
        <x:v>周一</x:v>
      </x:c>
      <x:c r="C280" s="23" t="str">
        <x:v>12月2日</x:v>
      </x:c>
      <x:c r="D280" s="24" t="n">
        <x:v>3328.482</x:v>
      </x:c>
      <x:c r="E280" s="24" t="n">
        <x:v>3369.303</x:v>
      </x:c>
      <x:c r="F280" s="24" t="n">
        <x:v>3323.009</x:v>
      </x:c>
      <x:c r="G280" s="24" t="n">
        <x:v>3363.982</x:v>
      </x:c>
      <x:c r="H280" s="25" t="n">
        <x:v>0.01128107511417542</x:v>
      </x:c>
      <x:c r="I280" s="24" t="n">
        <x:f>ROUND(E280-F280,1)</x:f>
        <x:v>46.3</x:v>
      </x:c>
      <x:c r="J280" s="23" t="str">
        <x:v>上证指数</x:v>
      </x:c>
    </x:row>
    <x:row r="281">
      <x:c r="A281" s="23" t="n">
        <x:v>2</x:v>
      </x:c>
      <x:c r="B281" s="23" t="str">
        <x:v>周二</x:v>
      </x:c>
      <x:c r="C281" s="23" t="str">
        <x:v>12月3日</x:v>
      </x:c>
      <x:c r="D281" s="24" t="n">
        <x:v>3366.285</x:v>
      </x:c>
      <x:c r="E281" s="24" t="n">
        <x:v>3386.618</x:v>
      </x:c>
      <x:c r="F281" s="24" t="n">
        <x:v>3348.374</x:v>
      </x:c>
      <x:c r="G281" s="24" t="n">
        <x:v>3378.806</x:v>
      </x:c>
      <x:c r="H281" s="25" t="n">
        <x:v>0.004406682318752075</x:v>
      </x:c>
      <x:c r="I281" s="24" t="n">
        <x:f>ROUND(E281-F281,1)</x:f>
        <x:v>38.2</x:v>
      </x:c>
      <x:c r="J281" s="23" t="str">
        <x:v>上证指数</x:v>
      </x:c>
    </x:row>
    <x:row r="282">
      <x:c r="A282" s="23" t="n">
        <x:v>3</x:v>
      </x:c>
      <x:c r="B282" s="23" t="str">
        <x:v>周三</x:v>
      </x:c>
      <x:c r="C282" s="23" t="str">
        <x:v>12月4日</x:v>
      </x:c>
      <x:c r="D282" s="24" t="n">
        <x:v>3376.572</x:v>
      </x:c>
      <x:c r="E282" s="24" t="n">
        <x:v>3388.024</x:v>
      </x:c>
      <x:c r="F282" s="24" t="n">
        <x:v>3352.943</x:v>
      </x:c>
      <x:c r="G282" s="24" t="n">
        <x:v>3364.65</x:v>
      </x:c>
      <x:c r="H282" s="25" t="n">
        <x:v>-0.004189645691406896</x:v>
      </x:c>
      <x:c r="I282" s="24" t="n">
        <x:f>ROUND(E282-F282,1)</x:f>
        <x:v>35.1</x:v>
      </x:c>
      <x:c r="J282" s="23" t="str">
        <x:v>上证指数</x:v>
      </x:c>
    </x:row>
    <x:row r="283">
      <x:c r="A283" s="23" t="n">
        <x:v>4</x:v>
      </x:c>
      <x:c r="B283" s="23" t="str">
        <x:v>周四</x:v>
      </x:c>
      <x:c r="C283" s="23" t="str">
        <x:v>12月5日</x:v>
      </x:c>
      <x:c r="D283" s="24" t="n">
        <x:v>3353.057</x:v>
      </x:c>
      <x:c r="E283" s="24" t="n">
        <x:v>3377.055</x:v>
      </x:c>
      <x:c r="F283" s="24" t="n">
        <x:v>3353.057</x:v>
      </x:c>
      <x:c r="G283" s="24" t="n">
        <x:v>3368.855</x:v>
      </x:c>
      <x:c r="H283" s="25" t="n">
        <x:v>0.0012497585187165594</x:v>
      </x:c>
      <x:c r="I283" s="24" t="n">
        <x:f>ROUND(E283-F283,1)</x:f>
        <x:v>24</x:v>
      </x:c>
      <x:c r="J283" s="23" t="str">
        <x:v>上证指数</x:v>
      </x:c>
    </x:row>
    <x:row r="284">
      <x:c r="A284" s="23" t="n">
        <x:v>5</x:v>
      </x:c>
      <x:c r="B284" s="23" t="str">
        <x:v>周五</x:v>
      </x:c>
      <x:c r="C284" s="23" t="str">
        <x:v>12月6日</x:v>
      </x:c>
      <x:c r="D284" s="24" t="n">
        <x:v>3370.941</x:v>
      </x:c>
      <x:c r="E284" s="24" t="n">
        <x:v>3418.261</x:v>
      </x:c>
      <x:c r="F284" s="24" t="n">
        <x:v>3364.206</x:v>
      </x:c>
      <x:c r="G284" s="24" t="n">
        <x:v>3404.076</x:v>
      </x:c>
      <x:c r="H284" s="25" t="n">
        <x:v>0.010454887491447407</x:v>
      </x:c>
      <x:c r="I284" s="33" t="n">
        <x:f>ROUND(E284-F284,1)</x:f>
        <x:v>54.1</x:v>
      </x:c>
      <x:c r="J284" s="23" t="str">
        <x:v>上证指数</x:v>
      </x:c>
    </x:row>
    <x:row r="285">
      <x:c r="A285" s="23" t="n">
        <x:v>6</x:v>
      </x:c>
      <x:c r="B285" s="23" t="str">
        <x:v>周一</x:v>
      </x:c>
      <x:c r="C285" s="23" t="str">
        <x:v>12月9日</x:v>
      </x:c>
      <x:c r="D285" s="24" t="n">
        <x:v>3402.629</x:v>
      </x:c>
      <x:c r="E285" s="24" t="n">
        <x:v>3426.645</x:v>
      </x:c>
      <x:c r="F285" s="24" t="n">
        <x:v>3385.959</x:v>
      </x:c>
      <x:c r="G285" s="24" t="n">
        <x:v>3402.534</x:v>
      </x:c>
      <x:c r="H285" s="25" t="n">
        <x:v>-0.0004529863610565066</x:v>
      </x:c>
      <x:c r="I285" s="24" t="n">
        <x:f>ROUND(E285-F285,1)</x:f>
        <x:v>40.7</x:v>
      </x:c>
      <x:c r="J285" s="23" t="str">
        <x:v>上证指数</x:v>
      </x:c>
    </x:row>
    <x:row r="286">
      <x:c r="A286" s="23" t="n">
        <x:v>7</x:v>
      </x:c>
      <x:c r="B286" s="23" t="str">
        <x:v>周二</x:v>
      </x:c>
      <x:c r="C286" s="23" t="str">
        <x:v>12月10日</x:v>
      </x:c>
      <x:c r="D286" s="24" t="n">
        <x:v>3490.289</x:v>
      </x:c>
      <x:c r="E286" s="24" t="n">
        <x:v>3494.867</x:v>
      </x:c>
      <x:c r="F286" s="24" t="n">
        <x:v>3417.765</x:v>
      </x:c>
      <x:c r="G286" s="24" t="n">
        <x:v>3422.661</x:v>
      </x:c>
      <x:c r="H286" s="25" t="n">
        <x:v>0.005915297246111173</x:v>
      </x:c>
      <x:c r="I286" s="33" t="n">
        <x:f>ROUND(E286-F286,1)</x:f>
        <x:v>77.1</x:v>
      </x:c>
      <x:c r="J286" s="23" t="str">
        <x:v>上证指数</x:v>
      </x:c>
    </x:row>
    <x:row r="287">
      <x:c r="A287" s="23" t="n">
        <x:v>8</x:v>
      </x:c>
      <x:c r="B287" s="23" t="str">
        <x:v>周三</x:v>
      </x:c>
      <x:c r="C287" s="23" t="str">
        <x:v>12月11日</x:v>
      </x:c>
      <x:c r="D287" s="24" t="n">
        <x:v>3416.087</x:v>
      </x:c>
      <x:c r="E287" s="24" t="n">
        <x:v>3437.81</x:v>
      </x:c>
      <x:c r="F287" s="24" t="n">
        <x:v>3416.087</x:v>
      </x:c>
      <x:c r="G287" s="24" t="n">
        <x:v>3432.49</x:v>
      </x:c>
      <x:c r="H287" s="25" t="n">
        <x:v>0.002871742191236537</x:v>
      </x:c>
      <x:c r="I287" s="24" t="n">
        <x:f>ROUND(E287-F287,1)</x:f>
        <x:v>21.7</x:v>
      </x:c>
      <x:c r="J287" s="23" t="str">
        <x:v>上证指数</x:v>
      </x:c>
    </x:row>
    <x:row r="288">
      <x:c r="A288" s="23" t="n">
        <x:v>9</x:v>
      </x:c>
      <x:c r="B288" s="23" t="str">
        <x:v>周四</x:v>
      </x:c>
      <x:c r="C288" s="23" t="str">
        <x:v>12月12日</x:v>
      </x:c>
      <x:c r="D288" s="24" t="n">
        <x:v>3432.279</x:v>
      </x:c>
      <x:c r="E288" s="24" t="n">
        <x:v>3464.116</x:v>
      </x:c>
      <x:c r="F288" s="24" t="n">
        <x:v>3425.976</x:v>
      </x:c>
      <x:c r="G288" s="24" t="n">
        <x:v>3461.5</x:v>
      </x:c>
      <x:c r="H288" s="25" t="n">
        <x:v>0.008451590536316278</x:v>
      </x:c>
      <x:c r="I288" s="24" t="n">
        <x:f>ROUND(E288-F288,1)</x:f>
        <x:v>38.1</x:v>
      </x:c>
      <x:c r="J288" s="23" t="str">
        <x:v>上证指数</x:v>
      </x:c>
    </x:row>
    <x:row r="289">
      <x:c r="A289" s="23" t="n">
        <x:v>10</x:v>
      </x:c>
      <x:c r="B289" s="23" t="str">
        <x:v>周五</x:v>
      </x:c>
      <x:c r="C289" s="23" t="str">
        <x:v>12月13日</x:v>
      </x:c>
      <x:c r="D289" s="24" t="n">
        <x:v>3442.926</x:v>
      </x:c>
      <x:c r="E289" s="24" t="n">
        <x:v>3442.926</x:v>
      </x:c>
      <x:c r="F289" s="24" t="n">
        <x:v>3390.754</x:v>
      </x:c>
      <x:c r="G289" s="24" t="n">
        <x:v>3391.878</x:v>
      </x:c>
      <x:c r="H289" s="25" t="n">
        <x:v>-0.020113245702729987</x:v>
      </x:c>
      <x:c r="I289" s="33" t="n">
        <x:f>ROUND(E289-F289,1)</x:f>
        <x:v>52.2</x:v>
      </x:c>
      <x:c r="J289" s="23" t="str">
        <x:v>上证指数</x:v>
      </x:c>
    </x:row>
    <x:row r="290">
      <x:c r="A290" s="23" t="n">
        <x:v>11</x:v>
      </x:c>
      <x:c r="B290" s="23" t="str">
        <x:v>周一</x:v>
      </x:c>
      <x:c r="C290" s="23" t="str">
        <x:v>12月16日</x:v>
      </x:c>
      <x:c r="D290" s="24" t="n">
        <x:v>3390.083</x:v>
      </x:c>
      <x:c r="E290" s="24" t="n">
        <x:v>3401.926</x:v>
      </x:c>
      <x:c r="F290" s="24" t="n">
        <x:v>3376.536</x:v>
      </x:c>
      <x:c r="G290" s="24" t="n">
        <x:v>3386.331</x:v>
      </x:c>
      <x:c r="H290" s="25" t="n">
        <x:v>-0.001635377215807865</x:v>
      </x:c>
      <x:c r="I290" s="24" t="n">
        <x:f>ROUND(E290-F290,1)</x:f>
        <x:v>25.4</x:v>
      </x:c>
      <x:c r="J290" s="23" t="str">
        <x:v>上证指数</x:v>
      </x:c>
    </x:row>
    <x:row r="291">
      <x:c r="A291" s="23" t="n">
        <x:v>12</x:v>
      </x:c>
      <x:c r="B291" s="23" t="str">
        <x:v>周二</x:v>
      </x:c>
      <x:c r="C291" s="23" t="str">
        <x:v>12月17日</x:v>
      </x:c>
      <x:c r="D291" s="24" t="n">
        <x:v>3381.814</x:v>
      </x:c>
      <x:c r="E291" s="24" t="n">
        <x:v>3396.207</x:v>
      </x:c>
      <x:c r="F291" s="24" t="n">
        <x:v>3357.769</x:v>
      </x:c>
      <x:c r="G291" s="24" t="n">
        <x:v>3361.485</x:v>
      </x:c>
      <x:c r="H291" s="25" t="n">
        <x:v>-0.007337144537849394</x:v>
      </x:c>
      <x:c r="I291" s="24" t="n">
        <x:f>ROUND(E291-F291,1)</x:f>
        <x:v>38.4</x:v>
      </x:c>
      <x:c r="J291" s="23" t="str">
        <x:v>上证指数</x:v>
      </x:c>
    </x:row>
    <x:row r="292">
      <x:c r="A292" s="23" t="n">
        <x:v>13</x:v>
      </x:c>
      <x:c r="B292" s="23" t="str">
        <x:v>周三</x:v>
      </x:c>
      <x:c r="C292" s="23" t="str">
        <x:v>12月18日</x:v>
      </x:c>
      <x:c r="D292" s="24" t="n">
        <x:v>3371.296</x:v>
      </x:c>
      <x:c r="E292" s="24" t="n">
        <x:v>3396.46</x:v>
      </x:c>
      <x:c r="F292" s="24" t="n">
        <x:v>3371.296</x:v>
      </x:c>
      <x:c r="G292" s="24" t="n">
        <x:v>3382.208</x:v>
      </x:c>
      <x:c r="H292" s="25" t="n">
        <x:v>0.006164834886962067</x:v>
      </x:c>
      <x:c r="I292" s="24" t="n">
        <x:f>ROUND(E292-F292,1)</x:f>
        <x:v>25.2</x:v>
      </x:c>
      <x:c r="J292" s="23" t="str">
        <x:v>上证指数</x:v>
      </x:c>
    </x:row>
    <x:row r="293">
      <x:c r="A293" s="23" t="n">
        <x:v>14</x:v>
      </x:c>
      <x:c r="B293" s="23" t="str">
        <x:v>周四</x:v>
      </x:c>
      <x:c r="C293" s="23" t="str">
        <x:v>12月19日</x:v>
      </x:c>
      <x:c r="D293" s="24" t="n">
        <x:v>3355.904</x:v>
      </x:c>
      <x:c r="E293" s="24" t="n">
        <x:v>3377.532</x:v>
      </x:c>
      <x:c r="F293" s="24" t="n">
        <x:v>3346.469</x:v>
      </x:c>
      <x:c r="G293" s="24" t="n">
        <x:v>3370.033</x:v>
      </x:c>
      <x:c r="H293" s="25" t="n">
        <x:v>-0.003599719473196261</x:v>
      </x:c>
      <x:c r="I293" s="24" t="n">
        <x:f>ROUND(E293-F293,1)</x:f>
        <x:v>31.1</x:v>
      </x:c>
      <x:c r="J293" s="23" t="str">
        <x:v>上证指数</x:v>
      </x:c>
    </x:row>
    <x:row r="294">
      <x:c r="A294" s="29" t="n">
        <x:v>15</x:v>
      </x:c>
      <x:c r="B294" s="29" t="str">
        <x:v>周五</x:v>
      </x:c>
      <x:c r="C294" s="29" t="str">
        <x:v>12月20日</x:v>
      </x:c>
      <x:c r="D294" s="30" t="n">
        <x:v>3364.481</x:v>
      </x:c>
      <x:c r="E294" s="30" t="n">
        <x:v>3390.618</x:v>
      </x:c>
      <x:c r="F294" s="30" t="n">
        <x:v>3362.819</x:v>
      </x:c>
      <x:c r="G294" s="30" t="n">
        <x:v>3368.069</x:v>
      </x:c>
      <x:c r="H294" s="31" t="n">
        <x:v>-0.0005827836107242801</x:v>
      </x:c>
      <x:c r="I294" s="30" t="n">
        <x:f>ROUND(E294-F294,1)</x:f>
        <x:v>27.8</x:v>
      </x:c>
      <x:c r="J294" s="29" t="str">
        <x:v>上证指数</x:v>
      </x:c>
    </x:row>
    <x:row r="295">
      <x:c r="A295" s="23" t="n">
        <x:v>16</x:v>
      </x:c>
      <x:c r="B295" s="23" t="str">
        <x:v>周一</x:v>
      </x:c>
      <x:c r="C295" s="23" t="str">
        <x:v>12月23日</x:v>
      </x:c>
      <x:c r="D295" s="24" t="n">
        <x:v>3367.904</x:v>
      </x:c>
      <x:c r="E295" s="24" t="n">
        <x:v>3384.992</x:v>
      </x:c>
      <x:c r="F295" s="24" t="n">
        <x:v>3348.277</x:v>
      </x:c>
      <x:c r="G295" s="24" t="n">
        <x:v>3351.257</x:v>
      </x:c>
      <x:c r="H295" s="25" t="n">
        <x:v>-0.004991584198542176</x:v>
      </x:c>
      <x:c r="I295" s="24" t="n">
        <x:f>ROUND(E295-F295,1)</x:f>
        <x:v>36.7</x:v>
      </x:c>
      <x:c r="J295" s="23" t="str">
        <x:v>上证指数</x:v>
      </x:c>
    </x:row>
    <x:row r="296">
      <x:c r="A296" s="23" t="n">
        <x:v>17</x:v>
      </x:c>
      <x:c r="B296" s="23" t="str">
        <x:v>周二</x:v>
      </x:c>
      <x:c r="C296" s="23" t="str">
        <x:v>12月24日</x:v>
      </x:c>
      <x:c r="D296" s="24" t="n">
        <x:v>3353.535</x:v>
      </x:c>
      <x:c r="E296" s="24" t="n">
        <x:v>3394.904</x:v>
      </x:c>
      <x:c r="F296" s="24" t="n">
        <x:v>3352.947</x:v>
      </x:c>
      <x:c r="G296" s="24" t="n">
        <x:v>3393.528</x:v>
      </x:c>
      <x:c r="H296" s="25" t="n">
        <x:v>0.012613476077782071</x:v>
      </x:c>
      <x:c r="I296" s="24" t="n">
        <x:f>ROUND(E296-F296,1)</x:f>
        <x:v>42</x:v>
      </x:c>
      <x:c r="J296" s="23" t="str">
        <x:v>上证指数</x:v>
      </x:c>
    </x:row>
    <x:row r="297">
      <x:c r="A297" s="23" t="n">
        <x:v>18</x:v>
      </x:c>
      <x:c r="B297" s="23" t="str">
        <x:v>周三</x:v>
      </x:c>
      <x:c r="C297" s="23" t="str">
        <x:v>12月25日</x:v>
      </x:c>
      <x:c r="D297" s="24" t="n">
        <x:v>3395.107</x:v>
      </x:c>
      <x:c r="E297" s="24" t="n">
        <x:v>3406.213</x:v>
      </x:c>
      <x:c r="F297" s="24" t="n">
        <x:v>3374.011</x:v>
      </x:c>
      <x:c r="G297" s="24" t="n">
        <x:v>3393.35</x:v>
      </x:c>
      <x:c r="H297" s="25" t="n">
        <x:v>-0.000052452786598489176</x:v>
      </x:c>
      <x:c r="I297" s="24" t="n">
        <x:f>ROUND(E297-F297,1)</x:f>
        <x:v>32.2</x:v>
      </x:c>
      <x:c r="J297" s="23" t="str">
        <x:v>上证指数</x:v>
      </x:c>
    </x:row>
    <x:row r="298">
      <x:c r="A298" s="23" t="n">
        <x:v>19</x:v>
      </x:c>
      <x:c r="B298" s="23" t="str">
        <x:v>周四</x:v>
      </x:c>
      <x:c r="C298" s="23" t="str">
        <x:v>12月26日</x:v>
      </x:c>
      <x:c r="D298" s="24" t="n">
        <x:v>3389.338</x:v>
      </x:c>
      <x:c r="E298" s="24" t="n">
        <x:v>3401.095</x:v>
      </x:c>
      <x:c r="F298" s="24" t="n">
        <x:v>3380.255</x:v>
      </x:c>
      <x:c r="G298" s="24" t="n">
        <x:v>3398.077</x:v>
      </x:c>
      <x:c r="H298" s="25" t="n">
        <x:v>0.0013930186983366344</x:v>
      </x:c>
      <x:c r="I298" s="24" t="n">
        <x:f>ROUND(E298-F298,1)</x:f>
        <x:v>20.8</x:v>
      </x:c>
      <x:c r="J298" s="23" t="str">
        <x:v>上证指数</x:v>
      </x:c>
    </x:row>
    <x:row r="299">
      <x:c r="A299" s="23" t="n">
        <x:v>20</x:v>
      </x:c>
      <x:c r="B299" s="23" t="str">
        <x:v>周五</x:v>
      </x:c>
      <x:c r="C299" s="23" t="str">
        <x:v>12月27日</x:v>
      </x:c>
      <x:c r="D299" s="24" t="n">
        <x:v>3397.294</x:v>
      </x:c>
      <x:c r="E299" s="24" t="n">
        <x:v>3418.952</x:v>
      </x:c>
      <x:c r="F299" s="24" t="n">
        <x:v>3388.322</x:v>
      </x:c>
      <x:c r="G299" s="24" t="n">
        <x:v>3400.142</x:v>
      </x:c>
      <x:c r="H299" s="25" t="n">
        <x:v>0.0006076966472505774</x:v>
      </x:c>
      <x:c r="I299" s="24" t="n">
        <x:f>ROUND(E299-F299,1)</x:f>
        <x:v>30.6</x:v>
      </x:c>
      <x:c r="J299" s="23" t="str">
        <x:v>上证指数</x:v>
      </x:c>
    </x:row>
    <x:row r="300">
      <x:c r="A300" s="23" t="n">
        <x:v>21</x:v>
      </x:c>
      <x:c r="B300" s="23" t="str">
        <x:v>周一</x:v>
      </x:c>
      <x:c r="C300" s="23" t="str">
        <x:v>12月30日</x:v>
      </x:c>
      <x:c r="D300" s="24" t="n">
        <x:v>3395.396</x:v>
      </x:c>
      <x:c r="E300" s="24" t="n">
        <x:v>3412.841</x:v>
      </x:c>
      <x:c r="F300" s="24" t="n">
        <x:v>3394.965</x:v>
      </x:c>
      <x:c r="G300" s="24" t="n">
        <x:v>3407.326</x:v>
      </x:c>
      <x:c r="H300" s="25" t="n">
        <x:v>0.0021128529337892665</x:v>
      </x:c>
      <x:c r="I300" s="24" t="n">
        <x:f>ROUND(E300-F300,1)</x:f>
        <x:v>17.9</x:v>
      </x:c>
      <x:c r="J300" s="23" t="str">
        <x:v>上证指数</x:v>
      </x:c>
    </x:row>
    <x:row r="301">
      <x:c r="A301" s="23" t="n">
        <x:v>22</x:v>
      </x:c>
      <x:c r="B301" s="23" t="str">
        <x:v>周二</x:v>
      </x:c>
      <x:c r="C301" s="23" t="str">
        <x:v>12月31日</x:v>
      </x:c>
      <x:c r="D301" s="24" t="n">
        <x:v>3406.965</x:v>
      </x:c>
      <x:c r="E301" s="24" t="n">
        <x:v>3413.455</x:v>
      </x:c>
      <x:c r="F301" s="24" t="n">
        <x:v>3351.763</x:v>
      </x:c>
      <x:c r="G301" s="24" t="n">
        <x:v>3351.763</x:v>
      </x:c>
      <x:c r="H301" s="25" t="n">
        <x:v>-0.016306922202336982</x:v>
      </x:c>
      <x:c r="I301" s="33" t="n">
        <x:f>ROUND(E301-F301,1)</x:f>
        <x:v>61.7</x:v>
      </x:c>
      <x:c r="J301" s="23" t="str">
        <x:v>上证指数</x:v>
      </x:c>
    </x:row>
    <x:row r="302">
      <x:c r="A302" s="36" t="str">
        <x:v>合计</x:v>
      </x:c>
      <x:c r="B302" s="35" t="n">
        <x:v>22</x:v>
      </x:c>
      <x:c r="C302" s="35"/>
      <x:c r="D302" s="35"/>
      <x:c r="E302" s="35"/>
      <x:c r="F302" s="35"/>
      <x:c r="G302" s="35"/>
      <x:c r="H302" s="35"/>
      <x:c r="I302" s="37" t="n">
        <x:f>ROUND(SUM(I280:I301),1)</x:f>
        <x:v>817.3</x:v>
      </x:c>
      <x:c r="J302" s="35"/>
    </x:row>
    <x:row r="303">
      <x:c r="A303" s="36" t="str">
        <x:v>均值</x:v>
      </x:c>
      <x:c r="B303" s="35"/>
      <x:c r="C303" s="35"/>
      <x:c r="D303" s="35"/>
      <x:c r="E303" s="35"/>
      <x:c r="F303" s="35"/>
      <x:c r="G303" s="35"/>
      <x:c r="H303" s="35"/>
      <x:c r="I303" s="39" t="n">
        <x:f>ROUND(IFERROR(AVERAGE(I280:I301),0),1)</x:f>
        <x:v>37.2</x:v>
      </x:c>
      <x:c r="J303" s="35"/>
    </x:row>
  </x:sheetData>
  <x:mergeCells>
    <x:mergeCell ref="A1:J1"/>
    <x:mergeCell ref="A3:J3"/>
    <x:mergeCell ref="A30:J30"/>
    <x:mergeCell ref="A50:J50"/>
    <x:mergeCell ref="A76:J76"/>
    <x:mergeCell ref="A101:J101"/>
    <x:mergeCell ref="A126:J126"/>
    <x:mergeCell ref="A150:J150"/>
    <x:mergeCell ref="A178:J178"/>
    <x:mergeCell ref="A205:J205"/>
    <x:mergeCell ref="A229:J229"/>
    <x:mergeCell ref="A252:J252"/>
    <x:mergeCell ref="A278:J27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</x:cols>
  <x:sheetData>
    <x:row r="1" ht="38" customHeight="1">
      <x:c r="A1" s="15" t="str">
        <x:v>2024年统计 - IM主力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涨幅</x:v>
      </x:c>
      <x:c r="I4" s="20" t="str">
        <x:v>振幅</x:v>
      </x:c>
      <x:c r="J4" s="20" t="str">
        <x:v>标的</x:v>
      </x:c>
    </x:row>
    <x:row r="5">
      <x:c r="A5" s="23" t="n">
        <x:v>1</x:v>
      </x:c>
      <x:c r="B5" s="23" t="str">
        <x:v>周二</x:v>
      </x:c>
      <x:c r="C5" s="23" t="str">
        <x:v>1月2日</x:v>
      </x:c>
      <x:c r="D5" s="24" t="n">
        <x:v>5860</x:v>
      </x:c>
      <x:c r="E5" s="24" t="n">
        <x:v>5861</x:v>
      </x:c>
      <x:c r="F5" s="24" t="n">
        <x:v>5788.6</x:v>
      </x:c>
      <x:c r="G5" s="24" t="n">
        <x:v>5793.8</x:v>
      </x:c>
      <x:c r="H5" s="25" t="n">
        <x:v>-0.010382031621089749</x:v>
      </x:c>
      <x:c r="I5" s="24" t="n">
        <x:f>ROUND(E5-F5,1)</x:f>
        <x:v>72.4</x:v>
      </x:c>
      <x:c r="J5" s="23" t="str">
        <x:v>IM2403</x:v>
      </x:c>
    </x:row>
    <x:row r="6">
      <x:c r="A6" s="23" t="n">
        <x:v>2</x:v>
      </x:c>
      <x:c r="B6" s="23" t="str">
        <x:v>周三</x:v>
      </x:c>
      <x:c r="C6" s="23" t="str">
        <x:v>1月3日</x:v>
      </x:c>
      <x:c r="D6" s="24" t="n">
        <x:v>5784.6</x:v>
      </x:c>
      <x:c r="E6" s="24" t="n">
        <x:v>5811</x:v>
      </x:c>
      <x:c r="F6" s="24" t="n">
        <x:v>5721.6</x:v>
      </x:c>
      <x:c r="G6" s="24" t="n">
        <x:v>5763.4</x:v>
      </x:c>
      <x:c r="H6" s="25" t="n">
        <x:v>-0.004148381788261268</x:v>
      </x:c>
      <x:c r="I6" s="24" t="n">
        <x:f>ROUND(E6-F6,1)</x:f>
        <x:v>89.4</x:v>
      </x:c>
      <x:c r="J6" s="23" t="str">
        <x:v>IM2403</x:v>
      </x:c>
    </x:row>
    <x:row r="7">
      <x:c r="A7" s="23" t="n">
        <x:v>3</x:v>
      </x:c>
      <x:c r="B7" s="23" t="str">
        <x:v>周四</x:v>
      </x:c>
      <x:c r="C7" s="23" t="str">
        <x:v>1月4日</x:v>
      </x:c>
      <x:c r="D7" s="24" t="n">
        <x:v>5764.8</x:v>
      </x:c>
      <x:c r="E7" s="24" t="n">
        <x:v>5764.8</x:v>
      </x:c>
      <x:c r="F7" s="24" t="n">
        <x:v>5671.4</x:v>
      </x:c>
      <x:c r="G7" s="24" t="n">
        <x:v>5714.4</x:v>
      </x:c>
      <x:c r="H7" s="25" t="n">
        <x:v>-0.007608358866664333</x:v>
      </x:c>
      <x:c r="I7" s="24" t="n">
        <x:f>ROUND(E7-F7,1)</x:f>
        <x:v>93.4</x:v>
      </x:c>
      <x:c r="J7" s="23" t="str">
        <x:v>IM2403</x:v>
      </x:c>
    </x:row>
    <x:row r="8">
      <x:c r="A8" s="23" t="n">
        <x:v>4</x:v>
      </x:c>
      <x:c r="B8" s="23" t="str">
        <x:v>周五</x:v>
      </x:c>
      <x:c r="C8" s="23" t="str">
        <x:v>1月5日</x:v>
      </x:c>
      <x:c r="D8" s="24" t="n">
        <x:v>5703.4</x:v>
      </x:c>
      <x:c r="E8" s="24" t="n">
        <x:v>5726.8</x:v>
      </x:c>
      <x:c r="F8" s="24" t="n">
        <x:v>5588.2</x:v>
      </x:c>
      <x:c r="G8" s="24" t="n">
        <x:v>5606.4</x:v>
      </x:c>
      <x:c r="H8" s="25" t="n">
        <x:v>-0.01741483383056952</x:v>
      </x:c>
      <x:c r="I8" s="24" t="n">
        <x:f>ROUND(E8-F8,1)</x:f>
        <x:v>138.6</x:v>
      </x:c>
      <x:c r="J8" s="23" t="str">
        <x:v>IM2403</x:v>
      </x:c>
    </x:row>
    <x:row r="9">
      <x:c r="A9" s="23" t="n">
        <x:v>5</x:v>
      </x:c>
      <x:c r="B9" s="23" t="str">
        <x:v>周一</x:v>
      </x:c>
      <x:c r="C9" s="23" t="str">
        <x:v>1月8日</x:v>
      </x:c>
      <x:c r="D9" s="24" t="n">
        <x:v>5585.2</x:v>
      </x:c>
      <x:c r="E9" s="24" t="n">
        <x:v>5589.8</x:v>
      </x:c>
      <x:c r="F9" s="24" t="n">
        <x:v>5385.6</x:v>
      </x:c>
      <x:c r="G9" s="24" t="n">
        <x:v>5406.2</x:v>
      </x:c>
      <x:c r="H9" s="25" t="n">
        <x:v>-0.032587205197006086</x:v>
      </x:c>
      <x:c r="I9" s="33" t="n">
        <x:f>ROUND(E9-F9,1)</x:f>
        <x:v>204.2</x:v>
      </x:c>
      <x:c r="J9" s="23" t="str">
        <x:v>IM2403</x:v>
      </x:c>
    </x:row>
    <x:row r="10">
      <x:c r="A10" s="23" t="n">
        <x:v>6</x:v>
      </x:c>
      <x:c r="B10" s="23" t="str">
        <x:v>周二</x:v>
      </x:c>
      <x:c r="C10" s="23" t="str">
        <x:v>1月9日</x:v>
      </x:c>
      <x:c r="D10" s="24" t="n">
        <x:v>5420.6</x:v>
      </x:c>
      <x:c r="E10" s="24" t="n">
        <x:v>5519</x:v>
      </x:c>
      <x:c r="F10" s="24" t="n">
        <x:v>5399.2</x:v>
      </x:c>
      <x:c r="G10" s="24" t="n">
        <x:v>5435.4</x:v>
      </x:c>
      <x:c r="H10" s="25" t="n">
        <x:v>0.006058173059377392</x:v>
      </x:c>
      <x:c r="I10" s="24" t="n">
        <x:f>ROUND(E10-F10,1)</x:f>
        <x:v>119.8</x:v>
      </x:c>
      <x:c r="J10" s="23" t="str">
        <x:v>IM2403</x:v>
      </x:c>
    </x:row>
    <x:row r="11">
      <x:c r="A11" s="23" t="n">
        <x:v>7</x:v>
      </x:c>
      <x:c r="B11" s="23" t="str">
        <x:v>周三</x:v>
      </x:c>
      <x:c r="C11" s="23" t="str">
        <x:v>1月10日</x:v>
      </x:c>
      <x:c r="D11" s="24" t="n">
        <x:v>5409.8</x:v>
      </x:c>
      <x:c r="E11" s="24" t="n">
        <x:v>5497.8</x:v>
      </x:c>
      <x:c r="F11" s="24" t="n">
        <x:v>5342.6</x:v>
      </x:c>
      <x:c r="G11" s="24" t="n">
        <x:v>5411.4</x:v>
      </x:c>
      <x:c r="H11" s="25" t="n">
        <x:v>-0.005223636957231381</x:v>
      </x:c>
      <x:c r="I11" s="24" t="n">
        <x:f>ROUND(E11-F11,1)</x:f>
        <x:v>155.2</x:v>
      </x:c>
      <x:c r="J11" s="23" t="str">
        <x:v>IM2403</x:v>
      </x:c>
    </x:row>
    <x:row r="12">
      <x:c r="A12" s="23" t="n">
        <x:v>8</x:v>
      </x:c>
      <x:c r="B12" s="23" t="str">
        <x:v>周四</x:v>
      </x:c>
      <x:c r="C12" s="23" t="str">
        <x:v>1月11日</x:v>
      </x:c>
      <x:c r="D12" s="24" t="n">
        <x:v>5414.4</x:v>
      </x:c>
      <x:c r="E12" s="24" t="n">
        <x:v>5584</x:v>
      </x:c>
      <x:c r="F12" s="24" t="n">
        <x:v>5403.6</x:v>
      </x:c>
      <x:c r="G12" s="24" t="n">
        <x:v>5535.8</x:v>
      </x:c>
      <x:c r="H12" s="25" t="n">
        <x:v>0.0201655544615833</x:v>
      </x:c>
      <x:c r="I12" s="24" t="n">
        <x:f>ROUND(E12-F12,1)</x:f>
        <x:v>180.4</x:v>
      </x:c>
      <x:c r="J12" s="23" t="str">
        <x:v>IM2403</x:v>
      </x:c>
    </x:row>
    <x:row r="13">
      <x:c r="A13" s="23" t="n">
        <x:v>9</x:v>
      </x:c>
      <x:c r="B13" s="23" t="str">
        <x:v>周五</x:v>
      </x:c>
      <x:c r="C13" s="23" t="str">
        <x:v>1月12日</x:v>
      </x:c>
      <x:c r="D13" s="24" t="n">
        <x:v>5516</x:v>
      </x:c>
      <x:c r="E13" s="24" t="n">
        <x:v>5567</x:v>
      </x:c>
      <x:c r="F13" s="24" t="n">
        <x:v>5483.4</x:v>
      </x:c>
      <x:c r="G13" s="24" t="n">
        <x:v>5485.4</x:v>
      </x:c>
      <x:c r="H13" s="25" t="n">
        <x:v>-0.007899628252788116</x:v>
      </x:c>
      <x:c r="I13" s="24" t="n">
        <x:f>ROUND(E13-F13,1)</x:f>
        <x:v>83.6</x:v>
      </x:c>
      <x:c r="J13" s="23" t="str">
        <x:v>IM2403</x:v>
      </x:c>
    </x:row>
    <x:row r="14">
      <x:c r="A14" s="23" t="n">
        <x:v>10</x:v>
      </x:c>
      <x:c r="B14" s="23" t="str">
        <x:v>周一</x:v>
      </x:c>
      <x:c r="C14" s="23" t="str">
        <x:v>1月15日</x:v>
      </x:c>
      <x:c r="D14" s="24" t="n">
        <x:v>5465</x:v>
      </x:c>
      <x:c r="E14" s="24" t="n">
        <x:v>5528</x:v>
      </x:c>
      <x:c r="F14" s="24" t="n">
        <x:v>5428</x:v>
      </x:c>
      <x:c r="G14" s="24" t="n">
        <x:v>5459</x:v>
      </x:c>
      <x:c r="H14" s="25" t="n">
        <x:v>-0.0037470725995316645</x:v>
      </x:c>
      <x:c r="I14" s="24" t="n">
        <x:f>ROUND(E14-F14,1)</x:f>
        <x:v>100</x:v>
      </x:c>
      <x:c r="J14" s="23" t="str">
        <x:v>IM2403</x:v>
      </x:c>
    </x:row>
    <x:row r="15">
      <x:c r="A15" s="23" t="n">
        <x:v>11</x:v>
      </x:c>
      <x:c r="B15" s="23" t="str">
        <x:v>周二</x:v>
      </x:c>
      <x:c r="C15" s="23" t="str">
        <x:v>1月16日</x:v>
      </x:c>
      <x:c r="D15" s="24" t="n">
        <x:v>5445</x:v>
      </x:c>
      <x:c r="E15" s="24" t="n">
        <x:v>5476.8</x:v>
      </x:c>
      <x:c r="F15" s="24" t="n">
        <x:v>5352</x:v>
      </x:c>
      <x:c r="G15" s="24" t="n">
        <x:v>5429.4</x:v>
      </x:c>
      <x:c r="H15" s="25" t="n">
        <x:v>-0.003110194929658916</x:v>
      </x:c>
      <x:c r="I15" s="24" t="n">
        <x:f>ROUND(E15-F15,1)</x:f>
        <x:v>124.8</x:v>
      </x:c>
      <x:c r="J15" s="23" t="str">
        <x:v>IM2403</x:v>
      </x:c>
    </x:row>
    <x:row r="16">
      <x:c r="A16" s="23" t="n">
        <x:v>12</x:v>
      </x:c>
      <x:c r="B16" s="23" t="str">
        <x:v>周三</x:v>
      </x:c>
      <x:c r="C16" s="23" t="str">
        <x:v>1月17日</x:v>
      </x:c>
      <x:c r="D16" s="24" t="n">
        <x:v>5417.8</x:v>
      </x:c>
      <x:c r="E16" s="24" t="n">
        <x:v>5422.2</x:v>
      </x:c>
      <x:c r="F16" s="24" t="n">
        <x:v>5196.6</x:v>
      </x:c>
      <x:c r="G16" s="24" t="n">
        <x:v>5202.6</x:v>
      </x:c>
      <x:c r="H16" s="25" t="n">
        <x:v>-0.030219481226192668</x:v>
      </x:c>
      <x:c r="I16" s="33" t="n">
        <x:f>ROUND(E16-F16,1)</x:f>
        <x:v>225.6</x:v>
      </x:c>
      <x:c r="J16" s="23" t="str">
        <x:v>IM2403</x:v>
      </x:c>
    </x:row>
    <x:row r="17">
      <x:c r="A17" s="23" t="n">
        <x:v>13</x:v>
      </x:c>
      <x:c r="B17" s="23" t="str">
        <x:v>周四</x:v>
      </x:c>
      <x:c r="C17" s="23" t="str">
        <x:v>1月18日</x:v>
      </x:c>
      <x:c r="D17" s="24" t="n">
        <x:v>5203.8</x:v>
      </x:c>
      <x:c r="E17" s="24" t="n">
        <x:v>5248</x:v>
      </x:c>
      <x:c r="F17" s="24" t="n">
        <x:v>5000.6</x:v>
      </x:c>
      <x:c r="G17" s="24" t="n">
        <x:v>5228.6</x:v>
      </x:c>
      <x:c r="H17" s="25" t="n">
        <x:v>-0.00033667514589241776</x:v>
      </x:c>
      <x:c r="I17" s="33" t="n">
        <x:f>ROUND(E17-F17,1)</x:f>
        <x:v>247.4</x:v>
      </x:c>
      <x:c r="J17" s="23" t="str">
        <x:v>IM2403</x:v>
      </x:c>
    </x:row>
    <x:row r="18">
      <x:c r="A18" s="29" t="n">
        <x:v>14</x:v>
      </x:c>
      <x:c r="B18" s="29" t="str">
        <x:v>周五</x:v>
      </x:c>
      <x:c r="C18" s="29" t="str">
        <x:v>1月19日</x:v>
      </x:c>
      <x:c r="D18" s="30" t="n">
        <x:v>5209.8</x:v>
      </x:c>
      <x:c r="E18" s="30" t="n">
        <x:v>5263.2</x:v>
      </x:c>
      <x:c r="F18" s="30" t="n">
        <x:v>5160</x:v>
      </x:c>
      <x:c r="G18" s="30" t="n">
        <x:v>5182.4</x:v>
      </x:c>
      <x:c r="H18" s="31" t="n">
        <x:v>-0.023799723084983126</x:v>
      </x:c>
      <x:c r="I18" s="30" t="n">
        <x:f>ROUND(E18-F18,1)</x:f>
        <x:v>103.2</x:v>
      </x:c>
      <x:c r="J18" s="29" t="str">
        <x:v>IM2403</x:v>
      </x:c>
    </x:row>
    <x:row r="19">
      <x:c r="A19" s="23" t="n">
        <x:v>15</x:v>
      </x:c>
      <x:c r="B19" s="23" t="str">
        <x:v>周一</x:v>
      </x:c>
      <x:c r="C19" s="23" t="str">
        <x:v>1月22日</x:v>
      </x:c>
      <x:c r="D19" s="24" t="n">
        <x:v>5159.6</x:v>
      </x:c>
      <x:c r="E19" s="24" t="n">
        <x:v>5184</x:v>
      </x:c>
      <x:c r="F19" s="24" t="n">
        <x:v>4680</x:v>
      </x:c>
      <x:c r="G19" s="24" t="n">
        <x:v>4732.4</x:v>
      </x:c>
      <x:c r="H19" s="25" t="n">
        <x:v>-0.07417487637520603</x:v>
      </x:c>
      <x:c r="I19" s="33" t="n">
        <x:f>ROUND(E19-F19,1)</x:f>
        <x:v>504</x:v>
      </x:c>
      <x:c r="J19" s="23" t="str">
        <x:v>IM2403</x:v>
      </x:c>
    </x:row>
    <x:row r="20">
      <x:c r="A20" s="23" t="n">
        <x:v>16</x:v>
      </x:c>
      <x:c r="B20" s="23" t="str">
        <x:v>周二</x:v>
      </x:c>
      <x:c r="C20" s="23" t="str">
        <x:v>1月23日</x:v>
      </x:c>
      <x:c r="D20" s="24" t="n">
        <x:v>4740.4</x:v>
      </x:c>
      <x:c r="E20" s="24" t="n">
        <x:v>5008</x:v>
      </x:c>
      <x:c r="F20" s="24" t="n">
        <x:v>4692.6</x:v>
      </x:c>
      <x:c r="G20" s="24" t="n">
        <x:v>4945</x:v>
      </x:c>
      <x:c r="H20" s="25" t="n">
        <x:v>0.034696919509771496</x:v>
      </x:c>
      <x:c r="I20" s="33" t="n">
        <x:f>ROUND(E20-F20,1)</x:f>
        <x:v>315.4</x:v>
      </x:c>
      <x:c r="J20" s="23" t="str">
        <x:v>IM2403</x:v>
      </x:c>
    </x:row>
    <x:row r="21">
      <x:c r="A21" s="23" t="n">
        <x:v>17</x:v>
      </x:c>
      <x:c r="B21" s="23" t="str">
        <x:v>周三</x:v>
      </x:c>
      <x:c r="C21" s="23" t="str">
        <x:v>1月24日</x:v>
      </x:c>
      <x:c r="D21" s="24" t="n">
        <x:v>4997.6</x:v>
      </x:c>
      <x:c r="E21" s="24" t="n">
        <x:v>5066.8</x:v>
      </x:c>
      <x:c r="F21" s="24" t="n">
        <x:v>4767.2</x:v>
      </x:c>
      <x:c r="G21" s="24" t="n">
        <x:v>5048.6</x:v>
      </x:c>
      <x:c r="H21" s="25" t="n">
        <x:v>0.01856742697078828</x:v>
      </x:c>
      <x:c r="I21" s="33" t="n">
        <x:f>ROUND(E21-F21,1)</x:f>
        <x:v>299.6</x:v>
      </x:c>
      <x:c r="J21" s="23" t="str">
        <x:v>IM2403</x:v>
      </x:c>
    </x:row>
    <x:row r="22">
      <x:c r="A22" s="23" t="n">
        <x:v>18</x:v>
      </x:c>
      <x:c r="B22" s="23" t="str">
        <x:v>周四</x:v>
      </x:c>
      <x:c r="C22" s="23" t="str">
        <x:v>1月25日</x:v>
      </x:c>
      <x:c r="D22" s="24" t="n">
        <x:v>5045</x:v>
      </x:c>
      <x:c r="E22" s="24" t="n">
        <x:v>5276.2</x:v>
      </x:c>
      <x:c r="F22" s="24" t="n">
        <x:v>4996.6</x:v>
      </x:c>
      <x:c r="G22" s="24" t="n">
        <x:v>5273.8</x:v>
      </x:c>
      <x:c r="H22" s="25" t="n">
        <x:v>0.042390194075587306</x:v>
      </x:c>
      <x:c r="I22" s="33" t="n">
        <x:f>ROUND(E22-F22,1)</x:f>
        <x:v>279.6</x:v>
      </x:c>
      <x:c r="J22" s="23" t="str">
        <x:v>IM2403</x:v>
      </x:c>
    </x:row>
    <x:row r="23">
      <x:c r="A23" s="23" t="n">
        <x:v>19</x:v>
      </x:c>
      <x:c r="B23" s="23" t="str">
        <x:v>周五</x:v>
      </x:c>
      <x:c r="C23" s="23" t="str">
        <x:v>1月26日</x:v>
      </x:c>
      <x:c r="D23" s="24" t="n">
        <x:v>5251</x:v>
      </x:c>
      <x:c r="E23" s="24" t="n">
        <x:v>5279</x:v>
      </x:c>
      <x:c r="F23" s="24" t="n">
        <x:v>5151.6</x:v>
      </x:c>
      <x:c r="G23" s="24" t="n">
        <x:v>5178.2</x:v>
      </x:c>
      <x:c r="H23" s="25" t="n">
        <x:v>-0.016922323144763163</x:v>
      </x:c>
      <x:c r="I23" s="24" t="n">
        <x:f>ROUND(E23-F23,1)</x:f>
        <x:v>127.4</x:v>
      </x:c>
      <x:c r="J23" s="23" t="str">
        <x:v>IM2403</x:v>
      </x:c>
    </x:row>
    <x:row r="24">
      <x:c r="A24" s="23" t="n">
        <x:v>20</x:v>
      </x:c>
      <x:c r="B24" s="23" t="str">
        <x:v>周一</x:v>
      </x:c>
      <x:c r="C24" s="23" t="str">
        <x:v>1月29日</x:v>
      </x:c>
      <x:c r="D24" s="24" t="n">
        <x:v>5215</x:v>
      </x:c>
      <x:c r="E24" s="24" t="n">
        <x:v>5233.8</x:v>
      </x:c>
      <x:c r="F24" s="24" t="n">
        <x:v>5012.2</x:v>
      </x:c>
      <x:c r="G24" s="24" t="n">
        <x:v>5016.4</x:v>
      </x:c>
      <x:c r="H24" s="25" t="n">
        <x:v>-0.0294816745897869</x:v>
      </x:c>
      <x:c r="I24" s="33" t="n">
        <x:f>ROUND(E24-F24,1)</x:f>
        <x:v>221.6</x:v>
      </x:c>
      <x:c r="J24" s="23" t="str">
        <x:v>IM2403</x:v>
      </x:c>
    </x:row>
    <x:row r="25">
      <x:c r="A25" s="23" t="n">
        <x:v>21</x:v>
      </x:c>
      <x:c r="B25" s="23" t="str">
        <x:v>周二</x:v>
      </x:c>
      <x:c r="C25" s="23" t="str">
        <x:v>1月30日</x:v>
      </x:c>
      <x:c r="D25" s="24" t="n">
        <x:v>5012</x:v>
      </x:c>
      <x:c r="E25" s="24" t="n">
        <x:v>5049.4</x:v>
      </x:c>
      <x:c r="F25" s="24" t="n">
        <x:v>4827.2</x:v>
      </x:c>
      <x:c r="G25" s="24" t="n">
        <x:v>4848</x:v>
      </x:c>
      <x:c r="H25" s="25" t="n">
        <x:v>-0.030772269405490826</x:v>
      </x:c>
      <x:c r="I25" s="33" t="n">
        <x:f>ROUND(E25-F25,1)</x:f>
        <x:v>222.2</x:v>
      </x:c>
      <x:c r="J25" s="23" t="str">
        <x:v>IM2403</x:v>
      </x:c>
    </x:row>
    <x:row r="26">
      <x:c r="A26" s="23" t="n">
        <x:v>22</x:v>
      </x:c>
      <x:c r="B26" s="23" t="str">
        <x:v>周三</x:v>
      </x:c>
      <x:c r="C26" s="23" t="str">
        <x:v>1月31日</x:v>
      </x:c>
      <x:c r="D26" s="24" t="n">
        <x:v>4814</x:v>
      </x:c>
      <x:c r="E26" s="24" t="n">
        <x:v>4875</x:v>
      </x:c>
      <x:c r="F26" s="24" t="n">
        <x:v>4642.4</x:v>
      </x:c>
      <x:c r="G26" s="24" t="n">
        <x:v>4666.2</x:v>
      </x:c>
      <x:c r="H26" s="25" t="n">
        <x:v>-0.036680795565699365</x:v>
      </x:c>
      <x:c r="I26" s="33" t="n">
        <x:f>ROUND(E26-F26,1)</x:f>
        <x:v>232.6</x:v>
      </x:c>
      <x:c r="J26" s="23" t="str">
        <x:v>IM2403</x:v>
      </x:c>
    </x:row>
    <x:row r="27">
      <x:c r="A27" s="36" t="str">
        <x:v>合计</x:v>
      </x:c>
      <x:c r="B27" s="35" t="n">
        <x:v>22</x:v>
      </x:c>
      <x:c r="C27" s="35"/>
      <x:c r="D27" s="35"/>
      <x:c r="E27" s="35"/>
      <x:c r="F27" s="35"/>
      <x:c r="G27" s="35"/>
      <x:c r="H27" s="35"/>
      <x:c r="I27" s="37" t="n">
        <x:f>ROUND(SUM(I5:I26),1)</x:f>
        <x:v>4140.4</x:v>
      </x:c>
      <x:c r="J27" s="35"/>
    </x:row>
    <x:row r="28">
      <x:c r="A28" s="36" t="str">
        <x:v>均值</x:v>
      </x:c>
      <x:c r="B28" s="35"/>
      <x:c r="C28" s="35"/>
      <x:c r="D28" s="35"/>
      <x:c r="E28" s="35"/>
      <x:c r="F28" s="35"/>
      <x:c r="G28" s="35"/>
      <x:c r="H28" s="35"/>
      <x:c r="I28" s="39" t="n">
        <x:f>ROUND(IFERROR(AVERAGE(I5:I26),0),1)</x:f>
        <x:v>188.2</x:v>
      </x:c>
      <x:c r="J28" s="35"/>
    </x:row>
    <x:row r="30">
      <x:c r="A30" s="17" t="str">
        <x:v>2月</x:v>
      </x:c>
      <x:c r="B30" s="17"/>
      <x:c r="C30" s="17"/>
      <x:c r="D30" s="17"/>
      <x:c r="E30" s="17"/>
      <x:c r="F30" s="17"/>
      <x:c r="G30" s="17"/>
      <x:c r="H30" s="17"/>
      <x:c r="I30" s="17"/>
      <x:c r="J30" s="17"/>
    </x:row>
    <x:row r="31">
      <x:c r="A31" s="20" t="str">
        <x:v>序号</x:v>
      </x:c>
      <x:c r="B31" s="20" t="str">
        <x:v>星期</x:v>
      </x:c>
      <x:c r="C31" s="20" t="str">
        <x:v>日期</x:v>
      </x:c>
      <x:c r="D31" s="20" t="str">
        <x:v>开盘</x:v>
      </x:c>
      <x:c r="E31" s="20" t="str">
        <x:v>高点</x:v>
      </x:c>
      <x:c r="F31" s="20" t="str">
        <x:v>低点</x:v>
      </x:c>
      <x:c r="G31" s="20" t="str">
        <x:v>收盘</x:v>
      </x:c>
      <x:c r="H31" s="20" t="str">
        <x:v>涨幅</x:v>
      </x:c>
      <x:c r="I31" s="20" t="str">
        <x:v>振幅</x:v>
      </x:c>
      <x:c r="J31" s="20" t="str">
        <x:v>标的</x:v>
      </x:c>
    </x:row>
    <x:row r="32">
      <x:c r="A32" s="23" t="n">
        <x:v>1</x:v>
      </x:c>
      <x:c r="B32" s="23" t="str">
        <x:v>周四</x:v>
      </x:c>
      <x:c r="C32" s="23" t="str">
        <x:v>2月1日</x:v>
      </x:c>
      <x:c r="D32" s="24" t="n">
        <x:v>4643</x:v>
      </x:c>
      <x:c r="E32" s="24" t="n">
        <x:v>4818</x:v>
      </x:c>
      <x:c r="F32" s="24" t="n">
        <x:v>4595</x:v>
      </x:c>
      <x:c r="G32" s="24" t="n">
        <x:v>4641.6</x:v>
      </x:c>
      <x:c r="H32" s="25" t="n">
        <x:v>-0.005923168048739158</x:v>
      </x:c>
      <x:c r="I32" s="33" t="n">
        <x:f>ROUND(E32-F32,1)</x:f>
        <x:v>223</x:v>
      </x:c>
      <x:c r="J32" s="23" t="str">
        <x:v>IM2403</x:v>
      </x:c>
    </x:row>
    <x:row r="33">
      <x:c r="A33" s="23" t="n">
        <x:v>2</x:v>
      </x:c>
      <x:c r="B33" s="23" t="str">
        <x:v>周五</x:v>
      </x:c>
      <x:c r="C33" s="23" t="str">
        <x:v>2月2日</x:v>
      </x:c>
      <x:c r="D33" s="24" t="n">
        <x:v>4680.2</x:v>
      </x:c>
      <x:c r="E33" s="24" t="n">
        <x:v>4738.8</x:v>
      </x:c>
      <x:c r="F33" s="24" t="n">
        <x:v>4267.2</x:v>
      </x:c>
      <x:c r="G33" s="24" t="n">
        <x:v>4447.4</x:v>
      </x:c>
      <x:c r="H33" s="25" t="n">
        <x:v>-0.04085801838610825</x:v>
      </x:c>
      <x:c r="I33" s="33" t="n">
        <x:f>ROUND(E33-F33,1)</x:f>
        <x:v>471.6</x:v>
      </x:c>
      <x:c r="J33" s="23" t="str">
        <x:v>IM2403</x:v>
      </x:c>
    </x:row>
    <x:row r="34">
      <x:c r="A34" s="23" t="n">
        <x:v>3</x:v>
      </x:c>
      <x:c r="B34" s="23" t="str">
        <x:v>周一</x:v>
      </x:c>
      <x:c r="C34" s="23" t="str">
        <x:v>2月5日</x:v>
      </x:c>
      <x:c r="D34" s="24" t="n">
        <x:v>4390</x:v>
      </x:c>
      <x:c r="E34" s="24" t="n">
        <x:v>4397</x:v>
      </x:c>
      <x:c r="F34" s="24" t="n">
        <x:v>3976</x:v>
      </x:c>
      <x:c r="G34" s="24" t="n">
        <x:v>4044.6</x:v>
      </x:c>
      <x:c r="H34" s="25" t="n">
        <x:v>-0.07334930777422777</x:v>
      </x:c>
      <x:c r="I34" s="33" t="n">
        <x:f>ROUND(E34-F34,1)</x:f>
        <x:v>421</x:v>
      </x:c>
      <x:c r="J34" s="23" t="str">
        <x:v>IM2403</x:v>
      </x:c>
    </x:row>
    <x:row r="35">
      <x:c r="A35" s="23" t="n">
        <x:v>4</x:v>
      </x:c>
      <x:c r="B35" s="23" t="str">
        <x:v>周二</x:v>
      </x:c>
      <x:c r="C35" s="23" t="str">
        <x:v>2月6日</x:v>
      </x:c>
      <x:c r="D35" s="24" t="n">
        <x:v>4002</x:v>
      </x:c>
      <x:c r="E35" s="24" t="n">
        <x:v>4575</x:v>
      </x:c>
      <x:c r="F35" s="24" t="n">
        <x:v>4002</x:v>
      </x:c>
      <x:c r="G35" s="24" t="n">
        <x:v>4568.4</x:v>
      </x:c>
      <x:c r="H35" s="25" t="n">
        <x:v>0.10352918641957554</x:v>
      </x:c>
      <x:c r="I35" s="33" t="n">
        <x:f>ROUND(E35-F35,1)</x:f>
        <x:v>573</x:v>
      </x:c>
      <x:c r="J35" s="23" t="str">
        <x:v>IM2403</x:v>
      </x:c>
    </x:row>
    <x:row r="36">
      <x:c r="A36" s="23" t="n">
        <x:v>5</x:v>
      </x:c>
      <x:c r="B36" s="23" t="str">
        <x:v>周三</x:v>
      </x:c>
      <x:c r="C36" s="23" t="str">
        <x:v>2月7日</x:v>
      </x:c>
      <x:c r="D36" s="24" t="n">
        <x:v>4586</x:v>
      </x:c>
      <x:c r="E36" s="24" t="n">
        <x:v>4841.2</x:v>
      </x:c>
      <x:c r="F36" s="24" t="n">
        <x:v>4566.6</x:v>
      </x:c>
      <x:c r="G36" s="24" t="n">
        <x:v>4793</x:v>
      </x:c>
      <x:c r="H36" s="25" t="n">
        <x:v>0.03992189195053153</x:v>
      </x:c>
      <x:c r="I36" s="33" t="n">
        <x:f>ROUND(E36-F36,1)</x:f>
        <x:v>274.6</x:v>
      </x:c>
      <x:c r="J36" s="23" t="str">
        <x:v>IM2403</x:v>
      </x:c>
    </x:row>
    <x:row r="37">
      <x:c r="A37" s="23" t="n">
        <x:v>6</x:v>
      </x:c>
      <x:c r="B37" s="23" t="str">
        <x:v>周四</x:v>
      </x:c>
      <x:c r="C37" s="23" t="str">
        <x:v>2月8日</x:v>
      </x:c>
      <x:c r="D37" s="24" t="n">
        <x:v>4846.2</x:v>
      </x:c>
      <x:c r="E37" s="24" t="n">
        <x:v>5078</x:v>
      </x:c>
      <x:c r="F37" s="24" t="n">
        <x:v>4846.2</x:v>
      </x:c>
      <x:c r="G37" s="24" t="n">
        <x:v>4980.4</x:v>
      </x:c>
      <x:c r="H37" s="25" t="n">
        <x:v>0.03909868558314211</x:v>
      </x:c>
      <x:c r="I37" s="33" t="n">
        <x:f>ROUND(E37-F37,1)</x:f>
        <x:v>231.8</x:v>
      </x:c>
      <x:c r="J37" s="23" t="str">
        <x:v>IM2403</x:v>
      </x:c>
    </x:row>
    <x:row r="38">
      <x:c r="A38" s="29" t="n">
        <x:v>7</x:v>
      </x:c>
      <x:c r="B38" s="29" t="str">
        <x:v>周一</x:v>
      </x:c>
      <x:c r="C38" s="29" t="str">
        <x:v>2月19日</x:v>
      </x:c>
      <x:c r="D38" s="30" t="n">
        <x:v>5070</x:v>
      </x:c>
      <x:c r="E38" s="30" t="n">
        <x:v>5122.6</x:v>
      </x:c>
      <x:c r="F38" s="30" t="n">
        <x:v>4856.2</x:v>
      </x:c>
      <x:c r="G38" s="30" t="n">
        <x:v>4954.6</x:v>
      </x:c>
      <x:c r="H38" s="31" t="n">
        <x:v>-0.005180306802666346</x:v>
      </x:c>
      <x:c r="I38" s="33" t="n">
        <x:f>ROUND(E38-F38,1)</x:f>
        <x:v>266.4</x:v>
      </x:c>
      <x:c r="J38" s="29" t="str">
        <x:v>IM2403</x:v>
      </x:c>
    </x:row>
    <x:row r="39">
      <x:c r="A39" s="23" t="n">
        <x:v>8</x:v>
      </x:c>
      <x:c r="B39" s="23" t="str">
        <x:v>周二</x:v>
      </x:c>
      <x:c r="C39" s="23" t="str">
        <x:v>2月20日</x:v>
      </x:c>
      <x:c r="D39" s="24" t="n">
        <x:v>4922.2</x:v>
      </x:c>
      <x:c r="E39" s="24" t="n">
        <x:v>5030.2</x:v>
      </x:c>
      <x:c r="F39" s="24" t="n">
        <x:v>4872.4</x:v>
      </x:c>
      <x:c r="G39" s="24" t="n">
        <x:v>4989</x:v>
      </x:c>
      <x:c r="H39" s="25" t="n">
        <x:v>0.006943042828886137</x:v>
      </x:c>
      <x:c r="I39" s="24" t="n">
        <x:f>ROUND(E39-F39,1)</x:f>
        <x:v>157.8</x:v>
      </x:c>
      <x:c r="J39" s="23" t="str">
        <x:v>IM2403</x:v>
      </x:c>
    </x:row>
    <x:row r="40">
      <x:c r="A40" s="23" t="n">
        <x:v>9</x:v>
      </x:c>
      <x:c r="B40" s="23" t="str">
        <x:v>周三</x:v>
      </x:c>
      <x:c r="C40" s="23" t="str">
        <x:v>2月21日</x:v>
      </x:c>
      <x:c r="D40" s="24" t="n">
        <x:v>4950.8</x:v>
      </x:c>
      <x:c r="E40" s="24" t="n">
        <x:v>5215</x:v>
      </x:c>
      <x:c r="F40" s="24" t="n">
        <x:v>4940.4</x:v>
      </x:c>
      <x:c r="G40" s="24" t="n">
        <x:v>5001.4</x:v>
      </x:c>
      <x:c r="H40" s="25" t="n">
        <x:v>0.0024854680296650944</x:v>
      </x:c>
      <x:c r="I40" s="33" t="n">
        <x:f>ROUND(E40-F40,1)</x:f>
        <x:v>274.6</x:v>
      </x:c>
      <x:c r="J40" s="23" t="str">
        <x:v>IM2403</x:v>
      </x:c>
    </x:row>
    <x:row r="41">
      <x:c r="A41" s="23" t="n">
        <x:v>10</x:v>
      </x:c>
      <x:c r="B41" s="23" t="str">
        <x:v>周四</x:v>
      </x:c>
      <x:c r="C41" s="23" t="str">
        <x:v>2月22日</x:v>
      </x:c>
      <x:c r="D41" s="24" t="n">
        <x:v>5031</x:v>
      </x:c>
      <x:c r="E41" s="24" t="n">
        <x:v>5137.6</x:v>
      </x:c>
      <x:c r="F41" s="24" t="n">
        <x:v>5016.2</x:v>
      </x:c>
      <x:c r="G41" s="24" t="n">
        <x:v>5122.4</x:v>
      </x:c>
      <x:c r="H41" s="25" t="n">
        <x:v>0.024193225896748993</x:v>
      </x:c>
      <x:c r="I41" s="24" t="n">
        <x:f>ROUND(E41-F41,1)</x:f>
        <x:v>121.4</x:v>
      </x:c>
      <x:c r="J41" s="23" t="str">
        <x:v>IM2403</x:v>
      </x:c>
    </x:row>
    <x:row r="42">
      <x:c r="A42" s="23" t="n">
        <x:v>11</x:v>
      </x:c>
      <x:c r="B42" s="23" t="str">
        <x:v>周五</x:v>
      </x:c>
      <x:c r="C42" s="23" t="str">
        <x:v>2月23日</x:v>
      </x:c>
      <x:c r="D42" s="24" t="n">
        <x:v>5150</x:v>
      </x:c>
      <x:c r="E42" s="24" t="n">
        <x:v>5218</x:v>
      </x:c>
      <x:c r="F42" s="24" t="n">
        <x:v>5066.6</x:v>
      </x:c>
      <x:c r="G42" s="24" t="n">
        <x:v>5217</x:v>
      </x:c>
      <x:c r="H42" s="25" t="n">
        <x:v>0.018467905669217632</x:v>
      </x:c>
      <x:c r="I42" s="24" t="n">
        <x:f>ROUND(E42-F42,1)</x:f>
        <x:v>151.4</x:v>
      </x:c>
      <x:c r="J42" s="23" t="str">
        <x:v>IM2403</x:v>
      </x:c>
    </x:row>
    <x:row r="43">
      <x:c r="A43" s="23" t="n">
        <x:v>12</x:v>
      </x:c>
      <x:c r="B43" s="23" t="str">
        <x:v>周一</x:v>
      </x:c>
      <x:c r="C43" s="23" t="str">
        <x:v>2月26日</x:v>
      </x:c>
      <x:c r="D43" s="24" t="n">
        <x:v>5217</x:v>
      </x:c>
      <x:c r="E43" s="24" t="n">
        <x:v>5305.2</x:v>
      </x:c>
      <x:c r="F43" s="24" t="n">
        <x:v>5163.2</x:v>
      </x:c>
      <x:c r="G43" s="24" t="n">
        <x:v>5215</x:v>
      </x:c>
      <x:c r="H43" s="25" t="n">
        <x:v>-0.0003833620854897246</x:v>
      </x:c>
      <x:c r="I43" s="24" t="n">
        <x:f>ROUND(E43-F43,1)</x:f>
        <x:v>142</x:v>
      </x:c>
      <x:c r="J43" s="23" t="str">
        <x:v>IM2403</x:v>
      </x:c>
    </x:row>
    <x:row r="44">
      <x:c r="A44" s="23" t="n">
        <x:v>13</x:v>
      </x:c>
      <x:c r="B44" s="23" t="str">
        <x:v>周二</x:v>
      </x:c>
      <x:c r="C44" s="23" t="str">
        <x:v>2月27日</x:v>
      </x:c>
      <x:c r="D44" s="24" t="n">
        <x:v>5188</x:v>
      </x:c>
      <x:c r="E44" s="24" t="n">
        <x:v>5391.8</x:v>
      </x:c>
      <x:c r="F44" s="24" t="n">
        <x:v>5181.2</x:v>
      </x:c>
      <x:c r="G44" s="24" t="n">
        <x:v>5386</x:v>
      </x:c>
      <x:c r="H44" s="25" t="n">
        <x:v>0.03279002876318304</x:v>
      </x:c>
      <x:c r="I44" s="33" t="n">
        <x:f>ROUND(E44-F44,1)</x:f>
        <x:v>210.6</x:v>
      </x:c>
      <x:c r="J44" s="23" t="str">
        <x:v>IM2403</x:v>
      </x:c>
    </x:row>
    <x:row r="45">
      <x:c r="A45" s="23" t="n">
        <x:v>14</x:v>
      </x:c>
      <x:c r="B45" s="23" t="str">
        <x:v>周三</x:v>
      </x:c>
      <x:c r="C45" s="23" t="str">
        <x:v>2月28日</x:v>
      </x:c>
      <x:c r="D45" s="24" t="n">
        <x:v>5400</x:v>
      </x:c>
      <x:c r="E45" s="24" t="n">
        <x:v>5464</x:v>
      </x:c>
      <x:c r="F45" s="24" t="n">
        <x:v>5100</x:v>
      </x:c>
      <x:c r="G45" s="24" t="n">
        <x:v>5117.6</x:v>
      </x:c>
      <x:c r="H45" s="25" t="n">
        <x:v>-0.04983290011139985</x:v>
      </x:c>
      <x:c r="I45" s="33" t="n">
        <x:f>ROUND(E45-F45,1)</x:f>
        <x:v>364</x:v>
      </x:c>
      <x:c r="J45" s="23" t="str">
        <x:v>IM2403</x:v>
      </x:c>
    </x:row>
    <x:row r="46">
      <x:c r="A46" s="23" t="n">
        <x:v>15</x:v>
      </x:c>
      <x:c r="B46" s="23" t="str">
        <x:v>周四</x:v>
      </x:c>
      <x:c r="C46" s="23" t="str">
        <x:v>2月29日</x:v>
      </x:c>
      <x:c r="D46" s="24" t="n">
        <x:v>5108</x:v>
      </x:c>
      <x:c r="E46" s="24" t="n">
        <x:v>5341.2</x:v>
      </x:c>
      <x:c r="F46" s="24" t="n">
        <x:v>5107.6</x:v>
      </x:c>
      <x:c r="G46" s="24" t="n">
        <x:v>5333.8</x:v>
      </x:c>
      <x:c r="H46" s="25" t="n">
        <x:v>0.04224636548382055</x:v>
      </x:c>
      <x:c r="I46" s="33" t="n">
        <x:f>ROUND(E46-F46,1)</x:f>
        <x:v>233.6</x:v>
      </x:c>
      <x:c r="J46" s="23" t="str">
        <x:v>IM2403</x:v>
      </x:c>
    </x:row>
    <x:row r="47">
      <x:c r="A47" s="36" t="str">
        <x:v>合计</x:v>
      </x:c>
      <x:c r="B47" s="35" t="n">
        <x:v>15</x:v>
      </x:c>
      <x:c r="C47" s="35"/>
      <x:c r="D47" s="35"/>
      <x:c r="E47" s="35"/>
      <x:c r="F47" s="35"/>
      <x:c r="G47" s="35"/>
      <x:c r="H47" s="35"/>
      <x:c r="I47" s="37" t="n">
        <x:f>ROUND(SUM(I32:I46),1)</x:f>
        <x:v>4116.8</x:v>
      </x:c>
      <x:c r="J47" s="35"/>
    </x:row>
    <x:row r="48">
      <x:c r="A48" s="36" t="str">
        <x:v>均值</x:v>
      </x:c>
      <x:c r="B48" s="35"/>
      <x:c r="C48" s="35"/>
      <x:c r="D48" s="35"/>
      <x:c r="E48" s="35"/>
      <x:c r="F48" s="35"/>
      <x:c r="G48" s="35"/>
      <x:c r="H48" s="35"/>
      <x:c r="I48" s="39" t="n">
        <x:f>ROUND(IFERROR(AVERAGE(I32:I46),0),1)</x:f>
        <x:v>274.5</x:v>
      </x:c>
      <x:c r="J48" s="35"/>
    </x:row>
    <x:row r="50">
      <x:c r="A50" s="17" t="str">
        <x:v>3月</x:v>
      </x:c>
      <x:c r="B50" s="17"/>
      <x:c r="C50" s="17"/>
      <x:c r="D50" s="17"/>
      <x:c r="E50" s="17"/>
      <x:c r="F50" s="17"/>
      <x:c r="G50" s="17"/>
      <x:c r="H50" s="17"/>
      <x:c r="I50" s="17"/>
      <x:c r="J50" s="17"/>
    </x:row>
    <x:row r="51">
      <x:c r="A51" s="20" t="str">
        <x:v>序号</x:v>
      </x:c>
      <x:c r="B51" s="20" t="str">
        <x:v>星期</x:v>
      </x:c>
      <x:c r="C51" s="20" t="str">
        <x:v>日期</x:v>
      </x:c>
      <x:c r="D51" s="20" t="str">
        <x:v>开盘</x:v>
      </x:c>
      <x:c r="E51" s="20" t="str">
        <x:v>高点</x:v>
      </x:c>
      <x:c r="F51" s="20" t="str">
        <x:v>低点</x:v>
      </x:c>
      <x:c r="G51" s="20" t="str">
        <x:v>收盘</x:v>
      </x:c>
      <x:c r="H51" s="20" t="str">
        <x:v>涨幅</x:v>
      </x:c>
      <x:c r="I51" s="20" t="str">
        <x:v>振幅</x:v>
      </x:c>
      <x:c r="J51" s="20" t="str">
        <x:v>标的</x:v>
      </x:c>
    </x:row>
    <x:row r="52">
      <x:c r="A52" s="23" t="n">
        <x:v>1</x:v>
      </x:c>
      <x:c r="B52" s="23" t="str">
        <x:v>周五</x:v>
      </x:c>
      <x:c r="C52" s="23" t="str">
        <x:v>3月1日</x:v>
      </x:c>
      <x:c r="D52" s="24" t="n">
        <x:v>5335</x:v>
      </x:c>
      <x:c r="E52" s="24" t="n">
        <x:v>5401.8</x:v>
      </x:c>
      <x:c r="F52" s="24" t="n">
        <x:v>5287.6</x:v>
      </x:c>
      <x:c r="G52" s="24" t="n">
        <x:v>5392</x:v>
      </x:c>
      <x:c r="H52" s="25" t="n">
        <x:v>0.010911545239791431</x:v>
      </x:c>
      <x:c r="I52" s="24" t="n">
        <x:f>ROUND(E52-F52,1)</x:f>
        <x:v>114.2</x:v>
      </x:c>
      <x:c r="J52" s="23" t="str">
        <x:v>IM2403</x:v>
      </x:c>
    </x:row>
    <x:row r="53">
      <x:c r="A53" s="23" t="n">
        <x:v>2</x:v>
      </x:c>
      <x:c r="B53" s="23" t="str">
        <x:v>周一</x:v>
      </x:c>
      <x:c r="C53" s="23" t="str">
        <x:v>3月4日</x:v>
      </x:c>
      <x:c r="D53" s="24" t="n">
        <x:v>5400</x:v>
      </x:c>
      <x:c r="E53" s="24" t="n">
        <x:v>5418.6</x:v>
      </x:c>
      <x:c r="F53" s="24" t="n">
        <x:v>5289</x:v>
      </x:c>
      <x:c r="G53" s="24" t="n">
        <x:v>5383.4</x:v>
      </x:c>
      <x:c r="H53" s="25" t="n">
        <x:v>-0.0015949554896143026</x:v>
      </x:c>
      <x:c r="I53" s="24" t="n">
        <x:f>ROUND(E53-F53,1)</x:f>
        <x:v>129.6</x:v>
      </x:c>
      <x:c r="J53" s="23" t="str">
        <x:v>IM2403</x:v>
      </x:c>
    </x:row>
    <x:row r="54">
      <x:c r="A54" s="23" t="n">
        <x:v>3</x:v>
      </x:c>
      <x:c r="B54" s="23" t="str">
        <x:v>周二</x:v>
      </x:c>
      <x:c r="C54" s="23" t="str">
        <x:v>3月5日</x:v>
      </x:c>
      <x:c r="D54" s="24" t="n">
        <x:v>5348</x:v>
      </x:c>
      <x:c r="E54" s="24" t="n">
        <x:v>5367.8</x:v>
      </x:c>
      <x:c r="F54" s="24" t="n">
        <x:v>5281.2</x:v>
      </x:c>
      <x:c r="G54" s="24" t="n">
        <x:v>5311.4</x:v>
      </x:c>
      <x:c r="H54" s="25" t="n">
        <x:v>-0.01337444737526472</x:v>
      </x:c>
      <x:c r="I54" s="24" t="n">
        <x:f>ROUND(E54-F54,1)</x:f>
        <x:v>86.6</x:v>
      </x:c>
      <x:c r="J54" s="23" t="str">
        <x:v>IM2403</x:v>
      </x:c>
    </x:row>
    <x:row r="55">
      <x:c r="A55" s="23" t="n">
        <x:v>4</x:v>
      </x:c>
      <x:c r="B55" s="23" t="str">
        <x:v>周三</x:v>
      </x:c>
      <x:c r="C55" s="23" t="str">
        <x:v>3月6日</x:v>
      </x:c>
      <x:c r="D55" s="24" t="n">
        <x:v>5300.2</x:v>
      </x:c>
      <x:c r="E55" s="24" t="n">
        <x:v>5418</x:v>
      </x:c>
      <x:c r="F55" s="24" t="n">
        <x:v>5280.6</x:v>
      </x:c>
      <x:c r="G55" s="24" t="n">
        <x:v>5345</x:v>
      </x:c>
      <x:c r="H55" s="25" t="n">
        <x:v>0.006326015739729796</x:v>
      </x:c>
      <x:c r="I55" s="24" t="n">
        <x:f>ROUND(E55-F55,1)</x:f>
        <x:v>137.4</x:v>
      </x:c>
      <x:c r="J55" s="23" t="str">
        <x:v>IM2403</x:v>
      </x:c>
    </x:row>
    <x:row r="56">
      <x:c r="A56" s="23" t="n">
        <x:v>5</x:v>
      </x:c>
      <x:c r="B56" s="23" t="str">
        <x:v>周四</x:v>
      </x:c>
      <x:c r="C56" s="23" t="str">
        <x:v>3月7日</x:v>
      </x:c>
      <x:c r="D56" s="24" t="n">
        <x:v>5358.2</x:v>
      </x:c>
      <x:c r="E56" s="24" t="n">
        <x:v>5418</x:v>
      </x:c>
      <x:c r="F56" s="24" t="n">
        <x:v>5268</x:v>
      </x:c>
      <x:c r="G56" s="24" t="n">
        <x:v>5277</x:v>
      </x:c>
      <x:c r="H56" s="25" t="n">
        <x:v>-0.012722170252572496</x:v>
      </x:c>
      <x:c r="I56" s="24" t="n">
        <x:f>ROUND(E56-F56,1)</x:f>
        <x:v>150</x:v>
      </x:c>
      <x:c r="J56" s="23" t="str">
        <x:v>IM2403</x:v>
      </x:c>
    </x:row>
    <x:row r="57">
      <x:c r="A57" s="23" t="n">
        <x:v>6</x:v>
      </x:c>
      <x:c r="B57" s="23" t="str">
        <x:v>周五</x:v>
      </x:c>
      <x:c r="C57" s="23" t="str">
        <x:v>3月8日</x:v>
      </x:c>
      <x:c r="D57" s="24" t="n">
        <x:v>5300.2</x:v>
      </x:c>
      <x:c r="E57" s="24" t="n">
        <x:v>5381</x:v>
      </x:c>
      <x:c r="F57" s="24" t="n">
        <x:v>5255.8</x:v>
      </x:c>
      <x:c r="G57" s="24" t="n">
        <x:v>5348</x:v>
      </x:c>
      <x:c r="H57" s="25" t="n">
        <x:v>0.013454614364222017</x:v>
      </x:c>
      <x:c r="I57" s="24" t="n">
        <x:f>ROUND(E57-F57,1)</x:f>
        <x:v>125.2</x:v>
      </x:c>
      <x:c r="J57" s="23" t="str">
        <x:v>IM2403</x:v>
      </x:c>
    </x:row>
    <x:row r="58">
      <x:c r="A58" s="23" t="n">
        <x:v>7</x:v>
      </x:c>
      <x:c r="B58" s="23" t="str">
        <x:v>周一</x:v>
      </x:c>
      <x:c r="C58" s="23" t="str">
        <x:v>3月11日</x:v>
      </x:c>
      <x:c r="D58" s="24" t="n">
        <x:v>5330</x:v>
      </x:c>
      <x:c r="E58" s="24" t="n">
        <x:v>5463.4</x:v>
      </x:c>
      <x:c r="F58" s="24" t="n">
        <x:v>5319.8</x:v>
      </x:c>
      <x:c r="G58" s="24" t="n">
        <x:v>5463</x:v>
      </x:c>
      <x:c r="H58" s="25" t="n">
        <x:v>0.021503365744203418</x:v>
      </x:c>
      <x:c r="I58" s="24" t="n">
        <x:f>ROUND(E58-F58,1)</x:f>
        <x:v>143.6</x:v>
      </x:c>
      <x:c r="J58" s="23" t="str">
        <x:v>IM2403</x:v>
      </x:c>
    </x:row>
    <x:row r="59">
      <x:c r="A59" s="23" t="n">
        <x:v>8</x:v>
      </x:c>
      <x:c r="B59" s="23" t="str">
        <x:v>周二</x:v>
      </x:c>
      <x:c r="C59" s="23" t="str">
        <x:v>3月12日</x:v>
      </x:c>
      <x:c r="D59" s="24" t="n">
        <x:v>5479.4</x:v>
      </x:c>
      <x:c r="E59" s="24" t="n">
        <x:v>5526</x:v>
      </x:c>
      <x:c r="F59" s="24" t="n">
        <x:v>5428</x:v>
      </x:c>
      <x:c r="G59" s="24" t="n">
        <x:v>5488.2</x:v>
      </x:c>
      <x:c r="H59" s="25" t="n">
        <x:v>0.004612850082372333</x:v>
      </x:c>
      <x:c r="I59" s="24" t="n">
        <x:f>ROUND(E59-F59,1)</x:f>
        <x:v>98</x:v>
      </x:c>
      <x:c r="J59" s="23" t="str">
        <x:v>IM2403</x:v>
      </x:c>
    </x:row>
    <x:row r="60">
      <x:c r="A60" s="23" t="n">
        <x:v>9</x:v>
      </x:c>
      <x:c r="B60" s="23" t="str">
        <x:v>周三</x:v>
      </x:c>
      <x:c r="C60" s="23" t="str">
        <x:v>3月13日</x:v>
      </x:c>
      <x:c r="D60" s="24" t="n">
        <x:v>5494.8</x:v>
      </x:c>
      <x:c r="E60" s="24" t="n">
        <x:v>5568</x:v>
      </x:c>
      <x:c r="F60" s="24" t="n">
        <x:v>5465</x:v>
      </x:c>
      <x:c r="G60" s="24" t="n">
        <x:v>5517.4</x:v>
      </x:c>
      <x:c r="H60" s="25" t="n">
        <x:v>0.005320505812470344</x:v>
      </x:c>
      <x:c r="I60" s="24" t="n">
        <x:f>ROUND(E60-F60,1)</x:f>
        <x:v>103</x:v>
      </x:c>
      <x:c r="J60" s="23" t="str">
        <x:v>IM2403</x:v>
      </x:c>
    </x:row>
    <x:row r="61">
      <x:c r="A61" s="23" t="n">
        <x:v>10</x:v>
      </x:c>
      <x:c r="B61" s="23" t="str">
        <x:v>周四</x:v>
      </x:c>
      <x:c r="C61" s="23" t="str">
        <x:v>3月14日</x:v>
      </x:c>
      <x:c r="D61" s="24" t="n">
        <x:v>5510</x:v>
      </x:c>
      <x:c r="E61" s="24" t="n">
        <x:v>5545</x:v>
      </x:c>
      <x:c r="F61" s="24" t="n">
        <x:v>5431</x:v>
      </x:c>
      <x:c r="G61" s="24" t="n">
        <x:v>5487</x:v>
      </x:c>
      <x:c r="H61" s="25" t="n">
        <x:v>-0.005509841592054143</x:v>
      </x:c>
      <x:c r="I61" s="24" t="n">
        <x:f>ROUND(E61-F61,1)</x:f>
        <x:v>114</x:v>
      </x:c>
      <x:c r="J61" s="23" t="str">
        <x:v>IM2403</x:v>
      </x:c>
    </x:row>
    <x:row r="62">
      <x:c r="A62" s="29" t="n">
        <x:v>11</x:v>
      </x:c>
      <x:c r="B62" s="29" t="str">
        <x:v>周五</x:v>
      </x:c>
      <x:c r="C62" s="29" t="str">
        <x:v>3月15日</x:v>
      </x:c>
      <x:c r="D62" s="30" t="n">
        <x:v>5473.6</x:v>
      </x:c>
      <x:c r="E62" s="30" t="n">
        <x:v>5514.6</x:v>
      </x:c>
      <x:c r="F62" s="30" t="n">
        <x:v>5457</x:v>
      </x:c>
      <x:c r="G62" s="30" t="n">
        <x:v>5511</x:v>
      </x:c>
      <x:c r="H62" s="31" t="n">
        <x:v>0.004373974849644524</x:v>
      </x:c>
      <x:c r="I62" s="30" t="n">
        <x:f>ROUND(E62-F62,1)</x:f>
        <x:v>57.6</x:v>
      </x:c>
      <x:c r="J62" s="29" t="str">
        <x:v>IM2403</x:v>
      </x:c>
    </x:row>
    <x:row r="63">
      <x:c r="A63" s="23" t="n">
        <x:v>12</x:v>
      </x:c>
      <x:c r="B63" s="23" t="str">
        <x:v>周一</x:v>
      </x:c>
      <x:c r="C63" s="23" t="str">
        <x:v>3月18日</x:v>
      </x:c>
      <x:c r="D63" s="24" t="n">
        <x:v>5460</x:v>
      </x:c>
      <x:c r="E63" s="24" t="n">
        <x:v>5553.6</x:v>
      </x:c>
      <x:c r="F63" s="24" t="n">
        <x:v>5415.4</x:v>
      </x:c>
      <x:c r="G63" s="24" t="n">
        <x:v>5550.8</x:v>
      </x:c>
      <x:c r="H63" s="25" t="n">
        <x:v>0.02333514788604618</x:v>
      </x:c>
      <x:c r="I63" s="24" t="n">
        <x:f>ROUND(E63-F63,1)</x:f>
        <x:v>138.2</x:v>
      </x:c>
      <x:c r="J63" s="23" t="str">
        <x:v>IM2406</x:v>
      </x:c>
    </x:row>
    <x:row r="64">
      <x:c r="A64" s="23" t="n">
        <x:v>13</x:v>
      </x:c>
      <x:c r="B64" s="23" t="str">
        <x:v>周二</x:v>
      </x:c>
      <x:c r="C64" s="23" t="str">
        <x:v>3月19日</x:v>
      </x:c>
      <x:c r="D64" s="24" t="n">
        <x:v>5528.8</x:v>
      </x:c>
      <x:c r="E64" s="24" t="n">
        <x:v>5551.8</x:v>
      </x:c>
      <x:c r="F64" s="24" t="n">
        <x:v>5483.2</x:v>
      </x:c>
      <x:c r="G64" s="24" t="n">
        <x:v>5495.2</x:v>
      </x:c>
      <x:c r="H64" s="25" t="n">
        <x:v>-0.010284417334562757</x:v>
      </x:c>
      <x:c r="I64" s="24" t="n">
        <x:f>ROUND(E64-F64,1)</x:f>
        <x:v>68.6</x:v>
      </x:c>
      <x:c r="J64" s="23" t="str">
        <x:v>IM2406</x:v>
      </x:c>
    </x:row>
    <x:row r="65">
      <x:c r="A65" s="23" t="n">
        <x:v>14</x:v>
      </x:c>
      <x:c r="B65" s="23" t="str">
        <x:v>周三</x:v>
      </x:c>
      <x:c r="C65" s="23" t="str">
        <x:v>3月20日</x:v>
      </x:c>
      <x:c r="D65" s="24" t="n">
        <x:v>5500.2</x:v>
      </x:c>
      <x:c r="E65" s="24" t="n">
        <x:v>5559.8</x:v>
      </x:c>
      <x:c r="F65" s="24" t="n">
        <x:v>5482</x:v>
      </x:c>
      <x:c r="G65" s="24" t="n">
        <x:v>5539</x:v>
      </x:c>
      <x:c r="H65" s="25" t="n">
        <x:v>0.008492188619750651</x:v>
      </x:c>
      <x:c r="I65" s="24" t="n">
        <x:f>ROUND(E65-F65,1)</x:f>
        <x:v>77.8</x:v>
      </x:c>
      <x:c r="J65" s="23" t="str">
        <x:v>IM2406</x:v>
      </x:c>
    </x:row>
    <x:row r="66">
      <x:c r="A66" s="23" t="n">
        <x:v>15</x:v>
      </x:c>
      <x:c r="B66" s="23" t="str">
        <x:v>周四</x:v>
      </x:c>
      <x:c r="C66" s="23" t="str">
        <x:v>3月21日</x:v>
      </x:c>
      <x:c r="D66" s="24" t="n">
        <x:v>5562.2</x:v>
      </x:c>
      <x:c r="E66" s="24" t="n">
        <x:v>5587.8</x:v>
      </x:c>
      <x:c r="F66" s="24" t="n">
        <x:v>5508.2</x:v>
      </x:c>
      <x:c r="G66" s="24" t="n">
        <x:v>5540</x:v>
      </x:c>
      <x:c r="H66" s="25" t="n">
        <x:v>-0.0003553028957186122</x:v>
      </x:c>
      <x:c r="I66" s="24" t="n">
        <x:f>ROUND(E66-F66,1)</x:f>
        <x:v>79.6</x:v>
      </x:c>
      <x:c r="J66" s="23" t="str">
        <x:v>IM2406</x:v>
      </x:c>
    </x:row>
    <x:row r="67">
      <x:c r="A67" s="23" t="n">
        <x:v>16</x:v>
      </x:c>
      <x:c r="B67" s="23" t="str">
        <x:v>周五</x:v>
      </x:c>
      <x:c r="C67" s="23" t="str">
        <x:v>3月22日</x:v>
      </x:c>
      <x:c r="D67" s="24" t="n">
        <x:v>5533</x:v>
      </x:c>
      <x:c r="E67" s="24" t="n">
        <x:v>5542</x:v>
      </x:c>
      <x:c r="F67" s="24" t="n">
        <x:v>5428</x:v>
      </x:c>
      <x:c r="G67" s="24" t="n">
        <x:v>5466.6</x:v>
      </x:c>
      <x:c r="H67" s="25" t="n">
        <x:v>-0.012120135063088622</x:v>
      </x:c>
      <x:c r="I67" s="24" t="n">
        <x:f>ROUND(E67-F67,1)</x:f>
        <x:v>114</x:v>
      </x:c>
      <x:c r="J67" s="23" t="str">
        <x:v>IM2406</x:v>
      </x:c>
    </x:row>
    <x:row r="68">
      <x:c r="A68" s="23" t="n">
        <x:v>17</x:v>
      </x:c>
      <x:c r="B68" s="23" t="str">
        <x:v>周一</x:v>
      </x:c>
      <x:c r="C68" s="23" t="str">
        <x:v>3月25日</x:v>
      </x:c>
      <x:c r="D68" s="24" t="n">
        <x:v>5452</x:v>
      </x:c>
      <x:c r="E68" s="24" t="n">
        <x:v>5481.6</x:v>
      </x:c>
      <x:c r="F68" s="24" t="n">
        <x:v>5325.2</x:v>
      </x:c>
      <x:c r="G68" s="24" t="n">
        <x:v>5337</x:v>
      </x:c>
      <x:c r="H68" s="25" t="n">
        <x:v>-0.02219903576311444</x:v>
      </x:c>
      <x:c r="I68" s="24" t="n">
        <x:f>ROUND(E68-F68,1)</x:f>
        <x:v>156.4</x:v>
      </x:c>
      <x:c r="J68" s="23" t="str">
        <x:v>IM2406</x:v>
      </x:c>
    </x:row>
    <x:row r="69">
      <x:c r="A69" s="23" t="n">
        <x:v>18</x:v>
      </x:c>
      <x:c r="B69" s="23" t="str">
        <x:v>周二</x:v>
      </x:c>
      <x:c r="C69" s="23" t="str">
        <x:v>3月26日</x:v>
      </x:c>
      <x:c r="D69" s="24" t="n">
        <x:v>5350</x:v>
      </x:c>
      <x:c r="E69" s="24" t="n">
        <x:v>5371.8</x:v>
      </x:c>
      <x:c r="F69" s="24" t="n">
        <x:v>5270.4</x:v>
      </x:c>
      <x:c r="G69" s="24" t="n">
        <x:v>5304.2</x:v>
      </x:c>
      <x:c r="H69" s="25" t="n">
        <x:v>-0.006328881039113887</x:v>
      </x:c>
      <x:c r="I69" s="24" t="n">
        <x:f>ROUND(E69-F69,1)</x:f>
        <x:v>101.4</x:v>
      </x:c>
      <x:c r="J69" s="23" t="str">
        <x:v>IM2406</x:v>
      </x:c>
    </x:row>
    <x:row r="70">
      <x:c r="A70" s="23" t="n">
        <x:v>19</x:v>
      </x:c>
      <x:c r="B70" s="23" t="str">
        <x:v>周三</x:v>
      </x:c>
      <x:c r="C70" s="23" t="str">
        <x:v>3月27日</x:v>
      </x:c>
      <x:c r="D70" s="24" t="n">
        <x:v>5302</x:v>
      </x:c>
      <x:c r="E70" s="24" t="n">
        <x:v>5305.2</x:v>
      </x:c>
      <x:c r="F70" s="24" t="n">
        <x:v>5116</x:v>
      </x:c>
      <x:c r="G70" s="24" t="n">
        <x:v>5121.4</x:v>
      </x:c>
      <x:c r="H70" s="25" t="n">
        <x:v>-0.034104795408257726</x:v>
      </x:c>
      <x:c r="I70" s="24" t="n">
        <x:f>ROUND(E70-F70,1)</x:f>
        <x:v>189.2</x:v>
      </x:c>
      <x:c r="J70" s="23" t="str">
        <x:v>IM2406</x:v>
      </x:c>
    </x:row>
    <x:row r="71">
      <x:c r="A71" s="23" t="n">
        <x:v>20</x:v>
      </x:c>
      <x:c r="B71" s="23" t="str">
        <x:v>周四</x:v>
      </x:c>
      <x:c r="C71" s="23" t="str">
        <x:v>3月28日</x:v>
      </x:c>
      <x:c r="D71" s="24" t="n">
        <x:v>5132</x:v>
      </x:c>
      <x:c r="E71" s="24" t="n">
        <x:v>5310</x:v>
      </x:c>
      <x:c r="F71" s="24" t="n">
        <x:v>5131.4</x:v>
      </x:c>
      <x:c r="G71" s="24" t="n">
        <x:v>5249</x:v>
      </x:c>
      <x:c r="H71" s="25" t="n">
        <x:v>0.02545621837141554</x:v>
      </x:c>
      <x:c r="I71" s="24" t="n">
        <x:f>ROUND(E71-F71,1)</x:f>
        <x:v>178.6</x:v>
      </x:c>
      <x:c r="J71" s="23" t="str">
        <x:v>IM2406</x:v>
      </x:c>
    </x:row>
    <x:row r="72">
      <x:c r="A72" s="23" t="n">
        <x:v>21</x:v>
      </x:c>
      <x:c r="B72" s="23" t="str">
        <x:v>周五</x:v>
      </x:c>
      <x:c r="C72" s="23" t="str">
        <x:v>3月29日</x:v>
      </x:c>
      <x:c r="D72" s="24" t="n">
        <x:v>5255</x:v>
      </x:c>
      <x:c r="E72" s="24" t="n">
        <x:v>5319</x:v>
      </x:c>
      <x:c r="F72" s="24" t="n">
        <x:v>5197.6</x:v>
      </x:c>
      <x:c r="G72" s="24" t="n">
        <x:v>5308</x:v>
      </x:c>
      <x:c r="H72" s="25" t="n">
        <x:v>0.01166442350829966</x:v>
      </x:c>
      <x:c r="I72" s="24" t="n">
        <x:f>ROUND(E72-F72,1)</x:f>
        <x:v>121.4</x:v>
      </x:c>
      <x:c r="J72" s="23" t="str">
        <x:v>IM2406</x:v>
      </x:c>
    </x:row>
    <x:row r="73">
      <x:c r="A73" s="36" t="str">
        <x:v>合计</x:v>
      </x:c>
      <x:c r="B73" s="35" t="n">
        <x:v>21</x:v>
      </x:c>
      <x:c r="C73" s="35"/>
      <x:c r="D73" s="35"/>
      <x:c r="E73" s="35"/>
      <x:c r="F73" s="35"/>
      <x:c r="G73" s="35"/>
      <x:c r="H73" s="35"/>
      <x:c r="I73" s="37" t="n">
        <x:f>ROUND(SUM(I52:I72),1)</x:f>
        <x:v>2484.4</x:v>
      </x:c>
      <x:c r="J73" s="35"/>
    </x:row>
    <x:row r="74">
      <x:c r="A74" s="36" t="str">
        <x:v>均值</x:v>
      </x:c>
      <x:c r="B74" s="35"/>
      <x:c r="C74" s="35"/>
      <x:c r="D74" s="35"/>
      <x:c r="E74" s="35"/>
      <x:c r="F74" s="35"/>
      <x:c r="G74" s="35"/>
      <x:c r="H74" s="35"/>
      <x:c r="I74" s="39" t="n">
        <x:f>ROUND(IFERROR(AVERAGE(I52:I72),0),1)</x:f>
        <x:v>118.3</x:v>
      </x:c>
      <x:c r="J74" s="35"/>
    </x:row>
    <x:row r="76">
      <x:c r="A76" s="17" t="str">
        <x:v>4月</x:v>
      </x:c>
      <x:c r="B76" s="17"/>
      <x:c r="C76" s="17"/>
      <x:c r="D76" s="17"/>
      <x:c r="E76" s="17"/>
      <x:c r="F76" s="17"/>
      <x:c r="G76" s="17"/>
      <x:c r="H76" s="17"/>
      <x:c r="I76" s="17"/>
      <x:c r="J76" s="17"/>
    </x:row>
    <x:row r="77">
      <x:c r="A77" s="20" t="str">
        <x:v>序号</x:v>
      </x:c>
      <x:c r="B77" s="20" t="str">
        <x:v>星期</x:v>
      </x:c>
      <x:c r="C77" s="20" t="str">
        <x:v>日期</x:v>
      </x:c>
      <x:c r="D77" s="20" t="str">
        <x:v>开盘</x:v>
      </x:c>
      <x:c r="E77" s="20" t="str">
        <x:v>高点</x:v>
      </x:c>
      <x:c r="F77" s="20" t="str">
        <x:v>低点</x:v>
      </x:c>
      <x:c r="G77" s="20" t="str">
        <x:v>收盘</x:v>
      </x:c>
      <x:c r="H77" s="20" t="str">
        <x:v>涨幅</x:v>
      </x:c>
      <x:c r="I77" s="20" t="str">
        <x:v>振幅</x:v>
      </x:c>
      <x:c r="J77" s="20" t="str">
        <x:v>标的</x:v>
      </x:c>
    </x:row>
    <x:row r="78">
      <x:c r="A78" s="23" t="n">
        <x:v>1</x:v>
      </x:c>
      <x:c r="B78" s="23" t="str">
        <x:v>周一</x:v>
      </x:c>
      <x:c r="C78" s="23" t="str">
        <x:v>4月1日</x:v>
      </x:c>
      <x:c r="D78" s="24" t="n">
        <x:v>5330</x:v>
      </x:c>
      <x:c r="E78" s="24" t="n">
        <x:v>5462.4</x:v>
      </x:c>
      <x:c r="F78" s="24" t="n">
        <x:v>5330</x:v>
      </x:c>
      <x:c r="G78" s="24" t="n">
        <x:v>5446.2</x:v>
      </x:c>
      <x:c r="H78" s="25" t="n">
        <x:v>0.02394678492239466</x:v>
      </x:c>
      <x:c r="I78" s="24" t="n">
        <x:f>ROUND(E78-F78,1)</x:f>
        <x:v>132.4</x:v>
      </x:c>
      <x:c r="J78" s="23" t="str">
        <x:v>IM2406</x:v>
      </x:c>
    </x:row>
    <x:row r="79">
      <x:c r="A79" s="23" t="n">
        <x:v>2</x:v>
      </x:c>
      <x:c r="B79" s="23" t="str">
        <x:v>周二</x:v>
      </x:c>
      <x:c r="C79" s="23" t="str">
        <x:v>4月2日</x:v>
      </x:c>
      <x:c r="D79" s="24" t="n">
        <x:v>5452</x:v>
      </x:c>
      <x:c r="E79" s="24" t="n">
        <x:v>5452</x:v>
      </x:c>
      <x:c r="F79" s="24" t="n">
        <x:v>5367</x:v>
      </x:c>
      <x:c r="G79" s="24" t="n">
        <x:v>5414.2</x:v>
      </x:c>
      <x:c r="H79" s="25" t="n">
        <x:v>-0.0063158654540205195</x:v>
      </x:c>
      <x:c r="I79" s="24" t="n">
        <x:f>ROUND(E79-F79,1)</x:f>
        <x:v>85</x:v>
      </x:c>
      <x:c r="J79" s="23" t="str">
        <x:v>IM2406</x:v>
      </x:c>
    </x:row>
    <x:row r="80">
      <x:c r="A80" s="23" t="n">
        <x:v>3</x:v>
      </x:c>
      <x:c r="B80" s="23" t="str">
        <x:v>周三</x:v>
      </x:c>
      <x:c r="C80" s="23" t="str">
        <x:v>4月3日</x:v>
      </x:c>
      <x:c r="D80" s="24" t="n">
        <x:v>5404.8</x:v>
      </x:c>
      <x:c r="E80" s="24" t="n">
        <x:v>5410.4</x:v>
      </x:c>
      <x:c r="F80" s="24" t="n">
        <x:v>5325.8</x:v>
      </x:c>
      <x:c r="G80" s="24" t="n">
        <x:v>5374.4</x:v>
      </x:c>
      <x:c r="H80" s="25" t="n">
        <x:v>-0.005738568263538357</x:v>
      </x:c>
      <x:c r="I80" s="24" t="n">
        <x:f>ROUND(E80-F80,1)</x:f>
        <x:v>84.6</x:v>
      </x:c>
      <x:c r="J80" s="23" t="str">
        <x:v>IM2406</x:v>
      </x:c>
    </x:row>
    <x:row r="81">
      <x:c r="A81" s="23" t="n">
        <x:v>4</x:v>
      </x:c>
      <x:c r="B81" s="23" t="str">
        <x:v>周一</x:v>
      </x:c>
      <x:c r="C81" s="23" t="str">
        <x:v>4月8日</x:v>
      </x:c>
      <x:c r="D81" s="24" t="n">
        <x:v>5359.6</x:v>
      </x:c>
      <x:c r="E81" s="24" t="n">
        <x:v>5359.8</x:v>
      </x:c>
      <x:c r="F81" s="24" t="n">
        <x:v>5236.4</x:v>
      </x:c>
      <x:c r="G81" s="24" t="n">
        <x:v>5241.8</x:v>
      </x:c>
      <x:c r="H81" s="25" t="n">
        <x:v>-0.02312328767123295</x:v>
      </x:c>
      <x:c r="I81" s="24" t="n">
        <x:f>ROUND(E81-F81,1)</x:f>
        <x:v>123.4</x:v>
      </x:c>
      <x:c r="J81" s="23" t="str">
        <x:v>IM2406</x:v>
      </x:c>
    </x:row>
    <x:row r="82">
      <x:c r="A82" s="23" t="n">
        <x:v>5</x:v>
      </x:c>
      <x:c r="B82" s="23" t="str">
        <x:v>周二</x:v>
      </x:c>
      <x:c r="C82" s="23" t="str">
        <x:v>4月9日</x:v>
      </x:c>
      <x:c r="D82" s="24" t="n">
        <x:v>5251</x:v>
      </x:c>
      <x:c r="E82" s="24" t="n">
        <x:v>5328.8</x:v>
      </x:c>
      <x:c r="F82" s="24" t="n">
        <x:v>5238.2</x:v>
      </x:c>
      <x:c r="G82" s="24" t="n">
        <x:v>5322.4</x:v>
      </x:c>
      <x:c r="H82" s="25" t="n">
        <x:v>0.015556054147034759</x:v>
      </x:c>
      <x:c r="I82" s="24" t="n">
        <x:f>ROUND(E82-F82,1)</x:f>
        <x:v>90.6</x:v>
      </x:c>
      <x:c r="J82" s="23" t="str">
        <x:v>IM2406</x:v>
      </x:c>
    </x:row>
    <x:row r="83">
      <x:c r="A83" s="23" t="n">
        <x:v>6</x:v>
      </x:c>
      <x:c r="B83" s="23" t="str">
        <x:v>周三</x:v>
      </x:c>
      <x:c r="C83" s="23" t="str">
        <x:v>4月10日</x:v>
      </x:c>
      <x:c r="D83" s="24" t="n">
        <x:v>5306.4</x:v>
      </x:c>
      <x:c r="E83" s="24" t="n">
        <x:v>5314.2</x:v>
      </x:c>
      <x:c r="F83" s="24" t="n">
        <x:v>5176.4</x:v>
      </x:c>
      <x:c r="G83" s="24" t="n">
        <x:v>5218</x:v>
      </x:c>
      <x:c r="H83" s="25" t="n">
        <x:v>-0.018705353855217655</x:v>
      </x:c>
      <x:c r="I83" s="24" t="n">
        <x:f>ROUND(E83-F83,1)</x:f>
        <x:v>137.8</x:v>
      </x:c>
      <x:c r="J83" s="23" t="str">
        <x:v>IM2406</x:v>
      </x:c>
    </x:row>
    <x:row r="84">
      <x:c r="A84" s="23" t="n">
        <x:v>7</x:v>
      </x:c>
      <x:c r="B84" s="23" t="str">
        <x:v>周四</x:v>
      </x:c>
      <x:c r="C84" s="23" t="str">
        <x:v>4月11日</x:v>
      </x:c>
      <x:c r="D84" s="24" t="n">
        <x:v>5190</x:v>
      </x:c>
      <x:c r="E84" s="24" t="n">
        <x:v>5310</x:v>
      </x:c>
      <x:c r="F84" s="24" t="n">
        <x:v>5178</x:v>
      </x:c>
      <x:c r="G84" s="24" t="n">
        <x:v>5235.6</x:v>
      </x:c>
      <x:c r="H84" s="25" t="n">
        <x:v>0.004465290806754174</x:v>
      </x:c>
      <x:c r="I84" s="24" t="n">
        <x:f>ROUND(E84-F84,1)</x:f>
        <x:v>132</x:v>
      </x:c>
      <x:c r="J84" s="23" t="str">
        <x:v>IM2406</x:v>
      </x:c>
    </x:row>
    <x:row r="85">
      <x:c r="A85" s="23" t="n">
        <x:v>8</x:v>
      </x:c>
      <x:c r="B85" s="23" t="str">
        <x:v>周五</x:v>
      </x:c>
      <x:c r="C85" s="23" t="str">
        <x:v>4月12日</x:v>
      </x:c>
      <x:c r="D85" s="24" t="n">
        <x:v>5245.8</x:v>
      </x:c>
      <x:c r="E85" s="24" t="n">
        <x:v>5273.8</x:v>
      </x:c>
      <x:c r="F85" s="24" t="n">
        <x:v>5171.2</x:v>
      </x:c>
      <x:c r="G85" s="24" t="n">
        <x:v>5183.8</x:v>
      </x:c>
      <x:c r="H85" s="25" t="n">
        <x:v>-0.008367888228921538</x:v>
      </x:c>
      <x:c r="I85" s="24" t="n">
        <x:f>ROUND(E85-F85,1)</x:f>
        <x:v>102.6</x:v>
      </x:c>
      <x:c r="J85" s="23" t="str">
        <x:v>IM2406</x:v>
      </x:c>
    </x:row>
    <x:row r="86">
      <x:c r="A86" s="23" t="n">
        <x:v>9</x:v>
      </x:c>
      <x:c r="B86" s="23" t="str">
        <x:v>周一</x:v>
      </x:c>
      <x:c r="C86" s="23" t="str">
        <x:v>4月15日</x:v>
      </x:c>
      <x:c r="D86" s="24" t="n">
        <x:v>5170</x:v>
      </x:c>
      <x:c r="E86" s="24" t="n">
        <x:v>5218.2</x:v>
      </x:c>
      <x:c r="F86" s="24" t="n">
        <x:v>5038.2</x:v>
      </x:c>
      <x:c r="G86" s="24" t="n">
        <x:v>5120</x:v>
      </x:c>
      <x:c r="H86" s="25" t="n">
        <x:v>-0.008702203804859643</x:v>
      </x:c>
      <x:c r="I86" s="24" t="n">
        <x:f>ROUND(E86-F86,1)</x:f>
        <x:v>180</x:v>
      </x:c>
      <x:c r="J86" s="23" t="str">
        <x:v>IM2406</x:v>
      </x:c>
    </x:row>
    <x:row r="87">
      <x:c r="A87" s="23" t="n">
        <x:v>10</x:v>
      </x:c>
      <x:c r="B87" s="23" t="str">
        <x:v>周二</x:v>
      </x:c>
      <x:c r="C87" s="23" t="str">
        <x:v>4月16日</x:v>
      </x:c>
      <x:c r="D87" s="24" t="n">
        <x:v>5097</x:v>
      </x:c>
      <x:c r="E87" s="24" t="n">
        <x:v>5126.2</x:v>
      </x:c>
      <x:c r="F87" s="24" t="n">
        <x:v>4905</x:v>
      </x:c>
      <x:c r="G87" s="24" t="n">
        <x:v>4917.2</x:v>
      </x:c>
      <x:c r="H87" s="25" t="n">
        <x:v>-0.039484684958577265</x:v>
      </x:c>
      <x:c r="I87" s="33" t="n">
        <x:f>ROUND(E87-F87,1)</x:f>
        <x:v>221.2</x:v>
      </x:c>
      <x:c r="J87" s="23" t="str">
        <x:v>IM2406</x:v>
      </x:c>
    </x:row>
    <x:row r="88">
      <x:c r="A88" s="23" t="n">
        <x:v>11</x:v>
      </x:c>
      <x:c r="B88" s="23" t="str">
        <x:v>周三</x:v>
      </x:c>
      <x:c r="C88" s="23" t="str">
        <x:v>4月17日</x:v>
      </x:c>
      <x:c r="D88" s="24" t="n">
        <x:v>4980</x:v>
      </x:c>
      <x:c r="E88" s="24" t="n">
        <x:v>5163</x:v>
      </x:c>
      <x:c r="F88" s="24" t="n">
        <x:v>4980</x:v>
      </x:c>
      <x:c r="G88" s="24" t="n">
        <x:v>5157.4</x:v>
      </x:c>
      <x:c r="H88" s="25" t="n">
        <x:v>0.04633036597428286</x:v>
      </x:c>
      <x:c r="I88" s="24" t="n">
        <x:f>ROUND(E88-F88,1)</x:f>
        <x:v>183</x:v>
      </x:c>
      <x:c r="J88" s="23" t="str">
        <x:v>IM2406</x:v>
      </x:c>
    </x:row>
    <x:row r="89">
      <x:c r="A89" s="23" t="n">
        <x:v>12</x:v>
      </x:c>
      <x:c r="B89" s="23" t="str">
        <x:v>周四</x:v>
      </x:c>
      <x:c r="C89" s="23" t="str">
        <x:v>4月18日</x:v>
      </x:c>
      <x:c r="D89" s="24" t="n">
        <x:v>5135</x:v>
      </x:c>
      <x:c r="E89" s="24" t="n">
        <x:v>5226</x:v>
      </x:c>
      <x:c r="F89" s="24" t="n">
        <x:v>5086</x:v>
      </x:c>
      <x:c r="G89" s="24" t="n">
        <x:v>5165.6</x:v>
      </x:c>
      <x:c r="H89" s="25" t="n">
        <x:v>0.0001890645088105103</x:v>
      </x:c>
      <x:c r="I89" s="24" t="n">
        <x:f>ROUND(E89-F89,1)</x:f>
        <x:v>140</x:v>
      </x:c>
      <x:c r="J89" s="23" t="str">
        <x:v>IM2406</x:v>
      </x:c>
    </x:row>
    <x:row r="90">
      <x:c r="A90" s="29" t="n">
        <x:v>13</x:v>
      </x:c>
      <x:c r="B90" s="29" t="str">
        <x:v>周五</x:v>
      </x:c>
      <x:c r="C90" s="29" t="str">
        <x:v>4月19日</x:v>
      </x:c>
      <x:c r="D90" s="30" t="n">
        <x:v>5136</x:v>
      </x:c>
      <x:c r="E90" s="30" t="n">
        <x:v>5192.4</x:v>
      </x:c>
      <x:c r="F90" s="30" t="n">
        <x:v>5078.2</x:v>
      </x:c>
      <x:c r="G90" s="30" t="n">
        <x:v>5118.8</x:v>
      </x:c>
      <x:c r="H90" s="31" t="n">
        <x:v>-0.03239953120864991</x:v>
      </x:c>
      <x:c r="I90" s="30" t="n">
        <x:f>ROUND(E90-F90,1)</x:f>
        <x:v>114.2</x:v>
      </x:c>
      <x:c r="J90" s="29" t="str">
        <x:v>IM2406</x:v>
      </x:c>
    </x:row>
    <x:row r="91">
      <x:c r="A91" s="23" t="n">
        <x:v>14</x:v>
      </x:c>
      <x:c r="B91" s="23" t="str">
        <x:v>周一</x:v>
      </x:c>
      <x:c r="C91" s="23" t="str">
        <x:v>4月22日</x:v>
      </x:c>
      <x:c r="D91" s="24" t="n">
        <x:v>5103.8</x:v>
      </x:c>
      <x:c r="E91" s="24" t="n">
        <x:v>5182</x:v>
      </x:c>
      <x:c r="F91" s="24" t="n">
        <x:v>5046.4</x:v>
      </x:c>
      <x:c r="G91" s="24" t="n">
        <x:v>5118.4</x:v>
      </x:c>
      <x:c r="H91" s="25" t="n">
        <x:v>0.013753223411737014</x:v>
      </x:c>
      <x:c r="I91" s="24" t="n">
        <x:f>ROUND(E91-F91,1)</x:f>
        <x:v>135.6</x:v>
      </x:c>
      <x:c r="J91" s="23" t="str">
        <x:v>IM2406</x:v>
      </x:c>
    </x:row>
    <x:row r="92">
      <x:c r="A92" s="23" t="n">
        <x:v>15</x:v>
      </x:c>
      <x:c r="B92" s="23" t="str">
        <x:v>周二</x:v>
      </x:c>
      <x:c r="C92" s="23" t="str">
        <x:v>4月23日</x:v>
      </x:c>
      <x:c r="D92" s="24" t="n">
        <x:v>5127</x:v>
      </x:c>
      <x:c r="E92" s="24" t="n">
        <x:v>5157.8</x:v>
      </x:c>
      <x:c r="F92" s="24" t="n">
        <x:v>5065</x:v>
      </x:c>
      <x:c r="G92" s="24" t="n">
        <x:v>5082.8</x:v>
      </x:c>
      <x:c r="H92" s="25" t="n">
        <x:v>-0.007207276651506889</x:v>
      </x:c>
      <x:c r="I92" s="24" t="n">
        <x:f>ROUND(E92-F92,1)</x:f>
        <x:v>92.8</x:v>
      </x:c>
      <x:c r="J92" s="23" t="str">
        <x:v>IM2406</x:v>
      </x:c>
    </x:row>
    <x:row r="93">
      <x:c r="A93" s="23" t="n">
        <x:v>16</x:v>
      </x:c>
      <x:c r="B93" s="23" t="str">
        <x:v>周三</x:v>
      </x:c>
      <x:c r="C93" s="23" t="str">
        <x:v>4月24日</x:v>
      </x:c>
      <x:c r="D93" s="24" t="n">
        <x:v>5116.8</x:v>
      </x:c>
      <x:c r="E93" s="24" t="n">
        <x:v>5208.8</x:v>
      </x:c>
      <x:c r="F93" s="24" t="n">
        <x:v>5077.6</x:v>
      </x:c>
      <x:c r="G93" s="24" t="n">
        <x:v>5205.8</x:v>
      </x:c>
      <x:c r="H93" s="25" t="n">
        <x:v>0.02399161458131127</x:v>
      </x:c>
      <x:c r="I93" s="24" t="n">
        <x:f>ROUND(E93-F93,1)</x:f>
        <x:v>131.2</x:v>
      </x:c>
      <x:c r="J93" s="23" t="str">
        <x:v>IM2406</x:v>
      </x:c>
    </x:row>
    <x:row r="94">
      <x:c r="A94" s="23" t="n">
        <x:v>17</x:v>
      </x:c>
      <x:c r="B94" s="23" t="str">
        <x:v>周四</x:v>
      </x:c>
      <x:c r="C94" s="23" t="str">
        <x:v>4月25日</x:v>
      </x:c>
      <x:c r="D94" s="24" t="n">
        <x:v>5186</x:v>
      </x:c>
      <x:c r="E94" s="24" t="n">
        <x:v>5270.8</x:v>
      </x:c>
      <x:c r="F94" s="24" t="n">
        <x:v>5176</x:v>
      </x:c>
      <x:c r="G94" s="24" t="n">
        <x:v>5214.2</x:v>
      </x:c>
      <x:c r="H94" s="25" t="n">
        <x:v>0.0007203245251545809</x:v>
      </x:c>
      <x:c r="I94" s="24" t="n">
        <x:f>ROUND(E94-F94,1)</x:f>
        <x:v>94.8</x:v>
      </x:c>
      <x:c r="J94" s="23" t="str">
        <x:v>IM2406</x:v>
      </x:c>
    </x:row>
    <x:row r="95">
      <x:c r="A95" s="23" t="n">
        <x:v>18</x:v>
      </x:c>
      <x:c r="B95" s="23" t="str">
        <x:v>周五</x:v>
      </x:c>
      <x:c r="C95" s="23" t="str">
        <x:v>4月26日</x:v>
      </x:c>
      <x:c r="D95" s="24" t="n">
        <x:v>5218</x:v>
      </x:c>
      <x:c r="E95" s="24" t="n">
        <x:v>5360</x:v>
      </x:c>
      <x:c r="F95" s="24" t="n">
        <x:v>5218</x:v>
      </x:c>
      <x:c r="G95" s="24" t="n">
        <x:v>5351.2</x:v>
      </x:c>
      <x:c r="H95" s="25" t="n">
        <x:v>0.0136384300651613</x:v>
      </x:c>
      <x:c r="I95" s="24" t="n">
        <x:f>ROUND(E95-F95,1)</x:f>
        <x:v>142</x:v>
      </x:c>
      <x:c r="J95" s="23" t="str">
        <x:v>IM2406</x:v>
      </x:c>
    </x:row>
    <x:row r="96">
      <x:c r="A96" s="23" t="n">
        <x:v>19</x:v>
      </x:c>
      <x:c r="B96" s="23" t="str">
        <x:v>周一</x:v>
      </x:c>
      <x:c r="C96" s="23" t="str">
        <x:v>4月29日</x:v>
      </x:c>
      <x:c r="D96" s="24" t="n">
        <x:v>5372</x:v>
      </x:c>
      <x:c r="E96" s="24" t="n">
        <x:v>5528.6</x:v>
      </x:c>
      <x:c r="F96" s="24" t="n">
        <x:v>5371.4</x:v>
      </x:c>
      <x:c r="G96" s="24" t="n">
        <x:v>5510.2</x:v>
      </x:c>
      <x:c r="H96" s="25" t="n">
        <x:v>0.029712961578711283</x:v>
      </x:c>
      <x:c r="I96" s="24" t="n">
        <x:f>ROUND(E96-F96,1)</x:f>
        <x:v>157.2</x:v>
      </x:c>
      <x:c r="J96" s="23" t="str">
        <x:v>IM2406</x:v>
      </x:c>
    </x:row>
    <x:row r="97">
      <x:c r="A97" s="23" t="n">
        <x:v>20</x:v>
      </x:c>
      <x:c r="B97" s="23" t="str">
        <x:v>周二</x:v>
      </x:c>
      <x:c r="C97" s="23" t="str">
        <x:v>4月30日</x:v>
      </x:c>
      <x:c r="D97" s="24" t="n">
        <x:v>5510.2</x:v>
      </x:c>
      <x:c r="E97" s="24" t="n">
        <x:v>5525</x:v>
      </x:c>
      <x:c r="F97" s="24" t="n">
        <x:v>5432.4</x:v>
      </x:c>
      <x:c r="G97" s="24" t="n">
        <x:v>5448.8</x:v>
      </x:c>
      <x:c r="H97" s="25" t="n">
        <x:v>-0.011142971217015685</x:v>
      </x:c>
      <x:c r="I97" s="24" t="n">
        <x:f>ROUND(E97-F97,1)</x:f>
        <x:v>92.6</x:v>
      </x:c>
      <x:c r="J97" s="23" t="str">
        <x:v>IM2406</x:v>
      </x:c>
    </x:row>
    <x:row r="98">
      <x:c r="A98" s="36" t="str">
        <x:v>合计</x:v>
      </x:c>
      <x:c r="B98" s="35" t="n">
        <x:v>20</x:v>
      </x:c>
      <x:c r="C98" s="35"/>
      <x:c r="D98" s="35"/>
      <x:c r="E98" s="35"/>
      <x:c r="F98" s="35"/>
      <x:c r="G98" s="35"/>
      <x:c r="H98" s="35"/>
      <x:c r="I98" s="37" t="n">
        <x:f>ROUND(SUM(I78:I97),1)</x:f>
        <x:v>2573</x:v>
      </x:c>
      <x:c r="J98" s="35"/>
    </x:row>
    <x:row r="99">
      <x:c r="A99" s="36" t="str">
        <x:v>均值</x:v>
      </x:c>
      <x:c r="B99" s="35"/>
      <x:c r="C99" s="35"/>
      <x:c r="D99" s="35"/>
      <x:c r="E99" s="35"/>
      <x:c r="F99" s="35"/>
      <x:c r="G99" s="35"/>
      <x:c r="H99" s="35"/>
      <x:c r="I99" s="39" t="n">
        <x:f>ROUND(IFERROR(AVERAGE(I78:I97),0),1)</x:f>
        <x:v>128.7</x:v>
      </x:c>
      <x:c r="J99" s="35"/>
    </x:row>
    <x:row r="101">
      <x:c r="A101" s="17" t="str">
        <x:v>5月</x:v>
      </x:c>
      <x:c r="B101" s="17"/>
      <x:c r="C101" s="17"/>
      <x:c r="D101" s="17"/>
      <x:c r="E101" s="17"/>
      <x:c r="F101" s="17"/>
      <x:c r="G101" s="17"/>
      <x:c r="H101" s="17"/>
      <x:c r="I101" s="17"/>
      <x:c r="J101" s="17"/>
    </x:row>
    <x:row r="102">
      <x:c r="A102" s="20" t="str">
        <x:v>序号</x:v>
      </x:c>
      <x:c r="B102" s="20" t="str">
        <x:v>星期</x:v>
      </x:c>
      <x:c r="C102" s="20" t="str">
        <x:v>日期</x:v>
      </x:c>
      <x:c r="D102" s="20" t="str">
        <x:v>开盘</x:v>
      </x:c>
      <x:c r="E102" s="20" t="str">
        <x:v>高点</x:v>
      </x:c>
      <x:c r="F102" s="20" t="str">
        <x:v>低点</x:v>
      </x:c>
      <x:c r="G102" s="20" t="str">
        <x:v>收盘</x:v>
      </x:c>
      <x:c r="H102" s="20" t="str">
        <x:v>涨幅</x:v>
      </x:c>
      <x:c r="I102" s="20" t="str">
        <x:v>振幅</x:v>
      </x:c>
      <x:c r="J102" s="20" t="str">
        <x:v>标的</x:v>
      </x:c>
    </x:row>
    <x:row r="103">
      <x:c r="A103" s="23" t="n">
        <x:v>1</x:v>
      </x:c>
      <x:c r="B103" s="23" t="str">
        <x:v>周一</x:v>
      </x:c>
      <x:c r="C103" s="23" t="str">
        <x:v>5月6日</x:v>
      </x:c>
      <x:c r="D103" s="24" t="n">
        <x:v>5560</x:v>
      </x:c>
      <x:c r="E103" s="24" t="n">
        <x:v>5597.2</x:v>
      </x:c>
      <x:c r="F103" s="24" t="n">
        <x:v>5531.8</x:v>
      </x:c>
      <x:c r="G103" s="24" t="n">
        <x:v>5548.6</x:v>
      </x:c>
      <x:c r="H103" s="25" t="n">
        <x:v>0.018315959477316124</x:v>
      </x:c>
      <x:c r="I103" s="24" t="n">
        <x:f>ROUND(E103-F103,1)</x:f>
        <x:v>65.4</x:v>
      </x:c>
      <x:c r="J103" s="23" t="str">
        <x:v>IM2406</x:v>
      </x:c>
    </x:row>
    <x:row r="104">
      <x:c r="A104" s="23" t="n">
        <x:v>2</x:v>
      </x:c>
      <x:c r="B104" s="23" t="str">
        <x:v>周二</x:v>
      </x:c>
      <x:c r="C104" s="23" t="str">
        <x:v>5月7日</x:v>
      </x:c>
      <x:c r="D104" s="24" t="n">
        <x:v>5545</x:v>
      </x:c>
      <x:c r="E104" s="24" t="n">
        <x:v>5585.8</x:v>
      </x:c>
      <x:c r="F104" s="24" t="n">
        <x:v>5533</x:v>
      </x:c>
      <x:c r="G104" s="24" t="n">
        <x:v>5557.2</x:v>
      </x:c>
      <x:c r="H104" s="25" t="n">
        <x:v>0.0015499405255379184</x:v>
      </x:c>
      <x:c r="I104" s="24" t="n">
        <x:f>ROUND(E104-F104,1)</x:f>
        <x:v>52.8</x:v>
      </x:c>
      <x:c r="J104" s="23" t="str">
        <x:v>IM2406</x:v>
      </x:c>
    </x:row>
    <x:row r="105">
      <x:c r="A105" s="23" t="n">
        <x:v>3</x:v>
      </x:c>
      <x:c r="B105" s="23" t="str">
        <x:v>周三</x:v>
      </x:c>
      <x:c r="C105" s="23" t="str">
        <x:v>5月8日</x:v>
      </x:c>
      <x:c r="D105" s="24" t="n">
        <x:v>5538</x:v>
      </x:c>
      <x:c r="E105" s="24" t="n">
        <x:v>5538</x:v>
      </x:c>
      <x:c r="F105" s="24" t="n">
        <x:v>5451</x:v>
      </x:c>
      <x:c r="G105" s="24" t="n">
        <x:v>5461.2</x:v>
      </x:c>
      <x:c r="H105" s="25" t="n">
        <x:v>-0.017274886633556474</x:v>
      </x:c>
      <x:c r="I105" s="24" t="n">
        <x:f>ROUND(E105-F105,1)</x:f>
        <x:v>87</x:v>
      </x:c>
      <x:c r="J105" s="23" t="str">
        <x:v>IM2406</x:v>
      </x:c>
    </x:row>
    <x:row r="106">
      <x:c r="A106" s="23" t="n">
        <x:v>4</x:v>
      </x:c>
      <x:c r="B106" s="23" t="str">
        <x:v>周四</x:v>
      </x:c>
      <x:c r="C106" s="23" t="str">
        <x:v>5月9日</x:v>
      </x:c>
      <x:c r="D106" s="24" t="n">
        <x:v>5478.8</x:v>
      </x:c>
      <x:c r="E106" s="24" t="n">
        <x:v>5587</x:v>
      </x:c>
      <x:c r="F106" s="24" t="n">
        <x:v>5471.8</x:v>
      </x:c>
      <x:c r="G106" s="24" t="n">
        <x:v>5562.8</x:v>
      </x:c>
      <x:c r="H106" s="25" t="n">
        <x:v>0.018603969823482114</x:v>
      </x:c>
      <x:c r="I106" s="24" t="n">
        <x:f>ROUND(E106-F106,1)</x:f>
        <x:v>115.2</x:v>
      </x:c>
      <x:c r="J106" s="23" t="str">
        <x:v>IM2406</x:v>
      </x:c>
    </x:row>
    <x:row r="107">
      <x:c r="A107" s="23" t="n">
        <x:v>5</x:v>
      </x:c>
      <x:c r="B107" s="23" t="str">
        <x:v>周五</x:v>
      </x:c>
      <x:c r="C107" s="23" t="str">
        <x:v>5月10日</x:v>
      </x:c>
      <x:c r="D107" s="24" t="n">
        <x:v>5580</x:v>
      </x:c>
      <x:c r="E107" s="24" t="n">
        <x:v>5596</x:v>
      </x:c>
      <x:c r="F107" s="24" t="n">
        <x:v>5466</x:v>
      </x:c>
      <x:c r="G107" s="24" t="n">
        <x:v>5503.6</x:v>
      </x:c>
      <x:c r="H107" s="25" t="n">
        <x:v>-0.010642122672035681</x:v>
      </x:c>
      <x:c r="I107" s="24" t="n">
        <x:f>ROUND(E107-F107,1)</x:f>
        <x:v>130</x:v>
      </x:c>
      <x:c r="J107" s="23" t="str">
        <x:v>IM2406</x:v>
      </x:c>
    </x:row>
    <x:row r="108">
      <x:c r="A108" s="23" t="n">
        <x:v>6</x:v>
      </x:c>
      <x:c r="B108" s="23" t="str">
        <x:v>周一</x:v>
      </x:c>
      <x:c r="C108" s="23" t="str">
        <x:v>5月13日</x:v>
      </x:c>
      <x:c r="D108" s="24" t="n">
        <x:v>5451</x:v>
      </x:c>
      <x:c r="E108" s="24" t="n">
        <x:v>5492.2</x:v>
      </x:c>
      <x:c r="F108" s="24" t="n">
        <x:v>5389.6</x:v>
      </x:c>
      <x:c r="G108" s="24" t="n">
        <x:v>5443.8</x:v>
      </x:c>
      <x:c r="H108" s="25" t="n">
        <x:v>-0.010865615233665249</x:v>
      </x:c>
      <x:c r="I108" s="24" t="n">
        <x:f>ROUND(E108-F108,1)</x:f>
        <x:v>102.6</x:v>
      </x:c>
      <x:c r="J108" s="23" t="str">
        <x:v>IM2406</x:v>
      </x:c>
    </x:row>
    <x:row r="109">
      <x:c r="A109" s="23" t="n">
        <x:v>7</x:v>
      </x:c>
      <x:c r="B109" s="23" t="str">
        <x:v>周二</x:v>
      </x:c>
      <x:c r="C109" s="23" t="str">
        <x:v>5月14日</x:v>
      </x:c>
      <x:c r="D109" s="24" t="n">
        <x:v>5477</x:v>
      </x:c>
      <x:c r="E109" s="24" t="n">
        <x:v>5528</x:v>
      </x:c>
      <x:c r="F109" s="24" t="n">
        <x:v>5444</x:v>
      </x:c>
      <x:c r="G109" s="24" t="n">
        <x:v>5470</x:v>
      </x:c>
      <x:c r="H109" s="25" t="n">
        <x:v>0.00481281457805216</x:v>
      </x:c>
      <x:c r="I109" s="24" t="n">
        <x:f>ROUND(E109-F109,1)</x:f>
        <x:v>84</x:v>
      </x:c>
      <x:c r="J109" s="23" t="str">
        <x:v>IM2406</x:v>
      </x:c>
    </x:row>
    <x:row r="110">
      <x:c r="A110" s="23" t="n">
        <x:v>8</x:v>
      </x:c>
      <x:c r="B110" s="23" t="str">
        <x:v>周三</x:v>
      </x:c>
      <x:c r="C110" s="23" t="str">
        <x:v>5月15日</x:v>
      </x:c>
      <x:c r="D110" s="24" t="n">
        <x:v>5460</x:v>
      </x:c>
      <x:c r="E110" s="24" t="n">
        <x:v>5486</x:v>
      </x:c>
      <x:c r="F110" s="24" t="n">
        <x:v>5408.2</x:v>
      </x:c>
      <x:c r="G110" s="24" t="n">
        <x:v>5424</x:v>
      </x:c>
      <x:c r="H110" s="25" t="n">
        <x:v>-0.008409506398537436</x:v>
      </x:c>
      <x:c r="I110" s="24" t="n">
        <x:f>ROUND(E110-F110,1)</x:f>
        <x:v>77.8</x:v>
      </x:c>
      <x:c r="J110" s="23" t="str">
        <x:v>IM2406</x:v>
      </x:c>
    </x:row>
    <x:row r="111">
      <x:c r="A111" s="23" t="n">
        <x:v>9</x:v>
      </x:c>
      <x:c r="B111" s="23" t="str">
        <x:v>周四</x:v>
      </x:c>
      <x:c r="C111" s="23" t="str">
        <x:v>5月16日</x:v>
      </x:c>
      <x:c r="D111" s="24" t="n">
        <x:v>5470.2</x:v>
      </x:c>
      <x:c r="E111" s="24" t="n">
        <x:v>5485.4</x:v>
      </x:c>
      <x:c r="F111" s="24" t="n">
        <x:v>5401.4</x:v>
      </x:c>
      <x:c r="G111" s="24" t="n">
        <x:v>5415</x:v>
      </x:c>
      <x:c r="H111" s="25" t="n">
        <x:v>-0.0016592920353982743</x:v>
      </x:c>
      <x:c r="I111" s="24" t="n">
        <x:f>ROUND(E111-F111,1)</x:f>
        <x:v>84</x:v>
      </x:c>
      <x:c r="J111" s="23" t="str">
        <x:v>IM2406</x:v>
      </x:c>
    </x:row>
    <x:row r="112">
      <x:c r="A112" s="29" t="n">
        <x:v>10</x:v>
      </x:c>
      <x:c r="B112" s="29" t="str">
        <x:v>周五</x:v>
      </x:c>
      <x:c r="C112" s="29" t="str">
        <x:v>5月17日</x:v>
      </x:c>
      <x:c r="D112" s="30" t="n">
        <x:v>5427.8</x:v>
      </x:c>
      <x:c r="E112" s="30" t="n">
        <x:v>5536</x:v>
      </x:c>
      <x:c r="F112" s="30" t="n">
        <x:v>5408</x:v>
      </x:c>
      <x:c r="G112" s="30" t="n">
        <x:v>5530.2</x:v>
      </x:c>
      <x:c r="H112" s="31" t="n">
        <x:v>0.02127423822714669</x:v>
      </x:c>
      <x:c r="I112" s="30" t="n">
        <x:f>ROUND(E112-F112,1)</x:f>
        <x:v>128</x:v>
      </x:c>
      <x:c r="J112" s="29" t="str">
        <x:v>IM2406</x:v>
      </x:c>
    </x:row>
    <x:row r="113">
      <x:c r="A113" s="23" t="n">
        <x:v>11</x:v>
      </x:c>
      <x:c r="B113" s="23" t="str">
        <x:v>周一</x:v>
      </x:c>
      <x:c r="C113" s="23" t="str">
        <x:v>5月20日</x:v>
      </x:c>
      <x:c r="D113" s="24" t="n">
        <x:v>5533.2</x:v>
      </x:c>
      <x:c r="E113" s="24" t="n">
        <x:v>5587.4</x:v>
      </x:c>
      <x:c r="F113" s="24" t="n">
        <x:v>5506.8</x:v>
      </x:c>
      <x:c r="G113" s="24" t="n">
        <x:v>5539.2</x:v>
      </x:c>
      <x:c r="H113" s="25" t="n">
        <x:v>0.0016274275794727622</x:v>
      </x:c>
      <x:c r="I113" s="24" t="n">
        <x:f>ROUND(E113-F113,1)</x:f>
        <x:v>80.6</x:v>
      </x:c>
      <x:c r="J113" s="23" t="str">
        <x:v>IM2406</x:v>
      </x:c>
    </x:row>
    <x:row r="114">
      <x:c r="A114" s="23" t="n">
        <x:v>12</x:v>
      </x:c>
      <x:c r="B114" s="23" t="str">
        <x:v>周二</x:v>
      </x:c>
      <x:c r="C114" s="23" t="str">
        <x:v>5月21日</x:v>
      </x:c>
      <x:c r="D114" s="24" t="n">
        <x:v>5520</x:v>
      </x:c>
      <x:c r="E114" s="24" t="n">
        <x:v>5534.6</x:v>
      </x:c>
      <x:c r="F114" s="24" t="n">
        <x:v>5445</x:v>
      </x:c>
      <x:c r="G114" s="24" t="n">
        <x:v>5476.8</x:v>
      </x:c>
      <x:c r="H114" s="25" t="n">
        <x:v>-0.011265164644713943</x:v>
      </x:c>
      <x:c r="I114" s="24" t="n">
        <x:f>ROUND(E114-F114,1)</x:f>
        <x:v>89.6</x:v>
      </x:c>
      <x:c r="J114" s="23" t="str">
        <x:v>IM2406</x:v>
      </x:c>
    </x:row>
    <x:row r="115">
      <x:c r="A115" s="23" t="n">
        <x:v>13</x:v>
      </x:c>
      <x:c r="B115" s="23" t="str">
        <x:v>周三</x:v>
      </x:c>
      <x:c r="C115" s="23" t="str">
        <x:v>5月22日</x:v>
      </x:c>
      <x:c r="D115" s="24" t="n">
        <x:v>5485</x:v>
      </x:c>
      <x:c r="E115" s="24" t="n">
        <x:v>5504.2</x:v>
      </x:c>
      <x:c r="F115" s="24" t="n">
        <x:v>5442</x:v>
      </x:c>
      <x:c r="G115" s="24" t="n">
        <x:v>5479.6</x:v>
      </x:c>
      <x:c r="H115" s="25" t="n">
        <x:v>0.0005112474437627412</x:v>
      </x:c>
      <x:c r="I115" s="24" t="n">
        <x:f>ROUND(E115-F115,1)</x:f>
        <x:v>62.2</x:v>
      </x:c>
      <x:c r="J115" s="23" t="str">
        <x:v>IM2406</x:v>
      </x:c>
    </x:row>
    <x:row r="116">
      <x:c r="A116" s="23" t="n">
        <x:v>14</x:v>
      </x:c>
      <x:c r="B116" s="23" t="str">
        <x:v>周四</x:v>
      </x:c>
      <x:c r="C116" s="23" t="str">
        <x:v>5月23日</x:v>
      </x:c>
      <x:c r="D116" s="24" t="n">
        <x:v>5457</x:v>
      </x:c>
      <x:c r="E116" s="24" t="n">
        <x:v>5458</x:v>
      </x:c>
      <x:c r="F116" s="24" t="n">
        <x:v>5325.2</x:v>
      </x:c>
      <x:c r="G116" s="24" t="n">
        <x:v>5359</x:v>
      </x:c>
      <x:c r="H116" s="25" t="n">
        <x:v>-0.022008905759544506</x:v>
      </x:c>
      <x:c r="I116" s="24" t="n">
        <x:f>ROUND(E116-F116,1)</x:f>
        <x:v>132.8</x:v>
      </x:c>
      <x:c r="J116" s="23" t="str">
        <x:v>IM2406</x:v>
      </x:c>
    </x:row>
    <x:row r="117">
      <x:c r="A117" s="23" t="n">
        <x:v>15</x:v>
      </x:c>
      <x:c r="B117" s="23" t="str">
        <x:v>周五</x:v>
      </x:c>
      <x:c r="C117" s="23" t="str">
        <x:v>5月24日</x:v>
      </x:c>
      <x:c r="D117" s="24" t="n">
        <x:v>5350</x:v>
      </x:c>
      <x:c r="E117" s="24" t="n">
        <x:v>5386.4</x:v>
      </x:c>
      <x:c r="F117" s="24" t="n">
        <x:v>5289</x:v>
      </x:c>
      <x:c r="G117" s="24" t="n">
        <x:v>5291.2</x:v>
      </x:c>
      <x:c r="H117" s="25" t="n">
        <x:v>-0.012651614107109577</x:v>
      </x:c>
      <x:c r="I117" s="24" t="n">
        <x:f>ROUND(E117-F117,1)</x:f>
        <x:v>97.4</x:v>
      </x:c>
      <x:c r="J117" s="23" t="str">
        <x:v>IM2406</x:v>
      </x:c>
    </x:row>
    <x:row r="118">
      <x:c r="A118" s="23" t="n">
        <x:v>16</x:v>
      </x:c>
      <x:c r="B118" s="23" t="str">
        <x:v>周一</x:v>
      </x:c>
      <x:c r="C118" s="23" t="str">
        <x:v>5月27日</x:v>
      </x:c>
      <x:c r="D118" s="24" t="n">
        <x:v>5320</x:v>
      </x:c>
      <x:c r="E118" s="24" t="n">
        <x:v>5344.8</x:v>
      </x:c>
      <x:c r="F118" s="24" t="n">
        <x:v>5231.8</x:v>
      </x:c>
      <x:c r="G118" s="24" t="n">
        <x:v>5335.8</x:v>
      </x:c>
      <x:c r="H118" s="25" t="n">
        <x:v>0.008429089809494972</x:v>
      </x:c>
      <x:c r="I118" s="24" t="n">
        <x:f>ROUND(E118-F118,1)</x:f>
        <x:v>113</x:v>
      </x:c>
      <x:c r="J118" s="23" t="str">
        <x:v>IM2406</x:v>
      </x:c>
    </x:row>
    <x:row r="119">
      <x:c r="A119" s="23" t="n">
        <x:v>17</x:v>
      </x:c>
      <x:c r="B119" s="23" t="str">
        <x:v>周二</x:v>
      </x:c>
      <x:c r="C119" s="23" t="str">
        <x:v>5月28日</x:v>
      </x:c>
      <x:c r="D119" s="24" t="n">
        <x:v>5320</x:v>
      </x:c>
      <x:c r="E119" s="24" t="n">
        <x:v>5348</x:v>
      </x:c>
      <x:c r="F119" s="24" t="n">
        <x:v>5264.6</x:v>
      </x:c>
      <x:c r="G119" s="24" t="n">
        <x:v>5279</x:v>
      </x:c>
      <x:c r="H119" s="25" t="n">
        <x:v>-0.010645076652048502</x:v>
      </x:c>
      <x:c r="I119" s="24" t="n">
        <x:f>ROUND(E119-F119,1)</x:f>
        <x:v>83.4</x:v>
      </x:c>
      <x:c r="J119" s="23" t="str">
        <x:v>IM2406</x:v>
      </x:c>
    </x:row>
    <x:row r="120">
      <x:c r="A120" s="23" t="n">
        <x:v>18</x:v>
      </x:c>
      <x:c r="B120" s="23" t="str">
        <x:v>周三</x:v>
      </x:c>
      <x:c r="C120" s="23" t="str">
        <x:v>5月29日</x:v>
      </x:c>
      <x:c r="D120" s="24" t="n">
        <x:v>5286.2</x:v>
      </x:c>
      <x:c r="E120" s="24" t="n">
        <x:v>5341.8</x:v>
      </x:c>
      <x:c r="F120" s="24" t="n">
        <x:v>5252</x:v>
      </x:c>
      <x:c r="G120" s="24" t="n">
        <x:v>5284</x:v>
      </x:c>
      <x:c r="H120" s="25" t="n">
        <x:v>0.0009471490812653638</x:v>
      </x:c>
      <x:c r="I120" s="24" t="n">
        <x:f>ROUND(E120-F120,1)</x:f>
        <x:v>89.8</x:v>
      </x:c>
      <x:c r="J120" s="23" t="str">
        <x:v>IM2406</x:v>
      </x:c>
    </x:row>
    <x:row r="121">
      <x:c r="A121" s="23" t="n">
        <x:v>19</x:v>
      </x:c>
      <x:c r="B121" s="23" t="str">
        <x:v>周四</x:v>
      </x:c>
      <x:c r="C121" s="23" t="str">
        <x:v>5月30日</x:v>
      </x:c>
      <x:c r="D121" s="24" t="n">
        <x:v>5268</x:v>
      </x:c>
      <x:c r="E121" s="24" t="n">
        <x:v>5323.8</x:v>
      </x:c>
      <x:c r="F121" s="24" t="n">
        <x:v>5240.2</x:v>
      </x:c>
      <x:c r="G121" s="24" t="n">
        <x:v>5291.4</x:v>
      </x:c>
      <x:c r="H121" s="25" t="n">
        <x:v>0.0014004542013625887</x:v>
      </x:c>
      <x:c r="I121" s="24" t="n">
        <x:f>ROUND(E121-F121,1)</x:f>
        <x:v>83.6</x:v>
      </x:c>
      <x:c r="J121" s="23" t="str">
        <x:v>IM2406</x:v>
      </x:c>
    </x:row>
    <x:row r="122">
      <x:c r="A122" s="23" t="n">
        <x:v>20</x:v>
      </x:c>
      <x:c r="B122" s="23" t="str">
        <x:v>周五</x:v>
      </x:c>
      <x:c r="C122" s="23" t="str">
        <x:v>5月31日</x:v>
      </x:c>
      <x:c r="D122" s="24" t="n">
        <x:v>5313</x:v>
      </x:c>
      <x:c r="E122" s="24" t="n">
        <x:v>5353.2</x:v>
      </x:c>
      <x:c r="F122" s="24" t="n">
        <x:v>5308</x:v>
      </x:c>
      <x:c r="G122" s="24" t="n">
        <x:v>5314</x:v>
      </x:c>
      <x:c r="H122" s="25" t="n">
        <x:v>0.004271081377329233</x:v>
      </x:c>
      <x:c r="I122" s="24" t="n">
        <x:f>ROUND(E122-F122,1)</x:f>
        <x:v>45.2</x:v>
      </x:c>
      <x:c r="J122" s="23" t="str">
        <x:v>IM2406</x:v>
      </x:c>
    </x:row>
    <x:row r="123">
      <x:c r="A123" s="36" t="str">
        <x:v>合计</x:v>
      </x:c>
      <x:c r="B123" s="35" t="n">
        <x:v>20</x:v>
      </x:c>
      <x:c r="C123" s="35"/>
      <x:c r="D123" s="35"/>
      <x:c r="E123" s="35"/>
      <x:c r="F123" s="35"/>
      <x:c r="G123" s="35"/>
      <x:c r="H123" s="35"/>
      <x:c r="I123" s="37" t="n">
        <x:f>ROUND(SUM(I103:I122),1)</x:f>
        <x:v>1804.4</x:v>
      </x:c>
      <x:c r="J123" s="35"/>
    </x:row>
    <x:row r="124">
      <x:c r="A124" s="36" t="str">
        <x:v>均值</x:v>
      </x:c>
      <x:c r="B124" s="35"/>
      <x:c r="C124" s="35"/>
      <x:c r="D124" s="35"/>
      <x:c r="E124" s="35"/>
      <x:c r="F124" s="35"/>
      <x:c r="G124" s="35"/>
      <x:c r="H124" s="35"/>
      <x:c r="I124" s="39" t="n">
        <x:f>ROUND(IFERROR(AVERAGE(I103:I122),0),1)</x:f>
        <x:v>90.2</x:v>
      </x:c>
      <x:c r="J124" s="35"/>
    </x:row>
    <x:row r="126">
      <x:c r="A126" s="17" t="str">
        <x:v>6月</x:v>
      </x:c>
      <x:c r="B126" s="17"/>
      <x:c r="C126" s="17"/>
      <x:c r="D126" s="17"/>
      <x:c r="E126" s="17"/>
      <x:c r="F126" s="17"/>
      <x:c r="G126" s="17"/>
      <x:c r="H126" s="17"/>
      <x:c r="I126" s="17"/>
      <x:c r="J126" s="17"/>
    </x:row>
    <x:row r="127">
      <x:c r="A127" s="20" t="str">
        <x:v>序号</x:v>
      </x:c>
      <x:c r="B127" s="20" t="str">
        <x:v>星期</x:v>
      </x:c>
      <x:c r="C127" s="20" t="str">
        <x:v>日期</x:v>
      </x:c>
      <x:c r="D127" s="20" t="str">
        <x:v>开盘</x:v>
      </x:c>
      <x:c r="E127" s="20" t="str">
        <x:v>高点</x:v>
      </x:c>
      <x:c r="F127" s="20" t="str">
        <x:v>低点</x:v>
      </x:c>
      <x:c r="G127" s="20" t="str">
        <x:v>收盘</x:v>
      </x:c>
      <x:c r="H127" s="20" t="str">
        <x:v>涨幅</x:v>
      </x:c>
      <x:c r="I127" s="20" t="str">
        <x:v>振幅</x:v>
      </x:c>
      <x:c r="J127" s="20" t="str">
        <x:v>标的</x:v>
      </x:c>
    </x:row>
    <x:row r="128">
      <x:c r="A128" s="23" t="n">
        <x:v>1</x:v>
      </x:c>
      <x:c r="B128" s="23" t="str">
        <x:v>周一</x:v>
      </x:c>
      <x:c r="C128" s="23" t="str">
        <x:v>6月3日</x:v>
      </x:c>
      <x:c r="D128" s="24" t="n">
        <x:v>5310</x:v>
      </x:c>
      <x:c r="E128" s="24" t="n">
        <x:v>5314.4</x:v>
      </x:c>
      <x:c r="F128" s="24" t="n">
        <x:v>5181.2</x:v>
      </x:c>
      <x:c r="G128" s="24" t="n">
        <x:v>5222.4</x:v>
      </x:c>
      <x:c r="H128" s="25" t="n">
        <x:v>-0.017237485886338</x:v>
      </x:c>
      <x:c r="I128" s="24" t="n">
        <x:f>ROUND(E128-F128,1)</x:f>
        <x:v>133.2</x:v>
      </x:c>
      <x:c r="J128" s="23" t="str">
        <x:v>IM2406</x:v>
      </x:c>
    </x:row>
    <x:row r="129">
      <x:c r="A129" s="23" t="n">
        <x:v>2</x:v>
      </x:c>
      <x:c r="B129" s="23" t="str">
        <x:v>周二</x:v>
      </x:c>
      <x:c r="C129" s="23" t="str">
        <x:v>6月4日</x:v>
      </x:c>
      <x:c r="D129" s="24" t="n">
        <x:v>5209.8</x:v>
      </x:c>
      <x:c r="E129" s="24" t="n">
        <x:v>5285</x:v>
      </x:c>
      <x:c r="F129" s="24" t="n">
        <x:v>5180.8</x:v>
      </x:c>
      <x:c r="G129" s="24" t="n">
        <x:v>5268.6</x:v>
      </x:c>
      <x:c r="H129" s="25" t="n">
        <x:v>0.008846507352941346</x:v>
      </x:c>
      <x:c r="I129" s="24" t="n">
        <x:f>ROUND(E129-F129,1)</x:f>
        <x:v>104.2</x:v>
      </x:c>
      <x:c r="J129" s="23" t="str">
        <x:v>IM2406</x:v>
      </x:c>
    </x:row>
    <x:row r="130">
      <x:c r="A130" s="23" t="n">
        <x:v>3</x:v>
      </x:c>
      <x:c r="B130" s="23" t="str">
        <x:v>周三</x:v>
      </x:c>
      <x:c r="C130" s="23" t="str">
        <x:v>6月5日</x:v>
      </x:c>
      <x:c r="D130" s="24" t="n">
        <x:v>5256.2</x:v>
      </x:c>
      <x:c r="E130" s="24" t="n">
        <x:v>5288.6</x:v>
      </x:c>
      <x:c r="F130" s="24" t="n">
        <x:v>5203.8</x:v>
      </x:c>
      <x:c r="G130" s="24" t="n">
        <x:v>5209.6</x:v>
      </x:c>
      <x:c r="H130" s="25" t="n">
        <x:v>-0.011198420832858824</x:v>
      </x:c>
      <x:c r="I130" s="24" t="n">
        <x:f>ROUND(E130-F130,1)</x:f>
        <x:v>84.8</x:v>
      </x:c>
      <x:c r="J130" s="23" t="str">
        <x:v>IM2406</x:v>
      </x:c>
    </x:row>
    <x:row r="131">
      <x:c r="A131" s="23" t="n">
        <x:v>4</x:v>
      </x:c>
      <x:c r="B131" s="23" t="str">
        <x:v>周四</x:v>
      </x:c>
      <x:c r="C131" s="23" t="str">
        <x:v>6月6日</x:v>
      </x:c>
      <x:c r="D131" s="24" t="n">
        <x:v>5235.4</x:v>
      </x:c>
      <x:c r="E131" s="24" t="n">
        <x:v>5246</x:v>
      </x:c>
      <x:c r="F131" s="24" t="n">
        <x:v>5071.4</x:v>
      </x:c>
      <x:c r="G131" s="24" t="n">
        <x:v>5101.8</x:v>
      </x:c>
      <x:c r="H131" s="25" t="n">
        <x:v>-0.020692567567567655</x:v>
      </x:c>
      <x:c r="I131" s="24" t="n">
        <x:f>ROUND(E131-F131,1)</x:f>
        <x:v>174.6</x:v>
      </x:c>
      <x:c r="J131" s="23" t="str">
        <x:v>IM2406</x:v>
      </x:c>
    </x:row>
    <x:row r="132">
      <x:c r="A132" s="23" t="n">
        <x:v>5</x:v>
      </x:c>
      <x:c r="B132" s="23" t="str">
        <x:v>周五</x:v>
      </x:c>
      <x:c r="C132" s="23" t="str">
        <x:v>6月7日</x:v>
      </x:c>
      <x:c r="D132" s="24" t="n">
        <x:v>5151</x:v>
      </x:c>
      <x:c r="E132" s="24" t="n">
        <x:v>5167.8</x:v>
      </x:c>
      <x:c r="F132" s="24" t="n">
        <x:v>5060.8</x:v>
      </x:c>
      <x:c r="G132" s="24" t="n">
        <x:v>5115</x:v>
      </x:c>
      <x:c r="H132" s="25" t="n">
        <x:v>0.002587322121604174</x:v>
      </x:c>
      <x:c r="I132" s="24" t="n">
        <x:f>ROUND(E132-F132,1)</x:f>
        <x:v>107</x:v>
      </x:c>
      <x:c r="J132" s="23" t="str">
        <x:v>IM2406</x:v>
      </x:c>
    </x:row>
    <x:row r="133">
      <x:c r="A133" s="23" t="n">
        <x:v>6</x:v>
      </x:c>
      <x:c r="B133" s="23" t="str">
        <x:v>周二</x:v>
      </x:c>
      <x:c r="C133" s="23" t="str">
        <x:v>6月11日</x:v>
      </x:c>
      <x:c r="D133" s="24" t="n">
        <x:v>5094.4</x:v>
      </x:c>
      <x:c r="E133" s="24" t="n">
        <x:v>5191.2</x:v>
      </x:c>
      <x:c r="F133" s="24" t="n">
        <x:v>5048</x:v>
      </x:c>
      <x:c r="G133" s="24" t="n">
        <x:v>5174</x:v>
      </x:c>
      <x:c r="H133" s="25" t="n">
        <x:v>0.011534701857282448</x:v>
      </x:c>
      <x:c r="I133" s="24" t="n">
        <x:f>ROUND(E133-F133,1)</x:f>
        <x:v>143.2</x:v>
      </x:c>
      <x:c r="J133" s="23" t="str">
        <x:v>IM2406</x:v>
      </x:c>
    </x:row>
    <x:row r="134">
      <x:c r="A134" s="23" t="n">
        <x:v>7</x:v>
      </x:c>
      <x:c r="B134" s="23" t="str">
        <x:v>周三</x:v>
      </x:c>
      <x:c r="C134" s="23" t="str">
        <x:v>6月12日</x:v>
      </x:c>
      <x:c r="D134" s="24" t="n">
        <x:v>5164.8</x:v>
      </x:c>
      <x:c r="E134" s="24" t="n">
        <x:v>5207</x:v>
      </x:c>
      <x:c r="F134" s="24" t="n">
        <x:v>5158.2</x:v>
      </x:c>
      <x:c r="G134" s="24" t="n">
        <x:v>5180.6</x:v>
      </x:c>
      <x:c r="H134" s="25" t="n">
        <x:v>0.0012756088132972465</x:v>
      </x:c>
      <x:c r="I134" s="24" t="n">
        <x:f>ROUND(E134-F134,1)</x:f>
        <x:v>48.8</x:v>
      </x:c>
      <x:c r="J134" s="23" t="str">
        <x:v>IM2406</x:v>
      </x:c>
    </x:row>
    <x:row r="135">
      <x:c r="A135" s="23" t="n">
        <x:v>8</x:v>
      </x:c>
      <x:c r="B135" s="23" t="str">
        <x:v>周四</x:v>
      </x:c>
      <x:c r="C135" s="23" t="str">
        <x:v>6月13日</x:v>
      </x:c>
      <x:c r="D135" s="24" t="n">
        <x:v>5199.8</x:v>
      </x:c>
      <x:c r="E135" s="24" t="n">
        <x:v>5199.8</x:v>
      </x:c>
      <x:c r="F135" s="24" t="n">
        <x:v>5134.2</x:v>
      </x:c>
      <x:c r="G135" s="24" t="n">
        <x:v>5148.4</x:v>
      </x:c>
      <x:c r="H135" s="25" t="n">
        <x:v>-0.0062154962745629705</x:v>
      </x:c>
      <x:c r="I135" s="24" t="n">
        <x:f>ROUND(E135-F135,1)</x:f>
        <x:v>65.6</x:v>
      </x:c>
      <x:c r="J135" s="23" t="str">
        <x:v>IM2406</x:v>
      </x:c>
    </x:row>
    <x:row r="136">
      <x:c r="A136" s="23" t="n">
        <x:v>9</x:v>
      </x:c>
      <x:c r="B136" s="23" t="str">
        <x:v>周五</x:v>
      </x:c>
      <x:c r="C136" s="23" t="str">
        <x:v>6月14日</x:v>
      </x:c>
      <x:c r="D136" s="24" t="n">
        <x:v>5132.2</x:v>
      </x:c>
      <x:c r="E136" s="24" t="n">
        <x:v>5193.8</x:v>
      </x:c>
      <x:c r="F136" s="24" t="n">
        <x:v>5113</x:v>
      </x:c>
      <x:c r="G136" s="24" t="n">
        <x:v>5178.8</x:v>
      </x:c>
      <x:c r="H136" s="25" t="n">
        <x:v>0.005904747105897057</x:v>
      </x:c>
      <x:c r="I136" s="24" t="n">
        <x:f>ROUND(E136-F136,1)</x:f>
        <x:v>80.8</x:v>
      </x:c>
      <x:c r="J136" s="23" t="str">
        <x:v>IM2406</x:v>
      </x:c>
    </x:row>
    <x:row r="137">
      <x:c r="A137" s="23" t="n">
        <x:v>10</x:v>
      </x:c>
      <x:c r="B137" s="23" t="str">
        <x:v>周一</x:v>
      </x:c>
      <x:c r="C137" s="23" t="str">
        <x:v>6月17日</x:v>
      </x:c>
      <x:c r="D137" s="24" t="n">
        <x:v>5152</x:v>
      </x:c>
      <x:c r="E137" s="24" t="n">
        <x:v>5207</x:v>
      </x:c>
      <x:c r="F137" s="24" t="n">
        <x:v>5142.8</x:v>
      </x:c>
      <x:c r="G137" s="24" t="n">
        <x:v>5173.8</x:v>
      </x:c>
      <x:c r="H137" s="25" t="n">
        <x:v>-0.0009654746273267678</x:v>
      </x:c>
      <x:c r="I137" s="24" t="n">
        <x:f>ROUND(E137-F137,1)</x:f>
        <x:v>64.2</x:v>
      </x:c>
      <x:c r="J137" s="23" t="str">
        <x:v>IM2406</x:v>
      </x:c>
    </x:row>
    <x:row r="138">
      <x:c r="A138" s="23" t="n">
        <x:v>11</x:v>
      </x:c>
      <x:c r="B138" s="23" t="str">
        <x:v>周二</x:v>
      </x:c>
      <x:c r="C138" s="23" t="str">
        <x:v>6月18日</x:v>
      </x:c>
      <x:c r="D138" s="24" t="n">
        <x:v>5171.2</x:v>
      </x:c>
      <x:c r="E138" s="24" t="n">
        <x:v>5242.6</x:v>
      </x:c>
      <x:c r="F138" s="24" t="n">
        <x:v>5171.2</x:v>
      </x:c>
      <x:c r="G138" s="24" t="n">
        <x:v>5230</x:v>
      </x:c>
      <x:c r="H138" s="25" t="n">
        <x:v>0.010862422204182653</x:v>
      </x:c>
      <x:c r="I138" s="24" t="n">
        <x:f>ROUND(E138-F138,1)</x:f>
        <x:v>71.4</x:v>
      </x:c>
      <x:c r="J138" s="23" t="str">
        <x:v>IM2406</x:v>
      </x:c>
    </x:row>
    <x:row r="139">
      <x:c r="A139" s="23" t="n">
        <x:v>12</x:v>
      </x:c>
      <x:c r="B139" s="23" t="str">
        <x:v>周三</x:v>
      </x:c>
      <x:c r="C139" s="23" t="str">
        <x:v>6月19日</x:v>
      </x:c>
      <x:c r="D139" s="24" t="n">
        <x:v>5240.6</x:v>
      </x:c>
      <x:c r="E139" s="24" t="n">
        <x:v>5254</x:v>
      </x:c>
      <x:c r="F139" s="24" t="n">
        <x:v>5141</x:v>
      </x:c>
      <x:c r="G139" s="24" t="n">
        <x:v>5155</x:v>
      </x:c>
      <x:c r="H139" s="25" t="n">
        <x:v>-0.014340344168260022</x:v>
      </x:c>
      <x:c r="I139" s="24" t="n">
        <x:f>ROUND(E139-F139,1)</x:f>
        <x:v>113</x:v>
      </x:c>
      <x:c r="J139" s="23" t="str">
        <x:v>IM2406</x:v>
      </x:c>
    </x:row>
    <x:row r="140">
      <x:c r="A140" s="23" t="n">
        <x:v>13</x:v>
      </x:c>
      <x:c r="B140" s="23" t="str">
        <x:v>周四</x:v>
      </x:c>
      <x:c r="C140" s="23" t="str">
        <x:v>6月20日</x:v>
      </x:c>
      <x:c r="D140" s="24" t="n">
        <x:v>5155.2</x:v>
      </x:c>
      <x:c r="E140" s="24" t="n">
        <x:v>5172.8</x:v>
      </x:c>
      <x:c r="F140" s="24" t="n">
        <x:v>5048.6</x:v>
      </x:c>
      <x:c r="G140" s="24" t="n">
        <x:v>5064</x:v>
      </x:c>
      <x:c r="H140" s="25" t="n">
        <x:v>-0.017652764306498536</x:v>
      </x:c>
      <x:c r="I140" s="24" t="n">
        <x:f>ROUND(E140-F140,1)</x:f>
        <x:v>124.2</x:v>
      </x:c>
      <x:c r="J140" s="23" t="str">
        <x:v>IM2406</x:v>
      </x:c>
    </x:row>
    <x:row r="141">
      <x:c r="A141" s="29" t="n">
        <x:v>14</x:v>
      </x:c>
      <x:c r="B141" s="29" t="str">
        <x:v>周五</x:v>
      </x:c>
      <x:c r="C141" s="29" t="str">
        <x:v>6月21日</x:v>
      </x:c>
      <x:c r="D141" s="30" t="n">
        <x:v>5050</x:v>
      </x:c>
      <x:c r="E141" s="30" t="n">
        <x:v>5092</x:v>
      </x:c>
      <x:c r="F141" s="30" t="n">
        <x:v>5027</x:v>
      </x:c>
      <x:c r="G141" s="30" t="n">
        <x:v>5059.4</x:v>
      </x:c>
      <x:c r="H141" s="31" t="n">
        <x:v>-0.013704581358609746</x:v>
      </x:c>
      <x:c r="I141" s="30" t="n">
        <x:f>ROUND(E141-F141,1)</x:f>
        <x:v>65</x:v>
      </x:c>
      <x:c r="J141" s="29" t="str">
        <x:v>IM2406</x:v>
      </x:c>
    </x:row>
    <x:row r="142">
      <x:c r="A142" s="23" t="n">
        <x:v>15</x:v>
      </x:c>
      <x:c r="B142" s="23" t="str">
        <x:v>周一</x:v>
      </x:c>
      <x:c r="C142" s="23" t="str">
        <x:v>6月24日</x:v>
      </x:c>
      <x:c r="D142" s="24" t="n">
        <x:v>4891.2</x:v>
      </x:c>
      <x:c r="E142" s="24" t="n">
        <x:v>4905</x:v>
      </x:c>
      <x:c r="F142" s="24" t="n">
        <x:v>4747.8</x:v>
      </x:c>
      <x:c r="G142" s="24" t="n">
        <x:v>4752.8</x:v>
      </x:c>
      <x:c r="H142" s="25" t="n">
        <x:v>-0.032154727105273784</x:v>
      </x:c>
      <x:c r="I142" s="24" t="n">
        <x:f>ROUND(E142-F142,1)</x:f>
        <x:v>157.2</x:v>
      </x:c>
      <x:c r="J142" s="23" t="str">
        <x:v>IM2409</x:v>
      </x:c>
    </x:row>
    <x:row r="143">
      <x:c r="A143" s="23" t="n">
        <x:v>16</x:v>
      </x:c>
      <x:c r="B143" s="23" t="str">
        <x:v>周二</x:v>
      </x:c>
      <x:c r="C143" s="23" t="str">
        <x:v>6月25日</x:v>
      </x:c>
      <x:c r="D143" s="24" t="n">
        <x:v>4770</x:v>
      </x:c>
      <x:c r="E143" s="24" t="n">
        <x:v>4786.8</x:v>
      </x:c>
      <x:c r="F143" s="24" t="n">
        <x:v>4686.6</x:v>
      </x:c>
      <x:c r="G143" s="24" t="n">
        <x:v>4727</x:v>
      </x:c>
      <x:c r="H143" s="25" t="n">
        <x:v>-0.005295821266032341</x:v>
      </x:c>
      <x:c r="I143" s="24" t="n">
        <x:f>ROUND(E143-F143,1)</x:f>
        <x:v>100.2</x:v>
      </x:c>
      <x:c r="J143" s="23" t="str">
        <x:v>IM2409</x:v>
      </x:c>
    </x:row>
    <x:row r="144">
      <x:c r="A144" s="23" t="n">
        <x:v>17</x:v>
      </x:c>
      <x:c r="B144" s="23" t="str">
        <x:v>周三</x:v>
      </x:c>
      <x:c r="C144" s="23" t="str">
        <x:v>6月26日</x:v>
      </x:c>
      <x:c r="D144" s="24" t="n">
        <x:v>4721.6</x:v>
      </x:c>
      <x:c r="E144" s="24" t="n">
        <x:v>4887</x:v>
      </x:c>
      <x:c r="F144" s="24" t="n">
        <x:v>4692.6</x:v>
      </x:c>
      <x:c r="G144" s="24" t="n">
        <x:v>4874.8</x:v>
      </x:c>
      <x:c r="H144" s="25" t="n">
        <x:v>0.030363530488312085</x:v>
      </x:c>
      <x:c r="I144" s="33" t="n">
        <x:f>ROUND(E144-F144,1)</x:f>
        <x:v>194.4</x:v>
      </x:c>
      <x:c r="J144" s="23" t="str">
        <x:v>IM2409</x:v>
      </x:c>
    </x:row>
    <x:row r="145">
      <x:c r="A145" s="23" t="n">
        <x:v>18</x:v>
      </x:c>
      <x:c r="B145" s="23" t="str">
        <x:v>周四</x:v>
      </x:c>
      <x:c r="C145" s="23" t="str">
        <x:v>6月27日</x:v>
      </x:c>
      <x:c r="D145" s="24" t="n">
        <x:v>4853</x:v>
      </x:c>
      <x:c r="E145" s="24" t="n">
        <x:v>4864</x:v>
      </x:c>
      <x:c r="F145" s="24" t="n">
        <x:v>4740.6</x:v>
      </x:c>
      <x:c r="G145" s="24" t="n">
        <x:v>4753.6</x:v>
      </x:c>
      <x:c r="H145" s="25" t="n">
        <x:v>-0.024099790085580386</x:v>
      </x:c>
      <x:c r="I145" s="24" t="n">
        <x:f>ROUND(E145-F145,1)</x:f>
        <x:v>123.4</x:v>
      </x:c>
      <x:c r="J145" s="23" t="str">
        <x:v>IM2409</x:v>
      </x:c>
    </x:row>
    <x:row r="146">
      <x:c r="A146" s="23" t="n">
        <x:v>19</x:v>
      </x:c>
      <x:c r="B146" s="23" t="str">
        <x:v>周五</x:v>
      </x:c>
      <x:c r="C146" s="23" t="str">
        <x:v>6月28日</x:v>
      </x:c>
      <x:c r="D146" s="24" t="n">
        <x:v>4752</x:v>
      </x:c>
      <x:c r="E146" s="24" t="n">
        <x:v>4875.6</x:v>
      </x:c>
      <x:c r="F146" s="24" t="n">
        <x:v>4744.6</x:v>
      </x:c>
      <x:c r="G146" s="24" t="n">
        <x:v>4775</x:v>
      </x:c>
      <x:c r="H146" s="25" t="n">
        <x:v>0.0033919338159253964</x:v>
      </x:c>
      <x:c r="I146" s="24" t="n">
        <x:f>ROUND(E146-F146,1)</x:f>
        <x:v>131</x:v>
      </x:c>
      <x:c r="J146" s="23" t="str">
        <x:v>IM2409</x:v>
      </x:c>
    </x:row>
    <x:row r="147">
      <x:c r="A147" s="36" t="str">
        <x:v>合计</x:v>
      </x:c>
      <x:c r="B147" s="35" t="n">
        <x:v>19</x:v>
      </x:c>
      <x:c r="C147" s="35"/>
      <x:c r="D147" s="35"/>
      <x:c r="E147" s="35"/>
      <x:c r="F147" s="35"/>
      <x:c r="G147" s="35"/>
      <x:c r="H147" s="35"/>
      <x:c r="I147" s="37" t="n">
        <x:f>ROUND(SUM(I128:I146),1)</x:f>
        <x:v>2086.2</x:v>
      </x:c>
      <x:c r="J147" s="35"/>
    </x:row>
    <x:row r="148">
      <x:c r="A148" s="36" t="str">
        <x:v>均值</x:v>
      </x:c>
      <x:c r="B148" s="35"/>
      <x:c r="C148" s="35"/>
      <x:c r="D148" s="35"/>
      <x:c r="E148" s="35"/>
      <x:c r="F148" s="35"/>
      <x:c r="G148" s="35"/>
      <x:c r="H148" s="35"/>
      <x:c r="I148" s="39" t="n">
        <x:f>ROUND(IFERROR(AVERAGE(I128:I146),0),1)</x:f>
        <x:v>109.8</x:v>
      </x:c>
      <x:c r="J148" s="35"/>
    </x:row>
    <x:row r="150">
      <x:c r="A150" s="17" t="str">
        <x:v>7月</x:v>
      </x:c>
      <x:c r="B150" s="17"/>
      <x:c r="C150" s="17"/>
      <x:c r="D150" s="17"/>
      <x:c r="E150" s="17"/>
      <x:c r="F150" s="17"/>
      <x:c r="G150" s="17"/>
      <x:c r="H150" s="17"/>
      <x:c r="I150" s="17"/>
      <x:c r="J150" s="17"/>
    </x:row>
    <x:row r="151">
      <x:c r="A151" s="20" t="str">
        <x:v>序号</x:v>
      </x:c>
      <x:c r="B151" s="20" t="str">
        <x:v>星期</x:v>
      </x:c>
      <x:c r="C151" s="20" t="str">
        <x:v>日期</x:v>
      </x:c>
      <x:c r="D151" s="20" t="str">
        <x:v>开盘</x:v>
      </x:c>
      <x:c r="E151" s="20" t="str">
        <x:v>高点</x:v>
      </x:c>
      <x:c r="F151" s="20" t="str">
        <x:v>低点</x:v>
      </x:c>
      <x:c r="G151" s="20" t="str">
        <x:v>收盘</x:v>
      </x:c>
      <x:c r="H151" s="20" t="str">
        <x:v>涨幅</x:v>
      </x:c>
      <x:c r="I151" s="20" t="str">
        <x:v>振幅</x:v>
      </x:c>
      <x:c r="J151" s="20" t="str">
        <x:v>标的</x:v>
      </x:c>
    </x:row>
    <x:row r="152">
      <x:c r="A152" s="23" t="n">
        <x:v>1</x:v>
      </x:c>
      <x:c r="B152" s="23" t="str">
        <x:v>周一</x:v>
      </x:c>
      <x:c r="C152" s="23" t="str">
        <x:v>7月1日</x:v>
      </x:c>
      <x:c r="D152" s="24" t="n">
        <x:v>4780.2</x:v>
      </x:c>
      <x:c r="E152" s="24" t="n">
        <x:v>4852.2</x:v>
      </x:c>
      <x:c r="F152" s="24" t="n">
        <x:v>4714</x:v>
      </x:c>
      <x:c r="G152" s="24" t="n">
        <x:v>4816.6</x:v>
      </x:c>
      <x:c r="H152" s="25" t="n">
        <x:v>0.00861606958816008</x:v>
      </x:c>
      <x:c r="I152" s="24" t="n">
        <x:f>ROUND(E152-F152,1)</x:f>
        <x:v>138.2</x:v>
      </x:c>
      <x:c r="J152" s="23" t="str">
        <x:v>IM2409</x:v>
      </x:c>
    </x:row>
    <x:row r="153">
      <x:c r="A153" s="23" t="n">
        <x:v>2</x:v>
      </x:c>
      <x:c r="B153" s="23" t="str">
        <x:v>周二</x:v>
      </x:c>
      <x:c r="C153" s="23" t="str">
        <x:v>7月2日</x:v>
      </x:c>
      <x:c r="D153" s="24" t="n">
        <x:v>4820</x:v>
      </x:c>
      <x:c r="E153" s="24" t="n">
        <x:v>4838.8</x:v>
      </x:c>
      <x:c r="F153" s="24" t="n">
        <x:v>4757.8</x:v>
      </x:c>
      <x:c r="G153" s="24" t="n">
        <x:v>4787</x:v>
      </x:c>
      <x:c r="H153" s="25" t="n">
        <x:v>-0.006008338101855526</x:v>
      </x:c>
      <x:c r="I153" s="24" t="n">
        <x:f>ROUND(E153-F153,1)</x:f>
        <x:v>81</x:v>
      </x:c>
      <x:c r="J153" s="23" t="str">
        <x:v>IM2409</x:v>
      </x:c>
    </x:row>
    <x:row r="154">
      <x:c r="A154" s="23" t="n">
        <x:v>3</x:v>
      </x:c>
      <x:c r="B154" s="23" t="str">
        <x:v>周三</x:v>
      </x:c>
      <x:c r="C154" s="23" t="str">
        <x:v>7月3日</x:v>
      </x:c>
      <x:c r="D154" s="24" t="n">
        <x:v>4787</x:v>
      </x:c>
      <x:c r="E154" s="24" t="n">
        <x:v>4800.4</x:v>
      </x:c>
      <x:c r="F154" s="24" t="n">
        <x:v>4743.6</x:v>
      </x:c>
      <x:c r="G154" s="24" t="n">
        <x:v>4752.6</x:v>
      </x:c>
      <x:c r="H154" s="25" t="n">
        <x:v>-0.006496977671779369</x:v>
      </x:c>
      <x:c r="I154" s="24" t="n">
        <x:f>ROUND(E154-F154,1)</x:f>
        <x:v>56.8</x:v>
      </x:c>
      <x:c r="J154" s="23" t="str">
        <x:v>IM2409</x:v>
      </x:c>
    </x:row>
    <x:row r="155">
      <x:c r="A155" s="23" t="n">
        <x:v>4</x:v>
      </x:c>
      <x:c r="B155" s="23" t="str">
        <x:v>周四</x:v>
      </x:c>
      <x:c r="C155" s="23" t="str">
        <x:v>7月4日</x:v>
      </x:c>
      <x:c r="D155" s="24" t="n">
        <x:v>4794.2</x:v>
      </x:c>
      <x:c r="E155" s="24" t="n">
        <x:v>4794.2</x:v>
      </x:c>
      <x:c r="F155" s="24" t="n">
        <x:v>4621</x:v>
      </x:c>
      <x:c r="G155" s="24" t="n">
        <x:v>4648</x:v>
      </x:c>
      <x:c r="H155" s="25" t="n">
        <x:v>-0.021356731923347527</x:v>
      </x:c>
      <x:c r="I155" s="24" t="n">
        <x:f>ROUND(E155-F155,1)</x:f>
        <x:v>173.2</x:v>
      </x:c>
      <x:c r="J155" s="23" t="str">
        <x:v>IM2409</x:v>
      </x:c>
    </x:row>
    <x:row r="156">
      <x:c r="A156" s="23" t="n">
        <x:v>5</x:v>
      </x:c>
      <x:c r="B156" s="23" t="str">
        <x:v>周五</x:v>
      </x:c>
      <x:c r="C156" s="23" t="str">
        <x:v>7月5日</x:v>
      </x:c>
      <x:c r="D156" s="24" t="n">
        <x:v>4655</x:v>
      </x:c>
      <x:c r="E156" s="24" t="n">
        <x:v>4725</x:v>
      </x:c>
      <x:c r="F156" s="24" t="n">
        <x:v>4600</x:v>
      </x:c>
      <x:c r="G156" s="24" t="n">
        <x:v>4698.2</x:v>
      </x:c>
      <x:c r="H156" s="25" t="n">
        <x:v>0.010403890886022449</x:v>
      </x:c>
      <x:c r="I156" s="24" t="n">
        <x:f>ROUND(E156-F156,1)</x:f>
        <x:v>125</x:v>
      </x:c>
      <x:c r="J156" s="23" t="str">
        <x:v>IM2409</x:v>
      </x:c>
    </x:row>
    <x:row r="157">
      <x:c r="A157" s="23" t="n">
        <x:v>6</x:v>
      </x:c>
      <x:c r="B157" s="23" t="str">
        <x:v>周一</x:v>
      </x:c>
      <x:c r="C157" s="23" t="str">
        <x:v>7月8日</x:v>
      </x:c>
      <x:c r="D157" s="24" t="n">
        <x:v>4678</x:v>
      </x:c>
      <x:c r="E157" s="24" t="n">
        <x:v>4685.8</x:v>
      </x:c>
      <x:c r="F157" s="24" t="n">
        <x:v>4551.8</x:v>
      </x:c>
      <x:c r="G157" s="24" t="n">
        <x:v>4577.6</x:v>
      </x:c>
      <x:c r="H157" s="25" t="n">
        <x:v>-0.02410949730023859</x:v>
      </x:c>
      <x:c r="I157" s="24" t="n">
        <x:f>ROUND(E157-F157,1)</x:f>
        <x:v>134</x:v>
      </x:c>
      <x:c r="J157" s="23" t="str">
        <x:v>IM2409</x:v>
      </x:c>
    </x:row>
    <x:row r="158">
      <x:c r="A158" s="23" t="n">
        <x:v>7</x:v>
      </x:c>
      <x:c r="B158" s="23" t="str">
        <x:v>周二</x:v>
      </x:c>
      <x:c r="C158" s="23" t="str">
        <x:v>7月9日</x:v>
      </x:c>
      <x:c r="D158" s="24" t="n">
        <x:v>4575</x:v>
      </x:c>
      <x:c r="E158" s="24" t="n">
        <x:v>4713.8</x:v>
      </x:c>
      <x:c r="F158" s="24" t="n">
        <x:v>4541.4</x:v>
      </x:c>
      <x:c r="G158" s="24" t="n">
        <x:v>4683.6</x:v>
      </x:c>
      <x:c r="H158" s="25" t="n">
        <x:v>0.022217456573021765</x:v>
      </x:c>
      <x:c r="I158" s="24" t="n">
        <x:f>ROUND(E158-F158,1)</x:f>
        <x:v>172.4</x:v>
      </x:c>
      <x:c r="J158" s="23" t="str">
        <x:v>IM2409</x:v>
      </x:c>
    </x:row>
    <x:row r="159">
      <x:c r="A159" s="23" t="n">
        <x:v>8</x:v>
      </x:c>
      <x:c r="B159" s="23" t="str">
        <x:v>周三</x:v>
      </x:c>
      <x:c r="C159" s="23" t="str">
        <x:v>7月10日</x:v>
      </x:c>
      <x:c r="D159" s="24" t="n">
        <x:v>4672</x:v>
      </x:c>
      <x:c r="E159" s="24" t="n">
        <x:v>4732.8</x:v>
      </x:c>
      <x:c r="F159" s="24" t="n">
        <x:v>4665</x:v>
      </x:c>
      <x:c r="G159" s="24" t="n">
        <x:v>4675</x:v>
      </x:c>
      <x:c r="H159" s="25" t="n">
        <x:v>-0.0018042210380565527</x:v>
      </x:c>
      <x:c r="I159" s="24" t="n">
        <x:f>ROUND(E159-F159,1)</x:f>
        <x:v>67.8</x:v>
      </x:c>
      <x:c r="J159" s="23" t="str">
        <x:v>IM2409</x:v>
      </x:c>
    </x:row>
    <x:row r="160">
      <x:c r="A160" s="23" t="n">
        <x:v>9</x:v>
      </x:c>
      <x:c r="B160" s="23" t="str">
        <x:v>周四</x:v>
      </x:c>
      <x:c r="C160" s="23" t="str">
        <x:v>7月11日</x:v>
      </x:c>
      <x:c r="D160" s="24" t="n">
        <x:v>4756</x:v>
      </x:c>
      <x:c r="E160" s="24" t="n">
        <x:v>4809.6</x:v>
      </x:c>
      <x:c r="F160" s="24" t="n">
        <x:v>4721</x:v>
      </x:c>
      <x:c r="G160" s="24" t="n">
        <x:v>4802.6</x:v>
      </x:c>
      <x:c r="H160" s="25" t="n">
        <x:v>0.02593526691887349</x:v>
      </x:c>
      <x:c r="I160" s="24" t="n">
        <x:f>ROUND(E160-F160,1)</x:f>
        <x:v>88.6</x:v>
      </x:c>
      <x:c r="J160" s="23" t="str">
        <x:v>IM2409</x:v>
      </x:c>
    </x:row>
    <x:row r="161">
      <x:c r="A161" s="23" t="n">
        <x:v>10</x:v>
      </x:c>
      <x:c r="B161" s="23" t="str">
        <x:v>周五</x:v>
      </x:c>
      <x:c r="C161" s="23" t="str">
        <x:v>7月12日</x:v>
      </x:c>
      <x:c r="D161" s="24" t="n">
        <x:v>4793.4</x:v>
      </x:c>
      <x:c r="E161" s="24" t="n">
        <x:v>4812</x:v>
      </x:c>
      <x:c r="F161" s="24" t="n">
        <x:v>4764</x:v>
      </x:c>
      <x:c r="G161" s="24" t="n">
        <x:v>4786.6</x:v>
      </x:c>
      <x:c r="H161" s="25" t="n">
        <x:v>-0.0035235793010202077</x:v>
      </x:c>
      <x:c r="I161" s="24" t="n">
        <x:f>ROUND(E161-F161,1)</x:f>
        <x:v>48</x:v>
      </x:c>
      <x:c r="J161" s="23" t="str">
        <x:v>IM2409</x:v>
      </x:c>
    </x:row>
    <x:row r="162">
      <x:c r="A162" s="23" t="n">
        <x:v>11</x:v>
      </x:c>
      <x:c r="B162" s="23" t="str">
        <x:v>周一</x:v>
      </x:c>
      <x:c r="C162" s="23" t="str">
        <x:v>7月15日</x:v>
      </x:c>
      <x:c r="D162" s="24" t="n">
        <x:v>4780</x:v>
      </x:c>
      <x:c r="E162" s="24" t="n">
        <x:v>4780</x:v>
      </x:c>
      <x:c r="F162" s="24" t="n">
        <x:v>4707</x:v>
      </x:c>
      <x:c r="G162" s="24" t="n">
        <x:v>4727</x:v>
      </x:c>
      <x:c r="H162" s="25" t="n">
        <x:v>-0.01138933432013478</x:v>
      </x:c>
      <x:c r="I162" s="24" t="n">
        <x:f>ROUND(E162-F162,1)</x:f>
        <x:v>73</x:v>
      </x:c>
      <x:c r="J162" s="23" t="str">
        <x:v>IM2409</x:v>
      </x:c>
    </x:row>
    <x:row r="163">
      <x:c r="A163" s="23" t="n">
        <x:v>12</x:v>
      </x:c>
      <x:c r="B163" s="23" t="str">
        <x:v>周二</x:v>
      </x:c>
      <x:c r="C163" s="23" t="str">
        <x:v>7月16日</x:v>
      </x:c>
      <x:c r="D163" s="24" t="n">
        <x:v>4715</x:v>
      </x:c>
      <x:c r="E163" s="24" t="n">
        <x:v>4748.2</x:v>
      </x:c>
      <x:c r="F163" s="24" t="n">
        <x:v>4680</x:v>
      </x:c>
      <x:c r="G163" s="24" t="n">
        <x:v>4725.2</x:v>
      </x:c>
      <x:c r="H163" s="25" t="n">
        <x:v>0.0016220262851438516</x:v>
      </x:c>
      <x:c r="I163" s="24" t="n">
        <x:f>ROUND(E163-F163,1)</x:f>
        <x:v>68.2</x:v>
      </x:c>
      <x:c r="J163" s="23" t="str">
        <x:v>IM2409</x:v>
      </x:c>
    </x:row>
    <x:row r="164">
      <x:c r="A164" s="23" t="n">
        <x:v>13</x:v>
      </x:c>
      <x:c r="B164" s="23" t="str">
        <x:v>周三</x:v>
      </x:c>
      <x:c r="C164" s="23" t="str">
        <x:v>7月17日</x:v>
      </x:c>
      <x:c r="D164" s="24" t="n">
        <x:v>4725</x:v>
      </x:c>
      <x:c r="E164" s="24" t="n">
        <x:v>4743</x:v>
      </x:c>
      <x:c r="F164" s="24" t="n">
        <x:v>4678.4</x:v>
      </x:c>
      <x:c r="G164" s="24" t="n">
        <x:v>4681.2</x:v>
      </x:c>
      <x:c r="H164" s="25" t="n">
        <x:v>-0.00560561391853176</x:v>
      </x:c>
      <x:c r="I164" s="24" t="n">
        <x:f>ROUND(E164-F164,1)</x:f>
        <x:v>64.6</x:v>
      </x:c>
      <x:c r="J164" s="23" t="str">
        <x:v>IM2409</x:v>
      </x:c>
    </x:row>
    <x:row r="165">
      <x:c r="A165" s="23" t="n">
        <x:v>14</x:v>
      </x:c>
      <x:c r="B165" s="23" t="str">
        <x:v>周四</x:v>
      </x:c>
      <x:c r="C165" s="23" t="str">
        <x:v>7月18日</x:v>
      </x:c>
      <x:c r="D165" s="24" t="n">
        <x:v>4660</x:v>
      </x:c>
      <x:c r="E165" s="24" t="n">
        <x:v>4724</x:v>
      </x:c>
      <x:c r="F165" s="24" t="n">
        <x:v>4605</x:v>
      </x:c>
      <x:c r="G165" s="24" t="n">
        <x:v>4706</x:v>
      </x:c>
      <x:c r="H165" s="25" t="n">
        <x:v>0.004092199766159821</x:v>
      </x:c>
      <x:c r="I165" s="24" t="n">
        <x:f>ROUND(E165-F165,1)</x:f>
        <x:v>119</x:v>
      </x:c>
      <x:c r="J165" s="23" t="str">
        <x:v>IM2409</x:v>
      </x:c>
    </x:row>
    <x:row r="166">
      <x:c r="A166" s="29" t="n">
        <x:v>15</x:v>
      </x:c>
      <x:c r="B166" s="29" t="str">
        <x:v>周五</x:v>
      </x:c>
      <x:c r="C166" s="29" t="str">
        <x:v>7月19日</x:v>
      </x:c>
      <x:c r="D166" s="30" t="n">
        <x:v>4682</x:v>
      </x:c>
      <x:c r="E166" s="30" t="n">
        <x:v>4777.6</x:v>
      </x:c>
      <x:c r="F166" s="30" t="n">
        <x:v>4659.8</x:v>
      </x:c>
      <x:c r="G166" s="30" t="n">
        <x:v>4710.4</x:v>
      </x:c>
      <x:c r="H166" s="31" t="n">
        <x:v>-0.010854196124095439</x:v>
      </x:c>
      <x:c r="I166" s="30" t="n">
        <x:f>ROUND(E166-F166,1)</x:f>
        <x:v>117.8</x:v>
      </x:c>
      <x:c r="J166" s="29" t="str">
        <x:v>IM2409</x:v>
      </x:c>
    </x:row>
    <x:row r="167">
      <x:c r="A167" s="23" t="n">
        <x:v>16</x:v>
      </x:c>
      <x:c r="B167" s="23" t="str">
        <x:v>周一</x:v>
      </x:c>
      <x:c r="C167" s="23" t="str">
        <x:v>7月22日</x:v>
      </x:c>
      <x:c r="D167" s="24" t="n">
        <x:v>4720.8</x:v>
      </x:c>
      <x:c r="E167" s="24" t="n">
        <x:v>4759</x:v>
      </x:c>
      <x:c r="F167" s="24" t="n">
        <x:v>4688</x:v>
      </x:c>
      <x:c r="G167" s="24" t="n">
        <x:v>4718.4</x:v>
      </x:c>
      <x:c r="H167" s="25" t="n">
        <x:v>0.0019339920117720233</x:v>
      </x:c>
      <x:c r="I167" s="24" t="n">
        <x:f>ROUND(E167-F167,1)</x:f>
        <x:v>71</x:v>
      </x:c>
      <x:c r="J167" s="23" t="str">
        <x:v>IM2409</x:v>
      </x:c>
    </x:row>
    <x:row r="168">
      <x:c r="A168" s="23" t="n">
        <x:v>17</x:v>
      </x:c>
      <x:c r="B168" s="23" t="str">
        <x:v>周二</x:v>
      </x:c>
      <x:c r="C168" s="23" t="str">
        <x:v>7月23日</x:v>
      </x:c>
      <x:c r="D168" s="24" t="n">
        <x:v>4723</x:v>
      </x:c>
      <x:c r="E168" s="24" t="n">
        <x:v>4730.8</x:v>
      </x:c>
      <x:c r="F168" s="24" t="n">
        <x:v>4572.8</x:v>
      </x:c>
      <x:c r="G168" s="24" t="n">
        <x:v>4574.8</x:v>
      </x:c>
      <x:c r="H168" s="25" t="n">
        <x:v>-0.029625277999244637</x:v>
      </x:c>
      <x:c r="I168" s="24" t="n">
        <x:f>ROUND(E168-F168,1)</x:f>
        <x:v>158</x:v>
      </x:c>
      <x:c r="J168" s="23" t="str">
        <x:v>IM2409</x:v>
      </x:c>
    </x:row>
    <x:row r="169">
      <x:c r="A169" s="23" t="n">
        <x:v>18</x:v>
      </x:c>
      <x:c r="B169" s="23" t="str">
        <x:v>周三</x:v>
      </x:c>
      <x:c r="C169" s="23" t="str">
        <x:v>7月24日</x:v>
      </x:c>
      <x:c r="D169" s="24" t="n">
        <x:v>4570</x:v>
      </x:c>
      <x:c r="E169" s="24" t="n">
        <x:v>4597.6</x:v>
      </x:c>
      <x:c r="F169" s="24" t="n">
        <x:v>4508</x:v>
      </x:c>
      <x:c r="G169" s="24" t="n">
        <x:v>4518.8</x:v>
      </x:c>
      <x:c r="H169" s="25" t="n">
        <x:v>-0.011848648648648652</x:v>
      </x:c>
      <x:c r="I169" s="24" t="n">
        <x:f>ROUND(E169-F169,1)</x:f>
        <x:v>89.6</x:v>
      </x:c>
      <x:c r="J169" s="23" t="str">
        <x:v>IM2409</x:v>
      </x:c>
    </x:row>
    <x:row r="170">
      <x:c r="A170" s="23" t="n">
        <x:v>19</x:v>
      </x:c>
      <x:c r="B170" s="23" t="str">
        <x:v>周四</x:v>
      </x:c>
      <x:c r="C170" s="23" t="str">
        <x:v>7月25日</x:v>
      </x:c>
      <x:c r="D170" s="24" t="n">
        <x:v>4500</x:v>
      </x:c>
      <x:c r="E170" s="24" t="n">
        <x:v>4588.8</x:v>
      </x:c>
      <x:c r="F170" s="24" t="n">
        <x:v>4488.4</x:v>
      </x:c>
      <x:c r="G170" s="24" t="n">
        <x:v>4526.8</x:v>
      </x:c>
      <x:c r="H170" s="25" t="n">
        <x:v>0.001969279243796862</x:v>
      </x:c>
      <x:c r="I170" s="24" t="n">
        <x:f>ROUND(E170-F170,1)</x:f>
        <x:v>100.4</x:v>
      </x:c>
      <x:c r="J170" s="23" t="str">
        <x:v>IM2409</x:v>
      </x:c>
    </x:row>
    <x:row r="171">
      <x:c r="A171" s="23" t="n">
        <x:v>20</x:v>
      </x:c>
      <x:c r="B171" s="23" t="str">
        <x:v>周五</x:v>
      </x:c>
      <x:c r="C171" s="23" t="str">
        <x:v>7月26日</x:v>
      </x:c>
      <x:c r="D171" s="24" t="n">
        <x:v>4556</x:v>
      </x:c>
      <x:c r="E171" s="24" t="n">
        <x:v>4624</x:v>
      </x:c>
      <x:c r="F171" s="24" t="n">
        <x:v>4550</x:v>
      </x:c>
      <x:c r="G171" s="24" t="n">
        <x:v>4613</x:v>
      </x:c>
      <x:c r="H171" s="25" t="n">
        <x:v>0.01864954577218736</x:v>
      </x:c>
      <x:c r="I171" s="24" t="n">
        <x:f>ROUND(E171-F171,1)</x:f>
        <x:v>74</x:v>
      </x:c>
      <x:c r="J171" s="23" t="str">
        <x:v>IM2409</x:v>
      </x:c>
    </x:row>
    <x:row r="172">
      <x:c r="A172" s="23" t="n">
        <x:v>21</x:v>
      </x:c>
      <x:c r="B172" s="23" t="str">
        <x:v>周一</x:v>
      </x:c>
      <x:c r="C172" s="23" t="str">
        <x:v>7月29日</x:v>
      </x:c>
      <x:c r="D172" s="24" t="n">
        <x:v>4620</x:v>
      </x:c>
      <x:c r="E172" s="24" t="n">
        <x:v>4625</x:v>
      </x:c>
      <x:c r="F172" s="24" t="n">
        <x:v>4566.2</x:v>
      </x:c>
      <x:c r="G172" s="24" t="n">
        <x:v>4583.8</x:v>
      </x:c>
      <x:c r="H172" s="25" t="n">
        <x:v>-0.005573897011533657</x:v>
      </x:c>
      <x:c r="I172" s="24" t="n">
        <x:f>ROUND(E172-F172,1)</x:f>
        <x:v>58.8</x:v>
      </x:c>
      <x:c r="J172" s="23" t="str">
        <x:v>IM2409</x:v>
      </x:c>
    </x:row>
    <x:row r="173">
      <x:c r="A173" s="23" t="n">
        <x:v>22</x:v>
      </x:c>
      <x:c r="B173" s="23" t="str">
        <x:v>周二</x:v>
      </x:c>
      <x:c r="C173" s="23" t="str">
        <x:v>7月30日</x:v>
      </x:c>
      <x:c r="D173" s="24" t="n">
        <x:v>4564</x:v>
      </x:c>
      <x:c r="E173" s="24" t="n">
        <x:v>4632.4</x:v>
      </x:c>
      <x:c r="F173" s="24" t="n">
        <x:v>4532.2</x:v>
      </x:c>
      <x:c r="G173" s="24" t="n">
        <x:v>4603.4</x:v>
      </x:c>
      <x:c r="H173" s="25" t="n">
        <x:v>0.003751131807010699</x:v>
      </x:c>
      <x:c r="I173" s="24" t="n">
        <x:f>ROUND(E173-F173,1)</x:f>
        <x:v>100.2</x:v>
      </x:c>
      <x:c r="J173" s="23" t="str">
        <x:v>IM2409</x:v>
      </x:c>
    </x:row>
    <x:row r="174">
      <x:c r="A174" s="23" t="n">
        <x:v>23</x:v>
      </x:c>
      <x:c r="B174" s="23" t="str">
        <x:v>周三</x:v>
      </x:c>
      <x:c r="C174" s="23" t="str">
        <x:v>7月31日</x:v>
      </x:c>
      <x:c r="D174" s="24" t="n">
        <x:v>4610</x:v>
      </x:c>
      <x:c r="E174" s="24" t="n">
        <x:v>4856.6</x:v>
      </x:c>
      <x:c r="F174" s="24" t="n">
        <x:v>4596.8</x:v>
      </x:c>
      <x:c r="G174" s="24" t="n">
        <x:v>4855.2</x:v>
      </x:c>
      <x:c r="H174" s="25" t="n">
        <x:v>0.051331615120274954</x:v>
      </x:c>
      <x:c r="I174" s="33" t="n">
        <x:f>ROUND(E174-F174,1)</x:f>
        <x:v>259.8</x:v>
      </x:c>
      <x:c r="J174" s="23" t="str">
        <x:v>IM2409</x:v>
      </x:c>
    </x:row>
    <x:row r="175">
      <x:c r="A175" s="36" t="str">
        <x:v>合计</x:v>
      </x:c>
      <x:c r="B175" s="35" t="n">
        <x:v>23</x:v>
      </x:c>
      <x:c r="C175" s="35"/>
      <x:c r="D175" s="35"/>
      <x:c r="E175" s="35"/>
      <x:c r="F175" s="35"/>
      <x:c r="G175" s="35"/>
      <x:c r="H175" s="35"/>
      <x:c r="I175" s="37" t="n">
        <x:f>ROUND(SUM(I152:I174),1)</x:f>
        <x:v>2439.4</x:v>
      </x:c>
      <x:c r="J175" s="35"/>
    </x:row>
    <x:row r="176">
      <x:c r="A176" s="36" t="str">
        <x:v>均值</x:v>
      </x:c>
      <x:c r="B176" s="35"/>
      <x:c r="C176" s="35"/>
      <x:c r="D176" s="35"/>
      <x:c r="E176" s="35"/>
      <x:c r="F176" s="35"/>
      <x:c r="G176" s="35"/>
      <x:c r="H176" s="35"/>
      <x:c r="I176" s="39" t="n">
        <x:f>ROUND(IFERROR(AVERAGE(I152:I174),0),1)</x:f>
        <x:v>106.1</x:v>
      </x:c>
      <x:c r="J176" s="35"/>
    </x:row>
    <x:row r="178">
      <x:c r="A178" s="17" t="str">
        <x:v>8月</x:v>
      </x:c>
      <x:c r="B178" s="17"/>
      <x:c r="C178" s="17"/>
      <x:c r="D178" s="17"/>
      <x:c r="E178" s="17"/>
      <x:c r="F178" s="17"/>
      <x:c r="G178" s="17"/>
      <x:c r="H178" s="17"/>
      <x:c r="I178" s="17"/>
      <x:c r="J178" s="17"/>
    </x:row>
    <x:row r="179">
      <x:c r="A179" s="20" t="str">
        <x:v>序号</x:v>
      </x:c>
      <x:c r="B179" s="20" t="str">
        <x:v>星期</x:v>
      </x:c>
      <x:c r="C179" s="20" t="str">
        <x:v>日期</x:v>
      </x:c>
      <x:c r="D179" s="20" t="str">
        <x:v>开盘</x:v>
      </x:c>
      <x:c r="E179" s="20" t="str">
        <x:v>高点</x:v>
      </x:c>
      <x:c r="F179" s="20" t="str">
        <x:v>低点</x:v>
      </x:c>
      <x:c r="G179" s="20" t="str">
        <x:v>收盘</x:v>
      </x:c>
      <x:c r="H179" s="20" t="str">
        <x:v>涨幅</x:v>
      </x:c>
      <x:c r="I179" s="20" t="str">
        <x:v>振幅</x:v>
      </x:c>
      <x:c r="J179" s="20" t="str">
        <x:v>标的</x:v>
      </x:c>
    </x:row>
    <x:row r="180">
      <x:c r="A180" s="23" t="n">
        <x:v>1</x:v>
      </x:c>
      <x:c r="B180" s="23" t="str">
        <x:v>周四</x:v>
      </x:c>
      <x:c r="C180" s="23" t="str">
        <x:v>8月1日</x:v>
      </x:c>
      <x:c r="D180" s="24" t="n">
        <x:v>4860</x:v>
      </x:c>
      <x:c r="E180" s="24" t="n">
        <x:v>4898</x:v>
      </x:c>
      <x:c r="F180" s="24" t="n">
        <x:v>4785</x:v>
      </x:c>
      <x:c r="G180" s="24" t="n">
        <x:v>4819.8</x:v>
      </x:c>
      <x:c r="H180" s="25" t="n">
        <x:v>-0.0072727272727273196</x:v>
      </x:c>
      <x:c r="I180" s="24" t="n">
        <x:f>ROUND(E180-F180,1)</x:f>
        <x:v>113</x:v>
      </x:c>
      <x:c r="J180" s="23" t="str">
        <x:v>IM2409</x:v>
      </x:c>
    </x:row>
    <x:row r="181">
      <x:c r="A181" s="23" t="n">
        <x:v>2</x:v>
      </x:c>
      <x:c r="B181" s="23" t="str">
        <x:v>周五</x:v>
      </x:c>
      <x:c r="C181" s="23" t="str">
        <x:v>8月2日</x:v>
      </x:c>
      <x:c r="D181" s="24" t="n">
        <x:v>4784</x:v>
      </x:c>
      <x:c r="E181" s="24" t="n">
        <x:v>4849.4</x:v>
      </x:c>
      <x:c r="F181" s="24" t="n">
        <x:v>4740</x:v>
      </x:c>
      <x:c r="G181" s="24" t="n">
        <x:v>4749</x:v>
      </x:c>
      <x:c r="H181" s="25" t="n">
        <x:v>-0.013705395727867553</x:v>
      </x:c>
      <x:c r="I181" s="24" t="n">
        <x:f>ROUND(E181-F181,1)</x:f>
        <x:v>109.4</x:v>
      </x:c>
      <x:c r="J181" s="23" t="str">
        <x:v>IM2409</x:v>
      </x:c>
    </x:row>
    <x:row r="182">
      <x:c r="A182" s="23" t="n">
        <x:v>3</x:v>
      </x:c>
      <x:c r="B182" s="23" t="str">
        <x:v>周一</x:v>
      </x:c>
      <x:c r="C182" s="23" t="str">
        <x:v>8月5日</x:v>
      </x:c>
      <x:c r="D182" s="24" t="n">
        <x:v>4724</x:v>
      </x:c>
      <x:c r="E182" s="24" t="n">
        <x:v>4811.8</x:v>
      </x:c>
      <x:c r="F182" s="24" t="n">
        <x:v>4612</x:v>
      </x:c>
      <x:c r="G182" s="24" t="n">
        <x:v>4625</x:v>
      </x:c>
      <x:c r="H182" s="25" t="n">
        <x:v>-0.025496578200634223</x:v>
      </x:c>
      <x:c r="I182" s="33" t="n">
        <x:f>ROUND(E182-F182,1)</x:f>
        <x:v>199.8</x:v>
      </x:c>
      <x:c r="J182" s="23" t="str">
        <x:v>IM2409</x:v>
      </x:c>
    </x:row>
    <x:row r="183">
      <x:c r="A183" s="23" t="n">
        <x:v>4</x:v>
      </x:c>
      <x:c r="B183" s="23" t="str">
        <x:v>周二</x:v>
      </x:c>
      <x:c r="C183" s="23" t="str">
        <x:v>8月6日</x:v>
      </x:c>
      <x:c r="D183" s="24" t="n">
        <x:v>4699.8</x:v>
      </x:c>
      <x:c r="E183" s="24" t="n">
        <x:v>4718.8</x:v>
      </x:c>
      <x:c r="F183" s="24" t="n">
        <x:v>4630.4</x:v>
      </x:c>
      <x:c r="G183" s="24" t="n">
        <x:v>4683.2</x:v>
      </x:c>
      <x:c r="H183" s="25" t="n">
        <x:v>0.012675031045261909</x:v>
      </x:c>
      <x:c r="I183" s="24" t="n">
        <x:f>ROUND(E183-F183,1)</x:f>
        <x:v>88.4</x:v>
      </x:c>
      <x:c r="J183" s="23" t="str">
        <x:v>IM2409</x:v>
      </x:c>
    </x:row>
    <x:row r="184">
      <x:c r="A184" s="23" t="n">
        <x:v>5</x:v>
      </x:c>
      <x:c r="B184" s="23" t="str">
        <x:v>周三</x:v>
      </x:c>
      <x:c r="C184" s="23" t="str">
        <x:v>8月7日</x:v>
      </x:c>
      <x:c r="D184" s="24" t="n">
        <x:v>4680</x:v>
      </x:c>
      <x:c r="E184" s="24" t="n">
        <x:v>4709.4</x:v>
      </x:c>
      <x:c r="F184" s="24" t="n">
        <x:v>4647</x:v>
      </x:c>
      <x:c r="G184" s="24" t="n">
        <x:v>4669</x:v>
      </x:c>
      <x:c r="H184" s="25" t="n">
        <x:v>-0.0022833946467081256</x:v>
      </x:c>
      <x:c r="I184" s="24" t="n">
        <x:f>ROUND(E184-F184,1)</x:f>
        <x:v>62.4</x:v>
      </x:c>
      <x:c r="J184" s="23" t="str">
        <x:v>IM2409</x:v>
      </x:c>
    </x:row>
    <x:row r="185">
      <x:c r="A185" s="23" t="n">
        <x:v>6</x:v>
      </x:c>
      <x:c r="B185" s="23" t="str">
        <x:v>周四</x:v>
      </x:c>
      <x:c r="C185" s="23" t="str">
        <x:v>8月8日</x:v>
      </x:c>
      <x:c r="D185" s="24" t="n">
        <x:v>4660</x:v>
      </x:c>
      <x:c r="E185" s="24" t="n">
        <x:v>4721.6</x:v>
      </x:c>
      <x:c r="F185" s="24" t="n">
        <x:v>4606</x:v>
      </x:c>
      <x:c r="G185" s="24" t="n">
        <x:v>4687.2</x:v>
      </x:c>
      <x:c r="H185" s="25" t="n">
        <x:v>0.0033905488450942656</x:v>
      </x:c>
      <x:c r="I185" s="24" t="n">
        <x:f>ROUND(E185-F185,1)</x:f>
        <x:v>115.6</x:v>
      </x:c>
      <x:c r="J185" s="23" t="str">
        <x:v>IM2409</x:v>
      </x:c>
    </x:row>
    <x:row r="186">
      <x:c r="A186" s="23" t="n">
        <x:v>7</x:v>
      </x:c>
      <x:c r="B186" s="23" t="str">
        <x:v>周五</x:v>
      </x:c>
      <x:c r="C186" s="23" t="str">
        <x:v>8月9日</x:v>
      </x:c>
      <x:c r="D186" s="24" t="n">
        <x:v>4716</x:v>
      </x:c>
      <x:c r="E186" s="24" t="n">
        <x:v>4743</x:v>
      </x:c>
      <x:c r="F186" s="24" t="n">
        <x:v>4628.2</x:v>
      </x:c>
      <x:c r="G186" s="24" t="n">
        <x:v>4631.6</x:v>
      </x:c>
      <x:c r="H186" s="25" t="n">
        <x:v>-0.010137275607180585</x:v>
      </x:c>
      <x:c r="I186" s="24" t="n">
        <x:f>ROUND(E186-F186,1)</x:f>
        <x:v>114.8</x:v>
      </x:c>
      <x:c r="J186" s="23" t="str">
        <x:v>IM2409</x:v>
      </x:c>
    </x:row>
    <x:row r="187">
      <x:c r="A187" s="23" t="n">
        <x:v>8</x:v>
      </x:c>
      <x:c r="B187" s="23" t="str">
        <x:v>周一</x:v>
      </x:c>
      <x:c r="C187" s="23" t="str">
        <x:v>8月12日</x:v>
      </x:c>
      <x:c r="D187" s="24" t="n">
        <x:v>4628</x:v>
      </x:c>
      <x:c r="E187" s="24" t="n">
        <x:v>4648</x:v>
      </x:c>
      <x:c r="F187" s="24" t="n">
        <x:v>4597.2</x:v>
      </x:c>
      <x:c r="G187" s="24" t="n">
        <x:v>4624.2</x:v>
      </x:c>
      <x:c r="H187" s="25" t="n">
        <x:v>-0.0018348623853211565</x:v>
      </x:c>
      <x:c r="I187" s="24" t="n">
        <x:f>ROUND(E187-F187,1)</x:f>
        <x:v>50.8</x:v>
      </x:c>
      <x:c r="J187" s="23" t="str">
        <x:v>IM2409</x:v>
      </x:c>
    </x:row>
    <x:row r="188">
      <x:c r="A188" s="23" t="n">
        <x:v>9</x:v>
      </x:c>
      <x:c r="B188" s="23" t="str">
        <x:v>周二</x:v>
      </x:c>
      <x:c r="C188" s="23" t="str">
        <x:v>8月13日</x:v>
      </x:c>
      <x:c r="D188" s="24" t="n">
        <x:v>4625.4</x:v>
      </x:c>
      <x:c r="E188" s="24" t="n">
        <x:v>4654</x:v>
      </x:c>
      <x:c r="F188" s="24" t="n">
        <x:v>4588</x:v>
      </x:c>
      <x:c r="G188" s="24" t="n">
        <x:v>4639</x:v>
      </x:c>
      <x:c r="H188" s="25" t="n">
        <x:v>0.002436730506156115</x:v>
      </x:c>
      <x:c r="I188" s="24" t="n">
        <x:f>ROUND(E188-F188,1)</x:f>
        <x:v>66</x:v>
      </x:c>
      <x:c r="J188" s="23" t="str">
        <x:v>IM2409</x:v>
      </x:c>
    </x:row>
    <x:row r="189">
      <x:c r="A189" s="23" t="n">
        <x:v>10</x:v>
      </x:c>
      <x:c r="B189" s="23" t="str">
        <x:v>周三</x:v>
      </x:c>
      <x:c r="C189" s="23" t="str">
        <x:v>8月14日</x:v>
      </x:c>
      <x:c r="D189" s="24" t="n">
        <x:v>4646</x:v>
      </x:c>
      <x:c r="E189" s="24" t="n">
        <x:v>4650</x:v>
      </x:c>
      <x:c r="F189" s="24" t="n">
        <x:v>4590</x:v>
      </x:c>
      <x:c r="G189" s="24" t="n">
        <x:v>4590.6</x:v>
      </x:c>
      <x:c r="H189" s="25" t="n">
        <x:v>-0.010277623779265554</x:v>
      </x:c>
      <x:c r="I189" s="24" t="n">
        <x:f>ROUND(E189-F189,1)</x:f>
        <x:v>60</x:v>
      </x:c>
      <x:c r="J189" s="23" t="str">
        <x:v>IM2409</x:v>
      </x:c>
    </x:row>
    <x:row r="190">
      <x:c r="A190" s="23" t="n">
        <x:v>11</x:v>
      </x:c>
      <x:c r="B190" s="23" t="str">
        <x:v>周四</x:v>
      </x:c>
      <x:c r="C190" s="23" t="str">
        <x:v>8月15日</x:v>
      </x:c>
      <x:c r="D190" s="24" t="n">
        <x:v>4580</x:v>
      </x:c>
      <x:c r="E190" s="24" t="n">
        <x:v>4719.4</x:v>
      </x:c>
      <x:c r="F190" s="24" t="n">
        <x:v>4573.6</x:v>
      </x:c>
      <x:c r="G190" s="24" t="n">
        <x:v>4637.4</x:v>
      </x:c>
      <x:c r="H190" s="25" t="n">
        <x:v>-0.0009048603929681098</x:v>
      </x:c>
      <x:c r="I190" s="24" t="n">
        <x:f>ROUND(E190-F190,1)</x:f>
        <x:v>145.8</x:v>
      </x:c>
      <x:c r="J190" s="23" t="str">
        <x:v>IM2409</x:v>
      </x:c>
    </x:row>
    <x:row r="191">
      <x:c r="A191" s="29" t="n">
        <x:v>12</x:v>
      </x:c>
      <x:c r="B191" s="29" t="str">
        <x:v>周五</x:v>
      </x:c>
      <x:c r="C191" s="29" t="str">
        <x:v>8月16日</x:v>
      </x:c>
      <x:c r="D191" s="30" t="n">
        <x:v>4649</x:v>
      </x:c>
      <x:c r="E191" s="30" t="n">
        <x:v>4668.8</x:v>
      </x:c>
      <x:c r="F191" s="30" t="n">
        <x:v>4602</x:v>
      </x:c>
      <x:c r="G191" s="30" t="n">
        <x:v>4606.2</x:v>
      </x:c>
      <x:c r="H191" s="31" t="n">
        <x:v>-0.006727907879415129</x:v>
      </x:c>
      <x:c r="I191" s="30" t="n">
        <x:f>ROUND(E191-F191,1)</x:f>
        <x:v>66.8</x:v>
      </x:c>
      <x:c r="J191" s="29" t="str">
        <x:v>IM2409</x:v>
      </x:c>
    </x:row>
    <x:row r="192">
      <x:c r="A192" s="23" t="n">
        <x:v>13</x:v>
      </x:c>
      <x:c r="B192" s="23" t="str">
        <x:v>周一</x:v>
      </x:c>
      <x:c r="C192" s="23" t="str">
        <x:v>8月19日</x:v>
      </x:c>
      <x:c r="D192" s="24" t="n">
        <x:v>4608</x:v>
      </x:c>
      <x:c r="E192" s="24" t="n">
        <x:v>4687.4</x:v>
      </x:c>
      <x:c r="F192" s="24" t="n">
        <x:v>4600.2</x:v>
      </x:c>
      <x:c r="G192" s="24" t="n">
        <x:v>4622.8</x:v>
      </x:c>
      <x:c r="H192" s="25" t="n">
        <x:v>0.003603838304893525</x:v>
      </x:c>
      <x:c r="I192" s="24" t="n">
        <x:f>ROUND(E192-F192,1)</x:f>
        <x:v>87.2</x:v>
      </x:c>
      <x:c r="J192" s="23" t="str">
        <x:v>IM2409</x:v>
      </x:c>
    </x:row>
    <x:row r="193">
      <x:c r="A193" s="23" t="n">
        <x:v>14</x:v>
      </x:c>
      <x:c r="B193" s="23" t="str">
        <x:v>周二</x:v>
      </x:c>
      <x:c r="C193" s="23" t="str">
        <x:v>8月20日</x:v>
      </x:c>
      <x:c r="D193" s="24" t="n">
        <x:v>4626</x:v>
      </x:c>
      <x:c r="E193" s="24" t="n">
        <x:v>4632.8</x:v>
      </x:c>
      <x:c r="F193" s="24" t="n">
        <x:v>4518.2</x:v>
      </x:c>
      <x:c r="G193" s="24" t="n">
        <x:v>4537</x:v>
      </x:c>
      <x:c r="H193" s="25" t="n">
        <x:v>-0.01856017997750281</x:v>
      </x:c>
      <x:c r="I193" s="24" t="n">
        <x:f>ROUND(E193-F193,1)</x:f>
        <x:v>114.6</x:v>
      </x:c>
      <x:c r="J193" s="23" t="str">
        <x:v>IM2409</x:v>
      </x:c>
    </x:row>
    <x:row r="194">
      <x:c r="A194" s="23" t="n">
        <x:v>15</x:v>
      </x:c>
      <x:c r="B194" s="23" t="str">
        <x:v>周三</x:v>
      </x:c>
      <x:c r="C194" s="23" t="str">
        <x:v>8月21日</x:v>
      </x:c>
      <x:c r="D194" s="24" t="n">
        <x:v>4530.2</x:v>
      </x:c>
      <x:c r="E194" s="24" t="n">
        <x:v>4559</x:v>
      </x:c>
      <x:c r="F194" s="24" t="n">
        <x:v>4513.6</x:v>
      </x:c>
      <x:c r="G194" s="24" t="n">
        <x:v>4522</x:v>
      </x:c>
      <x:c r="H194" s="25" t="n">
        <x:v>-0.0033061494379545975</x:v>
      </x:c>
      <x:c r="I194" s="24" t="n">
        <x:f>ROUND(E194-F194,1)</x:f>
        <x:v>45.4</x:v>
      </x:c>
      <x:c r="J194" s="23" t="str">
        <x:v>IM2409</x:v>
      </x:c>
    </x:row>
    <x:row r="195">
      <x:c r="A195" s="23" t="n">
        <x:v>16</x:v>
      </x:c>
      <x:c r="B195" s="23" t="str">
        <x:v>周四</x:v>
      </x:c>
      <x:c r="C195" s="23" t="str">
        <x:v>8月22日</x:v>
      </x:c>
      <x:c r="D195" s="24" t="n">
        <x:v>4528</x:v>
      </x:c>
      <x:c r="E195" s="24" t="n">
        <x:v>4538.2</x:v>
      </x:c>
      <x:c r="F195" s="24" t="n">
        <x:v>4456.4</x:v>
      </x:c>
      <x:c r="G195" s="24" t="n">
        <x:v>4473.2</x:v>
      </x:c>
      <x:c r="H195" s="25" t="n">
        <x:v>-0.010791685095090653</x:v>
      </x:c>
      <x:c r="I195" s="24" t="n">
        <x:f>ROUND(E195-F195,1)</x:f>
        <x:v>81.8</x:v>
      </x:c>
      <x:c r="J195" s="23" t="str">
        <x:v>IM2409</x:v>
      </x:c>
    </x:row>
    <x:row r="196">
      <x:c r="A196" s="23" t="n">
        <x:v>17</x:v>
      </x:c>
      <x:c r="B196" s="23" t="str">
        <x:v>周五</x:v>
      </x:c>
      <x:c r="C196" s="23" t="str">
        <x:v>8月23日</x:v>
      </x:c>
      <x:c r="D196" s="24" t="n">
        <x:v>4478</x:v>
      </x:c>
      <x:c r="E196" s="24" t="n">
        <x:v>4494</x:v>
      </x:c>
      <x:c r="F196" s="24" t="n">
        <x:v>4445.6</x:v>
      </x:c>
      <x:c r="G196" s="24" t="n">
        <x:v>4475</x:v>
      </x:c>
      <x:c r="H196" s="25" t="n">
        <x:v>0.00040239649467954663</x:v>
      </x:c>
      <x:c r="I196" s="24" t="n">
        <x:f>ROUND(E196-F196,1)</x:f>
        <x:v>48.4</x:v>
      </x:c>
      <x:c r="J196" s="23" t="str">
        <x:v>IM2409</x:v>
      </x:c>
    </x:row>
    <x:row r="197">
      <x:c r="A197" s="23" t="n">
        <x:v>18</x:v>
      </x:c>
      <x:c r="B197" s="23" t="str">
        <x:v>周一</x:v>
      </x:c>
      <x:c r="C197" s="23" t="str">
        <x:v>8月26日</x:v>
      </x:c>
      <x:c r="D197" s="24" t="n">
        <x:v>4480</x:v>
      </x:c>
      <x:c r="E197" s="24" t="n">
        <x:v>4517</x:v>
      </x:c>
      <x:c r="F197" s="24" t="n">
        <x:v>4458.6</x:v>
      </x:c>
      <x:c r="G197" s="24" t="n">
        <x:v>4489.2</x:v>
      </x:c>
      <x:c r="H197" s="25" t="n">
        <x:v>0.0031731843575417695</x:v>
      </x:c>
      <x:c r="I197" s="24" t="n">
        <x:f>ROUND(E197-F197,1)</x:f>
        <x:v>58.4</x:v>
      </x:c>
      <x:c r="J197" s="23" t="str">
        <x:v>IM2409</x:v>
      </x:c>
    </x:row>
    <x:row r="198">
      <x:c r="A198" s="23" t="n">
        <x:v>19</x:v>
      </x:c>
      <x:c r="B198" s="23" t="str">
        <x:v>周二</x:v>
      </x:c>
      <x:c r="C198" s="23" t="str">
        <x:v>8月27日</x:v>
      </x:c>
      <x:c r="D198" s="24" t="n">
        <x:v>4476</x:v>
      </x:c>
      <x:c r="E198" s="24" t="n">
        <x:v>4480</x:v>
      </x:c>
      <x:c r="F198" s="24" t="n">
        <x:v>4422.8</x:v>
      </x:c>
      <x:c r="G198" s="24" t="n">
        <x:v>4442.2</x:v>
      </x:c>
      <x:c r="H198" s="25" t="n">
        <x:v>-0.010469571415842482</x:v>
      </x:c>
      <x:c r="I198" s="24" t="n">
        <x:f>ROUND(E198-F198,1)</x:f>
        <x:v>57.2</x:v>
      </x:c>
      <x:c r="J198" s="23" t="str">
        <x:v>IM2409</x:v>
      </x:c>
    </x:row>
    <x:row r="199">
      <x:c r="A199" s="23" t="n">
        <x:v>20</x:v>
      </x:c>
      <x:c r="B199" s="23" t="str">
        <x:v>周三</x:v>
      </x:c>
      <x:c r="C199" s="23" t="str">
        <x:v>8月28日</x:v>
      </x:c>
      <x:c r="D199" s="24" t="n">
        <x:v>4433</x:v>
      </x:c>
      <x:c r="E199" s="24" t="n">
        <x:v>4493.8</x:v>
      </x:c>
      <x:c r="F199" s="24" t="n">
        <x:v>4421.2</x:v>
      </x:c>
      <x:c r="G199" s="24" t="n">
        <x:v>4450.2</x:v>
      </x:c>
      <x:c r="H199" s="25" t="n">
        <x:v>0.0018009094592770225</x:v>
      </x:c>
      <x:c r="I199" s="24" t="n">
        <x:f>ROUND(E199-F199,1)</x:f>
        <x:v>72.6</x:v>
      </x:c>
      <x:c r="J199" s="23" t="str">
        <x:v>IM2409</x:v>
      </x:c>
    </x:row>
    <x:row r="200">
      <x:c r="A200" s="23" t="n">
        <x:v>21</x:v>
      </x:c>
      <x:c r="B200" s="23" t="str">
        <x:v>周四</x:v>
      </x:c>
      <x:c r="C200" s="23" t="str">
        <x:v>8月29日</x:v>
      </x:c>
      <x:c r="D200" s="24" t="n">
        <x:v>4434.6</x:v>
      </x:c>
      <x:c r="E200" s="24" t="n">
        <x:v>4553.6</x:v>
      </x:c>
      <x:c r="F200" s="24" t="n">
        <x:v>4432</x:v>
      </x:c>
      <x:c r="G200" s="24" t="n">
        <x:v>4527.4</x:v>
      </x:c>
      <x:c r="H200" s="25" t="n">
        <x:v>0.01734753494224983</x:v>
      </x:c>
      <x:c r="I200" s="24" t="n">
        <x:f>ROUND(E200-F200,1)</x:f>
        <x:v>121.6</x:v>
      </x:c>
      <x:c r="J200" s="23" t="str">
        <x:v>IM2409</x:v>
      </x:c>
    </x:row>
    <x:row r="201">
      <x:c r="A201" s="23" t="n">
        <x:v>22</x:v>
      </x:c>
      <x:c r="B201" s="23" t="str">
        <x:v>周五</x:v>
      </x:c>
      <x:c r="C201" s="23" t="str">
        <x:v>8月30日</x:v>
      </x:c>
      <x:c r="D201" s="24" t="n">
        <x:v>4527.6</x:v>
      </x:c>
      <x:c r="E201" s="24" t="n">
        <x:v>4697.6</x:v>
      </x:c>
      <x:c r="F201" s="24" t="n">
        <x:v>4525.2</x:v>
      </x:c>
      <x:c r="G201" s="24" t="n">
        <x:v>4621</x:v>
      </x:c>
      <x:c r="H201" s="25" t="n">
        <x:v>0.02067411759508775</x:v>
      </x:c>
      <x:c r="I201" s="24" t="n">
        <x:f>ROUND(E201-F201,1)</x:f>
        <x:v>172.4</x:v>
      </x:c>
      <x:c r="J201" s="23" t="str">
        <x:v>IM2409</x:v>
      </x:c>
    </x:row>
    <x:row r="202">
      <x:c r="A202" s="36" t="str">
        <x:v>合计</x:v>
      </x:c>
      <x:c r="B202" s="35" t="n">
        <x:v>22</x:v>
      </x:c>
      <x:c r="C202" s="35"/>
      <x:c r="D202" s="35"/>
      <x:c r="E202" s="35"/>
      <x:c r="F202" s="35"/>
      <x:c r="G202" s="35"/>
      <x:c r="H202" s="35"/>
      <x:c r="I202" s="37" t="n">
        <x:f>ROUND(SUM(I180:I201),1)</x:f>
        <x:v>2052.4</x:v>
      </x:c>
      <x:c r="J202" s="35"/>
    </x:row>
    <x:row r="203">
      <x:c r="A203" s="36" t="str">
        <x:v>均值</x:v>
      </x:c>
      <x:c r="B203" s="35"/>
      <x:c r="C203" s="35"/>
      <x:c r="D203" s="35"/>
      <x:c r="E203" s="35"/>
      <x:c r="F203" s="35"/>
      <x:c r="G203" s="35"/>
      <x:c r="H203" s="35"/>
      <x:c r="I203" s="39" t="n">
        <x:f>ROUND(IFERROR(AVERAGE(I180:I201),0),1)</x:f>
        <x:v>93.3</x:v>
      </x:c>
      <x:c r="J203" s="35"/>
    </x:row>
    <x:row r="205">
      <x:c r="A205" s="17" t="str">
        <x:v>9月</x:v>
      </x:c>
      <x:c r="B205" s="17"/>
      <x:c r="C205" s="17"/>
      <x:c r="D205" s="17"/>
      <x:c r="E205" s="17"/>
      <x:c r="F205" s="17"/>
      <x:c r="G205" s="17"/>
      <x:c r="H205" s="17"/>
      <x:c r="I205" s="17"/>
      <x:c r="J205" s="17"/>
    </x:row>
    <x:row r="206">
      <x:c r="A206" s="20" t="str">
        <x:v>序号</x:v>
      </x:c>
      <x:c r="B206" s="20" t="str">
        <x:v>星期</x:v>
      </x:c>
      <x:c r="C206" s="20" t="str">
        <x:v>日期</x:v>
      </x:c>
      <x:c r="D206" s="20" t="str">
        <x:v>开盘</x:v>
      </x:c>
      <x:c r="E206" s="20" t="str">
        <x:v>高点</x:v>
      </x:c>
      <x:c r="F206" s="20" t="str">
        <x:v>低点</x:v>
      </x:c>
      <x:c r="G206" s="20" t="str">
        <x:v>收盘</x:v>
      </x:c>
      <x:c r="H206" s="20" t="str">
        <x:v>涨幅</x:v>
      </x:c>
      <x:c r="I206" s="20" t="str">
        <x:v>振幅</x:v>
      </x:c>
      <x:c r="J206" s="20" t="str">
        <x:v>标的</x:v>
      </x:c>
    </x:row>
    <x:row r="207">
      <x:c r="A207" s="23" t="n">
        <x:v>1</x:v>
      </x:c>
      <x:c r="B207" s="23" t="str">
        <x:v>周一</x:v>
      </x:c>
      <x:c r="C207" s="23" t="str">
        <x:v>9月2日</x:v>
      </x:c>
      <x:c r="D207" s="24" t="n">
        <x:v>4612</x:v>
      </x:c>
      <x:c r="E207" s="24" t="n">
        <x:v>4634.8</x:v>
      </x:c>
      <x:c r="F207" s="24" t="n">
        <x:v>4508.8</x:v>
      </x:c>
      <x:c r="G207" s="24" t="n">
        <x:v>4515.6</x:v>
      </x:c>
      <x:c r="H207" s="25" t="n">
        <x:v>-0.022808915819086728</x:v>
      </x:c>
      <x:c r="I207" s="24" t="n">
        <x:f>ROUND(E207-F207,1)</x:f>
        <x:v>126</x:v>
      </x:c>
      <x:c r="J207" s="23" t="str">
        <x:v>IM2409</x:v>
      </x:c>
    </x:row>
    <x:row r="208">
      <x:c r="A208" s="23" t="n">
        <x:v>2</x:v>
      </x:c>
      <x:c r="B208" s="23" t="str">
        <x:v>周二</x:v>
      </x:c>
      <x:c r="C208" s="23" t="str">
        <x:v>9月3日</x:v>
      </x:c>
      <x:c r="D208" s="24" t="n">
        <x:v>4524</x:v>
      </x:c>
      <x:c r="E208" s="24" t="n">
        <x:v>4592.8</x:v>
      </x:c>
      <x:c r="F208" s="24" t="n">
        <x:v>4514</x:v>
      </x:c>
      <x:c r="G208" s="24" t="n">
        <x:v>4547.4</x:v>
      </x:c>
      <x:c r="H208" s="25" t="n">
        <x:v>0.007042253521126529</x:v>
      </x:c>
      <x:c r="I208" s="24" t="n">
        <x:f>ROUND(E208-F208,1)</x:f>
        <x:v>78.8</x:v>
      </x:c>
      <x:c r="J208" s="23" t="str">
        <x:v>IM2409</x:v>
      </x:c>
    </x:row>
    <x:row r="209">
      <x:c r="A209" s="23" t="n">
        <x:v>3</x:v>
      </x:c>
      <x:c r="B209" s="23" t="str">
        <x:v>周三</x:v>
      </x:c>
      <x:c r="C209" s="23" t="str">
        <x:v>9月4日</x:v>
      </x:c>
      <x:c r="D209" s="24" t="n">
        <x:v>4530</x:v>
      </x:c>
      <x:c r="E209" s="24" t="n">
        <x:v>4587</x:v>
      </x:c>
      <x:c r="F209" s="24" t="n">
        <x:v>4507</x:v>
      </x:c>
      <x:c r="G209" s="24" t="n">
        <x:v>4536.2</x:v>
      </x:c>
      <x:c r="H209" s="25" t="n">
        <x:v>-0.002462945859172283</x:v>
      </x:c>
      <x:c r="I209" s="24" t="n">
        <x:f>ROUND(E209-F209,1)</x:f>
        <x:v>80</x:v>
      </x:c>
      <x:c r="J209" s="23" t="str">
        <x:v>IM2409</x:v>
      </x:c>
    </x:row>
    <x:row r="210">
      <x:c r="A210" s="23" t="n">
        <x:v>4</x:v>
      </x:c>
      <x:c r="B210" s="23" t="str">
        <x:v>周四</x:v>
      </x:c>
      <x:c r="C210" s="23" t="str">
        <x:v>9月5日</x:v>
      </x:c>
      <x:c r="D210" s="24" t="n">
        <x:v>4544.6</x:v>
      </x:c>
      <x:c r="E210" s="24" t="n">
        <x:v>4611.4</x:v>
      </x:c>
      <x:c r="F210" s="24" t="n">
        <x:v>4544.6</x:v>
      </x:c>
      <x:c r="G210" s="24" t="n">
        <x:v>4577.2</x:v>
      </x:c>
      <x:c r="H210" s="25" t="n">
        <x:v>0.009038402186852368</x:v>
      </x:c>
      <x:c r="I210" s="24" t="n">
        <x:f>ROUND(E210-F210,1)</x:f>
        <x:v>66.8</x:v>
      </x:c>
      <x:c r="J210" s="23" t="str">
        <x:v>IM2409</x:v>
      </x:c>
    </x:row>
    <x:row r="211">
      <x:c r="A211" s="23" t="n">
        <x:v>5</x:v>
      </x:c>
      <x:c r="B211" s="23" t="str">
        <x:v>周五</x:v>
      </x:c>
      <x:c r="C211" s="23" t="str">
        <x:v>9月6日</x:v>
      </x:c>
      <x:c r="D211" s="24" t="n">
        <x:v>4595</x:v>
      </x:c>
      <x:c r="E211" s="24" t="n">
        <x:v>4597.4</x:v>
      </x:c>
      <x:c r="F211" s="24" t="n">
        <x:v>4482</x:v>
      </x:c>
      <x:c r="G211" s="24" t="n">
        <x:v>4497.2</x:v>
      </x:c>
      <x:c r="H211" s="25" t="n">
        <x:v>-0.01747793410818843</x:v>
      </x:c>
      <x:c r="I211" s="24" t="n">
        <x:f>ROUND(E211-F211,1)</x:f>
        <x:v>115.4</x:v>
      </x:c>
      <x:c r="J211" s="23" t="str">
        <x:v>IM2409</x:v>
      </x:c>
    </x:row>
    <x:row r="212">
      <x:c r="A212" s="23" t="n">
        <x:v>6</x:v>
      </x:c>
      <x:c r="B212" s="23" t="str">
        <x:v>周一</x:v>
      </x:c>
      <x:c r="C212" s="23" t="str">
        <x:v>9月9日</x:v>
      </x:c>
      <x:c r="D212" s="24" t="n">
        <x:v>4487.2</x:v>
      </x:c>
      <x:c r="E212" s="24" t="n">
        <x:v>4518.6</x:v>
      </x:c>
      <x:c r="F212" s="24" t="n">
        <x:v>4445.2</x:v>
      </x:c>
      <x:c r="G212" s="24" t="n">
        <x:v>4457.4</x:v>
      </x:c>
      <x:c r="H212" s="25" t="n">
        <x:v>-0.008849951080672436</x:v>
      </x:c>
      <x:c r="I212" s="24" t="n">
        <x:f>ROUND(E212-F212,1)</x:f>
        <x:v>73.4</x:v>
      </x:c>
      <x:c r="J212" s="23" t="str">
        <x:v>IM2409</x:v>
      </x:c>
    </x:row>
    <x:row r="213">
      <x:c r="A213" s="23" t="n">
        <x:v>7</x:v>
      </x:c>
      <x:c r="B213" s="23" t="str">
        <x:v>周二</x:v>
      </x:c>
      <x:c r="C213" s="23" t="str">
        <x:v>9月10日</x:v>
      </x:c>
      <x:c r="D213" s="24" t="n">
        <x:v>4471</x:v>
      </x:c>
      <x:c r="E213" s="24" t="n">
        <x:v>4502.4</x:v>
      </x:c>
      <x:c r="F213" s="24" t="n">
        <x:v>4378.8</x:v>
      </x:c>
      <x:c r="G213" s="24" t="n">
        <x:v>4473.6</x:v>
      </x:c>
      <x:c r="H213" s="25" t="n">
        <x:v>0.0036344057073631753</x:v>
      </x:c>
      <x:c r="I213" s="24" t="n">
        <x:f>ROUND(E213-F213,1)</x:f>
        <x:v>123.6</x:v>
      </x:c>
      <x:c r="J213" s="23" t="str">
        <x:v>IM2409</x:v>
      </x:c>
    </x:row>
    <x:row r="214">
      <x:c r="A214" s="23" t="n">
        <x:v>8</x:v>
      </x:c>
      <x:c r="B214" s="23" t="str">
        <x:v>周三</x:v>
      </x:c>
      <x:c r="C214" s="23" t="str">
        <x:v>9月11日</x:v>
      </x:c>
      <x:c r="D214" s="24" t="n">
        <x:v>4460</x:v>
      </x:c>
      <x:c r="E214" s="24" t="n">
        <x:v>4494.4</x:v>
      </x:c>
      <x:c r="F214" s="24" t="n">
        <x:v>4439</x:v>
      </x:c>
      <x:c r="G214" s="24" t="n">
        <x:v>4474.8</x:v>
      </x:c>
      <x:c r="H214" s="25" t="n">
        <x:v>0.00026824034334760327</x:v>
      </x:c>
      <x:c r="I214" s="24" t="n">
        <x:f>ROUND(E214-F214,1)</x:f>
        <x:v>55.4</x:v>
      </x:c>
      <x:c r="J214" s="23" t="str">
        <x:v>IM2409</x:v>
      </x:c>
    </x:row>
    <x:row r="215">
      <x:c r="A215" s="23" t="n">
        <x:v>9</x:v>
      </x:c>
      <x:c r="B215" s="23" t="str">
        <x:v>周四</x:v>
      </x:c>
      <x:c r="C215" s="23" t="str">
        <x:v>9月12日</x:v>
      </x:c>
      <x:c r="D215" s="24" t="n">
        <x:v>4484</x:v>
      </x:c>
      <x:c r="E215" s="24" t="n">
        <x:v>4545</x:v>
      </x:c>
      <x:c r="F215" s="24" t="n">
        <x:v>4461.6</x:v>
      </x:c>
      <x:c r="G215" s="24" t="n">
        <x:v>4468.4</x:v>
      </x:c>
      <x:c r="H215" s="25" t="n">
        <x:v>-0.0014302315187272319</x:v>
      </x:c>
      <x:c r="I215" s="24" t="n">
        <x:f>ROUND(E215-F215,1)</x:f>
        <x:v>83.4</x:v>
      </x:c>
      <x:c r="J215" s="23" t="str">
        <x:v>IM2409</x:v>
      </x:c>
    </x:row>
    <x:row r="216">
      <x:c r="A216" s="23" t="n">
        <x:v>10</x:v>
      </x:c>
      <x:c r="B216" s="23" t="str">
        <x:v>周五</x:v>
      </x:c>
      <x:c r="C216" s="23" t="str">
        <x:v>9月13日</x:v>
      </x:c>
      <x:c r="D216" s="24" t="n">
        <x:v>4475</x:v>
      </x:c>
      <x:c r="E216" s="24" t="n">
        <x:v>4478.6</x:v>
      </x:c>
      <x:c r="F216" s="24" t="n">
        <x:v>4414.2</x:v>
      </x:c>
      <x:c r="G216" s="24" t="n">
        <x:v>4416.8</x:v>
      </x:c>
      <x:c r="H216" s="25" t="n">
        <x:v>-0.011547757586608087</x:v>
      </x:c>
      <x:c r="I216" s="24" t="n">
        <x:f>ROUND(E216-F216,1)</x:f>
        <x:v>64.4</x:v>
      </x:c>
      <x:c r="J216" s="23" t="str">
        <x:v>IM2409</x:v>
      </x:c>
    </x:row>
    <x:row r="217">
      <x:c r="A217" s="23" t="n">
        <x:v>11</x:v>
      </x:c>
      <x:c r="B217" s="23" t="str">
        <x:v>周三</x:v>
      </x:c>
      <x:c r="C217" s="23" t="str">
        <x:v>9月18日</x:v>
      </x:c>
      <x:c r="D217" s="24" t="n">
        <x:v>4413</x:v>
      </x:c>
      <x:c r="E217" s="24" t="n">
        <x:v>4423</x:v>
      </x:c>
      <x:c r="F217" s="24" t="n">
        <x:v>4337.4</x:v>
      </x:c>
      <x:c r="G217" s="24" t="n">
        <x:v>4405</x:v>
      </x:c>
      <x:c r="H217" s="25" t="n">
        <x:v>-0.002671617460604958</x:v>
      </x:c>
      <x:c r="I217" s="24" t="n">
        <x:f>ROUND(E217-F217,1)</x:f>
        <x:v>85.6</x:v>
      </x:c>
      <x:c r="J217" s="23" t="str">
        <x:v>IM2409</x:v>
      </x:c>
    </x:row>
    <x:row r="218">
      <x:c r="A218" s="23" t="n">
        <x:v>12</x:v>
      </x:c>
      <x:c r="B218" s="23" t="str">
        <x:v>周四</x:v>
      </x:c>
      <x:c r="C218" s="23" t="str">
        <x:v>9月19日</x:v>
      </x:c>
      <x:c r="D218" s="24" t="n">
        <x:v>4422.2</x:v>
      </x:c>
      <x:c r="E218" s="24" t="n">
        <x:v>4543.2</x:v>
      </x:c>
      <x:c r="F218" s="24" t="n">
        <x:v>4380</x:v>
      </x:c>
      <x:c r="G218" s="24" t="n">
        <x:v>4487.4</x:v>
      </x:c>
      <x:c r="H218" s="25" t="n">
        <x:v>0.018706015891032823</x:v>
      </x:c>
      <x:c r="I218" s="24" t="n">
        <x:f>ROUND(E218-F218,1)</x:f>
        <x:v>163.2</x:v>
      </x:c>
      <x:c r="J218" s="23" t="str">
        <x:v>IM2409</x:v>
      </x:c>
    </x:row>
    <x:row r="219">
      <x:c r="A219" s="29" t="n">
        <x:v>13</x:v>
      </x:c>
      <x:c r="B219" s="29" t="str">
        <x:v>周五</x:v>
      </x:c>
      <x:c r="C219" s="29" t="str">
        <x:v>9月20日</x:v>
      </x:c>
      <x:c r="D219" s="30" t="n">
        <x:v>4483</x:v>
      </x:c>
      <x:c r="E219" s="30" t="n">
        <x:v>4493</x:v>
      </x:c>
      <x:c r="F219" s="30" t="n">
        <x:v>4437</x:v>
      </x:c>
      <x:c r="G219" s="30" t="n">
        <x:v>4447.8</x:v>
      </x:c>
      <x:c r="H219" s="31" t="n">
        <x:v>-0.00882470918571987</x:v>
      </x:c>
      <x:c r="I219" s="30" t="n">
        <x:f>ROUND(E219-F219,1)</x:f>
        <x:v>56</x:v>
      </x:c>
      <x:c r="J219" s="29" t="str">
        <x:v>IM2409</x:v>
      </x:c>
    </x:row>
    <x:row r="220">
      <x:c r="A220" s="23" t="n">
        <x:v>14</x:v>
      </x:c>
      <x:c r="B220" s="23" t="str">
        <x:v>周一</x:v>
      </x:c>
      <x:c r="C220" s="23" t="str">
        <x:v>9月23日</x:v>
      </x:c>
      <x:c r="D220" s="24" t="n">
        <x:v>4344</x:v>
      </x:c>
      <x:c r="E220" s="24" t="n">
        <x:v>4421.6</x:v>
      </x:c>
      <x:c r="F220" s="24" t="n">
        <x:v>4325.4</x:v>
      </x:c>
      <x:c r="G220" s="24" t="n">
        <x:v>4363</x:v>
      </x:c>
      <x:c r="H220" s="25" t="n">
        <x:v>-0.002428166734115833</x:v>
      </x:c>
      <x:c r="I220" s="24" t="n">
        <x:f>ROUND(E220-F220,1)</x:f>
        <x:v>96.2</x:v>
      </x:c>
      <x:c r="J220" s="23" t="str">
        <x:v>IM2412</x:v>
      </x:c>
    </x:row>
    <x:row r="221">
      <x:c r="A221" s="23" t="n">
        <x:v>15</x:v>
      </x:c>
      <x:c r="B221" s="23" t="str">
        <x:v>周二</x:v>
      </x:c>
      <x:c r="C221" s="23" t="str">
        <x:v>9月24日</x:v>
      </x:c>
      <x:c r="D221" s="24" t="n">
        <x:v>4430</x:v>
      </x:c>
      <x:c r="E221" s="24" t="n">
        <x:v>4590</x:v>
      </x:c>
      <x:c r="F221" s="24" t="n">
        <x:v>4369</x:v>
      </x:c>
      <x:c r="G221" s="24" t="n">
        <x:v>4586</x:v>
      </x:c>
      <x:c r="H221" s="25" t="n">
        <x:v>0.04872661708361492</x:v>
      </x:c>
      <x:c r="I221" s="33" t="n">
        <x:f>ROUND(E221-F221,1)</x:f>
        <x:v>221</x:v>
      </x:c>
      <x:c r="J221" s="23" t="str">
        <x:v>IM2412</x:v>
      </x:c>
    </x:row>
    <x:row r="222">
      <x:c r="A222" s="23" t="n">
        <x:v>16</x:v>
      </x:c>
      <x:c r="B222" s="23" t="str">
        <x:v>周三</x:v>
      </x:c>
      <x:c r="C222" s="23" t="str">
        <x:v>9月25日</x:v>
      </x:c>
      <x:c r="D222" s="24" t="n">
        <x:v>4642.2</x:v>
      </x:c>
      <x:c r="E222" s="24" t="n">
        <x:v>4739</x:v>
      </x:c>
      <x:c r="F222" s="24" t="n">
        <x:v>4609.4</x:v>
      </x:c>
      <x:c r="G222" s="24" t="n">
        <x:v>4617</x:v>
      </x:c>
      <x:c r="H222" s="25" t="n">
        <x:v>0.005759477348921127</x:v>
      </x:c>
      <x:c r="I222" s="24" t="n">
        <x:f>ROUND(E222-F222,1)</x:f>
        <x:v>129.6</x:v>
      </x:c>
      <x:c r="J222" s="23" t="str">
        <x:v>IM2412</x:v>
      </x:c>
    </x:row>
    <x:row r="223">
      <x:c r="A223" s="23" t="n">
        <x:v>17</x:v>
      </x:c>
      <x:c r="B223" s="23" t="str">
        <x:v>周四</x:v>
      </x:c>
      <x:c r="C223" s="23" t="str">
        <x:v>9月26日</x:v>
      </x:c>
      <x:c r="D223" s="24" t="n">
        <x:v>4620</x:v>
      </x:c>
      <x:c r="E223" s="24" t="n">
        <x:v>4885</x:v>
      </x:c>
      <x:c r="F223" s="24" t="n">
        <x:v>4600</x:v>
      </x:c>
      <x:c r="G223" s="24" t="n">
        <x:v>4882.4</x:v>
      </x:c>
      <x:c r="H223" s="25" t="n">
        <x:v>0.05499999999999994</x:v>
      </x:c>
      <x:c r="I223" s="33" t="n">
        <x:f>ROUND(E223-F223,1)</x:f>
        <x:v>285</x:v>
      </x:c>
      <x:c r="J223" s="23" t="str">
        <x:v>IM2412</x:v>
      </x:c>
    </x:row>
    <x:row r="224">
      <x:c r="A224" s="23" t="n">
        <x:v>18</x:v>
      </x:c>
      <x:c r="B224" s="23" t="str">
        <x:v>周五</x:v>
      </x:c>
      <x:c r="C224" s="23" t="str">
        <x:v>9月27日</x:v>
      </x:c>
      <x:c r="D224" s="24" t="n">
        <x:v>4978</x:v>
      </x:c>
      <x:c r="E224" s="24" t="n">
        <x:v>5297.2</x:v>
      </x:c>
      <x:c r="F224" s="24" t="n">
        <x:v>4902</x:v>
      </x:c>
      <x:c r="G224" s="24" t="n">
        <x:v>5297.2</x:v>
      </x:c>
      <x:c r="H224" s="25" t="n">
        <x:v>0.08603718556325202</x:v>
      </x:c>
      <x:c r="I224" s="33" t="n">
        <x:f>ROUND(E224-F224,1)</x:f>
        <x:v>395.2</x:v>
      </x:c>
      <x:c r="J224" s="23" t="str">
        <x:v>IM2412</x:v>
      </x:c>
    </x:row>
    <x:row r="225">
      <x:c r="A225" s="23" t="n">
        <x:v>19</x:v>
      </x:c>
      <x:c r="B225" s="23" t="str">
        <x:v>周一</x:v>
      </x:c>
      <x:c r="C225" s="23" t="str">
        <x:v>9月30日</x:v>
      </x:c>
      <x:c r="D225" s="24" t="n">
        <x:v>5460</x:v>
      </x:c>
      <x:c r="E225" s="24" t="n">
        <x:v>5769.6</x:v>
      </x:c>
      <x:c r="F225" s="24" t="n">
        <x:v>5401.2</x:v>
      </x:c>
      <x:c r="G225" s="24" t="n">
        <x:v>5769.6</x:v>
      </x:c>
      <x:c r="H225" s="25" t="n">
        <x:v>0.08414456752825328</x:v>
      </x:c>
      <x:c r="I225" s="33" t="n">
        <x:f>ROUND(E225-F225,1)</x:f>
        <x:v>368.4</x:v>
      </x:c>
      <x:c r="J225" s="23" t="str">
        <x:v>IM2412</x:v>
      </x:c>
    </x:row>
    <x:row r="226">
      <x:c r="A226" s="36" t="str">
        <x:v>合计</x:v>
      </x:c>
      <x:c r="B226" s="35" t="n">
        <x:v>19</x:v>
      </x:c>
      <x:c r="C226" s="35"/>
      <x:c r="D226" s="35"/>
      <x:c r="E226" s="35"/>
      <x:c r="F226" s="35"/>
      <x:c r="G226" s="35"/>
      <x:c r="H226" s="35"/>
      <x:c r="I226" s="37" t="n">
        <x:f>ROUND(SUM(I207:I225),1)</x:f>
        <x:v>2667.4</x:v>
      </x:c>
      <x:c r="J226" s="35"/>
    </x:row>
    <x:row r="227">
      <x:c r="A227" s="36" t="str">
        <x:v>均值</x:v>
      </x:c>
      <x:c r="B227" s="35"/>
      <x:c r="C227" s="35"/>
      <x:c r="D227" s="35"/>
      <x:c r="E227" s="35"/>
      <x:c r="F227" s="35"/>
      <x:c r="G227" s="35"/>
      <x:c r="H227" s="35"/>
      <x:c r="I227" s="39" t="n">
        <x:f>ROUND(IFERROR(AVERAGE(I207:I225),0),1)</x:f>
        <x:v>140.4</x:v>
      </x:c>
      <x:c r="J227" s="35"/>
    </x:row>
    <x:row r="229">
      <x:c r="A229" s="17" t="str">
        <x:v>10月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</x:row>
    <x:row r="230">
      <x:c r="A230" s="20" t="str">
        <x:v>序号</x:v>
      </x:c>
      <x:c r="B230" s="20" t="str">
        <x:v>星期</x:v>
      </x:c>
      <x:c r="C230" s="20" t="str">
        <x:v>日期</x:v>
      </x:c>
      <x:c r="D230" s="20" t="str">
        <x:v>开盘</x:v>
      </x:c>
      <x:c r="E230" s="20" t="str">
        <x:v>高点</x:v>
      </x:c>
      <x:c r="F230" s="20" t="str">
        <x:v>低点</x:v>
      </x:c>
      <x:c r="G230" s="20" t="str">
        <x:v>收盘</x:v>
      </x:c>
      <x:c r="H230" s="20" t="str">
        <x:v>涨幅</x:v>
      </x:c>
      <x:c r="I230" s="20" t="str">
        <x:v>振幅</x:v>
      </x:c>
      <x:c r="J230" s="20" t="str">
        <x:v>标的</x:v>
      </x:c>
    </x:row>
    <x:row r="231">
      <x:c r="A231" s="23" t="n">
        <x:v>1</x:v>
      </x:c>
      <x:c r="B231" s="23" t="str">
        <x:v>周二</x:v>
      </x:c>
      <x:c r="C231" s="23" t="str">
        <x:v>10月8日</x:v>
      </x:c>
      <x:c r="D231" s="24" t="n">
        <x:v>6339.2</x:v>
      </x:c>
      <x:c r="E231" s="24" t="n">
        <x:v>6339.2</x:v>
      </x:c>
      <x:c r="F231" s="24" t="n">
        <x:v>5895.2</x:v>
      </x:c>
      <x:c r="G231" s="24" t="n">
        <x:v>6184.8</x:v>
      </x:c>
      <x:c r="H231" s="25" t="n">
        <x:v>0.06990745518973407</x:v>
      </x:c>
      <x:c r="I231" s="33" t="n">
        <x:f>ROUND(E231-F231,1)</x:f>
        <x:v>444</x:v>
      </x:c>
      <x:c r="J231" s="23" t="str">
        <x:v>IM2412</x:v>
      </x:c>
    </x:row>
    <x:row r="232">
      <x:c r="A232" s="23" t="n">
        <x:v>2</x:v>
      </x:c>
      <x:c r="B232" s="23" t="str">
        <x:v>周三</x:v>
      </x:c>
      <x:c r="C232" s="23" t="str">
        <x:v>10月9日</x:v>
      </x:c>
      <x:c r="D232" s="24" t="n">
        <x:v>6026.6</x:v>
      </x:c>
      <x:c r="E232" s="24" t="n">
        <x:v>6106.6</x:v>
      </x:c>
      <x:c r="F232" s="24" t="n">
        <x:v>5634.8</x:v>
      </x:c>
      <x:c r="G232" s="24" t="n">
        <x:v>5715.8</x:v>
      </x:c>
      <x:c r="H232" s="25" t="n">
        <x:v>-0.07556513071159843</x:v>
      </x:c>
      <x:c r="I232" s="33" t="n">
        <x:f>ROUND(E232-F232,1)</x:f>
        <x:v>471.8</x:v>
      </x:c>
      <x:c r="J232" s="23" t="str">
        <x:v>IM2412</x:v>
      </x:c>
    </x:row>
    <x:row r="233">
      <x:c r="A233" s="23" t="n">
        <x:v>3</x:v>
      </x:c>
      <x:c r="B233" s="23" t="str">
        <x:v>周四</x:v>
      </x:c>
      <x:c r="C233" s="23" t="str">
        <x:v>10月10日</x:v>
      </x:c>
      <x:c r="D233" s="24" t="n">
        <x:v>5844</x:v>
      </x:c>
      <x:c r="E233" s="24" t="n">
        <x:v>5902.2</x:v>
      </x:c>
      <x:c r="F233" s="24" t="n">
        <x:v>5605</x:v>
      </x:c>
      <x:c r="G233" s="24" t="n">
        <x:v>5628.8</x:v>
      </x:c>
      <x:c r="H233" s="25" t="n">
        <x:v>-0.014922258165501412</x:v>
      </x:c>
      <x:c r="I233" s="33" t="n">
        <x:f>ROUND(E233-F233,1)</x:f>
        <x:v>297.2</x:v>
      </x:c>
      <x:c r="J233" s="23" t="str">
        <x:v>IM2412</x:v>
      </x:c>
    </x:row>
    <x:row r="234">
      <x:c r="A234" s="23" t="n">
        <x:v>4</x:v>
      </x:c>
      <x:c r="B234" s="23" t="str">
        <x:v>周五</x:v>
      </x:c>
      <x:c r="C234" s="23" t="str">
        <x:v>10月11日</x:v>
      </x:c>
      <x:c r="D234" s="24" t="n">
        <x:v>5600</x:v>
      </x:c>
      <x:c r="E234" s="24" t="n">
        <x:v>5618</x:v>
      </x:c>
      <x:c r="F234" s="24" t="n">
        <x:v>5302</x:v>
      </x:c>
      <x:c r="G234" s="24" t="n">
        <x:v>5379</x:v>
      </x:c>
      <x:c r="H234" s="25" t="n">
        <x:v>-0.042549435028248594</x:v>
      </x:c>
      <x:c r="I234" s="33" t="n">
        <x:f>ROUND(E234-F234,1)</x:f>
        <x:v>316</x:v>
      </x:c>
      <x:c r="J234" s="23" t="str">
        <x:v>IM2412</x:v>
      </x:c>
    </x:row>
    <x:row r="235">
      <x:c r="A235" s="23" t="n">
        <x:v>5</x:v>
      </x:c>
      <x:c r="B235" s="23" t="str">
        <x:v>周一</x:v>
      </x:c>
      <x:c r="C235" s="23" t="str">
        <x:v>10月14日</x:v>
      </x:c>
      <x:c r="D235" s="24" t="n">
        <x:v>5399.2</x:v>
      </x:c>
      <x:c r="E235" s="24" t="n">
        <x:v>5585.4</x:v>
      </x:c>
      <x:c r="F235" s="24" t="n">
        <x:v>5284.4</x:v>
      </x:c>
      <x:c r="G235" s="24" t="n">
        <x:v>5557</x:v>
      </x:c>
      <x:c r="H235" s="25" t="n">
        <x:v>0.03503595795685044</x:v>
      </x:c>
      <x:c r="I235" s="33" t="n">
        <x:f>ROUND(E235-F235,1)</x:f>
        <x:v>301</x:v>
      </x:c>
      <x:c r="J235" s="23" t="str">
        <x:v>IM2412</x:v>
      </x:c>
    </x:row>
    <x:row r="236">
      <x:c r="A236" s="23" t="n">
        <x:v>6</x:v>
      </x:c>
      <x:c r="B236" s="23" t="str">
        <x:v>周二</x:v>
      </x:c>
      <x:c r="C236" s="23" t="str">
        <x:v>10月15日</x:v>
      </x:c>
      <x:c r="D236" s="24" t="n">
        <x:v>5502.8</x:v>
      </x:c>
      <x:c r="E236" s="24" t="n">
        <x:v>5651</x:v>
      </x:c>
      <x:c r="F236" s="24" t="n">
        <x:v>5411</x:v>
      </x:c>
      <x:c r="G236" s="24" t="n">
        <x:v>5411</x:v>
      </x:c>
      <x:c r="H236" s="25" t="n">
        <x:v>-0.02344557277748094</x:v>
      </x:c>
      <x:c r="I236" s="33" t="n">
        <x:f>ROUND(E236-F236,1)</x:f>
        <x:v>240</x:v>
      </x:c>
      <x:c r="J236" s="23" t="str">
        <x:v>IM2412</x:v>
      </x:c>
    </x:row>
    <x:row r="237">
      <x:c r="A237" s="23" t="n">
        <x:v>7</x:v>
      </x:c>
      <x:c r="B237" s="23" t="str">
        <x:v>周三</x:v>
      </x:c>
      <x:c r="C237" s="23" t="str">
        <x:v>10月16日</x:v>
      </x:c>
      <x:c r="D237" s="24" t="n">
        <x:v>5356.8</x:v>
      </x:c>
      <x:c r="E237" s="24" t="n">
        <x:v>5563.6</x:v>
      </x:c>
      <x:c r="F237" s="24" t="n">
        <x:v>5350.4</x:v>
      </x:c>
      <x:c r="G237" s="24" t="n">
        <x:v>5470.4</x:v>
      </x:c>
      <x:c r="H237" s="25" t="n">
        <x:v>0.008355529609223922</x:v>
      </x:c>
      <x:c r="I237" s="33" t="n">
        <x:f>ROUND(E237-F237,1)</x:f>
        <x:v>213.2</x:v>
      </x:c>
      <x:c r="J237" s="23" t="str">
        <x:v>IM2412</x:v>
      </x:c>
    </x:row>
    <x:row r="238">
      <x:c r="A238" s="23" t="n">
        <x:v>8</x:v>
      </x:c>
      <x:c r="B238" s="23" t="str">
        <x:v>周四</x:v>
      </x:c>
      <x:c r="C238" s="23" t="str">
        <x:v>10月17日</x:v>
      </x:c>
      <x:c r="D238" s="24" t="n">
        <x:v>5519.8</x:v>
      </x:c>
      <x:c r="E238" s="24" t="n">
        <x:v>5578.8</x:v>
      </x:c>
      <x:c r="F238" s="24" t="n">
        <x:v>5430</x:v>
      </x:c>
      <x:c r="G238" s="24" t="n">
        <x:v>5434</x:v>
      </x:c>
      <x:c r="H238" s="25" t="n">
        <x:v>-0.006730351715154126</x:v>
      </x:c>
      <x:c r="I238" s="24" t="n">
        <x:f>ROUND(E238-F238,1)</x:f>
        <x:v>148.8</x:v>
      </x:c>
      <x:c r="J238" s="23" t="str">
        <x:v>IM2412</x:v>
      </x:c>
    </x:row>
    <x:row r="239">
      <x:c r="A239" s="29" t="n">
        <x:v>9</x:v>
      </x:c>
      <x:c r="B239" s="29" t="str">
        <x:v>周五</x:v>
      </x:c>
      <x:c r="C239" s="29" t="str">
        <x:v>10月18日</x:v>
      </x:c>
      <x:c r="D239" s="30" t="n">
        <x:v>5455</x:v>
      </x:c>
      <x:c r="E239" s="30" t="n">
        <x:v>5989.8</x:v>
      </x:c>
      <x:c r="F239" s="30" t="n">
        <x:v>5430</x:v>
      </x:c>
      <x:c r="G239" s="30" t="n">
        <x:v>5728</x:v>
      </x:c>
      <x:c r="H239" s="31" t="n">
        <x:v>0.043351548269580986</x:v>
      </x:c>
      <x:c r="I239" s="33" t="n">
        <x:f>ROUND(E239-F239,1)</x:f>
        <x:v>559.8</x:v>
      </x:c>
      <x:c r="J239" s="29" t="str">
        <x:v>IM2412</x:v>
      </x:c>
    </x:row>
    <x:row r="240">
      <x:c r="A240" s="23" t="n">
        <x:v>10</x:v>
      </x:c>
      <x:c r="B240" s="23" t="str">
        <x:v>周一</x:v>
      </x:c>
      <x:c r="C240" s="23" t="str">
        <x:v>10月21日</x:v>
      </x:c>
      <x:c r="D240" s="24" t="n">
        <x:v>5780</x:v>
      </x:c>
      <x:c r="E240" s="24" t="n">
        <x:v>5944</x:v>
      </x:c>
      <x:c r="F240" s="24" t="n">
        <x:v>5750.4</x:v>
      </x:c>
      <x:c r="G240" s="24" t="n">
        <x:v>5822.6</x:v>
      </x:c>
      <x:c r="H240" s="25" t="n">
        <x:v>0.016515363128491778</x:v>
      </x:c>
      <x:c r="I240" s="33" t="n">
        <x:f>ROUND(E240-F240,1)</x:f>
        <x:v>193.6</x:v>
      </x:c>
      <x:c r="J240" s="23" t="str">
        <x:v>IM2412</x:v>
      </x:c>
    </x:row>
    <x:row r="241">
      <x:c r="A241" s="23" t="n">
        <x:v>11</x:v>
      </x:c>
      <x:c r="B241" s="23" t="str">
        <x:v>周二</x:v>
      </x:c>
      <x:c r="C241" s="23" t="str">
        <x:v>10月22日</x:v>
      </x:c>
      <x:c r="D241" s="24" t="n">
        <x:v>5817</x:v>
      </x:c>
      <x:c r="E241" s="24" t="n">
        <x:v>5896</x:v>
      </x:c>
      <x:c r="F241" s="24" t="n">
        <x:v>5764</x:v>
      </x:c>
      <x:c r="G241" s="24" t="n">
        <x:v>5850.6</x:v>
      </x:c>
      <x:c r="H241" s="25" t="n">
        <x:v>0.0048088482808368305</x:v>
      </x:c>
      <x:c r="I241" s="24" t="n">
        <x:f>ROUND(E241-F241,1)</x:f>
        <x:v>132</x:v>
      </x:c>
      <x:c r="J241" s="23" t="str">
        <x:v>IM2412</x:v>
      </x:c>
    </x:row>
    <x:row r="242">
      <x:c r="A242" s="23" t="n">
        <x:v>12</x:v>
      </x:c>
      <x:c r="B242" s="23" t="str">
        <x:v>周三</x:v>
      </x:c>
      <x:c r="C242" s="23" t="str">
        <x:v>10月23日</x:v>
      </x:c>
      <x:c r="D242" s="24" t="n">
        <x:v>5828</x:v>
      </x:c>
      <x:c r="E242" s="24" t="n">
        <x:v>5976</x:v>
      </x:c>
      <x:c r="F242" s="24" t="n">
        <x:v>5811.2</x:v>
      </x:c>
      <x:c r="G242" s="24" t="n">
        <x:v>5866.2</x:v>
      </x:c>
      <x:c r="H242" s="25" t="n">
        <x:v>0.002666393190441818</x:v>
      </x:c>
      <x:c r="I242" s="24" t="n">
        <x:f>ROUND(E242-F242,1)</x:f>
        <x:v>164.8</x:v>
      </x:c>
      <x:c r="J242" s="23" t="str">
        <x:v>IM2412</x:v>
      </x:c>
    </x:row>
    <x:row r="243">
      <x:c r="A243" s="23" t="n">
        <x:v>13</x:v>
      </x:c>
      <x:c r="B243" s="23" t="str">
        <x:v>周四</x:v>
      </x:c>
      <x:c r="C243" s="23" t="str">
        <x:v>10月24日</x:v>
      </x:c>
      <x:c r="D243" s="24" t="n">
        <x:v>5840</x:v>
      </x:c>
      <x:c r="E243" s="24" t="n">
        <x:v>5861</x:v>
      </x:c>
      <x:c r="F243" s="24" t="n">
        <x:v>5775.6</x:v>
      </x:c>
      <x:c r="G243" s="24" t="n">
        <x:v>5832</x:v>
      </x:c>
      <x:c r="H243" s="25" t="n">
        <x:v>-0.005830009205277653</x:v>
      </x:c>
      <x:c r="I243" s="24" t="n">
        <x:f>ROUND(E243-F243,1)</x:f>
        <x:v>85.4</x:v>
      </x:c>
      <x:c r="J243" s="23" t="str">
        <x:v>IM2412</x:v>
      </x:c>
    </x:row>
    <x:row r="244">
      <x:c r="A244" s="23" t="n">
        <x:v>14</x:v>
      </x:c>
      <x:c r="B244" s="23" t="str">
        <x:v>周五</x:v>
      </x:c>
      <x:c r="C244" s="23" t="str">
        <x:v>10月25日</x:v>
      </x:c>
      <x:c r="D244" s="24" t="n">
        <x:v>5855.8</x:v>
      </x:c>
      <x:c r="E244" s="24" t="n">
        <x:v>6001.8</x:v>
      </x:c>
      <x:c r="F244" s="24" t="n">
        <x:v>5843.4</x:v>
      </x:c>
      <x:c r="G244" s="24" t="n">
        <x:v>5979.4</x:v>
      </x:c>
      <x:c r="H244" s="25" t="n">
        <x:v>0.02527434842249643</x:v>
      </x:c>
      <x:c r="I244" s="24" t="n">
        <x:f>ROUND(E244-F244,1)</x:f>
        <x:v>158.4</x:v>
      </x:c>
      <x:c r="J244" s="23" t="str">
        <x:v>IM2412</x:v>
      </x:c>
    </x:row>
    <x:row r="245">
      <x:c r="A245" s="23" t="n">
        <x:v>15</x:v>
      </x:c>
      <x:c r="B245" s="23" t="str">
        <x:v>周一</x:v>
      </x:c>
      <x:c r="C245" s="23" t="str">
        <x:v>10月28日</x:v>
      </x:c>
      <x:c r="D245" s="24" t="n">
        <x:v>5981.4</x:v>
      </x:c>
      <x:c r="E245" s="24" t="n">
        <x:v>6050.8</x:v>
      </x:c>
      <x:c r="F245" s="24" t="n">
        <x:v>5931</x:v>
      </x:c>
      <x:c r="G245" s="24" t="n">
        <x:v>6044</x:v>
      </x:c>
      <x:c r="H245" s="25" t="n">
        <x:v>0.010803759574539384</x:v>
      </x:c>
      <x:c r="I245" s="24" t="n">
        <x:f>ROUND(E245-F245,1)</x:f>
        <x:v>119.8</x:v>
      </x:c>
      <x:c r="J245" s="23" t="str">
        <x:v>IM2412</x:v>
      </x:c>
    </x:row>
    <x:row r="246">
      <x:c r="A246" s="23" t="n">
        <x:v>16</x:v>
      </x:c>
      <x:c r="B246" s="23" t="str">
        <x:v>周二</x:v>
      </x:c>
      <x:c r="C246" s="23" t="str">
        <x:v>10月29日</x:v>
      </x:c>
      <x:c r="D246" s="24" t="n">
        <x:v>6075</x:v>
      </x:c>
      <x:c r="E246" s="24" t="n">
        <x:v>6087.4</x:v>
      </x:c>
      <x:c r="F246" s="24" t="n">
        <x:v>5931.2</x:v>
      </x:c>
      <x:c r="G246" s="24" t="n">
        <x:v>5951</x:v>
      </x:c>
      <x:c r="H246" s="25" t="n">
        <x:v>-0.015387160820648615</x:v>
      </x:c>
      <x:c r="I246" s="24" t="n">
        <x:f>ROUND(E246-F246,1)</x:f>
        <x:v>156.2</x:v>
      </x:c>
      <x:c r="J246" s="23" t="str">
        <x:v>IM2412</x:v>
      </x:c>
    </x:row>
    <x:row r="247">
      <x:c r="A247" s="23" t="n">
        <x:v>17</x:v>
      </x:c>
      <x:c r="B247" s="23" t="str">
        <x:v>周三</x:v>
      </x:c>
      <x:c r="C247" s="23" t="str">
        <x:v>10月30日</x:v>
      </x:c>
      <x:c r="D247" s="24" t="n">
        <x:v>5936</x:v>
      </x:c>
      <x:c r="E247" s="24" t="n">
        <x:v>6009.6</x:v>
      </x:c>
      <x:c r="F247" s="24" t="n">
        <x:v>5890.8</x:v>
      </x:c>
      <x:c r="G247" s="24" t="n">
        <x:v>5975</x:v>
      </x:c>
      <x:c r="H247" s="25" t="n">
        <x:v>0.004032935641068658</x:v>
      </x:c>
      <x:c r="I247" s="24" t="n">
        <x:f>ROUND(E247-F247,1)</x:f>
        <x:v>118.8</x:v>
      </x:c>
      <x:c r="J247" s="23" t="str">
        <x:v>IM2412</x:v>
      </x:c>
    </x:row>
    <x:row r="248">
      <x:c r="A248" s="23" t="n">
        <x:v>18</x:v>
      </x:c>
      <x:c r="B248" s="23" t="str">
        <x:v>周四</x:v>
      </x:c>
      <x:c r="C248" s="23" t="str">
        <x:v>10月31日</x:v>
      </x:c>
      <x:c r="D248" s="24" t="n">
        <x:v>5988.2</x:v>
      </x:c>
      <x:c r="E248" s="24" t="n">
        <x:v>6133</x:v>
      </x:c>
      <x:c r="F248" s="24" t="n">
        <x:v>5950</x:v>
      </x:c>
      <x:c r="G248" s="24" t="n">
        <x:v>6063.6</x:v>
      </x:c>
      <x:c r="H248" s="25" t="n">
        <x:v>0.014828451882845206</x:v>
      </x:c>
      <x:c r="I248" s="24" t="n">
        <x:f>ROUND(E248-F248,1)</x:f>
        <x:v>183</x:v>
      </x:c>
      <x:c r="J248" s="23" t="str">
        <x:v>IM2412</x:v>
      </x:c>
    </x:row>
    <x:row r="249">
      <x:c r="A249" s="36" t="str">
        <x:v>合计</x:v>
      </x:c>
      <x:c r="B249" s="35" t="n">
        <x:v>18</x:v>
      </x:c>
      <x:c r="C249" s="35"/>
      <x:c r="D249" s="35"/>
      <x:c r="E249" s="35"/>
      <x:c r="F249" s="35"/>
      <x:c r="G249" s="35"/>
      <x:c r="H249" s="35"/>
      <x:c r="I249" s="37" t="n">
        <x:f>ROUND(SUM(I231:I248),1)</x:f>
        <x:v>4303.8</x:v>
      </x:c>
      <x:c r="J249" s="35"/>
    </x:row>
    <x:row r="250">
      <x:c r="A250" s="36" t="str">
        <x:v>均值</x:v>
      </x:c>
      <x:c r="B250" s="35"/>
      <x:c r="C250" s="35"/>
      <x:c r="D250" s="35"/>
      <x:c r="E250" s="35"/>
      <x:c r="F250" s="35"/>
      <x:c r="G250" s="35"/>
      <x:c r="H250" s="35"/>
      <x:c r="I250" s="39" t="n">
        <x:f>ROUND(IFERROR(AVERAGE(I231:I248),0),1)</x:f>
        <x:v>239.1</x:v>
      </x:c>
      <x:c r="J250" s="35"/>
    </x:row>
    <x:row r="252">
      <x:c r="A252" s="17" t="str">
        <x:v>11月</x:v>
      </x:c>
      <x:c r="B252" s="17"/>
      <x:c r="C252" s="17"/>
      <x:c r="D252" s="17"/>
      <x:c r="E252" s="17"/>
      <x:c r="F252" s="17"/>
      <x:c r="G252" s="17"/>
      <x:c r="H252" s="17"/>
      <x:c r="I252" s="17"/>
      <x:c r="J252" s="17"/>
    </x:row>
    <x:row r="253">
      <x:c r="A253" s="20" t="str">
        <x:v>序号</x:v>
      </x:c>
      <x:c r="B253" s="20" t="str">
        <x:v>星期</x:v>
      </x:c>
      <x:c r="C253" s="20" t="str">
        <x:v>日期</x:v>
      </x:c>
      <x:c r="D253" s="20" t="str">
        <x:v>开盘</x:v>
      </x:c>
      <x:c r="E253" s="20" t="str">
        <x:v>高点</x:v>
      </x:c>
      <x:c r="F253" s="20" t="str">
        <x:v>低点</x:v>
      </x:c>
      <x:c r="G253" s="20" t="str">
        <x:v>收盘</x:v>
      </x:c>
      <x:c r="H253" s="20" t="str">
        <x:v>涨幅</x:v>
      </x:c>
      <x:c r="I253" s="20" t="str">
        <x:v>振幅</x:v>
      </x:c>
      <x:c r="J253" s="20" t="str">
        <x:v>标的</x:v>
      </x:c>
    </x:row>
    <x:row r="254">
      <x:c r="A254" s="23" t="n">
        <x:v>1</x:v>
      </x:c>
      <x:c r="B254" s="23" t="str">
        <x:v>周五</x:v>
      </x:c>
      <x:c r="C254" s="23" t="str">
        <x:v>11月1日</x:v>
      </x:c>
      <x:c r="D254" s="24" t="n">
        <x:v>6048</x:v>
      </x:c>
      <x:c r="E254" s="24" t="n">
        <x:v>6063.8</x:v>
      </x:c>
      <x:c r="F254" s="24" t="n">
        <x:v>5874</x:v>
      </x:c>
      <x:c r="G254" s="24" t="n">
        <x:v>5890</x:v>
      </x:c>
      <x:c r="H254" s="25" t="n">
        <x:v>-0.02862985685071584</x:v>
      </x:c>
      <x:c r="I254" s="24" t="n">
        <x:f>ROUND(E254-F254,1)</x:f>
        <x:v>189.8</x:v>
      </x:c>
      <x:c r="J254" s="23" t="str">
        <x:v>IM2412</x:v>
      </x:c>
    </x:row>
    <x:row r="255">
      <x:c r="A255" s="23" t="n">
        <x:v>2</x:v>
      </x:c>
      <x:c r="B255" s="23" t="str">
        <x:v>周一</x:v>
      </x:c>
      <x:c r="C255" s="23" t="str">
        <x:v>11月4日</x:v>
      </x:c>
      <x:c r="D255" s="24" t="n">
        <x:v>5881.2</x:v>
      </x:c>
      <x:c r="E255" s="24" t="n">
        <x:v>6040.2</x:v>
      </x:c>
      <x:c r="F255" s="24" t="n">
        <x:v>5881.2</x:v>
      </x:c>
      <x:c r="G255" s="24" t="n">
        <x:v>6035.8</x:v>
      </x:c>
      <x:c r="H255" s="25" t="n">
        <x:v>0.024753820033955876</x:v>
      </x:c>
      <x:c r="I255" s="24" t="n">
        <x:f>ROUND(E255-F255,1)</x:f>
        <x:v>159</x:v>
      </x:c>
      <x:c r="J255" s="23" t="str">
        <x:v>IM2412</x:v>
      </x:c>
    </x:row>
    <x:row r="256">
      <x:c r="A256" s="23" t="n">
        <x:v>3</x:v>
      </x:c>
      <x:c r="B256" s="23" t="str">
        <x:v>周二</x:v>
      </x:c>
      <x:c r="C256" s="23" t="str">
        <x:v>11月5日</x:v>
      </x:c>
      <x:c r="D256" s="24" t="n">
        <x:v>6019.4</x:v>
      </x:c>
      <x:c r="E256" s="24" t="n">
        <x:v>6293.4</x:v>
      </x:c>
      <x:c r="F256" s="24" t="n">
        <x:v>6011</x:v>
      </x:c>
      <x:c r="G256" s="24" t="n">
        <x:v>6261.4</x:v>
      </x:c>
      <x:c r="H256" s="25" t="n">
        <x:v>0.037376983995493385</x:v>
      </x:c>
      <x:c r="I256" s="33" t="n">
        <x:f>ROUND(E256-F256,1)</x:f>
        <x:v>282.4</x:v>
      </x:c>
      <x:c r="J256" s="23" t="str">
        <x:v>IM2412</x:v>
      </x:c>
    </x:row>
    <x:row r="257">
      <x:c r="A257" s="23" t="n">
        <x:v>4</x:v>
      </x:c>
      <x:c r="B257" s="23" t="str">
        <x:v>周三</x:v>
      </x:c>
      <x:c r="C257" s="23" t="str">
        <x:v>11月6日</x:v>
      </x:c>
      <x:c r="D257" s="24" t="n">
        <x:v>6267</x:v>
      </x:c>
      <x:c r="E257" s="24" t="n">
        <x:v>6348.8</x:v>
      </x:c>
      <x:c r="F257" s="24" t="n">
        <x:v>6201</x:v>
      </x:c>
      <x:c r="G257" s="24" t="n">
        <x:v>6268.2</x:v>
      </x:c>
      <x:c r="H257" s="25" t="n">
        <x:v>0.0010860191011594633</x:v>
      </x:c>
      <x:c r="I257" s="24" t="n">
        <x:f>ROUND(E257-F257,1)</x:f>
        <x:v>147.8</x:v>
      </x:c>
      <x:c r="J257" s="23" t="str">
        <x:v>IM2412</x:v>
      </x:c>
    </x:row>
    <x:row r="258">
      <x:c r="A258" s="23" t="n">
        <x:v>5</x:v>
      </x:c>
      <x:c r="B258" s="23" t="str">
        <x:v>周四</x:v>
      </x:c>
      <x:c r="C258" s="23" t="str">
        <x:v>11月7日</x:v>
      </x:c>
      <x:c r="D258" s="24" t="n">
        <x:v>6225.2</x:v>
      </x:c>
      <x:c r="E258" s="24" t="n">
        <x:v>6397.8</x:v>
      </x:c>
      <x:c r="F258" s="24" t="n">
        <x:v>6222.4</x:v>
      </x:c>
      <x:c r="G258" s="24" t="n">
        <x:v>6389</x:v>
      </x:c>
      <x:c r="H258" s="25" t="n">
        <x:v>0.019271880284611242</x:v>
      </x:c>
      <x:c r="I258" s="24" t="n">
        <x:f>ROUND(E258-F258,1)</x:f>
        <x:v>175.4</x:v>
      </x:c>
      <x:c r="J258" s="23" t="str">
        <x:v>IM2412</x:v>
      </x:c>
    </x:row>
    <x:row r="259">
      <x:c r="A259" s="23" t="n">
        <x:v>6</x:v>
      </x:c>
      <x:c r="B259" s="23" t="str">
        <x:v>周五</x:v>
      </x:c>
      <x:c r="C259" s="23" t="str">
        <x:v>11月8日</x:v>
      </x:c>
      <x:c r="D259" s="24" t="n">
        <x:v>6440</x:v>
      </x:c>
      <x:c r="E259" s="24" t="n">
        <x:v>6507</x:v>
      </x:c>
      <x:c r="F259" s="24" t="n">
        <x:v>6349.2</x:v>
      </x:c>
      <x:c r="G259" s="24" t="n">
        <x:v>6381.8</x:v>
      </x:c>
      <x:c r="H259" s="25" t="n">
        <x:v>-0.0011269369228360526</x:v>
      </x:c>
      <x:c r="I259" s="24" t="n">
        <x:f>ROUND(E259-F259,1)</x:f>
        <x:v>157.8</x:v>
      </x:c>
      <x:c r="J259" s="23" t="str">
        <x:v>IM2412</x:v>
      </x:c>
    </x:row>
    <x:row r="260">
      <x:c r="A260" s="23" t="n">
        <x:v>7</x:v>
      </x:c>
      <x:c r="B260" s="23" t="str">
        <x:v>周一</x:v>
      </x:c>
      <x:c r="C260" s="23" t="str">
        <x:v>11月11日</x:v>
      </x:c>
      <x:c r="D260" s="24" t="n">
        <x:v>6359</x:v>
      </x:c>
      <x:c r="E260" s="24" t="n">
        <x:v>6522.2</x:v>
      </x:c>
      <x:c r="F260" s="24" t="n">
        <x:v>6342.4</x:v>
      </x:c>
      <x:c r="G260" s="24" t="n">
        <x:v>6490.4</x:v>
      </x:c>
      <x:c r="H260" s="25" t="n">
        <x:v>0.01701714249898134</x:v>
      </x:c>
      <x:c r="I260" s="24" t="n">
        <x:f>ROUND(E260-F260,1)</x:f>
        <x:v>179.8</x:v>
      </x:c>
      <x:c r="J260" s="23" t="str">
        <x:v>IM2412</x:v>
      </x:c>
    </x:row>
    <x:row r="261">
      <x:c r="A261" s="23" t="n">
        <x:v>8</x:v>
      </x:c>
      <x:c r="B261" s="23" t="str">
        <x:v>周二</x:v>
      </x:c>
      <x:c r="C261" s="23" t="str">
        <x:v>11月12日</x:v>
      </x:c>
      <x:c r="D261" s="24" t="n">
        <x:v>6500</x:v>
      </x:c>
      <x:c r="E261" s="24" t="n">
        <x:v>6538</x:v>
      </x:c>
      <x:c r="F261" s="24" t="n">
        <x:v>6362.8</x:v>
      </x:c>
      <x:c r="G261" s="24" t="n">
        <x:v>6407.8</x:v>
      </x:c>
      <x:c r="H261" s="25" t="n">
        <x:v>-0.012726488352027499</x:v>
      </x:c>
      <x:c r="I261" s="24" t="n">
        <x:f>ROUND(E261-F261,1)</x:f>
        <x:v>175.2</x:v>
      </x:c>
      <x:c r="J261" s="23" t="str">
        <x:v>IM2412</x:v>
      </x:c>
    </x:row>
    <x:row r="262">
      <x:c r="A262" s="23" t="n">
        <x:v>9</x:v>
      </x:c>
      <x:c r="B262" s="23" t="str">
        <x:v>周三</x:v>
      </x:c>
      <x:c r="C262" s="23" t="str">
        <x:v>11月13日</x:v>
      </x:c>
      <x:c r="D262" s="24" t="n">
        <x:v>6387.6</x:v>
      </x:c>
      <x:c r="E262" s="24" t="n">
        <x:v>6436.2</x:v>
      </x:c>
      <x:c r="F262" s="24" t="n">
        <x:v>6303.2</x:v>
      </x:c>
      <x:c r="G262" s="24" t="n">
        <x:v>6397.4</x:v>
      </x:c>
      <x:c r="H262" s="25" t="n">
        <x:v>-0.0016230219420082515</x:v>
      </x:c>
      <x:c r="I262" s="24" t="n">
        <x:f>ROUND(E262-F262,1)</x:f>
        <x:v>133</x:v>
      </x:c>
      <x:c r="J262" s="23" t="str">
        <x:v>IM2412</x:v>
      </x:c>
    </x:row>
    <x:row r="263">
      <x:c r="A263" s="23" t="n">
        <x:v>10</x:v>
      </x:c>
      <x:c r="B263" s="23" t="str">
        <x:v>周四</x:v>
      </x:c>
      <x:c r="C263" s="23" t="str">
        <x:v>11月14日</x:v>
      </x:c>
      <x:c r="D263" s="24" t="n">
        <x:v>6381</x:v>
      </x:c>
      <x:c r="E263" s="24" t="n">
        <x:v>6396.8</x:v>
      </x:c>
      <x:c r="F263" s="24" t="n">
        <x:v>6221</x:v>
      </x:c>
      <x:c r="G263" s="24" t="n">
        <x:v>6239.6</x:v>
      </x:c>
      <x:c r="H263" s="25" t="n">
        <x:v>-0.024666270672460522</x:v>
      </x:c>
      <x:c r="I263" s="24" t="n">
        <x:f>ROUND(E263-F263,1)</x:f>
        <x:v>175.8</x:v>
      </x:c>
      <x:c r="J263" s="23" t="str">
        <x:v>IM2412</x:v>
      </x:c>
    </x:row>
    <x:row r="264">
      <x:c r="A264" s="29" t="n">
        <x:v>11</x:v>
      </x:c>
      <x:c r="B264" s="29" t="str">
        <x:v>周五</x:v>
      </x:c>
      <x:c r="C264" s="29" t="str">
        <x:v>11月15日</x:v>
      </x:c>
      <x:c r="D264" s="30" t="n">
        <x:v>6260</x:v>
      </x:c>
      <x:c r="E264" s="30" t="n">
        <x:v>6306.2</x:v>
      </x:c>
      <x:c r="F264" s="30" t="n">
        <x:v>6095</x:v>
      </x:c>
      <x:c r="G264" s="30" t="n">
        <x:v>6103</x:v>
      </x:c>
      <x:c r="H264" s="31" t="n">
        <x:v>-0.02189242900185917</x:v>
      </x:c>
      <x:c r="I264" s="33" t="n">
        <x:f>ROUND(E264-F264,1)</x:f>
        <x:v>211.2</x:v>
      </x:c>
      <x:c r="J264" s="29" t="str">
        <x:v>IM2412</x:v>
      </x:c>
    </x:row>
    <x:row r="265">
      <x:c r="A265" s="23" t="n">
        <x:v>12</x:v>
      </x:c>
      <x:c r="B265" s="23" t="str">
        <x:v>周一</x:v>
      </x:c>
      <x:c r="C265" s="23" t="str">
        <x:v>11月18日</x:v>
      </x:c>
      <x:c r="D265" s="24" t="n">
        <x:v>6141.2</x:v>
      </x:c>
      <x:c r="E265" s="24" t="n">
        <x:v>6144</x:v>
      </x:c>
      <x:c r="F265" s="24" t="n">
        <x:v>5901.4</x:v>
      </x:c>
      <x:c r="G265" s="24" t="n">
        <x:v>5954.2</x:v>
      </x:c>
      <x:c r="H265" s="25" t="n">
        <x:v>-0.02438145174504347</x:v>
      </x:c>
      <x:c r="I265" s="33" t="n">
        <x:f>ROUND(E265-F265,1)</x:f>
        <x:v>242.6</x:v>
      </x:c>
      <x:c r="J265" s="23" t="str">
        <x:v>IM2412</x:v>
      </x:c>
    </x:row>
    <x:row r="266">
      <x:c r="A266" s="23" t="n">
        <x:v>13</x:v>
      </x:c>
      <x:c r="B266" s="23" t="str">
        <x:v>周二</x:v>
      </x:c>
      <x:c r="C266" s="23" t="str">
        <x:v>11月19日</x:v>
      </x:c>
      <x:c r="D266" s="24" t="n">
        <x:v>5979</x:v>
      </x:c>
      <x:c r="E266" s="24" t="n">
        <x:v>6101.4</x:v>
      </x:c>
      <x:c r="F266" s="24" t="n">
        <x:v>5931</x:v>
      </x:c>
      <x:c r="G266" s="24" t="n">
        <x:v>6093</x:v>
      </x:c>
      <x:c r="H266" s="25" t="n">
        <x:v>0.023311276074031717</x:v>
      </x:c>
      <x:c r="I266" s="24" t="n">
        <x:f>ROUND(E266-F266,1)</x:f>
        <x:v>170.4</x:v>
      </x:c>
      <x:c r="J266" s="23" t="str">
        <x:v>IM2412</x:v>
      </x:c>
    </x:row>
    <x:row r="267">
      <x:c r="A267" s="23" t="n">
        <x:v>14</x:v>
      </x:c>
      <x:c r="B267" s="23" t="str">
        <x:v>周三</x:v>
      </x:c>
      <x:c r="C267" s="23" t="str">
        <x:v>11月20日</x:v>
      </x:c>
      <x:c r="D267" s="24" t="n">
        <x:v>6080</x:v>
      </x:c>
      <x:c r="E267" s="24" t="n">
        <x:v>6208.8</x:v>
      </x:c>
      <x:c r="F267" s="24" t="n">
        <x:v>6070.6</x:v>
      </x:c>
      <x:c r="G267" s="24" t="n">
        <x:v>6190.8</x:v>
      </x:c>
      <x:c r="H267" s="25" t="n">
        <x:v>0.016051206302314158</x:v>
      </x:c>
      <x:c r="I267" s="24" t="n">
        <x:f>ROUND(E267-F267,1)</x:f>
        <x:v>138.2</x:v>
      </x:c>
      <x:c r="J267" s="23" t="str">
        <x:v>IM2412</x:v>
      </x:c>
    </x:row>
    <x:row r="268">
      <x:c r="A268" s="23" t="n">
        <x:v>15</x:v>
      </x:c>
      <x:c r="B268" s="23" t="str">
        <x:v>周四</x:v>
      </x:c>
      <x:c r="C268" s="23" t="str">
        <x:v>11月21日</x:v>
      </x:c>
      <x:c r="D268" s="24" t="n">
        <x:v>6180</x:v>
      </x:c>
      <x:c r="E268" s="24" t="n">
        <x:v>6224</x:v>
      </x:c>
      <x:c r="F268" s="24" t="n">
        <x:v>6125</x:v>
      </x:c>
      <x:c r="G268" s="24" t="n">
        <x:v>6187.2</x:v>
      </x:c>
      <x:c r="H268" s="25" t="n">
        <x:v>-0.0005815080441946563</x:v>
      </x:c>
      <x:c r="I268" s="24" t="n">
        <x:f>ROUND(E268-F268,1)</x:f>
        <x:v>99</x:v>
      </x:c>
      <x:c r="J268" s="23" t="str">
        <x:v>IM2412</x:v>
      </x:c>
    </x:row>
    <x:row r="269">
      <x:c r="A269" s="23" t="n">
        <x:v>16</x:v>
      </x:c>
      <x:c r="B269" s="23" t="str">
        <x:v>周五</x:v>
      </x:c>
      <x:c r="C269" s="23" t="str">
        <x:v>11月22日</x:v>
      </x:c>
      <x:c r="D269" s="24" t="n">
        <x:v>6173</x:v>
      </x:c>
      <x:c r="E269" s="24" t="n">
        <x:v>6209.6</x:v>
      </x:c>
      <x:c r="F269" s="24" t="n">
        <x:v>5943</x:v>
      </x:c>
      <x:c r="G269" s="24" t="n">
        <x:v>5951.2</x:v>
      </x:c>
      <x:c r="H269" s="25" t="n">
        <x:v>-0.03814326351176622</x:v>
      </x:c>
      <x:c r="I269" s="33" t="n">
        <x:f>ROUND(E269-F269,1)</x:f>
        <x:v>266.6</x:v>
      </x:c>
      <x:c r="J269" s="23" t="str">
        <x:v>IM2412</x:v>
      </x:c>
    </x:row>
    <x:row r="270">
      <x:c r="A270" s="23" t="n">
        <x:v>17</x:v>
      </x:c>
      <x:c r="B270" s="23" t="str">
        <x:v>周一</x:v>
      </x:c>
      <x:c r="C270" s="23" t="str">
        <x:v>11月25日</x:v>
      </x:c>
      <x:c r="D270" s="24" t="n">
        <x:v>5973.2</x:v>
      </x:c>
      <x:c r="E270" s="24" t="n">
        <x:v>5995.8</x:v>
      </x:c>
      <x:c r="F270" s="24" t="n">
        <x:v>5882.2</x:v>
      </x:c>
      <x:c r="G270" s="24" t="n">
        <x:v>5992.8</x:v>
      </x:c>
      <x:c r="H270" s="25" t="n">
        <x:v>0.006990186853071734</x:v>
      </x:c>
      <x:c r="I270" s="24" t="n">
        <x:f>ROUND(E270-F270,1)</x:f>
        <x:v>113.6</x:v>
      </x:c>
      <x:c r="J270" s="23" t="str">
        <x:v>IM2412</x:v>
      </x:c>
    </x:row>
    <x:row r="271">
      <x:c r="A271" s="23" t="n">
        <x:v>18</x:v>
      </x:c>
      <x:c r="B271" s="23" t="str">
        <x:v>周二</x:v>
      </x:c>
      <x:c r="C271" s="23" t="str">
        <x:v>11月26日</x:v>
      </x:c>
      <x:c r="D271" s="24" t="n">
        <x:v>5980.2</x:v>
      </x:c>
      <x:c r="E271" s="24" t="n">
        <x:v>6033.4</x:v>
      </x:c>
      <x:c r="F271" s="24" t="n">
        <x:v>5887</x:v>
      </x:c>
      <x:c r="G271" s="24" t="n">
        <x:v>5914</x:v>
      </x:c>
      <x:c r="H271" s="25" t="n">
        <x:v>-0.013149112268055041</x:v>
      </x:c>
      <x:c r="I271" s="24" t="n">
        <x:f>ROUND(E271-F271,1)</x:f>
        <x:v>146.4</x:v>
      </x:c>
      <x:c r="J271" s="23" t="str">
        <x:v>IM2412</x:v>
      </x:c>
    </x:row>
    <x:row r="272">
      <x:c r="A272" s="23" t="n">
        <x:v>19</x:v>
      </x:c>
      <x:c r="B272" s="23" t="str">
        <x:v>周三</x:v>
      </x:c>
      <x:c r="C272" s="23" t="str">
        <x:v>11月27日</x:v>
      </x:c>
      <x:c r="D272" s="24" t="n">
        <x:v>5886.2</x:v>
      </x:c>
      <x:c r="E272" s="24" t="n">
        <x:v>6095.4</x:v>
      </x:c>
      <x:c r="F272" s="24" t="n">
        <x:v>5801</x:v>
      </x:c>
      <x:c r="G272" s="24" t="n">
        <x:v>6086.8</x:v>
      </x:c>
      <x:c r="H272" s="25" t="n">
        <x:v>0.029218802840716984</x:v>
      </x:c>
      <x:c r="I272" s="33" t="n">
        <x:f>ROUND(E272-F272,1)</x:f>
        <x:v>294.4</x:v>
      </x:c>
      <x:c r="J272" s="23" t="str">
        <x:v>IM2412</x:v>
      </x:c>
    </x:row>
    <x:row r="273">
      <x:c r="A273" s="23" t="n">
        <x:v>20</x:v>
      </x:c>
      <x:c r="B273" s="23" t="str">
        <x:v>周四</x:v>
      </x:c>
      <x:c r="C273" s="23" t="str">
        <x:v>11月28日</x:v>
      </x:c>
      <x:c r="D273" s="24" t="n">
        <x:v>6091</x:v>
      </x:c>
      <x:c r="E273" s="24" t="n">
        <x:v>6126.8</x:v>
      </x:c>
      <x:c r="F273" s="24" t="n">
        <x:v>6011.4</x:v>
      </x:c>
      <x:c r="G273" s="24" t="n">
        <x:v>6036.8</x:v>
      </x:c>
      <x:c r="H273" s="25" t="n">
        <x:v>-0.008214496944207172</x:v>
      </x:c>
      <x:c r="I273" s="24" t="n">
        <x:f>ROUND(E273-F273,1)</x:f>
        <x:v>115.4</x:v>
      </x:c>
      <x:c r="J273" s="23" t="str">
        <x:v>IM2412</x:v>
      </x:c>
    </x:row>
    <x:row r="274">
      <x:c r="A274" s="23" t="n">
        <x:v>21</x:v>
      </x:c>
      <x:c r="B274" s="23" t="str">
        <x:v>周五</x:v>
      </x:c>
      <x:c r="C274" s="23" t="str">
        <x:v>11月29日</x:v>
      </x:c>
      <x:c r="D274" s="24" t="n">
        <x:v>6030</x:v>
      </x:c>
      <x:c r="E274" s="24" t="n">
        <x:v>6225.8</x:v>
      </x:c>
      <x:c r="F274" s="24" t="n">
        <x:v>5988.2</x:v>
      </x:c>
      <x:c r="G274" s="24" t="n">
        <x:v>6156</x:v>
      </x:c>
      <x:c r="H274" s="25" t="n">
        <x:v>0.019745560561887032</x:v>
      </x:c>
      <x:c r="I274" s="33" t="n">
        <x:f>ROUND(E274-F274,1)</x:f>
        <x:v>237.6</x:v>
      </x:c>
      <x:c r="J274" s="23" t="str">
        <x:v>IM2412</x:v>
      </x:c>
    </x:row>
    <x:row r="275">
      <x:c r="A275" s="36" t="str">
        <x:v>合计</x:v>
      </x:c>
      <x:c r="B275" s="35" t="n">
        <x:v>21</x:v>
      </x:c>
      <x:c r="C275" s="35"/>
      <x:c r="D275" s="35"/>
      <x:c r="E275" s="35"/>
      <x:c r="F275" s="35"/>
      <x:c r="G275" s="35"/>
      <x:c r="H275" s="35"/>
      <x:c r="I275" s="37" t="n">
        <x:f>ROUND(SUM(I254:I274),1)</x:f>
        <x:v>3811.4</x:v>
      </x:c>
      <x:c r="J275" s="35"/>
    </x:row>
    <x:row r="276">
      <x:c r="A276" s="36" t="str">
        <x:v>均值</x:v>
      </x:c>
      <x:c r="B276" s="35"/>
      <x:c r="C276" s="35"/>
      <x:c r="D276" s="35"/>
      <x:c r="E276" s="35"/>
      <x:c r="F276" s="35"/>
      <x:c r="G276" s="35"/>
      <x:c r="H276" s="35"/>
      <x:c r="I276" s="39" t="n">
        <x:f>ROUND(IFERROR(AVERAGE(I254:I274),0),1)</x:f>
        <x:v>181.5</x:v>
      </x:c>
      <x:c r="J276" s="35"/>
    </x:row>
    <x:row r="278">
      <x:c r="A278" s="17" t="str">
        <x:v>12月</x:v>
      </x:c>
      <x:c r="B278" s="17"/>
      <x:c r="C278" s="17"/>
      <x:c r="D278" s="17"/>
      <x:c r="E278" s="17"/>
      <x:c r="F278" s="17"/>
      <x:c r="G278" s="17"/>
      <x:c r="H278" s="17"/>
      <x:c r="I278" s="17"/>
      <x:c r="J278" s="17"/>
    </x:row>
    <x:row r="279">
      <x:c r="A279" s="20" t="str">
        <x:v>序号</x:v>
      </x:c>
      <x:c r="B279" s="20" t="str">
        <x:v>星期</x:v>
      </x:c>
      <x:c r="C279" s="20" t="str">
        <x:v>日期</x:v>
      </x:c>
      <x:c r="D279" s="20" t="str">
        <x:v>开盘</x:v>
      </x:c>
      <x:c r="E279" s="20" t="str">
        <x:v>高点</x:v>
      </x:c>
      <x:c r="F279" s="20" t="str">
        <x:v>低点</x:v>
      </x:c>
      <x:c r="G279" s="20" t="str">
        <x:v>收盘</x:v>
      </x:c>
      <x:c r="H279" s="20" t="str">
        <x:v>涨幅</x:v>
      </x:c>
      <x:c r="I279" s="20" t="str">
        <x:v>振幅</x:v>
      </x:c>
      <x:c r="J279" s="20" t="str">
        <x:v>标的</x:v>
      </x:c>
    </x:row>
    <x:row r="280">
      <x:c r="A280" s="23" t="n">
        <x:v>1</x:v>
      </x:c>
      <x:c r="B280" s="23" t="str">
        <x:v>周一</x:v>
      </x:c>
      <x:c r="C280" s="23" t="str">
        <x:v>12月2日</x:v>
      </x:c>
      <x:c r="D280" s="24" t="n">
        <x:v>6156.2</x:v>
      </x:c>
      <x:c r="E280" s="24" t="n">
        <x:v>6307</x:v>
      </x:c>
      <x:c r="F280" s="24" t="n">
        <x:v>6150.2</x:v>
      </x:c>
      <x:c r="G280" s="24" t="n">
        <x:v>6266.8</x:v>
      </x:c>
      <x:c r="H280" s="25" t="n">
        <x:v>0.017998700454840755</x:v>
      </x:c>
      <x:c r="I280" s="24" t="n">
        <x:f>ROUND(E280-F280,1)</x:f>
        <x:v>156.8</x:v>
      </x:c>
      <x:c r="J280" s="23" t="str">
        <x:v>IM2412</x:v>
      </x:c>
    </x:row>
    <x:row r="281">
      <x:c r="A281" s="23" t="n">
        <x:v>2</x:v>
      </x:c>
      <x:c r="B281" s="23" t="str">
        <x:v>周二</x:v>
      </x:c>
      <x:c r="C281" s="23" t="str">
        <x:v>12月3日</x:v>
      </x:c>
      <x:c r="D281" s="24" t="n">
        <x:v>6272.2</x:v>
      </x:c>
      <x:c r="E281" s="24" t="n">
        <x:v>6324.2</x:v>
      </x:c>
      <x:c r="F281" s="24" t="n">
        <x:v>6193.2</x:v>
      </x:c>
      <x:c r="G281" s="24" t="n">
        <x:v>6265.4</x:v>
      </x:c>
      <x:c r="H281" s="25" t="n">
        <x:v>-0.00022339950213834392</x:v>
      </x:c>
      <x:c r="I281" s="24" t="n">
        <x:f>ROUND(E281-F281,1)</x:f>
        <x:v>131</x:v>
      </x:c>
      <x:c r="J281" s="23" t="str">
        <x:v>IM2412</x:v>
      </x:c>
    </x:row>
    <x:row r="282">
      <x:c r="A282" s="23" t="n">
        <x:v>3</x:v>
      </x:c>
      <x:c r="B282" s="23" t="str">
        <x:v>周三</x:v>
      </x:c>
      <x:c r="C282" s="23" t="str">
        <x:v>12月4日</x:v>
      </x:c>
      <x:c r="D282" s="24" t="n">
        <x:v>6265.2</x:v>
      </x:c>
      <x:c r="E282" s="24" t="n">
        <x:v>6270</x:v>
      </x:c>
      <x:c r="F282" s="24" t="n">
        <x:v>6131.2</x:v>
      </x:c>
      <x:c r="G282" s="24" t="n">
        <x:v>6171.8</x:v>
      </x:c>
      <x:c r="H282" s="25" t="n">
        <x:v>-0.014939189836243427</x:v>
      </x:c>
      <x:c r="I282" s="24" t="n">
        <x:f>ROUND(E282-F282,1)</x:f>
        <x:v>138.8</x:v>
      </x:c>
      <x:c r="J282" s="23" t="str">
        <x:v>IM2412</x:v>
      </x:c>
    </x:row>
    <x:row r="283">
      <x:c r="A283" s="23" t="n">
        <x:v>4</x:v>
      </x:c>
      <x:c r="B283" s="23" t="str">
        <x:v>周四</x:v>
      </x:c>
      <x:c r="C283" s="23" t="str">
        <x:v>12月5日</x:v>
      </x:c>
      <x:c r="D283" s="24" t="n">
        <x:v>6155.8</x:v>
      </x:c>
      <x:c r="E283" s="24" t="n">
        <x:v>6281.8</x:v>
      </x:c>
      <x:c r="F283" s="24" t="n">
        <x:v>6153.2</x:v>
      </x:c>
      <x:c r="G283" s="24" t="n">
        <x:v>6255.6</x:v>
      </x:c>
      <x:c r="H283" s="25" t="n">
        <x:v>0.013577886516089377</x:v>
      </x:c>
      <x:c r="I283" s="24" t="n">
        <x:f>ROUND(E283-F283,1)</x:f>
        <x:v>128.6</x:v>
      </x:c>
      <x:c r="J283" s="23" t="str">
        <x:v>IM2412</x:v>
      </x:c>
    </x:row>
    <x:row r="284">
      <x:c r="A284" s="23" t="n">
        <x:v>5</x:v>
      </x:c>
      <x:c r="B284" s="23" t="str">
        <x:v>周五</x:v>
      </x:c>
      <x:c r="C284" s="23" t="str">
        <x:v>12月6日</x:v>
      </x:c>
      <x:c r="D284" s="24" t="n">
        <x:v>6263.2</x:v>
      </x:c>
      <x:c r="E284" s="24" t="n">
        <x:v>6370.2</x:v>
      </x:c>
      <x:c r="F284" s="24" t="n">
        <x:v>6175.2</x:v>
      </x:c>
      <x:c r="G284" s="24" t="n">
        <x:v>6333.6</x:v>
      </x:c>
      <x:c r="H284" s="25" t="n">
        <x:v>0.012468827930174564</x:v>
      </x:c>
      <x:c r="I284" s="33" t="n">
        <x:f>ROUND(E284-F284,1)</x:f>
        <x:v>195</x:v>
      </x:c>
      <x:c r="J284" s="23" t="str">
        <x:v>IM2412</x:v>
      </x:c>
    </x:row>
    <x:row r="285">
      <x:c r="A285" s="23" t="n">
        <x:v>6</x:v>
      </x:c>
      <x:c r="B285" s="23" t="str">
        <x:v>周一</x:v>
      </x:c>
      <x:c r="C285" s="23" t="str">
        <x:v>12月9日</x:v>
      </x:c>
      <x:c r="D285" s="24" t="n">
        <x:v>6323.8</x:v>
      </x:c>
      <x:c r="E285" s="24" t="n">
        <x:v>6354.6</x:v>
      </x:c>
      <x:c r="F285" s="24" t="n">
        <x:v>6218.2</x:v>
      </x:c>
      <x:c r="G285" s="24" t="n">
        <x:v>6264</x:v>
      </x:c>
      <x:c r="H285" s="25" t="n">
        <x:v>-0.010989010989011061</x:v>
      </x:c>
      <x:c r="I285" s="24" t="n">
        <x:f>ROUND(E285-F285,1)</x:f>
        <x:v>136.4</x:v>
      </x:c>
      <x:c r="J285" s="23" t="str">
        <x:v>IM2412</x:v>
      </x:c>
    </x:row>
    <x:row r="286">
      <x:c r="A286" s="23" t="n">
        <x:v>7</x:v>
      </x:c>
      <x:c r="B286" s="23" t="str">
        <x:v>周二</x:v>
      </x:c>
      <x:c r="C286" s="23" t="str">
        <x:v>12月10日</x:v>
      </x:c>
      <x:c r="D286" s="24" t="n">
        <x:v>6500</x:v>
      </x:c>
      <x:c r="E286" s="24" t="n">
        <x:v>6538</x:v>
      </x:c>
      <x:c r="F286" s="24" t="n">
        <x:v>6330.2</x:v>
      </x:c>
      <x:c r="G286" s="24" t="n">
        <x:v>6358.2</x:v>
      </x:c>
      <x:c r="H286" s="25" t="n">
        <x:v>0.015038314176245127</x:v>
      </x:c>
      <x:c r="I286" s="33" t="n">
        <x:f>ROUND(E286-F286,1)</x:f>
        <x:v>207.8</x:v>
      </x:c>
      <x:c r="J286" s="23" t="str">
        <x:v>IM2412</x:v>
      </x:c>
    </x:row>
    <x:row r="287">
      <x:c r="A287" s="23" t="n">
        <x:v>8</x:v>
      </x:c>
      <x:c r="B287" s="23" t="str">
        <x:v>周三</x:v>
      </x:c>
      <x:c r="C287" s="23" t="str">
        <x:v>12月11日</x:v>
      </x:c>
      <x:c r="D287" s="24" t="n">
        <x:v>6356.8</x:v>
      </x:c>
      <x:c r="E287" s="24" t="n">
        <x:v>6452.8</x:v>
      </x:c>
      <x:c r="F287" s="24" t="n">
        <x:v>6356.6</x:v>
      </x:c>
      <x:c r="G287" s="24" t="n">
        <x:v>6430.2</x:v>
      </x:c>
      <x:c r="H287" s="25" t="n">
        <x:v>0.011323959611210688</x:v>
      </x:c>
      <x:c r="I287" s="24" t="n">
        <x:f>ROUND(E287-F287,1)</x:f>
        <x:v>96.2</x:v>
      </x:c>
      <x:c r="J287" s="23" t="str">
        <x:v>IM2412</x:v>
      </x:c>
    </x:row>
    <x:row r="288">
      <x:c r="A288" s="23" t="n">
        <x:v>9</x:v>
      </x:c>
      <x:c r="B288" s="23" t="str">
        <x:v>周四</x:v>
      </x:c>
      <x:c r="C288" s="23" t="str">
        <x:v>12月12日</x:v>
      </x:c>
      <x:c r="D288" s="24" t="n">
        <x:v>6432.2</x:v>
      </x:c>
      <x:c r="E288" s="24" t="n">
        <x:v>6498</x:v>
      </x:c>
      <x:c r="F288" s="24" t="n">
        <x:v>6376.6</x:v>
      </x:c>
      <x:c r="G288" s="24" t="n">
        <x:v>6477.8</x:v>
      </x:c>
      <x:c r="H288" s="25" t="n">
        <x:v>0.007402569126932379</x:v>
      </x:c>
      <x:c r="I288" s="24" t="n">
        <x:f>ROUND(E288-F288,1)</x:f>
        <x:v>121.4</x:v>
      </x:c>
      <x:c r="J288" s="23" t="str">
        <x:v>IM2412</x:v>
      </x:c>
    </x:row>
    <x:row r="289">
      <x:c r="A289" s="23" t="n">
        <x:v>10</x:v>
      </x:c>
      <x:c r="B289" s="23" t="str">
        <x:v>周五</x:v>
      </x:c>
      <x:c r="C289" s="23" t="str">
        <x:v>12月13日</x:v>
      </x:c>
      <x:c r="D289" s="24" t="n">
        <x:v>6419</x:v>
      </x:c>
      <x:c r="E289" s="24" t="n">
        <x:v>6442.8</x:v>
      </x:c>
      <x:c r="F289" s="24" t="n">
        <x:v>6327.8</x:v>
      </x:c>
      <x:c r="G289" s="24" t="n">
        <x:v>6359</x:v>
      </x:c>
      <x:c r="H289" s="25" t="n">
        <x:v>-0.01833955972706791</x:v>
      </x:c>
      <x:c r="I289" s="24" t="n">
        <x:f>ROUND(E289-F289,1)</x:f>
        <x:v>115</x:v>
      </x:c>
      <x:c r="J289" s="23" t="str">
        <x:v>IM2412</x:v>
      </x:c>
    </x:row>
    <x:row r="290">
      <x:c r="A290" s="23" t="n">
        <x:v>11</x:v>
      </x:c>
      <x:c r="B290" s="23" t="str">
        <x:v>周一</x:v>
      </x:c>
      <x:c r="C290" s="23" t="str">
        <x:v>12月16日</x:v>
      </x:c>
      <x:c r="D290" s="24" t="n">
        <x:v>6361</x:v>
      </x:c>
      <x:c r="E290" s="24" t="n">
        <x:v>6364.8</x:v>
      </x:c>
      <x:c r="F290" s="24" t="n">
        <x:v>6242.4</x:v>
      </x:c>
      <x:c r="G290" s="24" t="n">
        <x:v>6263.4</x:v>
      </x:c>
      <x:c r="H290" s="25" t="n">
        <x:v>-0.015033810347539034</x:v>
      </x:c>
      <x:c r="I290" s="24" t="n">
        <x:f>ROUND(E290-F290,1)</x:f>
        <x:v>122.4</x:v>
      </x:c>
      <x:c r="J290" s="23" t="str">
        <x:v>IM2412</x:v>
      </x:c>
    </x:row>
    <x:row r="291">
      <x:c r="A291" s="23" t="n">
        <x:v>12</x:v>
      </x:c>
      <x:c r="B291" s="23" t="str">
        <x:v>周二</x:v>
      </x:c>
      <x:c r="C291" s="23" t="str">
        <x:v>12月17日</x:v>
      </x:c>
      <x:c r="D291" s="24" t="n">
        <x:v>6249.8</x:v>
      </x:c>
      <x:c r="E291" s="24" t="n">
        <x:v>6267.2</x:v>
      </x:c>
      <x:c r="F291" s="24" t="n">
        <x:v>6138</x:v>
      </x:c>
      <x:c r="G291" s="24" t="n">
        <x:v>6143.6</x:v>
      </x:c>
      <x:c r="H291" s="25" t="n">
        <x:v>-0.019126991729731313</x:v>
      </x:c>
      <x:c r="I291" s="24" t="n">
        <x:f>ROUND(E291-F291,1)</x:f>
        <x:v>129.2</x:v>
      </x:c>
      <x:c r="J291" s="23" t="str">
        <x:v>IM2412</x:v>
      </x:c>
    </x:row>
    <x:row r="292">
      <x:c r="A292" s="23" t="n">
        <x:v>13</x:v>
      </x:c>
      <x:c r="B292" s="23" t="str">
        <x:v>周三</x:v>
      </x:c>
      <x:c r="C292" s="23" t="str">
        <x:v>12月18日</x:v>
      </x:c>
      <x:c r="D292" s="24" t="n">
        <x:v>6169.8</x:v>
      </x:c>
      <x:c r="E292" s="24" t="n">
        <x:v>6243</x:v>
      </x:c>
      <x:c r="F292" s="24" t="n">
        <x:v>6126</x:v>
      </x:c>
      <x:c r="G292" s="24" t="n">
        <x:v>6189.8</x:v>
      </x:c>
      <x:c r="H292" s="25" t="n">
        <x:v>0.007520020834689722</x:v>
      </x:c>
      <x:c r="I292" s="24" t="n">
        <x:f>ROUND(E292-F292,1)</x:f>
        <x:v>117</x:v>
      </x:c>
      <x:c r="J292" s="23" t="str">
        <x:v>IM2412</x:v>
      </x:c>
    </x:row>
    <x:row r="293">
      <x:c r="A293" s="23" t="n">
        <x:v>14</x:v>
      </x:c>
      <x:c r="B293" s="23" t="str">
        <x:v>周四</x:v>
      </x:c>
      <x:c r="C293" s="23" t="str">
        <x:v>12月19日</x:v>
      </x:c>
      <x:c r="D293" s="24" t="n">
        <x:v>6131.8</x:v>
      </x:c>
      <x:c r="E293" s="24" t="n">
        <x:v>6231.6</x:v>
      </x:c>
      <x:c r="F293" s="24" t="n">
        <x:v>6096</x:v>
      </x:c>
      <x:c r="G293" s="24" t="n">
        <x:v>6218</x:v>
      </x:c>
      <x:c r="H293" s="25" t="n">
        <x:v>0.00455588225790815</x:v>
      </x:c>
      <x:c r="I293" s="24" t="n">
        <x:f>ROUND(E293-F293,1)</x:f>
        <x:v>135.6</x:v>
      </x:c>
      <x:c r="J293" s="23" t="str">
        <x:v>IM2412</x:v>
      </x:c>
    </x:row>
    <x:row r="294">
      <x:c r="A294" s="29" t="n">
        <x:v>15</x:v>
      </x:c>
      <x:c r="B294" s="29" t="str">
        <x:v>周五</x:v>
      </x:c>
      <x:c r="C294" s="29" t="str">
        <x:v>12月20日</x:v>
      </x:c>
      <x:c r="D294" s="30" t="n">
        <x:v>6217.8</x:v>
      </x:c>
      <x:c r="E294" s="30" t="n">
        <x:v>6313</x:v>
      </x:c>
      <x:c r="F294" s="30" t="n">
        <x:v>6196</x:v>
      </x:c>
      <x:c r="G294" s="30" t="n">
        <x:v>6278.4</x:v>
      </x:c>
      <x:c r="H294" s="31" t="n">
        <x:v>0.009713734319716893</x:v>
      </x:c>
      <x:c r="I294" s="30" t="n">
        <x:f>ROUND(E294-F294,1)</x:f>
        <x:v>117</x:v>
      </x:c>
      <x:c r="J294" s="29" t="str">
        <x:v>IM2412</x:v>
      </x:c>
    </x:row>
    <x:row r="295">
      <x:c r="A295" s="23" t="n">
        <x:v>16</x:v>
      </x:c>
      <x:c r="B295" s="23" t="str">
        <x:v>周一</x:v>
      </x:c>
      <x:c r="C295" s="23" t="str">
        <x:v>12月23日</x:v>
      </x:c>
      <x:c r="D295" s="24" t="n">
        <x:v>6142</x:v>
      </x:c>
      <x:c r="E295" s="24" t="n">
        <x:v>6144</x:v>
      </x:c>
      <x:c r="F295" s="24" t="n">
        <x:v>5982.8</x:v>
      </x:c>
      <x:c r="G295" s="24" t="n">
        <x:v>5987</x:v>
      </x:c>
      <x:c r="H295" s="25" t="n">
        <x:v>-0.04641309887869516</x:v>
      </x:c>
      <x:c r="I295" s="24" t="n">
        <x:f>ROUND(E295-F295,1)</x:f>
        <x:v>161.2</x:v>
      </x:c>
      <x:c r="J295" s="23" t="str">
        <x:v>IM2503</x:v>
      </x:c>
    </x:row>
    <x:row r="296">
      <x:c r="A296" s="23" t="n">
        <x:v>17</x:v>
      </x:c>
      <x:c r="B296" s="23" t="str">
        <x:v>周二</x:v>
      </x:c>
      <x:c r="C296" s="23" t="str">
        <x:v>12月24日</x:v>
      </x:c>
      <x:c r="D296" s="24" t="n">
        <x:v>6010</x:v>
      </x:c>
      <x:c r="E296" s="24" t="n">
        <x:v>6058.2</x:v>
      </x:c>
      <x:c r="F296" s="24" t="n">
        <x:v>5966.4</x:v>
      </x:c>
      <x:c r="G296" s="24" t="n">
        <x:v>6053.4</x:v>
      </x:c>
      <x:c r="H296" s="25" t="n">
        <x:v>0.011090696509103104</x:v>
      </x:c>
      <x:c r="I296" s="24" t="n">
        <x:f>ROUND(E296-F296,1)</x:f>
        <x:v>91.8</x:v>
      </x:c>
      <x:c r="J296" s="23" t="str">
        <x:v>IM2503</x:v>
      </x:c>
    </x:row>
    <x:row r="297">
      <x:c r="A297" s="23" t="n">
        <x:v>18</x:v>
      </x:c>
      <x:c r="B297" s="23" t="str">
        <x:v>周三</x:v>
      </x:c>
      <x:c r="C297" s="23" t="str">
        <x:v>12月25日</x:v>
      </x:c>
      <x:c r="D297" s="24" t="n">
        <x:v>6034</x:v>
      </x:c>
      <x:c r="E297" s="24" t="n">
        <x:v>6045</x:v>
      </x:c>
      <x:c r="F297" s="24" t="n">
        <x:v>5944.2</x:v>
      </x:c>
      <x:c r="G297" s="24" t="n">
        <x:v>6001.8</x:v>
      </x:c>
      <x:c r="H297" s="25" t="n">
        <x:v>-0.008524135196748883</x:v>
      </x:c>
      <x:c r="I297" s="24" t="n">
        <x:f>ROUND(E297-F297,1)</x:f>
        <x:v>100.8</x:v>
      </x:c>
      <x:c r="J297" s="23" t="str">
        <x:v>IM2503</x:v>
      </x:c>
    </x:row>
    <x:row r="298">
      <x:c r="A298" s="23" t="n">
        <x:v>19</x:v>
      </x:c>
      <x:c r="B298" s="23" t="str">
        <x:v>周四</x:v>
      </x:c>
      <x:c r="C298" s="23" t="str">
        <x:v>12月26日</x:v>
      </x:c>
      <x:c r="D298" s="24" t="n">
        <x:v>6000</x:v>
      </x:c>
      <x:c r="E298" s="24" t="n">
        <x:v>6083.6</x:v>
      </x:c>
      <x:c r="F298" s="24" t="n">
        <x:v>5996</x:v>
      </x:c>
      <x:c r="G298" s="24" t="n">
        <x:v>6052.8</x:v>
      </x:c>
      <x:c r="H298" s="25" t="n">
        <x:v>0.008497450764770598</x:v>
      </x:c>
      <x:c r="I298" s="24" t="n">
        <x:f>ROUND(E298-F298,1)</x:f>
        <x:v>87.6</x:v>
      </x:c>
      <x:c r="J298" s="23" t="str">
        <x:v>IM2503</x:v>
      </x:c>
    </x:row>
    <x:row r="299">
      <x:c r="A299" s="23" t="n">
        <x:v>20</x:v>
      </x:c>
      <x:c r="B299" s="23" t="str">
        <x:v>周五</x:v>
      </x:c>
      <x:c r="C299" s="23" t="str">
        <x:v>12月27日</x:v>
      </x:c>
      <x:c r="D299" s="24" t="n">
        <x:v>6059</x:v>
      </x:c>
      <x:c r="E299" s="24" t="n">
        <x:v>6155</x:v>
      </x:c>
      <x:c r="F299" s="24" t="n">
        <x:v>6018</x:v>
      </x:c>
      <x:c r="G299" s="24" t="n">
        <x:v>6067.4</x:v>
      </x:c>
      <x:c r="H299" s="25" t="n">
        <x:v>0.002412106793550084</x:v>
      </x:c>
      <x:c r="I299" s="24" t="n">
        <x:f>ROUND(E299-F299,1)</x:f>
        <x:v>137</x:v>
      </x:c>
      <x:c r="J299" s="23" t="str">
        <x:v>IM2503</x:v>
      </x:c>
    </x:row>
    <x:row r="300">
      <x:c r="A300" s="23" t="n">
        <x:v>21</x:v>
      </x:c>
      <x:c r="B300" s="23" t="str">
        <x:v>周一</x:v>
      </x:c>
      <x:c r="C300" s="23" t="str">
        <x:v>12月30日</x:v>
      </x:c>
      <x:c r="D300" s="24" t="n">
        <x:v>6061</x:v>
      </x:c>
      <x:c r="E300" s="24" t="n">
        <x:v>6100</x:v>
      </x:c>
      <x:c r="F300" s="24" t="n">
        <x:v>6008</x:v>
      </x:c>
      <x:c r="G300" s="24" t="n">
        <x:v>6057.8</x:v>
      </x:c>
      <x:c r="H300" s="25" t="n">
        <x:v>-0.0015822263242903922</x:v>
      </x:c>
      <x:c r="I300" s="24" t="n">
        <x:f>ROUND(E300-F300,1)</x:f>
        <x:v>92</x:v>
      </x:c>
      <x:c r="J300" s="23" t="str">
        <x:v>IM2503</x:v>
      </x:c>
    </x:row>
    <x:row r="301">
      <x:c r="A301" s="23" t="n">
        <x:v>22</x:v>
      </x:c>
      <x:c r="B301" s="23" t="str">
        <x:v>周二</x:v>
      </x:c>
      <x:c r="C301" s="23" t="str">
        <x:v>12月31日</x:v>
      </x:c>
      <x:c r="D301" s="24" t="n">
        <x:v>6070</x:v>
      </x:c>
      <x:c r="E301" s="24" t="n">
        <x:v>6081.6</x:v>
      </x:c>
      <x:c r="F301" s="24" t="n">
        <x:v>5847</x:v>
      </x:c>
      <x:c r="G301" s="24" t="n">
        <x:v>5848.6</x:v>
      </x:c>
      <x:c r="H301" s="25" t="n">
        <x:v>-0.03453398923701667</x:v>
      </x:c>
      <x:c r="I301" s="33" t="n">
        <x:f>ROUND(E301-F301,1)</x:f>
        <x:v>234.6</x:v>
      </x:c>
      <x:c r="J301" s="23" t="str">
        <x:v>IM2503</x:v>
      </x:c>
    </x:row>
    <x:row r="302">
      <x:c r="A302" s="36" t="str">
        <x:v>合计</x:v>
      </x:c>
      <x:c r="B302" s="35" t="n">
        <x:v>22</x:v>
      </x:c>
      <x:c r="C302" s="35"/>
      <x:c r="D302" s="35"/>
      <x:c r="E302" s="35"/>
      <x:c r="F302" s="35"/>
      <x:c r="G302" s="35"/>
      <x:c r="H302" s="35"/>
      <x:c r="I302" s="37" t="n">
        <x:f>ROUND(SUM(I280:I301),1)</x:f>
        <x:v>2953.2</x:v>
      </x:c>
      <x:c r="J302" s="35"/>
    </x:row>
    <x:row r="303">
      <x:c r="A303" s="36" t="str">
        <x:v>均值</x:v>
      </x:c>
      <x:c r="B303" s="35"/>
      <x:c r="C303" s="35"/>
      <x:c r="D303" s="35"/>
      <x:c r="E303" s="35"/>
      <x:c r="F303" s="35"/>
      <x:c r="G303" s="35"/>
      <x:c r="H303" s="35"/>
      <x:c r="I303" s="39" t="n">
        <x:f>ROUND(IFERROR(AVERAGE(I280:I301),0),1)</x:f>
        <x:v>134.2</x:v>
      </x:c>
      <x:c r="J303" s="35"/>
    </x:row>
  </x:sheetData>
  <x:mergeCells>
    <x:mergeCell ref="A1:J1"/>
    <x:mergeCell ref="A3:J3"/>
    <x:mergeCell ref="A30:J30"/>
    <x:mergeCell ref="A50:J50"/>
    <x:mergeCell ref="A76:J76"/>
    <x:mergeCell ref="A101:J101"/>
    <x:mergeCell ref="A126:J126"/>
    <x:mergeCell ref="A150:J150"/>
    <x:mergeCell ref="A178:J178"/>
    <x:mergeCell ref="A205:J205"/>
    <x:mergeCell ref="A229:J229"/>
    <x:mergeCell ref="A252:J252"/>
    <x:mergeCell ref="A278:J27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</x:cols>
  <x:sheetData>
    <x:row r="1" ht="38" customHeight="1">
      <x:c r="A1" s="15" t="str">
        <x:v>2024年统计 - IC主力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涨幅</x:v>
      </x:c>
      <x:c r="I4" s="20" t="str">
        <x:v>振幅</x:v>
      </x:c>
      <x:c r="J4" s="20" t="str">
        <x:v>标的</x:v>
      </x:c>
    </x:row>
    <x:row r="5">
      <x:c r="A5" s="23" t="n">
        <x:v>1</x:v>
      </x:c>
      <x:c r="B5" s="23" t="str">
        <x:v>周二</x:v>
      </x:c>
      <x:c r="C5" s="23" t="str">
        <x:v>1月2日</x:v>
      </x:c>
      <x:c r="D5" s="24" t="n">
        <x:v>5424</x:v>
      </x:c>
      <x:c r="E5" s="24" t="n">
        <x:v>5424</x:v>
      </x:c>
      <x:c r="F5" s="24" t="n">
        <x:v>5374.2</x:v>
      </x:c>
      <x:c r="G5" s="24" t="n">
        <x:v>5376.8</x:v>
      </x:c>
      <x:c r="H5" s="25" t="n">
        <x:v>-0.0069221989027579145</x:v>
      </x:c>
      <x:c r="I5" s="24" t="n">
        <x:f>ROUND(E5-F5,1)</x:f>
        <x:v>49.8</x:v>
      </x:c>
      <x:c r="J5" s="23" t="str">
        <x:v>IC2403</x:v>
      </x:c>
    </x:row>
    <x:row r="6">
      <x:c r="A6" s="23" t="n">
        <x:v>2</x:v>
      </x:c>
      <x:c r="B6" s="23" t="str">
        <x:v>周三</x:v>
      </x:c>
      <x:c r="C6" s="23" t="str">
        <x:v>1月3日</x:v>
      </x:c>
      <x:c r="D6" s="24" t="n">
        <x:v>5366</x:v>
      </x:c>
      <x:c r="E6" s="24" t="n">
        <x:v>5400.6</x:v>
      </x:c>
      <x:c r="F6" s="24" t="n">
        <x:v>5338.6</x:v>
      </x:c>
      <x:c r="G6" s="24" t="n">
        <x:v>5364.8</x:v>
      </x:c>
      <x:c r="H6" s="25" t="n">
        <x:v>-0.0010381520892809304</x:v>
      </x:c>
      <x:c r="I6" s="24" t="n">
        <x:f>ROUND(E6-F6,1)</x:f>
        <x:v>62</x:v>
      </x:c>
      <x:c r="J6" s="23" t="str">
        <x:v>IC2403</x:v>
      </x:c>
    </x:row>
    <x:row r="7">
      <x:c r="A7" s="23" t="n">
        <x:v>3</x:v>
      </x:c>
      <x:c r="B7" s="23" t="str">
        <x:v>周四</x:v>
      </x:c>
      <x:c r="C7" s="23" t="str">
        <x:v>1月4日</x:v>
      </x:c>
      <x:c r="D7" s="24" t="n">
        <x:v>5360</x:v>
      </x:c>
      <x:c r="E7" s="24" t="n">
        <x:v>5360.8</x:v>
      </x:c>
      <x:c r="F7" s="24" t="n">
        <x:v>5281.6</x:v>
      </x:c>
      <x:c r="G7" s="24" t="n">
        <x:v>5319</x:v>
      </x:c>
      <x:c r="H7" s="25" t="n">
        <x:v>-0.007571539917603842</x:v>
      </x:c>
      <x:c r="I7" s="24" t="n">
        <x:f>ROUND(E7-F7,1)</x:f>
        <x:v>79.2</x:v>
      </x:c>
      <x:c r="J7" s="23" t="str">
        <x:v>IC2403</x:v>
      </x:c>
    </x:row>
    <x:row r="8">
      <x:c r="A8" s="23" t="n">
        <x:v>4</x:v>
      </x:c>
      <x:c r="B8" s="23" t="str">
        <x:v>周五</x:v>
      </x:c>
      <x:c r="C8" s="23" t="str">
        <x:v>1月5日</x:v>
      </x:c>
      <x:c r="D8" s="24" t="n">
        <x:v>5305</x:v>
      </x:c>
      <x:c r="E8" s="24" t="n">
        <x:v>5331</x:v>
      </x:c>
      <x:c r="F8" s="24" t="n">
        <x:v>5222.6</x:v>
      </x:c>
      <x:c r="G8" s="24" t="n">
        <x:v>5250.6</x:v>
      </x:c>
      <x:c r="H8" s="25" t="n">
        <x:v>-0.012266726504357006</x:v>
      </x:c>
      <x:c r="I8" s="24" t="n">
        <x:f>ROUND(E8-F8,1)</x:f>
        <x:v>108.4</x:v>
      </x:c>
      <x:c r="J8" s="23" t="str">
        <x:v>IC2403</x:v>
      </x:c>
    </x:row>
    <x:row r="9">
      <x:c r="A9" s="23" t="n">
        <x:v>5</x:v>
      </x:c>
      <x:c r="B9" s="23" t="str">
        <x:v>周一</x:v>
      </x:c>
      <x:c r="C9" s="23" t="str">
        <x:v>1月8日</x:v>
      </x:c>
      <x:c r="D9" s="24" t="n">
        <x:v>5227</x:v>
      </x:c>
      <x:c r="E9" s="24" t="n">
        <x:v>5244.2</x:v>
      </x:c>
      <x:c r="F9" s="24" t="n">
        <x:v>5065.6</x:v>
      </x:c>
      <x:c r="G9" s="24" t="n">
        <x:v>5079</x:v>
      </x:c>
      <x:c r="H9" s="25" t="n">
        <x:v>-0.028700162810949892</x:v>
      </x:c>
      <x:c r="I9" s="33" t="n">
        <x:f>ROUND(E9-F9,1)</x:f>
        <x:v>178.6</x:v>
      </x:c>
      <x:c r="J9" s="23" t="str">
        <x:v>IC2403</x:v>
      </x:c>
    </x:row>
    <x:row r="10">
      <x:c r="A10" s="23" t="n">
        <x:v>6</x:v>
      </x:c>
      <x:c r="B10" s="23" t="str">
        <x:v>周二</x:v>
      </x:c>
      <x:c r="C10" s="23" t="str">
        <x:v>1月9日</x:v>
      </x:c>
      <x:c r="D10" s="24" t="n">
        <x:v>5094.4</x:v>
      </x:c>
      <x:c r="E10" s="24" t="n">
        <x:v>5160.4</x:v>
      </x:c>
      <x:c r="F10" s="24" t="n">
        <x:v>5075.6</x:v>
      </x:c>
      <x:c r="G10" s="24" t="n">
        <x:v>5105.4</x:v>
      </x:c>
      <x:c r="H10" s="25" t="n">
        <x:v>0.004755779051182962</x:v>
      </x:c>
      <x:c r="I10" s="24" t="n">
        <x:f>ROUND(E10-F10,1)</x:f>
        <x:v>84.8</x:v>
      </x:c>
      <x:c r="J10" s="23" t="str">
        <x:v>IC2403</x:v>
      </x:c>
    </x:row>
    <x:row r="11">
      <x:c r="A11" s="23" t="n">
        <x:v>7</x:v>
      </x:c>
      <x:c r="B11" s="23" t="str">
        <x:v>周三</x:v>
      </x:c>
      <x:c r="C11" s="23" t="str">
        <x:v>1月10日</x:v>
      </x:c>
      <x:c r="D11" s="24" t="n">
        <x:v>5090</x:v>
      </x:c>
      <x:c r="E11" s="24" t="n">
        <x:v>5156.4</x:v>
      </x:c>
      <x:c r="F11" s="24" t="n">
        <x:v>5035.6</x:v>
      </x:c>
      <x:c r="G11" s="24" t="n">
        <x:v>5091.6</x:v>
      </x:c>
      <x:c r="H11" s="25" t="n">
        <x:v>-0.0031425800193985998</x:v>
      </x:c>
      <x:c r="I11" s="24" t="n">
        <x:f>ROUND(E11-F11,1)</x:f>
        <x:v>120.8</x:v>
      </x:c>
      <x:c r="J11" s="23" t="str">
        <x:v>IC2403</x:v>
      </x:c>
    </x:row>
    <x:row r="12">
      <x:c r="A12" s="23" t="n">
        <x:v>8</x:v>
      </x:c>
      <x:c r="B12" s="23" t="str">
        <x:v>周四</x:v>
      </x:c>
      <x:c r="C12" s="23" t="str">
        <x:v>1月11日</x:v>
      </x:c>
      <x:c r="D12" s="24" t="n">
        <x:v>5095.2</x:v>
      </x:c>
      <x:c r="E12" s="24" t="n">
        <x:v>5206.6</x:v>
      </x:c>
      <x:c r="F12" s="24" t="n">
        <x:v>5082.8</x:v>
      </x:c>
      <x:c r="G12" s="24" t="n">
        <x:v>5169</x:v>
      </x:c>
      <x:c r="H12" s="25" t="n">
        <x:v>0.013777535611426917</x:v>
      </x:c>
      <x:c r="I12" s="24" t="n">
        <x:f>ROUND(E12-F12,1)</x:f>
        <x:v>123.8</x:v>
      </x:c>
      <x:c r="J12" s="23" t="str">
        <x:v>IC2403</x:v>
      </x:c>
    </x:row>
    <x:row r="13">
      <x:c r="A13" s="23" t="n">
        <x:v>9</x:v>
      </x:c>
      <x:c r="B13" s="23" t="str">
        <x:v>周五</x:v>
      </x:c>
      <x:c r="C13" s="23" t="str">
        <x:v>1月12日</x:v>
      </x:c>
      <x:c r="D13" s="24" t="n">
        <x:v>5164.8</x:v>
      </x:c>
      <x:c r="E13" s="24" t="n">
        <x:v>5214</x:v>
      </x:c>
      <x:c r="F13" s="24" t="n">
        <x:v>5147.8</x:v>
      </x:c>
      <x:c r="G13" s="24" t="n">
        <x:v>5149.6</x:v>
      </x:c>
      <x:c r="H13" s="25" t="n">
        <x:v>-0.004031019656019708</x:v>
      </x:c>
      <x:c r="I13" s="24" t="n">
        <x:f>ROUND(E13-F13,1)</x:f>
        <x:v>66.2</x:v>
      </x:c>
      <x:c r="J13" s="23" t="str">
        <x:v>IC2403</x:v>
      </x:c>
    </x:row>
    <x:row r="14">
      <x:c r="A14" s="23" t="n">
        <x:v>10</x:v>
      </x:c>
      <x:c r="B14" s="23" t="str">
        <x:v>周一</x:v>
      </x:c>
      <x:c r="C14" s="23" t="str">
        <x:v>1月15日</x:v>
      </x:c>
      <x:c r="D14" s="24" t="n">
        <x:v>5133.2</x:v>
      </x:c>
      <x:c r="E14" s="24" t="n">
        <x:v>5189.2</x:v>
      </x:c>
      <x:c r="F14" s="24" t="n">
        <x:v>5108.2</x:v>
      </x:c>
      <x:c r="G14" s="24" t="n">
        <x:v>5133.8</x:v>
      </x:c>
      <x:c r="H14" s="25" t="n">
        <x:v>-0.0020043942489305078</x:v>
      </x:c>
      <x:c r="I14" s="24" t="n">
        <x:f>ROUND(E14-F14,1)</x:f>
        <x:v>81</x:v>
      </x:c>
      <x:c r="J14" s="23" t="str">
        <x:v>IC2403</x:v>
      </x:c>
    </x:row>
    <x:row r="15">
      <x:c r="A15" s="23" t="n">
        <x:v>11</x:v>
      </x:c>
      <x:c r="B15" s="23" t="str">
        <x:v>周二</x:v>
      </x:c>
      <x:c r="C15" s="23" t="str">
        <x:v>1月16日</x:v>
      </x:c>
      <x:c r="D15" s="24" t="n">
        <x:v>5120.2</x:v>
      </x:c>
      <x:c r="E15" s="24" t="n">
        <x:v>5151.6</x:v>
      </x:c>
      <x:c r="F15" s="24" t="n">
        <x:v>5052</x:v>
      </x:c>
      <x:c r="G15" s="24" t="n">
        <x:v>5124.2</x:v>
      </x:c>
      <x:c r="H15" s="25" t="n">
        <x:v>-0.0009269630373489601</x:v>
      </x:c>
      <x:c r="I15" s="24" t="n">
        <x:f>ROUND(E15-F15,1)</x:f>
        <x:v>99.6</x:v>
      </x:c>
      <x:c r="J15" s="23" t="str">
        <x:v>IC2403</x:v>
      </x:c>
    </x:row>
    <x:row r="16">
      <x:c r="A16" s="23" t="n">
        <x:v>12</x:v>
      </x:c>
      <x:c r="B16" s="23" t="str">
        <x:v>周三</x:v>
      </x:c>
      <x:c r="C16" s="23" t="str">
        <x:v>1月17日</x:v>
      </x:c>
      <x:c r="D16" s="24" t="n">
        <x:v>5120</x:v>
      </x:c>
      <x:c r="E16" s="24" t="n">
        <x:v>5120</x:v>
      </x:c>
      <x:c r="F16" s="24" t="n">
        <x:v>4916.8</x:v>
      </x:c>
      <x:c r="G16" s="24" t="n">
        <x:v>4937.6</x:v>
      </x:c>
      <x:c r="H16" s="25" t="n">
        <x:v>-0.03007693199829886</x:v>
      </x:c>
      <x:c r="I16" s="33" t="n">
        <x:f>ROUND(E16-F16,1)</x:f>
        <x:v>203.2</x:v>
      </x:c>
      <x:c r="J16" s="23" t="str">
        <x:v>IC2403</x:v>
      </x:c>
    </x:row>
    <x:row r="17">
      <x:c r="A17" s="23" t="n">
        <x:v>13</x:v>
      </x:c>
      <x:c r="B17" s="23" t="str">
        <x:v>周四</x:v>
      </x:c>
      <x:c r="C17" s="23" t="str">
        <x:v>1月18日</x:v>
      </x:c>
      <x:c r="D17" s="24" t="n">
        <x:v>4937.6</x:v>
      </x:c>
      <x:c r="E17" s="24" t="n">
        <x:v>4961</x:v>
      </x:c>
      <x:c r="F17" s="24" t="n">
        <x:v>4761.6</x:v>
      </x:c>
      <x:c r="G17" s="24" t="n">
        <x:v>4946</x:v>
      </x:c>
      <x:c r="H17" s="25" t="n">
        <x:v>0.00542070229981273</x:v>
      </x:c>
      <x:c r="I17" s="33" t="n">
        <x:f>ROUND(E17-F17,1)</x:f>
        <x:v>199.4</x:v>
      </x:c>
      <x:c r="J17" s="23" t="str">
        <x:v>IC2403</x:v>
      </x:c>
    </x:row>
    <x:row r="18">
      <x:c r="A18" s="29" t="n">
        <x:v>14</x:v>
      </x:c>
      <x:c r="B18" s="29" t="str">
        <x:v>周五</x:v>
      </x:c>
      <x:c r="C18" s="29" t="str">
        <x:v>1月19日</x:v>
      </x:c>
      <x:c r="D18" s="30" t="n">
        <x:v>4940</x:v>
      </x:c>
      <x:c r="E18" s="30" t="n">
        <x:v>4971.8</x:v>
      </x:c>
      <x:c r="F18" s="30" t="n">
        <x:v>4894.4</x:v>
      </x:c>
      <x:c r="G18" s="30" t="n">
        <x:v>4918.8</x:v>
      </x:c>
      <x:c r="H18" s="31" t="n">
        <x:v>-0.018671952428146676</x:v>
      </x:c>
      <x:c r="I18" s="30" t="n">
        <x:f>ROUND(E18-F18,1)</x:f>
        <x:v>77.4</x:v>
      </x:c>
      <x:c r="J18" s="29" t="str">
        <x:v>IC2403</x:v>
      </x:c>
    </x:row>
    <x:row r="19">
      <x:c r="A19" s="23" t="n">
        <x:v>15</x:v>
      </x:c>
      <x:c r="B19" s="23" t="str">
        <x:v>周一</x:v>
      </x:c>
      <x:c r="C19" s="23" t="str">
        <x:v>1月22日</x:v>
      </x:c>
      <x:c r="D19" s="24" t="n">
        <x:v>4908.4</x:v>
      </x:c>
      <x:c r="E19" s="24" t="n">
        <x:v>4915.6</x:v>
      </x:c>
      <x:c r="F19" s="24" t="n">
        <x:v>4490.2</x:v>
      </x:c>
      <x:c r="G19" s="24" t="n">
        <x:v>4569.6</x:v>
      </x:c>
      <x:c r="H19" s="25" t="n">
        <x:v>-0.06164660256928167</x:v>
      </x:c>
      <x:c r="I19" s="33" t="n">
        <x:f>ROUND(E19-F19,1)</x:f>
        <x:v>425.4</x:v>
      </x:c>
      <x:c r="J19" s="23" t="str">
        <x:v>IC2403</x:v>
      </x:c>
    </x:row>
    <x:row r="20">
      <x:c r="A20" s="23" t="n">
        <x:v>16</x:v>
      </x:c>
      <x:c r="B20" s="23" t="str">
        <x:v>周二</x:v>
      </x:c>
      <x:c r="C20" s="23" t="str">
        <x:v>1月23日</x:v>
      </x:c>
      <x:c r="D20" s="24" t="n">
        <x:v>4572.8</x:v>
      </x:c>
      <x:c r="E20" s="24" t="n">
        <x:v>4812.4</x:v>
      </x:c>
      <x:c r="F20" s="24" t="n">
        <x:v>4540</x:v>
      </x:c>
      <x:c r="G20" s="24" t="n">
        <x:v>4758.6</x:v>
      </x:c>
      <x:c r="H20" s="25" t="n">
        <x:v>0.03332185293611145</x:v>
      </x:c>
      <x:c r="I20" s="33" t="n">
        <x:f>ROUND(E20-F20,1)</x:f>
        <x:v>272.4</x:v>
      </x:c>
      <x:c r="J20" s="23" t="str">
        <x:v>IC2403</x:v>
      </x:c>
    </x:row>
    <x:row r="21">
      <x:c r="A21" s="23" t="n">
        <x:v>17</x:v>
      </x:c>
      <x:c r="B21" s="23" t="str">
        <x:v>周三</x:v>
      </x:c>
      <x:c r="C21" s="23" t="str">
        <x:v>1月24日</x:v>
      </x:c>
      <x:c r="D21" s="24" t="n">
        <x:v>4815</x:v>
      </x:c>
      <x:c r="E21" s="24" t="n">
        <x:v>4856.6</x:v>
      </x:c>
      <x:c r="F21" s="24" t="n">
        <x:v>4629</x:v>
      </x:c>
      <x:c r="G21" s="24" t="n">
        <x:v>4843.2</x:v>
      </x:c>
      <x:c r="H21" s="25" t="n">
        <x:v>0.018706774435463647</x:v>
      </x:c>
      <x:c r="I21" s="33" t="n">
        <x:f>ROUND(E21-F21,1)</x:f>
        <x:v>227.6</x:v>
      </x:c>
      <x:c r="J21" s="23" t="str">
        <x:v>IC2403</x:v>
      </x:c>
    </x:row>
    <x:row r="22">
      <x:c r="A22" s="23" t="n">
        <x:v>18</x:v>
      </x:c>
      <x:c r="B22" s="23" t="str">
        <x:v>周四</x:v>
      </x:c>
      <x:c r="C22" s="23" t="str">
        <x:v>1月25日</x:v>
      </x:c>
      <x:c r="D22" s="24" t="n">
        <x:v>4839.4</x:v>
      </x:c>
      <x:c r="E22" s="24" t="n">
        <x:v>5033.4</x:v>
      </x:c>
      <x:c r="F22" s="24" t="n">
        <x:v>4805</x:v>
      </x:c>
      <x:c r="G22" s="24" t="n">
        <x:v>5030.4</x:v>
      </x:c>
      <x:c r="H22" s="25" t="n">
        <x:v>0.034722506236963824</x:v>
      </x:c>
      <x:c r="I22" s="33" t="n">
        <x:f>ROUND(E22-F22,1)</x:f>
        <x:v>228.4</x:v>
      </x:c>
      <x:c r="J22" s="23" t="str">
        <x:v>IC2403</x:v>
      </x:c>
    </x:row>
    <x:row r="23">
      <x:c r="A23" s="23" t="n">
        <x:v>19</x:v>
      </x:c>
      <x:c r="B23" s="23" t="str">
        <x:v>周五</x:v>
      </x:c>
      <x:c r="C23" s="23" t="str">
        <x:v>1月26日</x:v>
      </x:c>
      <x:c r="D23" s="24" t="n">
        <x:v>5015</x:v>
      </x:c>
      <x:c r="E23" s="24" t="n">
        <x:v>5024.2</x:v>
      </x:c>
      <x:c r="F23" s="24" t="n">
        <x:v>4933</x:v>
      </x:c>
      <x:c r="G23" s="24" t="n">
        <x:v>4959.2</x:v>
      </x:c>
      <x:c r="H23" s="25" t="n">
        <x:v>-0.013320158102766766</x:v>
      </x:c>
      <x:c r="I23" s="24" t="n">
        <x:f>ROUND(E23-F23,1)</x:f>
        <x:v>91.2</x:v>
      </x:c>
      <x:c r="J23" s="23" t="str">
        <x:v>IC2403</x:v>
      </x:c>
    </x:row>
    <x:row r="24">
      <x:c r="A24" s="23" t="n">
        <x:v>20</x:v>
      </x:c>
      <x:c r="B24" s="23" t="str">
        <x:v>周一</x:v>
      </x:c>
      <x:c r="C24" s="23" t="str">
        <x:v>1月29日</x:v>
      </x:c>
      <x:c r="D24" s="24" t="n">
        <x:v>4979</x:v>
      </x:c>
      <x:c r="E24" s="24" t="n">
        <x:v>4997.4</x:v>
      </x:c>
      <x:c r="F24" s="24" t="n">
        <x:v>4848</x:v>
      </x:c>
      <x:c r="G24" s="24" t="n">
        <x:v>4852.6</x:v>
      </x:c>
      <x:c r="H24" s="25" t="n">
        <x:v>-0.019909466009694454</x:v>
      </x:c>
      <x:c r="I24" s="24" t="n">
        <x:f>ROUND(E24-F24,1)</x:f>
        <x:v>149.4</x:v>
      </x:c>
      <x:c r="J24" s="23" t="str">
        <x:v>IC2403</x:v>
      </x:c>
    </x:row>
    <x:row r="25">
      <x:c r="A25" s="23" t="n">
        <x:v>21</x:v>
      </x:c>
      <x:c r="B25" s="23" t="str">
        <x:v>周二</x:v>
      </x:c>
      <x:c r="C25" s="23" t="str">
        <x:v>1月30日</x:v>
      </x:c>
      <x:c r="D25" s="24" t="n">
        <x:v>4834</x:v>
      </x:c>
      <x:c r="E25" s="24" t="n">
        <x:v>4873.4</x:v>
      </x:c>
      <x:c r="F25" s="24" t="n">
        <x:v>4700</x:v>
      </x:c>
      <x:c r="G25" s="24" t="n">
        <x:v>4719</x:v>
      </x:c>
      <x:c r="H25" s="25" t="n">
        <x:v>-0.025627401291588248</x:v>
      </x:c>
      <x:c r="I25" s="33" t="n">
        <x:f>ROUND(E25-F25,1)</x:f>
        <x:v>173.4</x:v>
      </x:c>
      <x:c r="J25" s="23" t="str">
        <x:v>IC2403</x:v>
      </x:c>
    </x:row>
    <x:row r="26">
      <x:c r="A26" s="23" t="n">
        <x:v>22</x:v>
      </x:c>
      <x:c r="B26" s="23" t="str">
        <x:v>周三</x:v>
      </x:c>
      <x:c r="C26" s="23" t="str">
        <x:v>1月31日</x:v>
      </x:c>
      <x:c r="D26" s="24" t="n">
        <x:v>4703</x:v>
      </x:c>
      <x:c r="E26" s="24" t="n">
        <x:v>4747.6</x:v>
      </x:c>
      <x:c r="F26" s="24" t="n">
        <x:v>4595</x:v>
      </x:c>
      <x:c r="G26" s="24" t="n">
        <x:v>4609</x:v>
      </x:c>
      <x:c r="H26" s="25" t="n">
        <x:v>-0.023155333696883384</x:v>
      </x:c>
      <x:c r="I26" s="33" t="n">
        <x:f>ROUND(E26-F26,1)</x:f>
        <x:v>152.6</x:v>
      </x:c>
      <x:c r="J26" s="23" t="str">
        <x:v>IC2403</x:v>
      </x:c>
    </x:row>
    <x:row r="27">
      <x:c r="A27" s="36" t="str">
        <x:v>合计</x:v>
      </x:c>
      <x:c r="B27" s="35" t="n">
        <x:v>22</x:v>
      </x:c>
      <x:c r="C27" s="35"/>
      <x:c r="D27" s="35"/>
      <x:c r="E27" s="35"/>
      <x:c r="F27" s="35"/>
      <x:c r="G27" s="35"/>
      <x:c r="H27" s="35"/>
      <x:c r="I27" s="37" t="n">
        <x:f>ROUND(SUM(I5:I26),1)</x:f>
        <x:v>3254.6</x:v>
      </x:c>
      <x:c r="J27" s="35"/>
    </x:row>
    <x:row r="28">
      <x:c r="A28" s="36" t="str">
        <x:v>均值</x:v>
      </x:c>
      <x:c r="B28" s="35"/>
      <x:c r="C28" s="35"/>
      <x:c r="D28" s="35"/>
      <x:c r="E28" s="35"/>
      <x:c r="F28" s="35"/>
      <x:c r="G28" s="35"/>
      <x:c r="H28" s="35"/>
      <x:c r="I28" s="39" t="n">
        <x:f>ROUND(IFERROR(AVERAGE(I5:I26),0),1)</x:f>
        <x:v>147.9</x:v>
      </x:c>
      <x:c r="J28" s="35"/>
    </x:row>
    <x:row r="30">
      <x:c r="A30" s="17" t="str">
        <x:v>2月</x:v>
      </x:c>
      <x:c r="B30" s="17"/>
      <x:c r="C30" s="17"/>
      <x:c r="D30" s="17"/>
      <x:c r="E30" s="17"/>
      <x:c r="F30" s="17"/>
      <x:c r="G30" s="17"/>
      <x:c r="H30" s="17"/>
      <x:c r="I30" s="17"/>
      <x:c r="J30" s="17"/>
    </x:row>
    <x:row r="31">
      <x:c r="A31" s="20" t="str">
        <x:v>序号</x:v>
      </x:c>
      <x:c r="B31" s="20" t="str">
        <x:v>星期</x:v>
      </x:c>
      <x:c r="C31" s="20" t="str">
        <x:v>日期</x:v>
      </x:c>
      <x:c r="D31" s="20" t="str">
        <x:v>开盘</x:v>
      </x:c>
      <x:c r="E31" s="20" t="str">
        <x:v>高点</x:v>
      </x:c>
      <x:c r="F31" s="20" t="str">
        <x:v>低点</x:v>
      </x:c>
      <x:c r="G31" s="20" t="str">
        <x:v>收盘</x:v>
      </x:c>
      <x:c r="H31" s="20" t="str">
        <x:v>涨幅</x:v>
      </x:c>
      <x:c r="I31" s="20" t="str">
        <x:v>振幅</x:v>
      </x:c>
      <x:c r="J31" s="20" t="str">
        <x:v>标的</x:v>
      </x:c>
    </x:row>
    <x:row r="32">
      <x:c r="A32" s="23" t="n">
        <x:v>1</x:v>
      </x:c>
      <x:c r="B32" s="23" t="str">
        <x:v>周四</x:v>
      </x:c>
      <x:c r="C32" s="23" t="str">
        <x:v>2月1日</x:v>
      </x:c>
      <x:c r="D32" s="24" t="n">
        <x:v>4600</x:v>
      </x:c>
      <x:c r="E32" s="24" t="n">
        <x:v>4712.6</x:v>
      </x:c>
      <x:c r="F32" s="24" t="n">
        <x:v>4545</x:v>
      </x:c>
      <x:c r="G32" s="24" t="n">
        <x:v>4596</x:v>
      </x:c>
      <x:c r="H32" s="25" t="n">
        <x:v>-0.001846523811568579</x:v>
      </x:c>
      <x:c r="I32" s="33" t="n">
        <x:f>ROUND(E32-F32,1)</x:f>
        <x:v>167.6</x:v>
      </x:c>
      <x:c r="J32" s="23" t="str">
        <x:v>IC2403</x:v>
      </x:c>
    </x:row>
    <x:row r="33">
      <x:c r="A33" s="23" t="n">
        <x:v>2</x:v>
      </x:c>
      <x:c r="B33" s="23" t="str">
        <x:v>周五</x:v>
      </x:c>
      <x:c r="C33" s="23" t="str">
        <x:v>2月2日</x:v>
      </x:c>
      <x:c r="D33" s="24" t="n">
        <x:v>4629.8</x:v>
      </x:c>
      <x:c r="E33" s="24" t="n">
        <x:v>4668</x:v>
      </x:c>
      <x:c r="F33" s="24" t="n">
        <x:v>4274.2</x:v>
      </x:c>
      <x:c r="G33" s="24" t="n">
        <x:v>4452.4</x:v>
      </x:c>
      <x:c r="H33" s="25" t="n">
        <x:v>-0.029254861469626525</x:v>
      </x:c>
      <x:c r="I33" s="33" t="n">
        <x:f>ROUND(E33-F33,1)</x:f>
        <x:v>393.8</x:v>
      </x:c>
      <x:c r="J33" s="23" t="str">
        <x:v>IC2403</x:v>
      </x:c>
    </x:row>
    <x:row r="34">
      <x:c r="A34" s="23" t="n">
        <x:v>3</x:v>
      </x:c>
      <x:c r="B34" s="23" t="str">
        <x:v>周一</x:v>
      </x:c>
      <x:c r="C34" s="23" t="str">
        <x:v>2月5日</x:v>
      </x:c>
      <x:c r="D34" s="24" t="n">
        <x:v>4412</x:v>
      </x:c>
      <x:c r="E34" s="24" t="n">
        <x:v>4513</x:v>
      </x:c>
      <x:c r="F34" s="24" t="n">
        <x:v>4129.2</x:v>
      </x:c>
      <x:c r="G34" s="24" t="n">
        <x:v>4285.2</x:v>
      </x:c>
      <x:c r="H34" s="25" t="n">
        <x:v>-0.029427406488211294</x:v>
      </x:c>
      <x:c r="I34" s="33" t="n">
        <x:f>ROUND(E34-F34,1)</x:f>
        <x:v>383.8</x:v>
      </x:c>
      <x:c r="J34" s="23" t="str">
        <x:v>IC2403</x:v>
      </x:c>
    </x:row>
    <x:row r="35">
      <x:c r="A35" s="23" t="n">
        <x:v>4</x:v>
      </x:c>
      <x:c r="B35" s="23" t="str">
        <x:v>周二</x:v>
      </x:c>
      <x:c r="C35" s="23" t="str">
        <x:v>2月6日</x:v>
      </x:c>
      <x:c r="D35" s="24" t="n">
        <x:v>4279.6</x:v>
      </x:c>
      <x:c r="E35" s="24" t="n">
        <x:v>4822</x:v>
      </x:c>
      <x:c r="F35" s="24" t="n">
        <x:v>4271.8</x:v>
      </x:c>
      <x:c r="G35" s="24" t="n">
        <x:v>4809.8</x:v>
      </x:c>
      <x:c r="H35" s="25" t="n">
        <x:v>0.10105022831050237</x:v>
      </x:c>
      <x:c r="I35" s="33" t="n">
        <x:f>ROUND(E35-F35,1)</x:f>
        <x:v>550.2</x:v>
      </x:c>
      <x:c r="J35" s="23" t="str">
        <x:v>IC2403</x:v>
      </x:c>
    </x:row>
    <x:row r="36">
      <x:c r="A36" s="23" t="n">
        <x:v>5</x:v>
      </x:c>
      <x:c r="B36" s="23" t="str">
        <x:v>周三</x:v>
      </x:c>
      <x:c r="C36" s="23" t="str">
        <x:v>2月7日</x:v>
      </x:c>
      <x:c r="D36" s="24" t="n">
        <x:v>4805</x:v>
      </x:c>
      <x:c r="E36" s="24" t="n">
        <x:v>5134.6</x:v>
      </x:c>
      <x:c r="F36" s="24" t="n">
        <x:v>4802</x:v>
      </x:c>
      <x:c r="G36" s="24" t="n">
        <x:v>5128.6</x:v>
      </x:c>
      <x:c r="H36" s="25" t="n">
        <x:v>0.0634512503628748</x:v>
      </x:c>
      <x:c r="I36" s="33" t="n">
        <x:f>ROUND(E36-F36,1)</x:f>
        <x:v>332.6</x:v>
      </x:c>
      <x:c r="J36" s="23" t="str">
        <x:v>IC2403</x:v>
      </x:c>
    </x:row>
    <x:row r="37">
      <x:c r="A37" s="23" t="n">
        <x:v>6</x:v>
      </x:c>
      <x:c r="B37" s="23" t="str">
        <x:v>周四</x:v>
      </x:c>
      <x:c r="C37" s="23" t="str">
        <x:v>2月8日</x:v>
      </x:c>
      <x:c r="D37" s="24" t="n">
        <x:v>5180</x:v>
      </x:c>
      <x:c r="E37" s="24" t="n">
        <x:v>5399</x:v>
      </x:c>
      <x:c r="F37" s="24" t="n">
        <x:v>5085.2</x:v>
      </x:c>
      <x:c r="G37" s="24" t="n">
        <x:v>5110.6</x:v>
      </x:c>
      <x:c r="H37" s="25" t="n">
        <x:v>-0.0035097297508092096</x:v>
      </x:c>
      <x:c r="I37" s="33" t="n">
        <x:f>ROUND(E37-F37,1)</x:f>
        <x:v>313.8</x:v>
      </x:c>
      <x:c r="J37" s="23" t="str">
        <x:v>IC2403</x:v>
      </x:c>
    </x:row>
    <x:row r="38">
      <x:c r="A38" s="29" t="n">
        <x:v>7</x:v>
      </x:c>
      <x:c r="B38" s="29" t="str">
        <x:v>周一</x:v>
      </x:c>
      <x:c r="C38" s="29" t="str">
        <x:v>2月19日</x:v>
      </x:c>
      <x:c r="D38" s="30" t="n">
        <x:v>5201</x:v>
      </x:c>
      <x:c r="E38" s="30" t="n">
        <x:v>5213</x:v>
      </x:c>
      <x:c r="F38" s="30" t="n">
        <x:v>5025</x:v>
      </x:c>
      <x:c r="G38" s="30" t="n">
        <x:v>5083.4</x:v>
      </x:c>
      <x:c r="H38" s="31" t="n">
        <x:v>-0.005322271357570685</x:v>
      </x:c>
      <x:c r="I38" s="33" t="n">
        <x:f>ROUND(E38-F38,1)</x:f>
        <x:v>188</x:v>
      </x:c>
      <x:c r="J38" s="29" t="str">
        <x:v>IC2403</x:v>
      </x:c>
    </x:row>
    <x:row r="39">
      <x:c r="A39" s="23" t="n">
        <x:v>8</x:v>
      </x:c>
      <x:c r="B39" s="23" t="str">
        <x:v>周二</x:v>
      </x:c>
      <x:c r="C39" s="23" t="str">
        <x:v>2月20日</x:v>
      </x:c>
      <x:c r="D39" s="24" t="n">
        <x:v>5067.8</x:v>
      </x:c>
      <x:c r="E39" s="24" t="n">
        <x:v>5122.6</x:v>
      </x:c>
      <x:c r="F39" s="24" t="n">
        <x:v>5038.6</x:v>
      </x:c>
      <x:c r="G39" s="24" t="n">
        <x:v>5097.4</x:v>
      </x:c>
      <x:c r="H39" s="25" t="n">
        <x:v>0.002754062241806743</x:v>
      </x:c>
      <x:c r="I39" s="24" t="n">
        <x:f>ROUND(E39-F39,1)</x:f>
        <x:v>84</x:v>
      </x:c>
      <x:c r="J39" s="23" t="str">
        <x:v>IC2403</x:v>
      </x:c>
    </x:row>
    <x:row r="40">
      <x:c r="A40" s="23" t="n">
        <x:v>9</x:v>
      </x:c>
      <x:c r="B40" s="23" t="str">
        <x:v>周三</x:v>
      </x:c>
      <x:c r="C40" s="23" t="str">
        <x:v>2月21日</x:v>
      </x:c>
      <x:c r="D40" s="24" t="n">
        <x:v>5065</x:v>
      </x:c>
      <x:c r="E40" s="24" t="n">
        <x:v>5248.6</x:v>
      </x:c>
      <x:c r="F40" s="24" t="n">
        <x:v>5058.8</x:v>
      </x:c>
      <x:c r="G40" s="24" t="n">
        <x:v>5107.2</x:v>
      </x:c>
      <x:c r="H40" s="25" t="n">
        <x:v>0.001922548750343367</x:v>
      </x:c>
      <x:c r="I40" s="33" t="n">
        <x:f>ROUND(E40-F40,1)</x:f>
        <x:v>189.8</x:v>
      </x:c>
      <x:c r="J40" s="23" t="str">
        <x:v>IC2403</x:v>
      </x:c>
    </x:row>
    <x:row r="41">
      <x:c r="A41" s="23" t="n">
        <x:v>10</x:v>
      </x:c>
      <x:c r="B41" s="23" t="str">
        <x:v>周四</x:v>
      </x:c>
      <x:c r="C41" s="23" t="str">
        <x:v>2月22日</x:v>
      </x:c>
      <x:c r="D41" s="24" t="n">
        <x:v>5117.2</x:v>
      </x:c>
      <x:c r="E41" s="24" t="n">
        <x:v>5175</x:v>
      </x:c>
      <x:c r="F41" s="24" t="n">
        <x:v>5097</x:v>
      </x:c>
      <x:c r="G41" s="24" t="n">
        <x:v>5159.2</x:v>
      </x:c>
      <x:c r="H41" s="25" t="n">
        <x:v>0.01018170426065157</x:v>
      </x:c>
      <x:c r="I41" s="24" t="n">
        <x:f>ROUND(E41-F41,1)</x:f>
        <x:v>78</x:v>
      </x:c>
      <x:c r="J41" s="23" t="str">
        <x:v>IC2403</x:v>
      </x:c>
    </x:row>
    <x:row r="42">
      <x:c r="A42" s="23" t="n">
        <x:v>11</x:v>
      </x:c>
      <x:c r="B42" s="23" t="str">
        <x:v>周五</x:v>
      </x:c>
      <x:c r="C42" s="23" t="str">
        <x:v>2月23日</x:v>
      </x:c>
      <x:c r="D42" s="24" t="n">
        <x:v>5180</x:v>
      </x:c>
      <x:c r="E42" s="24" t="n">
        <x:v>5193.2</x:v>
      </x:c>
      <x:c r="F42" s="24" t="n">
        <x:v>5092</x:v>
      </x:c>
      <x:c r="G42" s="24" t="n">
        <x:v>5186</x:v>
      </x:c>
      <x:c r="H42" s="25" t="n">
        <x:v>0.005194603814544951</x:v>
      </x:c>
      <x:c r="I42" s="24" t="n">
        <x:f>ROUND(E42-F42,1)</x:f>
        <x:v>101.2</x:v>
      </x:c>
      <x:c r="J42" s="23" t="str">
        <x:v>IC2403</x:v>
      </x:c>
    </x:row>
    <x:row r="43">
      <x:c r="A43" s="23" t="n">
        <x:v>12</x:v>
      </x:c>
      <x:c r="B43" s="23" t="str">
        <x:v>周一</x:v>
      </x:c>
      <x:c r="C43" s="23" t="str">
        <x:v>2月26日</x:v>
      </x:c>
      <x:c r="D43" s="24" t="n">
        <x:v>5179.8</x:v>
      </x:c>
      <x:c r="E43" s="24" t="n">
        <x:v>5247.8</x:v>
      </x:c>
      <x:c r="F43" s="24" t="n">
        <x:v>5142</x:v>
      </x:c>
      <x:c r="G43" s="24" t="n">
        <x:v>5168.2</x:v>
      </x:c>
      <x:c r="H43" s="25" t="n">
        <x:v>-0.0034323177786348413</x:v>
      </x:c>
      <x:c r="I43" s="24" t="n">
        <x:f>ROUND(E43-F43,1)</x:f>
        <x:v>105.8</x:v>
      </x:c>
      <x:c r="J43" s="23" t="str">
        <x:v>IC2403</x:v>
      </x:c>
    </x:row>
    <x:row r="44">
      <x:c r="A44" s="23" t="n">
        <x:v>13</x:v>
      </x:c>
      <x:c r="B44" s="23" t="str">
        <x:v>周二</x:v>
      </x:c>
      <x:c r="C44" s="23" t="str">
        <x:v>2月27日</x:v>
      </x:c>
      <x:c r="D44" s="24" t="n">
        <x:v>5160</x:v>
      </x:c>
      <x:c r="E44" s="24" t="n">
        <x:v>5308.8</x:v>
      </x:c>
      <x:c r="F44" s="24" t="n">
        <x:v>5146</x:v>
      </x:c>
      <x:c r="G44" s="24" t="n">
        <x:v>5307.8</x:v>
      </x:c>
      <x:c r="H44" s="25" t="n">
        <x:v>0.027011338570488874</x:v>
      </x:c>
      <x:c r="I44" s="33" t="n">
        <x:f>ROUND(E44-F44,1)</x:f>
        <x:v>162.8</x:v>
      </x:c>
      <x:c r="J44" s="23" t="str">
        <x:v>IC2403</x:v>
      </x:c>
    </x:row>
    <x:row r="45">
      <x:c r="A45" s="23" t="n">
        <x:v>14</x:v>
      </x:c>
      <x:c r="B45" s="23" t="str">
        <x:v>周三</x:v>
      </x:c>
      <x:c r="C45" s="23" t="str">
        <x:v>2月28日</x:v>
      </x:c>
      <x:c r="D45" s="24" t="n">
        <x:v>5319.2</x:v>
      </x:c>
      <x:c r="E45" s="24" t="n">
        <x:v>5382.8</x:v>
      </x:c>
      <x:c r="F45" s="24" t="n">
        <x:v>5170.2</x:v>
      </x:c>
      <x:c r="G45" s="24" t="n">
        <x:v>5175.2</x:v>
      </x:c>
      <x:c r="H45" s="25" t="n">
        <x:v>-0.024982101812427104</x:v>
      </x:c>
      <x:c r="I45" s="33" t="n">
        <x:f>ROUND(E45-F45,1)</x:f>
        <x:v>212.6</x:v>
      </x:c>
      <x:c r="J45" s="23" t="str">
        <x:v>IC2403</x:v>
      </x:c>
    </x:row>
    <x:row r="46">
      <x:c r="A46" s="23" t="n">
        <x:v>15</x:v>
      </x:c>
      <x:c r="B46" s="23" t="str">
        <x:v>周四</x:v>
      </x:c>
      <x:c r="C46" s="23" t="str">
        <x:v>2月29日</x:v>
      </x:c>
      <x:c r="D46" s="24" t="n">
        <x:v>5202</x:v>
      </x:c>
      <x:c r="E46" s="24" t="n">
        <x:v>5362.6</x:v>
      </x:c>
      <x:c r="F46" s="24" t="n">
        <x:v>5164</x:v>
      </x:c>
      <x:c r="G46" s="24" t="n">
        <x:v>5346.4</x:v>
      </x:c>
      <x:c r="H46" s="25" t="n">
        <x:v>0.03308084711701964</x:v>
      </x:c>
      <x:c r="I46" s="33" t="n">
        <x:f>ROUND(E46-F46,1)</x:f>
        <x:v>198.6</x:v>
      </x:c>
      <x:c r="J46" s="23" t="str">
        <x:v>IC2403</x:v>
      </x:c>
    </x:row>
    <x:row r="47">
      <x:c r="A47" s="36" t="str">
        <x:v>合计</x:v>
      </x:c>
      <x:c r="B47" s="35" t="n">
        <x:v>15</x:v>
      </x:c>
      <x:c r="C47" s="35"/>
      <x:c r="D47" s="35"/>
      <x:c r="E47" s="35"/>
      <x:c r="F47" s="35"/>
      <x:c r="G47" s="35"/>
      <x:c r="H47" s="35"/>
      <x:c r="I47" s="37" t="n">
        <x:f>ROUND(SUM(I32:I46),1)</x:f>
        <x:v>3462.6</x:v>
      </x:c>
      <x:c r="J47" s="35"/>
    </x:row>
    <x:row r="48">
      <x:c r="A48" s="36" t="str">
        <x:v>均值</x:v>
      </x:c>
      <x:c r="B48" s="35"/>
      <x:c r="C48" s="35"/>
      <x:c r="D48" s="35"/>
      <x:c r="E48" s="35"/>
      <x:c r="F48" s="35"/>
      <x:c r="G48" s="35"/>
      <x:c r="H48" s="35"/>
      <x:c r="I48" s="39" t="n">
        <x:f>ROUND(IFERROR(AVERAGE(I32:I46),0),1)</x:f>
        <x:v>230.8</x:v>
      </x:c>
      <x:c r="J48" s="35"/>
    </x:row>
    <x:row r="50">
      <x:c r="A50" s="17" t="str">
        <x:v>3月</x:v>
      </x:c>
      <x:c r="B50" s="17"/>
      <x:c r="C50" s="17"/>
      <x:c r="D50" s="17"/>
      <x:c r="E50" s="17"/>
      <x:c r="F50" s="17"/>
      <x:c r="G50" s="17"/>
      <x:c r="H50" s="17"/>
      <x:c r="I50" s="17"/>
      <x:c r="J50" s="17"/>
    </x:row>
    <x:row r="51">
      <x:c r="A51" s="20" t="str">
        <x:v>序号</x:v>
      </x:c>
      <x:c r="B51" s="20" t="str">
        <x:v>星期</x:v>
      </x:c>
      <x:c r="C51" s="20" t="str">
        <x:v>日期</x:v>
      </x:c>
      <x:c r="D51" s="20" t="str">
        <x:v>开盘</x:v>
      </x:c>
      <x:c r="E51" s="20" t="str">
        <x:v>高点</x:v>
      </x:c>
      <x:c r="F51" s="20" t="str">
        <x:v>低点</x:v>
      </x:c>
      <x:c r="G51" s="20" t="str">
        <x:v>收盘</x:v>
      </x:c>
      <x:c r="H51" s="20" t="str">
        <x:v>涨幅</x:v>
      </x:c>
      <x:c r="I51" s="20" t="str">
        <x:v>振幅</x:v>
      </x:c>
      <x:c r="J51" s="20" t="str">
        <x:v>标的</x:v>
      </x:c>
    </x:row>
    <x:row r="52">
      <x:c r="A52" s="23" t="n">
        <x:v>1</x:v>
      </x:c>
      <x:c r="B52" s="23" t="str">
        <x:v>周五</x:v>
      </x:c>
      <x:c r="C52" s="23" t="str">
        <x:v>3月1日</x:v>
      </x:c>
      <x:c r="D52" s="24" t="n">
        <x:v>5346.4</x:v>
      </x:c>
      <x:c r="E52" s="24" t="n">
        <x:v>5394.4</x:v>
      </x:c>
      <x:c r="F52" s="24" t="n">
        <x:v>5319.2</x:v>
      </x:c>
      <x:c r="G52" s="24" t="n">
        <x:v>5382.6</x:v>
      </x:c>
      <x:c r="H52" s="25" t="n">
        <x:v>0.006770911267395041</x:v>
      </x:c>
      <x:c r="I52" s="24" t="n">
        <x:f>ROUND(E52-F52,1)</x:f>
        <x:v>75.2</x:v>
      </x:c>
      <x:c r="J52" s="23" t="str">
        <x:v>IC2403</x:v>
      </x:c>
    </x:row>
    <x:row r="53">
      <x:c r="A53" s="23" t="n">
        <x:v>2</x:v>
      </x:c>
      <x:c r="B53" s="23" t="str">
        <x:v>周一</x:v>
      </x:c>
      <x:c r="C53" s="23" t="str">
        <x:v>3月4日</x:v>
      </x:c>
      <x:c r="D53" s="24" t="n">
        <x:v>5390</x:v>
      </x:c>
      <x:c r="E53" s="24" t="n">
        <x:v>5404.6</x:v>
      </x:c>
      <x:c r="F53" s="24" t="n">
        <x:v>5315</x:v>
      </x:c>
      <x:c r="G53" s="24" t="n">
        <x:v>5377</x:v>
      </x:c>
      <x:c r="H53" s="25" t="n">
        <x:v>-0.0010403894028908622</x:v>
      </x:c>
      <x:c r="I53" s="24" t="n">
        <x:f>ROUND(E53-F53,1)</x:f>
        <x:v>89.6</x:v>
      </x:c>
      <x:c r="J53" s="23" t="str">
        <x:v>IC2403</x:v>
      </x:c>
    </x:row>
    <x:row r="54">
      <x:c r="A54" s="23" t="n">
        <x:v>3</x:v>
      </x:c>
      <x:c r="B54" s="23" t="str">
        <x:v>周二</x:v>
      </x:c>
      <x:c r="C54" s="23" t="str">
        <x:v>3月5日</x:v>
      </x:c>
      <x:c r="D54" s="24" t="n">
        <x:v>5351</x:v>
      </x:c>
      <x:c r="E54" s="24" t="n">
        <x:v>5377</x:v>
      </x:c>
      <x:c r="F54" s="24" t="n">
        <x:v>5311</x:v>
      </x:c>
      <x:c r="G54" s="24" t="n">
        <x:v>5334.8</x:v>
      </x:c>
      <x:c r="H54" s="25" t="n">
        <x:v>-0.007848242514413184</x:v>
      </x:c>
      <x:c r="I54" s="24" t="n">
        <x:f>ROUND(E54-F54,1)</x:f>
        <x:v>66</x:v>
      </x:c>
      <x:c r="J54" s="23" t="str">
        <x:v>IC2403</x:v>
      </x:c>
    </x:row>
    <x:row r="55">
      <x:c r="A55" s="23" t="n">
        <x:v>4</x:v>
      </x:c>
      <x:c r="B55" s="23" t="str">
        <x:v>周三</x:v>
      </x:c>
      <x:c r="C55" s="23" t="str">
        <x:v>3月6日</x:v>
      </x:c>
      <x:c r="D55" s="24" t="n">
        <x:v>5320.4</x:v>
      </x:c>
      <x:c r="E55" s="24" t="n">
        <x:v>5413.4</x:v>
      </x:c>
      <x:c r="F55" s="24" t="n">
        <x:v>5291</x:v>
      </x:c>
      <x:c r="G55" s="24" t="n">
        <x:v>5342.8</x:v>
      </x:c>
      <x:c r="H55" s="25" t="n">
        <x:v>0.0014995876134062947</x:v>
      </x:c>
      <x:c r="I55" s="24" t="n">
        <x:f>ROUND(E55-F55,1)</x:f>
        <x:v>122.4</x:v>
      </x:c>
      <x:c r="J55" s="23" t="str">
        <x:v>IC2403</x:v>
      </x:c>
    </x:row>
    <x:row r="56">
      <x:c r="A56" s="23" t="n">
        <x:v>5</x:v>
      </x:c>
      <x:c r="B56" s="23" t="str">
        <x:v>周四</x:v>
      </x:c>
      <x:c r="C56" s="23" t="str">
        <x:v>3月7日</x:v>
      </x:c>
      <x:c r="D56" s="24" t="n">
        <x:v>5352.2</x:v>
      </x:c>
      <x:c r="E56" s="24" t="n">
        <x:v>5385</x:v>
      </x:c>
      <x:c r="F56" s="24" t="n">
        <x:v>5270.8</x:v>
      </x:c>
      <x:c r="G56" s="24" t="n">
        <x:v>5272.4</x:v>
      </x:c>
      <x:c r="H56" s="25" t="n">
        <x:v>-0.013176611514561731</x:v>
      </x:c>
      <x:c r="I56" s="24" t="n">
        <x:f>ROUND(E56-F56,1)</x:f>
        <x:v>114.2</x:v>
      </x:c>
      <x:c r="J56" s="23" t="str">
        <x:v>IC2403</x:v>
      </x:c>
    </x:row>
    <x:row r="57">
      <x:c r="A57" s="23" t="n">
        <x:v>6</x:v>
      </x:c>
      <x:c r="B57" s="23" t="str">
        <x:v>周五</x:v>
      </x:c>
      <x:c r="C57" s="23" t="str">
        <x:v>3月8日</x:v>
      </x:c>
      <x:c r="D57" s="24" t="n">
        <x:v>5298</x:v>
      </x:c>
      <x:c r="E57" s="24" t="n">
        <x:v>5368.4</x:v>
      </x:c>
      <x:c r="F57" s="24" t="n">
        <x:v>5266</x:v>
      </x:c>
      <x:c r="G57" s="24" t="n">
        <x:v>5346.2</x:v>
      </x:c>
      <x:c r="H57" s="25" t="n">
        <x:v>0.013997420529550109</x:v>
      </x:c>
      <x:c r="I57" s="24" t="n">
        <x:f>ROUND(E57-F57,1)</x:f>
        <x:v>102.4</x:v>
      </x:c>
      <x:c r="J57" s="23" t="str">
        <x:v>IC2403</x:v>
      </x:c>
    </x:row>
    <x:row r="58">
      <x:c r="A58" s="23" t="n">
        <x:v>7</x:v>
      </x:c>
      <x:c r="B58" s="23" t="str">
        <x:v>周一</x:v>
      </x:c>
      <x:c r="C58" s="23" t="str">
        <x:v>3月11日</x:v>
      </x:c>
      <x:c r="D58" s="24" t="n">
        <x:v>5339.6</x:v>
      </x:c>
      <x:c r="E58" s="24" t="n">
        <x:v>5459.2</x:v>
      </x:c>
      <x:c r="F58" s="24" t="n">
        <x:v>5335</x:v>
      </x:c>
      <x:c r="G58" s="24" t="n">
        <x:v>5456.2</x:v>
      </x:c>
      <x:c r="H58" s="25" t="n">
        <x:v>0.020575361939321413</x:v>
      </x:c>
      <x:c r="I58" s="24" t="n">
        <x:f>ROUND(E58-F58,1)</x:f>
        <x:v>124.2</x:v>
      </x:c>
      <x:c r="J58" s="23" t="str">
        <x:v>IC2403</x:v>
      </x:c>
    </x:row>
    <x:row r="59">
      <x:c r="A59" s="23" t="n">
        <x:v>8</x:v>
      </x:c>
      <x:c r="B59" s="23" t="str">
        <x:v>周二</x:v>
      </x:c>
      <x:c r="C59" s="23" t="str">
        <x:v>3月12日</x:v>
      </x:c>
      <x:c r="D59" s="24" t="n">
        <x:v>5457.4</x:v>
      </x:c>
      <x:c r="E59" s="24" t="n">
        <x:v>5486</x:v>
      </x:c>
      <x:c r="F59" s="24" t="n">
        <x:v>5387</x:v>
      </x:c>
      <x:c r="G59" s="24" t="n">
        <x:v>5427.6</x:v>
      </x:c>
      <x:c r="H59" s="25" t="n">
        <x:v>-0.005241743337854099</x:v>
      </x:c>
      <x:c r="I59" s="24" t="n">
        <x:f>ROUND(E59-F59,1)</x:f>
        <x:v>99</x:v>
      </x:c>
      <x:c r="J59" s="23" t="str">
        <x:v>IC2403</x:v>
      </x:c>
    </x:row>
    <x:row r="60">
      <x:c r="A60" s="23" t="n">
        <x:v>9</x:v>
      </x:c>
      <x:c r="B60" s="23" t="str">
        <x:v>周三</x:v>
      </x:c>
      <x:c r="C60" s="23" t="str">
        <x:v>3月13日</x:v>
      </x:c>
      <x:c r="D60" s="24" t="n">
        <x:v>5444</x:v>
      </x:c>
      <x:c r="E60" s="24" t="n">
        <x:v>5469.8</x:v>
      </x:c>
      <x:c r="F60" s="24" t="n">
        <x:v>5390.4</x:v>
      </x:c>
      <x:c r="G60" s="24" t="n">
        <x:v>5417</x:v>
      </x:c>
      <x:c r="H60" s="25" t="n">
        <x:v>-0.0019529810597687103</x:v>
      </x:c>
      <x:c r="I60" s="24" t="n">
        <x:f>ROUND(E60-F60,1)</x:f>
        <x:v>79.4</x:v>
      </x:c>
      <x:c r="J60" s="23" t="str">
        <x:v>IC2403</x:v>
      </x:c>
    </x:row>
    <x:row r="61">
      <x:c r="A61" s="23" t="n">
        <x:v>10</x:v>
      </x:c>
      <x:c r="B61" s="23" t="str">
        <x:v>周四</x:v>
      </x:c>
      <x:c r="C61" s="23" t="str">
        <x:v>3月14日</x:v>
      </x:c>
      <x:c r="D61" s="24" t="n">
        <x:v>5414.4</x:v>
      </x:c>
      <x:c r="E61" s="24" t="n">
        <x:v>5454.4</x:v>
      </x:c>
      <x:c r="F61" s="24" t="n">
        <x:v>5353.2</x:v>
      </x:c>
      <x:c r="G61" s="24" t="n">
        <x:v>5399</x:v>
      </x:c>
      <x:c r="H61" s="25" t="n">
        <x:v>-0.0033228724386191733</x:v>
      </x:c>
      <x:c r="I61" s="24" t="n">
        <x:f>ROUND(E61-F61,1)</x:f>
        <x:v>101.2</x:v>
      </x:c>
      <x:c r="J61" s="23" t="str">
        <x:v>IC2403</x:v>
      </x:c>
    </x:row>
    <x:row r="62">
      <x:c r="A62" s="29" t="n">
        <x:v>11</x:v>
      </x:c>
      <x:c r="B62" s="29" t="str">
        <x:v>周五</x:v>
      </x:c>
      <x:c r="C62" s="29" t="str">
        <x:v>3月15日</x:v>
      </x:c>
      <x:c r="D62" s="30" t="n">
        <x:v>5398.2</x:v>
      </x:c>
      <x:c r="E62" s="30" t="n">
        <x:v>5418.8</x:v>
      </x:c>
      <x:c r="F62" s="30" t="n">
        <x:v>5359.4</x:v>
      </x:c>
      <x:c r="G62" s="30" t="n">
        <x:v>5412.2</x:v>
      </x:c>
      <x:c r="H62" s="31" t="n">
        <x:v>0.0024448972031856364</x:v>
      </x:c>
      <x:c r="I62" s="30" t="n">
        <x:f>ROUND(E62-F62,1)</x:f>
        <x:v>59.4</x:v>
      </x:c>
      <x:c r="J62" s="29" t="str">
        <x:v>IC2403</x:v>
      </x:c>
    </x:row>
    <x:row r="63">
      <x:c r="A63" s="23" t="n">
        <x:v>12</x:v>
      </x:c>
      <x:c r="B63" s="23" t="str">
        <x:v>周一</x:v>
      </x:c>
      <x:c r="C63" s="23" t="str">
        <x:v>3月18日</x:v>
      </x:c>
      <x:c r="D63" s="24" t="n">
        <x:v>5409.4</x:v>
      </x:c>
      <x:c r="E63" s="24" t="n">
        <x:v>5478.8</x:v>
      </x:c>
      <x:c r="F63" s="24" t="n">
        <x:v>5388</x:v>
      </x:c>
      <x:c r="G63" s="24" t="n">
        <x:v>5475.8</x:v>
      </x:c>
      <x:c r="H63" s="25" t="n">
        <x:v>0.022319943830604982</x:v>
      </x:c>
      <x:c r="I63" s="24" t="n">
        <x:f>ROUND(E63-F63,1)</x:f>
        <x:v>90.8</x:v>
      </x:c>
      <x:c r="J63" s="23" t="str">
        <x:v>IC2406</x:v>
      </x:c>
    </x:row>
    <x:row r="64">
      <x:c r="A64" s="23" t="n">
        <x:v>13</x:v>
      </x:c>
      <x:c r="B64" s="23" t="str">
        <x:v>周二</x:v>
      </x:c>
      <x:c r="C64" s="23" t="str">
        <x:v>3月19日</x:v>
      </x:c>
      <x:c r="D64" s="24" t="n">
        <x:v>5465</x:v>
      </x:c>
      <x:c r="E64" s="24" t="n">
        <x:v>5469.4</x:v>
      </x:c>
      <x:c r="F64" s="24" t="n">
        <x:v>5406</x:v>
      </x:c>
      <x:c r="G64" s="24" t="n">
        <x:v>5414.8</x:v>
      </x:c>
      <x:c r="H64" s="25" t="n">
        <x:v>-0.010988613771913958</x:v>
      </x:c>
      <x:c r="I64" s="24" t="n">
        <x:f>ROUND(E64-F64,1)</x:f>
        <x:v>63.4</x:v>
      </x:c>
      <x:c r="J64" s="23" t="str">
        <x:v>IC2406</x:v>
      </x:c>
    </x:row>
    <x:row r="65">
      <x:c r="A65" s="23" t="n">
        <x:v>14</x:v>
      </x:c>
      <x:c r="B65" s="23" t="str">
        <x:v>周三</x:v>
      </x:c>
      <x:c r="C65" s="23" t="str">
        <x:v>3月20日</x:v>
      </x:c>
      <x:c r="D65" s="24" t="n">
        <x:v>5412.2</x:v>
      </x:c>
      <x:c r="E65" s="24" t="n">
        <x:v>5445</x:v>
      </x:c>
      <x:c r="F65" s="24" t="n">
        <x:v>5395.2</x:v>
      </x:c>
      <x:c r="G65" s="24" t="n">
        <x:v>5429</x:v>
      </x:c>
      <x:c r="H65" s="25" t="n">
        <x:v>0.0025218376521325414</x:v>
      </x:c>
      <x:c r="I65" s="24" t="n">
        <x:f>ROUND(E65-F65,1)</x:f>
        <x:v>49.8</x:v>
      </x:c>
      <x:c r="J65" s="23" t="str">
        <x:v>IC2406</x:v>
      </x:c>
    </x:row>
    <x:row r="66">
      <x:c r="A66" s="23" t="n">
        <x:v>15</x:v>
      </x:c>
      <x:c r="B66" s="23" t="str">
        <x:v>周四</x:v>
      </x:c>
      <x:c r="C66" s="23" t="str">
        <x:v>3月21日</x:v>
      </x:c>
      <x:c r="D66" s="24" t="n">
        <x:v>5450</x:v>
      </x:c>
      <x:c r="E66" s="24" t="n">
        <x:v>5454.8</x:v>
      </x:c>
      <x:c r="F66" s="24" t="n">
        <x:v>5390.4</x:v>
      </x:c>
      <x:c r="G66" s="24" t="n">
        <x:v>5401</x:v>
      </x:c>
      <x:c r="H66" s="25" t="n">
        <x:v>-0.0051403572730586156</x:v>
      </x:c>
      <x:c r="I66" s="24" t="n">
        <x:f>ROUND(E66-F66,1)</x:f>
        <x:v>64.4</x:v>
      </x:c>
      <x:c r="J66" s="23" t="str">
        <x:v>IC2406</x:v>
      </x:c>
    </x:row>
    <x:row r="67">
      <x:c r="A67" s="23" t="n">
        <x:v>16</x:v>
      </x:c>
      <x:c r="B67" s="23" t="str">
        <x:v>周五</x:v>
      </x:c>
      <x:c r="C67" s="23" t="str">
        <x:v>3月22日</x:v>
      </x:c>
      <x:c r="D67" s="24" t="n">
        <x:v>5391.4</x:v>
      </x:c>
      <x:c r="E67" s="24" t="n">
        <x:v>5404.4</x:v>
      </x:c>
      <x:c r="F67" s="24" t="n">
        <x:v>5285</x:v>
      </x:c>
      <x:c r="G67" s="24" t="n">
        <x:v>5306</x:v>
      </x:c>
      <x:c r="H67" s="25" t="n">
        <x:v>-0.016636740078419865</x:v>
      </x:c>
      <x:c r="I67" s="24" t="n">
        <x:f>ROUND(E67-F67,1)</x:f>
        <x:v>119.4</x:v>
      </x:c>
      <x:c r="J67" s="23" t="str">
        <x:v>IC2406</x:v>
      </x:c>
    </x:row>
    <x:row r="68">
      <x:c r="A68" s="23" t="n">
        <x:v>17</x:v>
      </x:c>
      <x:c r="B68" s="23" t="str">
        <x:v>周一</x:v>
      </x:c>
      <x:c r="C68" s="23" t="str">
        <x:v>3月25日</x:v>
      </x:c>
      <x:c r="D68" s="24" t="n">
        <x:v>5289.4</x:v>
      </x:c>
      <x:c r="E68" s="24" t="n">
        <x:v>5329.8</x:v>
      </x:c>
      <x:c r="F68" s="24" t="n">
        <x:v>5218.8</x:v>
      </x:c>
      <x:c r="G68" s="24" t="n">
        <x:v>5234</x:v>
      </x:c>
      <x:c r="H68" s="25" t="n">
        <x:v>-0.013638904415874786</x:v>
      </x:c>
      <x:c r="I68" s="24" t="n">
        <x:f>ROUND(E68-F68,1)</x:f>
        <x:v>111</x:v>
      </x:c>
      <x:c r="J68" s="23" t="str">
        <x:v>IC2406</x:v>
      </x:c>
    </x:row>
    <x:row r="69">
      <x:c r="A69" s="23" t="n">
        <x:v>18</x:v>
      </x:c>
      <x:c r="B69" s="23" t="str">
        <x:v>周二</x:v>
      </x:c>
      <x:c r="C69" s="23" t="str">
        <x:v>3月26日</x:v>
      </x:c>
      <x:c r="D69" s="24" t="n">
        <x:v>5239</x:v>
      </x:c>
      <x:c r="E69" s="24" t="n">
        <x:v>5259.4</x:v>
      </x:c>
      <x:c r="F69" s="24" t="n">
        <x:v>5180</x:v>
      </x:c>
      <x:c r="G69" s="24" t="n">
        <x:v>5206.4</x:v>
      </x:c>
      <x:c r="H69" s="25" t="n">
        <x:v>-0.004986965884619887</x:v>
      </x:c>
      <x:c r="I69" s="24" t="n">
        <x:f>ROUND(E69-F69,1)</x:f>
        <x:v>79.4</x:v>
      </x:c>
      <x:c r="J69" s="23" t="str">
        <x:v>IC2406</x:v>
      </x:c>
    </x:row>
    <x:row r="70">
      <x:c r="A70" s="23" t="n">
        <x:v>19</x:v>
      </x:c>
      <x:c r="B70" s="23" t="str">
        <x:v>周三</x:v>
      </x:c>
      <x:c r="C70" s="23" t="str">
        <x:v>3月27日</x:v>
      </x:c>
      <x:c r="D70" s="24" t="n">
        <x:v>5199.8</x:v>
      </x:c>
      <x:c r="E70" s="24" t="n">
        <x:v>5210.6</x:v>
      </x:c>
      <x:c r="F70" s="24" t="n">
        <x:v>5086.4</x:v>
      </x:c>
      <x:c r="G70" s="24" t="n">
        <x:v>5090</x:v>
      </x:c>
      <x:c r="H70" s="25" t="n">
        <x:v>-0.022174127653111442</x:v>
      </x:c>
      <x:c r="I70" s="24" t="n">
        <x:f>ROUND(E70-F70,1)</x:f>
        <x:v>124.2</x:v>
      </x:c>
      <x:c r="J70" s="23" t="str">
        <x:v>IC2406</x:v>
      </x:c>
    </x:row>
    <x:row r="71">
      <x:c r="A71" s="23" t="n">
        <x:v>20</x:v>
      </x:c>
      <x:c r="B71" s="23" t="str">
        <x:v>周四</x:v>
      </x:c>
      <x:c r="C71" s="23" t="str">
        <x:v>3月28日</x:v>
      </x:c>
      <x:c r="D71" s="24" t="n">
        <x:v>5100.2</x:v>
      </x:c>
      <x:c r="E71" s="24" t="n">
        <x:v>5215.8</x:v>
      </x:c>
      <x:c r="F71" s="24" t="n">
        <x:v>5100.2</x:v>
      </x:c>
      <x:c r="G71" s="24" t="n">
        <x:v>5149.8</x:v>
      </x:c>
      <x:c r="H71" s="25" t="n">
        <x:v>0.012852871510115271</x:v>
      </x:c>
      <x:c r="I71" s="24" t="n">
        <x:f>ROUND(E71-F71,1)</x:f>
        <x:v>115.6</x:v>
      </x:c>
      <x:c r="J71" s="23" t="str">
        <x:v>IC2406</x:v>
      </x:c>
    </x:row>
    <x:row r="72">
      <x:c r="A72" s="23" t="n">
        <x:v>21</x:v>
      </x:c>
      <x:c r="B72" s="23" t="str">
        <x:v>周五</x:v>
      </x:c>
      <x:c r="C72" s="23" t="str">
        <x:v>3月29日</x:v>
      </x:c>
      <x:c r="D72" s="24" t="n">
        <x:v>5134.8</x:v>
      </x:c>
      <x:c r="E72" s="24" t="n">
        <x:v>5229.8</x:v>
      </x:c>
      <x:c r="F72" s="24" t="n">
        <x:v>5134.8</x:v>
      </x:c>
      <x:c r="G72" s="24" t="n">
        <x:v>5225</x:v>
      </x:c>
      <x:c r="H72" s="25" t="n">
        <x:v>0.013724888820732861</x:v>
      </x:c>
      <x:c r="I72" s="24" t="n">
        <x:f>ROUND(E72-F72,1)</x:f>
        <x:v>95</x:v>
      </x:c>
      <x:c r="J72" s="23" t="str">
        <x:v>IC2406</x:v>
      </x:c>
    </x:row>
    <x:row r="73">
      <x:c r="A73" s="36" t="str">
        <x:v>合计</x:v>
      </x:c>
      <x:c r="B73" s="35" t="n">
        <x:v>21</x:v>
      </x:c>
      <x:c r="C73" s="35"/>
      <x:c r="D73" s="35"/>
      <x:c r="E73" s="35"/>
      <x:c r="F73" s="35"/>
      <x:c r="G73" s="35"/>
      <x:c r="H73" s="35"/>
      <x:c r="I73" s="37" t="n">
        <x:f>ROUND(SUM(I52:I72),1)</x:f>
        <x:v>1946</x:v>
      </x:c>
      <x:c r="J73" s="35"/>
    </x:row>
    <x:row r="74">
      <x:c r="A74" s="36" t="str">
        <x:v>均值</x:v>
      </x:c>
      <x:c r="B74" s="35"/>
      <x:c r="C74" s="35"/>
      <x:c r="D74" s="35"/>
      <x:c r="E74" s="35"/>
      <x:c r="F74" s="35"/>
      <x:c r="G74" s="35"/>
      <x:c r="H74" s="35"/>
      <x:c r="I74" s="39" t="n">
        <x:f>ROUND(IFERROR(AVERAGE(I52:I72),0),1)</x:f>
        <x:v>92.7</x:v>
      </x:c>
      <x:c r="J74" s="35"/>
    </x:row>
    <x:row r="76">
      <x:c r="A76" s="17" t="str">
        <x:v>4月</x:v>
      </x:c>
      <x:c r="B76" s="17"/>
      <x:c r="C76" s="17"/>
      <x:c r="D76" s="17"/>
      <x:c r="E76" s="17"/>
      <x:c r="F76" s="17"/>
      <x:c r="G76" s="17"/>
      <x:c r="H76" s="17"/>
      <x:c r="I76" s="17"/>
      <x:c r="J76" s="17"/>
    </x:row>
    <x:row r="77">
      <x:c r="A77" s="20" t="str">
        <x:v>序号</x:v>
      </x:c>
      <x:c r="B77" s="20" t="str">
        <x:v>星期</x:v>
      </x:c>
      <x:c r="C77" s="20" t="str">
        <x:v>日期</x:v>
      </x:c>
      <x:c r="D77" s="20" t="str">
        <x:v>开盘</x:v>
      </x:c>
      <x:c r="E77" s="20" t="str">
        <x:v>高点</x:v>
      </x:c>
      <x:c r="F77" s="20" t="str">
        <x:v>低点</x:v>
      </x:c>
      <x:c r="G77" s="20" t="str">
        <x:v>收盘</x:v>
      </x:c>
      <x:c r="H77" s="20" t="str">
        <x:v>涨幅</x:v>
      </x:c>
      <x:c r="I77" s="20" t="str">
        <x:v>振幅</x:v>
      </x:c>
      <x:c r="J77" s="20" t="str">
        <x:v>标的</x:v>
      </x:c>
    </x:row>
    <x:row r="78">
      <x:c r="A78" s="23" t="n">
        <x:v>1</x:v>
      </x:c>
      <x:c r="B78" s="23" t="str">
        <x:v>周一</x:v>
      </x:c>
      <x:c r="C78" s="23" t="str">
        <x:v>4月1日</x:v>
      </x:c>
      <x:c r="D78" s="24" t="n">
        <x:v>5250</x:v>
      </x:c>
      <x:c r="E78" s="24" t="n">
        <x:v>5352</x:v>
      </x:c>
      <x:c r="F78" s="24" t="n">
        <x:v>5250</x:v>
      </x:c>
      <x:c r="G78" s="24" t="n">
        <x:v>5342.8</x:v>
      </x:c>
      <x:c r="H78" s="25" t="n">
        <x:v>0.02185916345208394</x:v>
      </x:c>
      <x:c r="I78" s="24" t="n">
        <x:f>ROUND(E78-F78,1)</x:f>
        <x:v>102</x:v>
      </x:c>
      <x:c r="J78" s="23" t="str">
        <x:v>IC2406</x:v>
      </x:c>
    </x:row>
    <x:row r="79">
      <x:c r="A79" s="23" t="n">
        <x:v>2</x:v>
      </x:c>
      <x:c r="B79" s="23" t="str">
        <x:v>周二</x:v>
      </x:c>
      <x:c r="C79" s="23" t="str">
        <x:v>4月2日</x:v>
      </x:c>
      <x:c r="D79" s="24" t="n">
        <x:v>5331.4</x:v>
      </x:c>
      <x:c r="E79" s="24" t="n">
        <x:v>5350.8</x:v>
      </x:c>
      <x:c r="F79" s="24" t="n">
        <x:v>5291</x:v>
      </x:c>
      <x:c r="G79" s="24" t="n">
        <x:v>5323.8</x:v>
      </x:c>
      <x:c r="H79" s="25" t="n">
        <x:v>-0.004108068097705364</x:v>
      </x:c>
      <x:c r="I79" s="24" t="n">
        <x:f>ROUND(E79-F79,1)</x:f>
        <x:v>59.8</x:v>
      </x:c>
      <x:c r="J79" s="23" t="str">
        <x:v>IC2406</x:v>
      </x:c>
    </x:row>
    <x:row r="80">
      <x:c r="A80" s="23" t="n">
        <x:v>3</x:v>
      </x:c>
      <x:c r="B80" s="23" t="str">
        <x:v>周三</x:v>
      </x:c>
      <x:c r="C80" s="23" t="str">
        <x:v>4月3日</x:v>
      </x:c>
      <x:c r="D80" s="24" t="n">
        <x:v>5313.6</x:v>
      </x:c>
      <x:c r="E80" s="24" t="n">
        <x:v>5321.8</x:v>
      </x:c>
      <x:c r="F80" s="24" t="n">
        <x:v>5282</x:v>
      </x:c>
      <x:c r="G80" s="24" t="n">
        <x:v>5310</x:v>
      </x:c>
      <x:c r="H80" s="25" t="n">
        <x:v>-0.0018209520978111904</x:v>
      </x:c>
      <x:c r="I80" s="24" t="n">
        <x:f>ROUND(E80-F80,1)</x:f>
        <x:v>39.8</x:v>
      </x:c>
      <x:c r="J80" s="23" t="str">
        <x:v>IC2406</x:v>
      </x:c>
    </x:row>
    <x:row r="81">
      <x:c r="A81" s="23" t="n">
        <x:v>4</x:v>
      </x:c>
      <x:c r="B81" s="23" t="str">
        <x:v>周一</x:v>
      </x:c>
      <x:c r="C81" s="23" t="str">
        <x:v>4月8日</x:v>
      </x:c>
      <x:c r="D81" s="24" t="n">
        <x:v>5294.6</x:v>
      </x:c>
      <x:c r="E81" s="24" t="n">
        <x:v>5317.8</x:v>
      </x:c>
      <x:c r="F81" s="24" t="n">
        <x:v>5218.8</x:v>
      </x:c>
      <x:c r="G81" s="24" t="n">
        <x:v>5225</x:v>
      </x:c>
      <x:c r="H81" s="25" t="n">
        <x:v>-0.01597170513775137</x:v>
      </x:c>
      <x:c r="I81" s="24" t="n">
        <x:f>ROUND(E81-F81,1)</x:f>
        <x:v>99</x:v>
      </x:c>
      <x:c r="J81" s="23" t="str">
        <x:v>IC2406</x:v>
      </x:c>
    </x:row>
    <x:row r="82">
      <x:c r="A82" s="23" t="n">
        <x:v>5</x:v>
      </x:c>
      <x:c r="B82" s="23" t="str">
        <x:v>周二</x:v>
      </x:c>
      <x:c r="C82" s="23" t="str">
        <x:v>4月9日</x:v>
      </x:c>
      <x:c r="D82" s="24" t="n">
        <x:v>5220</x:v>
      </x:c>
      <x:c r="E82" s="24" t="n">
        <x:v>5276.6</x:v>
      </x:c>
      <x:c r="F82" s="24" t="n">
        <x:v>5220</x:v>
      </x:c>
      <x:c r="G82" s="24" t="n">
        <x:v>5275</x:v>
      </x:c>
      <x:c r="H82" s="25" t="n">
        <x:v>0.00908024668003482</x:v>
      </x:c>
      <x:c r="I82" s="24" t="n">
        <x:f>ROUND(E82-F82,1)</x:f>
        <x:v>56.6</x:v>
      </x:c>
      <x:c r="J82" s="23" t="str">
        <x:v>IC2406</x:v>
      </x:c>
    </x:row>
    <x:row r="83">
      <x:c r="A83" s="23" t="n">
        <x:v>6</x:v>
      </x:c>
      <x:c r="B83" s="23" t="str">
        <x:v>周三</x:v>
      </x:c>
      <x:c r="C83" s="23" t="str">
        <x:v>4月10日</x:v>
      </x:c>
      <x:c r="D83" s="24" t="n">
        <x:v>5263.4</x:v>
      </x:c>
      <x:c r="E83" s="24" t="n">
        <x:v>5270.2</x:v>
      </x:c>
      <x:c r="F83" s="24" t="n">
        <x:v>5162.4</x:v>
      </x:c>
      <x:c r="G83" s="24" t="n">
        <x:v>5206.6</x:v>
      </x:c>
      <x:c r="H83" s="25" t="n">
        <x:v>-0.012223013760263912</x:v>
      </x:c>
      <x:c r="I83" s="24" t="n">
        <x:f>ROUND(E83-F83,1)</x:f>
        <x:v>107.8</x:v>
      </x:c>
      <x:c r="J83" s="23" t="str">
        <x:v>IC2406</x:v>
      </x:c>
    </x:row>
    <x:row r="84">
      <x:c r="A84" s="23" t="n">
        <x:v>7</x:v>
      </x:c>
      <x:c r="B84" s="23" t="str">
        <x:v>周四</x:v>
      </x:c>
      <x:c r="C84" s="23" t="str">
        <x:v>4月11日</x:v>
      </x:c>
      <x:c r="D84" s="24" t="n">
        <x:v>5187.8</x:v>
      </x:c>
      <x:c r="E84" s="24" t="n">
        <x:v>5297.4</x:v>
      </x:c>
      <x:c r="F84" s="24" t="n">
        <x:v>5171</x:v>
      </x:c>
      <x:c r="G84" s="24" t="n">
        <x:v>5240.6</x:v>
      </x:c>
      <x:c r="H84" s="25" t="n">
        <x:v>0.006452837350540808</x:v>
      </x:c>
      <x:c r="I84" s="24" t="n">
        <x:f>ROUND(E84-F84,1)</x:f>
        <x:v>126.4</x:v>
      </x:c>
      <x:c r="J84" s="23" t="str">
        <x:v>IC2406</x:v>
      </x:c>
    </x:row>
    <x:row r="85">
      <x:c r="A85" s="23" t="n">
        <x:v>8</x:v>
      </x:c>
      <x:c r="B85" s="23" t="str">
        <x:v>周五</x:v>
      </x:c>
      <x:c r="C85" s="23" t="str">
        <x:v>4月12日</x:v>
      </x:c>
      <x:c r="D85" s="24" t="n">
        <x:v>5244.2</x:v>
      </x:c>
      <x:c r="E85" s="24" t="n">
        <x:v>5278.8</x:v>
      </x:c>
      <x:c r="F85" s="24" t="n">
        <x:v>5195</x:v>
      </x:c>
      <x:c r="G85" s="24" t="n">
        <x:v>5200</x:v>
      </x:c>
      <x:c r="H85" s="25" t="n">
        <x:v>-0.007505185743918563</x:v>
      </x:c>
      <x:c r="I85" s="24" t="n">
        <x:f>ROUND(E85-F85,1)</x:f>
        <x:v>83.8</x:v>
      </x:c>
      <x:c r="J85" s="23" t="str">
        <x:v>IC2406</x:v>
      </x:c>
    </x:row>
    <x:row r="86">
      <x:c r="A86" s="23" t="n">
        <x:v>9</x:v>
      </x:c>
      <x:c r="B86" s="23" t="str">
        <x:v>周一</x:v>
      </x:c>
      <x:c r="C86" s="23" t="str">
        <x:v>4月15日</x:v>
      </x:c>
      <x:c r="D86" s="24" t="n">
        <x:v>5202.6</x:v>
      </x:c>
      <x:c r="E86" s="24" t="n">
        <x:v>5316</x:v>
      </x:c>
      <x:c r="F86" s="24" t="n">
        <x:v>5151.2</x:v>
      </x:c>
      <x:c r="G86" s="24" t="n">
        <x:v>5275.8</x:v>
      </x:c>
      <x:c r="H86" s="25" t="n">
        <x:v>0.015541875664994764</x:v>
      </x:c>
      <x:c r="I86" s="33" t="n">
        <x:f>ROUND(E86-F86,1)</x:f>
        <x:v>164.8</x:v>
      </x:c>
      <x:c r="J86" s="23" t="str">
        <x:v>IC2406</x:v>
      </x:c>
    </x:row>
    <x:row r="87">
      <x:c r="A87" s="23" t="n">
        <x:v>10</x:v>
      </x:c>
      <x:c r="B87" s="23" t="str">
        <x:v>周二</x:v>
      </x:c>
      <x:c r="C87" s="23" t="str">
        <x:v>4月16日</x:v>
      </x:c>
      <x:c r="D87" s="24" t="n">
        <x:v>5257</x:v>
      </x:c>
      <x:c r="E87" s="24" t="n">
        <x:v>5285.8</x:v>
      </x:c>
      <x:c r="F87" s="24" t="n">
        <x:v>5109.8</x:v>
      </x:c>
      <x:c r="G87" s="24" t="n">
        <x:v>5130.4</x:v>
      </x:c>
      <x:c r="H87" s="25" t="n">
        <x:v>-0.027502338634237566</x:v>
      </x:c>
      <x:c r="I87" s="33" t="n">
        <x:f>ROUND(E87-F87,1)</x:f>
        <x:v>176</x:v>
      </x:c>
      <x:c r="J87" s="23" t="str">
        <x:v>IC2406</x:v>
      </x:c>
    </x:row>
    <x:row r="88">
      <x:c r="A88" s="23" t="n">
        <x:v>11</x:v>
      </x:c>
      <x:c r="B88" s="23" t="str">
        <x:v>周三</x:v>
      </x:c>
      <x:c r="C88" s="23" t="str">
        <x:v>4月17日</x:v>
      </x:c>
      <x:c r="D88" s="24" t="n">
        <x:v>5168</x:v>
      </x:c>
      <x:c r="E88" s="24" t="n">
        <x:v>5289.6</x:v>
      </x:c>
      <x:c r="F88" s="24" t="n">
        <x:v>5156.2</x:v>
      </x:c>
      <x:c r="G88" s="24" t="n">
        <x:v>5286.4</x:v>
      </x:c>
      <x:c r="H88" s="25" t="n">
        <x:v>0.02766448634090035</x:v>
      </x:c>
      <x:c r="I88" s="24" t="n">
        <x:f>ROUND(E88-F88,1)</x:f>
        <x:v>133.4</x:v>
      </x:c>
      <x:c r="J88" s="23" t="str">
        <x:v>IC2406</x:v>
      </x:c>
    </x:row>
    <x:row r="89">
      <x:c r="A89" s="23" t="n">
        <x:v>12</x:v>
      </x:c>
      <x:c r="B89" s="23" t="str">
        <x:v>周四</x:v>
      </x:c>
      <x:c r="C89" s="23" t="str">
        <x:v>4月18日</x:v>
      </x:c>
      <x:c r="D89" s="24" t="n">
        <x:v>5264</x:v>
      </x:c>
      <x:c r="E89" s="24" t="n">
        <x:v>5367.8</x:v>
      </x:c>
      <x:c r="F89" s="24" t="n">
        <x:v>5241</x:v>
      </x:c>
      <x:c r="G89" s="24" t="n">
        <x:v>5300</x:v>
      </x:c>
      <x:c r="H89" s="25" t="n">
        <x:v>0.0021715526601520097</x:v>
      </x:c>
      <x:c r="I89" s="24" t="n">
        <x:f>ROUND(E89-F89,1)</x:f>
        <x:v>126.8</x:v>
      </x:c>
      <x:c r="J89" s="23" t="str">
        <x:v>IC2406</x:v>
      </x:c>
    </x:row>
    <x:row r="90">
      <x:c r="A90" s="29" t="n">
        <x:v>13</x:v>
      </x:c>
      <x:c r="B90" s="29" t="str">
        <x:v>周五</x:v>
      </x:c>
      <x:c r="C90" s="29" t="str">
        <x:v>4月19日</x:v>
      </x:c>
      <x:c r="D90" s="30" t="n">
        <x:v>5284</x:v>
      </x:c>
      <x:c r="E90" s="30" t="n">
        <x:v>5322.4</x:v>
      </x:c>
      <x:c r="F90" s="30" t="n">
        <x:v>5234</x:v>
      </x:c>
      <x:c r="G90" s="30" t="n">
        <x:v>5250.4</x:v>
      </x:c>
      <x:c r="H90" s="31" t="n">
        <x:v>-0.01221653528598643</x:v>
      </x:c>
      <x:c r="I90" s="30" t="n">
        <x:f>ROUND(E90-F90,1)</x:f>
        <x:v>88.4</x:v>
      </x:c>
      <x:c r="J90" s="29" t="str">
        <x:v>IC2406</x:v>
      </x:c>
    </x:row>
    <x:row r="91">
      <x:c r="A91" s="23" t="n">
        <x:v>14</x:v>
      </x:c>
      <x:c r="B91" s="23" t="str">
        <x:v>周一</x:v>
      </x:c>
      <x:c r="C91" s="23" t="str">
        <x:v>4月22日</x:v>
      </x:c>
      <x:c r="D91" s="24" t="n">
        <x:v>5252</x:v>
      </x:c>
      <x:c r="E91" s="24" t="n">
        <x:v>5294.4</x:v>
      </x:c>
      <x:c r="F91" s="24" t="n">
        <x:v>5203.8</x:v>
      </x:c>
      <x:c r="G91" s="24" t="n">
        <x:v>5210.4</x:v>
      </x:c>
      <x:c r="H91" s="25" t="n">
        <x:v>-0.00790468986384274</x:v>
      </x:c>
      <x:c r="I91" s="24" t="n">
        <x:f>ROUND(E91-F91,1)</x:f>
        <x:v>90.6</x:v>
      </x:c>
      <x:c r="J91" s="23" t="str">
        <x:v>IC2406</x:v>
      </x:c>
    </x:row>
    <x:row r="92">
      <x:c r="A92" s="23" t="n">
        <x:v>15</x:v>
      </x:c>
      <x:c r="B92" s="23" t="str">
        <x:v>周二</x:v>
      </x:c>
      <x:c r="C92" s="23" t="str">
        <x:v>4月23日</x:v>
      </x:c>
      <x:c r="D92" s="24" t="n">
        <x:v>5217.6</x:v>
      </x:c>
      <x:c r="E92" s="24" t="n">
        <x:v>5242.4</x:v>
      </x:c>
      <x:c r="F92" s="24" t="n">
        <x:v>5139</x:v>
      </x:c>
      <x:c r="G92" s="24" t="n">
        <x:v>5150</x:v>
      </x:c>
      <x:c r="H92" s="25" t="n">
        <x:v>-0.011551218024474785</x:v>
      </x:c>
      <x:c r="I92" s="24" t="n">
        <x:f>ROUND(E92-F92,1)</x:f>
        <x:v>103.4</x:v>
      </x:c>
      <x:c r="J92" s="23" t="str">
        <x:v>IC2406</x:v>
      </x:c>
    </x:row>
    <x:row r="93">
      <x:c r="A93" s="23" t="n">
        <x:v>16</x:v>
      </x:c>
      <x:c r="B93" s="23" t="str">
        <x:v>周三</x:v>
      </x:c>
      <x:c r="C93" s="23" t="str">
        <x:v>4月24日</x:v>
      </x:c>
      <x:c r="D93" s="24" t="n">
        <x:v>5161.2</x:v>
      </x:c>
      <x:c r="E93" s="24" t="n">
        <x:v>5212.2</x:v>
      </x:c>
      <x:c r="F93" s="24" t="n">
        <x:v>5124.2</x:v>
      </x:c>
      <x:c r="G93" s="24" t="n">
        <x:v>5209.8</x:v>
      </x:c>
      <x:c r="H93" s="25" t="n">
        <x:v>0.012611848195001496</x:v>
      </x:c>
      <x:c r="I93" s="24" t="n">
        <x:f>ROUND(E93-F93,1)</x:f>
        <x:v>88</x:v>
      </x:c>
      <x:c r="J93" s="23" t="str">
        <x:v>IC2406</x:v>
      </x:c>
    </x:row>
    <x:row r="94">
      <x:c r="A94" s="23" t="n">
        <x:v>17</x:v>
      </x:c>
      <x:c r="B94" s="23" t="str">
        <x:v>周四</x:v>
      </x:c>
      <x:c r="C94" s="23" t="str">
        <x:v>4月25日</x:v>
      </x:c>
      <x:c r="D94" s="24" t="n">
        <x:v>5193.6</x:v>
      </x:c>
      <x:c r="E94" s="24" t="n">
        <x:v>5249</x:v>
      </x:c>
      <x:c r="F94" s="24" t="n">
        <x:v>5172.2</x:v>
      </x:c>
      <x:c r="G94" s="24" t="n">
        <x:v>5209.2</x:v>
      </x:c>
      <x:c r="H94" s="25" t="n">
        <x:v>-0.0007998476480669536</x:v>
      </x:c>
      <x:c r="I94" s="24" t="n">
        <x:f>ROUND(E94-F94,1)</x:f>
        <x:v>76.8</x:v>
      </x:c>
      <x:c r="J94" s="23" t="str">
        <x:v>IC2406</x:v>
      </x:c>
    </x:row>
    <x:row r="95">
      <x:c r="A95" s="23" t="n">
        <x:v>18</x:v>
      </x:c>
      <x:c r="B95" s="23" t="str">
        <x:v>周五</x:v>
      </x:c>
      <x:c r="C95" s="23" t="str">
        <x:v>4月26日</x:v>
      </x:c>
      <x:c r="D95" s="24" t="n">
        <x:v>5220.8</x:v>
      </x:c>
      <x:c r="E95" s="24" t="n">
        <x:v>5360</x:v>
      </x:c>
      <x:c r="F95" s="24" t="n">
        <x:v>5220.8</x:v>
      </x:c>
      <x:c r="G95" s="24" t="n">
        <x:v>5344.2</x:v>
      </x:c>
      <x:c r="H95" s="25" t="n">
        <x:v>0.024128992909963953</x:v>
      </x:c>
      <x:c r="I95" s="24" t="n">
        <x:f>ROUND(E95-F95,1)</x:f>
        <x:v>139.2</x:v>
      </x:c>
      <x:c r="J95" s="23" t="str">
        <x:v>IC2406</x:v>
      </x:c>
    </x:row>
    <x:row r="96">
      <x:c r="A96" s="23" t="n">
        <x:v>19</x:v>
      </x:c>
      <x:c r="B96" s="23" t="str">
        <x:v>周一</x:v>
      </x:c>
      <x:c r="C96" s="23" t="str">
        <x:v>4月29日</x:v>
      </x:c>
      <x:c r="D96" s="24" t="n">
        <x:v>5350.2</x:v>
      </x:c>
      <x:c r="E96" s="24" t="n">
        <x:v>5488</x:v>
      </x:c>
      <x:c r="F96" s="24" t="n">
        <x:v>5350.2</x:v>
      </x:c>
      <x:c r="G96" s="24" t="n">
        <x:v>5467</x:v>
      </x:c>
      <x:c r="H96" s="25" t="n">
        <x:v>0.020731752707782825</x:v>
      </x:c>
      <x:c r="I96" s="24" t="n">
        <x:f>ROUND(E96-F96,1)</x:f>
        <x:v>137.8</x:v>
      </x:c>
      <x:c r="J96" s="23" t="str">
        <x:v>IC2406</x:v>
      </x:c>
    </x:row>
    <x:row r="97">
      <x:c r="A97" s="23" t="n">
        <x:v>20</x:v>
      </x:c>
      <x:c r="B97" s="23" t="str">
        <x:v>周二</x:v>
      </x:c>
      <x:c r="C97" s="23" t="str">
        <x:v>4月30日</x:v>
      </x:c>
      <x:c r="D97" s="24" t="n">
        <x:v>5467</x:v>
      </x:c>
      <x:c r="E97" s="24" t="n">
        <x:v>5473</x:v>
      </x:c>
      <x:c r="F97" s="24" t="n">
        <x:v>5415</x:v>
      </x:c>
      <x:c r="G97" s="24" t="n">
        <x:v>5420.6</x:v>
      </x:c>
      <x:c r="H97" s="25" t="n">
        <x:v>-0.007803383897316274</x:v>
      </x:c>
      <x:c r="I97" s="24" t="n">
        <x:f>ROUND(E97-F97,1)</x:f>
        <x:v>58</x:v>
      </x:c>
      <x:c r="J97" s="23" t="str">
        <x:v>IC2406</x:v>
      </x:c>
    </x:row>
    <x:row r="98">
      <x:c r="A98" s="36" t="str">
        <x:v>合计</x:v>
      </x:c>
      <x:c r="B98" s="35" t="n">
        <x:v>20</x:v>
      </x:c>
      <x:c r="C98" s="35"/>
      <x:c r="D98" s="35"/>
      <x:c r="E98" s="35"/>
      <x:c r="F98" s="35"/>
      <x:c r="G98" s="35"/>
      <x:c r="H98" s="35"/>
      <x:c r="I98" s="37" t="n">
        <x:f>ROUND(SUM(I78:I97),1)</x:f>
        <x:v>2058.4</x:v>
      </x:c>
      <x:c r="J98" s="35"/>
    </x:row>
    <x:row r="99">
      <x:c r="A99" s="36" t="str">
        <x:v>均值</x:v>
      </x:c>
      <x:c r="B99" s="35"/>
      <x:c r="C99" s="35"/>
      <x:c r="D99" s="35"/>
      <x:c r="E99" s="35"/>
      <x:c r="F99" s="35"/>
      <x:c r="G99" s="35"/>
      <x:c r="H99" s="35"/>
      <x:c r="I99" s="39" t="n">
        <x:f>ROUND(IFERROR(AVERAGE(I78:I97),0),1)</x:f>
        <x:v>102.9</x:v>
      </x:c>
      <x:c r="J99" s="35"/>
    </x:row>
    <x:row r="101">
      <x:c r="A101" s="17" t="str">
        <x:v>5月</x:v>
      </x:c>
      <x:c r="B101" s="17"/>
      <x:c r="C101" s="17"/>
      <x:c r="D101" s="17"/>
      <x:c r="E101" s="17"/>
      <x:c r="F101" s="17"/>
      <x:c r="G101" s="17"/>
      <x:c r="H101" s="17"/>
      <x:c r="I101" s="17"/>
      <x:c r="J101" s="17"/>
    </x:row>
    <x:row r="102">
      <x:c r="A102" s="20" t="str">
        <x:v>序号</x:v>
      </x:c>
      <x:c r="B102" s="20" t="str">
        <x:v>星期</x:v>
      </x:c>
      <x:c r="C102" s="20" t="str">
        <x:v>日期</x:v>
      </x:c>
      <x:c r="D102" s="20" t="str">
        <x:v>开盘</x:v>
      </x:c>
      <x:c r="E102" s="20" t="str">
        <x:v>高点</x:v>
      </x:c>
      <x:c r="F102" s="20" t="str">
        <x:v>低点</x:v>
      </x:c>
      <x:c r="G102" s="20" t="str">
        <x:v>收盘</x:v>
      </x:c>
      <x:c r="H102" s="20" t="str">
        <x:v>涨幅</x:v>
      </x:c>
      <x:c r="I102" s="20" t="str">
        <x:v>振幅</x:v>
      </x:c>
      <x:c r="J102" s="20" t="str">
        <x:v>标的</x:v>
      </x:c>
    </x:row>
    <x:row r="103">
      <x:c r="A103" s="23" t="n">
        <x:v>1</x:v>
      </x:c>
      <x:c r="B103" s="23" t="str">
        <x:v>周一</x:v>
      </x:c>
      <x:c r="C103" s="23" t="str">
        <x:v>5月6日</x:v>
      </x:c>
      <x:c r="D103" s="24" t="n">
        <x:v>5471.8</x:v>
      </x:c>
      <x:c r="E103" s="24" t="n">
        <x:v>5530</x:v>
      </x:c>
      <x:c r="F103" s="24" t="n">
        <x:v>5471.8</x:v>
      </x:c>
      <x:c r="G103" s="24" t="n">
        <x:v>5496.4</x:v>
      </x:c>
      <x:c r="H103" s="25" t="n">
        <x:v>0.014957736126424148</x:v>
      </x:c>
      <x:c r="I103" s="24" t="n">
        <x:f>ROUND(E103-F103,1)</x:f>
        <x:v>58.2</x:v>
      </x:c>
      <x:c r="J103" s="23" t="str">
        <x:v>IC2406</x:v>
      </x:c>
    </x:row>
    <x:row r="104">
      <x:c r="A104" s="23" t="n">
        <x:v>2</x:v>
      </x:c>
      <x:c r="B104" s="23" t="str">
        <x:v>周二</x:v>
      </x:c>
      <x:c r="C104" s="23" t="str">
        <x:v>5月7日</x:v>
      </x:c>
      <x:c r="D104" s="24" t="n">
        <x:v>5500.2</x:v>
      </x:c>
      <x:c r="E104" s="24" t="n">
        <x:v>5514.4</x:v>
      </x:c>
      <x:c r="F104" s="24" t="n">
        <x:v>5470.4</x:v>
      </x:c>
      <x:c r="G104" s="24" t="n">
        <x:v>5487.8</x:v>
      </x:c>
      <x:c r="H104" s="25" t="n">
        <x:v>-0.0002534670673859374</x:v>
      </x:c>
      <x:c r="I104" s="24" t="n">
        <x:f>ROUND(E104-F104,1)</x:f>
        <x:v>44</x:v>
      </x:c>
      <x:c r="J104" s="23" t="str">
        <x:v>IC2406</x:v>
      </x:c>
    </x:row>
    <x:row r="105">
      <x:c r="A105" s="23" t="n">
        <x:v>3</x:v>
      </x:c>
      <x:c r="B105" s="23" t="str">
        <x:v>周三</x:v>
      </x:c>
      <x:c r="C105" s="23" t="str">
        <x:v>5月8日</x:v>
      </x:c>
      <x:c r="D105" s="24" t="n">
        <x:v>5480</x:v>
      </x:c>
      <x:c r="E105" s="24" t="n">
        <x:v>5480</x:v>
      </x:c>
      <x:c r="F105" s="24" t="n">
        <x:v>5411.2</x:v>
      </x:c>
      <x:c r="G105" s="24" t="n">
        <x:v>5417.8</x:v>
      </x:c>
      <x:c r="H105" s="25" t="n">
        <x:v>-0.01293009779065546</x:v>
      </x:c>
      <x:c r="I105" s="24" t="n">
        <x:f>ROUND(E105-F105,1)</x:f>
        <x:v>68.8</x:v>
      </x:c>
      <x:c r="J105" s="23" t="str">
        <x:v>IC2406</x:v>
      </x:c>
    </x:row>
    <x:row r="106">
      <x:c r="A106" s="23" t="n">
        <x:v>4</x:v>
      </x:c>
      <x:c r="B106" s="23" t="str">
        <x:v>周四</x:v>
      </x:c>
      <x:c r="C106" s="23" t="str">
        <x:v>5月9日</x:v>
      </x:c>
      <x:c r="D106" s="24" t="n">
        <x:v>5418</x:v>
      </x:c>
      <x:c r="E106" s="24" t="n">
        <x:v>5539.4</x:v>
      </x:c>
      <x:c r="F106" s="24" t="n">
        <x:v>5418</x:v>
      </x:c>
      <x:c r="G106" s="24" t="n">
        <x:v>5516</x:v>
      </x:c>
      <x:c r="H106" s="25" t="n">
        <x:v>0.017979671962719657</x:v>
      </x:c>
      <x:c r="I106" s="24" t="n">
        <x:f>ROUND(E106-F106,1)</x:f>
        <x:v>121.4</x:v>
      </x:c>
      <x:c r="J106" s="23" t="str">
        <x:v>IC2406</x:v>
      </x:c>
    </x:row>
    <x:row r="107">
      <x:c r="A107" s="23" t="n">
        <x:v>5</x:v>
      </x:c>
      <x:c r="B107" s="23" t="str">
        <x:v>周五</x:v>
      </x:c>
      <x:c r="C107" s="23" t="str">
        <x:v>5月10日</x:v>
      </x:c>
      <x:c r="D107" s="24" t="n">
        <x:v>5529</x:v>
      </x:c>
      <x:c r="E107" s="24" t="n">
        <x:v>5547</x:v>
      </x:c>
      <x:c r="F107" s="24" t="n">
        <x:v>5450.6</x:v>
      </x:c>
      <x:c r="G107" s="24" t="n">
        <x:v>5500</x:v>
      </x:c>
      <x:c r="H107" s="25" t="n">
        <x:v>-0.0032080164365786423</x:v>
      </x:c>
      <x:c r="I107" s="24" t="n">
        <x:f>ROUND(E107-F107,1)</x:f>
        <x:v>96.4</x:v>
      </x:c>
      <x:c r="J107" s="23" t="str">
        <x:v>IC2406</x:v>
      </x:c>
    </x:row>
    <x:row r="108">
      <x:c r="A108" s="23" t="n">
        <x:v>6</x:v>
      </x:c>
      <x:c r="B108" s="23" t="str">
        <x:v>周一</x:v>
      </x:c>
      <x:c r="C108" s="23" t="str">
        <x:v>5月13日</x:v>
      </x:c>
      <x:c r="D108" s="24" t="n">
        <x:v>5478</x:v>
      </x:c>
      <x:c r="E108" s="24" t="n">
        <x:v>5493.4</x:v>
      </x:c>
      <x:c r="F108" s="24" t="n">
        <x:v>5413.4</x:v>
      </x:c>
      <x:c r="G108" s="24" t="n">
        <x:v>5463.6</x:v>
      </x:c>
      <x:c r="H108" s="25" t="n">
        <x:v>-0.006111231648224469</x:v>
      </x:c>
      <x:c r="I108" s="24" t="n">
        <x:f>ROUND(E108-F108,1)</x:f>
        <x:v>80</x:v>
      </x:c>
      <x:c r="J108" s="23" t="str">
        <x:v>IC2406</x:v>
      </x:c>
    </x:row>
    <x:row r="109">
      <x:c r="A109" s="23" t="n">
        <x:v>7</x:v>
      </x:c>
      <x:c r="B109" s="23" t="str">
        <x:v>周二</x:v>
      </x:c>
      <x:c r="C109" s="23" t="str">
        <x:v>5月14日</x:v>
      </x:c>
      <x:c r="D109" s="24" t="n">
        <x:v>5485.6</x:v>
      </x:c>
      <x:c r="E109" s="24" t="n">
        <x:v>5510</x:v>
      </x:c>
      <x:c r="F109" s="24" t="n">
        <x:v>5437</x:v>
      </x:c>
      <x:c r="G109" s="24" t="n">
        <x:v>5454</x:v>
      </x:c>
      <x:c r="H109" s="25" t="n">
        <x:v>-0.0015281062397670686</x:v>
      </x:c>
      <x:c r="I109" s="24" t="n">
        <x:f>ROUND(E109-F109,1)</x:f>
        <x:v>73</x:v>
      </x:c>
      <x:c r="J109" s="23" t="str">
        <x:v>IC2406</x:v>
      </x:c>
    </x:row>
    <x:row r="110">
      <x:c r="A110" s="23" t="n">
        <x:v>8</x:v>
      </x:c>
      <x:c r="B110" s="23" t="str">
        <x:v>周三</x:v>
      </x:c>
      <x:c r="C110" s="23" t="str">
        <x:v>5月15日</x:v>
      </x:c>
      <x:c r="D110" s="24" t="n">
        <x:v>5449.2</x:v>
      </x:c>
      <x:c r="E110" s="24" t="n">
        <x:v>5457.2</x:v>
      </x:c>
      <x:c r="F110" s="24" t="n">
        <x:v>5391.4</x:v>
      </x:c>
      <x:c r="G110" s="24" t="n">
        <x:v>5405.8</x:v>
      </x:c>
      <x:c r="H110" s="25" t="n">
        <x:v>-0.008235251248041475</x:v>
      </x:c>
      <x:c r="I110" s="24" t="n">
        <x:f>ROUND(E110-F110,1)</x:f>
        <x:v>65.8</x:v>
      </x:c>
      <x:c r="J110" s="23" t="str">
        <x:v>IC2406</x:v>
      </x:c>
    </x:row>
    <x:row r="111">
      <x:c r="A111" s="23" t="n">
        <x:v>9</x:v>
      </x:c>
      <x:c r="B111" s="23" t="str">
        <x:v>周四</x:v>
      </x:c>
      <x:c r="C111" s="23" t="str">
        <x:v>5月16日</x:v>
      </x:c>
      <x:c r="D111" s="24" t="n">
        <x:v>5430</x:v>
      </x:c>
      <x:c r="E111" s="24" t="n">
        <x:v>5445</x:v>
      </x:c>
      <x:c r="F111" s="24" t="n">
        <x:v>5358.6</x:v>
      </x:c>
      <x:c r="G111" s="24" t="n">
        <x:v>5378.4</x:v>
      </x:c>
      <x:c r="H111" s="25" t="n">
        <x:v>-0.011941066245361398</x:v>
      </x:c>
      <x:c r="I111" s="24" t="n">
        <x:f>ROUND(E111-F111,1)</x:f>
        <x:v>86.4</x:v>
      </x:c>
      <x:c r="J111" s="23" t="str">
        <x:v>IC2406</x:v>
      </x:c>
    </x:row>
    <x:row r="112">
      <x:c r="A112" s="29" t="n">
        <x:v>10</x:v>
      </x:c>
      <x:c r="B112" s="29" t="str">
        <x:v>周五</x:v>
      </x:c>
      <x:c r="C112" s="29" t="str">
        <x:v>5月17日</x:v>
      </x:c>
      <x:c r="D112" s="30" t="n">
        <x:v>5387.4</x:v>
      </x:c>
      <x:c r="E112" s="30" t="n">
        <x:v>5468.2</x:v>
      </x:c>
      <x:c r="F112" s="30" t="n">
        <x:v>5370</x:v>
      </x:c>
      <x:c r="G112" s="30" t="n">
        <x:v>5460.4</x:v>
      </x:c>
      <x:c r="H112" s="31" t="n">
        <x:v>0.015246169864643777</x:v>
      </x:c>
      <x:c r="I112" s="30" t="n">
        <x:f>ROUND(E112-F112,1)</x:f>
        <x:v>98.2</x:v>
      </x:c>
      <x:c r="J112" s="29" t="str">
        <x:v>IC2406</x:v>
      </x:c>
    </x:row>
    <x:row r="113">
      <x:c r="A113" s="23" t="n">
        <x:v>11</x:v>
      </x:c>
      <x:c r="B113" s="23" t="str">
        <x:v>周一</x:v>
      </x:c>
      <x:c r="C113" s="23" t="str">
        <x:v>5月20日</x:v>
      </x:c>
      <x:c r="D113" s="24" t="n">
        <x:v>5472.2</x:v>
      </x:c>
      <x:c r="E113" s="24" t="n">
        <x:v>5511.6</x:v>
      </x:c>
      <x:c r="F113" s="24" t="n">
        <x:v>5446.6</x:v>
      </x:c>
      <x:c r="G113" s="24" t="n">
        <x:v>5474</x:v>
      </x:c>
      <x:c r="H113" s="25" t="n">
        <x:v>0.00249066002490661</x:v>
      </x:c>
      <x:c r="I113" s="24" t="n">
        <x:f>ROUND(E113-F113,1)</x:f>
        <x:v>65</x:v>
      </x:c>
      <x:c r="J113" s="23" t="str">
        <x:v>IC2406</x:v>
      </x:c>
    </x:row>
    <x:row r="114">
      <x:c r="A114" s="23" t="n">
        <x:v>12</x:v>
      </x:c>
      <x:c r="B114" s="23" t="str">
        <x:v>周二</x:v>
      </x:c>
      <x:c r="C114" s="23" t="str">
        <x:v>5月21日</x:v>
      </x:c>
      <x:c r="D114" s="24" t="n">
        <x:v>5467</x:v>
      </x:c>
      <x:c r="E114" s="24" t="n">
        <x:v>5474.2</x:v>
      </x:c>
      <x:c r="F114" s="24" t="n">
        <x:v>5414.8</x:v>
      </x:c>
      <x:c r="G114" s="24" t="n">
        <x:v>5440.6</x:v>
      </x:c>
      <x:c r="H114" s="25" t="n">
        <x:v>-0.006101571063207856</x:v>
      </x:c>
      <x:c r="I114" s="24" t="n">
        <x:f>ROUND(E114-F114,1)</x:f>
        <x:v>59.4</x:v>
      </x:c>
      <x:c r="J114" s="23" t="str">
        <x:v>IC2406</x:v>
      </x:c>
    </x:row>
    <x:row r="115">
      <x:c r="A115" s="23" t="n">
        <x:v>13</x:v>
      </x:c>
      <x:c r="B115" s="23" t="str">
        <x:v>周三</x:v>
      </x:c>
      <x:c r="C115" s="23" t="str">
        <x:v>5月22日</x:v>
      </x:c>
      <x:c r="D115" s="24" t="n">
        <x:v>5436.6</x:v>
      </x:c>
      <x:c r="E115" s="24" t="n">
        <x:v>5448</x:v>
      </x:c>
      <x:c r="F115" s="24" t="n">
        <x:v>5410.6</x:v>
      </x:c>
      <x:c r="G115" s="24" t="n">
        <x:v>5424</x:v>
      </x:c>
      <x:c r="H115" s="25" t="n">
        <x:v>-0.0030511340660956954</x:v>
      </x:c>
      <x:c r="I115" s="24" t="n">
        <x:f>ROUND(E115-F115,1)</x:f>
        <x:v>37.4</x:v>
      </x:c>
      <x:c r="J115" s="23" t="str">
        <x:v>IC2406</x:v>
      </x:c>
    </x:row>
    <x:row r="116">
      <x:c r="A116" s="23" t="n">
        <x:v>14</x:v>
      </x:c>
      <x:c r="B116" s="23" t="str">
        <x:v>周四</x:v>
      </x:c>
      <x:c r="C116" s="23" t="str">
        <x:v>5月23日</x:v>
      </x:c>
      <x:c r="D116" s="24" t="n">
        <x:v>5410</x:v>
      </x:c>
      <x:c r="E116" s="24" t="n">
        <x:v>5410</x:v>
      </x:c>
      <x:c r="F116" s="24" t="n">
        <x:v>5300.4</x:v>
      </x:c>
      <x:c r="G116" s="24" t="n">
        <x:v>5326</x:v>
      </x:c>
      <x:c r="H116" s="25" t="n">
        <x:v>-0.01806784660766958</x:v>
      </x:c>
      <x:c r="I116" s="24" t="n">
        <x:f>ROUND(E116-F116,1)</x:f>
        <x:v>109.6</x:v>
      </x:c>
      <x:c r="J116" s="23" t="str">
        <x:v>IC2406</x:v>
      </x:c>
    </x:row>
    <x:row r="117">
      <x:c r="A117" s="23" t="n">
        <x:v>15</x:v>
      </x:c>
      <x:c r="B117" s="23" t="str">
        <x:v>周五</x:v>
      </x:c>
      <x:c r="C117" s="23" t="str">
        <x:v>5月24日</x:v>
      </x:c>
      <x:c r="D117" s="24" t="n">
        <x:v>5320</x:v>
      </x:c>
      <x:c r="E117" s="24" t="n">
        <x:v>5368.8</x:v>
      </x:c>
      <x:c r="F117" s="24" t="n">
        <x:v>5266.6</x:v>
      </x:c>
      <x:c r="G117" s="24" t="n">
        <x:v>5270.4</x:v>
      </x:c>
      <x:c r="H117" s="25" t="n">
        <x:v>-0.010439354111903887</x:v>
      </x:c>
      <x:c r="I117" s="24" t="n">
        <x:f>ROUND(E117-F117,1)</x:f>
        <x:v>102.2</x:v>
      </x:c>
      <x:c r="J117" s="23" t="str">
        <x:v>IC2406</x:v>
      </x:c>
    </x:row>
    <x:row r="118">
      <x:c r="A118" s="23" t="n">
        <x:v>16</x:v>
      </x:c>
      <x:c r="B118" s="23" t="str">
        <x:v>周一</x:v>
      </x:c>
      <x:c r="C118" s="23" t="str">
        <x:v>5月27日</x:v>
      </x:c>
      <x:c r="D118" s="24" t="n">
        <x:v>5291</x:v>
      </x:c>
      <x:c r="E118" s="24" t="n">
        <x:v>5329.8</x:v>
      </x:c>
      <x:c r="F118" s="24" t="n">
        <x:v>5238.6</x:v>
      </x:c>
      <x:c r="G118" s="24" t="n">
        <x:v>5322.4</x:v>
      </x:c>
      <x:c r="H118" s="25" t="n">
        <x:v>0.009866423800850121</x:v>
      </x:c>
      <x:c r="I118" s="24" t="n">
        <x:f>ROUND(E118-F118,1)</x:f>
        <x:v>91.2</x:v>
      </x:c>
      <x:c r="J118" s="23" t="str">
        <x:v>IC2406</x:v>
      </x:c>
    </x:row>
    <x:row r="119">
      <x:c r="A119" s="23" t="n">
        <x:v>17</x:v>
      </x:c>
      <x:c r="B119" s="23" t="str">
        <x:v>周二</x:v>
      </x:c>
      <x:c r="C119" s="23" t="str">
        <x:v>5月28日</x:v>
      </x:c>
      <x:c r="D119" s="24" t="n">
        <x:v>5312.6</x:v>
      </x:c>
      <x:c r="E119" s="24" t="n">
        <x:v>5322</x:v>
      </x:c>
      <x:c r="F119" s="24" t="n">
        <x:v>5261.2</x:v>
      </x:c>
      <x:c r="G119" s="24" t="n">
        <x:v>5280</x:v>
      </x:c>
      <x:c r="H119" s="25" t="n">
        <x:v>-0.007966330978505853</x:v>
      </x:c>
      <x:c r="I119" s="24" t="n">
        <x:f>ROUND(E119-F119,1)</x:f>
        <x:v>60.8</x:v>
      </x:c>
      <x:c r="J119" s="23" t="str">
        <x:v>IC2406</x:v>
      </x:c>
    </x:row>
    <x:row r="120">
      <x:c r="A120" s="23" t="n">
        <x:v>18</x:v>
      </x:c>
      <x:c r="B120" s="23" t="str">
        <x:v>周三</x:v>
      </x:c>
      <x:c r="C120" s="23" t="str">
        <x:v>5月29日</x:v>
      </x:c>
      <x:c r="D120" s="24" t="n">
        <x:v>5276</x:v>
      </x:c>
      <x:c r="E120" s="24" t="n">
        <x:v>5337</x:v>
      </x:c>
      <x:c r="F120" s="24" t="n">
        <x:v>5267.6</x:v>
      </x:c>
      <x:c r="G120" s="24" t="n">
        <x:v>5290</x:v>
      </x:c>
      <x:c r="H120" s="25" t="n">
        <x:v>0.0018939393939394478</x:v>
      </x:c>
      <x:c r="I120" s="24" t="n">
        <x:f>ROUND(E120-F120,1)</x:f>
        <x:v>69.4</x:v>
      </x:c>
      <x:c r="J120" s="23" t="str">
        <x:v>IC2406</x:v>
      </x:c>
    </x:row>
    <x:row r="121">
      <x:c r="A121" s="23" t="n">
        <x:v>19</x:v>
      </x:c>
      <x:c r="B121" s="23" t="str">
        <x:v>周四</x:v>
      </x:c>
      <x:c r="C121" s="23" t="str">
        <x:v>5月30日</x:v>
      </x:c>
      <x:c r="D121" s="24" t="n">
        <x:v>5280</x:v>
      </x:c>
      <x:c r="E121" s="24" t="n">
        <x:v>5324.8</x:v>
      </x:c>
      <x:c r="F121" s="24" t="n">
        <x:v>5260.6</x:v>
      </x:c>
      <x:c r="G121" s="24" t="n">
        <x:v>5287</x:v>
      </x:c>
      <x:c r="H121" s="25" t="n">
        <x:v>-0.0005671077504726396</x:v>
      </x:c>
      <x:c r="I121" s="24" t="n">
        <x:f>ROUND(E121-F121,1)</x:f>
        <x:v>64.2</x:v>
      </x:c>
      <x:c r="J121" s="23" t="str">
        <x:v>IC2406</x:v>
      </x:c>
    </x:row>
    <x:row r="122">
      <x:c r="A122" s="23" t="n">
        <x:v>20</x:v>
      </x:c>
      <x:c r="B122" s="23" t="str">
        <x:v>周五</x:v>
      </x:c>
      <x:c r="C122" s="23" t="str">
        <x:v>5月31日</x:v>
      </x:c>
      <x:c r="D122" s="24" t="n">
        <x:v>5315</x:v>
      </x:c>
      <x:c r="E122" s="24" t="n">
        <x:v>5341.6</x:v>
      </x:c>
      <x:c r="F122" s="24" t="n">
        <x:v>5280.2</x:v>
      </x:c>
      <x:c r="G122" s="24" t="n">
        <x:v>5282.2</x:v>
      </x:c>
      <x:c r="H122" s="25" t="n">
        <x:v>-0.0009078872706639318</x:v>
      </x:c>
      <x:c r="I122" s="24" t="n">
        <x:f>ROUND(E122-F122,1)</x:f>
        <x:v>61.4</x:v>
      </x:c>
      <x:c r="J122" s="23" t="str">
        <x:v>IC2406</x:v>
      </x:c>
    </x:row>
    <x:row r="123">
      <x:c r="A123" s="36" t="str">
        <x:v>合计</x:v>
      </x:c>
      <x:c r="B123" s="35" t="n">
        <x:v>20</x:v>
      </x:c>
      <x:c r="C123" s="35"/>
      <x:c r="D123" s="35"/>
      <x:c r="E123" s="35"/>
      <x:c r="F123" s="35"/>
      <x:c r="G123" s="35"/>
      <x:c r="H123" s="35"/>
      <x:c r="I123" s="37" t="n">
        <x:f>ROUND(SUM(I103:I122),1)</x:f>
        <x:v>1512.8</x:v>
      </x:c>
      <x:c r="J123" s="35"/>
    </x:row>
    <x:row r="124">
      <x:c r="A124" s="36" t="str">
        <x:v>均值</x:v>
      </x:c>
      <x:c r="B124" s="35"/>
      <x:c r="C124" s="35"/>
      <x:c r="D124" s="35"/>
      <x:c r="E124" s="35"/>
      <x:c r="F124" s="35"/>
      <x:c r="G124" s="35"/>
      <x:c r="H124" s="35"/>
      <x:c r="I124" s="39" t="n">
        <x:f>ROUND(IFERROR(AVERAGE(I103:I122),0),1)</x:f>
        <x:v>75.6</x:v>
      </x:c>
      <x:c r="J124" s="35"/>
    </x:row>
    <x:row r="126">
      <x:c r="A126" s="17" t="str">
        <x:v>6月</x:v>
      </x:c>
      <x:c r="B126" s="17"/>
      <x:c r="C126" s="17"/>
      <x:c r="D126" s="17"/>
      <x:c r="E126" s="17"/>
      <x:c r="F126" s="17"/>
      <x:c r="G126" s="17"/>
      <x:c r="H126" s="17"/>
      <x:c r="I126" s="17"/>
      <x:c r="J126" s="17"/>
    </x:row>
    <x:row r="127">
      <x:c r="A127" s="20" t="str">
        <x:v>序号</x:v>
      </x:c>
      <x:c r="B127" s="20" t="str">
        <x:v>星期</x:v>
      </x:c>
      <x:c r="C127" s="20" t="str">
        <x:v>日期</x:v>
      </x:c>
      <x:c r="D127" s="20" t="str">
        <x:v>开盘</x:v>
      </x:c>
      <x:c r="E127" s="20" t="str">
        <x:v>高点</x:v>
      </x:c>
      <x:c r="F127" s="20" t="str">
        <x:v>低点</x:v>
      </x:c>
      <x:c r="G127" s="20" t="str">
        <x:v>收盘</x:v>
      </x:c>
      <x:c r="H127" s="20" t="str">
        <x:v>涨幅</x:v>
      </x:c>
      <x:c r="I127" s="20" t="str">
        <x:v>振幅</x:v>
      </x:c>
      <x:c r="J127" s="20" t="str">
        <x:v>标的</x:v>
      </x:c>
    </x:row>
    <x:row r="128">
      <x:c r="A128" s="23" t="n">
        <x:v>1</x:v>
      </x:c>
      <x:c r="B128" s="23" t="str">
        <x:v>周一</x:v>
      </x:c>
      <x:c r="C128" s="23" t="str">
        <x:v>6月3日</x:v>
      </x:c>
      <x:c r="D128" s="24" t="n">
        <x:v>5280.2</x:v>
      </x:c>
      <x:c r="E128" s="24" t="n">
        <x:v>5295</x:v>
      </x:c>
      <x:c r="F128" s="24" t="n">
        <x:v>5194</x:v>
      </x:c>
      <x:c r="G128" s="24" t="n">
        <x:v>5239.8</x:v>
      </x:c>
      <x:c r="H128" s="25" t="n">
        <x:v>-0.008026958464276146</x:v>
      </x:c>
      <x:c r="I128" s="24" t="n">
        <x:f>ROUND(E128-F128,1)</x:f>
        <x:v>101</x:v>
      </x:c>
      <x:c r="J128" s="23" t="str">
        <x:v>IC2406</x:v>
      </x:c>
    </x:row>
    <x:row r="129">
      <x:c r="A129" s="23" t="n">
        <x:v>2</x:v>
      </x:c>
      <x:c r="B129" s="23" t="str">
        <x:v>周二</x:v>
      </x:c>
      <x:c r="C129" s="23" t="str">
        <x:v>6月4日</x:v>
      </x:c>
      <x:c r="D129" s="24" t="n">
        <x:v>5229</x:v>
      </x:c>
      <x:c r="E129" s="24" t="n">
        <x:v>5330</x:v>
      </x:c>
      <x:c r="F129" s="24" t="n">
        <x:v>5218</x:v>
      </x:c>
      <x:c r="G129" s="24" t="n">
        <x:v>5307.2</x:v>
      </x:c>
      <x:c r="H129" s="25" t="n">
        <x:v>0.01286308637734268</x:v>
      </x:c>
      <x:c r="I129" s="24" t="n">
        <x:f>ROUND(E129-F129,1)</x:f>
        <x:v>112</x:v>
      </x:c>
      <x:c r="J129" s="23" t="str">
        <x:v>IC2406</x:v>
      </x:c>
    </x:row>
    <x:row r="130">
      <x:c r="A130" s="23" t="n">
        <x:v>3</x:v>
      </x:c>
      <x:c r="B130" s="23" t="str">
        <x:v>周三</x:v>
      </x:c>
      <x:c r="C130" s="23" t="str">
        <x:v>6月5日</x:v>
      </x:c>
      <x:c r="D130" s="24" t="n">
        <x:v>5300</x:v>
      </x:c>
      <x:c r="E130" s="24" t="n">
        <x:v>5318</x:v>
      </x:c>
      <x:c r="F130" s="24" t="n">
        <x:v>5245.6</x:v>
      </x:c>
      <x:c r="G130" s="24" t="n">
        <x:v>5247.6</x:v>
      </x:c>
      <x:c r="H130" s="25" t="n">
        <x:v>-0.011230027132951403</x:v>
      </x:c>
      <x:c r="I130" s="24" t="n">
        <x:f>ROUND(E130-F130,1)</x:f>
        <x:v>72.4</x:v>
      </x:c>
      <x:c r="J130" s="23" t="str">
        <x:v>IC2406</x:v>
      </x:c>
    </x:row>
    <x:row r="131">
      <x:c r="A131" s="23" t="n">
        <x:v>4</x:v>
      </x:c>
      <x:c r="B131" s="23" t="str">
        <x:v>周四</x:v>
      </x:c>
      <x:c r="C131" s="23" t="str">
        <x:v>6月6日</x:v>
      </x:c>
      <x:c r="D131" s="24" t="n">
        <x:v>5280</x:v>
      </x:c>
      <x:c r="E131" s="24" t="n">
        <x:v>5285.6</x:v>
      </x:c>
      <x:c r="F131" s="24" t="n">
        <x:v>5183.6</x:v>
      </x:c>
      <x:c r="G131" s="24" t="n">
        <x:v>5208.2</x:v>
      </x:c>
      <x:c r="H131" s="25" t="n">
        <x:v>-0.007508194222120679</x:v>
      </x:c>
      <x:c r="I131" s="24" t="n">
        <x:f>ROUND(E131-F131,1)</x:f>
        <x:v>102</x:v>
      </x:c>
      <x:c r="J131" s="23" t="str">
        <x:v>IC2406</x:v>
      </x:c>
    </x:row>
    <x:row r="132">
      <x:c r="A132" s="23" t="n">
        <x:v>5</x:v>
      </x:c>
      <x:c r="B132" s="23" t="str">
        <x:v>周五</x:v>
      </x:c>
      <x:c r="C132" s="23" t="str">
        <x:v>6月7日</x:v>
      </x:c>
      <x:c r="D132" s="24" t="n">
        <x:v>5239</x:v>
      </x:c>
      <x:c r="E132" s="24" t="n">
        <x:v>5248.6</x:v>
      </x:c>
      <x:c r="F132" s="24" t="n">
        <x:v>5149</x:v>
      </x:c>
      <x:c r="G132" s="24" t="n">
        <x:v>5178</x:v>
      </x:c>
      <x:c r="H132" s="25" t="n">
        <x:v>-0.005798548442840112</x:v>
      </x:c>
      <x:c r="I132" s="24" t="n">
        <x:f>ROUND(E132-F132,1)</x:f>
        <x:v>99.6</x:v>
      </x:c>
      <x:c r="J132" s="23" t="str">
        <x:v>IC2406</x:v>
      </x:c>
    </x:row>
    <x:row r="133">
      <x:c r="A133" s="23" t="n">
        <x:v>6</x:v>
      </x:c>
      <x:c r="B133" s="23" t="str">
        <x:v>周二</x:v>
      </x:c>
      <x:c r="C133" s="23" t="str">
        <x:v>6月11日</x:v>
      </x:c>
      <x:c r="D133" s="24" t="n">
        <x:v>5154.2</x:v>
      </x:c>
      <x:c r="E133" s="24" t="n">
        <x:v>5217.8</x:v>
      </x:c>
      <x:c r="F133" s="24" t="n">
        <x:v>5134.2</x:v>
      </x:c>
      <x:c r="G133" s="24" t="n">
        <x:v>5198.6</x:v>
      </x:c>
      <x:c r="H133" s="25" t="n">
        <x:v>0.003978370027037492</x:v>
      </x:c>
      <x:c r="I133" s="24" t="n">
        <x:f>ROUND(E133-F133,1)</x:f>
        <x:v>83.6</x:v>
      </x:c>
      <x:c r="J133" s="23" t="str">
        <x:v>IC2406</x:v>
      </x:c>
    </x:row>
    <x:row r="134">
      <x:c r="A134" s="23" t="n">
        <x:v>7</x:v>
      </x:c>
      <x:c r="B134" s="23" t="str">
        <x:v>周三</x:v>
      </x:c>
      <x:c r="C134" s="23" t="str">
        <x:v>6月12日</x:v>
      </x:c>
      <x:c r="D134" s="24" t="n">
        <x:v>5190</x:v>
      </x:c>
      <x:c r="E134" s="24" t="n">
        <x:v>5228.8</x:v>
      </x:c>
      <x:c r="F134" s="24" t="n">
        <x:v>5186</x:v>
      </x:c>
      <x:c r="G134" s="24" t="n">
        <x:v>5210</x:v>
      </x:c>
      <x:c r="H134" s="25" t="n">
        <x:v>0.0021928980879466486</x:v>
      </x:c>
      <x:c r="I134" s="24" t="n">
        <x:f>ROUND(E134-F134,1)</x:f>
        <x:v>42.8</x:v>
      </x:c>
      <x:c r="J134" s="23" t="str">
        <x:v>IC2406</x:v>
      </x:c>
    </x:row>
    <x:row r="135">
      <x:c r="A135" s="23" t="n">
        <x:v>8</x:v>
      </x:c>
      <x:c r="B135" s="23" t="str">
        <x:v>周四</x:v>
      </x:c>
      <x:c r="C135" s="23" t="str">
        <x:v>6月13日</x:v>
      </x:c>
      <x:c r="D135" s="24" t="n">
        <x:v>5215.6</x:v>
      </x:c>
      <x:c r="E135" s="24" t="n">
        <x:v>5222.8</x:v>
      </x:c>
      <x:c r="F135" s="24" t="n">
        <x:v>5162.2</x:v>
      </x:c>
      <x:c r="G135" s="24" t="n">
        <x:v>5184</x:v>
      </x:c>
      <x:c r="H135" s="25" t="n">
        <x:v>-0.00499040307101728</x:v>
      </x:c>
      <x:c r="I135" s="24" t="n">
        <x:f>ROUND(E135-F135,1)</x:f>
        <x:v>60.6</x:v>
      </x:c>
      <x:c r="J135" s="23" t="str">
        <x:v>IC2406</x:v>
      </x:c>
    </x:row>
    <x:row r="136">
      <x:c r="A136" s="23" t="n">
        <x:v>9</x:v>
      </x:c>
      <x:c r="B136" s="23" t="str">
        <x:v>周五</x:v>
      </x:c>
      <x:c r="C136" s="23" t="str">
        <x:v>6月14日</x:v>
      </x:c>
      <x:c r="D136" s="24" t="n">
        <x:v>5175.4</x:v>
      </x:c>
      <x:c r="E136" s="24" t="n">
        <x:v>5239</x:v>
      </x:c>
      <x:c r="F136" s="24" t="n">
        <x:v>5152</x:v>
      </x:c>
      <x:c r="G136" s="24" t="n">
        <x:v>5211.6</x:v>
      </x:c>
      <x:c r="H136" s="25" t="n">
        <x:v>0.005324074074074092</x:v>
      </x:c>
      <x:c r="I136" s="24" t="n">
        <x:f>ROUND(E136-F136,1)</x:f>
        <x:v>87</x:v>
      </x:c>
      <x:c r="J136" s="23" t="str">
        <x:v>IC2406</x:v>
      </x:c>
    </x:row>
    <x:row r="137">
      <x:c r="A137" s="23" t="n">
        <x:v>10</x:v>
      </x:c>
      <x:c r="B137" s="23" t="str">
        <x:v>周一</x:v>
      </x:c>
      <x:c r="C137" s="23" t="str">
        <x:v>6月17日</x:v>
      </x:c>
      <x:c r="D137" s="24" t="n">
        <x:v>5194</x:v>
      </x:c>
      <x:c r="E137" s="24" t="n">
        <x:v>5220.8</x:v>
      </x:c>
      <x:c r="F137" s="24" t="n">
        <x:v>5186.2</x:v>
      </x:c>
      <x:c r="G137" s="24" t="n">
        <x:v>5198.2</x:v>
      </x:c>
      <x:c r="H137" s="25" t="n">
        <x:v>-0.002571187351293358</x:v>
      </x:c>
      <x:c r="I137" s="24" t="n">
        <x:f>ROUND(E137-F137,1)</x:f>
        <x:v>34.6</x:v>
      </x:c>
      <x:c r="J137" s="23" t="str">
        <x:v>IC2406</x:v>
      </x:c>
    </x:row>
    <x:row r="138">
      <x:c r="A138" s="23" t="n">
        <x:v>11</x:v>
      </x:c>
      <x:c r="B138" s="23" t="str">
        <x:v>周二</x:v>
      </x:c>
      <x:c r="C138" s="23" t="str">
        <x:v>6月18日</x:v>
      </x:c>
      <x:c r="D138" s="24" t="n">
        <x:v>5206.4</x:v>
      </x:c>
      <x:c r="E138" s="24" t="n">
        <x:v>5247.8</x:v>
      </x:c>
      <x:c r="F138" s="24" t="n">
        <x:v>5201.8</x:v>
      </x:c>
      <x:c r="G138" s="24" t="n">
        <x:v>5226.6</x:v>
      </x:c>
      <x:c r="H138" s="25" t="n">
        <x:v>0.005463429648724594</x:v>
      </x:c>
      <x:c r="I138" s="24" t="n">
        <x:f>ROUND(E138-F138,1)</x:f>
        <x:v>46</x:v>
      </x:c>
      <x:c r="J138" s="23" t="str">
        <x:v>IC2406</x:v>
      </x:c>
    </x:row>
    <x:row r="139">
      <x:c r="A139" s="23" t="n">
        <x:v>12</x:v>
      </x:c>
      <x:c r="B139" s="23" t="str">
        <x:v>周三</x:v>
      </x:c>
      <x:c r="C139" s="23" t="str">
        <x:v>6月19日</x:v>
      </x:c>
      <x:c r="D139" s="24" t="n">
        <x:v>5240.2</x:v>
      </x:c>
      <x:c r="E139" s="24" t="n">
        <x:v>5244.8</x:v>
      </x:c>
      <x:c r="F139" s="24" t="n">
        <x:v>5162.4</x:v>
      </x:c>
      <x:c r="G139" s="24" t="n">
        <x:v>5169.2</x:v>
      </x:c>
      <x:c r="H139" s="25" t="n">
        <x:v>-0.010982282937282428</x:v>
      </x:c>
      <x:c r="I139" s="24" t="n">
        <x:f>ROUND(E139-F139,1)</x:f>
        <x:v>82.4</x:v>
      </x:c>
      <x:c r="J139" s="23" t="str">
        <x:v>IC2406</x:v>
      </x:c>
    </x:row>
    <x:row r="140">
      <x:c r="A140" s="23" t="n">
        <x:v>13</x:v>
      </x:c>
      <x:c r="B140" s="23" t="str">
        <x:v>周四</x:v>
      </x:c>
      <x:c r="C140" s="23" t="str">
        <x:v>6月20日</x:v>
      </x:c>
      <x:c r="D140" s="24" t="n">
        <x:v>5171.6</x:v>
      </x:c>
      <x:c r="E140" s="24" t="n">
        <x:v>5184.6</x:v>
      </x:c>
      <x:c r="F140" s="24" t="n">
        <x:v>5085</x:v>
      </x:c>
      <x:c r="G140" s="24" t="n">
        <x:v>5091</x:v>
      </x:c>
      <x:c r="H140" s="25" t="n">
        <x:v>-0.015128066238489501</x:v>
      </x:c>
      <x:c r="I140" s="24" t="n">
        <x:f>ROUND(E140-F140,1)</x:f>
        <x:v>99.6</x:v>
      </x:c>
      <x:c r="J140" s="23" t="str">
        <x:v>IC2406</x:v>
      </x:c>
    </x:row>
    <x:row r="141">
      <x:c r="A141" s="29" t="n">
        <x:v>14</x:v>
      </x:c>
      <x:c r="B141" s="29" t="str">
        <x:v>周五</x:v>
      </x:c>
      <x:c r="C141" s="29" t="str">
        <x:v>6月21日</x:v>
      </x:c>
      <x:c r="D141" s="30" t="n">
        <x:v>5088.2</x:v>
      </x:c>
      <x:c r="E141" s="30" t="n">
        <x:v>5128.8</x:v>
      </x:c>
      <x:c r="F141" s="30" t="n">
        <x:v>5069.6</x:v>
      </x:c>
      <x:c r="G141" s="30" t="n">
        <x:v>5106.8</x:v>
      </x:c>
      <x:c r="H141" s="31" t="n">
        <x:v>0.0031035160086427815</x:v>
      </x:c>
      <x:c r="I141" s="30" t="n">
        <x:f>ROUND(E141-F141,1)</x:f>
        <x:v>59.2</x:v>
      </x:c>
      <x:c r="J141" s="29" t="str">
        <x:v>IC2406</x:v>
      </x:c>
    </x:row>
    <x:row r="142">
      <x:c r="A142" s="23" t="n">
        <x:v>15</x:v>
      </x:c>
      <x:c r="B142" s="23" t="str">
        <x:v>周一</x:v>
      </x:c>
      <x:c r="C142" s="23" t="str">
        <x:v>6月24日</x:v>
      </x:c>
      <x:c r="D142" s="24" t="n">
        <x:v>5005</x:v>
      </x:c>
      <x:c r="E142" s="24" t="n">
        <x:v>5015.8</x:v>
      </x:c>
      <x:c r="F142" s="24" t="n">
        <x:v>4915</x:v>
      </x:c>
      <x:c r="G142" s="24" t="n">
        <x:v>4930.6</x:v>
      </x:c>
      <x:c r="H142" s="25" t="n">
        <x:v>-0.027766899036578696</x:v>
      </x:c>
      <x:c r="I142" s="24" t="n">
        <x:f>ROUND(E142-F142,1)</x:f>
        <x:v>100.8</x:v>
      </x:c>
      <x:c r="J142" s="23" t="str">
        <x:v>IC2409</x:v>
      </x:c>
    </x:row>
    <x:row r="143">
      <x:c r="A143" s="23" t="n">
        <x:v>16</x:v>
      </x:c>
      <x:c r="B143" s="23" t="str">
        <x:v>周二</x:v>
      </x:c>
      <x:c r="C143" s="23" t="str">
        <x:v>6月25日</x:v>
      </x:c>
      <x:c r="D143" s="24" t="n">
        <x:v>4940.2</x:v>
      </x:c>
      <x:c r="E143" s="24" t="n">
        <x:v>4950</x:v>
      </x:c>
      <x:c r="F143" s="24" t="n">
        <x:v>4843.6</x:v>
      </x:c>
      <x:c r="G143" s="24" t="n">
        <x:v>4884.8</x:v>
      </x:c>
      <x:c r="H143" s="25" t="n">
        <x:v>-0.00837865055387721</x:v>
      </x:c>
      <x:c r="I143" s="24" t="n">
        <x:f>ROUND(E143-F143,1)</x:f>
        <x:v>106.4</x:v>
      </x:c>
      <x:c r="J143" s="23" t="str">
        <x:v>IC2409</x:v>
      </x:c>
    </x:row>
    <x:row r="144">
      <x:c r="A144" s="23" t="n">
        <x:v>17</x:v>
      </x:c>
      <x:c r="B144" s="23" t="str">
        <x:v>周三</x:v>
      </x:c>
      <x:c r="C144" s="23" t="str">
        <x:v>6月26日</x:v>
      </x:c>
      <x:c r="D144" s="24" t="n">
        <x:v>4874.6</x:v>
      </x:c>
      <x:c r="E144" s="24" t="n">
        <x:v>4962</x:v>
      </x:c>
      <x:c r="F144" s="24" t="n">
        <x:v>4845.6</x:v>
      </x:c>
      <x:c r="G144" s="24" t="n">
        <x:v>4948.2</x:v>
      </x:c>
      <x:c r="H144" s="25" t="n">
        <x:v>0.01356785960921325</x:v>
      </x:c>
      <x:c r="I144" s="24" t="n">
        <x:f>ROUND(E144-F144,1)</x:f>
        <x:v>116.4</x:v>
      </x:c>
      <x:c r="J144" s="23" t="str">
        <x:v>IC2409</x:v>
      </x:c>
    </x:row>
    <x:row r="145">
      <x:c r="A145" s="23" t="n">
        <x:v>18</x:v>
      </x:c>
      <x:c r="B145" s="23" t="str">
        <x:v>周四</x:v>
      </x:c>
      <x:c r="C145" s="23" t="str">
        <x:v>6月27日</x:v>
      </x:c>
      <x:c r="D145" s="24" t="n">
        <x:v>4936</x:v>
      </x:c>
      <x:c r="E145" s="24" t="n">
        <x:v>4941.6</x:v>
      </x:c>
      <x:c r="F145" s="24" t="n">
        <x:v>4851.4</x:v>
      </x:c>
      <x:c r="G145" s="24" t="n">
        <x:v>4866</x:v>
      </x:c>
      <x:c r="H145" s="25" t="n">
        <x:v>-0.01647228567993264</x:v>
      </x:c>
      <x:c r="I145" s="24" t="n">
        <x:f>ROUND(E145-F145,1)</x:f>
        <x:v>90.2</x:v>
      </x:c>
      <x:c r="J145" s="23" t="str">
        <x:v>IC2409</x:v>
      </x:c>
    </x:row>
    <x:row r="146">
      <x:c r="A146" s="23" t="n">
        <x:v>19</x:v>
      </x:c>
      <x:c r="B146" s="23" t="str">
        <x:v>周五</x:v>
      </x:c>
      <x:c r="C146" s="23" t="str">
        <x:v>6月28日</x:v>
      </x:c>
      <x:c r="D146" s="24" t="n">
        <x:v>4856.6</x:v>
      </x:c>
      <x:c r="E146" s="24" t="n">
        <x:v>4950.6</x:v>
      </x:c>
      <x:c r="F146" s="24" t="n">
        <x:v>4856.6</x:v>
      </x:c>
      <x:c r="G146" s="24" t="n">
        <x:v>4868.4</x:v>
      </x:c>
      <x:c r="H146" s="25" t="n">
        <x:v>0.0002037489812551918</x:v>
      </x:c>
      <x:c r="I146" s="24" t="n">
        <x:f>ROUND(E146-F146,1)</x:f>
        <x:v>94</x:v>
      </x:c>
      <x:c r="J146" s="23" t="str">
        <x:v>IC2409</x:v>
      </x:c>
    </x:row>
    <x:row r="147">
      <x:c r="A147" s="36" t="str">
        <x:v>合计</x:v>
      </x:c>
      <x:c r="B147" s="35" t="n">
        <x:v>19</x:v>
      </x:c>
      <x:c r="C147" s="35"/>
      <x:c r="D147" s="35"/>
      <x:c r="E147" s="35"/>
      <x:c r="F147" s="35"/>
      <x:c r="G147" s="35"/>
      <x:c r="H147" s="35"/>
      <x:c r="I147" s="37" t="n">
        <x:f>ROUND(SUM(I128:I146),1)</x:f>
        <x:v>1590.6</x:v>
      </x:c>
      <x:c r="J147" s="35"/>
    </x:row>
    <x:row r="148">
      <x:c r="A148" s="36" t="str">
        <x:v>均值</x:v>
      </x:c>
      <x:c r="B148" s="35"/>
      <x:c r="C148" s="35"/>
      <x:c r="D148" s="35"/>
      <x:c r="E148" s="35"/>
      <x:c r="F148" s="35"/>
      <x:c r="G148" s="35"/>
      <x:c r="H148" s="35"/>
      <x:c r="I148" s="39" t="n">
        <x:f>ROUND(IFERROR(AVERAGE(I128:I146),0),1)</x:f>
        <x:v>83.7</x:v>
      </x:c>
      <x:c r="J148" s="35"/>
    </x:row>
    <x:row r="150">
      <x:c r="A150" s="17" t="str">
        <x:v>7月</x:v>
      </x:c>
      <x:c r="B150" s="17"/>
      <x:c r="C150" s="17"/>
      <x:c r="D150" s="17"/>
      <x:c r="E150" s="17"/>
      <x:c r="F150" s="17"/>
      <x:c r="G150" s="17"/>
      <x:c r="H150" s="17"/>
      <x:c r="I150" s="17"/>
      <x:c r="J150" s="17"/>
    </x:row>
    <x:row r="151">
      <x:c r="A151" s="20" t="str">
        <x:v>序号</x:v>
      </x:c>
      <x:c r="B151" s="20" t="str">
        <x:v>星期</x:v>
      </x:c>
      <x:c r="C151" s="20" t="str">
        <x:v>日期</x:v>
      </x:c>
      <x:c r="D151" s="20" t="str">
        <x:v>开盘</x:v>
      </x:c>
      <x:c r="E151" s="20" t="str">
        <x:v>高点</x:v>
      </x:c>
      <x:c r="F151" s="20" t="str">
        <x:v>低点</x:v>
      </x:c>
      <x:c r="G151" s="20" t="str">
        <x:v>收盘</x:v>
      </x:c>
      <x:c r="H151" s="20" t="str">
        <x:v>涨幅</x:v>
      </x:c>
      <x:c r="I151" s="20" t="str">
        <x:v>振幅</x:v>
      </x:c>
      <x:c r="J151" s="20" t="str">
        <x:v>标的</x:v>
      </x:c>
    </x:row>
    <x:row r="152">
      <x:c r="A152" s="23" t="n">
        <x:v>1</x:v>
      </x:c>
      <x:c r="B152" s="23" t="str">
        <x:v>周一</x:v>
      </x:c>
      <x:c r="C152" s="23" t="str">
        <x:v>7月1日</x:v>
      </x:c>
      <x:c r="D152" s="24" t="n">
        <x:v>4874</x:v>
      </x:c>
      <x:c r="E152" s="24" t="n">
        <x:v>4953</x:v>
      </x:c>
      <x:c r="F152" s="24" t="n">
        <x:v>4855.2</x:v>
      </x:c>
      <x:c r="G152" s="24" t="n">
        <x:v>4922.4</x:v>
      </x:c>
      <x:c r="H152" s="25" t="n">
        <x:v>0.012059482583010706</x:v>
      </x:c>
      <x:c r="I152" s="24" t="n">
        <x:f>ROUND(E152-F152,1)</x:f>
        <x:v>97.8</x:v>
      </x:c>
      <x:c r="J152" s="23" t="str">
        <x:v>IC2409</x:v>
      </x:c>
    </x:row>
    <x:row r="153">
      <x:c r="A153" s="23" t="n">
        <x:v>2</x:v>
      </x:c>
      <x:c r="B153" s="23" t="str">
        <x:v>周二</x:v>
      </x:c>
      <x:c r="C153" s="23" t="str">
        <x:v>7月2日</x:v>
      </x:c>
      <x:c r="D153" s="24" t="n">
        <x:v>4922.6</x:v>
      </x:c>
      <x:c r="E153" s="24" t="n">
        <x:v>4927.8</x:v>
      </x:c>
      <x:c r="F153" s="24" t="n">
        <x:v>4860.2</x:v>
      </x:c>
      <x:c r="G153" s="24" t="n">
        <x:v>4881.4</x:v>
      </x:c>
      <x:c r="H153" s="25" t="n">
        <x:v>-0.00877581417817308</x:v>
      </x:c>
      <x:c r="I153" s="24" t="n">
        <x:f>ROUND(E153-F153,1)</x:f>
        <x:v>67.6</x:v>
      </x:c>
      <x:c r="J153" s="23" t="str">
        <x:v>IC2409</x:v>
      </x:c>
    </x:row>
    <x:row r="154">
      <x:c r="A154" s="23" t="n">
        <x:v>3</x:v>
      </x:c>
      <x:c r="B154" s="23" t="str">
        <x:v>周三</x:v>
      </x:c>
      <x:c r="C154" s="23" t="str">
        <x:v>7月3日</x:v>
      </x:c>
      <x:c r="D154" s="24" t="n">
        <x:v>4880</x:v>
      </x:c>
      <x:c r="E154" s="24" t="n">
        <x:v>4890</x:v>
      </x:c>
      <x:c r="F154" s="24" t="n">
        <x:v>4833</x:v>
      </x:c>
      <x:c r="G154" s="24" t="n">
        <x:v>4833</x:v>
      </x:c>
      <x:c r="H154" s="25" t="n">
        <x:v>-0.009097185558217924</x:v>
      </x:c>
      <x:c r="I154" s="24" t="n">
        <x:f>ROUND(E154-F154,1)</x:f>
        <x:v>57</x:v>
      </x:c>
      <x:c r="J154" s="23" t="str">
        <x:v>IC2409</x:v>
      </x:c>
    </x:row>
    <x:row r="155">
      <x:c r="A155" s="23" t="n">
        <x:v>4</x:v>
      </x:c>
      <x:c r="B155" s="23" t="str">
        <x:v>周四</x:v>
      </x:c>
      <x:c r="C155" s="23" t="str">
        <x:v>7月4日</x:v>
      </x:c>
      <x:c r="D155" s="24" t="n">
        <x:v>4853.6</x:v>
      </x:c>
      <x:c r="E155" s="24" t="n">
        <x:v>4864</x:v>
      </x:c>
      <x:c r="F155" s="24" t="n">
        <x:v>4751.4</x:v>
      </x:c>
      <x:c r="G155" s="24" t="n">
        <x:v>4759.4</x:v>
      </x:c>
      <x:c r="H155" s="25" t="n">
        <x:v>-0.015574408787245364</x:v>
      </x:c>
      <x:c r="I155" s="24" t="n">
        <x:f>ROUND(E155-F155,1)</x:f>
        <x:v>112.6</x:v>
      </x:c>
      <x:c r="J155" s="23" t="str">
        <x:v>IC2409</x:v>
      </x:c>
    </x:row>
    <x:row r="156">
      <x:c r="A156" s="23" t="n">
        <x:v>5</x:v>
      </x:c>
      <x:c r="B156" s="23" t="str">
        <x:v>周五</x:v>
      </x:c>
      <x:c r="C156" s="23" t="str">
        <x:v>7月5日</x:v>
      </x:c>
      <x:c r="D156" s="24" t="n">
        <x:v>4766.2</x:v>
      </x:c>
      <x:c r="E156" s="24" t="n">
        <x:v>4810.8</x:v>
      </x:c>
      <x:c r="F156" s="24" t="n">
        <x:v>4724.8</x:v>
      </x:c>
      <x:c r="G156" s="24" t="n">
        <x:v>4793</x:v>
      </x:c>
      <x:c r="H156" s="25" t="n">
        <x:v>0.007952037969940484</x:v>
      </x:c>
      <x:c r="I156" s="24" t="n">
        <x:f>ROUND(E156-F156,1)</x:f>
        <x:v>86</x:v>
      </x:c>
      <x:c r="J156" s="23" t="str">
        <x:v>IC2409</x:v>
      </x:c>
    </x:row>
    <x:row r="157">
      <x:c r="A157" s="23" t="n">
        <x:v>6</x:v>
      </x:c>
      <x:c r="B157" s="23" t="str">
        <x:v>周一</x:v>
      </x:c>
      <x:c r="C157" s="23" t="str">
        <x:v>7月8日</x:v>
      </x:c>
      <x:c r="D157" s="24" t="n">
        <x:v>4779.8</x:v>
      </x:c>
      <x:c r="E157" s="24" t="n">
        <x:v>4790.6</x:v>
      </x:c>
      <x:c r="F157" s="24" t="n">
        <x:v>4691.2</x:v>
      </x:c>
      <x:c r="G157" s="24" t="n">
        <x:v>4710.2</x:v>
      </x:c>
      <x:c r="H157" s="25" t="n">
        <x:v>-0.016439487814952525</x:v>
      </x:c>
      <x:c r="I157" s="24" t="n">
        <x:f>ROUND(E157-F157,1)</x:f>
        <x:v>99.4</x:v>
      </x:c>
      <x:c r="J157" s="23" t="str">
        <x:v>IC2409</x:v>
      </x:c>
    </x:row>
    <x:row r="158">
      <x:c r="A158" s="23" t="n">
        <x:v>7</x:v>
      </x:c>
      <x:c r="B158" s="23" t="str">
        <x:v>周二</x:v>
      </x:c>
      <x:c r="C158" s="23" t="str">
        <x:v>7月9日</x:v>
      </x:c>
      <x:c r="D158" s="24" t="n">
        <x:v>4716</x:v>
      </x:c>
      <x:c r="E158" s="24" t="n">
        <x:v>4830.4</x:v>
      </x:c>
      <x:c r="F158" s="24" t="n">
        <x:v>4681</x:v>
      </x:c>
      <x:c r="G158" s="24" t="n">
        <x:v>4805.6</x:v>
      </x:c>
      <x:c r="H158" s="25" t="n">
        <x:v>0.01940198219385203</x:v>
      </x:c>
      <x:c r="I158" s="24" t="n">
        <x:f>ROUND(E158-F158,1)</x:f>
        <x:v>149.4</x:v>
      </x:c>
      <x:c r="J158" s="23" t="str">
        <x:v>IC2409</x:v>
      </x:c>
    </x:row>
    <x:row r="159">
      <x:c r="A159" s="23" t="n">
        <x:v>8</x:v>
      </x:c>
      <x:c r="B159" s="23" t="str">
        <x:v>周三</x:v>
      </x:c>
      <x:c r="C159" s="23" t="str">
        <x:v>7月10日</x:v>
      </x:c>
      <x:c r="D159" s="24" t="n">
        <x:v>4798.8</x:v>
      </x:c>
      <x:c r="E159" s="24" t="n">
        <x:v>4835</x:v>
      </x:c>
      <x:c r="F159" s="24" t="n">
        <x:v>4780</x:v>
      </x:c>
      <x:c r="G159" s="24" t="n">
        <x:v>4785</x:v>
      </x:c>
      <x:c r="H159" s="25" t="n">
        <x:v>-0.004819971986487759</x:v>
      </x:c>
      <x:c r="I159" s="24" t="n">
        <x:f>ROUND(E159-F159,1)</x:f>
        <x:v>55</x:v>
      </x:c>
      <x:c r="J159" s="23" t="str">
        <x:v>IC2409</x:v>
      </x:c>
    </x:row>
    <x:row r="160">
      <x:c r="A160" s="23" t="n">
        <x:v>9</x:v>
      </x:c>
      <x:c r="B160" s="23" t="str">
        <x:v>周四</x:v>
      </x:c>
      <x:c r="C160" s="23" t="str">
        <x:v>7月11日</x:v>
      </x:c>
      <x:c r="D160" s="24" t="n">
        <x:v>4850</x:v>
      </x:c>
      <x:c r="E160" s="24" t="n">
        <x:v>4895</x:v>
      </x:c>
      <x:c r="F160" s="24" t="n">
        <x:v>4810.4</x:v>
      </x:c>
      <x:c r="G160" s="24" t="n">
        <x:v>4881.6</x:v>
      </x:c>
      <x:c r="H160" s="25" t="n">
        <x:v>0.019456058285383104</x:v>
      </x:c>
      <x:c r="I160" s="24" t="n">
        <x:f>ROUND(E160-F160,1)</x:f>
        <x:v>84.6</x:v>
      </x:c>
      <x:c r="J160" s="23" t="str">
        <x:v>IC2409</x:v>
      </x:c>
    </x:row>
    <x:row r="161">
      <x:c r="A161" s="23" t="n">
        <x:v>10</x:v>
      </x:c>
      <x:c r="B161" s="23" t="str">
        <x:v>周五</x:v>
      </x:c>
      <x:c r="C161" s="23" t="str">
        <x:v>7月12日</x:v>
      </x:c>
      <x:c r="D161" s="24" t="n">
        <x:v>4867.8</x:v>
      </x:c>
      <x:c r="E161" s="24" t="n">
        <x:v>4886.6</x:v>
      </x:c>
      <x:c r="F161" s="24" t="n">
        <x:v>4847.6</x:v>
      </x:c>
      <x:c r="G161" s="24" t="n">
        <x:v>4862.4</x:v>
      </x:c>
      <x:c r="H161" s="25" t="n">
        <x:v>-0.003532708003410767</x:v>
      </x:c>
      <x:c r="I161" s="24" t="n">
        <x:f>ROUND(E161-F161,1)</x:f>
        <x:v>39</x:v>
      </x:c>
      <x:c r="J161" s="23" t="str">
        <x:v>IC2409</x:v>
      </x:c>
    </x:row>
    <x:row r="162">
      <x:c r="A162" s="23" t="n">
        <x:v>11</x:v>
      </x:c>
      <x:c r="B162" s="23" t="str">
        <x:v>周一</x:v>
      </x:c>
      <x:c r="C162" s="23" t="str">
        <x:v>7月15日</x:v>
      </x:c>
      <x:c r="D162" s="24" t="n">
        <x:v>4850</x:v>
      </x:c>
      <x:c r="E162" s="24" t="n">
        <x:v>4850</x:v>
      </x:c>
      <x:c r="F162" s="24" t="n">
        <x:v>4800.6</x:v>
      </x:c>
      <x:c r="G162" s="24" t="n">
        <x:v>4812.8</x:v>
      </x:c>
      <x:c r="H162" s="25" t="n">
        <x:v>-0.009250203748981223</x:v>
      </x:c>
      <x:c r="I162" s="24" t="n">
        <x:f>ROUND(E162-F162,1)</x:f>
        <x:v>49.4</x:v>
      </x:c>
      <x:c r="J162" s="23" t="str">
        <x:v>IC2409</x:v>
      </x:c>
    </x:row>
    <x:row r="163">
      <x:c r="A163" s="23" t="n">
        <x:v>12</x:v>
      </x:c>
      <x:c r="B163" s="23" t="str">
        <x:v>周二</x:v>
      </x:c>
      <x:c r="C163" s="23" t="str">
        <x:v>7月16日</x:v>
      </x:c>
      <x:c r="D163" s="24" t="n">
        <x:v>4807</x:v>
      </x:c>
      <x:c r="E163" s="24" t="n">
        <x:v>4847.8</x:v>
      </x:c>
      <x:c r="F163" s="24" t="n">
        <x:v>4782</x:v>
      </x:c>
      <x:c r="G163" s="24" t="n">
        <x:v>4826</x:v>
      </x:c>
      <x:c r="H163" s="25" t="n">
        <x:v>0.0038251141364700203</x:v>
      </x:c>
      <x:c r="I163" s="24" t="n">
        <x:f>ROUND(E163-F163,1)</x:f>
        <x:v>65.8</x:v>
      </x:c>
      <x:c r="J163" s="23" t="str">
        <x:v>IC2409</x:v>
      </x:c>
    </x:row>
    <x:row r="164">
      <x:c r="A164" s="23" t="n">
        <x:v>13</x:v>
      </x:c>
      <x:c r="B164" s="23" t="str">
        <x:v>周三</x:v>
      </x:c>
      <x:c r="C164" s="23" t="str">
        <x:v>7月17日</x:v>
      </x:c>
      <x:c r="D164" s="24" t="n">
        <x:v>4821.2</x:v>
      </x:c>
      <x:c r="E164" s="24" t="n">
        <x:v>4840</x:v>
      </x:c>
      <x:c r="F164" s="24" t="n">
        <x:v>4785.2</x:v>
      </x:c>
      <x:c r="G164" s="24" t="n">
        <x:v>4795.6</x:v>
      </x:c>
      <x:c r="H164" s="25" t="n">
        <x:v>-0.006146029664836461</x:v>
      </x:c>
      <x:c r="I164" s="24" t="n">
        <x:f>ROUND(E164-F164,1)</x:f>
        <x:v>54.8</x:v>
      </x:c>
      <x:c r="J164" s="23" t="str">
        <x:v>IC2409</x:v>
      </x:c>
    </x:row>
    <x:row r="165">
      <x:c r="A165" s="23" t="n">
        <x:v>14</x:v>
      </x:c>
      <x:c r="B165" s="23" t="str">
        <x:v>周四</x:v>
      </x:c>
      <x:c r="C165" s="23" t="str">
        <x:v>7月18日</x:v>
      </x:c>
      <x:c r="D165" s="24" t="n">
        <x:v>4765</x:v>
      </x:c>
      <x:c r="E165" s="24" t="n">
        <x:v>4828.4</x:v>
      </x:c>
      <x:c r="F165" s="24" t="n">
        <x:v>4732.8</x:v>
      </x:c>
      <x:c r="G165" s="24" t="n">
        <x:v>4827</x:v>
      </x:c>
      <x:c r="H165" s="25" t="n">
        <x:v>0.005771767810026418</x:v>
      </x:c>
      <x:c r="I165" s="24" t="n">
        <x:f>ROUND(E165-F165,1)</x:f>
        <x:v>95.6</x:v>
      </x:c>
      <x:c r="J165" s="23" t="str">
        <x:v>IC2409</x:v>
      </x:c>
    </x:row>
    <x:row r="166">
      <x:c r="A166" s="29" t="n">
        <x:v>15</x:v>
      </x:c>
      <x:c r="B166" s="29" t="str">
        <x:v>周五</x:v>
      </x:c>
      <x:c r="C166" s="29" t="str">
        <x:v>7月19日</x:v>
      </x:c>
      <x:c r="D166" s="30" t="n">
        <x:v>4802.6</x:v>
      </x:c>
      <x:c r="E166" s="30" t="n">
        <x:v>4859.2</x:v>
      </x:c>
      <x:c r="F166" s="30" t="n">
        <x:v>4782.4</x:v>
      </x:c>
      <x:c r="G166" s="30" t="n">
        <x:v>4822.8</x:v>
      </x:c>
      <x:c r="H166" s="31" t="n">
        <x:v>-0.006763403836694493</x:v>
      </x:c>
      <x:c r="I166" s="30" t="n">
        <x:f>ROUND(E166-F166,1)</x:f>
        <x:v>76.8</x:v>
      </x:c>
      <x:c r="J166" s="29" t="str">
        <x:v>IC2409</x:v>
      </x:c>
    </x:row>
    <x:row r="167">
      <x:c r="A167" s="23" t="n">
        <x:v>16</x:v>
      </x:c>
      <x:c r="B167" s="23" t="str">
        <x:v>周一</x:v>
      </x:c>
      <x:c r="C167" s="23" t="str">
        <x:v>7月22日</x:v>
      </x:c>
      <x:c r="D167" s="24" t="n">
        <x:v>4830</x:v>
      </x:c>
      <x:c r="E167" s="24" t="n">
        <x:v>4847</x:v>
      </x:c>
      <x:c r="F167" s="24" t="n">
        <x:v>4780.4</x:v>
      </x:c>
      <x:c r="G167" s="24" t="n">
        <x:v>4806</x:v>
      </x:c>
      <x:c r="H167" s="25" t="n">
        <x:v>-0.002434897445421247</x:v>
      </x:c>
      <x:c r="I167" s="24" t="n">
        <x:f>ROUND(E167-F167,1)</x:f>
        <x:v>66.6</x:v>
      </x:c>
      <x:c r="J167" s="23" t="str">
        <x:v>IC2409</x:v>
      </x:c>
    </x:row>
    <x:row r="168">
      <x:c r="A168" s="23" t="n">
        <x:v>17</x:v>
      </x:c>
      <x:c r="B168" s="23" t="str">
        <x:v>周二</x:v>
      </x:c>
      <x:c r="C168" s="23" t="str">
        <x:v>7月23日</x:v>
      </x:c>
      <x:c r="D168" s="24" t="n">
        <x:v>4812.4</x:v>
      </x:c>
      <x:c r="E168" s="24" t="n">
        <x:v>4823</x:v>
      </x:c>
      <x:c r="F168" s="24" t="n">
        <x:v>4662.8</x:v>
      </x:c>
      <x:c r="G168" s="24" t="n">
        <x:v>4665</x:v>
      </x:c>
      <x:c r="H168" s="25" t="n">
        <x:v>-0.02966241932814817</x:v>
      </x:c>
      <x:c r="I168" s="33" t="n">
        <x:f>ROUND(E168-F168,1)</x:f>
        <x:v>160.2</x:v>
      </x:c>
      <x:c r="J168" s="23" t="str">
        <x:v>IC2409</x:v>
      </x:c>
    </x:row>
    <x:row r="169">
      <x:c r="A169" s="23" t="n">
        <x:v>18</x:v>
      </x:c>
      <x:c r="B169" s="23" t="str">
        <x:v>周三</x:v>
      </x:c>
      <x:c r="C169" s="23" t="str">
        <x:v>7月24日</x:v>
      </x:c>
      <x:c r="D169" s="24" t="n">
        <x:v>4664</x:v>
      </x:c>
      <x:c r="E169" s="24" t="n">
        <x:v>4685</x:v>
      </x:c>
      <x:c r="F169" s="24" t="n">
        <x:v>4598.4</x:v>
      </x:c>
      <x:c r="G169" s="24" t="n">
        <x:v>4605.2</x:v>
      </x:c>
      <x:c r="H169" s="25" t="n">
        <x:v>-0.012705180132168037</x:v>
      </x:c>
      <x:c r="I169" s="24" t="n">
        <x:f>ROUND(E169-F169,1)</x:f>
        <x:v>86.6</x:v>
      </x:c>
      <x:c r="J169" s="23" t="str">
        <x:v>IC2409</x:v>
      </x:c>
    </x:row>
    <x:row r="170">
      <x:c r="A170" s="23" t="n">
        <x:v>19</x:v>
      </x:c>
      <x:c r="B170" s="23" t="str">
        <x:v>周四</x:v>
      </x:c>
      <x:c r="C170" s="23" t="str">
        <x:v>7月25日</x:v>
      </x:c>
      <x:c r="D170" s="24" t="n">
        <x:v>4568.2</x:v>
      </x:c>
      <x:c r="E170" s="24" t="n">
        <x:v>4666</x:v>
      </x:c>
      <x:c r="F170" s="24" t="n">
        <x:v>4568.2</x:v>
      </x:c>
      <x:c r="G170" s="24" t="n">
        <x:v>4596.8</x:v>
      </x:c>
      <x:c r="H170" s="25" t="n">
        <x:v>-0.0009068532193289291</x:v>
      </x:c>
      <x:c r="I170" s="24" t="n">
        <x:f>ROUND(E170-F170,1)</x:f>
        <x:v>97.8</x:v>
      </x:c>
      <x:c r="J170" s="23" t="str">
        <x:v>IC2409</x:v>
      </x:c>
    </x:row>
    <x:row r="171">
      <x:c r="A171" s="23" t="n">
        <x:v>20</x:v>
      </x:c>
      <x:c r="B171" s="23" t="str">
        <x:v>周五</x:v>
      </x:c>
      <x:c r="C171" s="23" t="str">
        <x:v>7月26日</x:v>
      </x:c>
      <x:c r="D171" s="24" t="n">
        <x:v>4616.8</x:v>
      </x:c>
      <x:c r="E171" s="24" t="n">
        <x:v>4697.6</x:v>
      </x:c>
      <x:c r="F171" s="24" t="n">
        <x:v>4616.8</x:v>
      </x:c>
      <x:c r="G171" s="24" t="n">
        <x:v>4678.8</x:v>
      </x:c>
      <x:c r="H171" s="25" t="n">
        <x:v>0.01776452282157681</x:v>
      </x:c>
      <x:c r="I171" s="24" t="n">
        <x:f>ROUND(E171-F171,1)</x:f>
        <x:v>80.8</x:v>
      </x:c>
      <x:c r="J171" s="23" t="str">
        <x:v>IC2409</x:v>
      </x:c>
    </x:row>
    <x:row r="172">
      <x:c r="A172" s="23" t="n">
        <x:v>21</x:v>
      </x:c>
      <x:c r="B172" s="23" t="str">
        <x:v>周一</x:v>
      </x:c>
      <x:c r="C172" s="23" t="str">
        <x:v>7月29日</x:v>
      </x:c>
      <x:c r="D172" s="24" t="n">
        <x:v>4680.4</x:v>
      </x:c>
      <x:c r="E172" s="24" t="n">
        <x:v>4691.2</x:v>
      </x:c>
      <x:c r="F172" s="24" t="n">
        <x:v>4642</x:v>
      </x:c>
      <x:c r="G172" s="24" t="n">
        <x:v>4652.6</x:v>
      </x:c>
      <x:c r="H172" s="25" t="n">
        <x:v>-0.006370238246910409</x:v>
      </x:c>
      <x:c r="I172" s="24" t="n">
        <x:f>ROUND(E172-F172,1)</x:f>
        <x:v>49.2</x:v>
      </x:c>
      <x:c r="J172" s="23" t="str">
        <x:v>IC2409</x:v>
      </x:c>
    </x:row>
    <x:row r="173">
      <x:c r="A173" s="23" t="n">
        <x:v>22</x:v>
      </x:c>
      <x:c r="B173" s="23" t="str">
        <x:v>周二</x:v>
      </x:c>
      <x:c r="C173" s="23" t="str">
        <x:v>7月30日</x:v>
      </x:c>
      <x:c r="D173" s="24" t="n">
        <x:v>4639.8</x:v>
      </x:c>
      <x:c r="E173" s="24" t="n">
        <x:v>4669.6</x:v>
      </x:c>
      <x:c r="F173" s="24" t="n">
        <x:v>4592</x:v>
      </x:c>
      <x:c r="G173" s="24" t="n">
        <x:v>4649.6</x:v>
      </x:c>
      <x:c r="H173" s="25" t="n">
        <x:v>-0.0013676967132537632</x:v>
      </x:c>
      <x:c r="I173" s="24" t="n">
        <x:f>ROUND(E173-F173,1)</x:f>
        <x:v>77.6</x:v>
      </x:c>
      <x:c r="J173" s="23" t="str">
        <x:v>IC2409</x:v>
      </x:c>
    </x:row>
    <x:row r="174">
      <x:c r="A174" s="23" t="n">
        <x:v>23</x:v>
      </x:c>
      <x:c r="B174" s="23" t="str">
        <x:v>周三</x:v>
      </x:c>
      <x:c r="C174" s="23" t="str">
        <x:v>7月31日</x:v>
      </x:c>
      <x:c r="D174" s="24" t="n">
        <x:v>4658.6</x:v>
      </x:c>
      <x:c r="E174" s="24" t="n">
        <x:v>4873.2</x:v>
      </x:c>
      <x:c r="F174" s="24" t="n">
        <x:v>4636.8</x:v>
      </x:c>
      <x:c r="G174" s="24" t="n">
        <x:v>4871.6</x:v>
      </x:c>
      <x:c r="H174" s="25" t="n">
        <x:v>0.046479777444896175</x:v>
      </x:c>
      <x:c r="I174" s="33" t="n">
        <x:f>ROUND(E174-F174,1)</x:f>
        <x:v>236.4</x:v>
      </x:c>
      <x:c r="J174" s="23" t="str">
        <x:v>IC2409</x:v>
      </x:c>
    </x:row>
    <x:row r="175">
      <x:c r="A175" s="36" t="str">
        <x:v>合计</x:v>
      </x:c>
      <x:c r="B175" s="35" t="n">
        <x:v>23</x:v>
      </x:c>
      <x:c r="C175" s="35"/>
      <x:c r="D175" s="35"/>
      <x:c r="E175" s="35"/>
      <x:c r="F175" s="35"/>
      <x:c r="G175" s="35"/>
      <x:c r="H175" s="35"/>
      <x:c r="I175" s="37" t="n">
        <x:f>ROUND(SUM(I152:I174),1)</x:f>
        <x:v>2046</x:v>
      </x:c>
      <x:c r="J175" s="35"/>
    </x:row>
    <x:row r="176">
      <x:c r="A176" s="36" t="str">
        <x:v>均值</x:v>
      </x:c>
      <x:c r="B176" s="35"/>
      <x:c r="C176" s="35"/>
      <x:c r="D176" s="35"/>
      <x:c r="E176" s="35"/>
      <x:c r="F176" s="35"/>
      <x:c r="G176" s="35"/>
      <x:c r="H176" s="35"/>
      <x:c r="I176" s="39" t="n">
        <x:f>ROUND(IFERROR(AVERAGE(I152:I174),0),1)</x:f>
        <x:v>89</x:v>
      </x:c>
      <x:c r="J176" s="35"/>
    </x:row>
    <x:row r="178">
      <x:c r="A178" s="17" t="str">
        <x:v>8月</x:v>
      </x:c>
      <x:c r="B178" s="17"/>
      <x:c r="C178" s="17"/>
      <x:c r="D178" s="17"/>
      <x:c r="E178" s="17"/>
      <x:c r="F178" s="17"/>
      <x:c r="G178" s="17"/>
      <x:c r="H178" s="17"/>
      <x:c r="I178" s="17"/>
      <x:c r="J178" s="17"/>
    </x:row>
    <x:row r="179">
      <x:c r="A179" s="20" t="str">
        <x:v>序号</x:v>
      </x:c>
      <x:c r="B179" s="20" t="str">
        <x:v>星期</x:v>
      </x:c>
      <x:c r="C179" s="20" t="str">
        <x:v>日期</x:v>
      </x:c>
      <x:c r="D179" s="20" t="str">
        <x:v>开盘</x:v>
      </x:c>
      <x:c r="E179" s="20" t="str">
        <x:v>高点</x:v>
      </x:c>
      <x:c r="F179" s="20" t="str">
        <x:v>低点</x:v>
      </x:c>
      <x:c r="G179" s="20" t="str">
        <x:v>收盘</x:v>
      </x:c>
      <x:c r="H179" s="20" t="str">
        <x:v>涨幅</x:v>
      </x:c>
      <x:c r="I179" s="20" t="str">
        <x:v>振幅</x:v>
      </x:c>
      <x:c r="J179" s="20" t="str">
        <x:v>标的</x:v>
      </x:c>
    </x:row>
    <x:row r="180">
      <x:c r="A180" s="23" t="n">
        <x:v>1</x:v>
      </x:c>
      <x:c r="B180" s="23" t="str">
        <x:v>周四</x:v>
      </x:c>
      <x:c r="C180" s="23" t="str">
        <x:v>8月1日</x:v>
      </x:c>
      <x:c r="D180" s="24" t="n">
        <x:v>4872</x:v>
      </x:c>
      <x:c r="E180" s="24" t="n">
        <x:v>4918</x:v>
      </x:c>
      <x:c r="F180" s="24" t="n">
        <x:v>4796</x:v>
      </x:c>
      <x:c r="G180" s="24" t="n">
        <x:v>4821.2</x:v>
      </x:c>
      <x:c r="H180" s="25" t="n">
        <x:v>-0.01006093820293641</x:v>
      </x:c>
      <x:c r="I180" s="24" t="n">
        <x:f>ROUND(E180-F180,1)</x:f>
        <x:v>122</x:v>
      </x:c>
      <x:c r="J180" s="23" t="str">
        <x:v>IC2409</x:v>
      </x:c>
    </x:row>
    <x:row r="181">
      <x:c r="A181" s="23" t="n">
        <x:v>2</x:v>
      </x:c>
      <x:c r="B181" s="23" t="str">
        <x:v>周五</x:v>
      </x:c>
      <x:c r="C181" s="23" t="str">
        <x:v>8月2日</x:v>
      </x:c>
      <x:c r="D181" s="24" t="n">
        <x:v>4781</x:v>
      </x:c>
      <x:c r="E181" s="24" t="n">
        <x:v>4851</x:v>
      </x:c>
      <x:c r="F181" s="24" t="n">
        <x:v>4746.4</x:v>
      </x:c>
      <x:c r="G181" s="24" t="n">
        <x:v>4755.6</x:v>
      </x:c>
      <x:c r="H181" s="25" t="n">
        <x:v>-0.013055153893823501</x:v>
      </x:c>
      <x:c r="I181" s="24" t="n">
        <x:f>ROUND(E181-F181,1)</x:f>
        <x:v>104.6</x:v>
      </x:c>
      <x:c r="J181" s="23" t="str">
        <x:v>IC2409</x:v>
      </x:c>
    </x:row>
    <x:row r="182">
      <x:c r="A182" s="23" t="n">
        <x:v>3</x:v>
      </x:c>
      <x:c r="B182" s="23" t="str">
        <x:v>周一</x:v>
      </x:c>
      <x:c r="C182" s="23" t="str">
        <x:v>8月5日</x:v>
      </x:c>
      <x:c r="D182" s="24" t="n">
        <x:v>4736.8</x:v>
      </x:c>
      <x:c r="E182" s="24" t="n">
        <x:v>4831.8</x:v>
      </x:c>
      <x:c r="F182" s="24" t="n">
        <x:v>4655.4</x:v>
      </x:c>
      <x:c r="G182" s="24" t="n">
        <x:v>4665.2</x:v>
      </x:c>
      <x:c r="H182" s="25" t="n">
        <x:v>-0.01841851898363267</x:v>
      </x:c>
      <x:c r="I182" s="33" t="n">
        <x:f>ROUND(E182-F182,1)</x:f>
        <x:v>176.4</x:v>
      </x:c>
      <x:c r="J182" s="23" t="str">
        <x:v>IC2409</x:v>
      </x:c>
    </x:row>
    <x:row r="183">
      <x:c r="A183" s="23" t="n">
        <x:v>4</x:v>
      </x:c>
      <x:c r="B183" s="23" t="str">
        <x:v>周二</x:v>
      </x:c>
      <x:c r="C183" s="23" t="str">
        <x:v>8月6日</x:v>
      </x:c>
      <x:c r="D183" s="24" t="n">
        <x:v>4729</x:v>
      </x:c>
      <x:c r="E183" s="24" t="n">
        <x:v>4755</x:v>
      </x:c>
      <x:c r="F183" s="24" t="n">
        <x:v>4658.2</x:v>
      </x:c>
      <x:c r="G183" s="24" t="n">
        <x:v>4715.8</x:v>
      </x:c>
      <x:c r="H183" s="25" t="n">
        <x:v>0.010320269521088221</x:v>
      </x:c>
      <x:c r="I183" s="24" t="n">
        <x:f>ROUND(E183-F183,1)</x:f>
        <x:v>96.8</x:v>
      </x:c>
      <x:c r="J183" s="23" t="str">
        <x:v>IC2409</x:v>
      </x:c>
    </x:row>
    <x:row r="184">
      <x:c r="A184" s="23" t="n">
        <x:v>5</x:v>
      </x:c>
      <x:c r="B184" s="23" t="str">
        <x:v>周三</x:v>
      </x:c>
      <x:c r="C184" s="23" t="str">
        <x:v>8月7日</x:v>
      </x:c>
      <x:c r="D184" s="24" t="n">
        <x:v>4710</x:v>
      </x:c>
      <x:c r="E184" s="24" t="n">
        <x:v>4755</x:v>
      </x:c>
      <x:c r="F184" s="24" t="n">
        <x:v>4678</x:v>
      </x:c>
      <x:c r="G184" s="24" t="n">
        <x:v>4711.8</x:v>
      </x:c>
      <x:c r="H184" s="25" t="n">
        <x:v>-0.000548731585834128</x:v>
      </x:c>
      <x:c r="I184" s="24" t="n">
        <x:f>ROUND(E184-F184,1)</x:f>
        <x:v>77</x:v>
      </x:c>
      <x:c r="J184" s="23" t="str">
        <x:v>IC2409</x:v>
      </x:c>
    </x:row>
    <x:row r="185">
      <x:c r="A185" s="23" t="n">
        <x:v>6</x:v>
      </x:c>
      <x:c r="B185" s="23" t="str">
        <x:v>周四</x:v>
      </x:c>
      <x:c r="C185" s="23" t="str">
        <x:v>8月8日</x:v>
      </x:c>
      <x:c r="D185" s="24" t="n">
        <x:v>4705</x:v>
      </x:c>
      <x:c r="E185" s="24" t="n">
        <x:v>4769</x:v>
      </x:c>
      <x:c r="F185" s="24" t="n">
        <x:v>4666</x:v>
      </x:c>
      <x:c r="G185" s="24" t="n">
        <x:v>4727.6</x:v>
      </x:c>
      <x:c r="H185" s="25" t="n">
        <x:v>0.0035475969254159523</x:v>
      </x:c>
      <x:c r="I185" s="24" t="n">
        <x:f>ROUND(E185-F185,1)</x:f>
        <x:v>103</x:v>
      </x:c>
      <x:c r="J185" s="23" t="str">
        <x:v>IC2409</x:v>
      </x:c>
    </x:row>
    <x:row r="186">
      <x:c r="A186" s="23" t="n">
        <x:v>7</x:v>
      </x:c>
      <x:c r="B186" s="23" t="str">
        <x:v>周五</x:v>
      </x:c>
      <x:c r="C186" s="23" t="str">
        <x:v>8月9日</x:v>
      </x:c>
      <x:c r="D186" s="24" t="n">
        <x:v>4758</x:v>
      </x:c>
      <x:c r="E186" s="24" t="n">
        <x:v>4784.6</x:v>
      </x:c>
      <x:c r="F186" s="24" t="n">
        <x:v>4678.6</x:v>
      </x:c>
      <x:c r="G186" s="24" t="n">
        <x:v>4682</x:v>
      </x:c>
      <x:c r="H186" s="25" t="n">
        <x:v>-0.009384731924922063</x:v>
      </x:c>
      <x:c r="I186" s="24" t="n">
        <x:f>ROUND(E186-F186,1)</x:f>
        <x:v>106</x:v>
      </x:c>
      <x:c r="J186" s="23" t="str">
        <x:v>IC2409</x:v>
      </x:c>
    </x:row>
    <x:row r="187">
      <x:c r="A187" s="23" t="n">
        <x:v>8</x:v>
      </x:c>
      <x:c r="B187" s="23" t="str">
        <x:v>周一</x:v>
      </x:c>
      <x:c r="C187" s="23" t="str">
        <x:v>8月12日</x:v>
      </x:c>
      <x:c r="D187" s="24" t="n">
        <x:v>4672.6</x:v>
      </x:c>
      <x:c r="E187" s="24" t="n">
        <x:v>4711.6</x:v>
      </x:c>
      <x:c r="F187" s="24" t="n">
        <x:v>4658.2</x:v>
      </x:c>
      <x:c r="G187" s="24" t="n">
        <x:v>4694</x:v>
      </x:c>
      <x:c r="H187" s="25" t="n">
        <x:v>0.0020816517269213186</x:v>
      </x:c>
      <x:c r="I187" s="24" t="n">
        <x:f>ROUND(E187-F187,1)</x:f>
        <x:v>53.4</x:v>
      </x:c>
      <x:c r="J187" s="23" t="str">
        <x:v>IC2409</x:v>
      </x:c>
    </x:row>
    <x:row r="188">
      <x:c r="A188" s="23" t="n">
        <x:v>9</x:v>
      </x:c>
      <x:c r="B188" s="23" t="str">
        <x:v>周二</x:v>
      </x:c>
      <x:c r="C188" s="23" t="str">
        <x:v>8月13日</x:v>
      </x:c>
      <x:c r="D188" s="24" t="n">
        <x:v>4705</x:v>
      </x:c>
      <x:c r="E188" s="24" t="n">
        <x:v>4710.8</x:v>
      </x:c>
      <x:c r="F188" s="24" t="n">
        <x:v>4650.2</x:v>
      </x:c>
      <x:c r="G188" s="24" t="n">
        <x:v>4705</x:v>
      </x:c>
      <x:c r="H188" s="25" t="n">
        <x:v>0.002458877395285608</x:v>
      </x:c>
      <x:c r="I188" s="24" t="n">
        <x:f>ROUND(E188-F188,1)</x:f>
        <x:v>60.6</x:v>
      </x:c>
      <x:c r="J188" s="23" t="str">
        <x:v>IC2409</x:v>
      </x:c>
    </x:row>
    <x:row r="189">
      <x:c r="A189" s="23" t="n">
        <x:v>10</x:v>
      </x:c>
      <x:c r="B189" s="23" t="str">
        <x:v>周三</x:v>
      </x:c>
      <x:c r="C189" s="23" t="str">
        <x:v>8月14日</x:v>
      </x:c>
      <x:c r="D189" s="24" t="n">
        <x:v>4701</x:v>
      </x:c>
      <x:c r="E189" s="24" t="n">
        <x:v>4703.6</x:v>
      </x:c>
      <x:c r="F189" s="24" t="n">
        <x:v>4625.8</x:v>
      </x:c>
      <x:c r="G189" s="24" t="n">
        <x:v>4626.6</x:v>
      </x:c>
      <x:c r="H189" s="25" t="n">
        <x:v>-0.015943499957709495</x:v>
      </x:c>
      <x:c r="I189" s="24" t="n">
        <x:f>ROUND(E189-F189,1)</x:f>
        <x:v>77.8</x:v>
      </x:c>
      <x:c r="J189" s="23" t="str">
        <x:v>IC2409</x:v>
      </x:c>
    </x:row>
    <x:row r="190">
      <x:c r="A190" s="23" t="n">
        <x:v>11</x:v>
      </x:c>
      <x:c r="B190" s="23" t="str">
        <x:v>周四</x:v>
      </x:c>
      <x:c r="C190" s="23" t="str">
        <x:v>8月15日</x:v>
      </x:c>
      <x:c r="D190" s="24" t="n">
        <x:v>4623.8</x:v>
      </x:c>
      <x:c r="E190" s="24" t="n">
        <x:v>4735.8</x:v>
      </x:c>
      <x:c r="F190" s="24" t="n">
        <x:v>4616</x:v>
      </x:c>
      <x:c r="G190" s="24" t="n">
        <x:v>4661.2</x:v>
      </x:c>
      <x:c r="H190" s="25" t="n">
        <x:v>0.0015900984141989927</x:v>
      </x:c>
      <x:c r="I190" s="24" t="n">
        <x:f>ROUND(E190-F190,1)</x:f>
        <x:v>119.8</x:v>
      </x:c>
      <x:c r="J190" s="23" t="str">
        <x:v>IC2409</x:v>
      </x:c>
    </x:row>
    <x:row r="191">
      <x:c r="A191" s="29" t="n">
        <x:v>12</x:v>
      </x:c>
      <x:c r="B191" s="29" t="str">
        <x:v>周五</x:v>
      </x:c>
      <x:c r="C191" s="29" t="str">
        <x:v>8月16日</x:v>
      </x:c>
      <x:c r="D191" s="30" t="n">
        <x:v>4677</x:v>
      </x:c>
      <x:c r="E191" s="30" t="n">
        <x:v>4685.4</x:v>
      </x:c>
      <x:c r="F191" s="30" t="n">
        <x:v>4639</x:v>
      </x:c>
      <x:c r="G191" s="30" t="n">
        <x:v>4642.8</x:v>
      </x:c>
      <x:c r="H191" s="31" t="n">
        <x:v>-0.003947481335278447</x:v>
      </x:c>
      <x:c r="I191" s="30" t="n">
        <x:f>ROUND(E191-F191,1)</x:f>
        <x:v>46.4</x:v>
      </x:c>
      <x:c r="J191" s="29" t="str">
        <x:v>IC2409</x:v>
      </x:c>
    </x:row>
    <x:row r="192">
      <x:c r="A192" s="23" t="n">
        <x:v>13</x:v>
      </x:c>
      <x:c r="B192" s="23" t="str">
        <x:v>周一</x:v>
      </x:c>
      <x:c r="C192" s="23" t="str">
        <x:v>8月19日</x:v>
      </x:c>
      <x:c r="D192" s="24" t="n">
        <x:v>4638.8</x:v>
      </x:c>
      <x:c r="E192" s="24" t="n">
        <x:v>4720.4</x:v>
      </x:c>
      <x:c r="F192" s="24" t="n">
        <x:v>4638.8</x:v>
      </x:c>
      <x:c r="G192" s="24" t="n">
        <x:v>4662</x:v>
      </x:c>
      <x:c r="H192" s="25" t="n">
        <x:v>0.00413543551305251</x:v>
      </x:c>
      <x:c r="I192" s="24" t="n">
        <x:f>ROUND(E192-F192,1)</x:f>
        <x:v>81.6</x:v>
      </x:c>
      <x:c r="J192" s="23" t="str">
        <x:v>IC2409</x:v>
      </x:c>
    </x:row>
    <x:row r="193">
      <x:c r="A193" s="23" t="n">
        <x:v>14</x:v>
      </x:c>
      <x:c r="B193" s="23" t="str">
        <x:v>周二</x:v>
      </x:c>
      <x:c r="C193" s="23" t="str">
        <x:v>8月20日</x:v>
      </x:c>
      <x:c r="D193" s="24" t="n">
        <x:v>4662</x:v>
      </x:c>
      <x:c r="E193" s="24" t="n">
        <x:v>4670</x:v>
      </x:c>
      <x:c r="F193" s="24" t="n">
        <x:v>4553.2</x:v>
      </x:c>
      <x:c r="G193" s="24" t="n">
        <x:v>4572</x:v>
      </x:c>
      <x:c r="H193" s="25" t="n">
        <x:v>-0.019305019305019266</x:v>
      </x:c>
      <x:c r="I193" s="24" t="n">
        <x:f>ROUND(E193-F193,1)</x:f>
        <x:v>116.8</x:v>
      </x:c>
      <x:c r="J193" s="23" t="str">
        <x:v>IC2409</x:v>
      </x:c>
    </x:row>
    <x:row r="194">
      <x:c r="A194" s="23" t="n">
        <x:v>15</x:v>
      </x:c>
      <x:c r="B194" s="23" t="str">
        <x:v>周三</x:v>
      </x:c>
      <x:c r="C194" s="23" t="str">
        <x:v>8月21日</x:v>
      </x:c>
      <x:c r="D194" s="24" t="n">
        <x:v>4569</x:v>
      </x:c>
      <x:c r="E194" s="24" t="n">
        <x:v>4586</x:v>
      </x:c>
      <x:c r="F194" s="24" t="n">
        <x:v>4556.6</x:v>
      </x:c>
      <x:c r="G194" s="24" t="n">
        <x:v>4570.6</x:v>
      </x:c>
      <x:c r="H194" s="25" t="n">
        <x:v>-0.00030621172353451076</x:v>
      </x:c>
      <x:c r="I194" s="24" t="n">
        <x:f>ROUND(E194-F194,1)</x:f>
        <x:v>29.4</x:v>
      </x:c>
      <x:c r="J194" s="23" t="str">
        <x:v>IC2409</x:v>
      </x:c>
    </x:row>
    <x:row r="195">
      <x:c r="A195" s="23" t="n">
        <x:v>16</x:v>
      </x:c>
      <x:c r="B195" s="23" t="str">
        <x:v>周四</x:v>
      </x:c>
      <x:c r="C195" s="23" t="str">
        <x:v>8月22日</x:v>
      </x:c>
      <x:c r="D195" s="24" t="n">
        <x:v>4569</x:v>
      </x:c>
      <x:c r="E195" s="24" t="n">
        <x:v>4582</x:v>
      </x:c>
      <x:c r="F195" s="24" t="n">
        <x:v>4497</x:v>
      </x:c>
      <x:c r="G195" s="24" t="n">
        <x:v>4514.6</x:v>
      </x:c>
      <x:c r="H195" s="25" t="n">
        <x:v>-0.012252220715004647</x:v>
      </x:c>
      <x:c r="I195" s="24" t="n">
        <x:f>ROUND(E195-F195,1)</x:f>
        <x:v>85</x:v>
      </x:c>
      <x:c r="J195" s="23" t="str">
        <x:v>IC2409</x:v>
      </x:c>
    </x:row>
    <x:row r="196">
      <x:c r="A196" s="23" t="n">
        <x:v>17</x:v>
      </x:c>
      <x:c r="B196" s="23" t="str">
        <x:v>周五</x:v>
      </x:c>
      <x:c r="C196" s="23" t="str">
        <x:v>8月23日</x:v>
      </x:c>
      <x:c r="D196" s="24" t="n">
        <x:v>4519</x:v>
      </x:c>
      <x:c r="E196" s="24" t="n">
        <x:v>4538.6</x:v>
      </x:c>
      <x:c r="F196" s="24" t="n">
        <x:v>4500.6</x:v>
      </x:c>
      <x:c r="G196" s="24" t="n">
        <x:v>4518.6</x:v>
      </x:c>
      <x:c r="H196" s="25" t="n">
        <x:v>0.0008860142648297042</x:v>
      </x:c>
      <x:c r="I196" s="24" t="n">
        <x:f>ROUND(E196-F196,1)</x:f>
        <x:v>38</x:v>
      </x:c>
      <x:c r="J196" s="23" t="str">
        <x:v>IC2409</x:v>
      </x:c>
    </x:row>
    <x:row r="197">
      <x:c r="A197" s="23" t="n">
        <x:v>18</x:v>
      </x:c>
      <x:c r="B197" s="23" t="str">
        <x:v>周一</x:v>
      </x:c>
      <x:c r="C197" s="23" t="str">
        <x:v>8月26日</x:v>
      </x:c>
      <x:c r="D197" s="24" t="n">
        <x:v>4535</x:v>
      </x:c>
      <x:c r="E197" s="24" t="n">
        <x:v>4548</x:v>
      </x:c>
      <x:c r="F197" s="24" t="n">
        <x:v>4505.2</x:v>
      </x:c>
      <x:c r="G197" s="24" t="n">
        <x:v>4527</x:v>
      </x:c>
      <x:c r="H197" s="25" t="n">
        <x:v>0.0018589828708006628</x:v>
      </x:c>
      <x:c r="I197" s="24" t="n">
        <x:f>ROUND(E197-F197,1)</x:f>
        <x:v>42.8</x:v>
      </x:c>
      <x:c r="J197" s="23" t="str">
        <x:v>IC2409</x:v>
      </x:c>
    </x:row>
    <x:row r="198">
      <x:c r="A198" s="23" t="n">
        <x:v>19</x:v>
      </x:c>
      <x:c r="B198" s="23" t="str">
        <x:v>周二</x:v>
      </x:c>
      <x:c r="C198" s="23" t="str">
        <x:v>8月27日</x:v>
      </x:c>
      <x:c r="D198" s="24" t="n">
        <x:v>4516.8</x:v>
      </x:c>
      <x:c r="E198" s="24" t="n">
        <x:v>4518</x:v>
      </x:c>
      <x:c r="F198" s="24" t="n">
        <x:v>4472.8</x:v>
      </x:c>
      <x:c r="G198" s="24" t="n">
        <x:v>4480.2</x:v>
      </x:c>
      <x:c r="H198" s="25" t="n">
        <x:v>-0.010337972166998055</x:v>
      </x:c>
      <x:c r="I198" s="24" t="n">
        <x:f>ROUND(E198-F198,1)</x:f>
        <x:v>45.2</x:v>
      </x:c>
      <x:c r="J198" s="23" t="str">
        <x:v>IC2409</x:v>
      </x:c>
    </x:row>
    <x:row r="199">
      <x:c r="A199" s="23" t="n">
        <x:v>20</x:v>
      </x:c>
      <x:c r="B199" s="23" t="str">
        <x:v>周三</x:v>
      </x:c>
      <x:c r="C199" s="23" t="str">
        <x:v>8月28日</x:v>
      </x:c>
      <x:c r="D199" s="24" t="n">
        <x:v>4475.8</x:v>
      </x:c>
      <x:c r="E199" s="24" t="n">
        <x:v>4520.6</x:v>
      </x:c>
      <x:c r="F199" s="24" t="n">
        <x:v>4468</x:v>
      </x:c>
      <x:c r="G199" s="24" t="n">
        <x:v>4483</x:v>
      </x:c>
      <x:c r="H199" s="25" t="n">
        <x:v>0.0006249720994597752</x:v>
      </x:c>
      <x:c r="I199" s="24" t="n">
        <x:f>ROUND(E199-F199,1)</x:f>
        <x:v>52.6</x:v>
      </x:c>
      <x:c r="J199" s="23" t="str">
        <x:v>IC2409</x:v>
      </x:c>
    </x:row>
    <x:row r="200">
      <x:c r="A200" s="23" t="n">
        <x:v>21</x:v>
      </x:c>
      <x:c r="B200" s="23" t="str">
        <x:v>周四</x:v>
      </x:c>
      <x:c r="C200" s="23" t="str">
        <x:v>8月29日</x:v>
      </x:c>
      <x:c r="D200" s="24" t="n">
        <x:v>4470</x:v>
      </x:c>
      <x:c r="E200" s="24" t="n">
        <x:v>4576.2</x:v>
      </x:c>
      <x:c r="F200" s="24" t="n">
        <x:v>4461.6</x:v>
      </x:c>
      <x:c r="G200" s="24" t="n">
        <x:v>4547.2</x:v>
      </x:c>
      <x:c r="H200" s="25" t="n">
        <x:v>0.014320767343296792</x:v>
      </x:c>
      <x:c r="I200" s="24" t="n">
        <x:f>ROUND(E200-F200,1)</x:f>
        <x:v>114.6</x:v>
      </x:c>
      <x:c r="J200" s="23" t="str">
        <x:v>IC2409</x:v>
      </x:c>
    </x:row>
    <x:row r="201">
      <x:c r="A201" s="23" t="n">
        <x:v>22</x:v>
      </x:c>
      <x:c r="B201" s="23" t="str">
        <x:v>周五</x:v>
      </x:c>
      <x:c r="C201" s="23" t="str">
        <x:v>8月30日</x:v>
      </x:c>
      <x:c r="D201" s="24" t="n">
        <x:v>4546.4</x:v>
      </x:c>
      <x:c r="E201" s="24" t="n">
        <x:v>4711.2</x:v>
      </x:c>
      <x:c r="F201" s="24" t="n">
        <x:v>4542</x:v>
      </x:c>
      <x:c r="G201" s="24" t="n">
        <x:v>4628.4</x:v>
      </x:c>
      <x:c r="H201" s="25" t="n">
        <x:v>0.017857142857142794</x:v>
      </x:c>
      <x:c r="I201" s="33" t="n">
        <x:f>ROUND(E201-F201,1)</x:f>
        <x:v>169.2</x:v>
      </x:c>
      <x:c r="J201" s="23" t="str">
        <x:v>IC2409</x:v>
      </x:c>
    </x:row>
    <x:row r="202">
      <x:c r="A202" s="36" t="str">
        <x:v>合计</x:v>
      </x:c>
      <x:c r="B202" s="35" t="n">
        <x:v>22</x:v>
      </x:c>
      <x:c r="C202" s="35"/>
      <x:c r="D202" s="35"/>
      <x:c r="E202" s="35"/>
      <x:c r="F202" s="35"/>
      <x:c r="G202" s="35"/>
      <x:c r="H202" s="35"/>
      <x:c r="I202" s="37" t="n">
        <x:f>ROUND(SUM(I180:I201),1)</x:f>
        <x:v>1919</x:v>
      </x:c>
      <x:c r="J202" s="35"/>
    </x:row>
    <x:row r="203">
      <x:c r="A203" s="36" t="str">
        <x:v>均值</x:v>
      </x:c>
      <x:c r="B203" s="35"/>
      <x:c r="C203" s="35"/>
      <x:c r="D203" s="35"/>
      <x:c r="E203" s="35"/>
      <x:c r="F203" s="35"/>
      <x:c r="G203" s="35"/>
      <x:c r="H203" s="35"/>
      <x:c r="I203" s="39" t="n">
        <x:f>ROUND(IFERROR(AVERAGE(I180:I201),0),1)</x:f>
        <x:v>87.2</x:v>
      </x:c>
      <x:c r="J203" s="35"/>
    </x:row>
    <x:row r="205">
      <x:c r="A205" s="17" t="str">
        <x:v>9月</x:v>
      </x:c>
      <x:c r="B205" s="17"/>
      <x:c r="C205" s="17"/>
      <x:c r="D205" s="17"/>
      <x:c r="E205" s="17"/>
      <x:c r="F205" s="17"/>
      <x:c r="G205" s="17"/>
      <x:c r="H205" s="17"/>
      <x:c r="I205" s="17"/>
      <x:c r="J205" s="17"/>
    </x:row>
    <x:row r="206">
      <x:c r="A206" s="20" t="str">
        <x:v>序号</x:v>
      </x:c>
      <x:c r="B206" s="20" t="str">
        <x:v>星期</x:v>
      </x:c>
      <x:c r="C206" s="20" t="str">
        <x:v>日期</x:v>
      </x:c>
      <x:c r="D206" s="20" t="str">
        <x:v>开盘</x:v>
      </x:c>
      <x:c r="E206" s="20" t="str">
        <x:v>高点</x:v>
      </x:c>
      <x:c r="F206" s="20" t="str">
        <x:v>低点</x:v>
      </x:c>
      <x:c r="G206" s="20" t="str">
        <x:v>收盘</x:v>
      </x:c>
      <x:c r="H206" s="20" t="str">
        <x:v>涨幅</x:v>
      </x:c>
      <x:c r="I206" s="20" t="str">
        <x:v>振幅</x:v>
      </x:c>
      <x:c r="J206" s="20" t="str">
        <x:v>标的</x:v>
      </x:c>
    </x:row>
    <x:row r="207">
      <x:c r="A207" s="23" t="n">
        <x:v>1</x:v>
      </x:c>
      <x:c r="B207" s="23" t="str">
        <x:v>周一</x:v>
      </x:c>
      <x:c r="C207" s="23" t="str">
        <x:v>9月2日</x:v>
      </x:c>
      <x:c r="D207" s="24" t="n">
        <x:v>4623</x:v>
      </x:c>
      <x:c r="E207" s="24" t="n">
        <x:v>4631.8</x:v>
      </x:c>
      <x:c r="F207" s="24" t="n">
        <x:v>4526.8</x:v>
      </x:c>
      <x:c r="G207" s="24" t="n">
        <x:v>4532.4</x:v>
      </x:c>
      <x:c r="H207" s="25" t="n">
        <x:v>-0.020741508944775777</x:v>
      </x:c>
      <x:c r="I207" s="24" t="n">
        <x:f>ROUND(E207-F207,1)</x:f>
        <x:v>105</x:v>
      </x:c>
      <x:c r="J207" s="23" t="str">
        <x:v>IC2409</x:v>
      </x:c>
    </x:row>
    <x:row r="208">
      <x:c r="A208" s="23" t="n">
        <x:v>2</x:v>
      </x:c>
      <x:c r="B208" s="23" t="str">
        <x:v>周二</x:v>
      </x:c>
      <x:c r="C208" s="23" t="str">
        <x:v>9月3日</x:v>
      </x:c>
      <x:c r="D208" s="24" t="n">
        <x:v>4540</x:v>
      </x:c>
      <x:c r="E208" s="24" t="n">
        <x:v>4607.6</x:v>
      </x:c>
      <x:c r="F208" s="24" t="n">
        <x:v>4532.8</x:v>
      </x:c>
      <x:c r="G208" s="24" t="n">
        <x:v>4576</x:v>
      </x:c>
      <x:c r="H208" s="25" t="n">
        <x:v>0.00961962757038215</x:v>
      </x:c>
      <x:c r="I208" s="24" t="n">
        <x:f>ROUND(E208-F208,1)</x:f>
        <x:v>74.8</x:v>
      </x:c>
      <x:c r="J208" s="23" t="str">
        <x:v>IC2409</x:v>
      </x:c>
    </x:row>
    <x:row r="209">
      <x:c r="A209" s="23" t="n">
        <x:v>3</x:v>
      </x:c>
      <x:c r="B209" s="23" t="str">
        <x:v>周三</x:v>
      </x:c>
      <x:c r="C209" s="23" t="str">
        <x:v>9月4日</x:v>
      </x:c>
      <x:c r="D209" s="24" t="n">
        <x:v>4555</x:v>
      </x:c>
      <x:c r="E209" s="24" t="n">
        <x:v>4618.4</x:v>
      </x:c>
      <x:c r="F209" s="24" t="n">
        <x:v>4532</x:v>
      </x:c>
      <x:c r="G209" s="24" t="n">
        <x:v>4569.2</x:v>
      </x:c>
      <x:c r="H209" s="25" t="n">
        <x:v>-0.001486013986014001</x:v>
      </x:c>
      <x:c r="I209" s="24" t="n">
        <x:f>ROUND(E209-F209,1)</x:f>
        <x:v>86.4</x:v>
      </x:c>
      <x:c r="J209" s="23" t="str">
        <x:v>IC2409</x:v>
      </x:c>
    </x:row>
    <x:row r="210">
      <x:c r="A210" s="23" t="n">
        <x:v>4</x:v>
      </x:c>
      <x:c r="B210" s="23" t="str">
        <x:v>周四</x:v>
      </x:c>
      <x:c r="C210" s="23" t="str">
        <x:v>9月5日</x:v>
      </x:c>
      <x:c r="D210" s="24" t="n">
        <x:v>4580.2</x:v>
      </x:c>
      <x:c r="E210" s="24" t="n">
        <x:v>4628.6</x:v>
      </x:c>
      <x:c r="F210" s="24" t="n">
        <x:v>4569.6</x:v>
      </x:c>
      <x:c r="G210" s="24" t="n">
        <x:v>4592.4</x:v>
      </x:c>
      <x:c r="H210" s="25" t="n">
        <x:v>0.005077475269193776</x:v>
      </x:c>
      <x:c r="I210" s="24" t="n">
        <x:f>ROUND(E210-F210,1)</x:f>
        <x:v>59</x:v>
      </x:c>
      <x:c r="J210" s="23" t="str">
        <x:v>IC2409</x:v>
      </x:c>
    </x:row>
    <x:row r="211">
      <x:c r="A211" s="23" t="n">
        <x:v>5</x:v>
      </x:c>
      <x:c r="B211" s="23" t="str">
        <x:v>周五</x:v>
      </x:c>
      <x:c r="C211" s="23" t="str">
        <x:v>9月6日</x:v>
      </x:c>
      <x:c r="D211" s="24" t="n">
        <x:v>4603.8</x:v>
      </x:c>
      <x:c r="E211" s="24" t="n">
        <x:v>4615.4</x:v>
      </x:c>
      <x:c r="F211" s="24" t="n">
        <x:v>4512.8</x:v>
      </x:c>
      <x:c r="G211" s="24" t="n">
        <x:v>4524.2</x:v>
      </x:c>
      <x:c r="H211" s="25" t="n">
        <x:v>-0.014850622768051491</x:v>
      </x:c>
      <x:c r="I211" s="24" t="n">
        <x:f>ROUND(E211-F211,1)</x:f>
        <x:v>102.6</x:v>
      </x:c>
      <x:c r="J211" s="23" t="str">
        <x:v>IC2409</x:v>
      </x:c>
    </x:row>
    <x:row r="212">
      <x:c r="A212" s="23" t="n">
        <x:v>6</x:v>
      </x:c>
      <x:c r="B212" s="23" t="str">
        <x:v>周一</x:v>
      </x:c>
      <x:c r="C212" s="23" t="str">
        <x:v>9月9日</x:v>
      </x:c>
      <x:c r="D212" s="24" t="n">
        <x:v>4515</x:v>
      </x:c>
      <x:c r="E212" s="24" t="n">
        <x:v>4543</x:v>
      </x:c>
      <x:c r="F212" s="24" t="n">
        <x:v>4475</x:v>
      </x:c>
      <x:c r="G212" s="24" t="n">
        <x:v>4494.6</x:v>
      </x:c>
      <x:c r="H212" s="25" t="n">
        <x:v>-0.00654259316564243</x:v>
      </x:c>
      <x:c r="I212" s="24" t="n">
        <x:f>ROUND(E212-F212,1)</x:f>
        <x:v>68</x:v>
      </x:c>
      <x:c r="J212" s="23" t="str">
        <x:v>IC2409</x:v>
      </x:c>
    </x:row>
    <x:row r="213">
      <x:c r="A213" s="23" t="n">
        <x:v>7</x:v>
      </x:c>
      <x:c r="B213" s="23" t="str">
        <x:v>周二</x:v>
      </x:c>
      <x:c r="C213" s="23" t="str">
        <x:v>9月10日</x:v>
      </x:c>
      <x:c r="D213" s="24" t="n">
        <x:v>4505</x:v>
      </x:c>
      <x:c r="E213" s="24" t="n">
        <x:v>4524.2</x:v>
      </x:c>
      <x:c r="F213" s="24" t="n">
        <x:v>4411.6</x:v>
      </x:c>
      <x:c r="G213" s="24" t="n">
        <x:v>4493</x:v>
      </x:c>
      <x:c r="H213" s="25" t="n">
        <x:v>-0.00035598273483739007</x:v>
      </x:c>
      <x:c r="I213" s="24" t="n">
        <x:f>ROUND(E213-F213,1)</x:f>
        <x:v>112.6</x:v>
      </x:c>
      <x:c r="J213" s="23" t="str">
        <x:v>IC2409</x:v>
      </x:c>
    </x:row>
    <x:row r="214">
      <x:c r="A214" s="23" t="n">
        <x:v>8</x:v>
      </x:c>
      <x:c r="B214" s="23" t="str">
        <x:v>周三</x:v>
      </x:c>
      <x:c r="C214" s="23" t="str">
        <x:v>9月11日</x:v>
      </x:c>
      <x:c r="D214" s="24" t="n">
        <x:v>4485.4</x:v>
      </x:c>
      <x:c r="E214" s="24" t="n">
        <x:v>4525</x:v>
      </x:c>
      <x:c r="F214" s="24" t="n">
        <x:v>4463.2</x:v>
      </x:c>
      <x:c r="G214" s="24" t="n">
        <x:v>4509.2</x:v>
      </x:c>
      <x:c r="H214" s="25" t="n">
        <x:v>0.0036056087246827406</x:v>
      </x:c>
      <x:c r="I214" s="24" t="n">
        <x:f>ROUND(E214-F214,1)</x:f>
        <x:v>61.8</x:v>
      </x:c>
      <x:c r="J214" s="23" t="str">
        <x:v>IC2409</x:v>
      </x:c>
    </x:row>
    <x:row r="215">
      <x:c r="A215" s="23" t="n">
        <x:v>9</x:v>
      </x:c>
      <x:c r="B215" s="23" t="str">
        <x:v>周四</x:v>
      </x:c>
      <x:c r="C215" s="23" t="str">
        <x:v>9月12日</x:v>
      </x:c>
      <x:c r="D215" s="24" t="n">
        <x:v>4526</x:v>
      </x:c>
      <x:c r="E215" s="24" t="n">
        <x:v>4573.8</x:v>
      </x:c>
      <x:c r="F215" s="24" t="n">
        <x:v>4485.4</x:v>
      </x:c>
      <x:c r="G215" s="24" t="n">
        <x:v>4496.4</x:v>
      </x:c>
      <x:c r="H215" s="25" t="n">
        <x:v>-0.002838641000621034</x:v>
      </x:c>
      <x:c r="I215" s="24" t="n">
        <x:f>ROUND(E215-F215,1)</x:f>
        <x:v>88.4</x:v>
      </x:c>
      <x:c r="J215" s="23" t="str">
        <x:v>IC2409</x:v>
      </x:c>
    </x:row>
    <x:row r="216">
      <x:c r="A216" s="23" t="n">
        <x:v>10</x:v>
      </x:c>
      <x:c r="B216" s="23" t="str">
        <x:v>周五</x:v>
      </x:c>
      <x:c r="C216" s="23" t="str">
        <x:v>9月13日</x:v>
      </x:c>
      <x:c r="D216" s="24" t="n">
        <x:v>4505.2</x:v>
      </x:c>
      <x:c r="E216" s="24" t="n">
        <x:v>4510</x:v>
      </x:c>
      <x:c r="F216" s="24" t="n">
        <x:v>4444</x:v>
      </x:c>
      <x:c r="G216" s="24" t="n">
        <x:v>4444.8</x:v>
      </x:c>
      <x:c r="H216" s="25" t="n">
        <x:v>-0.011475847344542212</x:v>
      </x:c>
      <x:c r="I216" s="24" t="n">
        <x:f>ROUND(E216-F216,1)</x:f>
        <x:v>66</x:v>
      </x:c>
      <x:c r="J216" s="23" t="str">
        <x:v>IC2409</x:v>
      </x:c>
    </x:row>
    <x:row r="217">
      <x:c r="A217" s="23" t="n">
        <x:v>11</x:v>
      </x:c>
      <x:c r="B217" s="23" t="str">
        <x:v>周三</x:v>
      </x:c>
      <x:c r="C217" s="23" t="str">
        <x:v>9月18日</x:v>
      </x:c>
      <x:c r="D217" s="24" t="n">
        <x:v>4452</x:v>
      </x:c>
      <x:c r="E217" s="24" t="n">
        <x:v>4476.6</x:v>
      </x:c>
      <x:c r="F217" s="24" t="n">
        <x:v>4385</x:v>
      </x:c>
      <x:c r="G217" s="24" t="n">
        <x:v>4460</x:v>
      </x:c>
      <x:c r="H217" s="25" t="n">
        <x:v>0.00341972642188626</x:v>
      </x:c>
      <x:c r="I217" s="24" t="n">
        <x:f>ROUND(E217-F217,1)</x:f>
        <x:v>91.6</x:v>
      </x:c>
      <x:c r="J217" s="23" t="str">
        <x:v>IC2409</x:v>
      </x:c>
    </x:row>
    <x:row r="218">
      <x:c r="A218" s="23" t="n">
        <x:v>12</x:v>
      </x:c>
      <x:c r="B218" s="23" t="str">
        <x:v>周四</x:v>
      </x:c>
      <x:c r="C218" s="23" t="str">
        <x:v>9月19日</x:v>
      </x:c>
      <x:c r="D218" s="24" t="n">
        <x:v>4474.8</x:v>
      </x:c>
      <x:c r="E218" s="24" t="n">
        <x:v>4577.6</x:v>
      </x:c>
      <x:c r="F218" s="24" t="n">
        <x:v>4426</x:v>
      </x:c>
      <x:c r="G218" s="24" t="n">
        <x:v>4530</x:v>
      </x:c>
      <x:c r="H218" s="25" t="n">
        <x:v>0.015695067264573925</x:v>
      </x:c>
      <x:c r="I218" s="33" t="n">
        <x:f>ROUND(E218-F218,1)</x:f>
        <x:v>151.6</x:v>
      </x:c>
      <x:c r="J218" s="23" t="str">
        <x:v>IC2409</x:v>
      </x:c>
    </x:row>
    <x:row r="219">
      <x:c r="A219" s="29" t="n">
        <x:v>13</x:v>
      </x:c>
      <x:c r="B219" s="29" t="str">
        <x:v>周五</x:v>
      </x:c>
      <x:c r="C219" s="29" t="str">
        <x:v>9月20日</x:v>
      </x:c>
      <x:c r="D219" s="30" t="n">
        <x:v>4530</x:v>
      </x:c>
      <x:c r="E219" s="30" t="n">
        <x:v>4530</x:v>
      </x:c>
      <x:c r="F219" s="30" t="n">
        <x:v>4473</x:v>
      </x:c>
      <x:c r="G219" s="30" t="n">
        <x:v>4483.8</x:v>
      </x:c>
      <x:c r="H219" s="31" t="n">
        <x:v>-0.010198675496688736</x:v>
      </x:c>
      <x:c r="I219" s="30" t="n">
        <x:f>ROUND(E219-F219,1)</x:f>
        <x:v>57</x:v>
      </x:c>
      <x:c r="J219" s="29" t="str">
        <x:v>IC2409</x:v>
      </x:c>
    </x:row>
    <x:row r="220">
      <x:c r="A220" s="23" t="n">
        <x:v>14</x:v>
      </x:c>
      <x:c r="B220" s="23" t="str">
        <x:v>周一</x:v>
      </x:c>
      <x:c r="C220" s="23" t="str">
        <x:v>9月23日</x:v>
      </x:c>
      <x:c r="D220" s="24" t="n">
        <x:v>4438.6</x:v>
      </x:c>
      <x:c r="E220" s="24" t="n">
        <x:v>4499</x:v>
      </x:c>
      <x:c r="F220" s="24" t="n">
        <x:v>4415</x:v>
      </x:c>
      <x:c r="G220" s="24" t="n">
        <x:v>4443.4</x:v>
      </x:c>
      <x:c r="H220" s="25" t="n">
        <x:v>-0.001204335608189555</x:v>
      </x:c>
      <x:c r="I220" s="24" t="n">
        <x:f>ROUND(E220-F220,1)</x:f>
        <x:v>84</x:v>
      </x:c>
      <x:c r="J220" s="23" t="str">
        <x:v>IC2412</x:v>
      </x:c>
    </x:row>
    <x:row r="221">
      <x:c r="A221" s="23" t="n">
        <x:v>15</x:v>
      </x:c>
      <x:c r="B221" s="23" t="str">
        <x:v>周二</x:v>
      </x:c>
      <x:c r="C221" s="23" t="str">
        <x:v>9月24日</x:v>
      </x:c>
      <x:c r="D221" s="24" t="n">
        <x:v>4502</x:v>
      </x:c>
      <x:c r="E221" s="24" t="n">
        <x:v>4673</x:v>
      </x:c>
      <x:c r="F221" s="24" t="n">
        <x:v>4458.4</x:v>
      </x:c>
      <x:c r="G221" s="24" t="n">
        <x:v>4670.6</x:v>
      </x:c>
      <x:c r="H221" s="25" t="n">
        <x:v>0.05073240443015381</x:v>
      </x:c>
      <x:c r="I221" s="33" t="n">
        <x:f>ROUND(E221-F221,1)</x:f>
        <x:v>214.6</x:v>
      </x:c>
      <x:c r="J221" s="23" t="str">
        <x:v>IC2412</x:v>
      </x:c>
    </x:row>
    <x:row r="222">
      <x:c r="A222" s="23" t="n">
        <x:v>16</x:v>
      </x:c>
      <x:c r="B222" s="23" t="str">
        <x:v>周三</x:v>
      </x:c>
      <x:c r="C222" s="23" t="str">
        <x:v>9月25日</x:v>
      </x:c>
      <x:c r="D222" s="24" t="n">
        <x:v>4735</x:v>
      </x:c>
      <x:c r="E222" s="24" t="n">
        <x:v>4818.8</x:v>
      </x:c>
      <x:c r="F222" s="24" t="n">
        <x:v>4686.8</x:v>
      </x:c>
      <x:c r="G222" s="24" t="n">
        <x:v>4699.4</x:v>
      </x:c>
      <x:c r="H222" s="25" t="n">
        <x:v>0.005355321319279183</x:v>
      </x:c>
      <x:c r="I222" s="24" t="n">
        <x:f>ROUND(E222-F222,1)</x:f>
        <x:v>132</x:v>
      </x:c>
      <x:c r="J222" s="23" t="str">
        <x:v>IC2412</x:v>
      </x:c>
    </x:row>
    <x:row r="223">
      <x:c r="A223" s="23" t="n">
        <x:v>17</x:v>
      </x:c>
      <x:c r="B223" s="23" t="str">
        <x:v>周四</x:v>
      </x:c>
      <x:c r="C223" s="23" t="str">
        <x:v>9月26日</x:v>
      </x:c>
      <x:c r="D223" s="24" t="n">
        <x:v>4698.4</x:v>
      </x:c>
      <x:c r="E223" s="24" t="n">
        <x:v>4977.8</x:v>
      </x:c>
      <x:c r="F223" s="24" t="n">
        <x:v>4690.6</x:v>
      </x:c>
      <x:c r="G223" s="24" t="n">
        <x:v>4970.6</x:v>
      </x:c>
      <x:c r="H223" s="25" t="n">
        <x:v>0.05588906738817956</x:v>
      </x:c>
      <x:c r="I223" s="33" t="n">
        <x:f>ROUND(E223-F223,1)</x:f>
        <x:v>287.2</x:v>
      </x:c>
      <x:c r="J223" s="23" t="str">
        <x:v>IC2412</x:v>
      </x:c>
    </x:row>
    <x:row r="224">
      <x:c r="A224" s="23" t="n">
        <x:v>18</x:v>
      </x:c>
      <x:c r="B224" s="23" t="str">
        <x:v>周五</x:v>
      </x:c>
      <x:c r="C224" s="23" t="str">
        <x:v>9月27日</x:v>
      </x:c>
      <x:c r="D224" s="24" t="n">
        <x:v>5065</x:v>
      </x:c>
      <x:c r="E224" s="24" t="n">
        <x:v>5401.4</x:v>
      </x:c>
      <x:c r="F224" s="24" t="n">
        <x:v>5003</x:v>
      </x:c>
      <x:c r="G224" s="24" t="n">
        <x:v>5401.4</x:v>
      </x:c>
      <x:c r="H224" s="25" t="n">
        <x:v>0.08708360025624606</x:v>
      </x:c>
      <x:c r="I224" s="33" t="n">
        <x:f>ROUND(E224-F224,1)</x:f>
        <x:v>398.4</x:v>
      </x:c>
      <x:c r="J224" s="23" t="str">
        <x:v>IC2412</x:v>
      </x:c>
    </x:row>
    <x:row r="225">
      <x:c r="A225" s="23" t="n">
        <x:v>19</x:v>
      </x:c>
      <x:c r="B225" s="23" t="str">
        <x:v>周一</x:v>
      </x:c>
      <x:c r="C225" s="23" t="str">
        <x:v>9月30日</x:v>
      </x:c>
      <x:c r="D225" s="24" t="n">
        <x:v>5658.2</x:v>
      </x:c>
      <x:c r="E225" s="24" t="n">
        <x:v>5889</x:v>
      </x:c>
      <x:c r="F225" s="24" t="n">
        <x:v>5481</x:v>
      </x:c>
      <x:c r="G225" s="24" t="n">
        <x:v>5889</x:v>
      </x:c>
      <x:c r="H225" s="25" t="n">
        <x:v>0.08703178520128185</x:v>
      </x:c>
      <x:c r="I225" s="33" t="n">
        <x:f>ROUND(E225-F225,1)</x:f>
        <x:v>408</x:v>
      </x:c>
      <x:c r="J225" s="23" t="str">
        <x:v>IC2412</x:v>
      </x:c>
    </x:row>
    <x:row r="226">
      <x:c r="A226" s="36" t="str">
        <x:v>合计</x:v>
      </x:c>
      <x:c r="B226" s="35" t="n">
        <x:v>19</x:v>
      </x:c>
      <x:c r="C226" s="35"/>
      <x:c r="D226" s="35"/>
      <x:c r="E226" s="35"/>
      <x:c r="F226" s="35"/>
      <x:c r="G226" s="35"/>
      <x:c r="H226" s="35"/>
      <x:c r="I226" s="37" t="n">
        <x:f>ROUND(SUM(I207:I225),1)</x:f>
        <x:v>2649</x:v>
      </x:c>
      <x:c r="J226" s="35"/>
    </x:row>
    <x:row r="227">
      <x:c r="A227" s="36" t="str">
        <x:v>均值</x:v>
      </x:c>
      <x:c r="B227" s="35"/>
      <x:c r="C227" s="35"/>
      <x:c r="D227" s="35"/>
      <x:c r="E227" s="35"/>
      <x:c r="F227" s="35"/>
      <x:c r="G227" s="35"/>
      <x:c r="H227" s="35"/>
      <x:c r="I227" s="39" t="n">
        <x:f>ROUND(IFERROR(AVERAGE(I207:I225),0),1)</x:f>
        <x:v>139.4</x:v>
      </x:c>
      <x:c r="J227" s="35"/>
    </x:row>
    <x:row r="229">
      <x:c r="A229" s="17" t="str">
        <x:v>10月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</x:row>
    <x:row r="230">
      <x:c r="A230" s="20" t="str">
        <x:v>序号</x:v>
      </x:c>
      <x:c r="B230" s="20" t="str">
        <x:v>星期</x:v>
      </x:c>
      <x:c r="C230" s="20" t="str">
        <x:v>日期</x:v>
      </x:c>
      <x:c r="D230" s="20" t="str">
        <x:v>开盘</x:v>
      </x:c>
      <x:c r="E230" s="20" t="str">
        <x:v>高点</x:v>
      </x:c>
      <x:c r="F230" s="20" t="str">
        <x:v>低点</x:v>
      </x:c>
      <x:c r="G230" s="20" t="str">
        <x:v>收盘</x:v>
      </x:c>
      <x:c r="H230" s="20" t="str">
        <x:v>涨幅</x:v>
      </x:c>
      <x:c r="I230" s="20" t="str">
        <x:v>振幅</x:v>
      </x:c>
      <x:c r="J230" s="20" t="str">
        <x:v>标的</x:v>
      </x:c>
    </x:row>
    <x:row r="231">
      <x:c r="A231" s="23" t="n">
        <x:v>1</x:v>
      </x:c>
      <x:c r="B231" s="23" t="str">
        <x:v>周二</x:v>
      </x:c>
      <x:c r="C231" s="23" t="str">
        <x:v>10月8日</x:v>
      </x:c>
      <x:c r="D231" s="24" t="n">
        <x:v>6476.2</x:v>
      </x:c>
      <x:c r="E231" s="24" t="n">
        <x:v>6476.2</x:v>
      </x:c>
      <x:c r="F231" s="24" t="n">
        <x:v>5866</x:v>
      </x:c>
      <x:c r="G231" s="24" t="n">
        <x:v>6060</x:v>
      </x:c>
      <x:c r="H231" s="25" t="n">
        <x:v>0.033102934200718304</x:v>
      </x:c>
      <x:c r="I231" s="33" t="n">
        <x:f>ROUND(E231-F231,1)</x:f>
        <x:v>610.2</x:v>
      </x:c>
      <x:c r="J231" s="23" t="str">
        <x:v>IC2412</x:v>
      </x:c>
    </x:row>
    <x:row r="232">
      <x:c r="A232" s="23" t="n">
        <x:v>2</x:v>
      </x:c>
      <x:c r="B232" s="23" t="str">
        <x:v>周三</x:v>
      </x:c>
      <x:c r="C232" s="23" t="str">
        <x:v>10月9日</x:v>
      </x:c>
      <x:c r="D232" s="24" t="n">
        <x:v>5960.2</x:v>
      </x:c>
      <x:c r="E232" s="24" t="n">
        <x:v>6090</x:v>
      </x:c>
      <x:c r="F232" s="24" t="n">
        <x:v>5668</x:v>
      </x:c>
      <x:c r="G232" s="24" t="n">
        <x:v>5772</x:v>
      </x:c>
      <x:c r="H232" s="25" t="n">
        <x:v>-0.05040831720835648</x:v>
      </x:c>
      <x:c r="I232" s="33" t="n">
        <x:f>ROUND(E232-F232,1)</x:f>
        <x:v>422</x:v>
      </x:c>
      <x:c r="J232" s="23" t="str">
        <x:v>IC2412</x:v>
      </x:c>
    </x:row>
    <x:row r="233">
      <x:c r="A233" s="23" t="n">
        <x:v>3</x:v>
      </x:c>
      <x:c r="B233" s="23" t="str">
        <x:v>周四</x:v>
      </x:c>
      <x:c r="C233" s="23" t="str">
        <x:v>10月10日</x:v>
      </x:c>
      <x:c r="D233" s="24" t="n">
        <x:v>5843.8</x:v>
      </x:c>
      <x:c r="E233" s="24" t="n">
        <x:v>5908.8</x:v>
      </x:c>
      <x:c r="F233" s="24" t="n">
        <x:v>5631.4</x:v>
      </x:c>
      <x:c r="G233" s="24" t="n">
        <x:v>5700.2</x:v>
      </x:c>
      <x:c r="H233" s="25" t="n">
        <x:v>-0.013504179042619247</x:v>
      </x:c>
      <x:c r="I233" s="33" t="n">
        <x:f>ROUND(E233-F233,1)</x:f>
        <x:v>277.4</x:v>
      </x:c>
      <x:c r="J233" s="23" t="str">
        <x:v>IC2412</x:v>
      </x:c>
    </x:row>
    <x:row r="234">
      <x:c r="A234" s="23" t="n">
        <x:v>4</x:v>
      </x:c>
      <x:c r="B234" s="23" t="str">
        <x:v>周五</x:v>
      </x:c>
      <x:c r="C234" s="23" t="str">
        <x:v>10月11日</x:v>
      </x:c>
      <x:c r="D234" s="24" t="n">
        <x:v>5680</x:v>
      </x:c>
      <x:c r="E234" s="24" t="n">
        <x:v>5680</x:v>
      </x:c>
      <x:c r="F234" s="24" t="n">
        <x:v>5377.4</x:v>
      </x:c>
      <x:c r="G234" s="24" t="n">
        <x:v>5459.6</x:v>
      </x:c>
      <x:c r="H234" s="25" t="n">
        <x:v>-0.03984175331722861</x:v>
      </x:c>
      <x:c r="I234" s="33" t="n">
        <x:f>ROUND(E234-F234,1)</x:f>
        <x:v>302.6</x:v>
      </x:c>
      <x:c r="J234" s="23" t="str">
        <x:v>IC2412</x:v>
      </x:c>
    </x:row>
    <x:row r="235">
      <x:c r="A235" s="23" t="n">
        <x:v>5</x:v>
      </x:c>
      <x:c r="B235" s="23" t="str">
        <x:v>周一</x:v>
      </x:c>
      <x:c r="C235" s="23" t="str">
        <x:v>10月14日</x:v>
      </x:c>
      <x:c r="D235" s="24" t="n">
        <x:v>5488.2</x:v>
      </x:c>
      <x:c r="E235" s="24" t="n">
        <x:v>5615.6</x:v>
      </x:c>
      <x:c r="F235" s="24" t="n">
        <x:v>5380.8</x:v>
      </x:c>
      <x:c r="G235" s="24" t="n">
        <x:v>5576.4</x:v>
      </x:c>
      <x:c r="H235" s="25" t="n">
        <x:v>0.02195077484047392</x:v>
      </x:c>
      <x:c r="I235" s="33" t="n">
        <x:f>ROUND(E235-F235,1)</x:f>
        <x:v>234.8</x:v>
      </x:c>
      <x:c r="J235" s="23" t="str">
        <x:v>IC2412</x:v>
      </x:c>
    </x:row>
    <x:row r="236">
      <x:c r="A236" s="23" t="n">
        <x:v>6</x:v>
      </x:c>
      <x:c r="B236" s="23" t="str">
        <x:v>周二</x:v>
      </x:c>
      <x:c r="C236" s="23" t="str">
        <x:v>10月15日</x:v>
      </x:c>
      <x:c r="D236" s="24" t="n">
        <x:v>5550.6</x:v>
      </x:c>
      <x:c r="E236" s="24" t="n">
        <x:v>5644</x:v>
      </x:c>
      <x:c r="F236" s="24" t="n">
        <x:v>5422</x:v>
      </x:c>
      <x:c r="G236" s="24" t="n">
        <x:v>5424.6</x:v>
      </x:c>
      <x:c r="H236" s="25" t="n">
        <x:v>-0.026581510686124132</x:v>
      </x:c>
      <x:c r="I236" s="33" t="n">
        <x:f>ROUND(E236-F236,1)</x:f>
        <x:v>222</x:v>
      </x:c>
      <x:c r="J236" s="23" t="str">
        <x:v>IC2412</x:v>
      </x:c>
    </x:row>
    <x:row r="237">
      <x:c r="A237" s="23" t="n">
        <x:v>7</x:v>
      </x:c>
      <x:c r="B237" s="23" t="str">
        <x:v>周三</x:v>
      </x:c>
      <x:c r="C237" s="23" t="str">
        <x:v>10月16日</x:v>
      </x:c>
      <x:c r="D237" s="24" t="n">
        <x:v>5380</x:v>
      </x:c>
      <x:c r="E237" s="24" t="n">
        <x:v>5543</x:v>
      </x:c>
      <x:c r="F237" s="24" t="n">
        <x:v>5379.4</x:v>
      </x:c>
      <x:c r="G237" s="24" t="n">
        <x:v>5442.4</x:v>
      </x:c>
      <x:c r="H237" s="25" t="n">
        <x:v>0.0013562055567775122</x:v>
      </x:c>
      <x:c r="I237" s="33" t="n">
        <x:f>ROUND(E237-F237,1)</x:f>
        <x:v>163.6</x:v>
      </x:c>
      <x:c r="J237" s="23" t="str">
        <x:v>IC2412</x:v>
      </x:c>
    </x:row>
    <x:row r="238">
      <x:c r="A238" s="23" t="n">
        <x:v>8</x:v>
      </x:c>
      <x:c r="B238" s="23" t="str">
        <x:v>周四</x:v>
      </x:c>
      <x:c r="C238" s="23" t="str">
        <x:v>10月17日</x:v>
      </x:c>
      <x:c r="D238" s="24" t="n">
        <x:v>5485</x:v>
      </x:c>
      <x:c r="E238" s="24" t="n">
        <x:v>5537.6</x:v>
      </x:c>
      <x:c r="F238" s="24" t="n">
        <x:v>5388</x:v>
      </x:c>
      <x:c r="G238" s="24" t="n">
        <x:v>5392.4</x:v>
      </x:c>
      <x:c r="H238" s="25" t="n">
        <x:v>-0.010395695303634822</x:v>
      </x:c>
      <x:c r="I238" s="24" t="n">
        <x:f>ROUND(E238-F238,1)</x:f>
        <x:v>149.6</x:v>
      </x:c>
      <x:c r="J238" s="23" t="str">
        <x:v>IC2412</x:v>
      </x:c>
    </x:row>
    <x:row r="239">
      <x:c r="A239" s="29" t="n">
        <x:v>9</x:v>
      </x:c>
      <x:c r="B239" s="29" t="str">
        <x:v>周五</x:v>
      </x:c>
      <x:c r="C239" s="29" t="str">
        <x:v>10月18日</x:v>
      </x:c>
      <x:c r="D239" s="30" t="n">
        <x:v>5405.4</x:v>
      </x:c>
      <x:c r="E239" s="30" t="n">
        <x:v>5871</x:v>
      </x:c>
      <x:c r="F239" s="30" t="n">
        <x:v>5391.8</x:v>
      </x:c>
      <x:c r="G239" s="30" t="n">
        <x:v>5606.2</x:v>
      </x:c>
      <x:c r="H239" s="31" t="n">
        <x:v>0.04420196042167568</x:v>
      </x:c>
      <x:c r="I239" s="33" t="n">
        <x:f>ROUND(E239-F239,1)</x:f>
        <x:v>479.2</x:v>
      </x:c>
      <x:c r="J239" s="29" t="str">
        <x:v>IC2412</x:v>
      </x:c>
    </x:row>
    <x:row r="240">
      <x:c r="A240" s="23" t="n">
        <x:v>10</x:v>
      </x:c>
      <x:c r="B240" s="23" t="str">
        <x:v>周一</x:v>
      </x:c>
      <x:c r="C240" s="23" t="str">
        <x:v>10月21日</x:v>
      </x:c>
      <x:c r="D240" s="24" t="n">
        <x:v>5656</x:v>
      </x:c>
      <x:c r="E240" s="24" t="n">
        <x:v>5793.2</x:v>
      </x:c>
      <x:c r="F240" s="24" t="n">
        <x:v>5624.2</x:v>
      </x:c>
      <x:c r="G240" s="24" t="n">
        <x:v>5682.4</x:v>
      </x:c>
      <x:c r="H240" s="25" t="n">
        <x:v>0.006447042153737037</x:v>
      </x:c>
      <x:c r="I240" s="33" t="n">
        <x:f>ROUND(E240-F240,1)</x:f>
        <x:v>169</x:v>
      </x:c>
      <x:c r="J240" s="23" t="str">
        <x:v>IC2412</x:v>
      </x:c>
    </x:row>
    <x:row r="241">
      <x:c r="A241" s="23" t="n">
        <x:v>11</x:v>
      </x:c>
      <x:c r="B241" s="23" t="str">
        <x:v>周二</x:v>
      </x:c>
      <x:c r="C241" s="23" t="str">
        <x:v>10月22日</x:v>
      </x:c>
      <x:c r="D241" s="24" t="n">
        <x:v>5676</x:v>
      </x:c>
      <x:c r="E241" s="24" t="n">
        <x:v>5762</x:v>
      </x:c>
      <x:c r="F241" s="24" t="n">
        <x:v>5651</x:v>
      </x:c>
      <x:c r="G241" s="24" t="n">
        <x:v>5741.4</x:v>
      </x:c>
      <x:c r="H241" s="25" t="n">
        <x:v>0.011896381810502676</x:v>
      </x:c>
      <x:c r="I241" s="24" t="n">
        <x:f>ROUND(E241-F241,1)</x:f>
        <x:v>111</x:v>
      </x:c>
      <x:c r="J241" s="23" t="str">
        <x:v>IC2412</x:v>
      </x:c>
    </x:row>
    <x:row r="242">
      <x:c r="A242" s="23" t="n">
        <x:v>12</x:v>
      </x:c>
      <x:c r="B242" s="23" t="str">
        <x:v>周三</x:v>
      </x:c>
      <x:c r="C242" s="23" t="str">
        <x:v>10月23日</x:v>
      </x:c>
      <x:c r="D242" s="24" t="n">
        <x:v>5732.8</x:v>
      </x:c>
      <x:c r="E242" s="24" t="n">
        <x:v>5850</x:v>
      </x:c>
      <x:c r="F242" s="24" t="n">
        <x:v>5712.6</x:v>
      </x:c>
      <x:c r="G242" s="24" t="n">
        <x:v>5755.8</x:v>
      </x:c>
      <x:c r="H242" s="25" t="n">
        <x:v>0.0010086956521739854</x:v>
      </x:c>
      <x:c r="I242" s="24" t="n">
        <x:f>ROUND(E242-F242,1)</x:f>
        <x:v>137.4</x:v>
      </x:c>
      <x:c r="J242" s="23" t="str">
        <x:v>IC2412</x:v>
      </x:c>
    </x:row>
    <x:row r="243">
      <x:c r="A243" s="23" t="n">
        <x:v>13</x:v>
      </x:c>
      <x:c r="B243" s="23" t="str">
        <x:v>周四</x:v>
      </x:c>
      <x:c r="C243" s="23" t="str">
        <x:v>10月24日</x:v>
      </x:c>
      <x:c r="D243" s="24" t="n">
        <x:v>5725.6</x:v>
      </x:c>
      <x:c r="E243" s="24" t="n">
        <x:v>5749.6</x:v>
      </x:c>
      <x:c r="F243" s="24" t="n">
        <x:v>5678</x:v>
      </x:c>
      <x:c r="G243" s="24" t="n">
        <x:v>5710</x:v>
      </x:c>
      <x:c r="H243" s="25" t="n">
        <x:v>-0.007957191007331721</x:v>
      </x:c>
      <x:c r="I243" s="24" t="n">
        <x:f>ROUND(E243-F243,1)</x:f>
        <x:v>71.6</x:v>
      </x:c>
      <x:c r="J243" s="23" t="str">
        <x:v>IC2412</x:v>
      </x:c>
    </x:row>
    <x:row r="244">
      <x:c r="A244" s="23" t="n">
        <x:v>14</x:v>
      </x:c>
      <x:c r="B244" s="23" t="str">
        <x:v>周五</x:v>
      </x:c>
      <x:c r="C244" s="23" t="str">
        <x:v>10月25日</x:v>
      </x:c>
      <x:c r="D244" s="24" t="n">
        <x:v>5724.8</x:v>
      </x:c>
      <x:c r="E244" s="24" t="n">
        <x:v>5839.2</x:v>
      </x:c>
      <x:c r="F244" s="24" t="n">
        <x:v>5712.4</x:v>
      </x:c>
      <x:c r="G244" s="24" t="n">
        <x:v>5797</x:v>
      </x:c>
      <x:c r="H244" s="25" t="n">
        <x:v>0.015236427320490353</x:v>
      </x:c>
      <x:c r="I244" s="24" t="n">
        <x:f>ROUND(E244-F244,1)</x:f>
        <x:v>126.8</x:v>
      </x:c>
      <x:c r="J244" s="23" t="str">
        <x:v>IC2412</x:v>
      </x:c>
    </x:row>
    <x:row r="245">
      <x:c r="A245" s="23" t="n">
        <x:v>15</x:v>
      </x:c>
      <x:c r="B245" s="23" t="str">
        <x:v>周一</x:v>
      </x:c>
      <x:c r="C245" s="23" t="str">
        <x:v>10月28日</x:v>
      </x:c>
      <x:c r="D245" s="24" t="n">
        <x:v>5806</x:v>
      </x:c>
      <x:c r="E245" s="24" t="n">
        <x:v>5867</x:v>
      </x:c>
      <x:c r="F245" s="24" t="n">
        <x:v>5763</x:v>
      </x:c>
      <x:c r="G245" s="24" t="n">
        <x:v>5857.8</x:v>
      </x:c>
      <x:c r="H245" s="25" t="n">
        <x:v>0.010488183543212015</x:v>
      </x:c>
      <x:c r="I245" s="24" t="n">
        <x:f>ROUND(E245-F245,1)</x:f>
        <x:v>104</x:v>
      </x:c>
      <x:c r="J245" s="23" t="str">
        <x:v>IC2412</x:v>
      </x:c>
    </x:row>
    <x:row r="246">
      <x:c r="A246" s="23" t="n">
        <x:v>16</x:v>
      </x:c>
      <x:c r="B246" s="23" t="str">
        <x:v>周二</x:v>
      </x:c>
      <x:c r="C246" s="23" t="str">
        <x:v>10月29日</x:v>
      </x:c>
      <x:c r="D246" s="24" t="n">
        <x:v>5882</x:v>
      </x:c>
      <x:c r="E246" s="24" t="n">
        <x:v>5900</x:v>
      </x:c>
      <x:c r="F246" s="24" t="n">
        <x:v>5777</x:v>
      </x:c>
      <x:c r="G246" s="24" t="n">
        <x:v>5800.8</x:v>
      </x:c>
      <x:c r="H246" s="25" t="n">
        <x:v>-0.009730615589470415</x:v>
      </x:c>
      <x:c r="I246" s="24" t="n">
        <x:f>ROUND(E246-F246,1)</x:f>
        <x:v>123</x:v>
      </x:c>
      <x:c r="J246" s="23" t="str">
        <x:v>IC2412</x:v>
      </x:c>
    </x:row>
    <x:row r="247">
      <x:c r="A247" s="23" t="n">
        <x:v>17</x:v>
      </x:c>
      <x:c r="B247" s="23" t="str">
        <x:v>周三</x:v>
      </x:c>
      <x:c r="C247" s="23" t="str">
        <x:v>10月30日</x:v>
      </x:c>
      <x:c r="D247" s="24" t="n">
        <x:v>5791</x:v>
      </x:c>
      <x:c r="E247" s="24" t="n">
        <x:v>5858.6</x:v>
      </x:c>
      <x:c r="F247" s="24" t="n">
        <x:v>5746.8</x:v>
      </x:c>
      <x:c r="G247" s="24" t="n">
        <x:v>5814.4</x:v>
      </x:c>
      <x:c r="H247" s="25" t="n">
        <x:v>0.002344504206316378</x:v>
      </x:c>
      <x:c r="I247" s="24" t="n">
        <x:f>ROUND(E247-F247,1)</x:f>
        <x:v>111.8</x:v>
      </x:c>
      <x:c r="J247" s="23" t="str">
        <x:v>IC2412</x:v>
      </x:c>
    </x:row>
    <x:row r="248">
      <x:c r="A248" s="23" t="n">
        <x:v>18</x:v>
      </x:c>
      <x:c r="B248" s="23" t="str">
        <x:v>周四</x:v>
      </x:c>
      <x:c r="C248" s="23" t="str">
        <x:v>10月31日</x:v>
      </x:c>
      <x:c r="D248" s="24" t="n">
        <x:v>5821</x:v>
      </x:c>
      <x:c r="E248" s="24" t="n">
        <x:v>5920.8</x:v>
      </x:c>
      <x:c r="F248" s="24" t="n">
        <x:v>5783.6</x:v>
      </x:c>
      <x:c r="G248" s="24" t="n">
        <x:v>5859.6</x:v>
      </x:c>
      <x:c r="H248" s="25" t="n">
        <x:v>0.007773802971931865</x:v>
      </x:c>
      <x:c r="I248" s="24" t="n">
        <x:f>ROUND(E248-F248,1)</x:f>
        <x:v>137.2</x:v>
      </x:c>
      <x:c r="J248" s="23" t="str">
        <x:v>IC2412</x:v>
      </x:c>
    </x:row>
    <x:row r="249">
      <x:c r="A249" s="36" t="str">
        <x:v>合计</x:v>
      </x:c>
      <x:c r="B249" s="35" t="n">
        <x:v>18</x:v>
      </x:c>
      <x:c r="C249" s="35"/>
      <x:c r="D249" s="35"/>
      <x:c r="E249" s="35"/>
      <x:c r="F249" s="35"/>
      <x:c r="G249" s="35"/>
      <x:c r="H249" s="35"/>
      <x:c r="I249" s="37" t="n">
        <x:f>ROUND(SUM(I231:I248),1)</x:f>
        <x:v>3953.2</x:v>
      </x:c>
      <x:c r="J249" s="35"/>
    </x:row>
    <x:row r="250">
      <x:c r="A250" s="36" t="str">
        <x:v>均值</x:v>
      </x:c>
      <x:c r="B250" s="35"/>
      <x:c r="C250" s="35"/>
      <x:c r="D250" s="35"/>
      <x:c r="E250" s="35"/>
      <x:c r="F250" s="35"/>
      <x:c r="G250" s="35"/>
      <x:c r="H250" s="35"/>
      <x:c r="I250" s="39" t="n">
        <x:f>ROUND(IFERROR(AVERAGE(I231:I248),0),1)</x:f>
        <x:v>219.6</x:v>
      </x:c>
      <x:c r="J250" s="35"/>
    </x:row>
    <x:row r="252">
      <x:c r="A252" s="17" t="str">
        <x:v>11月</x:v>
      </x:c>
      <x:c r="B252" s="17"/>
      <x:c r="C252" s="17"/>
      <x:c r="D252" s="17"/>
      <x:c r="E252" s="17"/>
      <x:c r="F252" s="17"/>
      <x:c r="G252" s="17"/>
      <x:c r="H252" s="17"/>
      <x:c r="I252" s="17"/>
      <x:c r="J252" s="17"/>
    </x:row>
    <x:row r="253">
      <x:c r="A253" s="20" t="str">
        <x:v>序号</x:v>
      </x:c>
      <x:c r="B253" s="20" t="str">
        <x:v>星期</x:v>
      </x:c>
      <x:c r="C253" s="20" t="str">
        <x:v>日期</x:v>
      </x:c>
      <x:c r="D253" s="20" t="str">
        <x:v>开盘</x:v>
      </x:c>
      <x:c r="E253" s="20" t="str">
        <x:v>高点</x:v>
      </x:c>
      <x:c r="F253" s="20" t="str">
        <x:v>低点</x:v>
      </x:c>
      <x:c r="G253" s="20" t="str">
        <x:v>收盘</x:v>
      </x:c>
      <x:c r="H253" s="20" t="str">
        <x:v>涨幅</x:v>
      </x:c>
      <x:c r="I253" s="20" t="str">
        <x:v>振幅</x:v>
      </x:c>
      <x:c r="J253" s="20" t="str">
        <x:v>标的</x:v>
      </x:c>
    </x:row>
    <x:row r="254">
      <x:c r="A254" s="23" t="n">
        <x:v>1</x:v>
      </x:c>
      <x:c r="B254" s="23" t="str">
        <x:v>周五</x:v>
      </x:c>
      <x:c r="C254" s="23" t="str">
        <x:v>11月1日</x:v>
      </x:c>
      <x:c r="D254" s="24" t="n">
        <x:v>5851</x:v>
      </x:c>
      <x:c r="E254" s="24" t="n">
        <x:v>5899</x:v>
      </x:c>
      <x:c r="F254" s="24" t="n">
        <x:v>5773.8</x:v>
      </x:c>
      <x:c r="G254" s="24" t="n">
        <x:v>5821</x:v>
      </x:c>
      <x:c r="H254" s="25" t="n">
        <x:v>-0.0065874803740870735</x:v>
      </x:c>
      <x:c r="I254" s="24" t="n">
        <x:f>ROUND(E254-F254,1)</x:f>
        <x:v>125.2</x:v>
      </x:c>
      <x:c r="J254" s="23" t="str">
        <x:v>IC2412</x:v>
      </x:c>
    </x:row>
    <x:row r="255">
      <x:c r="A255" s="23" t="n">
        <x:v>2</x:v>
      </x:c>
      <x:c r="B255" s="23" t="str">
        <x:v>周一</x:v>
      </x:c>
      <x:c r="C255" s="23" t="str">
        <x:v>11月4日</x:v>
      </x:c>
      <x:c r="D255" s="24" t="n">
        <x:v>5841.2</x:v>
      </x:c>
      <x:c r="E255" s="24" t="n">
        <x:v>5920</x:v>
      </x:c>
      <x:c r="F255" s="24" t="n">
        <x:v>5822</x:v>
      </x:c>
      <x:c r="G255" s="24" t="n">
        <x:v>5917.4</x:v>
      </x:c>
      <x:c r="H255" s="25" t="n">
        <x:v>0.016560728397182478</x:v>
      </x:c>
      <x:c r="I255" s="24" t="n">
        <x:f>ROUND(E255-F255,1)</x:f>
        <x:v>98</x:v>
      </x:c>
      <x:c r="J255" s="23" t="str">
        <x:v>IC2412</x:v>
      </x:c>
    </x:row>
    <x:row r="256">
      <x:c r="A256" s="23" t="n">
        <x:v>3</x:v>
      </x:c>
      <x:c r="B256" s="23" t="str">
        <x:v>周二</x:v>
      </x:c>
      <x:c r="C256" s="23" t="str">
        <x:v>11月5日</x:v>
      </x:c>
      <x:c r="D256" s="24" t="n">
        <x:v>5915</x:v>
      </x:c>
      <x:c r="E256" s="24" t="n">
        <x:v>6118.6</x:v>
      </x:c>
      <x:c r="F256" s="24" t="n">
        <x:v>5889</x:v>
      </x:c>
      <x:c r="G256" s="24" t="n">
        <x:v>6093.8</x:v>
      </x:c>
      <x:c r="H256" s="25" t="n">
        <x:v>0.029810389698178286</x:v>
      </x:c>
      <x:c r="I256" s="33" t="n">
        <x:f>ROUND(E256-F256,1)</x:f>
        <x:v>229.6</x:v>
      </x:c>
      <x:c r="J256" s="23" t="str">
        <x:v>IC2412</x:v>
      </x:c>
    </x:row>
    <x:row r="257">
      <x:c r="A257" s="23" t="n">
        <x:v>4</x:v>
      </x:c>
      <x:c r="B257" s="23" t="str">
        <x:v>周三</x:v>
      </x:c>
      <x:c r="C257" s="23" t="str">
        <x:v>11月6日</x:v>
      </x:c>
      <x:c r="D257" s="24" t="n">
        <x:v>6100</x:v>
      </x:c>
      <x:c r="E257" s="24" t="n">
        <x:v>6186.6</x:v>
      </x:c>
      <x:c r="F257" s="24" t="n">
        <x:v>6044</x:v>
      </x:c>
      <x:c r="G257" s="24" t="n">
        <x:v>6096</x:v>
      </x:c>
      <x:c r="H257" s="25" t="n">
        <x:v>0.00036102267878823646</x:v>
      </x:c>
      <x:c r="I257" s="24" t="n">
        <x:f>ROUND(E257-F257,1)</x:f>
        <x:v>142.6</x:v>
      </x:c>
      <x:c r="J257" s="23" t="str">
        <x:v>IC2412</x:v>
      </x:c>
    </x:row>
    <x:row r="258">
      <x:c r="A258" s="23" t="n">
        <x:v>5</x:v>
      </x:c>
      <x:c r="B258" s="23" t="str">
        <x:v>周四</x:v>
      </x:c>
      <x:c r="C258" s="23" t="str">
        <x:v>11月7日</x:v>
      </x:c>
      <x:c r="D258" s="24" t="n">
        <x:v>6070</x:v>
      </x:c>
      <x:c r="E258" s="24" t="n">
        <x:v>6219.6</x:v>
      </x:c>
      <x:c r="F258" s="24" t="n">
        <x:v>6044</x:v>
      </x:c>
      <x:c r="G258" s="24" t="n">
        <x:v>6207.8</x:v>
      </x:c>
      <x:c r="H258" s="25" t="n">
        <x:v>0.018339895013123497</x:v>
      </x:c>
      <x:c r="I258" s="33" t="n">
        <x:f>ROUND(E258-F258,1)</x:f>
        <x:v>175.6</x:v>
      </x:c>
      <x:c r="J258" s="23" t="str">
        <x:v>IC2412</x:v>
      </x:c>
    </x:row>
    <x:row r="259">
      <x:c r="A259" s="23" t="n">
        <x:v>6</x:v>
      </x:c>
      <x:c r="B259" s="23" t="str">
        <x:v>周五</x:v>
      </x:c>
      <x:c r="C259" s="23" t="str">
        <x:v>11月8日</x:v>
      </x:c>
      <x:c r="D259" s="24" t="n">
        <x:v>6260</x:v>
      </x:c>
      <x:c r="E259" s="24" t="n">
        <x:v>6304.8</x:v>
      </x:c>
      <x:c r="F259" s="24" t="n">
        <x:v>6151.6</x:v>
      </x:c>
      <x:c r="G259" s="24" t="n">
        <x:v>6174</x:v>
      </x:c>
      <x:c r="H259" s="25" t="n">
        <x:v>-0.005444763040046374</x:v>
      </x:c>
      <x:c r="I259" s="33" t="n">
        <x:f>ROUND(E259-F259,1)</x:f>
        <x:v>153.2</x:v>
      </x:c>
      <x:c r="J259" s="23" t="str">
        <x:v>IC2412</x:v>
      </x:c>
    </x:row>
    <x:row r="260">
      <x:c r="A260" s="23" t="n">
        <x:v>7</x:v>
      </x:c>
      <x:c r="B260" s="23" t="str">
        <x:v>周一</x:v>
      </x:c>
      <x:c r="C260" s="23" t="str">
        <x:v>11月11日</x:v>
      </x:c>
      <x:c r="D260" s="24" t="n">
        <x:v>6149</x:v>
      </x:c>
      <x:c r="E260" s="24" t="n">
        <x:v>6274.6</x:v>
      </x:c>
      <x:c r="F260" s="24" t="n">
        <x:v>6134</x:v>
      </x:c>
      <x:c r="G260" s="24" t="n">
        <x:v>6240</x:v>
      </x:c>
      <x:c r="H260" s="25" t="n">
        <x:v>0.010689990281826933</x:v>
      </x:c>
      <x:c r="I260" s="24" t="n">
        <x:f>ROUND(E260-F260,1)</x:f>
        <x:v>140.6</x:v>
      </x:c>
      <x:c r="J260" s="23" t="str">
        <x:v>IC2412</x:v>
      </x:c>
    </x:row>
    <x:row r="261">
      <x:c r="A261" s="23" t="n">
        <x:v>8</x:v>
      </x:c>
      <x:c r="B261" s="23" t="str">
        <x:v>周二</x:v>
      </x:c>
      <x:c r="C261" s="23" t="str">
        <x:v>11月12日</x:v>
      </x:c>
      <x:c r="D261" s="24" t="n">
        <x:v>6250</x:v>
      </x:c>
      <x:c r="E261" s="24" t="n">
        <x:v>6316.8</x:v>
      </x:c>
      <x:c r="F261" s="24" t="n">
        <x:v>6153</x:v>
      </x:c>
      <x:c r="G261" s="24" t="n">
        <x:v>6184</x:v>
      </x:c>
      <x:c r="H261" s="25" t="n">
        <x:v>-0.008974358974358942</x:v>
      </x:c>
      <x:c r="I261" s="33" t="n">
        <x:f>ROUND(E261-F261,1)</x:f>
        <x:v>163.8</x:v>
      </x:c>
      <x:c r="J261" s="23" t="str">
        <x:v>IC2412</x:v>
      </x:c>
    </x:row>
    <x:row r="262">
      <x:c r="A262" s="23" t="n">
        <x:v>9</x:v>
      </x:c>
      <x:c r="B262" s="23" t="str">
        <x:v>周三</x:v>
      </x:c>
      <x:c r="C262" s="23" t="str">
        <x:v>11月13日</x:v>
      </x:c>
      <x:c r="D262" s="24" t="n">
        <x:v>6149</x:v>
      </x:c>
      <x:c r="E262" s="24" t="n">
        <x:v>6220</x:v>
      </x:c>
      <x:c r="F262" s="24" t="n">
        <x:v>6118.4</x:v>
      </x:c>
      <x:c r="G262" s="24" t="n">
        <x:v>6186.4</x:v>
      </x:c>
      <x:c r="H262" s="25" t="n">
        <x:v>0.0003880983182404929</x:v>
      </x:c>
      <x:c r="I262" s="24" t="n">
        <x:f>ROUND(E262-F262,1)</x:f>
        <x:v>101.6</x:v>
      </x:c>
      <x:c r="J262" s="23" t="str">
        <x:v>IC2412</x:v>
      </x:c>
    </x:row>
    <x:row r="263">
      <x:c r="A263" s="23" t="n">
        <x:v>10</x:v>
      </x:c>
      <x:c r="B263" s="23" t="str">
        <x:v>周四</x:v>
      </x:c>
      <x:c r="C263" s="23" t="str">
        <x:v>11月14日</x:v>
      </x:c>
      <x:c r="D263" s="24" t="n">
        <x:v>6170.8</x:v>
      </x:c>
      <x:c r="E263" s="24" t="n">
        <x:v>6174.8</x:v>
      </x:c>
      <x:c r="F263" s="24" t="n">
        <x:v>6035.2</x:v>
      </x:c>
      <x:c r="G263" s="24" t="n">
        <x:v>6057.4</x:v>
      </x:c>
      <x:c r="H263" s="25" t="n">
        <x:v>-0.02085219190482346</x:v>
      </x:c>
      <x:c r="I263" s="24" t="n">
        <x:f>ROUND(E263-F263,1)</x:f>
        <x:v>139.6</x:v>
      </x:c>
      <x:c r="J263" s="23" t="str">
        <x:v>IC2412</x:v>
      </x:c>
    </x:row>
    <x:row r="264">
      <x:c r="A264" s="29" t="n">
        <x:v>11</x:v>
      </x:c>
      <x:c r="B264" s="29" t="str">
        <x:v>周五</x:v>
      </x:c>
      <x:c r="C264" s="29" t="str">
        <x:v>11月15日</x:v>
      </x:c>
      <x:c r="D264" s="30" t="n">
        <x:v>6066</x:v>
      </x:c>
      <x:c r="E264" s="30" t="n">
        <x:v>6076.6</x:v>
      </x:c>
      <x:c r="F264" s="30" t="n">
        <x:v>5909</x:v>
      </x:c>
      <x:c r="G264" s="30" t="n">
        <x:v>5913.2</x:v>
      </x:c>
      <x:c r="H264" s="31" t="n">
        <x:v>-0.023805593158780947</x:v>
      </x:c>
      <x:c r="I264" s="33" t="n">
        <x:f>ROUND(E264-F264,1)</x:f>
        <x:v>167.6</x:v>
      </x:c>
      <x:c r="J264" s="29" t="str">
        <x:v>IC2412</x:v>
      </x:c>
    </x:row>
    <x:row r="265">
      <x:c r="A265" s="23" t="n">
        <x:v>12</x:v>
      </x:c>
      <x:c r="B265" s="23" t="str">
        <x:v>周一</x:v>
      </x:c>
      <x:c r="C265" s="23" t="str">
        <x:v>11月18日</x:v>
      </x:c>
      <x:c r="D265" s="24" t="n">
        <x:v>5947</x:v>
      </x:c>
      <x:c r="E265" s="24" t="n">
        <x:v>5949</x:v>
      </x:c>
      <x:c r="F265" s="24" t="n">
        <x:v>5772.2</x:v>
      </x:c>
      <x:c r="G265" s="24" t="n">
        <x:v>5822</x:v>
      </x:c>
      <x:c r="H265" s="25" t="n">
        <x:v>-0.015423121152675301</x:v>
      </x:c>
      <x:c r="I265" s="33" t="n">
        <x:f>ROUND(E265-F265,1)</x:f>
        <x:v>176.8</x:v>
      </x:c>
      <x:c r="J265" s="23" t="str">
        <x:v>IC2412</x:v>
      </x:c>
    </x:row>
    <x:row r="266">
      <x:c r="A266" s="23" t="n">
        <x:v>13</x:v>
      </x:c>
      <x:c r="B266" s="23" t="str">
        <x:v>周二</x:v>
      </x:c>
      <x:c r="C266" s="23" t="str">
        <x:v>11月19日</x:v>
      </x:c>
      <x:c r="D266" s="24" t="n">
        <x:v>5833.6</x:v>
      </x:c>
      <x:c r="E266" s="24" t="n">
        <x:v>5915</x:v>
      </x:c>
      <x:c r="F266" s="24" t="n">
        <x:v>5769</x:v>
      </x:c>
      <x:c r="G266" s="24" t="n">
        <x:v>5890.2</x:v>
      </x:c>
      <x:c r="H266" s="25" t="n">
        <x:v>0.011714187564410894</x:v>
      </x:c>
      <x:c r="I266" s="24" t="n">
        <x:f>ROUND(E266-F266,1)</x:f>
        <x:v>146</x:v>
      </x:c>
      <x:c r="J266" s="23" t="str">
        <x:v>IC2412</x:v>
      </x:c>
    </x:row>
    <x:row r="267">
      <x:c r="A267" s="23" t="n">
        <x:v>14</x:v>
      </x:c>
      <x:c r="B267" s="23" t="str">
        <x:v>周三</x:v>
      </x:c>
      <x:c r="C267" s="23" t="str">
        <x:v>11月20日</x:v>
      </x:c>
      <x:c r="D267" s="24" t="n">
        <x:v>5872</x:v>
      </x:c>
      <x:c r="E267" s="24" t="n">
        <x:v>5979.8</x:v>
      </x:c>
      <x:c r="F267" s="24" t="n">
        <x:v>5872</x:v>
      </x:c>
      <x:c r="G267" s="24" t="n">
        <x:v>5943.8</x:v>
      </x:c>
      <x:c r="H267" s="25" t="n">
        <x:v>0.00909986078571201</x:v>
      </x:c>
      <x:c r="I267" s="24" t="n">
        <x:f>ROUND(E267-F267,1)</x:f>
        <x:v>107.8</x:v>
      </x:c>
      <x:c r="J267" s="23" t="str">
        <x:v>IC2412</x:v>
      </x:c>
    </x:row>
    <x:row r="268">
      <x:c r="A268" s="23" t="n">
        <x:v>15</x:v>
      </x:c>
      <x:c r="B268" s="23" t="str">
        <x:v>周四</x:v>
      </x:c>
      <x:c r="C268" s="23" t="str">
        <x:v>11月21日</x:v>
      </x:c>
      <x:c r="D268" s="24" t="n">
        <x:v>5932.6</x:v>
      </x:c>
      <x:c r="E268" s="24" t="n">
        <x:v>5962.8</x:v>
      </x:c>
      <x:c r="F268" s="24" t="n">
        <x:v>5891.2</x:v>
      </x:c>
      <x:c r="G268" s="24" t="n">
        <x:v>5933.4</x:v>
      </x:c>
      <x:c r="H268" s="25" t="n">
        <x:v>-0.0017497223998116374</x:v>
      </x:c>
      <x:c r="I268" s="24" t="n">
        <x:f>ROUND(E268-F268,1)</x:f>
        <x:v>71.6</x:v>
      </x:c>
      <x:c r="J268" s="23" t="str">
        <x:v>IC2412</x:v>
      </x:c>
    </x:row>
    <x:row r="269">
      <x:c r="A269" s="23" t="n">
        <x:v>16</x:v>
      </x:c>
      <x:c r="B269" s="23" t="str">
        <x:v>周五</x:v>
      </x:c>
      <x:c r="C269" s="23" t="str">
        <x:v>11月22日</x:v>
      </x:c>
      <x:c r="D269" s="24" t="n">
        <x:v>5929</x:v>
      </x:c>
      <x:c r="E269" s="24" t="n">
        <x:v>5937.4</x:v>
      </x:c>
      <x:c r="F269" s="24" t="n">
        <x:v>5703.6</x:v>
      </x:c>
      <x:c r="G269" s="24" t="n">
        <x:v>5709</x:v>
      </x:c>
      <x:c r="H269" s="25" t="n">
        <x:v>-0.03781979977753058</x:v>
      </x:c>
      <x:c r="I269" s="33" t="n">
        <x:f>ROUND(E269-F269,1)</x:f>
        <x:v>233.8</x:v>
      </x:c>
      <x:c r="J269" s="23" t="str">
        <x:v>IC2412</x:v>
      </x:c>
    </x:row>
    <x:row r="270">
      <x:c r="A270" s="23" t="n">
        <x:v>17</x:v>
      </x:c>
      <x:c r="B270" s="23" t="str">
        <x:v>周一</x:v>
      </x:c>
      <x:c r="C270" s="23" t="str">
        <x:v>11月25日</x:v>
      </x:c>
      <x:c r="D270" s="24" t="n">
        <x:v>5730</x:v>
      </x:c>
      <x:c r="E270" s="24" t="n">
        <x:v>5739</x:v>
      </x:c>
      <x:c r="F270" s="24" t="n">
        <x:v>5628</x:v>
      </x:c>
      <x:c r="G270" s="24" t="n">
        <x:v>5688.8</x:v>
      </x:c>
      <x:c r="H270" s="25" t="n">
        <x:v>-0.0035382729024346915</x:v>
      </x:c>
      <x:c r="I270" s="24" t="n">
        <x:f>ROUND(E270-F270,1)</x:f>
        <x:v>111</x:v>
      </x:c>
      <x:c r="J270" s="23" t="str">
        <x:v>IC2412</x:v>
      </x:c>
    </x:row>
    <x:row r="271">
      <x:c r="A271" s="23" t="n">
        <x:v>18</x:v>
      </x:c>
      <x:c r="B271" s="23" t="str">
        <x:v>周二</x:v>
      </x:c>
      <x:c r="C271" s="23" t="str">
        <x:v>11月26日</x:v>
      </x:c>
      <x:c r="D271" s="24" t="n">
        <x:v>5667.8</x:v>
      </x:c>
      <x:c r="E271" s="24" t="n">
        <x:v>5726</x:v>
      </x:c>
      <x:c r="F271" s="24" t="n">
        <x:v>5631.2</x:v>
      </x:c>
      <x:c r="G271" s="24" t="n">
        <x:v>5652.8</x:v>
      </x:c>
      <x:c r="H271" s="25" t="n">
        <x:v>-0.006328223878498074</x:v>
      </x:c>
      <x:c r="I271" s="24" t="n">
        <x:f>ROUND(E271-F271,1)</x:f>
        <x:v>94.8</x:v>
      </x:c>
      <x:c r="J271" s="23" t="str">
        <x:v>IC2412</x:v>
      </x:c>
    </x:row>
    <x:row r="272">
      <x:c r="A272" s="23" t="n">
        <x:v>19</x:v>
      </x:c>
      <x:c r="B272" s="23" t="str">
        <x:v>周三</x:v>
      </x:c>
      <x:c r="C272" s="23" t="str">
        <x:v>11月27日</x:v>
      </x:c>
      <x:c r="D272" s="24" t="n">
        <x:v>5643.2</x:v>
      </x:c>
      <x:c r="E272" s="24" t="n">
        <x:v>5784.8</x:v>
      </x:c>
      <x:c r="F272" s="24" t="n">
        <x:v>5571.6</x:v>
      </x:c>
      <x:c r="G272" s="24" t="n">
        <x:v>5767.6</x:v>
      </x:c>
      <x:c r="H272" s="25" t="n">
        <x:v>0.020308519671667247</x:v>
      </x:c>
      <x:c r="I272" s="33" t="n">
        <x:f>ROUND(E272-F272,1)</x:f>
        <x:v>213.2</x:v>
      </x:c>
      <x:c r="J272" s="23" t="str">
        <x:v>IC2412</x:v>
      </x:c>
    </x:row>
    <x:row r="273">
      <x:c r="A273" s="23" t="n">
        <x:v>20</x:v>
      </x:c>
      <x:c r="B273" s="23" t="str">
        <x:v>周四</x:v>
      </x:c>
      <x:c r="C273" s="23" t="str">
        <x:v>11月28日</x:v>
      </x:c>
      <x:c r="D273" s="24" t="n">
        <x:v>5752</x:v>
      </x:c>
      <x:c r="E273" s="24" t="n">
        <x:v>5798</x:v>
      </x:c>
      <x:c r="F273" s="24" t="n">
        <x:v>5700.6</x:v>
      </x:c>
      <x:c r="G273" s="24" t="n">
        <x:v>5723.6</x:v>
      </x:c>
      <x:c r="H273" s="25" t="n">
        <x:v>-0.0076288230806574875</x:v>
      </x:c>
      <x:c r="I273" s="24" t="n">
        <x:f>ROUND(E273-F273,1)</x:f>
        <x:v>97.4</x:v>
      </x:c>
      <x:c r="J273" s="23" t="str">
        <x:v>IC2412</x:v>
      </x:c>
    </x:row>
    <x:row r="274">
      <x:c r="A274" s="23" t="n">
        <x:v>21</x:v>
      </x:c>
      <x:c r="B274" s="23" t="str">
        <x:v>周五</x:v>
      </x:c>
      <x:c r="C274" s="23" t="str">
        <x:v>11月29日</x:v>
      </x:c>
      <x:c r="D274" s="24" t="n">
        <x:v>5729.8</x:v>
      </x:c>
      <x:c r="E274" s="24" t="n">
        <x:v>5892.6</x:v>
      </x:c>
      <x:c r="F274" s="24" t="n">
        <x:v>5702</x:v>
      </x:c>
      <x:c r="G274" s="24" t="n">
        <x:v>5822.4</x:v>
      </x:c>
      <x:c r="H274" s="25" t="n">
        <x:v>0.017261863163044122</x:v>
      </x:c>
      <x:c r="I274" s="33" t="n">
        <x:f>ROUND(E274-F274,1)</x:f>
        <x:v>190.6</x:v>
      </x:c>
      <x:c r="J274" s="23" t="str">
        <x:v>IC2412</x:v>
      </x:c>
    </x:row>
    <x:row r="275">
      <x:c r="A275" s="36" t="str">
        <x:v>合计</x:v>
      </x:c>
      <x:c r="B275" s="35" t="n">
        <x:v>21</x:v>
      </x:c>
      <x:c r="C275" s="35"/>
      <x:c r="D275" s="35"/>
      <x:c r="E275" s="35"/>
      <x:c r="F275" s="35"/>
      <x:c r="G275" s="35"/>
      <x:c r="H275" s="35"/>
      <x:c r="I275" s="37" t="n">
        <x:f>ROUND(SUM(I254:I274),1)</x:f>
        <x:v>3080.4</x:v>
      </x:c>
      <x:c r="J275" s="35"/>
    </x:row>
    <x:row r="276">
      <x:c r="A276" s="36" t="str">
        <x:v>均值</x:v>
      </x:c>
      <x:c r="B276" s="35"/>
      <x:c r="C276" s="35"/>
      <x:c r="D276" s="35"/>
      <x:c r="E276" s="35"/>
      <x:c r="F276" s="35"/>
      <x:c r="G276" s="35"/>
      <x:c r="H276" s="35"/>
      <x:c r="I276" s="39" t="n">
        <x:f>ROUND(IFERROR(AVERAGE(I254:I274),0),1)</x:f>
        <x:v>146.7</x:v>
      </x:c>
      <x:c r="J276" s="35"/>
    </x:row>
    <x:row r="278">
      <x:c r="A278" s="17" t="str">
        <x:v>12月</x:v>
      </x:c>
      <x:c r="B278" s="17"/>
      <x:c r="C278" s="17"/>
      <x:c r="D278" s="17"/>
      <x:c r="E278" s="17"/>
      <x:c r="F278" s="17"/>
      <x:c r="G278" s="17"/>
      <x:c r="H278" s="17"/>
      <x:c r="I278" s="17"/>
      <x:c r="J278" s="17"/>
    </x:row>
    <x:row r="279">
      <x:c r="A279" s="20" t="str">
        <x:v>序号</x:v>
      </x:c>
      <x:c r="B279" s="20" t="str">
        <x:v>星期</x:v>
      </x:c>
      <x:c r="C279" s="20" t="str">
        <x:v>日期</x:v>
      </x:c>
      <x:c r="D279" s="20" t="str">
        <x:v>开盘</x:v>
      </x:c>
      <x:c r="E279" s="20" t="str">
        <x:v>高点</x:v>
      </x:c>
      <x:c r="F279" s="20" t="str">
        <x:v>低点</x:v>
      </x:c>
      <x:c r="G279" s="20" t="str">
        <x:v>收盘</x:v>
      </x:c>
      <x:c r="H279" s="20" t="str">
        <x:v>涨幅</x:v>
      </x:c>
      <x:c r="I279" s="20" t="str">
        <x:v>振幅</x:v>
      </x:c>
      <x:c r="J279" s="20" t="str">
        <x:v>标的</x:v>
      </x:c>
    </x:row>
    <x:row r="280">
      <x:c r="A280" s="23" t="n">
        <x:v>1</x:v>
      </x:c>
      <x:c r="B280" s="23" t="str">
        <x:v>周一</x:v>
      </x:c>
      <x:c r="C280" s="23" t="str">
        <x:v>12月2日</x:v>
      </x:c>
      <x:c r="D280" s="24" t="n">
        <x:v>5828.2</x:v>
      </x:c>
      <x:c r="E280" s="24" t="n">
        <x:v>5948</x:v>
      </x:c>
      <x:c r="F280" s="24" t="n">
        <x:v>5822.2</x:v>
      </x:c>
      <x:c r="G280" s="24" t="n">
        <x:v>5912</x:v>
      </x:c>
      <x:c r="H280" s="25" t="n">
        <x:v>0.015388843088760762</x:v>
      </x:c>
      <x:c r="I280" s="24" t="n">
        <x:f>ROUND(E280-F280,1)</x:f>
        <x:v>125.8</x:v>
      </x:c>
      <x:c r="J280" s="23" t="str">
        <x:v>IC2412</x:v>
      </x:c>
    </x:row>
    <x:row r="281">
      <x:c r="A281" s="23" t="n">
        <x:v>2</x:v>
      </x:c>
      <x:c r="B281" s="23" t="str">
        <x:v>周二</x:v>
      </x:c>
      <x:c r="C281" s="23" t="str">
        <x:v>12月3日</x:v>
      </x:c>
      <x:c r="D281" s="24" t="n">
        <x:v>5915.4</x:v>
      </x:c>
      <x:c r="E281" s="24" t="n">
        <x:v>5938.2</x:v>
      </x:c>
      <x:c r="F281" s="24" t="n">
        <x:v>5851.2</x:v>
      </x:c>
      <x:c r="G281" s="24" t="n">
        <x:v>5903.2</x:v>
      </x:c>
      <x:c r="H281" s="25" t="n">
        <x:v>-0.001488497970230096</x:v>
      </x:c>
      <x:c r="I281" s="24" t="n">
        <x:f>ROUND(E281-F281,1)</x:f>
        <x:v>87</x:v>
      </x:c>
      <x:c r="J281" s="23" t="str">
        <x:v>IC2412</x:v>
      </x:c>
    </x:row>
    <x:row r="282">
      <x:c r="A282" s="23" t="n">
        <x:v>3</x:v>
      </x:c>
      <x:c r="B282" s="23" t="str">
        <x:v>周三</x:v>
      </x:c>
      <x:c r="C282" s="23" t="str">
        <x:v>12月4日</x:v>
      </x:c>
      <x:c r="D282" s="24" t="n">
        <x:v>5893.6</x:v>
      </x:c>
      <x:c r="E282" s="24" t="n">
        <x:v>5913.4</x:v>
      </x:c>
      <x:c r="F282" s="24" t="n">
        <x:v>5818.2</x:v>
      </x:c>
      <x:c r="G282" s="24" t="n">
        <x:v>5860</x:v>
      </x:c>
      <x:c r="H282" s="25" t="n">
        <x:v>-0.007318064778425226</x:v>
      </x:c>
      <x:c r="I282" s="24" t="n">
        <x:f>ROUND(E282-F282,1)</x:f>
        <x:v>95.2</x:v>
      </x:c>
      <x:c r="J282" s="23" t="str">
        <x:v>IC2412</x:v>
      </x:c>
    </x:row>
    <x:row r="283">
      <x:c r="A283" s="23" t="n">
        <x:v>4</x:v>
      </x:c>
      <x:c r="B283" s="23" t="str">
        <x:v>周四</x:v>
      </x:c>
      <x:c r="C283" s="23" t="str">
        <x:v>12月5日</x:v>
      </x:c>
      <x:c r="D283" s="24" t="n">
        <x:v>5844.6</x:v>
      </x:c>
      <x:c r="E283" s="24" t="n">
        <x:v>5908</x:v>
      </x:c>
      <x:c r="F283" s="24" t="n">
        <x:v>5826.4</x:v>
      </x:c>
      <x:c r="G283" s="24" t="n">
        <x:v>5878</x:v>
      </x:c>
      <x:c r="H283" s="25" t="n">
        <x:v>0.0030716723549488734</x:v>
      </x:c>
      <x:c r="I283" s="24" t="n">
        <x:f>ROUND(E283-F283,1)</x:f>
        <x:v>81.6</x:v>
      </x:c>
      <x:c r="J283" s="23" t="str">
        <x:v>IC2412</x:v>
      </x:c>
    </x:row>
    <x:row r="284">
      <x:c r="A284" s="23" t="n">
        <x:v>5</x:v>
      </x:c>
      <x:c r="B284" s="23" t="str">
        <x:v>周五</x:v>
      </x:c>
      <x:c r="C284" s="23" t="str">
        <x:v>12月6日</x:v>
      </x:c>
      <x:c r="D284" s="24" t="n">
        <x:v>5880.8</x:v>
      </x:c>
      <x:c r="E284" s="24" t="n">
        <x:v>6006.4</x:v>
      </x:c>
      <x:c r="F284" s="24" t="n">
        <x:v>5838.2</x:v>
      </x:c>
      <x:c r="G284" s="24" t="n">
        <x:v>5963.4</x:v>
      </x:c>
      <x:c r="H284" s="25" t="n">
        <x:v>0.014528751275944218</x:v>
      </x:c>
      <x:c r="I284" s="33" t="n">
        <x:f>ROUND(E284-F284,1)</x:f>
        <x:v>168.2</x:v>
      </x:c>
      <x:c r="J284" s="23" t="str">
        <x:v>IC2412</x:v>
      </x:c>
    </x:row>
    <x:row r="285">
      <x:c r="A285" s="23" t="n">
        <x:v>6</x:v>
      </x:c>
      <x:c r="B285" s="23" t="str">
        <x:v>周一</x:v>
      </x:c>
      <x:c r="C285" s="23" t="str">
        <x:v>12月9日</x:v>
      </x:c>
      <x:c r="D285" s="24" t="n">
        <x:v>5962</x:v>
      </x:c>
      <x:c r="E285" s="24" t="n">
        <x:v>5985</x:v>
      </x:c>
      <x:c r="F285" s="24" t="n">
        <x:v>5880</x:v>
      </x:c>
      <x:c r="G285" s="24" t="n">
        <x:v>5922.6</x:v>
      </x:c>
      <x:c r="H285" s="25" t="n">
        <x:v>-0.006841734580943615</x:v>
      </x:c>
      <x:c r="I285" s="24" t="n">
        <x:f>ROUND(E285-F285,1)</x:f>
        <x:v>105</x:v>
      </x:c>
      <x:c r="J285" s="23" t="str">
        <x:v>IC2412</x:v>
      </x:c>
    </x:row>
    <x:row r="286">
      <x:c r="A286" s="23" t="n">
        <x:v>7</x:v>
      </x:c>
      <x:c r="B286" s="23" t="str">
        <x:v>周二</x:v>
      </x:c>
      <x:c r="C286" s="23" t="str">
        <x:v>12月10日</x:v>
      </x:c>
      <x:c r="D286" s="24" t="n">
        <x:v>6120.4</x:v>
      </x:c>
      <x:c r="E286" s="24" t="n">
        <x:v>6165</x:v>
      </x:c>
      <x:c r="F286" s="24" t="n">
        <x:v>5967.6</x:v>
      </x:c>
      <x:c r="G286" s="24" t="n">
        <x:v>5991.4</x:v>
      </x:c>
      <x:c r="H286" s="25" t="n">
        <x:v>0.011616519771721734</x:v>
      </x:c>
      <x:c r="I286" s="33" t="n">
        <x:f>ROUND(E286-F286,1)</x:f>
        <x:v>197.4</x:v>
      </x:c>
      <x:c r="J286" s="23" t="str">
        <x:v>IC2412</x:v>
      </x:c>
    </x:row>
    <x:row r="287">
      <x:c r="A287" s="23" t="n">
        <x:v>8</x:v>
      </x:c>
      <x:c r="B287" s="23" t="str">
        <x:v>周三</x:v>
      </x:c>
      <x:c r="C287" s="23" t="str">
        <x:v>12月11日</x:v>
      </x:c>
      <x:c r="D287" s="24" t="n">
        <x:v>5998.8</x:v>
      </x:c>
      <x:c r="E287" s="24" t="n">
        <x:v>6055.4</x:v>
      </x:c>
      <x:c r="F287" s="24" t="n">
        <x:v>5985.4</x:v>
      </x:c>
      <x:c r="G287" s="24" t="n">
        <x:v>6036.4</x:v>
      </x:c>
      <x:c r="H287" s="25" t="n">
        <x:v>0.007510765430450261</x:v>
      </x:c>
      <x:c r="I287" s="24" t="n">
        <x:f>ROUND(E287-F287,1)</x:f>
        <x:v>70</x:v>
      </x:c>
      <x:c r="J287" s="23" t="str">
        <x:v>IC2412</x:v>
      </x:c>
    </x:row>
    <x:row r="288">
      <x:c r="A288" s="23" t="n">
        <x:v>9</x:v>
      </x:c>
      <x:c r="B288" s="23" t="str">
        <x:v>周四</x:v>
      </x:c>
      <x:c r="C288" s="23" t="str">
        <x:v>12月12日</x:v>
      </x:c>
      <x:c r="D288" s="24" t="n">
        <x:v>6038</x:v>
      </x:c>
      <x:c r="E288" s="24" t="n">
        <x:v>6115.6</x:v>
      </x:c>
      <x:c r="F288" s="24" t="n">
        <x:v>6018</x:v>
      </x:c>
      <x:c r="G288" s="24" t="n">
        <x:v>6093</x:v>
      </x:c>
      <x:c r="H288" s="25" t="n">
        <x:v>0.009376449539460596</x:v>
      </x:c>
      <x:c r="I288" s="24" t="n">
        <x:f>ROUND(E288-F288,1)</x:f>
        <x:v>97.6</x:v>
      </x:c>
      <x:c r="J288" s="23" t="str">
        <x:v>IC2412</x:v>
      </x:c>
    </x:row>
    <x:row r="289">
      <x:c r="A289" s="23" t="n">
        <x:v>10</x:v>
      </x:c>
      <x:c r="B289" s="23" t="str">
        <x:v>周五</x:v>
      </x:c>
      <x:c r="C289" s="23" t="str">
        <x:v>12月13日</x:v>
      </x:c>
      <x:c r="D289" s="24" t="n">
        <x:v>6050</x:v>
      </x:c>
      <x:c r="E289" s="24" t="n">
        <x:v>6056.4</x:v>
      </x:c>
      <x:c r="F289" s="24" t="n">
        <x:v>5966.6</x:v>
      </x:c>
      <x:c r="G289" s="24" t="n">
        <x:v>5998.2</x:v>
      </x:c>
      <x:c r="H289" s="25" t="n">
        <x:v>-0.015558838010832132</x:v>
      </x:c>
      <x:c r="I289" s="24" t="n">
        <x:f>ROUND(E289-F289,1)</x:f>
        <x:v>89.8</x:v>
      </x:c>
      <x:c r="J289" s="23" t="str">
        <x:v>IC2412</x:v>
      </x:c>
    </x:row>
    <x:row r="290">
      <x:c r="A290" s="23" t="n">
        <x:v>11</x:v>
      </x:c>
      <x:c r="B290" s="23" t="str">
        <x:v>周一</x:v>
      </x:c>
      <x:c r="C290" s="23" t="str">
        <x:v>12月16日</x:v>
      </x:c>
      <x:c r="D290" s="24" t="n">
        <x:v>6002.2</x:v>
      </x:c>
      <x:c r="E290" s="24" t="n">
        <x:v>6002.2</x:v>
      </x:c>
      <x:c r="F290" s="24" t="n">
        <x:v>5888.6</x:v>
      </x:c>
      <x:c r="G290" s="24" t="n">
        <x:v>5908</x:v>
      </x:c>
      <x:c r="H290" s="25" t="n">
        <x:v>-0.015037844686739299</x:v>
      </x:c>
      <x:c r="I290" s="24" t="n">
        <x:f>ROUND(E290-F290,1)</x:f>
        <x:v>113.6</x:v>
      </x:c>
      <x:c r="J290" s="23" t="str">
        <x:v>IC2412</x:v>
      </x:c>
    </x:row>
    <x:row r="291">
      <x:c r="A291" s="23" t="n">
        <x:v>12</x:v>
      </x:c>
      <x:c r="B291" s="23" t="str">
        <x:v>周二</x:v>
      </x:c>
      <x:c r="C291" s="23" t="str">
        <x:v>12月17日</x:v>
      </x:c>
      <x:c r="D291" s="24" t="n">
        <x:v>5901</x:v>
      </x:c>
      <x:c r="E291" s="24" t="n">
        <x:v>5926.6</x:v>
      </x:c>
      <x:c r="F291" s="24" t="n">
        <x:v>5840.4</x:v>
      </x:c>
      <x:c r="G291" s="24" t="n">
        <x:v>5850.8</x:v>
      </x:c>
      <x:c r="H291" s="25" t="n">
        <x:v>-0.00968178740690584</x:v>
      </x:c>
      <x:c r="I291" s="24" t="n">
        <x:f>ROUND(E291-F291,1)</x:f>
        <x:v>86.2</x:v>
      </x:c>
      <x:c r="J291" s="23" t="str">
        <x:v>IC2412</x:v>
      </x:c>
    </x:row>
    <x:row r="292">
      <x:c r="A292" s="23" t="n">
        <x:v>13</x:v>
      </x:c>
      <x:c r="B292" s="23" t="str">
        <x:v>周三</x:v>
      </x:c>
      <x:c r="C292" s="23" t="str">
        <x:v>12月18日</x:v>
      </x:c>
      <x:c r="D292" s="24" t="n">
        <x:v>5887.2</x:v>
      </x:c>
      <x:c r="E292" s="24" t="n">
        <x:v>5930</x:v>
      </x:c>
      <x:c r="F292" s="24" t="n">
        <x:v>5850</x:v>
      </x:c>
      <x:c r="G292" s="24" t="n">
        <x:v>5888.6</x:v>
      </x:c>
      <x:c r="H292" s="25" t="n">
        <x:v>0.006460654953168721</x:v>
      </x:c>
      <x:c r="I292" s="24" t="n">
        <x:f>ROUND(E292-F292,1)</x:f>
        <x:v>80</x:v>
      </x:c>
      <x:c r="J292" s="23" t="str">
        <x:v>IC2412</x:v>
      </x:c>
    </x:row>
    <x:row r="293">
      <x:c r="A293" s="23" t="n">
        <x:v>14</x:v>
      </x:c>
      <x:c r="B293" s="23" t="str">
        <x:v>周四</x:v>
      </x:c>
      <x:c r="C293" s="23" t="str">
        <x:v>12月19日</x:v>
      </x:c>
      <x:c r="D293" s="24" t="n">
        <x:v>5850.2</x:v>
      </x:c>
      <x:c r="E293" s="24" t="n">
        <x:v>5929.8</x:v>
      </x:c>
      <x:c r="F293" s="24" t="n">
        <x:v>5821</x:v>
      </x:c>
      <x:c r="G293" s="24" t="n">
        <x:v>5911.6</x:v>
      </x:c>
      <x:c r="H293" s="25" t="n">
        <x:v>0.0039058519851917772</x:v>
      </x:c>
      <x:c r="I293" s="24" t="n">
        <x:f>ROUND(E293-F293,1)</x:f>
        <x:v>108.8</x:v>
      </x:c>
      <x:c r="J293" s="23" t="str">
        <x:v>IC2412</x:v>
      </x:c>
    </x:row>
    <x:row r="294">
      <x:c r="A294" s="29" t="n">
        <x:v>15</x:v>
      </x:c>
      <x:c r="B294" s="29" t="str">
        <x:v>周五</x:v>
      </x:c>
      <x:c r="C294" s="29" t="str">
        <x:v>12月20日</x:v>
      </x:c>
      <x:c r="D294" s="30" t="n">
        <x:v>5900</x:v>
      </x:c>
      <x:c r="E294" s="30" t="n">
        <x:v>5956.8</x:v>
      </x:c>
      <x:c r="F294" s="30" t="n">
        <x:v>5895</x:v>
      </x:c>
      <x:c r="G294" s="30" t="n">
        <x:v>5927.6</x:v>
      </x:c>
      <x:c r="H294" s="31" t="n">
        <x:v>0.0027065430678665514</x:v>
      </x:c>
      <x:c r="I294" s="30" t="n">
        <x:f>ROUND(E294-F294,1)</x:f>
        <x:v>61.8</x:v>
      </x:c>
      <x:c r="J294" s="29" t="str">
        <x:v>IC2412</x:v>
      </x:c>
    </x:row>
    <x:row r="295">
      <x:c r="A295" s="23" t="n">
        <x:v>16</x:v>
      </x:c>
      <x:c r="B295" s="23" t="str">
        <x:v>周一</x:v>
      </x:c>
      <x:c r="C295" s="23" t="str">
        <x:v>12月23日</x:v>
      </x:c>
      <x:c r="D295" s="24" t="n">
        <x:v>5855.8</x:v>
      </x:c>
      <x:c r="E295" s="24" t="n">
        <x:v>5872.6</x:v>
      </x:c>
      <x:c r="F295" s="24" t="n">
        <x:v>5760</x:v>
      </x:c>
      <x:c r="G295" s="24" t="n">
        <x:v>5762.4</x:v>
      </x:c>
      <x:c r="H295" s="25" t="n">
        <x:v>-0.02786962683042049</x:v>
      </x:c>
      <x:c r="I295" s="24" t="n">
        <x:f>ROUND(E295-F295,1)</x:f>
        <x:v>112.6</x:v>
      </x:c>
      <x:c r="J295" s="23" t="str">
        <x:v>IC2503</x:v>
      </x:c>
    </x:row>
    <x:row r="296">
      <x:c r="A296" s="23" t="n">
        <x:v>17</x:v>
      </x:c>
      <x:c r="B296" s="23" t="str">
        <x:v>周二</x:v>
      </x:c>
      <x:c r="C296" s="23" t="str">
        <x:v>12月24日</x:v>
      </x:c>
      <x:c r="D296" s="24" t="n">
        <x:v>5774.2</x:v>
      </x:c>
      <x:c r="E296" s="24" t="n">
        <x:v>5851</x:v>
      </x:c>
      <x:c r="F296" s="24" t="n">
        <x:v>5774</x:v>
      </x:c>
      <x:c r="G296" s="24" t="n">
        <x:v>5836</x:v>
      </x:c>
      <x:c r="H296" s="25" t="n">
        <x:v>0.012772455921143955</x:v>
      </x:c>
      <x:c r="I296" s="24" t="n">
        <x:f>ROUND(E296-F296,1)</x:f>
        <x:v>77</x:v>
      </x:c>
      <x:c r="J296" s="23" t="str">
        <x:v>IC2503</x:v>
      </x:c>
    </x:row>
    <x:row r="297">
      <x:c r="A297" s="23" t="n">
        <x:v>18</x:v>
      </x:c>
      <x:c r="B297" s="23" t="str">
        <x:v>周三</x:v>
      </x:c>
      <x:c r="C297" s="23" t="str">
        <x:v>12月25日</x:v>
      </x:c>
      <x:c r="D297" s="24" t="n">
        <x:v>5832.8</x:v>
      </x:c>
      <x:c r="E297" s="24" t="n">
        <x:v>5838</x:v>
      </x:c>
      <x:c r="F297" s="24" t="n">
        <x:v>5734</x:v>
      </x:c>
      <x:c r="G297" s="24" t="n">
        <x:v>5784</x:v>
      </x:c>
      <x:c r="H297" s="25" t="n">
        <x:v>-0.008910212474297463</x:v>
      </x:c>
      <x:c r="I297" s="24" t="n">
        <x:f>ROUND(E297-F297,1)</x:f>
        <x:v>104</x:v>
      </x:c>
      <x:c r="J297" s="23" t="str">
        <x:v>IC2503</x:v>
      </x:c>
    </x:row>
    <x:row r="298">
      <x:c r="A298" s="23" t="n">
        <x:v>19</x:v>
      </x:c>
      <x:c r="B298" s="23" t="str">
        <x:v>周四</x:v>
      </x:c>
      <x:c r="C298" s="23" t="str">
        <x:v>12月26日</x:v>
      </x:c>
      <x:c r="D298" s="24" t="n">
        <x:v>5775.8</x:v>
      </x:c>
      <x:c r="E298" s="24" t="n">
        <x:v>5842</x:v>
      </x:c>
      <x:c r="F298" s="24" t="n">
        <x:v>5775.8</x:v>
      </x:c>
      <x:c r="G298" s="24" t="n">
        <x:v>5826.4</x:v>
      </x:c>
      <x:c r="H298" s="25" t="n">
        <x:v>0.0073305670816044</x:v>
      </x:c>
      <x:c r="I298" s="24" t="n">
        <x:f>ROUND(E298-F298,1)</x:f>
        <x:v>66.2</x:v>
      </x:c>
      <x:c r="J298" s="23" t="str">
        <x:v>IC2503</x:v>
      </x:c>
    </x:row>
    <x:row r="299">
      <x:c r="A299" s="23" t="n">
        <x:v>20</x:v>
      </x:c>
      <x:c r="B299" s="23" t="str">
        <x:v>周五</x:v>
      </x:c>
      <x:c r="C299" s="23" t="str">
        <x:v>12月27日</x:v>
      </x:c>
      <x:c r="D299" s="24" t="n">
        <x:v>5836</x:v>
      </x:c>
      <x:c r="E299" s="24" t="n">
        <x:v>5928.6</x:v>
      </x:c>
      <x:c r="F299" s="24" t="n">
        <x:v>5816</x:v>
      </x:c>
      <x:c r="G299" s="24" t="n">
        <x:v>5847.4</x:v>
      </x:c>
      <x:c r="H299" s="25" t="n">
        <x:v>0.0036042839489220935</x:v>
      </x:c>
      <x:c r="I299" s="24" t="n">
        <x:f>ROUND(E299-F299,1)</x:f>
        <x:v>112.6</x:v>
      </x:c>
      <x:c r="J299" s="23" t="str">
        <x:v>IC2503</x:v>
      </x:c>
    </x:row>
    <x:row r="300">
      <x:c r="A300" s="23" t="n">
        <x:v>21</x:v>
      </x:c>
      <x:c r="B300" s="23" t="str">
        <x:v>周一</x:v>
      </x:c>
      <x:c r="C300" s="23" t="str">
        <x:v>12月30日</x:v>
      </x:c>
      <x:c r="D300" s="24" t="n">
        <x:v>5843</x:v>
      </x:c>
      <x:c r="E300" s="24" t="n">
        <x:v>5881.8</x:v>
      </x:c>
      <x:c r="F300" s="24" t="n">
        <x:v>5817.2</x:v>
      </x:c>
      <x:c r="G300" s="24" t="n">
        <x:v>5849</x:v>
      </x:c>
      <x:c r="H300" s="25" t="n">
        <x:v>0.000273625885008677</x:v>
      </x:c>
      <x:c r="I300" s="24" t="n">
        <x:f>ROUND(E300-F300,1)</x:f>
        <x:v>64.6</x:v>
      </x:c>
      <x:c r="J300" s="23" t="str">
        <x:v>IC2503</x:v>
      </x:c>
    </x:row>
    <x:row r="301">
      <x:c r="A301" s="23" t="n">
        <x:v>22</x:v>
      </x:c>
      <x:c r="B301" s="23" t="str">
        <x:v>周二</x:v>
      </x:c>
      <x:c r="C301" s="23" t="str">
        <x:v>12月31日</x:v>
      </x:c>
      <x:c r="D301" s="24" t="n">
        <x:v>5858</x:v>
      </x:c>
      <x:c r="E301" s="24" t="n">
        <x:v>5864</x:v>
      </x:c>
      <x:c r="F301" s="24" t="n">
        <x:v>5646</x:v>
      </x:c>
      <x:c r="G301" s="24" t="n">
        <x:v>5647</x:v>
      </x:c>
      <x:c r="H301" s="25" t="n">
        <x:v>-0.0345358180885621</x:v>
      </x:c>
      <x:c r="I301" s="33" t="n">
        <x:f>ROUND(E301-F301,1)</x:f>
        <x:v>218</x:v>
      </x:c>
      <x:c r="J301" s="23" t="str">
        <x:v>IC2503</x:v>
      </x:c>
    </x:row>
    <x:row r="302">
      <x:c r="A302" s="36" t="str">
        <x:v>合计</x:v>
      </x:c>
      <x:c r="B302" s="35" t="n">
        <x:v>22</x:v>
      </x:c>
      <x:c r="C302" s="35"/>
      <x:c r="D302" s="35"/>
      <x:c r="E302" s="35"/>
      <x:c r="F302" s="35"/>
      <x:c r="G302" s="35"/>
      <x:c r="H302" s="35"/>
      <x:c r="I302" s="37" t="n">
        <x:f>ROUND(SUM(I280:I301),1)</x:f>
        <x:v>2323</x:v>
      </x:c>
      <x:c r="J302" s="35"/>
    </x:row>
    <x:row r="303">
      <x:c r="A303" s="36" t="str">
        <x:v>均值</x:v>
      </x:c>
      <x:c r="B303" s="35"/>
      <x:c r="C303" s="35"/>
      <x:c r="D303" s="35"/>
      <x:c r="E303" s="35"/>
      <x:c r="F303" s="35"/>
      <x:c r="G303" s="35"/>
      <x:c r="H303" s="35"/>
      <x:c r="I303" s="39" t="n">
        <x:f>ROUND(IFERROR(AVERAGE(I280:I301),0),1)</x:f>
        <x:v>105.6</x:v>
      </x:c>
      <x:c r="J303" s="35"/>
    </x:row>
  </x:sheetData>
  <x:mergeCells>
    <x:mergeCell ref="A1:J1"/>
    <x:mergeCell ref="A3:J3"/>
    <x:mergeCell ref="A30:J30"/>
    <x:mergeCell ref="A50:J50"/>
    <x:mergeCell ref="A76:J76"/>
    <x:mergeCell ref="A101:J101"/>
    <x:mergeCell ref="A126:J126"/>
    <x:mergeCell ref="A150:J150"/>
    <x:mergeCell ref="A178:J178"/>
    <x:mergeCell ref="A205:J205"/>
    <x:mergeCell ref="A229:J229"/>
    <x:mergeCell ref="A252:J252"/>
    <x:mergeCell ref="A278:J27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</x:cols>
  <x:sheetData>
    <x:row r="1" ht="38" customHeight="1">
      <x:c r="A1" s="15" t="str">
        <x:v>2024年统计 - IF主力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涨幅</x:v>
      </x:c>
      <x:c r="I4" s="20" t="str">
        <x:v>振幅</x:v>
      </x:c>
      <x:c r="J4" s="20" t="str">
        <x:v>标的</x:v>
      </x:c>
    </x:row>
    <x:row r="5">
      <x:c r="A5" s="23" t="n">
        <x:v>1</x:v>
      </x:c>
      <x:c r="B5" s="23" t="str">
        <x:v>周二</x:v>
      </x:c>
      <x:c r="C5" s="23" t="str">
        <x:v>1月2日</x:v>
      </x:c>
      <x:c r="D5" s="24" t="n">
        <x:v>3459.8</x:v>
      </x:c>
      <x:c r="E5" s="24" t="n">
        <x:v>3459.8</x:v>
      </x:c>
      <x:c r="F5" s="24" t="n">
        <x:v>3401.6</x:v>
      </x:c>
      <x:c r="G5" s="24" t="n">
        <x:v>3402</x:v>
      </x:c>
      <x:c r="H5" s="25" t="n">
        <x:v>-0.014886317380938596</x:v>
      </x:c>
      <x:c r="I5" s="24" t="n">
        <x:f>ROUND(E5-F5,1)</x:f>
        <x:v>58.2</x:v>
      </x:c>
      <x:c r="J5" s="23" t="str">
        <x:v>IF2403</x:v>
      </x:c>
    </x:row>
    <x:row r="6">
      <x:c r="A6" s="23" t="n">
        <x:v>2</x:v>
      </x:c>
      <x:c r="B6" s="23" t="str">
        <x:v>周三</x:v>
      </x:c>
      <x:c r="C6" s="23" t="str">
        <x:v>1月3日</x:v>
      </x:c>
      <x:c r="D6" s="24" t="n">
        <x:v>3398</x:v>
      </x:c>
      <x:c r="E6" s="24" t="n">
        <x:v>3411.8</x:v>
      </x:c>
      <x:c r="F6" s="24" t="n">
        <x:v>3382.2</x:v>
      </x:c>
      <x:c r="G6" s="24" t="n">
        <x:v>3396</x:v>
      </x:c>
      <x:c r="H6" s="25" t="n">
        <x:v>-0.0015347382090785677</x:v>
      </x:c>
      <x:c r="I6" s="24" t="n">
        <x:f>ROUND(E6-F6,1)</x:f>
        <x:v>29.6</x:v>
      </x:c>
      <x:c r="J6" s="23" t="str">
        <x:v>IF2403</x:v>
      </x:c>
    </x:row>
    <x:row r="7">
      <x:c r="A7" s="23" t="n">
        <x:v>3</x:v>
      </x:c>
      <x:c r="B7" s="23" t="str">
        <x:v>周四</x:v>
      </x:c>
      <x:c r="C7" s="23" t="str">
        <x:v>1月4日</x:v>
      </x:c>
      <x:c r="D7" s="24" t="n">
        <x:v>3393.2</x:v>
      </x:c>
      <x:c r="E7" s="24" t="n">
        <x:v>3395.2</x:v>
      </x:c>
      <x:c r="F7" s="24" t="n">
        <x:v>3334.2</x:v>
      </x:c>
      <x:c r="G7" s="24" t="n">
        <x:v>3360</x:v>
      </x:c>
      <x:c r="H7" s="25" t="n">
        <x:v>-0.00969553650605981</x:v>
      </x:c>
      <x:c r="I7" s="24" t="n">
        <x:f>ROUND(E7-F7,1)</x:f>
        <x:v>61</x:v>
      </x:c>
      <x:c r="J7" s="23" t="str">
        <x:v>IF2403</x:v>
      </x:c>
    </x:row>
    <x:row r="8">
      <x:c r="A8" s="23" t="n">
        <x:v>4</x:v>
      </x:c>
      <x:c r="B8" s="23" t="str">
        <x:v>周五</x:v>
      </x:c>
      <x:c r="C8" s="23" t="str">
        <x:v>1月5日</x:v>
      </x:c>
      <x:c r="D8" s="24" t="n">
        <x:v>3351</x:v>
      </x:c>
      <x:c r="E8" s="24" t="n">
        <x:v>3387</x:v>
      </x:c>
      <x:c r="F8" s="24" t="n">
        <x:v>3320.2</x:v>
      </x:c>
      <x:c r="G8" s="24" t="n">
        <x:v>3339.2</x:v>
      </x:c>
      <x:c r="H8" s="25" t="n">
        <x:v>-0.00477583427855055</x:v>
      </x:c>
      <x:c r="I8" s="24" t="n">
        <x:f>ROUND(E8-F8,1)</x:f>
        <x:v>66.8</x:v>
      </x:c>
      <x:c r="J8" s="23" t="str">
        <x:v>IF2403</x:v>
      </x:c>
    </x:row>
    <x:row r="9">
      <x:c r="A9" s="23" t="n">
        <x:v>5</x:v>
      </x:c>
      <x:c r="B9" s="23" t="str">
        <x:v>周一</x:v>
      </x:c>
      <x:c r="C9" s="23" t="str">
        <x:v>1月8日</x:v>
      </x:c>
      <x:c r="D9" s="24" t="n">
        <x:v>3333</x:v>
      </x:c>
      <x:c r="E9" s="24" t="n">
        <x:v>3350.8</x:v>
      </x:c>
      <x:c r="F9" s="24" t="n">
        <x:v>3278.2</x:v>
      </x:c>
      <x:c r="G9" s="24" t="n">
        <x:v>3278.4</x:v>
      </x:c>
      <x:c r="H9" s="25" t="n">
        <x:v>-0.01637574230700012</x:v>
      </x:c>
      <x:c r="I9" s="24" t="n">
        <x:f>ROUND(E9-F9,1)</x:f>
        <x:v>72.6</x:v>
      </x:c>
      <x:c r="J9" s="23" t="str">
        <x:v>IF2403</x:v>
      </x:c>
    </x:row>
    <x:row r="10">
      <x:c r="A10" s="23" t="n">
        <x:v>6</x:v>
      </x:c>
      <x:c r="B10" s="23" t="str">
        <x:v>周二</x:v>
      </x:c>
      <x:c r="C10" s="23" t="str">
        <x:v>1月9日</x:v>
      </x:c>
      <x:c r="D10" s="24" t="n">
        <x:v>3287.8</x:v>
      </x:c>
      <x:c r="E10" s="24" t="n">
        <x:v>3313.8</x:v>
      </x:c>
      <x:c r="F10" s="24" t="n">
        <x:v>3275</x:v>
      </x:c>
      <x:c r="G10" s="24" t="n">
        <x:v>3293.6</x:v>
      </x:c>
      <x:c r="H10" s="25" t="n">
        <x:v>0.0039029149896330217</x:v>
      </x:c>
      <x:c r="I10" s="24" t="n">
        <x:f>ROUND(E10-F10,1)</x:f>
        <x:v>38.8</x:v>
      </x:c>
      <x:c r="J10" s="23" t="str">
        <x:v>IF2403</x:v>
      </x:c>
    </x:row>
    <x:row r="11">
      <x:c r="A11" s="23" t="n">
        <x:v>7</x:v>
      </x:c>
      <x:c r="B11" s="23" t="str">
        <x:v>周三</x:v>
      </x:c>
      <x:c r="C11" s="23" t="str">
        <x:v>1月10日</x:v>
      </x:c>
      <x:c r="D11" s="24" t="n">
        <x:v>3281.8</x:v>
      </x:c>
      <x:c r="E11" s="24" t="n">
        <x:v>3319.8</x:v>
      </x:c>
      <x:c r="F11" s="24" t="n">
        <x:v>3267</x:v>
      </x:c>
      <x:c r="G11" s="24" t="n">
        <x:v>3280.4</x:v>
      </x:c>
      <x:c r="H11" s="25" t="n">
        <x:v>-0.004312963187948049</x:v>
      </x:c>
      <x:c r="I11" s="24" t="n">
        <x:f>ROUND(E11-F11,1)</x:f>
        <x:v>52.8</x:v>
      </x:c>
      <x:c r="J11" s="23" t="str">
        <x:v>IF2403</x:v>
      </x:c>
    </x:row>
    <x:row r="12">
      <x:c r="A12" s="23" t="n">
        <x:v>8</x:v>
      </x:c>
      <x:c r="B12" s="23" t="str">
        <x:v>周四</x:v>
      </x:c>
      <x:c r="C12" s="23" t="str">
        <x:v>1月11日</x:v>
      </x:c>
      <x:c r="D12" s="24" t="n">
        <x:v>3280</x:v>
      </x:c>
      <x:c r="E12" s="24" t="n">
        <x:v>3326.6</x:v>
      </x:c>
      <x:c r="F12" s="24" t="n">
        <x:v>3275.2</x:v>
      </x:c>
      <x:c r="G12" s="24" t="n">
        <x:v>3306.4</x:v>
      </x:c>
      <x:c r="H12" s="25" t="n">
        <x:v>0.005917881764383015</x:v>
      </x:c>
      <x:c r="I12" s="24" t="n">
        <x:f>ROUND(E12-F12,1)</x:f>
        <x:v>51.4</x:v>
      </x:c>
      <x:c r="J12" s="23" t="str">
        <x:v>IF2403</x:v>
      </x:c>
    </x:row>
    <x:row r="13">
      <x:c r="A13" s="23" t="n">
        <x:v>9</x:v>
      </x:c>
      <x:c r="B13" s="23" t="str">
        <x:v>周五</x:v>
      </x:c>
      <x:c r="C13" s="23" t="str">
        <x:v>1月12日</x:v>
      </x:c>
      <x:c r="D13" s="24" t="n">
        <x:v>3297.6</x:v>
      </x:c>
      <x:c r="E13" s="24" t="n">
        <x:v>3322.2</x:v>
      </x:c>
      <x:c r="F13" s="24" t="n">
        <x:v>3289.6</x:v>
      </x:c>
      <x:c r="G13" s="24" t="n">
        <x:v>3293.2</x:v>
      </x:c>
      <x:c r="H13" s="25" t="n">
        <x:v>-0.003396409509946574</x:v>
      </x:c>
      <x:c r="I13" s="24" t="n">
        <x:f>ROUND(E13-F13,1)</x:f>
        <x:v>32.6</x:v>
      </x:c>
      <x:c r="J13" s="23" t="str">
        <x:v>IF2403</x:v>
      </x:c>
    </x:row>
    <x:row r="14">
      <x:c r="A14" s="23" t="n">
        <x:v>10</x:v>
      </x:c>
      <x:c r="B14" s="23" t="str">
        <x:v>周一</x:v>
      </x:c>
      <x:c r="C14" s="23" t="str">
        <x:v>1月15日</x:v>
      </x:c>
      <x:c r="D14" s="24" t="n">
        <x:v>3276</x:v>
      </x:c>
      <x:c r="E14" s="24" t="n">
        <x:v>3318</x:v>
      </x:c>
      <x:c r="F14" s="24" t="n">
        <x:v>3268</x:v>
      </x:c>
      <x:c r="G14" s="24" t="n">
        <x:v>3285.4</x:v>
      </x:c>
      <x:c r="H14" s="25" t="n">
        <x:v>-0.0018865628042844529</x:v>
      </x:c>
      <x:c r="I14" s="24" t="n">
        <x:f>ROUND(E14-F14,1)</x:f>
        <x:v>50</x:v>
      </x:c>
      <x:c r="J14" s="23" t="str">
        <x:v>IF2403</x:v>
      </x:c>
    </x:row>
    <x:row r="15">
      <x:c r="A15" s="23" t="n">
        <x:v>11</x:v>
      </x:c>
      <x:c r="B15" s="23" t="str">
        <x:v>周二</x:v>
      </x:c>
      <x:c r="C15" s="23" t="str">
        <x:v>1月16日</x:v>
      </x:c>
      <x:c r="D15" s="24" t="n">
        <x:v>3277.4</x:v>
      </x:c>
      <x:c r="E15" s="24" t="n">
        <x:v>3305.6</x:v>
      </x:c>
      <x:c r="F15" s="24" t="n">
        <x:v>3253.2</x:v>
      </x:c>
      <x:c r="G15" s="24" t="n">
        <x:v>3303.2</x:v>
      </x:c>
      <x:c r="H15" s="25" t="n">
        <x:v>0.006463020547527565</x:v>
      </x:c>
      <x:c r="I15" s="24" t="n">
        <x:f>ROUND(E15-F15,1)</x:f>
        <x:v>52.4</x:v>
      </x:c>
      <x:c r="J15" s="23" t="str">
        <x:v>IF2403</x:v>
      </x:c>
    </x:row>
    <x:row r="16">
      <x:c r="A16" s="23" t="n">
        <x:v>12</x:v>
      </x:c>
      <x:c r="B16" s="23" t="str">
        <x:v>周三</x:v>
      </x:c>
      <x:c r="C16" s="23" t="str">
        <x:v>1月17日</x:v>
      </x:c>
      <x:c r="D16" s="24" t="n">
        <x:v>3294.2</x:v>
      </x:c>
      <x:c r="E16" s="24" t="n">
        <x:v>3295</x:v>
      </x:c>
      <x:c r="F16" s="24" t="n">
        <x:v>3210</x:v>
      </x:c>
      <x:c r="G16" s="24" t="n">
        <x:v>3218.2</x:v>
      </x:c>
      <x:c r="H16" s="25" t="n">
        <x:v>-0.02392924213969827</x:v>
      </x:c>
      <x:c r="I16" s="24" t="n">
        <x:f>ROUND(E16-F16,1)</x:f>
        <x:v>85</x:v>
      </x:c>
      <x:c r="J16" s="23" t="str">
        <x:v>IF2403</x:v>
      </x:c>
    </x:row>
    <x:row r="17">
      <x:c r="A17" s="23" t="n">
        <x:v>13</x:v>
      </x:c>
      <x:c r="B17" s="23" t="str">
        <x:v>周四</x:v>
      </x:c>
      <x:c r="C17" s="23" t="str">
        <x:v>1月18日</x:v>
      </x:c>
      <x:c r="D17" s="24" t="n">
        <x:v>3216</x:v>
      </x:c>
      <x:c r="E17" s="24" t="n">
        <x:v>3248.2</x:v>
      </x:c>
      <x:c r="F17" s="24" t="n">
        <x:v>3152</x:v>
      </x:c>
      <x:c r="G17" s="24" t="n">
        <x:v>3236</x:v>
      </x:c>
      <x:c r="H17" s="25" t="n">
        <x:v>0.00831678252234358</x:v>
      </x:c>
      <x:c r="I17" s="33" t="n">
        <x:f>ROUND(E17-F17,1)</x:f>
        <x:v>96.2</x:v>
      </x:c>
      <x:c r="J17" s="23" t="str">
        <x:v>IF2403</x:v>
      </x:c>
    </x:row>
    <x:row r="18">
      <x:c r="A18" s="29" t="n">
        <x:v>14</x:v>
      </x:c>
      <x:c r="B18" s="29" t="str">
        <x:v>周五</x:v>
      </x:c>
      <x:c r="C18" s="29" t="str">
        <x:v>1月19日</x:v>
      </x:c>
      <x:c r="D18" s="30" t="n">
        <x:v>3228</x:v>
      </x:c>
      <x:c r="E18" s="30" t="n">
        <x:v>3257</x:v>
      </x:c>
      <x:c r="F18" s="30" t="n">
        <x:v>3224</x:v>
      </x:c>
      <x:c r="G18" s="30" t="n">
        <x:v>3240.8</x:v>
      </x:c>
      <x:c r="H18" s="31" t="n">
        <x:v>-0.0022159300750953514</x:v>
      </x:c>
      <x:c r="I18" s="30" t="n">
        <x:f>ROUND(E18-F18,1)</x:f>
        <x:v>33</x:v>
      </x:c>
      <x:c r="J18" s="29" t="str">
        <x:v>IF2403</x:v>
      </x:c>
    </x:row>
    <x:row r="19">
      <x:c r="A19" s="23" t="n">
        <x:v>15</x:v>
      </x:c>
      <x:c r="B19" s="23" t="str">
        <x:v>周一</x:v>
      </x:c>
      <x:c r="C19" s="23" t="str">
        <x:v>1月22日</x:v>
      </x:c>
      <x:c r="D19" s="24" t="n">
        <x:v>3235.8</x:v>
      </x:c>
      <x:c r="E19" s="24" t="n">
        <x:v>3256.6</x:v>
      </x:c>
      <x:c r="F19" s="24" t="n">
        <x:v>3129.2</x:v>
      </x:c>
      <x:c r="G19" s="24" t="n">
        <x:v>3163.2</x:v>
      </x:c>
      <x:c r="H19" s="25" t="n">
        <x:v>-0.019432449105490468</x:v>
      </x:c>
      <x:c r="I19" s="33" t="n">
        <x:f>ROUND(E19-F19,1)</x:f>
        <x:v>127.4</x:v>
      </x:c>
      <x:c r="J19" s="23" t="str">
        <x:v>IF2403</x:v>
      </x:c>
    </x:row>
    <x:row r="20">
      <x:c r="A20" s="23" t="n">
        <x:v>16</x:v>
      </x:c>
      <x:c r="B20" s="23" t="str">
        <x:v>周二</x:v>
      </x:c>
      <x:c r="C20" s="23" t="str">
        <x:v>1月23日</x:v>
      </x:c>
      <x:c r="D20" s="24" t="n">
        <x:v>3160</x:v>
      </x:c>
      <x:c r="E20" s="24" t="n">
        <x:v>3238</x:v>
      </x:c>
      <x:c r="F20" s="24" t="n">
        <x:v>3152.4</x:v>
      </x:c>
      <x:c r="G20" s="24" t="n">
        <x:v>3211</x:v>
      </x:c>
      <x:c r="H20" s="25" t="n">
        <x:v>0.010443535703051232</x:v>
      </x:c>
      <x:c r="I20" s="24" t="n">
        <x:f>ROUND(E20-F20,1)</x:f>
        <x:v>85.6</x:v>
      </x:c>
      <x:c r="J20" s="23" t="str">
        <x:v>IF2403</x:v>
      </x:c>
    </x:row>
    <x:row r="21">
      <x:c r="A21" s="23" t="n">
        <x:v>17</x:v>
      </x:c>
      <x:c r="B21" s="23" t="str">
        <x:v>周三</x:v>
      </x:c>
      <x:c r="C21" s="23" t="str">
        <x:v>1月24日</x:v>
      </x:c>
      <x:c r="D21" s="24" t="n">
        <x:v>3236.8</x:v>
      </x:c>
      <x:c r="E21" s="24" t="n">
        <x:v>3266.8</x:v>
      </x:c>
      <x:c r="F21" s="24" t="n">
        <x:v>3171</x:v>
      </x:c>
      <x:c r="G21" s="24" t="n">
        <x:v>3264.8</x:v>
      </x:c>
      <x:c r="H21" s="25" t="n">
        <x:v>0.016126019550464</x:v>
      </x:c>
      <x:c r="I21" s="33" t="n">
        <x:f>ROUND(E21-F21,1)</x:f>
        <x:v>95.8</x:v>
      </x:c>
      <x:c r="J21" s="23" t="str">
        <x:v>IF2403</x:v>
      </x:c>
    </x:row>
    <x:row r="22">
      <x:c r="A22" s="23" t="n">
        <x:v>18</x:v>
      </x:c>
      <x:c r="B22" s="23" t="str">
        <x:v>周四</x:v>
      </x:c>
      <x:c r="C22" s="23" t="str">
        <x:v>1月25日</x:v>
      </x:c>
      <x:c r="D22" s="24" t="n">
        <x:v>3265.8</x:v>
      </x:c>
      <x:c r="E22" s="24" t="n">
        <x:v>3340</x:v>
      </x:c>
      <x:c r="F22" s="24" t="n">
        <x:v>3251.6</x:v>
      </x:c>
      <x:c r="G22" s="24" t="n">
        <x:v>3335.2</x:v>
      </x:c>
      <x:c r="H22" s="25" t="n">
        <x:v>0.02150735294117645</x:v>
      </x:c>
      <x:c r="I22" s="24" t="n">
        <x:f>ROUND(E22-F22,1)</x:f>
        <x:v>88.4</x:v>
      </x:c>
      <x:c r="J22" s="23" t="str">
        <x:v>IF2403</x:v>
      </x:c>
    </x:row>
    <x:row r="23">
      <x:c r="A23" s="23" t="n">
        <x:v>19</x:v>
      </x:c>
      <x:c r="B23" s="23" t="str">
        <x:v>周五</x:v>
      </x:c>
      <x:c r="C23" s="23" t="str">
        <x:v>1月26日</x:v>
      </x:c>
      <x:c r="D23" s="24" t="n">
        <x:v>3325</x:v>
      </x:c>
      <x:c r="E23" s="24" t="n">
        <x:v>3347</x:v>
      </x:c>
      <x:c r="F23" s="24" t="n">
        <x:v>3313.6</x:v>
      </x:c>
      <x:c r="G23" s="24" t="n">
        <x:v>3326</x:v>
      </x:c>
      <x:c r="H23" s="25" t="n">
        <x:v>-0.0019794853338132024</x:v>
      </x:c>
      <x:c r="I23" s="24" t="n">
        <x:f>ROUND(E23-F23,1)</x:f>
        <x:v>33.4</x:v>
      </x:c>
      <x:c r="J23" s="23" t="str">
        <x:v>IF2403</x:v>
      </x:c>
    </x:row>
    <x:row r="24">
      <x:c r="A24" s="23" t="n">
        <x:v>20</x:v>
      </x:c>
      <x:c r="B24" s="23" t="str">
        <x:v>周一</x:v>
      </x:c>
      <x:c r="C24" s="23" t="str">
        <x:v>1月29日</x:v>
      </x:c>
      <x:c r="D24" s="24" t="n">
        <x:v>3331</x:v>
      </x:c>
      <x:c r="E24" s="24" t="n">
        <x:v>3348.2</x:v>
      </x:c>
      <x:c r="F24" s="24" t="n">
        <x:v>3288.2</x:v>
      </x:c>
      <x:c r="G24" s="24" t="n">
        <x:v>3289.2</x:v>
      </x:c>
      <x:c r="H24" s="25" t="n">
        <x:v>-0.010097367472051921</x:v>
      </x:c>
      <x:c r="I24" s="24" t="n">
        <x:f>ROUND(E24-F24,1)</x:f>
        <x:v>60</x:v>
      </x:c>
      <x:c r="J24" s="23" t="str">
        <x:v>IF2403</x:v>
      </x:c>
    </x:row>
    <x:row r="25">
      <x:c r="A25" s="23" t="n">
        <x:v>21</x:v>
      </x:c>
      <x:c r="B25" s="23" t="str">
        <x:v>周二</x:v>
      </x:c>
      <x:c r="C25" s="23" t="str">
        <x:v>1月30日</x:v>
      </x:c>
      <x:c r="D25" s="24" t="n">
        <x:v>3279.2</x:v>
      </x:c>
      <x:c r="E25" s="24" t="n">
        <x:v>3290</x:v>
      </x:c>
      <x:c r="F25" s="24" t="n">
        <x:v>3235</x:v>
      </x:c>
      <x:c r="G25" s="24" t="n">
        <x:v>3235.6</x:v>
      </x:c>
      <x:c r="H25" s="25" t="n">
        <x:v>-0.01718275652701884</x:v>
      </x:c>
      <x:c r="I25" s="24" t="n">
        <x:f>ROUND(E25-F25,1)</x:f>
        <x:v>55</x:v>
      </x:c>
      <x:c r="J25" s="23" t="str">
        <x:v>IF2403</x:v>
      </x:c>
    </x:row>
    <x:row r="26">
      <x:c r="A26" s="23" t="n">
        <x:v>22</x:v>
      </x:c>
      <x:c r="B26" s="23" t="str">
        <x:v>周三</x:v>
      </x:c>
      <x:c r="C26" s="23" t="str">
        <x:v>1月31日</x:v>
      </x:c>
      <x:c r="D26" s="24" t="n">
        <x:v>3228.6</x:v>
      </x:c>
      <x:c r="E26" s="24" t="n">
        <x:v>3249</x:v>
      </x:c>
      <x:c r="F26" s="24" t="n">
        <x:v>3189</x:v>
      </x:c>
      <x:c r="G26" s="24" t="n">
        <x:v>3206.6</x:v>
      </x:c>
      <x:c r="H26" s="25" t="n">
        <x:v>-0.007845802186940198</x:v>
      </x:c>
      <x:c r="I26" s="24" t="n">
        <x:f>ROUND(E26-F26,1)</x:f>
        <x:v>60</x:v>
      </x:c>
      <x:c r="J26" s="23" t="str">
        <x:v>IF2403</x:v>
      </x:c>
    </x:row>
    <x:row r="27">
      <x:c r="A27" s="36" t="str">
        <x:v>合计</x:v>
      </x:c>
      <x:c r="B27" s="35" t="n">
        <x:v>22</x:v>
      </x:c>
      <x:c r="C27" s="35"/>
      <x:c r="D27" s="35"/>
      <x:c r="E27" s="35"/>
      <x:c r="F27" s="35"/>
      <x:c r="G27" s="35"/>
      <x:c r="H27" s="35"/>
      <x:c r="I27" s="37" t="n">
        <x:f>ROUND(SUM(I5:I26),1)</x:f>
        <x:v>1386</x:v>
      </x:c>
      <x:c r="J27" s="35"/>
    </x:row>
    <x:row r="28">
      <x:c r="A28" s="36" t="str">
        <x:v>均值</x:v>
      </x:c>
      <x:c r="B28" s="35"/>
      <x:c r="C28" s="35"/>
      <x:c r="D28" s="35"/>
      <x:c r="E28" s="35"/>
      <x:c r="F28" s="35"/>
      <x:c r="G28" s="35"/>
      <x:c r="H28" s="35"/>
      <x:c r="I28" s="39" t="n">
        <x:f>ROUND(IFERROR(AVERAGE(I5:I26),0),1)</x:f>
        <x:v>63</x:v>
      </x:c>
      <x:c r="J28" s="35"/>
    </x:row>
    <x:row r="30">
      <x:c r="A30" s="17" t="str">
        <x:v>2月</x:v>
      </x:c>
      <x:c r="B30" s="17"/>
      <x:c r="C30" s="17"/>
      <x:c r="D30" s="17"/>
      <x:c r="E30" s="17"/>
      <x:c r="F30" s="17"/>
      <x:c r="G30" s="17"/>
      <x:c r="H30" s="17"/>
      <x:c r="I30" s="17"/>
      <x:c r="J30" s="17"/>
    </x:row>
    <x:row r="31">
      <x:c r="A31" s="20" t="str">
        <x:v>序号</x:v>
      </x:c>
      <x:c r="B31" s="20" t="str">
        <x:v>星期</x:v>
      </x:c>
      <x:c r="C31" s="20" t="str">
        <x:v>日期</x:v>
      </x:c>
      <x:c r="D31" s="20" t="str">
        <x:v>开盘</x:v>
      </x:c>
      <x:c r="E31" s="20" t="str">
        <x:v>高点</x:v>
      </x:c>
      <x:c r="F31" s="20" t="str">
        <x:v>低点</x:v>
      </x:c>
      <x:c r="G31" s="20" t="str">
        <x:v>收盘</x:v>
      </x:c>
      <x:c r="H31" s="20" t="str">
        <x:v>涨幅</x:v>
      </x:c>
      <x:c r="I31" s="20" t="str">
        <x:v>振幅</x:v>
      </x:c>
      <x:c r="J31" s="20" t="str">
        <x:v>标的</x:v>
      </x:c>
    </x:row>
    <x:row r="32">
      <x:c r="A32" s="23" t="n">
        <x:v>1</x:v>
      </x:c>
      <x:c r="B32" s="23" t="str">
        <x:v>周四</x:v>
      </x:c>
      <x:c r="C32" s="23" t="str">
        <x:v>2月1日</x:v>
      </x:c>
      <x:c r="D32" s="24" t="n">
        <x:v>3200</x:v>
      </x:c>
      <x:c r="E32" s="24" t="n">
        <x:v>3245</x:v>
      </x:c>
      <x:c r="F32" s="24" t="n">
        <x:v>3183.2</x:v>
      </x:c>
      <x:c r="G32" s="24" t="n">
        <x:v>3208.4</x:v>
      </x:c>
      <x:c r="H32" s="25" t="n">
        <x:v>0.0004981320049812776</x:v>
      </x:c>
      <x:c r="I32" s="24" t="n">
        <x:f>ROUND(E32-F32,1)</x:f>
        <x:v>61.8</x:v>
      </x:c>
      <x:c r="J32" s="23" t="str">
        <x:v>IF2403</x:v>
      </x:c>
    </x:row>
    <x:row r="33">
      <x:c r="A33" s="23" t="n">
        <x:v>2</x:v>
      </x:c>
      <x:c r="B33" s="23" t="str">
        <x:v>周五</x:v>
      </x:c>
      <x:c r="C33" s="23" t="str">
        <x:v>2月2日</x:v>
      </x:c>
      <x:c r="D33" s="24" t="n">
        <x:v>3218</x:v>
      </x:c>
      <x:c r="E33" s="24" t="n">
        <x:v>3229.4</x:v>
      </x:c>
      <x:c r="F33" s="24" t="n">
        <x:v>3073</x:v>
      </x:c>
      <x:c r="G33" s="24" t="n">
        <x:v>3156</x:v>
      </x:c>
      <x:c r="H33" s="25" t="n">
        <x:v>-0.014998755290017374</x:v>
      </x:c>
      <x:c r="I33" s="33" t="n">
        <x:f>ROUND(E33-F33,1)</x:f>
        <x:v>156.4</x:v>
      </x:c>
      <x:c r="J33" s="23" t="str">
        <x:v>IF2403</x:v>
      </x:c>
    </x:row>
    <x:row r="34">
      <x:c r="A34" s="23" t="n">
        <x:v>3</x:v>
      </x:c>
      <x:c r="B34" s="23" t="str">
        <x:v>周一</x:v>
      </x:c>
      <x:c r="C34" s="23" t="str">
        <x:v>2月5日</x:v>
      </x:c>
      <x:c r="D34" s="24" t="n">
        <x:v>3137</x:v>
      </x:c>
      <x:c r="E34" s="24" t="n">
        <x:v>3184</x:v>
      </x:c>
      <x:c r="F34" s="24" t="n">
        <x:v>3060</x:v>
      </x:c>
      <x:c r="G34" s="24" t="n">
        <x:v>3131.2</x:v>
      </x:c>
      <x:c r="H34" s="25" t="n">
        <x:v>0.0018323118721170761</x:v>
      </x:c>
      <x:c r="I34" s="33" t="n">
        <x:f>ROUND(E34-F34,1)</x:f>
        <x:v>124</x:v>
      </x:c>
      <x:c r="J34" s="23" t="str">
        <x:v>IF2403</x:v>
      </x:c>
    </x:row>
    <x:row r="35">
      <x:c r="A35" s="23" t="n">
        <x:v>4</x:v>
      </x:c>
      <x:c r="B35" s="23" t="str">
        <x:v>周二</x:v>
      </x:c>
      <x:c r="C35" s="23" t="str">
        <x:v>2月6日</x:v>
      </x:c>
      <x:c r="D35" s="24" t="n">
        <x:v>3121</x:v>
      </x:c>
      <x:c r="E35" s="24" t="n">
        <x:v>3288</x:v>
      </x:c>
      <x:c r="F35" s="24" t="n">
        <x:v>3121</x:v>
      </x:c>
      <x:c r="G35" s="24" t="n">
        <x:v>3278.6</x:v>
      </x:c>
      <x:c r="H35" s="25" t="n">
        <x:v>0.04156155398587291</x:v>
      </x:c>
      <x:c r="I35" s="33" t="n">
        <x:f>ROUND(E35-F35,1)</x:f>
        <x:v>167</x:v>
      </x:c>
      <x:c r="J35" s="23" t="str">
        <x:v>IF2403</x:v>
      </x:c>
    </x:row>
    <x:row r="36">
      <x:c r="A36" s="23" t="n">
        <x:v>5</x:v>
      </x:c>
      <x:c r="B36" s="23" t="str">
        <x:v>周三</x:v>
      </x:c>
      <x:c r="C36" s="23" t="str">
        <x:v>2月7日</x:v>
      </x:c>
      <x:c r="D36" s="24" t="n">
        <x:v>3279</x:v>
      </x:c>
      <x:c r="E36" s="24" t="n">
        <x:v>3327</x:v>
      </x:c>
      <x:c r="F36" s="24" t="n">
        <x:v>3271</x:v>
      </x:c>
      <x:c r="G36" s="24" t="n">
        <x:v>3316.6</x:v>
      </x:c>
      <x:c r="H36" s="25" t="n">
        <x:v>0.00411746896760512</x:v>
      </x:c>
      <x:c r="I36" s="24" t="n">
        <x:f>ROUND(E36-F36,1)</x:f>
        <x:v>56</x:v>
      </x:c>
      <x:c r="J36" s="23" t="str">
        <x:v>IF2403</x:v>
      </x:c>
    </x:row>
    <x:row r="37">
      <x:c r="A37" s="23" t="n">
        <x:v>6</x:v>
      </x:c>
      <x:c r="B37" s="23" t="str">
        <x:v>周四</x:v>
      </x:c>
      <x:c r="C37" s="23" t="str">
        <x:v>2月8日</x:v>
      </x:c>
      <x:c r="D37" s="24" t="n">
        <x:v>3334</x:v>
      </x:c>
      <x:c r="E37" s="24" t="n">
        <x:v>3363</x:v>
      </x:c>
      <x:c r="F37" s="24" t="n">
        <x:v>3329.8</x:v>
      </x:c>
      <x:c r="G37" s="24" t="n">
        <x:v>3353.6</x:v>
      </x:c>
      <x:c r="H37" s="25" t="n">
        <x:v>0.011156003135741388</x:v>
      </x:c>
      <x:c r="I37" s="24" t="n">
        <x:f>ROUND(E37-F37,1)</x:f>
        <x:v>33.2</x:v>
      </x:c>
      <x:c r="J37" s="23" t="str">
        <x:v>IF2403</x:v>
      </x:c>
    </x:row>
    <x:row r="38">
      <x:c r="A38" s="29" t="n">
        <x:v>7</x:v>
      </x:c>
      <x:c r="B38" s="29" t="str">
        <x:v>周一</x:v>
      </x:c>
      <x:c r="C38" s="29" t="str">
        <x:v>2月19日</x:v>
      </x:c>
      <x:c r="D38" s="30" t="n">
        <x:v>3385</x:v>
      </x:c>
      <x:c r="E38" s="30" t="n">
        <x:v>3388</x:v>
      </x:c>
      <x:c r="F38" s="30" t="n">
        <x:v>3354.2</x:v>
      </x:c>
      <x:c r="G38" s="30" t="n">
        <x:v>3373</x:v>
      </x:c>
      <x:c r="H38" s="31" t="n">
        <x:v>0.005784828244274731</x:v>
      </x:c>
      <x:c r="I38" s="30" t="n">
        <x:f>ROUND(E38-F38,1)</x:f>
        <x:v>33.8</x:v>
      </x:c>
      <x:c r="J38" s="29" t="str">
        <x:v>IF2403</x:v>
      </x:c>
    </x:row>
    <x:row r="39">
      <x:c r="A39" s="23" t="n">
        <x:v>8</x:v>
      </x:c>
      <x:c r="B39" s="23" t="str">
        <x:v>周二</x:v>
      </x:c>
      <x:c r="C39" s="23" t="str">
        <x:v>2月20日</x:v>
      </x:c>
      <x:c r="D39" s="24" t="n">
        <x:v>3373</x:v>
      </x:c>
      <x:c r="E39" s="24" t="n">
        <x:v>3397</x:v>
      </x:c>
      <x:c r="F39" s="24" t="n">
        <x:v>3361</x:v>
      </x:c>
      <x:c r="G39" s="24" t="n">
        <x:v>3387</x:v>
      </x:c>
      <x:c r="H39" s="25" t="n">
        <x:v>0.004150607767565928</x:v>
      </x:c>
      <x:c r="I39" s="24" t="n">
        <x:f>ROUND(E39-F39,1)</x:f>
        <x:v>36</x:v>
      </x:c>
      <x:c r="J39" s="23" t="str">
        <x:v>IF2403</x:v>
      </x:c>
    </x:row>
    <x:row r="40">
      <x:c r="A40" s="23" t="n">
        <x:v>9</x:v>
      </x:c>
      <x:c r="B40" s="23" t="str">
        <x:v>周三</x:v>
      </x:c>
      <x:c r="C40" s="23" t="str">
        <x:v>2月21日</x:v>
      </x:c>
      <x:c r="D40" s="24" t="n">
        <x:v>3374.2</x:v>
      </x:c>
      <x:c r="E40" s="24" t="n">
        <x:v>3504.8</x:v>
      </x:c>
      <x:c r="F40" s="24" t="n">
        <x:v>3371.4</x:v>
      </x:c>
      <x:c r="G40" s="24" t="n">
        <x:v>3455</x:v>
      </x:c>
      <x:c r="H40" s="25" t="n">
        <x:v>0.02007676409802195</x:v>
      </x:c>
      <x:c r="I40" s="33" t="n">
        <x:f>ROUND(E40-F40,1)</x:f>
        <x:v>133.4</x:v>
      </x:c>
      <x:c r="J40" s="23" t="str">
        <x:v>IF2403</x:v>
      </x:c>
    </x:row>
    <x:row r="41">
      <x:c r="A41" s="23" t="n">
        <x:v>10</x:v>
      </x:c>
      <x:c r="B41" s="23" t="str">
        <x:v>周四</x:v>
      </x:c>
      <x:c r="C41" s="23" t="str">
        <x:v>2月22日</x:v>
      </x:c>
      <x:c r="D41" s="24" t="n">
        <x:v>3451.2</x:v>
      </x:c>
      <x:c r="E41" s="24" t="n">
        <x:v>3487.4</x:v>
      </x:c>
      <x:c r="F41" s="24" t="n">
        <x:v>3450</x:v>
      </x:c>
      <x:c r="G41" s="24" t="n">
        <x:v>3484</x:v>
      </x:c>
      <x:c r="H41" s="25" t="n">
        <x:v>0.008393632416787256</x:v>
      </x:c>
      <x:c r="I41" s="24" t="n">
        <x:f>ROUND(E41-F41,1)</x:f>
        <x:v>37.4</x:v>
      </x:c>
      <x:c r="J41" s="23" t="str">
        <x:v>IF2403</x:v>
      </x:c>
    </x:row>
    <x:row r="42">
      <x:c r="A42" s="23" t="n">
        <x:v>11</x:v>
      </x:c>
      <x:c r="B42" s="23" t="str">
        <x:v>周五</x:v>
      </x:c>
      <x:c r="C42" s="23" t="str">
        <x:v>2月23日</x:v>
      </x:c>
      <x:c r="D42" s="24" t="n">
        <x:v>3488.8</x:v>
      </x:c>
      <x:c r="E42" s="24" t="n">
        <x:v>3505</x:v>
      </x:c>
      <x:c r="F42" s="24" t="n">
        <x:v>3471</x:v>
      </x:c>
      <x:c r="G42" s="24" t="n">
        <x:v>3487</x:v>
      </x:c>
      <x:c r="H42" s="25" t="n">
        <x:v>0.000861079219288241</x:v>
      </x:c>
      <x:c r="I42" s="24" t="n">
        <x:f>ROUND(E42-F42,1)</x:f>
        <x:v>34</x:v>
      </x:c>
      <x:c r="J42" s="23" t="str">
        <x:v>IF2403</x:v>
      </x:c>
    </x:row>
    <x:row r="43">
      <x:c r="A43" s="23" t="n">
        <x:v>12</x:v>
      </x:c>
      <x:c r="B43" s="23" t="str">
        <x:v>周一</x:v>
      </x:c>
      <x:c r="C43" s="23" t="str">
        <x:v>2月26日</x:v>
      </x:c>
      <x:c r="D43" s="24" t="n">
        <x:v>3481.6</x:v>
      </x:c>
      <x:c r="E43" s="24" t="n">
        <x:v>3489</x:v>
      </x:c>
      <x:c r="F43" s="24" t="n">
        <x:v>3441.6</x:v>
      </x:c>
      <x:c r="G43" s="24" t="n">
        <x:v>3445.4</x:v>
      </x:c>
      <x:c r="H43" s="25" t="n">
        <x:v>-0.011930025810152012</x:v>
      </x:c>
      <x:c r="I43" s="24" t="n">
        <x:f>ROUND(E43-F43,1)</x:f>
        <x:v>47.4</x:v>
      </x:c>
      <x:c r="J43" s="23" t="str">
        <x:v>IF2403</x:v>
      </x:c>
    </x:row>
    <x:row r="44">
      <x:c r="A44" s="23" t="n">
        <x:v>13</x:v>
      </x:c>
      <x:c r="B44" s="23" t="str">
        <x:v>周二</x:v>
      </x:c>
      <x:c r="C44" s="23" t="str">
        <x:v>2月27日</x:v>
      </x:c>
      <x:c r="D44" s="24" t="n">
        <x:v>3441.8</x:v>
      </x:c>
      <x:c r="E44" s="24" t="n">
        <x:v>3497.6</x:v>
      </x:c>
      <x:c r="F44" s="24" t="n">
        <x:v>3436.4</x:v>
      </x:c>
      <x:c r="G44" s="24" t="n">
        <x:v>3497.4</x:v>
      </x:c>
      <x:c r="H44" s="25" t="n">
        <x:v>0.01509258721773965</x:v>
      </x:c>
      <x:c r="I44" s="24" t="n">
        <x:f>ROUND(E44-F44,1)</x:f>
        <x:v>61.2</x:v>
      </x:c>
      <x:c r="J44" s="23" t="str">
        <x:v>IF2403</x:v>
      </x:c>
    </x:row>
    <x:row r="45">
      <x:c r="A45" s="23" t="n">
        <x:v>14</x:v>
      </x:c>
      <x:c r="B45" s="23" t="str">
        <x:v>周三</x:v>
      </x:c>
      <x:c r="C45" s="23" t="str">
        <x:v>2月28日</x:v>
      </x:c>
      <x:c r="D45" s="24" t="n">
        <x:v>3500</x:v>
      </x:c>
      <x:c r="E45" s="24" t="n">
        <x:v>3525.2</x:v>
      </x:c>
      <x:c r="F45" s="24" t="n">
        <x:v>3454</x:v>
      </x:c>
      <x:c r="G45" s="24" t="n">
        <x:v>3456.8</x:v>
      </x:c>
      <x:c r="H45" s="25" t="n">
        <x:v>-0.011608623548922004</x:v>
      </x:c>
      <x:c r="I45" s="24" t="n">
        <x:f>ROUND(E45-F45,1)</x:f>
        <x:v>71.2</x:v>
      </x:c>
      <x:c r="J45" s="23" t="str">
        <x:v>IF2403</x:v>
      </x:c>
    </x:row>
    <x:row r="46">
      <x:c r="A46" s="23" t="n">
        <x:v>15</x:v>
      </x:c>
      <x:c r="B46" s="23" t="str">
        <x:v>周四</x:v>
      </x:c>
      <x:c r="C46" s="23" t="str">
        <x:v>2月29日</x:v>
      </x:c>
      <x:c r="D46" s="24" t="n">
        <x:v>3460</x:v>
      </x:c>
      <x:c r="E46" s="24" t="n">
        <x:v>3520</x:v>
      </x:c>
      <x:c r="F46" s="24" t="n">
        <x:v>3455</x:v>
      </x:c>
      <x:c r="G46" s="24" t="n">
        <x:v>3515.4</x:v>
      </x:c>
      <x:c r="H46" s="25" t="n">
        <x:v>0.016952094422587383</x:v>
      </x:c>
      <x:c r="I46" s="24" t="n">
        <x:f>ROUND(E46-F46,1)</x:f>
        <x:v>65</x:v>
      </x:c>
      <x:c r="J46" s="23" t="str">
        <x:v>IF2403</x:v>
      </x:c>
    </x:row>
    <x:row r="47">
      <x:c r="A47" s="36" t="str">
        <x:v>合计</x:v>
      </x:c>
      <x:c r="B47" s="35" t="n">
        <x:v>15</x:v>
      </x:c>
      <x:c r="C47" s="35"/>
      <x:c r="D47" s="35"/>
      <x:c r="E47" s="35"/>
      <x:c r="F47" s="35"/>
      <x:c r="G47" s="35"/>
      <x:c r="H47" s="35"/>
      <x:c r="I47" s="37" t="n">
        <x:f>ROUND(SUM(I32:I46),1)</x:f>
        <x:v>1117.8</x:v>
      </x:c>
      <x:c r="J47" s="35"/>
    </x:row>
    <x:row r="48">
      <x:c r="A48" s="36" t="str">
        <x:v>均值</x:v>
      </x:c>
      <x:c r="B48" s="35"/>
      <x:c r="C48" s="35"/>
      <x:c r="D48" s="35"/>
      <x:c r="E48" s="35"/>
      <x:c r="F48" s="35"/>
      <x:c r="G48" s="35"/>
      <x:c r="H48" s="35"/>
      <x:c r="I48" s="39" t="n">
        <x:f>ROUND(IFERROR(AVERAGE(I32:I46),0),1)</x:f>
        <x:v>74.5</x:v>
      </x:c>
      <x:c r="J48" s="35"/>
    </x:row>
    <x:row r="50">
      <x:c r="A50" s="17" t="str">
        <x:v>3月</x:v>
      </x:c>
      <x:c r="B50" s="17"/>
      <x:c r="C50" s="17"/>
      <x:c r="D50" s="17"/>
      <x:c r="E50" s="17"/>
      <x:c r="F50" s="17"/>
      <x:c r="G50" s="17"/>
      <x:c r="H50" s="17"/>
      <x:c r="I50" s="17"/>
      <x:c r="J50" s="17"/>
    </x:row>
    <x:row r="51">
      <x:c r="A51" s="20" t="str">
        <x:v>序号</x:v>
      </x:c>
      <x:c r="B51" s="20" t="str">
        <x:v>星期</x:v>
      </x:c>
      <x:c r="C51" s="20" t="str">
        <x:v>日期</x:v>
      </x:c>
      <x:c r="D51" s="20" t="str">
        <x:v>开盘</x:v>
      </x:c>
      <x:c r="E51" s="20" t="str">
        <x:v>高点</x:v>
      </x:c>
      <x:c r="F51" s="20" t="str">
        <x:v>低点</x:v>
      </x:c>
      <x:c r="G51" s="20" t="str">
        <x:v>收盘</x:v>
      </x:c>
      <x:c r="H51" s="20" t="str">
        <x:v>涨幅</x:v>
      </x:c>
      <x:c r="I51" s="20" t="str">
        <x:v>振幅</x:v>
      </x:c>
      <x:c r="J51" s="20" t="str">
        <x:v>标的</x:v>
      </x:c>
    </x:row>
    <x:row r="52">
      <x:c r="A52" s="23" t="n">
        <x:v>1</x:v>
      </x:c>
      <x:c r="B52" s="23" t="str">
        <x:v>周五</x:v>
      </x:c>
      <x:c r="C52" s="23" t="str">
        <x:v>3月1日</x:v>
      </x:c>
      <x:c r="D52" s="24" t="n">
        <x:v>3505.2</x:v>
      </x:c>
      <x:c r="E52" s="24" t="n">
        <x:v>3550.8</x:v>
      </x:c>
      <x:c r="F52" s="24" t="n">
        <x:v>3504</x:v>
      </x:c>
      <x:c r="G52" s="24" t="n">
        <x:v>3540</x:v>
      </x:c>
      <x:c r="H52" s="25" t="n">
        <x:v>0.006997781191329544</x:v>
      </x:c>
      <x:c r="I52" s="24" t="n">
        <x:f>ROUND(E52-F52,1)</x:f>
        <x:v>46.8</x:v>
      </x:c>
      <x:c r="J52" s="23" t="str">
        <x:v>IF2403</x:v>
      </x:c>
    </x:row>
    <x:row r="53">
      <x:c r="A53" s="23" t="n">
        <x:v>2</x:v>
      </x:c>
      <x:c r="B53" s="23" t="str">
        <x:v>周一</x:v>
      </x:c>
      <x:c r="C53" s="23" t="str">
        <x:v>3月4日</x:v>
      </x:c>
      <x:c r="D53" s="24" t="n">
        <x:v>3538</x:v>
      </x:c>
      <x:c r="E53" s="24" t="n">
        <x:v>3548</x:v>
      </x:c>
      <x:c r="F53" s="24" t="n">
        <x:v>3519.4</x:v>
      </x:c>
      <x:c r="G53" s="24" t="n">
        <x:v>3531</x:v>
      </x:c>
      <x:c r="H53" s="25" t="n">
        <x:v>-0.0025423728813559476</x:v>
      </x:c>
      <x:c r="I53" s="24" t="n">
        <x:f>ROUND(E53-F53,1)</x:f>
        <x:v>28.6</x:v>
      </x:c>
      <x:c r="J53" s="23" t="str">
        <x:v>IF2403</x:v>
      </x:c>
    </x:row>
    <x:row r="54">
      <x:c r="A54" s="23" t="n">
        <x:v>3</x:v>
      </x:c>
      <x:c r="B54" s="23" t="str">
        <x:v>周二</x:v>
      </x:c>
      <x:c r="C54" s="23" t="str">
        <x:v>3月5日</x:v>
      </x:c>
      <x:c r="D54" s="24" t="n">
        <x:v>3517</x:v>
      </x:c>
      <x:c r="E54" s="24" t="n">
        <x:v>3558.8</x:v>
      </x:c>
      <x:c r="F54" s="24" t="n">
        <x:v>3510</x:v>
      </x:c>
      <x:c r="G54" s="24" t="n">
        <x:v>3545.6</x:v>
      </x:c>
      <x:c r="H54" s="25" t="n">
        <x:v>0.004134806003964764</x:v>
      </x:c>
      <x:c r="I54" s="24" t="n">
        <x:f>ROUND(E54-F54,1)</x:f>
        <x:v>48.8</x:v>
      </x:c>
      <x:c r="J54" s="23" t="str">
        <x:v>IF2403</x:v>
      </x:c>
    </x:row>
    <x:row r="55">
      <x:c r="A55" s="23" t="n">
        <x:v>4</x:v>
      </x:c>
      <x:c r="B55" s="23" t="str">
        <x:v>周三</x:v>
      </x:c>
      <x:c r="C55" s="23" t="str">
        <x:v>3月6日</x:v>
      </x:c>
      <x:c r="D55" s="24" t="n">
        <x:v>3542.6</x:v>
      </x:c>
      <x:c r="E55" s="24" t="n">
        <x:v>3578.6</x:v>
      </x:c>
      <x:c r="F55" s="24" t="n">
        <x:v>3535.8</x:v>
      </x:c>
      <x:c r="G55" s="24" t="n">
        <x:v>3545.2</x:v>
      </x:c>
      <x:c r="H55" s="25" t="n">
        <x:v>-0.0001128158844765359</x:v>
      </x:c>
      <x:c r="I55" s="24" t="n">
        <x:f>ROUND(E55-F55,1)</x:f>
        <x:v>42.8</x:v>
      </x:c>
      <x:c r="J55" s="23" t="str">
        <x:v>IF2403</x:v>
      </x:c>
    </x:row>
    <x:row r="56">
      <x:c r="A56" s="23" t="n">
        <x:v>5</x:v>
      </x:c>
      <x:c r="B56" s="23" t="str">
        <x:v>周四</x:v>
      </x:c>
      <x:c r="C56" s="23" t="str">
        <x:v>3月7日</x:v>
      </x:c>
      <x:c r="D56" s="24" t="n">
        <x:v>3545.6</x:v>
      </x:c>
      <x:c r="E56" s="24" t="n">
        <x:v>3569.6</x:v>
      </x:c>
      <x:c r="F56" s="24" t="n">
        <x:v>3521</x:v>
      </x:c>
      <x:c r="G56" s="24" t="n">
        <x:v>3526</x:v>
      </x:c>
      <x:c r="H56" s="25" t="n">
        <x:v>-0.0054157734401443225</x:v>
      </x:c>
      <x:c r="I56" s="24" t="n">
        <x:f>ROUND(E56-F56,1)</x:f>
        <x:v>48.6</x:v>
      </x:c>
      <x:c r="J56" s="23" t="str">
        <x:v>IF2403</x:v>
      </x:c>
    </x:row>
    <x:row r="57">
      <x:c r="A57" s="23" t="n">
        <x:v>6</x:v>
      </x:c>
      <x:c r="B57" s="23" t="str">
        <x:v>周五</x:v>
      </x:c>
      <x:c r="C57" s="23" t="str">
        <x:v>3月8日</x:v>
      </x:c>
      <x:c r="D57" s="24" t="n">
        <x:v>3536</x:v>
      </x:c>
      <x:c r="E57" s="24" t="n">
        <x:v>3548.8</x:v>
      </x:c>
      <x:c r="F57" s="24" t="n">
        <x:v>3510</x:v>
      </x:c>
      <x:c r="G57" s="24" t="n">
        <x:v>3541</x:v>
      </x:c>
      <x:c r="H57" s="25" t="n">
        <x:v>0.0042541123085648724</x:v>
      </x:c>
      <x:c r="I57" s="24" t="n">
        <x:f>ROUND(E57-F57,1)</x:f>
        <x:v>38.8</x:v>
      </x:c>
      <x:c r="J57" s="23" t="str">
        <x:v>IF2403</x:v>
      </x:c>
    </x:row>
    <x:row r="58">
      <x:c r="A58" s="23" t="n">
        <x:v>7</x:v>
      </x:c>
      <x:c r="B58" s="23" t="str">
        <x:v>周一</x:v>
      </x:c>
      <x:c r="C58" s="23" t="str">
        <x:v>3月11日</x:v>
      </x:c>
      <x:c r="D58" s="24" t="n">
        <x:v>3540</x:v>
      </x:c>
      <x:c r="E58" s="24" t="n">
        <x:v>3591.8</x:v>
      </x:c>
      <x:c r="F58" s="24" t="n">
        <x:v>3537.2</x:v>
      </x:c>
      <x:c r="G58" s="24" t="n">
        <x:v>3590.2</x:v>
      </x:c>
      <x:c r="H58" s="25" t="n">
        <x:v>0.013894380118610439</x:v>
      </x:c>
      <x:c r="I58" s="24" t="n">
        <x:f>ROUND(E58-F58,1)</x:f>
        <x:v>54.6</x:v>
      </x:c>
      <x:c r="J58" s="23" t="str">
        <x:v>IF2403</x:v>
      </x:c>
    </x:row>
    <x:row r="59">
      <x:c r="A59" s="23" t="n">
        <x:v>8</x:v>
      </x:c>
      <x:c r="B59" s="23" t="str">
        <x:v>周二</x:v>
      </x:c>
      <x:c r="C59" s="23" t="str">
        <x:v>3月12日</x:v>
      </x:c>
      <x:c r="D59" s="24" t="n">
        <x:v>3594.2</x:v>
      </x:c>
      <x:c r="E59" s="24" t="n">
        <x:v>3611.8</x:v>
      </x:c>
      <x:c r="F59" s="24" t="n">
        <x:v>3580</x:v>
      </x:c>
      <x:c r="G59" s="24" t="n">
        <x:v>3598.4</x:v>
      </x:c>
      <x:c r="H59" s="25" t="n">
        <x:v>0.002283995320595089</x:v>
      </x:c>
      <x:c r="I59" s="24" t="n">
        <x:f>ROUND(E59-F59,1)</x:f>
        <x:v>31.8</x:v>
      </x:c>
      <x:c r="J59" s="23" t="str">
        <x:v>IF2403</x:v>
      </x:c>
    </x:row>
    <x:row r="60">
      <x:c r="A60" s="23" t="n">
        <x:v>9</x:v>
      </x:c>
      <x:c r="B60" s="23" t="str">
        <x:v>周三</x:v>
      </x:c>
      <x:c r="C60" s="23" t="str">
        <x:v>3月13日</x:v>
      </x:c>
      <x:c r="D60" s="24" t="n">
        <x:v>3594</x:v>
      </x:c>
      <x:c r="E60" s="24" t="n">
        <x:v>3599.6</x:v>
      </x:c>
      <x:c r="F60" s="24" t="n">
        <x:v>3567.6</x:v>
      </x:c>
      <x:c r="G60" s="24" t="n">
        <x:v>3577.8</x:v>
      </x:c>
      <x:c r="H60" s="25" t="n">
        <x:v>-0.005724766562916872</x:v>
      </x:c>
      <x:c r="I60" s="24" t="n">
        <x:f>ROUND(E60-F60,1)</x:f>
        <x:v>32</x:v>
      </x:c>
      <x:c r="J60" s="23" t="str">
        <x:v>IF2403</x:v>
      </x:c>
    </x:row>
    <x:row r="61">
      <x:c r="A61" s="23" t="n">
        <x:v>10</x:v>
      </x:c>
      <x:c r="B61" s="23" t="str">
        <x:v>周四</x:v>
      </x:c>
      <x:c r="C61" s="23" t="str">
        <x:v>3月14日</x:v>
      </x:c>
      <x:c r="D61" s="24" t="n">
        <x:v>3582</x:v>
      </x:c>
      <x:c r="E61" s="24" t="n">
        <x:v>3602.4</x:v>
      </x:c>
      <x:c r="F61" s="24" t="n">
        <x:v>3550</x:v>
      </x:c>
      <x:c r="G61" s="24" t="n">
        <x:v>3566</x:v>
      </x:c>
      <x:c r="H61" s="25" t="n">
        <x:v>-0.003298116160769249</x:v>
      </x:c>
      <x:c r="I61" s="24" t="n">
        <x:f>ROUND(E61-F61,1)</x:f>
        <x:v>52.4</x:v>
      </x:c>
      <x:c r="J61" s="23" t="str">
        <x:v>IF2403</x:v>
      </x:c>
    </x:row>
    <x:row r="62">
      <x:c r="A62" s="29" t="n">
        <x:v>11</x:v>
      </x:c>
      <x:c r="B62" s="29" t="str">
        <x:v>周五</x:v>
      </x:c>
      <x:c r="C62" s="29" t="str">
        <x:v>3月15日</x:v>
      </x:c>
      <x:c r="D62" s="30" t="n">
        <x:v>3560.2</x:v>
      </x:c>
      <x:c r="E62" s="30" t="n">
        <x:v>3569.2</x:v>
      </x:c>
      <x:c r="F62" s="30" t="n">
        <x:v>3536</x:v>
      </x:c>
      <x:c r="G62" s="30" t="n">
        <x:v>3554.6</x:v>
      </x:c>
      <x:c r="H62" s="31" t="n">
        <x:v>-0.0031968592260235296</x:v>
      </x:c>
      <x:c r="I62" s="30" t="n">
        <x:f>ROUND(E62-F62,1)</x:f>
        <x:v>33.2</x:v>
      </x:c>
      <x:c r="J62" s="29" t="str">
        <x:v>IF2403</x:v>
      </x:c>
    </x:row>
    <x:row r="63">
      <x:c r="A63" s="23" t="n">
        <x:v>12</x:v>
      </x:c>
      <x:c r="B63" s="23" t="str">
        <x:v>周一</x:v>
      </x:c>
      <x:c r="C63" s="23" t="str">
        <x:v>3月18日</x:v>
      </x:c>
      <x:c r="D63" s="24" t="n">
        <x:v>3560</x:v>
      </x:c>
      <x:c r="E63" s="24" t="n">
        <x:v>3583.6</x:v>
      </x:c>
      <x:c r="F63" s="24" t="n">
        <x:v>3551.2</x:v>
      </x:c>
      <x:c r="G63" s="24" t="n">
        <x:v>3581.8</x:v>
      </x:c>
      <x:c r="H63" s="25" t="n">
        <x:v>0.014966522252855441</x:v>
      </x:c>
      <x:c r="I63" s="24" t="n">
        <x:f>ROUND(E63-F63,1)</x:f>
        <x:v>32.4</x:v>
      </x:c>
      <x:c r="J63" s="23" t="str">
        <x:v>IF2406</x:v>
      </x:c>
    </x:row>
    <x:row r="64">
      <x:c r="A64" s="23" t="n">
        <x:v>13</x:v>
      </x:c>
      <x:c r="B64" s="23" t="str">
        <x:v>周二</x:v>
      </x:c>
      <x:c r="C64" s="23" t="str">
        <x:v>3月19日</x:v>
      </x:c>
      <x:c r="D64" s="24" t="n">
        <x:v>3574.8</x:v>
      </x:c>
      <x:c r="E64" s="24" t="n">
        <x:v>3591.2</x:v>
      </x:c>
      <x:c r="F64" s="24" t="n">
        <x:v>3553.6</x:v>
      </x:c>
      <x:c r="G64" s="24" t="n">
        <x:v>3557.8</x:v>
      </x:c>
      <x:c r="H64" s="25" t="n">
        <x:v>-0.007040301568823182</x:v>
      </x:c>
      <x:c r="I64" s="24" t="n">
        <x:f>ROUND(E64-F64,1)</x:f>
        <x:v>37.6</x:v>
      </x:c>
      <x:c r="J64" s="23" t="str">
        <x:v>IF2406</x:v>
      </x:c>
    </x:row>
    <x:row r="65">
      <x:c r="A65" s="23" t="n">
        <x:v>14</x:v>
      </x:c>
      <x:c r="B65" s="23" t="str">
        <x:v>周三</x:v>
      </x:c>
      <x:c r="C65" s="23" t="str">
        <x:v>3月20日</x:v>
      </x:c>
      <x:c r="D65" s="24" t="n">
        <x:v>3552</x:v>
      </x:c>
      <x:c r="E65" s="24" t="n">
        <x:v>3572</x:v>
      </x:c>
      <x:c r="F65" s="24" t="n">
        <x:v>3548.2</x:v>
      </x:c>
      <x:c r="G65" s="24" t="n">
        <x:v>3561.8</x:v>
      </x:c>
      <x:c r="H65" s="25" t="n">
        <x:v>0.0007257704332290782</x:v>
      </x:c>
      <x:c r="I65" s="24" t="n">
        <x:f>ROUND(E65-F65,1)</x:f>
        <x:v>23.8</x:v>
      </x:c>
      <x:c r="J65" s="23" t="str">
        <x:v>IF2406</x:v>
      </x:c>
    </x:row>
    <x:row r="66">
      <x:c r="A66" s="23" t="n">
        <x:v>15</x:v>
      </x:c>
      <x:c r="B66" s="23" t="str">
        <x:v>周四</x:v>
      </x:c>
      <x:c r="C66" s="23" t="str">
        <x:v>3月21日</x:v>
      </x:c>
      <x:c r="D66" s="24" t="n">
        <x:v>3573</x:v>
      </x:c>
      <x:c r="E66" s="24" t="n">
        <x:v>3586</x:v>
      </x:c>
      <x:c r="F66" s="24" t="n">
        <x:v>3557</x:v>
      </x:c>
      <x:c r="G66" s="24" t="n">
        <x:v>3561.2</x:v>
      </x:c>
      <x:c r="H66" s="25" t="n">
        <x:v>-0.00022315202231526499</x:v>
      </x:c>
      <x:c r="I66" s="24" t="n">
        <x:f>ROUND(E66-F66,1)</x:f>
        <x:v>29</x:v>
      </x:c>
      <x:c r="J66" s="23" t="str">
        <x:v>IF2406</x:v>
      </x:c>
    </x:row>
    <x:row r="67">
      <x:c r="A67" s="23" t="n">
        <x:v>16</x:v>
      </x:c>
      <x:c r="B67" s="23" t="str">
        <x:v>周五</x:v>
      </x:c>
      <x:c r="C67" s="23" t="str">
        <x:v>3月22日</x:v>
      </x:c>
      <x:c r="D67" s="24" t="n">
        <x:v>3559.6</x:v>
      </x:c>
      <x:c r="E67" s="24" t="n">
        <x:v>3559.6</x:v>
      </x:c>
      <x:c r="F67" s="24" t="n">
        <x:v>3496.8</x:v>
      </x:c>
      <x:c r="G67" s="24" t="n">
        <x:v>3512.8</x:v>
      </x:c>
      <x:c r="H67" s="25" t="n">
        <x:v>-0.012276100664025402</x:v>
      </x:c>
      <x:c r="I67" s="24" t="n">
        <x:f>ROUND(E67-F67,1)</x:f>
        <x:v>62.8</x:v>
      </x:c>
      <x:c r="J67" s="23" t="str">
        <x:v>IF2406</x:v>
      </x:c>
    </x:row>
    <x:row r="68">
      <x:c r="A68" s="23" t="n">
        <x:v>17</x:v>
      </x:c>
      <x:c r="B68" s="23" t="str">
        <x:v>周一</x:v>
      </x:c>
      <x:c r="C68" s="23" t="str">
        <x:v>3月25日</x:v>
      </x:c>
      <x:c r="D68" s="24" t="n">
        <x:v>3512.6</x:v>
      </x:c>
      <x:c r="E68" s="24" t="n">
        <x:v>3538.6</x:v>
      </x:c>
      <x:c r="F68" s="24" t="n">
        <x:v>3494.4</x:v>
      </x:c>
      <x:c r="G68" s="24" t="n">
        <x:v>3505.4</x:v>
      </x:c>
      <x:c r="H68" s="25" t="n">
        <x:v>-0.0023162533190215218</x:v>
      </x:c>
      <x:c r="I68" s="24" t="n">
        <x:f>ROUND(E68-F68,1)</x:f>
        <x:v>44.2</x:v>
      </x:c>
      <x:c r="J68" s="23" t="str">
        <x:v>IF2406</x:v>
      </x:c>
    </x:row>
    <x:row r="69">
      <x:c r="A69" s="23" t="n">
        <x:v>18</x:v>
      </x:c>
      <x:c r="B69" s="23" t="str">
        <x:v>周二</x:v>
      </x:c>
      <x:c r="C69" s="23" t="str">
        <x:v>3月26日</x:v>
      </x:c>
      <x:c r="D69" s="24" t="n">
        <x:v>3509</x:v>
      </x:c>
      <x:c r="E69" s="24" t="n">
        <x:v>3528.6</x:v>
      </x:c>
      <x:c r="F69" s="24" t="n">
        <x:v>3500</x:v>
      </x:c>
      <x:c r="G69" s="24" t="n">
        <x:v>3518.6</x:v>
      </x:c>
      <x:c r="H69" s="25" t="n">
        <x:v>0.003057757644394199</x:v>
      </x:c>
      <x:c r="I69" s="24" t="n">
        <x:f>ROUND(E69-F69,1)</x:f>
        <x:v>28.6</x:v>
      </x:c>
      <x:c r="J69" s="23" t="str">
        <x:v>IF2406</x:v>
      </x:c>
    </x:row>
    <x:row r="70">
      <x:c r="A70" s="23" t="n">
        <x:v>19</x:v>
      </x:c>
      <x:c r="B70" s="23" t="str">
        <x:v>周三</x:v>
      </x:c>
      <x:c r="C70" s="23" t="str">
        <x:v>3月27日</x:v>
      </x:c>
      <x:c r="D70" s="24" t="n">
        <x:v>3511.8</x:v>
      </x:c>
      <x:c r="E70" s="24" t="n">
        <x:v>3522.2</x:v>
      </x:c>
      <x:c r="F70" s="24" t="n">
        <x:v>3478.2</x:v>
      </x:c>
      <x:c r="G70" s="24" t="n">
        <x:v>3479.8</x:v>
      </x:c>
      <x:c r="H70" s="25" t="n">
        <x:v>-0.010725979451281509</x:v>
      </x:c>
      <x:c r="I70" s="24" t="n">
        <x:f>ROUND(E70-F70,1)</x:f>
        <x:v>44</x:v>
      </x:c>
      <x:c r="J70" s="23" t="str">
        <x:v>IF2406</x:v>
      </x:c>
    </x:row>
    <x:row r="71">
      <x:c r="A71" s="23" t="n">
        <x:v>20</x:v>
      </x:c>
      <x:c r="B71" s="23" t="str">
        <x:v>周四</x:v>
      </x:c>
      <x:c r="C71" s="23" t="str">
        <x:v>3月28日</x:v>
      </x:c>
      <x:c r="D71" s="24" t="n">
        <x:v>3480.2</x:v>
      </x:c>
      <x:c r="E71" s="24" t="n">
        <x:v>3534</x:v>
      </x:c>
      <x:c r="F71" s="24" t="n">
        <x:v>3468.2</x:v>
      </x:c>
      <x:c r="G71" s="24" t="n">
        <x:v>3498.2</x:v>
      </x:c>
      <x:c r="H71" s="25" t="n">
        <x:v>0.004850490755535342</x:v>
      </x:c>
      <x:c r="I71" s="24" t="n">
        <x:f>ROUND(E71-F71,1)</x:f>
        <x:v>65.8</x:v>
      </x:c>
      <x:c r="J71" s="23" t="str">
        <x:v>IF2406</x:v>
      </x:c>
    </x:row>
    <x:row r="72">
      <x:c r="A72" s="23" t="n">
        <x:v>21</x:v>
      </x:c>
      <x:c r="B72" s="23" t="str">
        <x:v>周五</x:v>
      </x:c>
      <x:c r="C72" s="23" t="str">
        <x:v>3月29日</x:v>
      </x:c>
      <x:c r="D72" s="24" t="n">
        <x:v>3495.2</x:v>
      </x:c>
      <x:c r="E72" s="24" t="n">
        <x:v>3519.6</x:v>
      </x:c>
      <x:c r="F72" s="24" t="n">
        <x:v>3492.4</x:v>
      </x:c>
      <x:c r="G72" s="24" t="n">
        <x:v>3514</x:v>
      </x:c>
      <x:c r="H72" s="25" t="n">
        <x:v>0.00494065534669752</x:v>
      </x:c>
      <x:c r="I72" s="24" t="n">
        <x:f>ROUND(E72-F72,1)</x:f>
        <x:v>27.2</x:v>
      </x:c>
      <x:c r="J72" s="23" t="str">
        <x:v>IF2406</x:v>
      </x:c>
    </x:row>
    <x:row r="73">
      <x:c r="A73" s="36" t="str">
        <x:v>合计</x:v>
      </x:c>
      <x:c r="B73" s="35" t="n">
        <x:v>21</x:v>
      </x:c>
      <x:c r="C73" s="35"/>
      <x:c r="D73" s="35"/>
      <x:c r="E73" s="35"/>
      <x:c r="F73" s="35"/>
      <x:c r="G73" s="35"/>
      <x:c r="H73" s="35"/>
      <x:c r="I73" s="37" t="n">
        <x:f>ROUND(SUM(I52:I72),1)</x:f>
        <x:v>853.8</x:v>
      </x:c>
      <x:c r="J73" s="35"/>
    </x:row>
    <x:row r="74">
      <x:c r="A74" s="36" t="str">
        <x:v>均值</x:v>
      </x:c>
      <x:c r="B74" s="35"/>
      <x:c r="C74" s="35"/>
      <x:c r="D74" s="35"/>
      <x:c r="E74" s="35"/>
      <x:c r="F74" s="35"/>
      <x:c r="G74" s="35"/>
      <x:c r="H74" s="35"/>
      <x:c r="I74" s="39" t="n">
        <x:f>ROUND(IFERROR(AVERAGE(I52:I72),0),1)</x:f>
        <x:v>40.7</x:v>
      </x:c>
      <x:c r="J74" s="35"/>
    </x:row>
    <x:row r="76">
      <x:c r="A76" s="17" t="str">
        <x:v>4月</x:v>
      </x:c>
      <x:c r="B76" s="17"/>
      <x:c r="C76" s="17"/>
      <x:c r="D76" s="17"/>
      <x:c r="E76" s="17"/>
      <x:c r="F76" s="17"/>
      <x:c r="G76" s="17"/>
      <x:c r="H76" s="17"/>
      <x:c r="I76" s="17"/>
      <x:c r="J76" s="17"/>
    </x:row>
    <x:row r="77">
      <x:c r="A77" s="20" t="str">
        <x:v>序号</x:v>
      </x:c>
      <x:c r="B77" s="20" t="str">
        <x:v>星期</x:v>
      </x:c>
      <x:c r="C77" s="20" t="str">
        <x:v>日期</x:v>
      </x:c>
      <x:c r="D77" s="20" t="str">
        <x:v>开盘</x:v>
      </x:c>
      <x:c r="E77" s="20" t="str">
        <x:v>高点</x:v>
      </x:c>
      <x:c r="F77" s="20" t="str">
        <x:v>低点</x:v>
      </x:c>
      <x:c r="G77" s="20" t="str">
        <x:v>收盘</x:v>
      </x:c>
      <x:c r="H77" s="20" t="str">
        <x:v>涨幅</x:v>
      </x:c>
      <x:c r="I77" s="20" t="str">
        <x:v>振幅</x:v>
      </x:c>
      <x:c r="J77" s="20" t="str">
        <x:v>标的</x:v>
      </x:c>
    </x:row>
    <x:row r="78">
      <x:c r="A78" s="23" t="n">
        <x:v>1</x:v>
      </x:c>
      <x:c r="B78" s="23" t="str">
        <x:v>周一</x:v>
      </x:c>
      <x:c r="C78" s="23" t="str">
        <x:v>4月1日</x:v>
      </x:c>
      <x:c r="D78" s="24" t="n">
        <x:v>3534.4</x:v>
      </x:c>
      <x:c r="E78" s="24" t="n">
        <x:v>3587.8</x:v>
      </x:c>
      <x:c r="F78" s="24" t="n">
        <x:v>3531.8</x:v>
      </x:c>
      <x:c r="G78" s="24" t="n">
        <x:v>3577</x:v>
      </x:c>
      <x:c r="H78" s="25" t="n">
        <x:v>0.017292043399638413</x:v>
      </x:c>
      <x:c r="I78" s="24" t="n">
        <x:f>ROUND(E78-F78,1)</x:f>
        <x:v>56</x:v>
      </x:c>
      <x:c r="J78" s="23" t="str">
        <x:v>IF2406</x:v>
      </x:c>
    </x:row>
    <x:row r="79">
      <x:c r="A79" s="23" t="n">
        <x:v>2</x:v>
      </x:c>
      <x:c r="B79" s="23" t="str">
        <x:v>周二</x:v>
      </x:c>
      <x:c r="C79" s="23" t="str">
        <x:v>4月2日</x:v>
      </x:c>
      <x:c r="D79" s="24" t="n">
        <x:v>3575</x:v>
      </x:c>
      <x:c r="E79" s="24" t="n">
        <x:v>3582.6</x:v>
      </x:c>
      <x:c r="F79" s="24" t="n">
        <x:v>3557</x:v>
      </x:c>
      <x:c r="G79" s="24" t="n">
        <x:v>3568.6</x:v>
      </x:c>
      <x:c r="H79" s="25" t="n">
        <x:v>-0.002999666703699666</x:v>
      </x:c>
      <x:c r="I79" s="24" t="n">
        <x:f>ROUND(E79-F79,1)</x:f>
        <x:v>25.6</x:v>
      </x:c>
      <x:c r="J79" s="23" t="str">
        <x:v>IF2406</x:v>
      </x:c>
    </x:row>
    <x:row r="80">
      <x:c r="A80" s="23" t="n">
        <x:v>3</x:v>
      </x:c>
      <x:c r="B80" s="23" t="str">
        <x:v>周三</x:v>
      </x:c>
      <x:c r="C80" s="23" t="str">
        <x:v>4月3日</x:v>
      </x:c>
      <x:c r="D80" s="24" t="n">
        <x:v>3568.6</x:v>
      </x:c>
      <x:c r="E80" s="24" t="n">
        <x:v>3569.8</x:v>
      </x:c>
      <x:c r="F80" s="24" t="n">
        <x:v>3544.8</x:v>
      </x:c>
      <x:c r="G80" s="24" t="n">
        <x:v>3555.6</x:v>
      </x:c>
      <x:c r="H80" s="25" t="n">
        <x:v>-0.004178738578114571</x:v>
      </x:c>
      <x:c r="I80" s="24" t="n">
        <x:f>ROUND(E80-F80,1)</x:f>
        <x:v>25</x:v>
      </x:c>
      <x:c r="J80" s="23" t="str">
        <x:v>IF2406</x:v>
      </x:c>
    </x:row>
    <x:row r="81">
      <x:c r="A81" s="23" t="n">
        <x:v>4</x:v>
      </x:c>
      <x:c r="B81" s="23" t="str">
        <x:v>周一</x:v>
      </x:c>
      <x:c r="C81" s="23" t="str">
        <x:v>4月8日</x:v>
      </x:c>
      <x:c r="D81" s="24" t="n">
        <x:v>3543.2</x:v>
      </x:c>
      <x:c r="E81" s="24" t="n">
        <x:v>3547.8</x:v>
      </x:c>
      <x:c r="F81" s="24" t="n">
        <x:v>3512.8</x:v>
      </x:c>
      <x:c r="G81" s="24" t="n">
        <x:v>3518.4</x:v>
      </x:c>
      <x:c r="H81" s="25" t="n">
        <x:v>-0.009175851843562843</x:v>
      </x:c>
      <x:c r="I81" s="24" t="n">
        <x:f>ROUND(E81-F81,1)</x:f>
        <x:v>35</x:v>
      </x:c>
      <x:c r="J81" s="23" t="str">
        <x:v>IF2406</x:v>
      </x:c>
    </x:row>
    <x:row r="82">
      <x:c r="A82" s="23" t="n">
        <x:v>5</x:v>
      </x:c>
      <x:c r="B82" s="23" t="str">
        <x:v>周二</x:v>
      </x:c>
      <x:c r="C82" s="23" t="str">
        <x:v>4月9日</x:v>
      </x:c>
      <x:c r="D82" s="24" t="n">
        <x:v>3515.2</x:v>
      </x:c>
      <x:c r="E82" s="24" t="n">
        <x:v>3526.8</x:v>
      </x:c>
      <x:c r="F82" s="24" t="n">
        <x:v>3505</x:v>
      </x:c>
      <x:c r="G82" s="24" t="n">
        <x:v>3516.6</x:v>
      </x:c>
      <x:c r="H82" s="25" t="n">
        <x:v>-0.0015246484838218333</x:v>
      </x:c>
      <x:c r="I82" s="24" t="n">
        <x:f>ROUND(E82-F82,1)</x:f>
        <x:v>21.8</x:v>
      </x:c>
      <x:c r="J82" s="23" t="str">
        <x:v>IF2406</x:v>
      </x:c>
    </x:row>
    <x:row r="83">
      <x:c r="A83" s="23" t="n">
        <x:v>6</x:v>
      </x:c>
      <x:c r="B83" s="23" t="str">
        <x:v>周三</x:v>
      </x:c>
      <x:c r="C83" s="23" t="str">
        <x:v>4月10日</x:v>
      </x:c>
      <x:c r="D83" s="24" t="n">
        <x:v>3515</x:v>
      </x:c>
      <x:c r="E83" s="24" t="n">
        <x:v>3516.2</x:v>
      </x:c>
      <x:c r="F83" s="24" t="n">
        <x:v>3468.2</x:v>
      </x:c>
      <x:c r="G83" s="24" t="n">
        <x:v>3489.6</x:v>
      </x:c>
      <x:c r="H83" s="25" t="n">
        <x:v>-0.007861101685329719</x:v>
      </x:c>
      <x:c r="I83" s="24" t="n">
        <x:f>ROUND(E83-F83,1)</x:f>
        <x:v>48</x:v>
      </x:c>
      <x:c r="J83" s="23" t="str">
        <x:v>IF2406</x:v>
      </x:c>
    </x:row>
    <x:row r="84">
      <x:c r="A84" s="23" t="n">
        <x:v>7</x:v>
      </x:c>
      <x:c r="B84" s="23" t="str">
        <x:v>周四</x:v>
      </x:c>
      <x:c r="C84" s="23" t="str">
        <x:v>4月11日</x:v>
      </x:c>
      <x:c r="D84" s="24" t="n">
        <x:v>3470</x:v>
      </x:c>
      <x:c r="E84" s="24" t="n">
        <x:v>3506</x:v>
      </x:c>
      <x:c r="F84" s="24" t="n">
        <x:v>3463.6</x:v>
      </x:c>
      <x:c r="G84" s="24" t="n">
        <x:v>3486.2</x:v>
      </x:c>
      <x:c r="H84" s="25" t="n">
        <x:v>0.00005700279313702872</x:v>
      </x:c>
      <x:c r="I84" s="24" t="n">
        <x:f>ROUND(E84-F84,1)</x:f>
        <x:v>42.4</x:v>
      </x:c>
      <x:c r="J84" s="23" t="str">
        <x:v>IF2406</x:v>
      </x:c>
    </x:row>
    <x:row r="85">
      <x:c r="A85" s="23" t="n">
        <x:v>8</x:v>
      </x:c>
      <x:c r="B85" s="23" t="str">
        <x:v>周五</x:v>
      </x:c>
      <x:c r="C85" s="23" t="str">
        <x:v>4月12日</x:v>
      </x:c>
      <x:c r="D85" s="24" t="n">
        <x:v>3487</x:v>
      </x:c>
      <x:c r="E85" s="24" t="n">
        <x:v>3496.6</x:v>
      </x:c>
      <x:c r="F85" s="24" t="n">
        <x:v>3440.4</x:v>
      </x:c>
      <x:c r="G85" s="24" t="n">
        <x:v>3450.8</x:v>
      </x:c>
      <x:c r="H85" s="25" t="n">
        <x:v>-0.010373917008663969</x:v>
      </x:c>
      <x:c r="I85" s="24" t="n">
        <x:f>ROUND(E85-F85,1)</x:f>
        <x:v>56.2</x:v>
      </x:c>
      <x:c r="J85" s="23" t="str">
        <x:v>IF2406</x:v>
      </x:c>
    </x:row>
    <x:row r="86">
      <x:c r="A86" s="23" t="n">
        <x:v>9</x:v>
      </x:c>
      <x:c r="B86" s="23" t="str">
        <x:v>周一</x:v>
      </x:c>
      <x:c r="C86" s="23" t="str">
        <x:v>4月15日</x:v>
      </x:c>
      <x:c r="D86" s="24" t="n">
        <x:v>3454</x:v>
      </x:c>
      <x:c r="E86" s="24" t="n">
        <x:v>3534.6</x:v>
      </x:c>
      <x:c r="F86" s="24" t="n">
        <x:v>3452.6</x:v>
      </x:c>
      <x:c r="G86" s="24" t="n">
        <x:v>3520</x:v>
      </x:c>
      <x:c r="H86" s="25" t="n">
        <x:v>0.021310908881465362</x:v>
      </x:c>
      <x:c r="I86" s="24" t="n">
        <x:f>ROUND(E86-F86,1)</x:f>
        <x:v>82</x:v>
      </x:c>
      <x:c r="J86" s="23" t="str">
        <x:v>IF2406</x:v>
      </x:c>
    </x:row>
    <x:row r="87">
      <x:c r="A87" s="23" t="n">
        <x:v>10</x:v>
      </x:c>
      <x:c r="B87" s="23" t="str">
        <x:v>周二</x:v>
      </x:c>
      <x:c r="C87" s="23" t="str">
        <x:v>4月16日</x:v>
      </x:c>
      <x:c r="D87" s="24" t="n">
        <x:v>3508</x:v>
      </x:c>
      <x:c r="E87" s="24" t="n">
        <x:v>3522</x:v>
      </x:c>
      <x:c r="F87" s="24" t="n">
        <x:v>3474.8</x:v>
      </x:c>
      <x:c r="G87" s="24" t="n">
        <x:v>3484.2</x:v>
      </x:c>
      <x:c r="H87" s="25" t="n">
        <x:v>-0.009136025265057524</x:v>
      </x:c>
      <x:c r="I87" s="24" t="n">
        <x:f>ROUND(E87-F87,1)</x:f>
        <x:v>47.2</x:v>
      </x:c>
      <x:c r="J87" s="23" t="str">
        <x:v>IF2406</x:v>
      </x:c>
    </x:row>
    <x:row r="88">
      <x:c r="A88" s="23" t="n">
        <x:v>11</x:v>
      </x:c>
      <x:c r="B88" s="23" t="str">
        <x:v>周三</x:v>
      </x:c>
      <x:c r="C88" s="23" t="str">
        <x:v>4月17日</x:v>
      </x:c>
      <x:c r="D88" s="24" t="n">
        <x:v>3490</x:v>
      </x:c>
      <x:c r="E88" s="24" t="n">
        <x:v>3549</x:v>
      </x:c>
      <x:c r="F88" s="24" t="n">
        <x:v>3475.8</x:v>
      </x:c>
      <x:c r="G88" s="24" t="n">
        <x:v>3543.2</x:v>
      </x:c>
      <x:c r="H88" s="25" t="n">
        <x:v>0.01405805350028455</x:v>
      </x:c>
      <x:c r="I88" s="24" t="n">
        <x:f>ROUND(E88-F88,1)</x:f>
        <x:v>73.2</x:v>
      </x:c>
      <x:c r="J88" s="23" t="str">
        <x:v>IF2406</x:v>
      </x:c>
    </x:row>
    <x:row r="89">
      <x:c r="A89" s="23" t="n">
        <x:v>12</x:v>
      </x:c>
      <x:c r="B89" s="23" t="str">
        <x:v>周四</x:v>
      </x:c>
      <x:c r="C89" s="23" t="str">
        <x:v>4月18日</x:v>
      </x:c>
      <x:c r="D89" s="24" t="n">
        <x:v>3538.6</x:v>
      </x:c>
      <x:c r="E89" s="24" t="n">
        <x:v>3586.4</x:v>
      </x:c>
      <x:c r="F89" s="24" t="n">
        <x:v>3531.4</x:v>
      </x:c>
      <x:c r="G89" s="24" t="n">
        <x:v>3552.8</x:v>
      </x:c>
      <x:c r="H89" s="25" t="n">
        <x:v>0.0015715328057472888</x:v>
      </x:c>
      <x:c r="I89" s="24" t="n">
        <x:f>ROUND(E89-F89,1)</x:f>
        <x:v>55</x:v>
      </x:c>
      <x:c r="J89" s="23" t="str">
        <x:v>IF2406</x:v>
      </x:c>
    </x:row>
    <x:row r="90">
      <x:c r="A90" s="29" t="n">
        <x:v>13</x:v>
      </x:c>
      <x:c r="B90" s="29" t="str">
        <x:v>周五</x:v>
      </x:c>
      <x:c r="C90" s="29" t="str">
        <x:v>4月19日</x:v>
      </x:c>
      <x:c r="D90" s="30" t="n">
        <x:v>3537</x:v>
      </x:c>
      <x:c r="E90" s="30" t="n">
        <x:v>3550</x:v>
      </x:c>
      <x:c r="F90" s="30" t="n">
        <x:v>3513</x:v>
      </x:c>
      <x:c r="G90" s="30" t="n">
        <x:v>3527.2</x:v>
      </x:c>
      <x:c r="H90" s="31" t="n">
        <x:v>-0.007565144298122717</x:v>
      </x:c>
      <x:c r="I90" s="30" t="n">
        <x:f>ROUND(E90-F90,1)</x:f>
        <x:v>37</x:v>
      </x:c>
      <x:c r="J90" s="29" t="str">
        <x:v>IF2406</x:v>
      </x:c>
    </x:row>
    <x:row r="91">
      <x:c r="A91" s="23" t="n">
        <x:v>14</x:v>
      </x:c>
      <x:c r="B91" s="23" t="str">
        <x:v>周一</x:v>
      </x:c>
      <x:c r="C91" s="23" t="str">
        <x:v>4月22日</x:v>
      </x:c>
      <x:c r="D91" s="24" t="n">
        <x:v>3532</x:v>
      </x:c>
      <x:c r="E91" s="24" t="n">
        <x:v>3551.8</x:v>
      </x:c>
      <x:c r="F91" s="24" t="n">
        <x:v>3513.2</x:v>
      </x:c>
      <x:c r="G91" s="24" t="n">
        <x:v>3521</x:v>
      </x:c>
      <x:c r="H91" s="25" t="n">
        <x:v>-0.001806888763410508</x:v>
      </x:c>
      <x:c r="I91" s="24" t="n">
        <x:f>ROUND(E91-F91,1)</x:f>
        <x:v>38.6</x:v>
      </x:c>
      <x:c r="J91" s="23" t="str">
        <x:v>IF2406</x:v>
      </x:c>
    </x:row>
    <x:row r="92">
      <x:c r="A92" s="23" t="n">
        <x:v>15</x:v>
      </x:c>
      <x:c r="B92" s="23" t="str">
        <x:v>周二</x:v>
      </x:c>
      <x:c r="C92" s="23" t="str">
        <x:v>4月23日</x:v>
      </x:c>
      <x:c r="D92" s="24" t="n">
        <x:v>3519.8</x:v>
      </x:c>
      <x:c r="E92" s="24" t="n">
        <x:v>3526.6</x:v>
      </x:c>
      <x:c r="F92" s="24" t="n">
        <x:v>3486.4</x:v>
      </x:c>
      <x:c r="G92" s="24" t="n">
        <x:v>3494.8</x:v>
      </x:c>
      <x:c r="H92" s="25" t="n">
        <x:v>-0.007353773051250179</x:v>
      </x:c>
      <x:c r="I92" s="24" t="n">
        <x:f>ROUND(E92-F92,1)</x:f>
        <x:v>40.2</x:v>
      </x:c>
      <x:c r="J92" s="23" t="str">
        <x:v>IF2406</x:v>
      </x:c>
    </x:row>
    <x:row r="93">
      <x:c r="A93" s="23" t="n">
        <x:v>16</x:v>
      </x:c>
      <x:c r="B93" s="23" t="str">
        <x:v>周三</x:v>
      </x:c>
      <x:c r="C93" s="23" t="str">
        <x:v>4月24日</x:v>
      </x:c>
      <x:c r="D93" s="24" t="n">
        <x:v>3510</x:v>
      </x:c>
      <x:c r="E93" s="24" t="n">
        <x:v>3515</x:v>
      </x:c>
      <x:c r="F93" s="24" t="n">
        <x:v>3484</x:v>
      </x:c>
      <x:c r="G93" s="24" t="n">
        <x:v>3509</x:v>
      </x:c>
      <x:c r="H93" s="25" t="n">
        <x:v>0.003989058582174687</x:v>
      </x:c>
      <x:c r="I93" s="24" t="n">
        <x:f>ROUND(E93-F93,1)</x:f>
        <x:v>31</x:v>
      </x:c>
      <x:c r="J93" s="23" t="str">
        <x:v>IF2406</x:v>
      </x:c>
    </x:row>
    <x:row r="94">
      <x:c r="A94" s="23" t="n">
        <x:v>17</x:v>
      </x:c>
      <x:c r="B94" s="23" t="str">
        <x:v>周四</x:v>
      </x:c>
      <x:c r="C94" s="23" t="str">
        <x:v>4月25日</x:v>
      </x:c>
      <x:c r="D94" s="24" t="n">
        <x:v>3500.2</x:v>
      </x:c>
      <x:c r="E94" s="24" t="n">
        <x:v>3534.8</x:v>
      </x:c>
      <x:c r="F94" s="24" t="n">
        <x:v>3491.4</x:v>
      </x:c>
      <x:c r="G94" s="24" t="n">
        <x:v>3517.4</x:v>
      </x:c>
      <x:c r="H94" s="25" t="n">
        <x:v>0.0027812464524918923</x:v>
      </x:c>
      <x:c r="I94" s="24" t="n">
        <x:f>ROUND(E94-F94,1)</x:f>
        <x:v>43.4</x:v>
      </x:c>
      <x:c r="J94" s="23" t="str">
        <x:v>IF2406</x:v>
      </x:c>
    </x:row>
    <x:row r="95">
      <x:c r="A95" s="23" t="n">
        <x:v>18</x:v>
      </x:c>
      <x:c r="B95" s="23" t="str">
        <x:v>周五</x:v>
      </x:c>
      <x:c r="C95" s="23" t="str">
        <x:v>4月26日</x:v>
      </x:c>
      <x:c r="D95" s="24" t="n">
        <x:v>3527.4</x:v>
      </x:c>
      <x:c r="E95" s="24" t="n">
        <x:v>3582.4</x:v>
      </x:c>
      <x:c r="F95" s="24" t="n">
        <x:v>3527.4</x:v>
      </x:c>
      <x:c r="G95" s="24" t="n">
        <x:v>3573.6</x:v>
      </x:c>
      <x:c r="H95" s="25" t="n">
        <x:v>0.015339333220127926</x:v>
      </x:c>
      <x:c r="I95" s="24" t="n">
        <x:f>ROUND(E95-F95,1)</x:f>
        <x:v>55</x:v>
      </x:c>
      <x:c r="J95" s="23" t="str">
        <x:v>IF2406</x:v>
      </x:c>
    </x:row>
    <x:row r="96">
      <x:c r="A96" s="23" t="n">
        <x:v>19</x:v>
      </x:c>
      <x:c r="B96" s="23" t="str">
        <x:v>周一</x:v>
      </x:c>
      <x:c r="C96" s="23" t="str">
        <x:v>4月29日</x:v>
      </x:c>
      <x:c r="D96" s="24" t="n">
        <x:v>3577</x:v>
      </x:c>
      <x:c r="E96" s="24" t="n">
        <x:v>3646.4</x:v>
      </x:c>
      <x:c r="F96" s="24" t="n">
        <x:v>3577</x:v>
      </x:c>
      <x:c r="G96" s="24" t="n">
        <x:v>3624.2</x:v>
      </x:c>
      <x:c r="H96" s="25" t="n">
        <x:v>0.012264466495707449</x:v>
      </x:c>
      <x:c r="I96" s="24" t="n">
        <x:f>ROUND(E96-F96,1)</x:f>
        <x:v>69.4</x:v>
      </x:c>
      <x:c r="J96" s="23" t="str">
        <x:v>IF2406</x:v>
      </x:c>
    </x:row>
    <x:row r="97">
      <x:c r="A97" s="23" t="n">
        <x:v>20</x:v>
      </x:c>
      <x:c r="B97" s="23" t="str">
        <x:v>周二</x:v>
      </x:c>
      <x:c r="C97" s="23" t="str">
        <x:v>4月30日</x:v>
      </x:c>
      <x:c r="D97" s="24" t="n">
        <x:v>3624</x:v>
      </x:c>
      <x:c r="E97" s="24" t="n">
        <x:v>3630.2</x:v>
      </x:c>
      <x:c r="F97" s="24" t="n">
        <x:v>3598</x:v>
      </x:c>
      <x:c r="G97" s="24" t="n">
        <x:v>3600.6</x:v>
      </x:c>
      <x:c r="H97" s="25" t="n">
        <x:v>-0.005892719462495921</x:v>
      </x:c>
      <x:c r="I97" s="24" t="n">
        <x:f>ROUND(E97-F97,1)</x:f>
        <x:v>32.2</x:v>
      </x:c>
      <x:c r="J97" s="23" t="str">
        <x:v>IF2406</x:v>
      </x:c>
    </x:row>
    <x:row r="98">
      <x:c r="A98" s="36" t="str">
        <x:v>合计</x:v>
      </x:c>
      <x:c r="B98" s="35" t="n">
        <x:v>20</x:v>
      </x:c>
      <x:c r="C98" s="35"/>
      <x:c r="D98" s="35"/>
      <x:c r="E98" s="35"/>
      <x:c r="F98" s="35"/>
      <x:c r="G98" s="35"/>
      <x:c r="H98" s="35"/>
      <x:c r="I98" s="37" t="n">
        <x:f>ROUND(SUM(I78:I97),1)</x:f>
        <x:v>914.2</x:v>
      </x:c>
      <x:c r="J98" s="35"/>
    </x:row>
    <x:row r="99">
      <x:c r="A99" s="36" t="str">
        <x:v>均值</x:v>
      </x:c>
      <x:c r="B99" s="35"/>
      <x:c r="C99" s="35"/>
      <x:c r="D99" s="35"/>
      <x:c r="E99" s="35"/>
      <x:c r="F99" s="35"/>
      <x:c r="G99" s="35"/>
      <x:c r="H99" s="35"/>
      <x:c r="I99" s="39" t="n">
        <x:f>ROUND(IFERROR(AVERAGE(I78:I97),0),1)</x:f>
        <x:v>45.7</x:v>
      </x:c>
      <x:c r="J99" s="35"/>
    </x:row>
    <x:row r="101">
      <x:c r="A101" s="17" t="str">
        <x:v>5月</x:v>
      </x:c>
      <x:c r="B101" s="17"/>
      <x:c r="C101" s="17"/>
      <x:c r="D101" s="17"/>
      <x:c r="E101" s="17"/>
      <x:c r="F101" s="17"/>
      <x:c r="G101" s="17"/>
      <x:c r="H101" s="17"/>
      <x:c r="I101" s="17"/>
      <x:c r="J101" s="17"/>
    </x:row>
    <x:row r="102">
      <x:c r="A102" s="20" t="str">
        <x:v>序号</x:v>
      </x:c>
      <x:c r="B102" s="20" t="str">
        <x:v>星期</x:v>
      </x:c>
      <x:c r="C102" s="20" t="str">
        <x:v>日期</x:v>
      </x:c>
      <x:c r="D102" s="20" t="str">
        <x:v>开盘</x:v>
      </x:c>
      <x:c r="E102" s="20" t="str">
        <x:v>高点</x:v>
      </x:c>
      <x:c r="F102" s="20" t="str">
        <x:v>低点</x:v>
      </x:c>
      <x:c r="G102" s="20" t="str">
        <x:v>收盘</x:v>
      </x:c>
      <x:c r="H102" s="20" t="str">
        <x:v>涨幅</x:v>
      </x:c>
      <x:c r="I102" s="20" t="str">
        <x:v>振幅</x:v>
      </x:c>
      <x:c r="J102" s="20" t="str">
        <x:v>标的</x:v>
      </x:c>
    </x:row>
    <x:row r="103">
      <x:c r="A103" s="23" t="n">
        <x:v>1</x:v>
      </x:c>
      <x:c r="B103" s="23" t="str">
        <x:v>周一</x:v>
      </x:c>
      <x:c r="C103" s="23" t="str">
        <x:v>5月6日</x:v>
      </x:c>
      <x:c r="D103" s="24" t="n">
        <x:v>3651.4</x:v>
      </x:c>
      <x:c r="E103" s="24" t="n">
        <x:v>3670</x:v>
      </x:c>
      <x:c r="F103" s="24" t="n">
        <x:v>3636</x:v>
      </x:c>
      <x:c r="G103" s="24" t="n">
        <x:v>3644.4</x:v>
      </x:c>
      <x:c r="H103" s="25" t="n">
        <x:v>0.012741676361420318</x:v>
      </x:c>
      <x:c r="I103" s="24" t="n">
        <x:f>ROUND(E103-F103,1)</x:f>
        <x:v>34</x:v>
      </x:c>
      <x:c r="J103" s="23" t="str">
        <x:v>IF2406</x:v>
      </x:c>
    </x:row>
    <x:row r="104">
      <x:c r="A104" s="23" t="n">
        <x:v>2</x:v>
      </x:c>
      <x:c r="B104" s="23" t="str">
        <x:v>周二</x:v>
      </x:c>
      <x:c r="C104" s="23" t="str">
        <x:v>5月7日</x:v>
      </x:c>
      <x:c r="D104" s="24" t="n">
        <x:v>3644</x:v>
      </x:c>
      <x:c r="E104" s="24" t="n">
        <x:v>3655</x:v>
      </x:c>
      <x:c r="F104" s="24" t="n">
        <x:v>3637.4</x:v>
      </x:c>
      <x:c r="G104" s="24" t="n">
        <x:v>3645.6</x:v>
      </x:c>
      <x:c r="H104" s="25" t="n">
        <x:v>0.0004923144248127898</x:v>
      </x:c>
      <x:c r="I104" s="24" t="n">
        <x:f>ROUND(E104-F104,1)</x:f>
        <x:v>17.6</x:v>
      </x:c>
      <x:c r="J104" s="23" t="str">
        <x:v>IF2406</x:v>
      </x:c>
    </x:row>
    <x:row r="105">
      <x:c r="A105" s="23" t="n">
        <x:v>3</x:v>
      </x:c>
      <x:c r="B105" s="23" t="str">
        <x:v>周三</x:v>
      </x:c>
      <x:c r="C105" s="23" t="str">
        <x:v>5月8日</x:v>
      </x:c>
      <x:c r="D105" s="24" t="n">
        <x:v>3637.2</x:v>
      </x:c>
      <x:c r="E105" s="24" t="n">
        <x:v>3640</x:v>
      </x:c>
      <x:c r="F105" s="24" t="n">
        <x:v>3611.4</x:v>
      </x:c>
      <x:c r="G105" s="24" t="n">
        <x:v>3614.6</x:v>
      </x:c>
      <x:c r="H105" s="25" t="n">
        <x:v>-0.00803717878622201</x:v>
      </x:c>
      <x:c r="I105" s="24" t="n">
        <x:f>ROUND(E105-F105,1)</x:f>
        <x:v>28.6</x:v>
      </x:c>
      <x:c r="J105" s="23" t="str">
        <x:v>IF2406</x:v>
      </x:c>
    </x:row>
    <x:row r="106">
      <x:c r="A106" s="23" t="n">
        <x:v>4</x:v>
      </x:c>
      <x:c r="B106" s="23" t="str">
        <x:v>周四</x:v>
      </x:c>
      <x:c r="C106" s="23" t="str">
        <x:v>5月9日</x:v>
      </x:c>
      <x:c r="D106" s="24" t="n">
        <x:v>3618.2</x:v>
      </x:c>
      <x:c r="E106" s="24" t="n">
        <x:v>3659.6</x:v>
      </x:c>
      <x:c r="F106" s="24" t="n">
        <x:v>3618</x:v>
      </x:c>
      <x:c r="G106" s="24" t="n">
        <x:v>3650</x:v>
      </x:c>
      <x:c r="H106" s="25" t="n">
        <x:v>0.00964559334178472</x:v>
      </x:c>
      <x:c r="I106" s="24" t="n">
        <x:f>ROUND(E106-F106,1)</x:f>
        <x:v>41.6</x:v>
      </x:c>
      <x:c r="J106" s="23" t="str">
        <x:v>IF2406</x:v>
      </x:c>
    </x:row>
    <x:row r="107">
      <x:c r="A107" s="23" t="n">
        <x:v>5</x:v>
      </x:c>
      <x:c r="B107" s="23" t="str">
        <x:v>周五</x:v>
      </x:c>
      <x:c r="C107" s="23" t="str">
        <x:v>5月10日</x:v>
      </x:c>
      <x:c r="D107" s="24" t="n">
        <x:v>3657.2</x:v>
      </x:c>
      <x:c r="E107" s="24" t="n">
        <x:v>3666.4</x:v>
      </x:c>
      <x:c r="F107" s="24" t="n">
        <x:v>3622</x:v>
      </x:c>
      <x:c r="G107" s="24" t="n">
        <x:v>3650</x:v>
      </x:c>
      <x:c r="H107" s="25" t="n">
        <x:v>0.0003821377879682508</x:v>
      </x:c>
      <x:c r="I107" s="24" t="n">
        <x:f>ROUND(E107-F107,1)</x:f>
        <x:v>44.4</x:v>
      </x:c>
      <x:c r="J107" s="23" t="str">
        <x:v>IF2406</x:v>
      </x:c>
    </x:row>
    <x:row r="108">
      <x:c r="A108" s="23" t="n">
        <x:v>6</x:v>
      </x:c>
      <x:c r="B108" s="23" t="str">
        <x:v>周一</x:v>
      </x:c>
      <x:c r="C108" s="23" t="str">
        <x:v>5月13日</x:v>
      </x:c>
      <x:c r="D108" s="24" t="n">
        <x:v>3630</x:v>
      </x:c>
      <x:c r="E108" s="24" t="n">
        <x:v>3658.8</x:v>
      </x:c>
      <x:c r="F108" s="24" t="n">
        <x:v>3608.6</x:v>
      </x:c>
      <x:c r="G108" s="24" t="n">
        <x:v>3648.8</x:v>
      </x:c>
      <x:c r="H108" s="25" t="n">
        <x:v>-0.000927694406548496</x:v>
      </x:c>
      <x:c r="I108" s="24" t="n">
        <x:f>ROUND(E108-F108,1)</x:f>
        <x:v>50.2</x:v>
      </x:c>
      <x:c r="J108" s="23" t="str">
        <x:v>IF2406</x:v>
      </x:c>
    </x:row>
    <x:row r="109">
      <x:c r="A109" s="23" t="n">
        <x:v>7</x:v>
      </x:c>
      <x:c r="B109" s="23" t="str">
        <x:v>周二</x:v>
      </x:c>
      <x:c r="C109" s="23" t="str">
        <x:v>5月14日</x:v>
      </x:c>
      <x:c r="D109" s="24" t="n">
        <x:v>3655.2</x:v>
      </x:c>
      <x:c r="E109" s="24" t="n">
        <x:v>3665.8</x:v>
      </x:c>
      <x:c r="F109" s="24" t="n">
        <x:v>3631.6</x:v>
      </x:c>
      <x:c r="G109" s="24" t="n">
        <x:v>3641.2</x:v>
      </x:c>
      <x:c r="H109" s="25" t="n">
        <x:v>-0.0016386279222198041</x:v>
      </x:c>
      <x:c r="I109" s="24" t="n">
        <x:f>ROUND(E109-F109,1)</x:f>
        <x:v>34.2</x:v>
      </x:c>
      <x:c r="J109" s="23" t="str">
        <x:v>IF2406</x:v>
      </x:c>
    </x:row>
    <x:row r="110">
      <x:c r="A110" s="23" t="n">
        <x:v>8</x:v>
      </x:c>
      <x:c r="B110" s="23" t="str">
        <x:v>周三</x:v>
      </x:c>
      <x:c r="C110" s="23" t="str">
        <x:v>5月15日</x:v>
      </x:c>
      <x:c r="D110" s="24" t="n">
        <x:v>3641.2</x:v>
      </x:c>
      <x:c r="E110" s="24" t="n">
        <x:v>3645.2</x:v>
      </x:c>
      <x:c r="F110" s="24" t="n">
        <x:v>3608</x:v>
      </x:c>
      <x:c r="G110" s="24" t="n">
        <x:v>3616</x:v>
      </x:c>
      <x:c r="H110" s="25" t="n">
        <x:v>-0.007112375533428139</x:v>
      </x:c>
      <x:c r="I110" s="24" t="n">
        <x:f>ROUND(E110-F110,1)</x:f>
        <x:v>37.2</x:v>
      </x:c>
      <x:c r="J110" s="23" t="str">
        <x:v>IF2406</x:v>
      </x:c>
    </x:row>
    <x:row r="111">
      <x:c r="A111" s="23" t="n">
        <x:v>9</x:v>
      </x:c>
      <x:c r="B111" s="23" t="str">
        <x:v>周四</x:v>
      </x:c>
      <x:c r="C111" s="23" t="str">
        <x:v>5月16日</x:v>
      </x:c>
      <x:c r="D111" s="24" t="n">
        <x:v>3627.2</x:v>
      </x:c>
      <x:c r="E111" s="24" t="n">
        <x:v>3645.2</x:v>
      </x:c>
      <x:c r="F111" s="24" t="n">
        <x:v>3614</x:v>
      </x:c>
      <x:c r="G111" s="24" t="n">
        <x:v>3623</x:v>
      </x:c>
      <x:c r="H111" s="25" t="n">
        <x:v>-0.0018183821908750453</x:v>
      </x:c>
      <x:c r="I111" s="24" t="n">
        <x:f>ROUND(E111-F111,1)</x:f>
        <x:v>31.2</x:v>
      </x:c>
      <x:c r="J111" s="23" t="str">
        <x:v>IF2406</x:v>
      </x:c>
    </x:row>
    <x:row r="112">
      <x:c r="A112" s="29" t="n">
        <x:v>10</x:v>
      </x:c>
      <x:c r="B112" s="29" t="str">
        <x:v>周五</x:v>
      </x:c>
      <x:c r="C112" s="29" t="str">
        <x:v>5月17日</x:v>
      </x:c>
      <x:c r="D112" s="30" t="n">
        <x:v>3628</x:v>
      </x:c>
      <x:c r="E112" s="30" t="n">
        <x:v>3675</x:v>
      </x:c>
      <x:c r="F112" s="30" t="n">
        <x:v>3615.8</x:v>
      </x:c>
      <x:c r="G112" s="30" t="n">
        <x:v>3669</x:v>
      </x:c>
      <x:c r="H112" s="31" t="n">
        <x:v>0.012696660226331868</x:v>
      </x:c>
      <x:c r="I112" s="30" t="n">
        <x:f>ROUND(E112-F112,1)</x:f>
        <x:v>59.2</x:v>
      </x:c>
      <x:c r="J112" s="29" t="str">
        <x:v>IF2406</x:v>
      </x:c>
    </x:row>
    <x:row r="113">
      <x:c r="A113" s="23" t="n">
        <x:v>11</x:v>
      </x:c>
      <x:c r="B113" s="23" t="str">
        <x:v>周一</x:v>
      </x:c>
      <x:c r="C113" s="23" t="str">
        <x:v>5月20日</x:v>
      </x:c>
      <x:c r="D113" s="24" t="n">
        <x:v>3676.2</x:v>
      </x:c>
      <x:c r="E113" s="24" t="n">
        <x:v>3695.6</x:v>
      </x:c>
      <x:c r="F113" s="24" t="n">
        <x:v>3662</x:v>
      </x:c>
      <x:c r="G113" s="24" t="n">
        <x:v>3675</x:v>
      </x:c>
      <x:c r="H113" s="25" t="n">
        <x:v>0.0016353229762877675</x:v>
      </x:c>
      <x:c r="I113" s="24" t="n">
        <x:f>ROUND(E113-F113,1)</x:f>
        <x:v>33.6</x:v>
      </x:c>
      <x:c r="J113" s="23" t="str">
        <x:v>IF2406</x:v>
      </x:c>
    </x:row>
    <x:row r="114">
      <x:c r="A114" s="23" t="n">
        <x:v>12</x:v>
      </x:c>
      <x:c r="B114" s="23" t="str">
        <x:v>周二</x:v>
      </x:c>
      <x:c r="C114" s="23" t="str">
        <x:v>5月21日</x:v>
      </x:c>
      <x:c r="D114" s="24" t="n">
        <x:v>3663.4</x:v>
      </x:c>
      <x:c r="E114" s="24" t="n">
        <x:v>3674</x:v>
      </x:c>
      <x:c r="F114" s="24" t="n">
        <x:v>3649</x:v>
      </x:c>
      <x:c r="G114" s="24" t="n">
        <x:v>3662.2</x:v>
      </x:c>
      <x:c r="H114" s="25" t="n">
        <x:v>-0.0034829931972789607</x:v>
      </x:c>
      <x:c r="I114" s="24" t="n">
        <x:f>ROUND(E114-F114,1)</x:f>
        <x:v>25</x:v>
      </x:c>
      <x:c r="J114" s="23" t="str">
        <x:v>IF2406</x:v>
      </x:c>
    </x:row>
    <x:row r="115">
      <x:c r="A115" s="23" t="n">
        <x:v>13</x:v>
      </x:c>
      <x:c r="B115" s="23" t="str">
        <x:v>周三</x:v>
      </x:c>
      <x:c r="C115" s="23" t="str">
        <x:v>5月22日</x:v>
      </x:c>
      <x:c r="D115" s="24" t="n">
        <x:v>3662.2</x:v>
      </x:c>
      <x:c r="E115" s="24" t="n">
        <x:v>3677</x:v>
      </x:c>
      <x:c r="F115" s="24" t="n">
        <x:v>3653.8</x:v>
      </x:c>
      <x:c r="G115" s="24" t="n">
        <x:v>3666.4</x:v>
      </x:c>
      <x:c r="H115" s="25" t="n">
        <x:v>0.001146851619245437</x:v>
      </x:c>
      <x:c r="I115" s="24" t="n">
        <x:f>ROUND(E115-F115,1)</x:f>
        <x:v>23.2</x:v>
      </x:c>
      <x:c r="J115" s="23" t="str">
        <x:v>IF2406</x:v>
      </x:c>
    </x:row>
    <x:row r="116">
      <x:c r="A116" s="23" t="n">
        <x:v>14</x:v>
      </x:c>
      <x:c r="B116" s="23" t="str">
        <x:v>周四</x:v>
      </x:c>
      <x:c r="C116" s="23" t="str">
        <x:v>5月23日</x:v>
      </x:c>
      <x:c r="D116" s="24" t="n">
        <x:v>3654.2</x:v>
      </x:c>
      <x:c r="E116" s="24" t="n">
        <x:v>3655</x:v>
      </x:c>
      <x:c r="F116" s="24" t="n">
        <x:v>3615</x:v>
      </x:c>
      <x:c r="G116" s="24" t="n">
        <x:v>3629.2</x:v>
      </x:c>
      <x:c r="H116" s="25" t="n">
        <x:v>-0.010146192450360081</x:v>
      </x:c>
      <x:c r="I116" s="24" t="n">
        <x:f>ROUND(E116-F116,1)</x:f>
        <x:v>40</x:v>
      </x:c>
      <x:c r="J116" s="23" t="str">
        <x:v>IF2406</x:v>
      </x:c>
    </x:row>
    <x:row r="117">
      <x:c r="A117" s="23" t="n">
        <x:v>15</x:v>
      </x:c>
      <x:c r="B117" s="23" t="str">
        <x:v>周五</x:v>
      </x:c>
      <x:c r="C117" s="23" t="str">
        <x:v>5月24日</x:v>
      </x:c>
      <x:c r="D117" s="24" t="n">
        <x:v>3618.8</x:v>
      </x:c>
      <x:c r="E117" s="24" t="n">
        <x:v>3637.6</x:v>
      </x:c>
      <x:c r="F117" s="24" t="n">
        <x:v>3586</x:v>
      </x:c>
      <x:c r="G117" s="24" t="n">
        <x:v>3589</x:v>
      </x:c>
      <x:c r="H117" s="25" t="n">
        <x:v>-0.011076821338035892</x:v>
      </x:c>
      <x:c r="I117" s="24" t="n">
        <x:f>ROUND(E117-F117,1)</x:f>
        <x:v>51.6</x:v>
      </x:c>
      <x:c r="J117" s="23" t="str">
        <x:v>IF2406</x:v>
      </x:c>
    </x:row>
    <x:row r="118">
      <x:c r="A118" s="23" t="n">
        <x:v>16</x:v>
      </x:c>
      <x:c r="B118" s="23" t="str">
        <x:v>周一</x:v>
      </x:c>
      <x:c r="C118" s="23" t="str">
        <x:v>5月27日</x:v>
      </x:c>
      <x:c r="D118" s="24" t="n">
        <x:v>3598.6</x:v>
      </x:c>
      <x:c r="E118" s="24" t="n">
        <x:v>3619.4</x:v>
      </x:c>
      <x:c r="F118" s="24" t="n">
        <x:v>3588.6</x:v>
      </x:c>
      <x:c r="G118" s="24" t="n">
        <x:v>3617.4</x:v>
      </x:c>
      <x:c r="H118" s="25" t="n">
        <x:v>0.00791306770688216</x:v>
      </x:c>
      <x:c r="I118" s="24" t="n">
        <x:f>ROUND(E118-F118,1)</x:f>
        <x:v>30.8</x:v>
      </x:c>
      <x:c r="J118" s="23" t="str">
        <x:v>IF2406</x:v>
      </x:c>
    </x:row>
    <x:row r="119">
      <x:c r="A119" s="23" t="n">
        <x:v>17</x:v>
      </x:c>
      <x:c r="B119" s="23" t="str">
        <x:v>周二</x:v>
      </x:c>
      <x:c r="C119" s="23" t="str">
        <x:v>5月28日</x:v>
      </x:c>
      <x:c r="D119" s="24" t="n">
        <x:v>3612.8</x:v>
      </x:c>
      <x:c r="E119" s="24" t="n">
        <x:v>3621.8</x:v>
      </x:c>
      <x:c r="F119" s="24" t="n">
        <x:v>3587</x:v>
      </x:c>
      <x:c r="G119" s="24" t="n">
        <x:v>3596.4</x:v>
      </x:c>
      <x:c r="H119" s="25" t="n">
        <x:v>-0.005805274506551661</x:v>
      </x:c>
      <x:c r="I119" s="24" t="n">
        <x:f>ROUND(E119-F119,1)</x:f>
        <x:v>34.8</x:v>
      </x:c>
      <x:c r="J119" s="23" t="str">
        <x:v>IF2406</x:v>
      </x:c>
    </x:row>
    <x:row r="120">
      <x:c r="A120" s="23" t="n">
        <x:v>18</x:v>
      </x:c>
      <x:c r="B120" s="23" t="str">
        <x:v>周三</x:v>
      </x:c>
      <x:c r="C120" s="23" t="str">
        <x:v>5月29日</x:v>
      </x:c>
      <x:c r="D120" s="24" t="n">
        <x:v>3598.2</x:v>
      </x:c>
      <x:c r="E120" s="24" t="n">
        <x:v>3623</x:v>
      </x:c>
      <x:c r="F120" s="24" t="n">
        <x:v>3588.8</x:v>
      </x:c>
      <x:c r="G120" s="24" t="n">
        <x:v>3596.2</x:v>
      </x:c>
      <x:c r="H120" s="25" t="n">
        <x:v>-0.0000556111667223691</x:v>
      </x:c>
      <x:c r="I120" s="24" t="n">
        <x:f>ROUND(E120-F120,1)</x:f>
        <x:v>34.2</x:v>
      </x:c>
      <x:c r="J120" s="23" t="str">
        <x:v>IF2406</x:v>
      </x:c>
    </x:row>
    <x:row r="121">
      <x:c r="A121" s="23" t="n">
        <x:v>19</x:v>
      </x:c>
      <x:c r="B121" s="23" t="str">
        <x:v>周四</x:v>
      </x:c>
      <x:c r="C121" s="23" t="str">
        <x:v>5月30日</x:v>
      </x:c>
      <x:c r="D121" s="24" t="n">
        <x:v>3590</x:v>
      </x:c>
      <x:c r="E121" s="24" t="n">
        <x:v>3614.8</x:v>
      </x:c>
      <x:c r="F121" s="24" t="n">
        <x:v>3576.6</x:v>
      </x:c>
      <x:c r="G121" s="24" t="n">
        <x:v>3586</x:v>
      </x:c>
      <x:c r="H121" s="25" t="n">
        <x:v>-0.0028363272343028267</x:v>
      </x:c>
      <x:c r="I121" s="24" t="n">
        <x:f>ROUND(E121-F121,1)</x:f>
        <x:v>38.2</x:v>
      </x:c>
      <x:c r="J121" s="23" t="str">
        <x:v>IF2406</x:v>
      </x:c>
    </x:row>
    <x:row r="122">
      <x:c r="A122" s="23" t="n">
        <x:v>20</x:v>
      </x:c>
      <x:c r="B122" s="23" t="str">
        <x:v>周五</x:v>
      </x:c>
      <x:c r="C122" s="23" t="str">
        <x:v>5月31日</x:v>
      </x:c>
      <x:c r="D122" s="24" t="n">
        <x:v>3596</x:v>
      </x:c>
      <x:c r="E122" s="24" t="n">
        <x:v>3606.8</x:v>
      </x:c>
      <x:c r="F122" s="24" t="n">
        <x:v>3568.8</x:v>
      </x:c>
      <x:c r="G122" s="24" t="n">
        <x:v>3571.8</x:v>
      </x:c>
      <x:c r="H122" s="25" t="n">
        <x:v>-0.003959843837144428</x:v>
      </x:c>
      <x:c r="I122" s="24" t="n">
        <x:f>ROUND(E122-F122,1)</x:f>
        <x:v>38</x:v>
      </x:c>
      <x:c r="J122" s="23" t="str">
        <x:v>IF2406</x:v>
      </x:c>
    </x:row>
    <x:row r="123">
      <x:c r="A123" s="36" t="str">
        <x:v>合计</x:v>
      </x:c>
      <x:c r="B123" s="35" t="n">
        <x:v>20</x:v>
      </x:c>
      <x:c r="C123" s="35"/>
      <x:c r="D123" s="35"/>
      <x:c r="E123" s="35"/>
      <x:c r="F123" s="35"/>
      <x:c r="G123" s="35"/>
      <x:c r="H123" s="35"/>
      <x:c r="I123" s="37" t="n">
        <x:f>ROUND(SUM(I103:I122),1)</x:f>
        <x:v>727.6</x:v>
      </x:c>
      <x:c r="J123" s="35"/>
    </x:row>
    <x:row r="124">
      <x:c r="A124" s="36" t="str">
        <x:v>均值</x:v>
      </x:c>
      <x:c r="B124" s="35"/>
      <x:c r="C124" s="35"/>
      <x:c r="D124" s="35"/>
      <x:c r="E124" s="35"/>
      <x:c r="F124" s="35"/>
      <x:c r="G124" s="35"/>
      <x:c r="H124" s="35"/>
      <x:c r="I124" s="39" t="n">
        <x:f>ROUND(IFERROR(AVERAGE(I103:I122),0),1)</x:f>
        <x:v>36.4</x:v>
      </x:c>
      <x:c r="J124" s="35"/>
    </x:row>
    <x:row r="126">
      <x:c r="A126" s="17" t="str">
        <x:v>6月</x:v>
      </x:c>
      <x:c r="B126" s="17"/>
      <x:c r="C126" s="17"/>
      <x:c r="D126" s="17"/>
      <x:c r="E126" s="17"/>
      <x:c r="F126" s="17"/>
      <x:c r="G126" s="17"/>
      <x:c r="H126" s="17"/>
      <x:c r="I126" s="17"/>
      <x:c r="J126" s="17"/>
    </x:row>
    <x:row r="127">
      <x:c r="A127" s="20" t="str">
        <x:v>序号</x:v>
      </x:c>
      <x:c r="B127" s="20" t="str">
        <x:v>星期</x:v>
      </x:c>
      <x:c r="C127" s="20" t="str">
        <x:v>日期</x:v>
      </x:c>
      <x:c r="D127" s="20" t="str">
        <x:v>开盘</x:v>
      </x:c>
      <x:c r="E127" s="20" t="str">
        <x:v>高点</x:v>
      </x:c>
      <x:c r="F127" s="20" t="str">
        <x:v>低点</x:v>
      </x:c>
      <x:c r="G127" s="20" t="str">
        <x:v>收盘</x:v>
      </x:c>
      <x:c r="H127" s="20" t="str">
        <x:v>涨幅</x:v>
      </x:c>
      <x:c r="I127" s="20" t="str">
        <x:v>振幅</x:v>
      </x:c>
      <x:c r="J127" s="20" t="str">
        <x:v>标的</x:v>
      </x:c>
    </x:row>
    <x:row r="128">
      <x:c r="A128" s="23" t="n">
        <x:v>1</x:v>
      </x:c>
      <x:c r="B128" s="23" t="str">
        <x:v>周一</x:v>
      </x:c>
      <x:c r="C128" s="23" t="str">
        <x:v>6月3日</x:v>
      </x:c>
      <x:c r="D128" s="24" t="n">
        <x:v>3570</x:v>
      </x:c>
      <x:c r="E128" s="24" t="n">
        <x:v>3587.6</x:v>
      </x:c>
      <x:c r="F128" s="24" t="n">
        <x:v>3552.8</x:v>
      </x:c>
      <x:c r="G128" s="24" t="n">
        <x:v>3572.6</x:v>
      </x:c>
      <x:c r="H128" s="25" t="n">
        <x:v>0.00022397670642249068</x:v>
      </x:c>
      <x:c r="I128" s="24" t="n">
        <x:f>ROUND(E128-F128,1)</x:f>
        <x:v>34.8</x:v>
      </x:c>
      <x:c r="J128" s="23" t="str">
        <x:v>IF2406</x:v>
      </x:c>
    </x:row>
    <x:row r="129">
      <x:c r="A129" s="23" t="n">
        <x:v>2</x:v>
      </x:c>
      <x:c r="B129" s="23" t="str">
        <x:v>周二</x:v>
      </x:c>
      <x:c r="C129" s="23" t="str">
        <x:v>6月4日</x:v>
      </x:c>
      <x:c r="D129" s="24" t="n">
        <x:v>3570.2</x:v>
      </x:c>
      <x:c r="E129" s="24" t="n">
        <x:v>3611.8</x:v>
      </x:c>
      <x:c r="F129" s="24" t="n">
        <x:v>3565.8</x:v>
      </x:c>
      <x:c r="G129" s="24" t="n">
        <x:v>3597.6</x:v>
      </x:c>
      <x:c r="H129" s="25" t="n">
        <x:v>0.006997704752841116</x:v>
      </x:c>
      <x:c r="I129" s="24" t="n">
        <x:f>ROUND(E129-F129,1)</x:f>
        <x:v>46</x:v>
      </x:c>
      <x:c r="J129" s="23" t="str">
        <x:v>IF2406</x:v>
      </x:c>
    </x:row>
    <x:row r="130">
      <x:c r="A130" s="23" t="n">
        <x:v>3</x:v>
      </x:c>
      <x:c r="B130" s="23" t="str">
        <x:v>周三</x:v>
      </x:c>
      <x:c r="C130" s="23" t="str">
        <x:v>6月5日</x:v>
      </x:c>
      <x:c r="D130" s="24" t="n">
        <x:v>3593</x:v>
      </x:c>
      <x:c r="E130" s="24" t="n">
        <x:v>3609.8</x:v>
      </x:c>
      <x:c r="F130" s="24" t="n">
        <x:v>3583</x:v>
      </x:c>
      <x:c r="G130" s="24" t="n">
        <x:v>3584</x:v>
      </x:c>
      <x:c r="H130" s="25" t="n">
        <x:v>-0.003780297976428759</x:v>
      </x:c>
      <x:c r="I130" s="24" t="n">
        <x:f>ROUND(E130-F130,1)</x:f>
        <x:v>26.8</x:v>
      </x:c>
      <x:c r="J130" s="23" t="str">
        <x:v>IF2406</x:v>
      </x:c>
    </x:row>
    <x:row r="131">
      <x:c r="A131" s="23" t="n">
        <x:v>4</x:v>
      </x:c>
      <x:c r="B131" s="23" t="str">
        <x:v>周四</x:v>
      </x:c>
      <x:c r="C131" s="23" t="str">
        <x:v>6月6日</x:v>
      </x:c>
      <x:c r="D131" s="24" t="n">
        <x:v>3598</x:v>
      </x:c>
      <x:c r="E131" s="24" t="n">
        <x:v>3618.4</x:v>
      </x:c>
      <x:c r="F131" s="24" t="n">
        <x:v>3570.6</x:v>
      </x:c>
      <x:c r="G131" s="24" t="n">
        <x:v>3584.4</x:v>
      </x:c>
      <x:c r="H131" s="25" t="n">
        <x:v>0.00011160714285707307</x:v>
      </x:c>
      <x:c r="I131" s="24" t="n">
        <x:f>ROUND(E131-F131,1)</x:f>
        <x:v>47.8</x:v>
      </x:c>
      <x:c r="J131" s="23" t="str">
        <x:v>IF2406</x:v>
      </x:c>
    </x:row>
    <x:row r="132">
      <x:c r="A132" s="23" t="n">
        <x:v>5</x:v>
      </x:c>
      <x:c r="B132" s="23" t="str">
        <x:v>周五</x:v>
      </x:c>
      <x:c r="C132" s="23" t="str">
        <x:v>6月7日</x:v>
      </x:c>
      <x:c r="D132" s="24" t="n">
        <x:v>3595</x:v>
      </x:c>
      <x:c r="E132" s="24" t="n">
        <x:v>3598.4</x:v>
      </x:c>
      <x:c r="F132" s="24" t="n">
        <x:v>3539</x:v>
      </x:c>
      <x:c r="G132" s="24" t="n">
        <x:v>3558.8</x:v>
      </x:c>
      <x:c r="H132" s="25" t="n">
        <x:v>-0.007142060037942155</x:v>
      </x:c>
      <x:c r="I132" s="24" t="n">
        <x:f>ROUND(E132-F132,1)</x:f>
        <x:v>59.4</x:v>
      </x:c>
      <x:c r="J132" s="23" t="str">
        <x:v>IF2406</x:v>
      </x:c>
    </x:row>
    <x:row r="133">
      <x:c r="A133" s="23" t="n">
        <x:v>6</x:v>
      </x:c>
      <x:c r="B133" s="23" t="str">
        <x:v>周二</x:v>
      </x:c>
      <x:c r="C133" s="23" t="str">
        <x:v>6月11日</x:v>
      </x:c>
      <x:c r="D133" s="24" t="n">
        <x:v>3548</x:v>
      </x:c>
      <x:c r="E133" s="24" t="n">
        <x:v>3554.4</x:v>
      </x:c>
      <x:c r="F133" s="24" t="n">
        <x:v>3517.6</x:v>
      </x:c>
      <x:c r="G133" s="24" t="n">
        <x:v>3536.6</x:v>
      </x:c>
      <x:c r="H133" s="25" t="n">
        <x:v>-0.006238057772282923</x:v>
      </x:c>
      <x:c r="I133" s="24" t="n">
        <x:f>ROUND(E133-F133,1)</x:f>
        <x:v>36.8</x:v>
      </x:c>
      <x:c r="J133" s="23" t="str">
        <x:v>IF2406</x:v>
      </x:c>
    </x:row>
    <x:row r="134">
      <x:c r="A134" s="23" t="n">
        <x:v>7</x:v>
      </x:c>
      <x:c r="B134" s="23" t="str">
        <x:v>周三</x:v>
      </x:c>
      <x:c r="C134" s="23" t="str">
        <x:v>6月12日</x:v>
      </x:c>
      <x:c r="D134" s="24" t="n">
        <x:v>3533.4</x:v>
      </x:c>
      <x:c r="E134" s="24" t="n">
        <x:v>3541.6</x:v>
      </x:c>
      <x:c r="F134" s="24" t="n">
        <x:v>3521.2</x:v>
      </x:c>
      <x:c r="G134" s="24" t="n">
        <x:v>3531.2</x:v>
      </x:c>
      <x:c r="H134" s="25" t="n">
        <x:v>-0.0015268902335576762</x:v>
      </x:c>
      <x:c r="I134" s="24" t="n">
        <x:f>ROUND(E134-F134,1)</x:f>
        <x:v>20.4</x:v>
      </x:c>
      <x:c r="J134" s="23" t="str">
        <x:v>IF2406</x:v>
      </x:c>
    </x:row>
    <x:row r="135">
      <x:c r="A135" s="23" t="n">
        <x:v>8</x:v>
      </x:c>
      <x:c r="B135" s="23" t="str">
        <x:v>周四</x:v>
      </x:c>
      <x:c r="C135" s="23" t="str">
        <x:v>6月13日</x:v>
      </x:c>
      <x:c r="D135" s="24" t="n">
        <x:v>3536.8</x:v>
      </x:c>
      <x:c r="E135" s="24" t="n">
        <x:v>3542.6</x:v>
      </x:c>
      <x:c r="F135" s="24" t="n">
        <x:v>3507.4</x:v>
      </x:c>
      <x:c r="G135" s="24" t="n">
        <x:v>3517.6</x:v>
      </x:c>
      <x:c r="H135" s="25" t="n">
        <x:v>-0.0038513819664702797</x:v>
      </x:c>
      <x:c r="I135" s="24" t="n">
        <x:f>ROUND(E135-F135,1)</x:f>
        <x:v>35.2</x:v>
      </x:c>
      <x:c r="J135" s="23" t="str">
        <x:v>IF2406</x:v>
      </x:c>
    </x:row>
    <x:row r="136">
      <x:c r="A136" s="23" t="n">
        <x:v>9</x:v>
      </x:c>
      <x:c r="B136" s="23" t="str">
        <x:v>周五</x:v>
      </x:c>
      <x:c r="C136" s="23" t="str">
        <x:v>6月14日</x:v>
      </x:c>
      <x:c r="D136" s="24" t="n">
        <x:v>3512.6</x:v>
      </x:c>
      <x:c r="E136" s="24" t="n">
        <x:v>3540.2</x:v>
      </x:c>
      <x:c r="F136" s="24" t="n">
        <x:v>3498</x:v>
      </x:c>
      <x:c r="G136" s="24" t="n">
        <x:v>3533.6</x:v>
      </x:c>
      <x:c r="H136" s="25" t="n">
        <x:v>0.0045485558335227605</x:v>
      </x:c>
      <x:c r="I136" s="24" t="n">
        <x:f>ROUND(E136-F136,1)</x:f>
        <x:v>42.2</x:v>
      </x:c>
      <x:c r="J136" s="23" t="str">
        <x:v>IF2406</x:v>
      </x:c>
    </x:row>
    <x:row r="137">
      <x:c r="A137" s="23" t="n">
        <x:v>10</x:v>
      </x:c>
      <x:c r="B137" s="23" t="str">
        <x:v>周一</x:v>
      </x:c>
      <x:c r="C137" s="23" t="str">
        <x:v>6月17日</x:v>
      </x:c>
      <x:c r="D137" s="24" t="n">
        <x:v>3515.2</x:v>
      </x:c>
      <x:c r="E137" s="24" t="n">
        <x:v>3536.6</x:v>
      </x:c>
      <x:c r="F137" s="24" t="n">
        <x:v>3514.6</x:v>
      </x:c>
      <x:c r="G137" s="24" t="n">
        <x:v>3527.6</x:v>
      </x:c>
      <x:c r="H137" s="25" t="n">
        <x:v>-0.0016979850577314437</x:v>
      </x:c>
      <x:c r="I137" s="24" t="n">
        <x:f>ROUND(E137-F137,1)</x:f>
        <x:v>22</x:v>
      </x:c>
      <x:c r="J137" s="23" t="str">
        <x:v>IF2406</x:v>
      </x:c>
    </x:row>
    <x:row r="138">
      <x:c r="A138" s="23" t="n">
        <x:v>11</x:v>
      </x:c>
      <x:c r="B138" s="23" t="str">
        <x:v>周二</x:v>
      </x:c>
      <x:c r="C138" s="23" t="str">
        <x:v>6月18日</x:v>
      </x:c>
      <x:c r="D138" s="24" t="n">
        <x:v>3533.8</x:v>
      </x:c>
      <x:c r="E138" s="24" t="n">
        <x:v>3549.2</x:v>
      </x:c>
      <x:c r="F138" s="24" t="n">
        <x:v>3526.4</x:v>
      </x:c>
      <x:c r="G138" s="24" t="n">
        <x:v>3537.2</x:v>
      </x:c>
      <x:c r="H138" s="25" t="n">
        <x:v>0.0027213969837849294</x:v>
      </x:c>
      <x:c r="I138" s="24" t="n">
        <x:f>ROUND(E138-F138,1)</x:f>
        <x:v>22.8</x:v>
      </x:c>
      <x:c r="J138" s="23" t="str">
        <x:v>IF2406</x:v>
      </x:c>
    </x:row>
    <x:row r="139">
      <x:c r="A139" s="23" t="n">
        <x:v>12</x:v>
      </x:c>
      <x:c r="B139" s="23" t="str">
        <x:v>周三</x:v>
      </x:c>
      <x:c r="C139" s="23" t="str">
        <x:v>6月19日</x:v>
      </x:c>
      <x:c r="D139" s="24" t="n">
        <x:v>3541.4</x:v>
      </x:c>
      <x:c r="E139" s="24" t="n">
        <x:v>3547.6</x:v>
      </x:c>
      <x:c r="F139" s="24" t="n">
        <x:v>3522.4</x:v>
      </x:c>
      <x:c r="G139" s="24" t="n">
        <x:v>3527.6</x:v>
      </x:c>
      <x:c r="H139" s="25" t="n">
        <x:v>-0.00271401108221192</x:v>
      </x:c>
      <x:c r="I139" s="24" t="n">
        <x:f>ROUND(E139-F139,1)</x:f>
        <x:v>25.2</x:v>
      </x:c>
      <x:c r="J139" s="23" t="str">
        <x:v>IF2406</x:v>
      </x:c>
    </x:row>
    <x:row r="140">
      <x:c r="A140" s="23" t="n">
        <x:v>13</x:v>
      </x:c>
      <x:c r="B140" s="23" t="str">
        <x:v>周四</x:v>
      </x:c>
      <x:c r="C140" s="23" t="str">
        <x:v>6月20日</x:v>
      </x:c>
      <x:c r="D140" s="24" t="n">
        <x:v>3529.8</x:v>
      </x:c>
      <x:c r="E140" s="24" t="n">
        <x:v>3535.6</x:v>
      </x:c>
      <x:c r="F140" s="24" t="n">
        <x:v>3501</x:v>
      </x:c>
      <x:c r="G140" s="24" t="n">
        <x:v>3505</x:v>
      </x:c>
      <x:c r="H140" s="25" t="n">
        <x:v>-0.00640662206599385</x:v>
      </x:c>
      <x:c r="I140" s="24" t="n">
        <x:f>ROUND(E140-F140,1)</x:f>
        <x:v>34.6</x:v>
      </x:c>
      <x:c r="J140" s="23" t="str">
        <x:v>IF2406</x:v>
      </x:c>
    </x:row>
    <x:row r="141">
      <x:c r="A141" s="29" t="n">
        <x:v>14</x:v>
      </x:c>
      <x:c r="B141" s="29" t="str">
        <x:v>周五</x:v>
      </x:c>
      <x:c r="C141" s="29" t="str">
        <x:v>6月21日</x:v>
      </x:c>
      <x:c r="D141" s="30" t="n">
        <x:v>3505</x:v>
      </x:c>
      <x:c r="E141" s="30" t="n">
        <x:v>3511</x:v>
      </x:c>
      <x:c r="F141" s="30" t="n">
        <x:v>3475</x:v>
      </x:c>
      <x:c r="G141" s="30" t="n">
        <x:v>3492.8</x:v>
      </x:c>
      <x:c r="H141" s="31" t="n">
        <x:v>-0.0034807417974321853</x:v>
      </x:c>
      <x:c r="I141" s="30" t="n">
        <x:f>ROUND(E141-F141,1)</x:f>
        <x:v>36</x:v>
      </x:c>
      <x:c r="J141" s="29" t="str">
        <x:v>IF2406</x:v>
      </x:c>
    </x:row>
    <x:row r="142">
      <x:c r="A142" s="23" t="n">
        <x:v>15</x:v>
      </x:c>
      <x:c r="B142" s="23" t="str">
        <x:v>周一</x:v>
      </x:c>
      <x:c r="C142" s="23" t="str">
        <x:v>6月24日</x:v>
      </x:c>
      <x:c r="D142" s="24" t="n">
        <x:v>3443</x:v>
      </x:c>
      <x:c r="E142" s="24" t="n">
        <x:v>3467</x:v>
      </x:c>
      <x:c r="F142" s="24" t="n">
        <x:v>3433.4</x:v>
      </x:c>
      <x:c r="G142" s="24" t="n">
        <x:v>3440.8</x:v>
      </x:c>
      <x:c r="H142" s="25" t="n">
        <x:v>-0.012253779202931803</x:v>
      </x:c>
      <x:c r="I142" s="24" t="n">
        <x:f>ROUND(E142-F142,1)</x:f>
        <x:v>33.6</x:v>
      </x:c>
      <x:c r="J142" s="23" t="str">
        <x:v>IF2409</x:v>
      </x:c>
    </x:row>
    <x:row r="143">
      <x:c r="A143" s="23" t="n">
        <x:v>16</x:v>
      </x:c>
      <x:c r="B143" s="23" t="str">
        <x:v>周二</x:v>
      </x:c>
      <x:c r="C143" s="23" t="str">
        <x:v>6月25日</x:v>
      </x:c>
      <x:c r="D143" s="24" t="n">
        <x:v>3443</x:v>
      </x:c>
      <x:c r="E143" s="24" t="n">
        <x:v>3448</x:v>
      </x:c>
      <x:c r="F143" s="24" t="n">
        <x:v>3399.2</x:v>
      </x:c>
      <x:c r="G143" s="24" t="n">
        <x:v>3414.8</x:v>
      </x:c>
      <x:c r="H143" s="25" t="n">
        <x:v>-0.006434782608695566</x:v>
      </x:c>
      <x:c r="I143" s="24" t="n">
        <x:f>ROUND(E143-F143,1)</x:f>
        <x:v>48.8</x:v>
      </x:c>
      <x:c r="J143" s="23" t="str">
        <x:v>IF2409</x:v>
      </x:c>
    </x:row>
    <x:row r="144">
      <x:c r="A144" s="23" t="n">
        <x:v>17</x:v>
      </x:c>
      <x:c r="B144" s="23" t="str">
        <x:v>周三</x:v>
      </x:c>
      <x:c r="C144" s="23" t="str">
        <x:v>6月26日</x:v>
      </x:c>
      <x:c r="D144" s="24" t="n">
        <x:v>3409</x:v>
      </x:c>
      <x:c r="E144" s="24" t="n">
        <x:v>3445.6</x:v>
      </x:c>
      <x:c r="F144" s="24" t="n">
        <x:v>3401</x:v>
      </x:c>
      <x:c r="G144" s="24" t="n">
        <x:v>3434.4</x:v>
      </x:c>
      <x:c r="H144" s="25" t="n">
        <x:v>0.005659606744850887</x:v>
      </x:c>
      <x:c r="I144" s="24" t="n">
        <x:f>ROUND(E144-F144,1)</x:f>
        <x:v>44.6</x:v>
      </x:c>
      <x:c r="J144" s="23" t="str">
        <x:v>IF2409</x:v>
      </x:c>
    </x:row>
    <x:row r="145">
      <x:c r="A145" s="23" t="n">
        <x:v>18</x:v>
      </x:c>
      <x:c r="B145" s="23" t="str">
        <x:v>周四</x:v>
      </x:c>
      <x:c r="C145" s="23" t="str">
        <x:v>6月27日</x:v>
      </x:c>
      <x:c r="D145" s="24" t="n">
        <x:v>3428.8</x:v>
      </x:c>
      <x:c r="E145" s="24" t="n">
        <x:v>3428.8</x:v>
      </x:c>
      <x:c r="F145" s="24" t="n">
        <x:v>3410</x:v>
      </x:c>
      <x:c r="G145" s="24" t="n">
        <x:v>3418.8</x:v>
      </x:c>
      <x:c r="H145" s="25" t="n">
        <x:v>-0.004989556741703316</x:v>
      </x:c>
      <x:c r="I145" s="24" t="n">
        <x:f>ROUND(E145-F145,1)</x:f>
        <x:v>18.8</x:v>
      </x:c>
      <x:c r="J145" s="23" t="str">
        <x:v>IF2409</x:v>
      </x:c>
    </x:row>
    <x:row r="146">
      <x:c r="A146" s="23" t="n">
        <x:v>19</x:v>
      </x:c>
      <x:c r="B146" s="23" t="str">
        <x:v>周五</x:v>
      </x:c>
      <x:c r="C146" s="23" t="str">
        <x:v>6月28日</x:v>
      </x:c>
      <x:c r="D146" s="24" t="n">
        <x:v>3412</x:v>
      </x:c>
      <x:c r="E146" s="24" t="n">
        <x:v>3450.8</x:v>
      </x:c>
      <x:c r="F146" s="24" t="n">
        <x:v>3410.2</x:v>
      </x:c>
      <x:c r="G146" s="24" t="n">
        <x:v>3422</x:v>
      </x:c>
      <x:c r="H146" s="25" t="n">
        <x:v>0.0015743440233235706</x:v>
      </x:c>
      <x:c r="I146" s="24" t="n">
        <x:f>ROUND(E146-F146,1)</x:f>
        <x:v>40.6</x:v>
      </x:c>
      <x:c r="J146" s="23" t="str">
        <x:v>IF2409</x:v>
      </x:c>
    </x:row>
    <x:row r="147">
      <x:c r="A147" s="36" t="str">
        <x:v>合计</x:v>
      </x:c>
      <x:c r="B147" s="35" t="n">
        <x:v>19</x:v>
      </x:c>
      <x:c r="C147" s="35"/>
      <x:c r="D147" s="35"/>
      <x:c r="E147" s="35"/>
      <x:c r="F147" s="35"/>
      <x:c r="G147" s="35"/>
      <x:c r="H147" s="35"/>
      <x:c r="I147" s="37" t="n">
        <x:f>ROUND(SUM(I128:I146),1)</x:f>
        <x:v>676.4</x:v>
      </x:c>
      <x:c r="J147" s="35"/>
    </x:row>
    <x:row r="148">
      <x:c r="A148" s="36" t="str">
        <x:v>均值</x:v>
      </x:c>
      <x:c r="B148" s="35"/>
      <x:c r="C148" s="35"/>
      <x:c r="D148" s="35"/>
      <x:c r="E148" s="35"/>
      <x:c r="F148" s="35"/>
      <x:c r="G148" s="35"/>
      <x:c r="H148" s="35"/>
      <x:c r="I148" s="39" t="n">
        <x:f>ROUND(IFERROR(AVERAGE(I128:I146),0),1)</x:f>
        <x:v>35.6</x:v>
      </x:c>
      <x:c r="J148" s="35"/>
    </x:row>
    <x:row r="150">
      <x:c r="A150" s="17" t="str">
        <x:v>7月</x:v>
      </x:c>
      <x:c r="B150" s="17"/>
      <x:c r="C150" s="17"/>
      <x:c r="D150" s="17"/>
      <x:c r="E150" s="17"/>
      <x:c r="F150" s="17"/>
      <x:c r="G150" s="17"/>
      <x:c r="H150" s="17"/>
      <x:c r="I150" s="17"/>
      <x:c r="J150" s="17"/>
    </x:row>
    <x:row r="151">
      <x:c r="A151" s="20" t="str">
        <x:v>序号</x:v>
      </x:c>
      <x:c r="B151" s="20" t="str">
        <x:v>星期</x:v>
      </x:c>
      <x:c r="C151" s="20" t="str">
        <x:v>日期</x:v>
      </x:c>
      <x:c r="D151" s="20" t="str">
        <x:v>开盘</x:v>
      </x:c>
      <x:c r="E151" s="20" t="str">
        <x:v>高点</x:v>
      </x:c>
      <x:c r="F151" s="20" t="str">
        <x:v>低点</x:v>
      </x:c>
      <x:c r="G151" s="20" t="str">
        <x:v>收盘</x:v>
      </x:c>
      <x:c r="H151" s="20" t="str">
        <x:v>涨幅</x:v>
      </x:c>
      <x:c r="I151" s="20" t="str">
        <x:v>振幅</x:v>
      </x:c>
      <x:c r="J151" s="20" t="str">
        <x:v>标的</x:v>
      </x:c>
    </x:row>
    <x:row r="152">
      <x:c r="A152" s="23" t="n">
        <x:v>1</x:v>
      </x:c>
      <x:c r="B152" s="23" t="str">
        <x:v>周一</x:v>
      </x:c>
      <x:c r="C152" s="23" t="str">
        <x:v>7月1日</x:v>
      </x:c>
      <x:c r="D152" s="24" t="n">
        <x:v>3422.2</x:v>
      </x:c>
      <x:c r="E152" s="24" t="n">
        <x:v>3442.6</x:v>
      </x:c>
      <x:c r="F152" s="24" t="n">
        <x:v>3403</x:v>
      </x:c>
      <x:c r="G152" s="24" t="n">
        <x:v>3432.4</x:v>
      </x:c>
      <x:c r="H152" s="25" t="n">
        <x:v>0.0038423473249111773</x:v>
      </x:c>
      <x:c r="I152" s="24" t="n">
        <x:f>ROUND(E152-F152,1)</x:f>
        <x:v>39.6</x:v>
      </x:c>
      <x:c r="J152" s="23" t="str">
        <x:v>IF2409</x:v>
      </x:c>
    </x:row>
    <x:row r="153">
      <x:c r="A153" s="23" t="n">
        <x:v>2</x:v>
      </x:c>
      <x:c r="B153" s="23" t="str">
        <x:v>周二</x:v>
      </x:c>
      <x:c r="C153" s="23" t="str">
        <x:v>7月2日</x:v>
      </x:c>
      <x:c r="D153" s="24" t="n">
        <x:v>3429.2</x:v>
      </x:c>
      <x:c r="E153" s="24" t="n">
        <x:v>3445</x:v>
      </x:c>
      <x:c r="F153" s="24" t="n">
        <x:v>3422.2</x:v>
      </x:c>
      <x:c r="G153" s="24" t="n">
        <x:v>3429.2</x:v>
      </x:c>
      <x:c r="H153" s="25" t="n">
        <x:v>-0.0011598909702488225</x:v>
      </x:c>
      <x:c r="I153" s="24" t="n">
        <x:f>ROUND(E153-F153,1)</x:f>
        <x:v>22.8</x:v>
      </x:c>
      <x:c r="J153" s="23" t="str">
        <x:v>IF2409</x:v>
      </x:c>
    </x:row>
    <x:row r="154">
      <x:c r="A154" s="23" t="n">
        <x:v>3</x:v>
      </x:c>
      <x:c r="B154" s="23" t="str">
        <x:v>周三</x:v>
      </x:c>
      <x:c r="C154" s="23" t="str">
        <x:v>7月3日</x:v>
      </x:c>
      <x:c r="D154" s="24" t="n">
        <x:v>3432.2</x:v>
      </x:c>
      <x:c r="E154" s="24" t="n">
        <x:v>3436</x:v>
      </x:c>
      <x:c r="F154" s="24" t="n">
        <x:v>3414.8</x:v>
      </x:c>
      <x:c r="G154" s="24" t="n">
        <x:v>3423.8</x:v>
      </x:c>
      <x:c r="H154" s="25" t="n">
        <x:v>-0.0018579806073274474</x:v>
      </x:c>
      <x:c r="I154" s="24" t="n">
        <x:f>ROUND(E154-F154,1)</x:f>
        <x:v>21.2</x:v>
      </x:c>
      <x:c r="J154" s="23" t="str">
        <x:v>IF2409</x:v>
      </x:c>
    </x:row>
    <x:row r="155">
      <x:c r="A155" s="23" t="n">
        <x:v>4</x:v>
      </x:c>
      <x:c r="B155" s="23" t="str">
        <x:v>周四</x:v>
      </x:c>
      <x:c r="C155" s="23" t="str">
        <x:v>7月4日</x:v>
      </x:c>
      <x:c r="D155" s="24" t="n">
        <x:v>3430</x:v>
      </x:c>
      <x:c r="E155" s="24" t="n">
        <x:v>3443</x:v>
      </x:c>
      <x:c r="F155" s="24" t="n">
        <x:v>3401.8</x:v>
      </x:c>
      <x:c r="G155" s="24" t="n">
        <x:v>3401.8</x:v>
      </x:c>
      <x:c r="H155" s="25" t="n">
        <x:v>-0.005584317375370795</x:v>
      </x:c>
      <x:c r="I155" s="24" t="n">
        <x:f>ROUND(E155-F155,1)</x:f>
        <x:v>41.2</x:v>
      </x:c>
      <x:c r="J155" s="23" t="str">
        <x:v>IF2409</x:v>
      </x:c>
    </x:row>
    <x:row r="156">
      <x:c r="A156" s="23" t="n">
        <x:v>5</x:v>
      </x:c>
      <x:c r="B156" s="23" t="str">
        <x:v>周五</x:v>
      </x:c>
      <x:c r="C156" s="23" t="str">
        <x:v>7月5日</x:v>
      </x:c>
      <x:c r="D156" s="24" t="n">
        <x:v>3405</x:v>
      </x:c>
      <x:c r="E156" s="24" t="n">
        <x:v>3409.4</x:v>
      </x:c>
      <x:c r="F156" s="24" t="n">
        <x:v>3357</x:v>
      </x:c>
      <x:c r="G156" s="24" t="n">
        <x:v>3387.8</x:v>
      </x:c>
      <x:c r="H156" s="25" t="n">
        <x:v>-0.004153261187481716</x:v>
      </x:c>
      <x:c r="I156" s="24" t="n">
        <x:f>ROUND(E156-F156,1)</x:f>
        <x:v>52.4</x:v>
      </x:c>
      <x:c r="J156" s="23" t="str">
        <x:v>IF2409</x:v>
      </x:c>
    </x:row>
    <x:row r="157">
      <x:c r="A157" s="23" t="n">
        <x:v>6</x:v>
      </x:c>
      <x:c r="B157" s="23" t="str">
        <x:v>周一</x:v>
      </x:c>
      <x:c r="C157" s="23" t="str">
        <x:v>7月8日</x:v>
      </x:c>
      <x:c r="D157" s="24" t="n">
        <x:v>3384</x:v>
      </x:c>
      <x:c r="E157" s="24" t="n">
        <x:v>3386.4</x:v>
      </x:c>
      <x:c r="F157" s="24" t="n">
        <x:v>3350.4</x:v>
      </x:c>
      <x:c r="G157" s="24" t="n">
        <x:v>3359.8</x:v>
      </x:c>
      <x:c r="H157" s="25" t="n">
        <x:v>-0.007518796992481258</x:v>
      </x:c>
      <x:c r="I157" s="24" t="n">
        <x:f>ROUND(E157-F157,1)</x:f>
        <x:v>36</x:v>
      </x:c>
      <x:c r="J157" s="23" t="str">
        <x:v>IF2409</x:v>
      </x:c>
    </x:row>
    <x:row r="158">
      <x:c r="A158" s="23" t="n">
        <x:v>7</x:v>
      </x:c>
      <x:c r="B158" s="23" t="str">
        <x:v>周二</x:v>
      </x:c>
      <x:c r="C158" s="23" t="str">
        <x:v>7月9日</x:v>
      </x:c>
      <x:c r="D158" s="24" t="n">
        <x:v>3362</x:v>
      </x:c>
      <x:c r="E158" s="24" t="n">
        <x:v>3414</x:v>
      </x:c>
      <x:c r="F158" s="24" t="n">
        <x:v>3343.2</x:v>
      </x:c>
      <x:c r="G158" s="24" t="n">
        <x:v>3401.2</x:v>
      </x:c>
      <x:c r="H158" s="25" t="n">
        <x:v>0.011541193181818121</x:v>
      </x:c>
      <x:c r="I158" s="24" t="n">
        <x:f>ROUND(E158-F158,1)</x:f>
        <x:v>70.8</x:v>
      </x:c>
      <x:c r="J158" s="23" t="str">
        <x:v>IF2409</x:v>
      </x:c>
    </x:row>
    <x:row r="159">
      <x:c r="A159" s="23" t="n">
        <x:v>8</x:v>
      </x:c>
      <x:c r="B159" s="23" t="str">
        <x:v>周三</x:v>
      </x:c>
      <x:c r="C159" s="23" t="str">
        <x:v>7月10日</x:v>
      </x:c>
      <x:c r="D159" s="24" t="n">
        <x:v>3398.4</x:v>
      </x:c>
      <x:c r="E159" s="24" t="n">
        <x:v>3416</x:v>
      </x:c>
      <x:c r="F159" s="24" t="n">
        <x:v>3393.6</x:v>
      </x:c>
      <x:c r="G159" s="24" t="n">
        <x:v>3396.2</x:v>
      </x:c>
      <x:c r="H159" s="25" t="n">
        <x:v>-0.0016967994851090351</x:v>
      </x:c>
      <x:c r="I159" s="24" t="n">
        <x:f>ROUND(E159-F159,1)</x:f>
        <x:v>22.4</x:v>
      </x:c>
      <x:c r="J159" s="23" t="str">
        <x:v>IF2409</x:v>
      </x:c>
    </x:row>
    <x:row r="160">
      <x:c r="A160" s="23" t="n">
        <x:v>9</x:v>
      </x:c>
      <x:c r="B160" s="23" t="str">
        <x:v>周四</x:v>
      </x:c>
      <x:c r="C160" s="23" t="str">
        <x:v>7月11日</x:v>
      </x:c>
      <x:c r="D160" s="24" t="n">
        <x:v>3425.8</x:v>
      </x:c>
      <x:c r="E160" s="24" t="n">
        <x:v>3454</x:v>
      </x:c>
      <x:c r="F160" s="24" t="n">
        <x:v>3410</x:v>
      </x:c>
      <x:c r="G160" s="24" t="n">
        <x:v>3443</x:v>
      </x:c>
      <x:c r="H160" s="25" t="n">
        <x:v>0.012718321416012257</x:v>
      </x:c>
      <x:c r="I160" s="24" t="n">
        <x:f>ROUND(E160-F160,1)</x:f>
        <x:v>44</x:v>
      </x:c>
      <x:c r="J160" s="23" t="str">
        <x:v>IF2409</x:v>
      </x:c>
    </x:row>
    <x:row r="161">
      <x:c r="A161" s="23" t="n">
        <x:v>10</x:v>
      </x:c>
      <x:c r="B161" s="23" t="str">
        <x:v>周五</x:v>
      </x:c>
      <x:c r="C161" s="23" t="str">
        <x:v>7月12日</x:v>
      </x:c>
      <x:c r="D161" s="24" t="n">
        <x:v>3440.6</x:v>
      </x:c>
      <x:c r="E161" s="24" t="n">
        <x:v>3455</x:v>
      </x:c>
      <x:c r="F161" s="24" t="n">
        <x:v>3439</x:v>
      </x:c>
      <x:c r="G161" s="24" t="n">
        <x:v>3448</x:v>
      </x:c>
      <x:c r="H161" s="25" t="n">
        <x:v>0.0016783378667746263</x:v>
      </x:c>
      <x:c r="I161" s="24" t="n">
        <x:f>ROUND(E161-F161,1)</x:f>
        <x:v>16</x:v>
      </x:c>
      <x:c r="J161" s="23" t="str">
        <x:v>IF2409</x:v>
      </x:c>
    </x:row>
    <x:row r="162">
      <x:c r="A162" s="23" t="n">
        <x:v>11</x:v>
      </x:c>
      <x:c r="B162" s="23" t="str">
        <x:v>周一</x:v>
      </x:c>
      <x:c r="C162" s="23" t="str">
        <x:v>7月15日</x:v>
      </x:c>
      <x:c r="D162" s="24" t="n">
        <x:v>3440</x:v>
      </x:c>
      <x:c r="E162" s="24" t="n">
        <x:v>3454.8</x:v>
      </x:c>
      <x:c r="F162" s="24" t="n">
        <x:v>3438</x:v>
      </x:c>
      <x:c r="G162" s="24" t="n">
        <x:v>3442.8</x:v>
      </x:c>
      <x:c r="H162" s="25" t="n">
        <x:v>-0.00017333025190657825</x:v>
      </x:c>
      <x:c r="I162" s="24" t="n">
        <x:f>ROUND(E162-F162,1)</x:f>
        <x:v>16.8</x:v>
      </x:c>
      <x:c r="J162" s="23" t="str">
        <x:v>IF2409</x:v>
      </x:c>
    </x:row>
    <x:row r="163">
      <x:c r="A163" s="23" t="n">
        <x:v>12</x:v>
      </x:c>
      <x:c r="B163" s="23" t="str">
        <x:v>周二</x:v>
      </x:c>
      <x:c r="C163" s="23" t="str">
        <x:v>7月16日</x:v>
      </x:c>
      <x:c r="D163" s="24" t="n">
        <x:v>3435</x:v>
      </x:c>
      <x:c r="E163" s="24" t="n">
        <x:v>3465.4</x:v>
      </x:c>
      <x:c r="F163" s="24" t="n">
        <x:v>3435</x:v>
      </x:c>
      <x:c r="G163" s="24" t="n">
        <x:v>3461.4</x:v>
      </x:c>
      <x:c r="H163" s="25" t="n">
        <x:v>0.007165559086969031</x:v>
      </x:c>
      <x:c r="I163" s="24" t="n">
        <x:f>ROUND(E163-F163,1)</x:f>
        <x:v>30.4</x:v>
      </x:c>
      <x:c r="J163" s="23" t="str">
        <x:v>IF2409</x:v>
      </x:c>
    </x:row>
    <x:row r="164">
      <x:c r="A164" s="23" t="n">
        <x:v>13</x:v>
      </x:c>
      <x:c r="B164" s="23" t="str">
        <x:v>周三</x:v>
      </x:c>
      <x:c r="C164" s="23" t="str">
        <x:v>7月17日</x:v>
      </x:c>
      <x:c r="D164" s="24" t="n">
        <x:v>3460.6</x:v>
      </x:c>
      <x:c r="E164" s="24" t="n">
        <x:v>3479.6</x:v>
      </x:c>
      <x:c r="F164" s="24" t="n">
        <x:v>3455</x:v>
      </x:c>
      <x:c r="G164" s="24" t="n">
        <x:v>3467.6</x:v>
      </x:c>
      <x:c r="H164" s="25" t="n">
        <x:v>0.0021228986172470155</x:v>
      </x:c>
      <x:c r="I164" s="24" t="n">
        <x:f>ROUND(E164-F164,1)</x:f>
        <x:v>24.6</x:v>
      </x:c>
      <x:c r="J164" s="23" t="str">
        <x:v>IF2409</x:v>
      </x:c>
    </x:row>
    <x:row r="165">
      <x:c r="A165" s="23" t="n">
        <x:v>14</x:v>
      </x:c>
      <x:c r="B165" s="23" t="str">
        <x:v>周四</x:v>
      </x:c>
      <x:c r="C165" s="23" t="str">
        <x:v>7月18日</x:v>
      </x:c>
      <x:c r="D165" s="24" t="n">
        <x:v>3461.4</x:v>
      </x:c>
      <x:c r="E165" s="24" t="n">
        <x:v>3488</x:v>
      </x:c>
      <x:c r="F165" s="24" t="n">
        <x:v>3447.4</x:v>
      </x:c>
      <x:c r="G165" s="24" t="n">
        <x:v>3488</x:v>
      </x:c>
      <x:c r="H165" s="25" t="n">
        <x:v>0.006297950303446598</x:v>
      </x:c>
      <x:c r="I165" s="24" t="n">
        <x:f>ROUND(E165-F165,1)</x:f>
        <x:v>40.6</x:v>
      </x:c>
      <x:c r="J165" s="23" t="str">
        <x:v>IF2409</x:v>
      </x:c>
    </x:row>
    <x:row r="166">
      <x:c r="A166" s="29" t="n">
        <x:v>15</x:v>
      </x:c>
      <x:c r="B166" s="29" t="str">
        <x:v>周五</x:v>
      </x:c>
      <x:c r="C166" s="29" t="str">
        <x:v>7月19日</x:v>
      </x:c>
      <x:c r="D166" s="30" t="n">
        <x:v>3474</x:v>
      </x:c>
      <x:c r="E166" s="30" t="n">
        <x:v>3507</x:v>
      </x:c>
      <x:c r="F166" s="30" t="n">
        <x:v>3468.8</x:v>
      </x:c>
      <x:c r="G166" s="30" t="n">
        <x:v>3500.8</x:v>
      </x:c>
      <x:c r="H166" s="31" t="n">
        <x:v>0.004437869822485396</x:v>
      </x:c>
      <x:c r="I166" s="30" t="n">
        <x:f>ROUND(E166-F166,1)</x:f>
        <x:v>38.2</x:v>
      </x:c>
      <x:c r="J166" s="29" t="str">
        <x:v>IF2409</x:v>
      </x:c>
    </x:row>
    <x:row r="167">
      <x:c r="A167" s="23" t="n">
        <x:v>16</x:v>
      </x:c>
      <x:c r="B167" s="23" t="str">
        <x:v>周一</x:v>
      </x:c>
      <x:c r="C167" s="23" t="str">
        <x:v>7月22日</x:v>
      </x:c>
      <x:c r="D167" s="24" t="n">
        <x:v>3502.8</x:v>
      </x:c>
      <x:c r="E167" s="24" t="n">
        <x:v>3512.6</x:v>
      </x:c>
      <x:c r="F167" s="24" t="n">
        <x:v>3467.4</x:v>
      </x:c>
      <x:c r="G167" s="24" t="n">
        <x:v>3483.2</x:v>
      </x:c>
      <x:c r="H167" s="25" t="n">
        <x:v>-0.010875722215928474</x:v>
      </x:c>
      <x:c r="I167" s="24" t="n">
        <x:f>ROUND(E167-F167,1)</x:f>
        <x:v>45.2</x:v>
      </x:c>
      <x:c r="J167" s="23" t="str">
        <x:v>IF2409</x:v>
      </x:c>
    </x:row>
    <x:row r="168">
      <x:c r="A168" s="23" t="n">
        <x:v>17</x:v>
      </x:c>
      <x:c r="B168" s="23" t="str">
        <x:v>周二</x:v>
      </x:c>
      <x:c r="C168" s="23" t="str">
        <x:v>7月23日</x:v>
      </x:c>
      <x:c r="D168" s="24" t="n">
        <x:v>3480.6</x:v>
      </x:c>
      <x:c r="E168" s="24" t="n">
        <x:v>3488.2</x:v>
      </x:c>
      <x:c r="F168" s="24" t="n">
        <x:v>3419</x:v>
      </x:c>
      <x:c r="G168" s="24" t="n">
        <x:v>3421</x:v>
      </x:c>
      <x:c r="H168" s="25" t="n">
        <x:v>-0.017924636353224166</x:v>
      </x:c>
      <x:c r="I168" s="24" t="n">
        <x:f>ROUND(E168-F168,1)</x:f>
        <x:v>69.2</x:v>
      </x:c>
      <x:c r="J168" s="23" t="str">
        <x:v>IF2409</x:v>
      </x:c>
    </x:row>
    <x:row r="169">
      <x:c r="A169" s="23" t="n">
        <x:v>18</x:v>
      </x:c>
      <x:c r="B169" s="23" t="str">
        <x:v>周三</x:v>
      </x:c>
      <x:c r="C169" s="23" t="str">
        <x:v>7月24日</x:v>
      </x:c>
      <x:c r="D169" s="24" t="n">
        <x:v>3415</x:v>
      </x:c>
      <x:c r="E169" s="24" t="n">
        <x:v>3430.8</x:v>
      </x:c>
      <x:c r="F169" s="24" t="n">
        <x:v>3382.8</x:v>
      </x:c>
      <x:c r="G169" s="24" t="n">
        <x:v>3395.2</x:v>
      </x:c>
      <x:c r="H169" s="25" t="n">
        <x:v>-0.007988804011895723</x:v>
      </x:c>
      <x:c r="I169" s="24" t="n">
        <x:f>ROUND(E169-F169,1)</x:f>
        <x:v>48</x:v>
      </x:c>
      <x:c r="J169" s="23" t="str">
        <x:v>IF2409</x:v>
      </x:c>
    </x:row>
    <x:row r="170">
      <x:c r="A170" s="23" t="n">
        <x:v>19</x:v>
      </x:c>
      <x:c r="B170" s="23" t="str">
        <x:v>周四</x:v>
      </x:c>
      <x:c r="C170" s="23" t="str">
        <x:v>7月25日</x:v>
      </x:c>
      <x:c r="D170" s="24" t="n">
        <x:v>3386</x:v>
      </x:c>
      <x:c r="E170" s="24" t="n">
        <x:v>3395.6</x:v>
      </x:c>
      <x:c r="F170" s="24" t="n">
        <x:v>3360</x:v>
      </x:c>
      <x:c r="G170" s="24" t="n">
        <x:v>3371.8</x:v>
      </x:c>
      <x:c r="H170" s="25" t="n">
        <x:v>-0.006407241946861042</x:v>
      </x:c>
      <x:c r="I170" s="24" t="n">
        <x:f>ROUND(E170-F170,1)</x:f>
        <x:v>35.6</x:v>
      </x:c>
      <x:c r="J170" s="23" t="str">
        <x:v>IF2409</x:v>
      </x:c>
    </x:row>
    <x:row r="171">
      <x:c r="A171" s="23" t="n">
        <x:v>20</x:v>
      </x:c>
      <x:c r="B171" s="23" t="str">
        <x:v>周五</x:v>
      </x:c>
      <x:c r="C171" s="23" t="str">
        <x:v>7月26日</x:v>
      </x:c>
      <x:c r="D171" s="24" t="n">
        <x:v>3380.2</x:v>
      </x:c>
      <x:c r="E171" s="24" t="n">
        <x:v>3403.2</x:v>
      </x:c>
      <x:c r="F171" s="24" t="n">
        <x:v>3370.4</x:v>
      </x:c>
      <x:c r="G171" s="24" t="n">
        <x:v>3391.4</x:v>
      </x:c>
      <x:c r="H171" s="25" t="n">
        <x:v>0.004969532035733248</x:v>
      </x:c>
      <x:c r="I171" s="24" t="n">
        <x:f>ROUND(E171-F171,1)</x:f>
        <x:v>32.8</x:v>
      </x:c>
      <x:c r="J171" s="23" t="str">
        <x:v>IF2409</x:v>
      </x:c>
    </x:row>
    <x:row r="172">
      <x:c r="A172" s="23" t="n">
        <x:v>21</x:v>
      </x:c>
      <x:c r="B172" s="23" t="str">
        <x:v>周一</x:v>
      </x:c>
      <x:c r="C172" s="23" t="str">
        <x:v>7月29日</x:v>
      </x:c>
      <x:c r="D172" s="24" t="n">
        <x:v>3388</x:v>
      </x:c>
      <x:c r="E172" s="24" t="n">
        <x:v>3393.2</x:v>
      </x:c>
      <x:c r="F172" s="24" t="n">
        <x:v>3373.2</x:v>
      </x:c>
      <x:c r="G172" s="24" t="n">
        <x:v>3376</x:v>
      </x:c>
      <x:c r="H172" s="25" t="n">
        <x:v>-0.004474009536704626</x:v>
      </x:c>
      <x:c r="I172" s="24" t="n">
        <x:f>ROUND(E172-F172,1)</x:f>
        <x:v>20</x:v>
      </x:c>
      <x:c r="J172" s="23" t="str">
        <x:v>IF2409</x:v>
      </x:c>
    </x:row>
    <x:row r="173">
      <x:c r="A173" s="23" t="n">
        <x:v>22</x:v>
      </x:c>
      <x:c r="B173" s="23" t="str">
        <x:v>周二</x:v>
      </x:c>
      <x:c r="C173" s="23" t="str">
        <x:v>7月30日</x:v>
      </x:c>
      <x:c r="D173" s="24" t="n">
        <x:v>3362.8</x:v>
      </x:c>
      <x:c r="E173" s="24" t="n">
        <x:v>3370</x:v>
      </x:c>
      <x:c r="F173" s="24" t="n">
        <x:v>3340</x:v>
      </x:c>
      <x:c r="G173" s="24" t="n">
        <x:v>3353.2</x:v>
      </x:c>
      <x:c r="H173" s="25" t="n">
        <x:v>-0.006682041274909789</x:v>
      </x:c>
      <x:c r="I173" s="24" t="n">
        <x:f>ROUND(E173-F173,1)</x:f>
        <x:v>30</x:v>
      </x:c>
      <x:c r="J173" s="23" t="str">
        <x:v>IF2409</x:v>
      </x:c>
    </x:row>
    <x:row r="174">
      <x:c r="A174" s="23" t="n">
        <x:v>23</x:v>
      </x:c>
      <x:c r="B174" s="23" t="str">
        <x:v>周三</x:v>
      </x:c>
      <x:c r="C174" s="23" t="str">
        <x:v>7月31日</x:v>
      </x:c>
      <x:c r="D174" s="24" t="n">
        <x:v>3358.4</x:v>
      </x:c>
      <x:c r="E174" s="24" t="n">
        <x:v>3444.6</x:v>
      </x:c>
      <x:c r="F174" s="24" t="n">
        <x:v>3350.8</x:v>
      </x:c>
      <x:c r="G174" s="24" t="n">
        <x:v>3441</x:v>
      </x:c>
      <x:c r="H174" s="25" t="n">
        <x:v>0.02524110013096803</x:v>
      </x:c>
      <x:c r="I174" s="33" t="n">
        <x:f>ROUND(E174-F174,1)</x:f>
        <x:v>93.8</x:v>
      </x:c>
      <x:c r="J174" s="23" t="str">
        <x:v>IF2409</x:v>
      </x:c>
    </x:row>
    <x:row r="175">
      <x:c r="A175" s="36" t="str">
        <x:v>合计</x:v>
      </x:c>
      <x:c r="B175" s="35" t="n">
        <x:v>23</x:v>
      </x:c>
      <x:c r="C175" s="35"/>
      <x:c r="D175" s="35"/>
      <x:c r="E175" s="35"/>
      <x:c r="F175" s="35"/>
      <x:c r="G175" s="35"/>
      <x:c r="H175" s="35"/>
      <x:c r="I175" s="37" t="n">
        <x:f>ROUND(SUM(I152:I174),1)</x:f>
        <x:v>891.6</x:v>
      </x:c>
      <x:c r="J175" s="35"/>
    </x:row>
    <x:row r="176">
      <x:c r="A176" s="36" t="str">
        <x:v>均值</x:v>
      </x:c>
      <x:c r="B176" s="35"/>
      <x:c r="C176" s="35"/>
      <x:c r="D176" s="35"/>
      <x:c r="E176" s="35"/>
      <x:c r="F176" s="35"/>
      <x:c r="G176" s="35"/>
      <x:c r="H176" s="35"/>
      <x:c r="I176" s="39" t="n">
        <x:f>ROUND(IFERROR(AVERAGE(I152:I174),0),1)</x:f>
        <x:v>38.8</x:v>
      </x:c>
      <x:c r="J176" s="35"/>
    </x:row>
    <x:row r="178">
      <x:c r="A178" s="17" t="str">
        <x:v>8月</x:v>
      </x:c>
      <x:c r="B178" s="17"/>
      <x:c r="C178" s="17"/>
      <x:c r="D178" s="17"/>
      <x:c r="E178" s="17"/>
      <x:c r="F178" s="17"/>
      <x:c r="G178" s="17"/>
      <x:c r="H178" s="17"/>
      <x:c r="I178" s="17"/>
      <x:c r="J178" s="17"/>
    </x:row>
    <x:row r="179">
      <x:c r="A179" s="20" t="str">
        <x:v>序号</x:v>
      </x:c>
      <x:c r="B179" s="20" t="str">
        <x:v>星期</x:v>
      </x:c>
      <x:c r="C179" s="20" t="str">
        <x:v>日期</x:v>
      </x:c>
      <x:c r="D179" s="20" t="str">
        <x:v>开盘</x:v>
      </x:c>
      <x:c r="E179" s="20" t="str">
        <x:v>高点</x:v>
      </x:c>
      <x:c r="F179" s="20" t="str">
        <x:v>低点</x:v>
      </x:c>
      <x:c r="G179" s="20" t="str">
        <x:v>收盘</x:v>
      </x:c>
      <x:c r="H179" s="20" t="str">
        <x:v>涨幅</x:v>
      </x:c>
      <x:c r="I179" s="20" t="str">
        <x:v>振幅</x:v>
      </x:c>
      <x:c r="J179" s="20" t="str">
        <x:v>标的</x:v>
      </x:c>
    </x:row>
    <x:row r="180">
      <x:c r="A180" s="23" t="n">
        <x:v>1</x:v>
      </x:c>
      <x:c r="B180" s="23" t="str">
        <x:v>周四</x:v>
      </x:c>
      <x:c r="C180" s="23" t="str">
        <x:v>8月1日</x:v>
      </x:c>
      <x:c r="D180" s="24" t="n">
        <x:v>3442</x:v>
      </x:c>
      <x:c r="E180" s="24" t="n">
        <x:v>3451.6</x:v>
      </x:c>
      <x:c r="F180" s="24" t="n">
        <x:v>3411.8</x:v>
      </x:c>
      <x:c r="G180" s="24" t="n">
        <x:v>3414.2</x:v>
      </x:c>
      <x:c r="H180" s="25" t="n">
        <x:v>-0.007896876088723803</x:v>
      </x:c>
      <x:c r="I180" s="24" t="n">
        <x:f>ROUND(E180-F180,1)</x:f>
        <x:v>39.8</x:v>
      </x:c>
      <x:c r="J180" s="23" t="str">
        <x:v>IF2409</x:v>
      </x:c>
    </x:row>
    <x:row r="181">
      <x:c r="A181" s="23" t="n">
        <x:v>2</x:v>
      </x:c>
      <x:c r="B181" s="23" t="str">
        <x:v>周五</x:v>
      </x:c>
      <x:c r="C181" s="23" t="str">
        <x:v>8月2日</x:v>
      </x:c>
      <x:c r="D181" s="24" t="n">
        <x:v>3393</x:v>
      </x:c>
      <x:c r="E181" s="24" t="n">
        <x:v>3414.8</x:v>
      </x:c>
      <x:c r="F181" s="24" t="n">
        <x:v>3368.8</x:v>
      </x:c>
      <x:c r="G181" s="24" t="n">
        <x:v>3373.2</x:v>
      </x:c>
      <x:c r="H181" s="25" t="n">
        <x:v>-0.011003160482266128</x:v>
      </x:c>
      <x:c r="I181" s="24" t="n">
        <x:f>ROUND(E181-F181,1)</x:f>
        <x:v>46</x:v>
      </x:c>
      <x:c r="J181" s="23" t="str">
        <x:v>IF2409</x:v>
      </x:c>
    </x:row>
    <x:row r="182">
      <x:c r="A182" s="23" t="n">
        <x:v>3</x:v>
      </x:c>
      <x:c r="B182" s="23" t="str">
        <x:v>周一</x:v>
      </x:c>
      <x:c r="C182" s="23" t="str">
        <x:v>8月5日</x:v>
      </x:c>
      <x:c r="D182" s="24" t="n">
        <x:v>3357</x:v>
      </x:c>
      <x:c r="E182" s="24" t="n">
        <x:v>3405.8</x:v>
      </x:c>
      <x:c r="F182" s="24" t="n">
        <x:v>3326.6</x:v>
      </x:c>
      <x:c r="G182" s="24" t="n">
        <x:v>3336</x:v>
      </x:c>
      <x:c r="H182" s="25" t="n">
        <x:v>-0.010888862587288384</x:v>
      </x:c>
      <x:c r="I182" s="24" t="n">
        <x:f>ROUND(E182-F182,1)</x:f>
        <x:v>79.2</x:v>
      </x:c>
      <x:c r="J182" s="23" t="str">
        <x:v>IF2409</x:v>
      </x:c>
    </x:row>
    <x:row r="183">
      <x:c r="A183" s="23" t="n">
        <x:v>4</x:v>
      </x:c>
      <x:c r="B183" s="23" t="str">
        <x:v>周二</x:v>
      </x:c>
      <x:c r="C183" s="23" t="str">
        <x:v>8月6日</x:v>
      </x:c>
      <x:c r="D183" s="24" t="n">
        <x:v>3368</x:v>
      </x:c>
      <x:c r="E183" s="24" t="n">
        <x:v>3371.6</x:v>
      </x:c>
      <x:c r="F183" s="24" t="n">
        <x:v>3305</x:v>
      </x:c>
      <x:c r="G183" s="24" t="n">
        <x:v>3329.2</x:v>
      </x:c>
      <x:c r="H183" s="25" t="n">
        <x:v>-0.001974392724662044</x:v>
      </x:c>
      <x:c r="I183" s="24" t="n">
        <x:f>ROUND(E183-F183,1)</x:f>
        <x:v>66.6</x:v>
      </x:c>
      <x:c r="J183" s="23" t="str">
        <x:v>IF2409</x:v>
      </x:c>
    </x:row>
    <x:row r="184">
      <x:c r="A184" s="23" t="n">
        <x:v>5</x:v>
      </x:c>
      <x:c r="B184" s="23" t="str">
        <x:v>周三</x:v>
      </x:c>
      <x:c r="C184" s="23" t="str">
        <x:v>8月7日</x:v>
      </x:c>
      <x:c r="D184" s="24" t="n">
        <x:v>3322.2</x:v>
      </x:c>
      <x:c r="E184" s="24" t="n">
        <x:v>3350.8</x:v>
      </x:c>
      <x:c r="F184" s="24" t="n">
        <x:v>3317.2</x:v>
      </x:c>
      <x:c r="G184" s="24" t="n">
        <x:v>3325.2</x:v>
      </x:c>
      <x:c r="H184" s="25" t="n">
        <x:v>-0.0010790719980816599</x:v>
      </x:c>
      <x:c r="I184" s="24" t="n">
        <x:f>ROUND(E184-F184,1)</x:f>
        <x:v>33.6</x:v>
      </x:c>
      <x:c r="J184" s="23" t="str">
        <x:v>IF2409</x:v>
      </x:c>
    </x:row>
    <x:row r="185">
      <x:c r="A185" s="23" t="n">
        <x:v>6</x:v>
      </x:c>
      <x:c r="B185" s="23" t="str">
        <x:v>周四</x:v>
      </x:c>
      <x:c r="C185" s="23" t="str">
        <x:v>8月8日</x:v>
      </x:c>
      <x:c r="D185" s="24" t="n">
        <x:v>3320.2</x:v>
      </x:c>
      <x:c r="E185" s="24" t="n">
        <x:v>3356.6</x:v>
      </x:c>
      <x:c r="F185" s="24" t="n">
        <x:v>3307</x:v>
      </x:c>
      <x:c r="G185" s="24" t="n">
        <x:v>3331.6</x:v>
      </x:c>
      <x:c r="H185" s="25" t="n">
        <x:v>0.002040448898757763</x:v>
      </x:c>
      <x:c r="I185" s="24" t="n">
        <x:f>ROUND(E185-F185,1)</x:f>
        <x:v>49.6</x:v>
      </x:c>
      <x:c r="J185" s="23" t="str">
        <x:v>IF2409</x:v>
      </x:c>
    </x:row>
    <x:row r="186">
      <x:c r="A186" s="23" t="n">
        <x:v>7</x:v>
      </x:c>
      <x:c r="B186" s="23" t="str">
        <x:v>周五</x:v>
      </x:c>
      <x:c r="C186" s="23" t="str">
        <x:v>8月9日</x:v>
      </x:c>
      <x:c r="D186" s="24" t="n">
        <x:v>3351</x:v>
      </x:c>
      <x:c r="E186" s="24" t="n">
        <x:v>3357.6</x:v>
      </x:c>
      <x:c r="F186" s="24" t="n">
        <x:v>3316.4</x:v>
      </x:c>
      <x:c r="G186" s="24" t="n">
        <x:v>3317.2</x:v>
      </x:c>
      <x:c r="H186" s="25" t="n">
        <x:v>-0.004192369886806047</x:v>
      </x:c>
      <x:c r="I186" s="24" t="n">
        <x:f>ROUND(E186-F186,1)</x:f>
        <x:v>41.2</x:v>
      </x:c>
      <x:c r="J186" s="23" t="str">
        <x:v>IF2409</x:v>
      </x:c>
    </x:row>
    <x:row r="187">
      <x:c r="A187" s="23" t="n">
        <x:v>8</x:v>
      </x:c>
      <x:c r="B187" s="23" t="str">
        <x:v>周一</x:v>
      </x:c>
      <x:c r="C187" s="23" t="str">
        <x:v>8月12日</x:v>
      </x:c>
      <x:c r="D187" s="24" t="n">
        <x:v>3312.6</x:v>
      </x:c>
      <x:c r="E187" s="24" t="n">
        <x:v>3328.6</x:v>
      </x:c>
      <x:c r="F187" s="24" t="n">
        <x:v>3308.8</x:v>
      </x:c>
      <x:c r="G187" s="24" t="n">
        <x:v>3318.4</x:v>
      </x:c>
      <x:c r="H187" s="25" t="n">
        <x:v>0.00012028628134963526</x:v>
      </x:c>
      <x:c r="I187" s="24" t="n">
        <x:f>ROUND(E187-F187,1)</x:f>
        <x:v>19.8</x:v>
      </x:c>
      <x:c r="J187" s="23" t="str">
        <x:v>IF2409</x:v>
      </x:c>
    </x:row>
    <x:row r="188">
      <x:c r="A188" s="23" t="n">
        <x:v>9</x:v>
      </x:c>
      <x:c r="B188" s="23" t="str">
        <x:v>周二</x:v>
      </x:c>
      <x:c r="C188" s="23" t="str">
        <x:v>8月13日</x:v>
      </x:c>
      <x:c r="D188" s="24" t="n">
        <x:v>3324</x:v>
      </x:c>
      <x:c r="E188" s="24" t="n">
        <x:v>3326.6</x:v>
      </x:c>
      <x:c r="F188" s="24" t="n">
        <x:v>3299.6</x:v>
      </x:c>
      <x:c r="G188" s="24" t="n">
        <x:v>3323</x:v>
      </x:c>
      <x:c r="H188" s="25" t="n">
        <x:v>0.0012628540501533614</x:v>
      </x:c>
      <x:c r="I188" s="24" t="n">
        <x:f>ROUND(E188-F188,1)</x:f>
        <x:v>27</x:v>
      </x:c>
      <x:c r="J188" s="23" t="str">
        <x:v>IF2409</x:v>
      </x:c>
    </x:row>
    <x:row r="189">
      <x:c r="A189" s="23" t="n">
        <x:v>10</x:v>
      </x:c>
      <x:c r="B189" s="23" t="str">
        <x:v>周三</x:v>
      </x:c>
      <x:c r="C189" s="23" t="str">
        <x:v>8月14日</x:v>
      </x:c>
      <x:c r="D189" s="24" t="n">
        <x:v>3323</x:v>
      </x:c>
      <x:c r="E189" s="24" t="n">
        <x:v>3324</x:v>
      </x:c>
      <x:c r="F189" s="24" t="n">
        <x:v>3294</x:v>
      </x:c>
      <x:c r="G189" s="24" t="n">
        <x:v>3294.8</x:v>
      </x:c>
      <x:c r="H189" s="25" t="n">
        <x:v>-0.00774774774774778</x:v>
      </x:c>
      <x:c r="I189" s="24" t="n">
        <x:f>ROUND(E189-F189,1)</x:f>
        <x:v>30</x:v>
      </x:c>
      <x:c r="J189" s="23" t="str">
        <x:v>IF2409</x:v>
      </x:c>
    </x:row>
    <x:row r="190">
      <x:c r="A190" s="23" t="n">
        <x:v>11</x:v>
      </x:c>
      <x:c r="B190" s="23" t="str">
        <x:v>周四</x:v>
      </x:c>
      <x:c r="C190" s="23" t="str">
        <x:v>8月15日</x:v>
      </x:c>
      <x:c r="D190" s="24" t="n">
        <x:v>3289.8</x:v>
      </x:c>
      <x:c r="E190" s="24" t="n">
        <x:v>3355</x:v>
      </x:c>
      <x:c r="F190" s="24" t="n">
        <x:v>3285.2</x:v>
      </x:c>
      <x:c r="G190" s="24" t="n">
        <x:v>3331.4</x:v>
      </x:c>
      <x:c r="H190" s="25" t="n">
        <x:v>0.010774166212698999</x:v>
      </x:c>
      <x:c r="I190" s="24" t="n">
        <x:f>ROUND(E190-F190,1)</x:f>
        <x:v>69.8</x:v>
      </x:c>
      <x:c r="J190" s="23" t="str">
        <x:v>IF2409</x:v>
      </x:c>
    </x:row>
    <x:row r="191">
      <x:c r="A191" s="29" t="n">
        <x:v>12</x:v>
      </x:c>
      <x:c r="B191" s="29" t="str">
        <x:v>周五</x:v>
      </x:c>
      <x:c r="C191" s="29" t="str">
        <x:v>8月16日</x:v>
      </x:c>
      <x:c r="D191" s="30" t="n">
        <x:v>3333.6</x:v>
      </x:c>
      <x:c r="E191" s="30" t="n">
        <x:v>3349.4</x:v>
      </x:c>
      <x:c r="F191" s="30" t="n">
        <x:v>3326</x:v>
      </x:c>
      <x:c r="G191" s="30" t="n">
        <x:v>3335.2</x:v>
      </x:c>
      <x:c r="H191" s="31" t="n">
        <x:v>-0.001377327983711707</x:v>
      </x:c>
      <x:c r="I191" s="30" t="n">
        <x:f>ROUND(E191-F191,1)</x:f>
        <x:v>23.4</x:v>
      </x:c>
      <x:c r="J191" s="29" t="str">
        <x:v>IF2409</x:v>
      </x:c>
    </x:row>
    <x:row r="192">
      <x:c r="A192" s="23" t="n">
        <x:v>13</x:v>
      </x:c>
      <x:c r="B192" s="23" t="str">
        <x:v>周一</x:v>
      </x:c>
      <x:c r="C192" s="23" t="str">
        <x:v>8月19日</x:v>
      </x:c>
      <x:c r="D192" s="24" t="n">
        <x:v>3335.2</x:v>
      </x:c>
      <x:c r="E192" s="24" t="n">
        <x:v>3374.8</x:v>
      </x:c>
      <x:c r="F192" s="24" t="n">
        <x:v>3335.2</x:v>
      </x:c>
      <x:c r="G192" s="24" t="n">
        <x:v>3348.2</x:v>
      </x:c>
      <x:c r="H192" s="25" t="n">
        <x:v>0.003897817222355382</x:v>
      </x:c>
      <x:c r="I192" s="24" t="n">
        <x:f>ROUND(E192-F192,1)</x:f>
        <x:v>39.6</x:v>
      </x:c>
      <x:c r="J192" s="23" t="str">
        <x:v>IF2409</x:v>
      </x:c>
    </x:row>
    <x:row r="193">
      <x:c r="A193" s="23" t="n">
        <x:v>14</x:v>
      </x:c>
      <x:c r="B193" s="23" t="str">
        <x:v>周二</x:v>
      </x:c>
      <x:c r="C193" s="23" t="str">
        <x:v>8月20日</x:v>
      </x:c>
      <x:c r="D193" s="24" t="n">
        <x:v>3353.4</x:v>
      </x:c>
      <x:c r="E193" s="24" t="n">
        <x:v>3354.6</x:v>
      </x:c>
      <x:c r="F193" s="24" t="n">
        <x:v>3309</x:v>
      </x:c>
      <x:c r="G193" s="24" t="n">
        <x:v>3320</x:v>
      </x:c>
      <x:c r="H193" s="25" t="n">
        <x:v>-0.008422435935726558</x:v>
      </x:c>
      <x:c r="I193" s="24" t="n">
        <x:f>ROUND(E193-F193,1)</x:f>
        <x:v>45.6</x:v>
      </x:c>
      <x:c r="J193" s="23" t="str">
        <x:v>IF2409</x:v>
      </x:c>
    </x:row>
    <x:row r="194">
      <x:c r="A194" s="23" t="n">
        <x:v>15</x:v>
      </x:c>
      <x:c r="B194" s="23" t="str">
        <x:v>周三</x:v>
      </x:c>
      <x:c r="C194" s="23" t="str">
        <x:v>8月21日</x:v>
      </x:c>
      <x:c r="D194" s="24" t="n">
        <x:v>3315</x:v>
      </x:c>
      <x:c r="E194" s="24" t="n">
        <x:v>3324.4</x:v>
      </x:c>
      <x:c r="F194" s="24" t="n">
        <x:v>3295.6</x:v>
      </x:c>
      <x:c r="G194" s="24" t="n">
        <x:v>3312.4</x:v>
      </x:c>
      <x:c r="H194" s="25" t="n">
        <x:v>-0.0022891566265059726</x:v>
      </x:c>
      <x:c r="I194" s="24" t="n">
        <x:f>ROUND(E194-F194,1)</x:f>
        <x:v>28.8</x:v>
      </x:c>
      <x:c r="J194" s="23" t="str">
        <x:v>IF2409</x:v>
      </x:c>
    </x:row>
    <x:row r="195">
      <x:c r="A195" s="23" t="n">
        <x:v>16</x:v>
      </x:c>
      <x:c r="B195" s="23" t="str">
        <x:v>周四</x:v>
      </x:c>
      <x:c r="C195" s="23" t="str">
        <x:v>8月22日</x:v>
      </x:c>
      <x:c r="D195" s="24" t="n">
        <x:v>3315.2</x:v>
      </x:c>
      <x:c r="E195" s="24" t="n">
        <x:v>3322</x:v>
      </x:c>
      <x:c r="F195" s="24" t="n">
        <x:v>3291.2</x:v>
      </x:c>
      <x:c r="G195" s="24" t="n">
        <x:v>3301.8</x:v>
      </x:c>
      <x:c r="H195" s="25" t="n">
        <x:v>-0.0032000966066899617</x:v>
      </x:c>
      <x:c r="I195" s="24" t="n">
        <x:f>ROUND(E195-F195,1)</x:f>
        <x:v>30.8</x:v>
      </x:c>
      <x:c r="J195" s="23" t="str">
        <x:v>IF2409</x:v>
      </x:c>
    </x:row>
    <x:row r="196">
      <x:c r="A196" s="23" t="n">
        <x:v>17</x:v>
      </x:c>
      <x:c r="B196" s="23" t="str">
        <x:v>周五</x:v>
      </x:c>
      <x:c r="C196" s="23" t="str">
        <x:v>8月23日</x:v>
      </x:c>
      <x:c r="D196" s="24" t="n">
        <x:v>3300.6</x:v>
      </x:c>
      <x:c r="E196" s="24" t="n">
        <x:v>3333.8</x:v>
      </x:c>
      <x:c r="F196" s="24" t="n">
        <x:v>3299</x:v>
      </x:c>
      <x:c r="G196" s="24" t="n">
        <x:v>3321.8</x:v>
      </x:c>
      <x:c r="H196" s="25" t="n">
        <x:v>0.006057302077654647</x:v>
      </x:c>
      <x:c r="I196" s="24" t="n">
        <x:f>ROUND(E196-F196,1)</x:f>
        <x:v>34.8</x:v>
      </x:c>
      <x:c r="J196" s="23" t="str">
        <x:v>IF2409</x:v>
      </x:c>
    </x:row>
    <x:row r="197">
      <x:c r="A197" s="23" t="n">
        <x:v>18</x:v>
      </x:c>
      <x:c r="B197" s="23" t="str">
        <x:v>周一</x:v>
      </x:c>
      <x:c r="C197" s="23" t="str">
        <x:v>8月26日</x:v>
      </x:c>
      <x:c r="D197" s="24" t="n">
        <x:v>3327</x:v>
      </x:c>
      <x:c r="E197" s="24" t="n">
        <x:v>3335</x:v>
      </x:c>
      <x:c r="F197" s="24" t="n">
        <x:v>3304.4</x:v>
      </x:c>
      <x:c r="G197" s="24" t="n">
        <x:v>3320.8</x:v>
      </x:c>
      <x:c r="H197" s="25" t="n">
        <x:v>-0.00030104160394961443</x:v>
      </x:c>
      <x:c r="I197" s="24" t="n">
        <x:f>ROUND(E197-F197,1)</x:f>
        <x:v>30.6</x:v>
      </x:c>
      <x:c r="J197" s="23" t="str">
        <x:v>IF2409</x:v>
      </x:c>
    </x:row>
    <x:row r="198">
      <x:c r="A198" s="23" t="n">
        <x:v>19</x:v>
      </x:c>
      <x:c r="B198" s="23" t="str">
        <x:v>周二</x:v>
      </x:c>
      <x:c r="C198" s="23" t="str">
        <x:v>8月27日</x:v>
      </x:c>
      <x:c r="D198" s="24" t="n">
        <x:v>3313.4</x:v>
      </x:c>
      <x:c r="E198" s="24" t="n">
        <x:v>3319.2</x:v>
      </x:c>
      <x:c r="F198" s="24" t="n">
        <x:v>3295.2</x:v>
      </x:c>
      <x:c r="G198" s="24" t="n">
        <x:v>3304.2</x:v>
      </x:c>
      <x:c r="H198" s="25" t="n">
        <x:v>-0.004998795470970929</x:v>
      </x:c>
      <x:c r="I198" s="24" t="n">
        <x:f>ROUND(E198-F198,1)</x:f>
        <x:v>24</x:v>
      </x:c>
      <x:c r="J198" s="23" t="str">
        <x:v>IF2409</x:v>
      </x:c>
    </x:row>
    <x:row r="199">
      <x:c r="A199" s="23" t="n">
        <x:v>20</x:v>
      </x:c>
      <x:c r="B199" s="23" t="str">
        <x:v>周三</x:v>
      </x:c>
      <x:c r="C199" s="23" t="str">
        <x:v>8月28日</x:v>
      </x:c>
      <x:c r="D199" s="24" t="n">
        <x:v>3300</x:v>
      </x:c>
      <x:c r="E199" s="24" t="n">
        <x:v>3306</x:v>
      </x:c>
      <x:c r="F199" s="24" t="n">
        <x:v>3272.8</x:v>
      </x:c>
      <x:c r="G199" s="24" t="n">
        <x:v>3281.4</x:v>
      </x:c>
      <x:c r="H199" s="25" t="n">
        <x:v>-0.006900308698020607</x:v>
      </x:c>
      <x:c r="I199" s="24" t="n">
        <x:f>ROUND(E199-F199,1)</x:f>
        <x:v>33.2</x:v>
      </x:c>
      <x:c r="J199" s="23" t="str">
        <x:v>IF2409</x:v>
      </x:c>
    </x:row>
    <x:row r="200">
      <x:c r="A200" s="23" t="n">
        <x:v>21</x:v>
      </x:c>
      <x:c r="B200" s="23" t="str">
        <x:v>周四</x:v>
      </x:c>
      <x:c r="C200" s="23" t="str">
        <x:v>8月29日</x:v>
      </x:c>
      <x:c r="D200" s="24" t="n">
        <x:v>3271</x:v>
      </x:c>
      <x:c r="E200" s="24" t="n">
        <x:v>3292</x:v>
      </x:c>
      <x:c r="F200" s="24" t="n">
        <x:v>3267</x:v>
      </x:c>
      <x:c r="G200" s="24" t="n">
        <x:v>3275.2</x:v>
      </x:c>
      <x:c r="H200" s="25" t="n">
        <x:v>-0.0018894374352411702</x:v>
      </x:c>
      <x:c r="I200" s="24" t="n">
        <x:f>ROUND(E200-F200,1)</x:f>
        <x:v>25</x:v>
      </x:c>
      <x:c r="J200" s="23" t="str">
        <x:v>IF2409</x:v>
      </x:c>
    </x:row>
    <x:row r="201">
      <x:c r="A201" s="23" t="n">
        <x:v>22</x:v>
      </x:c>
      <x:c r="B201" s="23" t="str">
        <x:v>周五</x:v>
      </x:c>
      <x:c r="C201" s="23" t="str">
        <x:v>8月30日</x:v>
      </x:c>
      <x:c r="D201" s="24" t="n">
        <x:v>3275</x:v>
      </x:c>
      <x:c r="E201" s="24" t="n">
        <x:v>3358</x:v>
      </x:c>
      <x:c r="F201" s="24" t="n">
        <x:v>3272.4</x:v>
      </x:c>
      <x:c r="G201" s="24" t="n">
        <x:v>3322.4</x:v>
      </x:c>
      <x:c r="H201" s="25" t="n">
        <x:v>0.014411333659013259</x:v>
      </x:c>
      <x:c r="I201" s="24" t="n">
        <x:f>ROUND(E201-F201,1)</x:f>
        <x:v>85.6</x:v>
      </x:c>
      <x:c r="J201" s="23" t="str">
        <x:v>IF2409</x:v>
      </x:c>
    </x:row>
    <x:row r="202">
      <x:c r="A202" s="36" t="str">
        <x:v>合计</x:v>
      </x:c>
      <x:c r="B202" s="35" t="n">
        <x:v>22</x:v>
      </x:c>
      <x:c r="C202" s="35"/>
      <x:c r="D202" s="35"/>
      <x:c r="E202" s="35"/>
      <x:c r="F202" s="35"/>
      <x:c r="G202" s="35"/>
      <x:c r="H202" s="35"/>
      <x:c r="I202" s="37" t="n">
        <x:f>ROUND(SUM(I180:I201),1)</x:f>
        <x:v>904</x:v>
      </x:c>
      <x:c r="J202" s="35"/>
    </x:row>
    <x:row r="203">
      <x:c r="A203" s="36" t="str">
        <x:v>均值</x:v>
      </x:c>
      <x:c r="B203" s="35"/>
      <x:c r="C203" s="35"/>
      <x:c r="D203" s="35"/>
      <x:c r="E203" s="35"/>
      <x:c r="F203" s="35"/>
      <x:c r="G203" s="35"/>
      <x:c r="H203" s="35"/>
      <x:c r="I203" s="39" t="n">
        <x:f>ROUND(IFERROR(AVERAGE(I180:I201),0),1)</x:f>
        <x:v>41.1</x:v>
      </x:c>
      <x:c r="J203" s="35"/>
    </x:row>
    <x:row r="205">
      <x:c r="A205" s="17" t="str">
        <x:v>9月</x:v>
      </x:c>
      <x:c r="B205" s="17"/>
      <x:c r="C205" s="17"/>
      <x:c r="D205" s="17"/>
      <x:c r="E205" s="17"/>
      <x:c r="F205" s="17"/>
      <x:c r="G205" s="17"/>
      <x:c r="H205" s="17"/>
      <x:c r="I205" s="17"/>
      <x:c r="J205" s="17"/>
    </x:row>
    <x:row r="206">
      <x:c r="A206" s="20" t="str">
        <x:v>序号</x:v>
      </x:c>
      <x:c r="B206" s="20" t="str">
        <x:v>星期</x:v>
      </x:c>
      <x:c r="C206" s="20" t="str">
        <x:v>日期</x:v>
      </x:c>
      <x:c r="D206" s="20" t="str">
        <x:v>开盘</x:v>
      </x:c>
      <x:c r="E206" s="20" t="str">
        <x:v>高点</x:v>
      </x:c>
      <x:c r="F206" s="20" t="str">
        <x:v>低点</x:v>
      </x:c>
      <x:c r="G206" s="20" t="str">
        <x:v>收盘</x:v>
      </x:c>
      <x:c r="H206" s="20" t="str">
        <x:v>涨幅</x:v>
      </x:c>
      <x:c r="I206" s="20" t="str">
        <x:v>振幅</x:v>
      </x:c>
      <x:c r="J206" s="20" t="str">
        <x:v>标的</x:v>
      </x:c>
    </x:row>
    <x:row r="207">
      <x:c r="A207" s="23" t="n">
        <x:v>1</x:v>
      </x:c>
      <x:c r="B207" s="23" t="str">
        <x:v>周一</x:v>
      </x:c>
      <x:c r="C207" s="23" t="str">
        <x:v>9月2日</x:v>
      </x:c>
      <x:c r="D207" s="24" t="n">
        <x:v>3309</x:v>
      </x:c>
      <x:c r="E207" s="24" t="n">
        <x:v>3313.2</x:v>
      </x:c>
      <x:c r="F207" s="24" t="n">
        <x:v>3257.2</x:v>
      </x:c>
      <x:c r="G207" s="24" t="n">
        <x:v>3259.8</x:v>
      </x:c>
      <x:c r="H207" s="25" t="n">
        <x:v>-0.018841801107633005</x:v>
      </x:c>
      <x:c r="I207" s="24" t="n">
        <x:f>ROUND(E207-F207,1)</x:f>
        <x:v>56</x:v>
      </x:c>
      <x:c r="J207" s="23" t="str">
        <x:v>IF2409</x:v>
      </x:c>
    </x:row>
    <x:row r="208">
      <x:c r="A208" s="23" t="n">
        <x:v>2</x:v>
      </x:c>
      <x:c r="B208" s="23" t="str">
        <x:v>周二</x:v>
      </x:c>
      <x:c r="C208" s="23" t="str">
        <x:v>9月3日</x:v>
      </x:c>
      <x:c r="D208" s="24" t="n">
        <x:v>3262.8</x:v>
      </x:c>
      <x:c r="E208" s="24" t="n">
        <x:v>3280</x:v>
      </x:c>
      <x:c r="F208" s="24" t="n">
        <x:v>3255.6</x:v>
      </x:c>
      <x:c r="G208" s="24" t="n">
        <x:v>3267</x:v>
      </x:c>
      <x:c r="H208" s="25" t="n">
        <x:v>0.002208724461623346</x:v>
      </x:c>
      <x:c r="I208" s="24" t="n">
        <x:f>ROUND(E208-F208,1)</x:f>
        <x:v>24.4</x:v>
      </x:c>
      <x:c r="J208" s="23" t="str">
        <x:v>IF2409</x:v>
      </x:c>
    </x:row>
    <x:row r="209">
      <x:c r="A209" s="23" t="n">
        <x:v>3</x:v>
      </x:c>
      <x:c r="B209" s="23" t="str">
        <x:v>周三</x:v>
      </x:c>
      <x:c r="C209" s="23" t="str">
        <x:v>9月4日</x:v>
      </x:c>
      <x:c r="D209" s="24" t="n">
        <x:v>3260</x:v>
      </x:c>
      <x:c r="E209" s="24" t="n">
        <x:v>3271.6</x:v>
      </x:c>
      <x:c r="F209" s="24" t="n">
        <x:v>3245.2</x:v>
      </x:c>
      <x:c r="G209" s="24" t="n">
        <x:v>3250</x:v>
      </x:c>
      <x:c r="H209" s="25" t="n">
        <x:v>-0.005203550658096079</x:v>
      </x:c>
      <x:c r="I209" s="24" t="n">
        <x:f>ROUND(E209-F209,1)</x:f>
        <x:v>26.4</x:v>
      </x:c>
      <x:c r="J209" s="23" t="str">
        <x:v>IF2409</x:v>
      </x:c>
    </x:row>
    <x:row r="210">
      <x:c r="A210" s="23" t="n">
        <x:v>4</x:v>
      </x:c>
      <x:c r="B210" s="23" t="str">
        <x:v>周四</x:v>
      </x:c>
      <x:c r="C210" s="23" t="str">
        <x:v>9月5日</x:v>
      </x:c>
      <x:c r="D210" s="24" t="n">
        <x:v>3257</x:v>
      </x:c>
      <x:c r="E210" s="24" t="n">
        <x:v>3268</x:v>
      </x:c>
      <x:c r="F210" s="24" t="n">
        <x:v>3245.8</x:v>
      </x:c>
      <x:c r="G210" s="24" t="n">
        <x:v>3254</x:v>
      </x:c>
      <x:c r="H210" s="25" t="n">
        <x:v>0.0012307692307691465</x:v>
      </x:c>
      <x:c r="I210" s="24" t="n">
        <x:f>ROUND(E210-F210,1)</x:f>
        <x:v>22.2</x:v>
      </x:c>
      <x:c r="J210" s="23" t="str">
        <x:v>IF2409</x:v>
      </x:c>
    </x:row>
    <x:row r="211">
      <x:c r="A211" s="23" t="n">
        <x:v>5</x:v>
      </x:c>
      <x:c r="B211" s="23" t="str">
        <x:v>周五</x:v>
      </x:c>
      <x:c r="C211" s="23" t="str">
        <x:v>9月6日</x:v>
      </x:c>
      <x:c r="D211" s="24" t="n">
        <x:v>3261</x:v>
      </x:c>
      <x:c r="E211" s="24" t="n">
        <x:v>3273.4</x:v>
      </x:c>
      <x:c r="F211" s="24" t="n">
        <x:v>3221.2</x:v>
      </x:c>
      <x:c r="G211" s="24" t="n">
        <x:v>3226.6</x:v>
      </x:c>
      <x:c r="H211" s="25" t="n">
        <x:v>-0.008420405654579022</x:v>
      </x:c>
      <x:c r="I211" s="24" t="n">
        <x:f>ROUND(E211-F211,1)</x:f>
        <x:v>52.2</x:v>
      </x:c>
      <x:c r="J211" s="23" t="str">
        <x:v>IF2409</x:v>
      </x:c>
    </x:row>
    <x:row r="212">
      <x:c r="A212" s="23" t="n">
        <x:v>6</x:v>
      </x:c>
      <x:c r="B212" s="23" t="str">
        <x:v>周一</x:v>
      </x:c>
      <x:c r="C212" s="23" t="str">
        <x:v>9月9日</x:v>
      </x:c>
      <x:c r="D212" s="24" t="n">
        <x:v>3215</x:v>
      </x:c>
      <x:c r="E212" s="24" t="n">
        <x:v>3225</x:v>
      </x:c>
      <x:c r="F212" s="24" t="n">
        <x:v>3174.6</x:v>
      </x:c>
      <x:c r="G212" s="24" t="n">
        <x:v>3189.2</x:v>
      </x:c>
      <x:c r="H212" s="25" t="n">
        <x:v>-0.011591148577450028</x:v>
      </x:c>
      <x:c r="I212" s="24" t="n">
        <x:f>ROUND(E212-F212,1)</x:f>
        <x:v>50.4</x:v>
      </x:c>
      <x:c r="J212" s="23" t="str">
        <x:v>IF2409</x:v>
      </x:c>
    </x:row>
    <x:row r="213">
      <x:c r="A213" s="23" t="n">
        <x:v>7</x:v>
      </x:c>
      <x:c r="B213" s="23" t="str">
        <x:v>周二</x:v>
      </x:c>
      <x:c r="C213" s="23" t="str">
        <x:v>9月10日</x:v>
      </x:c>
      <x:c r="D213" s="24" t="n">
        <x:v>3190</x:v>
      </x:c>
      <x:c r="E213" s="24" t="n">
        <x:v>3204.4</x:v>
      </x:c>
      <x:c r="F213" s="24" t="n">
        <x:v>3165</x:v>
      </x:c>
      <x:c r="G213" s="24" t="n">
        <x:v>3188.2</x:v>
      </x:c>
      <x:c r="H213" s="25" t="n">
        <x:v>-0.0003135582591244912</x:v>
      </x:c>
      <x:c r="I213" s="24" t="n">
        <x:f>ROUND(E213-F213,1)</x:f>
        <x:v>39.4</x:v>
      </x:c>
      <x:c r="J213" s="23" t="str">
        <x:v>IF2409</x:v>
      </x:c>
    </x:row>
    <x:row r="214">
      <x:c r="A214" s="23" t="n">
        <x:v>8</x:v>
      </x:c>
      <x:c r="B214" s="23" t="str">
        <x:v>周三</x:v>
      </x:c>
      <x:c r="C214" s="23" t="str">
        <x:v>9月11日</x:v>
      </x:c>
      <x:c r="D214" s="24" t="n">
        <x:v>3180.6</x:v>
      </x:c>
      <x:c r="E214" s="24" t="n">
        <x:v>3195.6</x:v>
      </x:c>
      <x:c r="F214" s="24" t="n">
        <x:v>3167</x:v>
      </x:c>
      <x:c r="G214" s="24" t="n">
        <x:v>3183</x:v>
      </x:c>
      <x:c r="H214" s="25" t="n">
        <x:v>-0.0016310143654726383</x:v>
      </x:c>
      <x:c r="I214" s="24" t="n">
        <x:f>ROUND(E214-F214,1)</x:f>
        <x:v>28.6</x:v>
      </x:c>
      <x:c r="J214" s="23" t="str">
        <x:v>IF2409</x:v>
      </x:c>
    </x:row>
    <x:row r="215">
      <x:c r="A215" s="23" t="n">
        <x:v>9</x:v>
      </x:c>
      <x:c r="B215" s="23" t="str">
        <x:v>周四</x:v>
      </x:c>
      <x:c r="C215" s="23" t="str">
        <x:v>9月12日</x:v>
      </x:c>
      <x:c r="D215" s="24" t="n">
        <x:v>3189</x:v>
      </x:c>
      <x:c r="E215" s="24" t="n">
        <x:v>3203.8</x:v>
      </x:c>
      <x:c r="F215" s="24" t="n">
        <x:v>3171</x:v>
      </x:c>
      <x:c r="G215" s="24" t="n">
        <x:v>3174.8</x:v>
      </x:c>
      <x:c r="H215" s="25" t="n">
        <x:v>-0.00257618598806153</x:v>
      </x:c>
      <x:c r="I215" s="24" t="n">
        <x:f>ROUND(E215-F215,1)</x:f>
        <x:v>32.8</x:v>
      </x:c>
      <x:c r="J215" s="23" t="str">
        <x:v>IF2409</x:v>
      </x:c>
    </x:row>
    <x:row r="216">
      <x:c r="A216" s="23" t="n">
        <x:v>10</x:v>
      </x:c>
      <x:c r="B216" s="23" t="str">
        <x:v>周五</x:v>
      </x:c>
      <x:c r="C216" s="23" t="str">
        <x:v>9月13日</x:v>
      </x:c>
      <x:c r="D216" s="24" t="n">
        <x:v>3177</x:v>
      </x:c>
      <x:c r="E216" s="24" t="n">
        <x:v>3190.2</x:v>
      </x:c>
      <x:c r="F216" s="24" t="n">
        <x:v>3157.6</x:v>
      </x:c>
      <x:c r="G216" s="24" t="n">
        <x:v>3158</x:v>
      </x:c>
      <x:c r="H216" s="25" t="n">
        <x:v>-0.005291671916341278</x:v>
      </x:c>
      <x:c r="I216" s="24" t="n">
        <x:f>ROUND(E216-F216,1)</x:f>
        <x:v>32.6</x:v>
      </x:c>
      <x:c r="J216" s="23" t="str">
        <x:v>IF2409</x:v>
      </x:c>
    </x:row>
    <x:row r="217">
      <x:c r="A217" s="23" t="n">
        <x:v>11</x:v>
      </x:c>
      <x:c r="B217" s="23" t="str">
        <x:v>周三</x:v>
      </x:c>
      <x:c r="C217" s="23" t="str">
        <x:v>9月18日</x:v>
      </x:c>
      <x:c r="D217" s="24" t="n">
        <x:v>3163</x:v>
      </x:c>
      <x:c r="E217" s="24" t="n">
        <x:v>3184.4</x:v>
      </x:c>
      <x:c r="F217" s="24" t="n">
        <x:v>3144.4</x:v>
      </x:c>
      <x:c r="G217" s="24" t="n">
        <x:v>3171.6</x:v>
      </x:c>
      <x:c r="H217" s="25" t="n">
        <x:v>0.004306523115896077</x:v>
      </x:c>
      <x:c r="I217" s="24" t="n">
        <x:f>ROUND(E217-F217,1)</x:f>
        <x:v>40</x:v>
      </x:c>
      <x:c r="J217" s="23" t="str">
        <x:v>IF2409</x:v>
      </x:c>
    </x:row>
    <x:row r="218">
      <x:c r="A218" s="23" t="n">
        <x:v>12</x:v>
      </x:c>
      <x:c r="B218" s="23" t="str">
        <x:v>周四</x:v>
      </x:c>
      <x:c r="C218" s="23" t="str">
        <x:v>9月19日</x:v>
      </x:c>
      <x:c r="D218" s="24" t="n">
        <x:v>3180</x:v>
      </x:c>
      <x:c r="E218" s="24" t="n">
        <x:v>3221</x:v>
      </x:c>
      <x:c r="F218" s="24" t="n">
        <x:v>3147.4</x:v>
      </x:c>
      <x:c r="G218" s="24" t="n">
        <x:v>3198.4</x:v>
      </x:c>
      <x:c r="H218" s="25" t="n">
        <x:v>0.008449993694034541</x:v>
      </x:c>
      <x:c r="I218" s="24" t="n">
        <x:f>ROUND(E218-F218,1)</x:f>
        <x:v>73.6</x:v>
      </x:c>
      <x:c r="J218" s="23" t="str">
        <x:v>IF2409</x:v>
      </x:c>
    </x:row>
    <x:row r="219">
      <x:c r="A219" s="29" t="n">
        <x:v>13</x:v>
      </x:c>
      <x:c r="B219" s="29" t="str">
        <x:v>周五</x:v>
      </x:c>
      <x:c r="C219" s="29" t="str">
        <x:v>9月20日</x:v>
      </x:c>
      <x:c r="D219" s="30" t="n">
        <x:v>3197.4</x:v>
      </x:c>
      <x:c r="E219" s="30" t="n">
        <x:v>3197.4</x:v>
      </x:c>
      <x:c r="F219" s="30" t="n">
        <x:v>3173</x:v>
      </x:c>
      <x:c r="G219" s="30" t="n">
        <x:v>3185</x:v>
      </x:c>
      <x:c r="H219" s="31" t="n">
        <x:v>-0.004189594797398777</x:v>
      </x:c>
      <x:c r="I219" s="30" t="n">
        <x:f>ROUND(E219-F219,1)</x:f>
        <x:v>24.4</x:v>
      </x:c>
      <x:c r="J219" s="29" t="str">
        <x:v>IF2409</x:v>
      </x:c>
    </x:row>
    <x:row r="220">
      <x:c r="A220" s="23" t="n">
        <x:v>14</x:v>
      </x:c>
      <x:c r="B220" s="23" t="str">
        <x:v>周一</x:v>
      </x:c>
      <x:c r="C220" s="23" t="str">
        <x:v>9月23日</x:v>
      </x:c>
      <x:c r="D220" s="24" t="n">
        <x:v>3179.4</x:v>
      </x:c>
      <x:c r="E220" s="24" t="n">
        <x:v>3215.2</x:v>
      </x:c>
      <x:c r="F220" s="24" t="n">
        <x:v>3173.4</x:v>
      </x:c>
      <x:c r="G220" s="24" t="n">
        <x:v>3196.8</x:v>
      </x:c>
      <x:c r="H220" s="25" t="n">
        <x:v>0.006844583987441144</x:v>
      </x:c>
      <x:c r="I220" s="24" t="n">
        <x:f>ROUND(E220-F220,1)</x:f>
        <x:v>41.8</x:v>
      </x:c>
      <x:c r="J220" s="23" t="str">
        <x:v>IF2412</x:v>
      </x:c>
    </x:row>
    <x:row r="221">
      <x:c r="A221" s="23" t="n">
        <x:v>15</x:v>
      </x:c>
      <x:c r="B221" s="23" t="str">
        <x:v>周二</x:v>
      </x:c>
      <x:c r="C221" s="23" t="str">
        <x:v>9月24日</x:v>
      </x:c>
      <x:c r="D221" s="24" t="n">
        <x:v>3246</x:v>
      </x:c>
      <x:c r="E221" s="24" t="n">
        <x:v>3358</x:v>
      </x:c>
      <x:c r="F221" s="24" t="n">
        <x:v>3210.4</x:v>
      </x:c>
      <x:c r="G221" s="24" t="n">
        <x:v>3354.6</x:v>
      </x:c>
      <x:c r="H221" s="25" t="n">
        <x:v>0.047711113882998646</x:v>
      </x:c>
      <x:c r="I221" s="33" t="n">
        <x:f>ROUND(E221-F221,1)</x:f>
        <x:v>147.6</x:v>
      </x:c>
      <x:c r="J221" s="23" t="str">
        <x:v>IF2412</x:v>
      </x:c>
    </x:row>
    <x:row r="222">
      <x:c r="A222" s="23" t="n">
        <x:v>16</x:v>
      </x:c>
      <x:c r="B222" s="23" t="str">
        <x:v>周三</x:v>
      </x:c>
      <x:c r="C222" s="23" t="str">
        <x:v>9月25日</x:v>
      </x:c>
      <x:c r="D222" s="24" t="n">
        <x:v>3441.6</x:v>
      </x:c>
      <x:c r="E222" s="24" t="n">
        <x:v>3475</x:v>
      </x:c>
      <x:c r="F222" s="24" t="n">
        <x:v>3397</x:v>
      </x:c>
      <x:c r="G222" s="24" t="n">
        <x:v>3405.4</x:v>
      </x:c>
      <x:c r="H222" s="25" t="n">
        <x:v>0.013810345853919825</x:v>
      </x:c>
      <x:c r="I222" s="24" t="n">
        <x:f>ROUND(E222-F222,1)</x:f>
        <x:v>78</x:v>
      </x:c>
      <x:c r="J222" s="23" t="str">
        <x:v>IF2412</x:v>
      </x:c>
    </x:row>
    <x:row r="223">
      <x:c r="A223" s="23" t="n">
        <x:v>17</x:v>
      </x:c>
      <x:c r="B223" s="23" t="str">
        <x:v>周四</x:v>
      </x:c>
      <x:c r="C223" s="23" t="str">
        <x:v>9月26日</x:v>
      </x:c>
      <x:c r="D223" s="24" t="n">
        <x:v>3405.6</x:v>
      </x:c>
      <x:c r="E223" s="24" t="n">
        <x:v>3584.8</x:v>
      </x:c>
      <x:c r="F223" s="24" t="n">
        <x:v>3399.4</x:v>
      </x:c>
      <x:c r="G223" s="24" t="n">
        <x:v>3584</x:v>
      </x:c>
      <x:c r="H223" s="25" t="n">
        <x:v>0.0533732605249253</x:v>
      </x:c>
      <x:c r="I223" s="33" t="n">
        <x:f>ROUND(E223-F223,1)</x:f>
        <x:v>185.4</x:v>
      </x:c>
      <x:c r="J223" s="23" t="str">
        <x:v>IF2412</x:v>
      </x:c>
    </x:row>
    <x:row r="224">
      <x:c r="A224" s="23" t="n">
        <x:v>18</x:v>
      </x:c>
      <x:c r="B224" s="23" t="str">
        <x:v>周五</x:v>
      </x:c>
      <x:c r="C224" s="23" t="str">
        <x:v>9月27日</x:v>
      </x:c>
      <x:c r="D224" s="24" t="n">
        <x:v>3634</x:v>
      </x:c>
      <x:c r="E224" s="24" t="n">
        <x:v>3896.2</x:v>
      </x:c>
      <x:c r="F224" s="24" t="n">
        <x:v>3607.4</x:v>
      </x:c>
      <x:c r="G224" s="24" t="n">
        <x:v>3839.6</x:v>
      </x:c>
      <x:c r="H224" s="25" t="n">
        <x:v>0.06683389074693435</x:v>
      </x:c>
      <x:c r="I224" s="33" t="n">
        <x:f>ROUND(E224-F224,1)</x:f>
        <x:v>288.8</x:v>
      </x:c>
      <x:c r="J224" s="23" t="str">
        <x:v>IF2412</x:v>
      </x:c>
    </x:row>
    <x:row r="225">
      <x:c r="A225" s="23" t="n">
        <x:v>19</x:v>
      </x:c>
      <x:c r="B225" s="23" t="str">
        <x:v>周一</x:v>
      </x:c>
      <x:c r="C225" s="23" t="str">
        <x:v>9月30日</x:v>
      </x:c>
      <x:c r="D225" s="24" t="n">
        <x:v>3970</x:v>
      </x:c>
      <x:c r="E225" s="24" t="n">
        <x:v>4167.6</x:v>
      </x:c>
      <x:c r="F225" s="24" t="n">
        <x:v>3853</x:v>
      </x:c>
      <x:c r="G225" s="24" t="n">
        <x:v>4167.6</x:v>
      </x:c>
      <x:c r="H225" s="25" t="n">
        <x:v>0.08694289147813361</x:v>
      </x:c>
      <x:c r="I225" s="33" t="n">
        <x:f>ROUND(E225-F225,1)</x:f>
        <x:v>314.6</x:v>
      </x:c>
      <x:c r="J225" s="23" t="str">
        <x:v>IF2412</x:v>
      </x:c>
    </x:row>
    <x:row r="226">
      <x:c r="A226" s="36" t="str">
        <x:v>合计</x:v>
      </x:c>
      <x:c r="B226" s="35" t="n">
        <x:v>19</x:v>
      </x:c>
      <x:c r="C226" s="35"/>
      <x:c r="D226" s="35"/>
      <x:c r="E226" s="35"/>
      <x:c r="F226" s="35"/>
      <x:c r="G226" s="35"/>
      <x:c r="H226" s="35"/>
      <x:c r="I226" s="37" t="n">
        <x:f>ROUND(SUM(I207:I225),1)</x:f>
        <x:v>1559.2</x:v>
      </x:c>
      <x:c r="J226" s="35"/>
    </x:row>
    <x:row r="227">
      <x:c r="A227" s="36" t="str">
        <x:v>均值</x:v>
      </x:c>
      <x:c r="B227" s="35"/>
      <x:c r="C227" s="35"/>
      <x:c r="D227" s="35"/>
      <x:c r="E227" s="35"/>
      <x:c r="F227" s="35"/>
      <x:c r="G227" s="35"/>
      <x:c r="H227" s="35"/>
      <x:c r="I227" s="39" t="n">
        <x:f>ROUND(IFERROR(AVERAGE(I207:I225),0),1)</x:f>
        <x:v>82.1</x:v>
      </x:c>
      <x:c r="J227" s="35"/>
    </x:row>
    <x:row r="229">
      <x:c r="A229" s="17" t="str">
        <x:v>10月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</x:row>
    <x:row r="230">
      <x:c r="A230" s="20" t="str">
        <x:v>序号</x:v>
      </x:c>
      <x:c r="B230" s="20" t="str">
        <x:v>星期</x:v>
      </x:c>
      <x:c r="C230" s="20" t="str">
        <x:v>日期</x:v>
      </x:c>
      <x:c r="D230" s="20" t="str">
        <x:v>开盘</x:v>
      </x:c>
      <x:c r="E230" s="20" t="str">
        <x:v>高点</x:v>
      </x:c>
      <x:c r="F230" s="20" t="str">
        <x:v>低点</x:v>
      </x:c>
      <x:c r="G230" s="20" t="str">
        <x:v>收盘</x:v>
      </x:c>
      <x:c r="H230" s="20" t="str">
        <x:v>涨幅</x:v>
      </x:c>
      <x:c r="I230" s="20" t="str">
        <x:v>振幅</x:v>
      </x:c>
      <x:c r="J230" s="20" t="str">
        <x:v>标的</x:v>
      </x:c>
    </x:row>
    <x:row r="231">
      <x:c r="A231" s="23" t="n">
        <x:v>1</x:v>
      </x:c>
      <x:c r="B231" s="23" t="str">
        <x:v>周二</x:v>
      </x:c>
      <x:c r="C231" s="23" t="str">
        <x:v>10月8日</x:v>
      </x:c>
      <x:c r="D231" s="24" t="n">
        <x:v>4549</x:v>
      </x:c>
      <x:c r="E231" s="24" t="n">
        <x:v>4549</x:v>
      </x:c>
      <x:c r="F231" s="24" t="n">
        <x:v>4195</x:v>
      </x:c>
      <x:c r="G231" s="24" t="n">
        <x:v>4265</x:v>
      </x:c>
      <x:c r="H231" s="25" t="n">
        <x:v>0.024179204922366804</x:v>
      </x:c>
      <x:c r="I231" s="33" t="n">
        <x:f>ROUND(E231-F231,1)</x:f>
        <x:v>354</x:v>
      </x:c>
      <x:c r="J231" s="23" t="str">
        <x:v>IF2412</x:v>
      </x:c>
    </x:row>
    <x:row r="232">
      <x:c r="A232" s="23" t="n">
        <x:v>2</x:v>
      </x:c>
      <x:c r="B232" s="23" t="str">
        <x:v>周三</x:v>
      </x:c>
      <x:c r="C232" s="23" t="str">
        <x:v>10月9日</x:v>
      </x:c>
      <x:c r="D232" s="24" t="n">
        <x:v>4212</x:v>
      </x:c>
      <x:c r="E232" s="24" t="n">
        <x:v>4237.8</x:v>
      </x:c>
      <x:c r="F232" s="24" t="n">
        <x:v>3916.6</x:v>
      </x:c>
      <x:c r="G232" s="24" t="n">
        <x:v>3926.4</x:v>
      </x:c>
      <x:c r="H232" s="25" t="n">
        <x:v>-0.07678588191119873</x:v>
      </x:c>
      <x:c r="I232" s="33" t="n">
        <x:f>ROUND(E232-F232,1)</x:f>
        <x:v>321.2</x:v>
      </x:c>
      <x:c r="J232" s="23" t="str">
        <x:v>IF2412</x:v>
      </x:c>
    </x:row>
    <x:row r="233">
      <x:c r="A233" s="23" t="n">
        <x:v>3</x:v>
      </x:c>
      <x:c r="B233" s="23" t="str">
        <x:v>周四</x:v>
      </x:c>
      <x:c r="C233" s="23" t="str">
        <x:v>10月10日</x:v>
      </x:c>
      <x:c r="D233" s="24" t="n">
        <x:v>4015.6</x:v>
      </x:c>
      <x:c r="E233" s="24" t="n">
        <x:v>4123.8</x:v>
      </x:c>
      <x:c r="F233" s="24" t="n">
        <x:v>3939.2</x:v>
      </x:c>
      <x:c r="G233" s="24" t="n">
        <x:v>4013.8</x:v>
      </x:c>
      <x:c r="H233" s="25" t="n">
        <x:v>0.019522114895780485</x:v>
      </x:c>
      <x:c r="I233" s="33" t="n">
        <x:f>ROUND(E233-F233,1)</x:f>
        <x:v>184.6</x:v>
      </x:c>
      <x:c r="J233" s="23" t="str">
        <x:v>IF2412</x:v>
      </x:c>
    </x:row>
    <x:row r="234">
      <x:c r="A234" s="23" t="n">
        <x:v>4</x:v>
      </x:c>
      <x:c r="B234" s="23" t="str">
        <x:v>周五</x:v>
      </x:c>
      <x:c r="C234" s="23" t="str">
        <x:v>10月11日</x:v>
      </x:c>
      <x:c r="D234" s="24" t="n">
        <x:v>3998</x:v>
      </x:c>
      <x:c r="E234" s="24" t="n">
        <x:v>4005.8</x:v>
      </x:c>
      <x:c r="F234" s="24" t="n">
        <x:v>3845.2</x:v>
      </x:c>
      <x:c r="G234" s="24" t="n">
        <x:v>3905</x:v>
      </x:c>
      <x:c r="H234" s="25" t="n">
        <x:v>-0.026528373391841997</x:v>
      </x:c>
      <x:c r="I234" s="33" t="n">
        <x:f>ROUND(E234-F234,1)</x:f>
        <x:v>160.6</x:v>
      </x:c>
      <x:c r="J234" s="23" t="str">
        <x:v>IF2412</x:v>
      </x:c>
    </x:row>
    <x:row r="235">
      <x:c r="A235" s="23" t="n">
        <x:v>5</x:v>
      </x:c>
      <x:c r="B235" s="23" t="str">
        <x:v>周一</x:v>
      </x:c>
      <x:c r="C235" s="23" t="str">
        <x:v>10月14日</x:v>
      </x:c>
      <x:c r="D235" s="24" t="n">
        <x:v>3915</x:v>
      </x:c>
      <x:c r="E235" s="24" t="n">
        <x:v>3988</x:v>
      </x:c>
      <x:c r="F235" s="24" t="n">
        <x:v>3872.2</x:v>
      </x:c>
      <x:c r="G235" s="24" t="n">
        <x:v>3962.8</x:v>
      </x:c>
      <x:c r="H235" s="25" t="n">
        <x:v>0.01505993238397707</x:v>
      </x:c>
      <x:c r="I235" s="33" t="n">
        <x:f>ROUND(E235-F235,1)</x:f>
        <x:v>115.8</x:v>
      </x:c>
      <x:c r="J235" s="23" t="str">
        <x:v>IF2412</x:v>
      </x:c>
    </x:row>
    <x:row r="236">
      <x:c r="A236" s="23" t="n">
        <x:v>6</x:v>
      </x:c>
      <x:c r="B236" s="23" t="str">
        <x:v>周二</x:v>
      </x:c>
      <x:c r="C236" s="23" t="str">
        <x:v>10月15日</x:v>
      </x:c>
      <x:c r="D236" s="24" t="n">
        <x:v>3940</x:v>
      </x:c>
      <x:c r="E236" s="24" t="n">
        <x:v>3970</x:v>
      </x:c>
      <x:c r="F236" s="24" t="n">
        <x:v>3847.6</x:v>
      </x:c>
      <x:c r="G236" s="24" t="n">
        <x:v>3849.6</x:v>
      </x:c>
      <x:c r="H236" s="25" t="n">
        <x:v>-0.02800767056923703</x:v>
      </x:c>
      <x:c r="I236" s="33" t="n">
        <x:f>ROUND(E236-F236,1)</x:f>
        <x:v>122.4</x:v>
      </x:c>
      <x:c r="J236" s="23" t="str">
        <x:v>IF2412</x:v>
      </x:c>
    </x:row>
    <x:row r="237">
      <x:c r="A237" s="23" t="n">
        <x:v>7</x:v>
      </x:c>
      <x:c r="B237" s="23" t="str">
        <x:v>周三</x:v>
      </x:c>
      <x:c r="C237" s="23" t="str">
        <x:v>10月16日</x:v>
      </x:c>
      <x:c r="D237" s="24" t="n">
        <x:v>3806.6</x:v>
      </x:c>
      <x:c r="E237" s="24" t="n">
        <x:v>3889.6</x:v>
      </x:c>
      <x:c r="F237" s="24" t="n">
        <x:v>3800.4</x:v>
      </x:c>
      <x:c r="G237" s="24" t="n">
        <x:v>3835</x:v>
      </x:c>
      <x:c r="H237" s="25" t="n">
        <x:v>-0.005243756814287903</x:v>
      </x:c>
      <x:c r="I237" s="24" t="n">
        <x:f>ROUND(E237-F237,1)</x:f>
        <x:v>89.2</x:v>
      </x:c>
      <x:c r="J237" s="23" t="str">
        <x:v>IF2412</x:v>
      </x:c>
    </x:row>
    <x:row r="238">
      <x:c r="A238" s="23" t="n">
        <x:v>8</x:v>
      </x:c>
      <x:c r="B238" s="23" t="str">
        <x:v>周四</x:v>
      </x:c>
      <x:c r="C238" s="23" t="str">
        <x:v>10月17日</x:v>
      </x:c>
      <x:c r="D238" s="24" t="n">
        <x:v>3863.2</x:v>
      </x:c>
      <x:c r="E238" s="24" t="n">
        <x:v>3890.2</x:v>
      </x:c>
      <x:c r="F238" s="24" t="n">
        <x:v>3780</x:v>
      </x:c>
      <x:c r="G238" s="24" t="n">
        <x:v>3781</x:v>
      </x:c>
      <x:c r="H238" s="25" t="n">
        <x:v>-0.012421711899791243</x:v>
      </x:c>
      <x:c r="I238" s="33" t="n">
        <x:f>ROUND(E238-F238,1)</x:f>
        <x:v>110.2</x:v>
      </x:c>
      <x:c r="J238" s="23" t="str">
        <x:v>IF2412</x:v>
      </x:c>
    </x:row>
    <x:row r="239">
      <x:c r="A239" s="29" t="n">
        <x:v>9</x:v>
      </x:c>
      <x:c r="B239" s="29" t="str">
        <x:v>周五</x:v>
      </x:c>
      <x:c r="C239" s="29" t="str">
        <x:v>10月18日</x:v>
      </x:c>
      <x:c r="D239" s="30" t="n">
        <x:v>3795</x:v>
      </x:c>
      <x:c r="E239" s="30" t="n">
        <x:v>4077</x:v>
      </x:c>
      <x:c r="F239" s="30" t="n">
        <x:v>3772</x:v>
      </x:c>
      <x:c r="G239" s="30" t="n">
        <x:v>3934.4</x:v>
      </x:c>
      <x:c r="H239" s="31" t="n">
        <x:v>0.039636402071662635</x:v>
      </x:c>
      <x:c r="I239" s="33" t="n">
        <x:f>ROUND(E239-F239,1)</x:f>
        <x:v>305</x:v>
      </x:c>
      <x:c r="J239" s="29" t="str">
        <x:v>IF2412</x:v>
      </x:c>
    </x:row>
    <x:row r="240">
      <x:c r="A240" s="23" t="n">
        <x:v>10</x:v>
      </x:c>
      <x:c r="B240" s="23" t="str">
        <x:v>周一</x:v>
      </x:c>
      <x:c r="C240" s="23" t="str">
        <x:v>10月21日</x:v>
      </x:c>
      <x:c r="D240" s="24" t="n">
        <x:v>3952.4</x:v>
      </x:c>
      <x:c r="E240" s="24" t="n">
        <x:v>3987</x:v>
      </x:c>
      <x:c r="F240" s="24" t="n">
        <x:v>3911</x:v>
      </x:c>
      <x:c r="G240" s="24" t="n">
        <x:v>3942.4</x:v>
      </x:c>
      <x:c r="H240" s="25" t="n">
        <x:v>0.0020333468889792705</x:v>
      </x:c>
      <x:c r="I240" s="24" t="n">
        <x:f>ROUND(E240-F240,1)</x:f>
        <x:v>76</x:v>
      </x:c>
      <x:c r="J240" s="23" t="str">
        <x:v>IF2412</x:v>
      </x:c>
    </x:row>
    <x:row r="241">
      <x:c r="A241" s="23" t="n">
        <x:v>11</x:v>
      </x:c>
      <x:c r="B241" s="23" t="str">
        <x:v>周二</x:v>
      </x:c>
      <x:c r="C241" s="23" t="str">
        <x:v>10月22日</x:v>
      </x:c>
      <x:c r="D241" s="24" t="n">
        <x:v>3928.2</x:v>
      </x:c>
      <x:c r="E241" s="24" t="n">
        <x:v>3977</x:v>
      </x:c>
      <x:c r="F241" s="24" t="n">
        <x:v>3927</x:v>
      </x:c>
      <x:c r="G241" s="24" t="n">
        <x:v>3968.8</x:v>
      </x:c>
      <x:c r="H241" s="25" t="n">
        <x:v>0.006696428571428603</x:v>
      </x:c>
      <x:c r="I241" s="24" t="n">
        <x:f>ROUND(E241-F241,1)</x:f>
        <x:v>50</x:v>
      </x:c>
      <x:c r="J241" s="23" t="str">
        <x:v>IF2412</x:v>
      </x:c>
    </x:row>
    <x:row r="242">
      <x:c r="A242" s="23" t="n">
        <x:v>12</x:v>
      </x:c>
      <x:c r="B242" s="23" t="str">
        <x:v>周三</x:v>
      </x:c>
      <x:c r="C242" s="23" t="str">
        <x:v>10月23日</x:v>
      </x:c>
      <x:c r="D242" s="24" t="n">
        <x:v>3965.2</x:v>
      </x:c>
      <x:c r="E242" s="24" t="n">
        <x:v>4025.2</x:v>
      </x:c>
      <x:c r="F242" s="24" t="n">
        <x:v>3950</x:v>
      </x:c>
      <x:c r="G242" s="24" t="n">
        <x:v>3982.8</x:v>
      </x:c>
      <x:c r="H242" s="25" t="n">
        <x:v>0.0035275146139890357</x:v>
      </x:c>
      <x:c r="I242" s="24" t="n">
        <x:f>ROUND(E242-F242,1)</x:f>
        <x:v>75.2</x:v>
      </x:c>
      <x:c r="J242" s="23" t="str">
        <x:v>IF2412</x:v>
      </x:c>
    </x:row>
    <x:row r="243">
      <x:c r="A243" s="23" t="n">
        <x:v>13</x:v>
      </x:c>
      <x:c r="B243" s="23" t="str">
        <x:v>周四</x:v>
      </x:c>
      <x:c r="C243" s="23" t="str">
        <x:v>10月24日</x:v>
      </x:c>
      <x:c r="D243" s="24" t="n">
        <x:v>3963</x:v>
      </x:c>
      <x:c r="E243" s="24" t="n">
        <x:v>3971.2</x:v>
      </x:c>
      <x:c r="F243" s="24" t="n">
        <x:v>3916.2</x:v>
      </x:c>
      <x:c r="G243" s="24" t="n">
        <x:v>3937</x:v>
      </x:c>
      <x:c r="H243" s="25" t="n">
        <x:v>-0.011499447624786607</x:v>
      </x:c>
      <x:c r="I243" s="24" t="n">
        <x:f>ROUND(E243-F243,1)</x:f>
        <x:v>55</x:v>
      </x:c>
      <x:c r="J243" s="23" t="str">
        <x:v>IF2412</x:v>
      </x:c>
    </x:row>
    <x:row r="244">
      <x:c r="A244" s="23" t="n">
        <x:v>14</x:v>
      </x:c>
      <x:c r="B244" s="23" t="str">
        <x:v>周五</x:v>
      </x:c>
      <x:c r="C244" s="23" t="str">
        <x:v>10月25日</x:v>
      </x:c>
      <x:c r="D244" s="24" t="n">
        <x:v>3945</x:v>
      </x:c>
      <x:c r="E244" s="24" t="n">
        <x:v>4005</x:v>
      </x:c>
      <x:c r="F244" s="24" t="n">
        <x:v>3930</x:v>
      </x:c>
      <x:c r="G244" s="24" t="n">
        <x:v>3958</x:v>
      </x:c>
      <x:c r="H244" s="25" t="n">
        <x:v>0.005334010668021305</x:v>
      </x:c>
      <x:c r="I244" s="24" t="n">
        <x:f>ROUND(E244-F244,1)</x:f>
        <x:v>75</x:v>
      </x:c>
      <x:c r="J244" s="23" t="str">
        <x:v>IF2412</x:v>
      </x:c>
    </x:row>
    <x:row r="245">
      <x:c r="A245" s="23" t="n">
        <x:v>15</x:v>
      </x:c>
      <x:c r="B245" s="23" t="str">
        <x:v>周一</x:v>
      </x:c>
      <x:c r="C245" s="23" t="str">
        <x:v>10月28日</x:v>
      </x:c>
      <x:c r="D245" s="24" t="n">
        <x:v>3960.4</x:v>
      </x:c>
      <x:c r="E245" s="24" t="n">
        <x:v>3972.6</x:v>
      </x:c>
      <x:c r="F245" s="24" t="n">
        <x:v>3925.4</x:v>
      </x:c>
      <x:c r="G245" s="24" t="n">
        <x:v>3972.2</x:v>
      </x:c>
      <x:c r="H245" s="25" t="n">
        <x:v>0.0035876705406769904</x:v>
      </x:c>
      <x:c r="I245" s="24" t="n">
        <x:f>ROUND(E245-F245,1)</x:f>
        <x:v>47.2</x:v>
      </x:c>
      <x:c r="J245" s="23" t="str">
        <x:v>IF2412</x:v>
      </x:c>
    </x:row>
    <x:row r="246">
      <x:c r="A246" s="23" t="n">
        <x:v>16</x:v>
      </x:c>
      <x:c r="B246" s="23" t="str">
        <x:v>周二</x:v>
      </x:c>
      <x:c r="C246" s="23" t="str">
        <x:v>10月29日</x:v>
      </x:c>
      <x:c r="D246" s="24" t="n">
        <x:v>3986</x:v>
      </x:c>
      <x:c r="E246" s="24" t="n">
        <x:v>4007.6</x:v>
      </x:c>
      <x:c r="F246" s="24" t="n">
        <x:v>3925.6</x:v>
      </x:c>
      <x:c r="G246" s="24" t="n">
        <x:v>3940</x:v>
      </x:c>
      <x:c r="H246" s="25" t="n">
        <x:v>-0.008106339056442202</x:v>
      </x:c>
      <x:c r="I246" s="24" t="n">
        <x:f>ROUND(E246-F246,1)</x:f>
        <x:v>82</x:v>
      </x:c>
      <x:c r="J246" s="23" t="str">
        <x:v>IF2412</x:v>
      </x:c>
    </x:row>
    <x:row r="247">
      <x:c r="A247" s="23" t="n">
        <x:v>17</x:v>
      </x:c>
      <x:c r="B247" s="23" t="str">
        <x:v>周三</x:v>
      </x:c>
      <x:c r="C247" s="23" t="str">
        <x:v>10月30日</x:v>
      </x:c>
      <x:c r="D247" s="24" t="n">
        <x:v>3930</x:v>
      </x:c>
      <x:c r="E247" s="24" t="n">
        <x:v>3939</x:v>
      </x:c>
      <x:c r="F247" s="24" t="n">
        <x:v>3871.2</x:v>
      </x:c>
      <x:c r="G247" s="24" t="n">
        <x:v>3896</x:v>
      </x:c>
      <x:c r="H247" s="25" t="n">
        <x:v>-0.011167512690355319</x:v>
      </x:c>
      <x:c r="I247" s="24" t="n">
        <x:f>ROUND(E247-F247,1)</x:f>
        <x:v>67.8</x:v>
      </x:c>
      <x:c r="J247" s="23" t="str">
        <x:v>IF2412</x:v>
      </x:c>
    </x:row>
    <x:row r="248">
      <x:c r="A248" s="23" t="n">
        <x:v>18</x:v>
      </x:c>
      <x:c r="B248" s="23" t="str">
        <x:v>周四</x:v>
      </x:c>
      <x:c r="C248" s="23" t="str">
        <x:v>10月31日</x:v>
      </x:c>
      <x:c r="D248" s="24" t="n">
        <x:v>3898</x:v>
      </x:c>
      <x:c r="E248" s="24" t="n">
        <x:v>3933.6</x:v>
      </x:c>
      <x:c r="F248" s="24" t="n">
        <x:v>3862</x:v>
      </x:c>
      <x:c r="G248" s="24" t="n">
        <x:v>3893</x:v>
      </x:c>
      <x:c r="H248" s="25" t="n">
        <x:v>-0.0007700205338808663</x:v>
      </x:c>
      <x:c r="I248" s="24" t="n">
        <x:f>ROUND(E248-F248,1)</x:f>
        <x:v>71.6</x:v>
      </x:c>
      <x:c r="J248" s="23" t="str">
        <x:v>IF2412</x:v>
      </x:c>
    </x:row>
    <x:row r="249">
      <x:c r="A249" s="36" t="str">
        <x:v>合计</x:v>
      </x:c>
      <x:c r="B249" s="35" t="n">
        <x:v>18</x:v>
      </x:c>
      <x:c r="C249" s="35"/>
      <x:c r="D249" s="35"/>
      <x:c r="E249" s="35"/>
      <x:c r="F249" s="35"/>
      <x:c r="G249" s="35"/>
      <x:c r="H249" s="35"/>
      <x:c r="I249" s="37" t="n">
        <x:f>ROUND(SUM(I231:I248),1)</x:f>
        <x:v>2362.8</x:v>
      </x:c>
      <x:c r="J249" s="35"/>
    </x:row>
    <x:row r="250">
      <x:c r="A250" s="36" t="str">
        <x:v>均值</x:v>
      </x:c>
      <x:c r="B250" s="35"/>
      <x:c r="C250" s="35"/>
      <x:c r="D250" s="35"/>
      <x:c r="E250" s="35"/>
      <x:c r="F250" s="35"/>
      <x:c r="G250" s="35"/>
      <x:c r="H250" s="35"/>
      <x:c r="I250" s="39" t="n">
        <x:f>ROUND(IFERROR(AVERAGE(I231:I248),0),1)</x:f>
        <x:v>131.3</x:v>
      </x:c>
      <x:c r="J250" s="35"/>
    </x:row>
    <x:row r="252">
      <x:c r="A252" s="17" t="str">
        <x:v>11月</x:v>
      </x:c>
      <x:c r="B252" s="17"/>
      <x:c r="C252" s="17"/>
      <x:c r="D252" s="17"/>
      <x:c r="E252" s="17"/>
      <x:c r="F252" s="17"/>
      <x:c r="G252" s="17"/>
      <x:c r="H252" s="17"/>
      <x:c r="I252" s="17"/>
      <x:c r="J252" s="17"/>
    </x:row>
    <x:row r="253">
      <x:c r="A253" s="20" t="str">
        <x:v>序号</x:v>
      </x:c>
      <x:c r="B253" s="20" t="str">
        <x:v>星期</x:v>
      </x:c>
      <x:c r="C253" s="20" t="str">
        <x:v>日期</x:v>
      </x:c>
      <x:c r="D253" s="20" t="str">
        <x:v>开盘</x:v>
      </x:c>
      <x:c r="E253" s="20" t="str">
        <x:v>高点</x:v>
      </x:c>
      <x:c r="F253" s="20" t="str">
        <x:v>低点</x:v>
      </x:c>
      <x:c r="G253" s="20" t="str">
        <x:v>收盘</x:v>
      </x:c>
      <x:c r="H253" s="20" t="str">
        <x:v>涨幅</x:v>
      </x:c>
      <x:c r="I253" s="20" t="str">
        <x:v>振幅</x:v>
      </x:c>
      <x:c r="J253" s="20" t="str">
        <x:v>标的</x:v>
      </x:c>
    </x:row>
    <x:row r="254">
      <x:c r="A254" s="23" t="n">
        <x:v>1</x:v>
      </x:c>
      <x:c r="B254" s="23" t="str">
        <x:v>周五</x:v>
      </x:c>
      <x:c r="C254" s="23" t="str">
        <x:v>11月1日</x:v>
      </x:c>
      <x:c r="D254" s="24" t="n">
        <x:v>3891.2</x:v>
      </x:c>
      <x:c r="E254" s="24" t="n">
        <x:v>3945</x:v>
      </x:c>
      <x:c r="F254" s="24" t="n">
        <x:v>3885.2</x:v>
      </x:c>
      <x:c r="G254" s="24" t="n">
        <x:v>3905</x:v>
      </x:c>
      <x:c r="H254" s="25" t="n">
        <x:v>0.003082455689699559</x:v>
      </x:c>
      <x:c r="I254" s="24" t="n">
        <x:f>ROUND(E254-F254,1)</x:f>
        <x:v>59.8</x:v>
      </x:c>
      <x:c r="J254" s="23" t="str">
        <x:v>IF2412</x:v>
      </x:c>
    </x:row>
    <x:row r="255">
      <x:c r="A255" s="23" t="n">
        <x:v>2</x:v>
      </x:c>
      <x:c r="B255" s="23" t="str">
        <x:v>周一</x:v>
      </x:c>
      <x:c r="C255" s="23" t="str">
        <x:v>11月4日</x:v>
      </x:c>
      <x:c r="D255" s="24" t="n">
        <x:v>3914.2</x:v>
      </x:c>
      <x:c r="E255" s="24" t="n">
        <x:v>3960.8</x:v>
      </x:c>
      <x:c r="F255" s="24" t="n">
        <x:v>3896.2</x:v>
      </x:c>
      <x:c r="G255" s="24" t="n">
        <x:v>3959</x:v>
      </x:c>
      <x:c r="H255" s="25" t="n">
        <x:v>0.013828425096030772</x:v>
      </x:c>
      <x:c r="I255" s="24" t="n">
        <x:f>ROUND(E255-F255,1)</x:f>
        <x:v>64.6</x:v>
      </x:c>
      <x:c r="J255" s="23" t="str">
        <x:v>IF2412</x:v>
      </x:c>
    </x:row>
    <x:row r="256">
      <x:c r="A256" s="23" t="n">
        <x:v>3</x:v>
      </x:c>
      <x:c r="B256" s="23" t="str">
        <x:v>周二</x:v>
      </x:c>
      <x:c r="C256" s="23" t="str">
        <x:v>11月5日</x:v>
      </x:c>
      <x:c r="D256" s="24" t="n">
        <x:v>3949</x:v>
      </x:c>
      <x:c r="E256" s="24" t="n">
        <x:v>4069.6</x:v>
      </x:c>
      <x:c r="F256" s="24" t="n">
        <x:v>3936</x:v>
      </x:c>
      <x:c r="G256" s="24" t="n">
        <x:v>4068</x:v>
      </x:c>
      <x:c r="H256" s="25" t="n">
        <x:v>0.02753220510229859</x:v>
      </x:c>
      <x:c r="I256" s="33" t="n">
        <x:f>ROUND(E256-F256,1)</x:f>
        <x:v>133.6</x:v>
      </x:c>
      <x:c r="J256" s="23" t="str">
        <x:v>IF2412</x:v>
      </x:c>
    </x:row>
    <x:row r="257">
      <x:c r="A257" s="23" t="n">
        <x:v>4</x:v>
      </x:c>
      <x:c r="B257" s="23" t="str">
        <x:v>周三</x:v>
      </x:c>
      <x:c r="C257" s="23" t="str">
        <x:v>11月6日</x:v>
      </x:c>
      <x:c r="D257" s="24" t="n">
        <x:v>4060</x:v>
      </x:c>
      <x:c r="E257" s="24" t="n">
        <x:v>4113</x:v>
      </x:c>
      <x:c r="F257" s="24" t="n">
        <x:v>4011.2</x:v>
      </x:c>
      <x:c r="G257" s="24" t="n">
        <x:v>4040.8</x:v>
      </x:c>
      <x:c r="H257" s="25" t="n">
        <x:v>-0.006686332350049118</x:v>
      </x:c>
      <x:c r="I257" s="33" t="n">
        <x:f>ROUND(E257-F257,1)</x:f>
        <x:v>101.8</x:v>
      </x:c>
      <x:c r="J257" s="23" t="str">
        <x:v>IF2412</x:v>
      </x:c>
    </x:row>
    <x:row r="258">
      <x:c r="A258" s="23" t="n">
        <x:v>5</x:v>
      </x:c>
      <x:c r="B258" s="23" t="str">
        <x:v>周四</x:v>
      </x:c>
      <x:c r="C258" s="23" t="str">
        <x:v>11月7日</x:v>
      </x:c>
      <x:c r="D258" s="24" t="n">
        <x:v>4020</x:v>
      </x:c>
      <x:c r="E258" s="24" t="n">
        <x:v>4185</x:v>
      </x:c>
      <x:c r="F258" s="24" t="n">
        <x:v>4013.4</x:v>
      </x:c>
      <x:c r="G258" s="24" t="n">
        <x:v>4183.8</x:v>
      </x:c>
      <x:c r="H258" s="25" t="n">
        <x:v>0.03538903187487619</x:v>
      </x:c>
      <x:c r="I258" s="33" t="n">
        <x:f>ROUND(E258-F258,1)</x:f>
        <x:v>171.6</x:v>
      </x:c>
      <x:c r="J258" s="23" t="str">
        <x:v>IF2412</x:v>
      </x:c>
    </x:row>
    <x:row r="259">
      <x:c r="A259" s="23" t="n">
        <x:v>6</x:v>
      </x:c>
      <x:c r="B259" s="23" t="str">
        <x:v>周五</x:v>
      </x:c>
      <x:c r="C259" s="23" t="str">
        <x:v>11月8日</x:v>
      </x:c>
      <x:c r="D259" s="24" t="n">
        <x:v>4215.2</x:v>
      </x:c>
      <x:c r="E259" s="24" t="n">
        <x:v>4230</x:v>
      </x:c>
      <x:c r="F259" s="24" t="n">
        <x:v>4100.8</x:v>
      </x:c>
      <x:c r="G259" s="24" t="n">
        <x:v>4112.2</x:v>
      </x:c>
      <x:c r="H259" s="25" t="n">
        <x:v>-0.01711362875854494</x:v>
      </x:c>
      <x:c r="I259" s="33" t="n">
        <x:f>ROUND(E259-F259,1)</x:f>
        <x:v>129.2</x:v>
      </x:c>
      <x:c r="J259" s="23" t="str">
        <x:v>IF2412</x:v>
      </x:c>
    </x:row>
    <x:row r="260">
      <x:c r="A260" s="23" t="n">
        <x:v>7</x:v>
      </x:c>
      <x:c r="B260" s="23" t="str">
        <x:v>周一</x:v>
      </x:c>
      <x:c r="C260" s="23" t="str">
        <x:v>11月11日</x:v>
      </x:c>
      <x:c r="D260" s="24" t="n">
        <x:v>4080</x:v>
      </x:c>
      <x:c r="E260" s="24" t="n">
        <x:v>4143.4</x:v>
      </x:c>
      <x:c r="F260" s="24" t="n">
        <x:v>4051.6</x:v>
      </x:c>
      <x:c r="G260" s="24" t="n">
        <x:v>4133.2</x:v>
      </x:c>
      <x:c r="H260" s="25" t="n">
        <x:v>0.00510675550800066</x:v>
      </x:c>
      <x:c r="I260" s="33" t="n">
        <x:f>ROUND(E260-F260,1)</x:f>
        <x:v>91.8</x:v>
      </x:c>
      <x:c r="J260" s="23" t="str">
        <x:v>IF2412</x:v>
      </x:c>
    </x:row>
    <x:row r="261">
      <x:c r="A261" s="23" t="n">
        <x:v>8</x:v>
      </x:c>
      <x:c r="B261" s="23" t="str">
        <x:v>周二</x:v>
      </x:c>
      <x:c r="C261" s="23" t="str">
        <x:v>11月12日</x:v>
      </x:c>
      <x:c r="D261" s="24" t="n">
        <x:v>4133.4</x:v>
      </x:c>
      <x:c r="E261" s="24" t="n">
        <x:v>4192</x:v>
      </x:c>
      <x:c r="F261" s="24" t="n">
        <x:v>4065.6</x:v>
      </x:c>
      <x:c r="G261" s="24" t="n">
        <x:v>4083.8</x:v>
      </x:c>
      <x:c r="H261" s="25" t="n">
        <x:v>-0.011951998451562917</x:v>
      </x:c>
      <x:c r="I261" s="33" t="n">
        <x:f>ROUND(E261-F261,1)</x:f>
        <x:v>126.4</x:v>
      </x:c>
      <x:c r="J261" s="23" t="str">
        <x:v>IF2412</x:v>
      </x:c>
    </x:row>
    <x:row r="262">
      <x:c r="A262" s="23" t="n">
        <x:v>9</x:v>
      </x:c>
      <x:c r="B262" s="23" t="str">
        <x:v>周三</x:v>
      </x:c>
      <x:c r="C262" s="23" t="str">
        <x:v>11月13日</x:v>
      </x:c>
      <x:c r="D262" s="24" t="n">
        <x:v>4068.2</x:v>
      </x:c>
      <x:c r="E262" s="24" t="n">
        <x:v>4128.2</x:v>
      </x:c>
      <x:c r="F262" s="24" t="n">
        <x:v>4066.2</x:v>
      </x:c>
      <x:c r="G262" s="24" t="n">
        <x:v>4112.8</x:v>
      </x:c>
      <x:c r="H262" s="25" t="n">
        <x:v>0.007101229247269636</x:v>
      </x:c>
      <x:c r="I262" s="24" t="n">
        <x:f>ROUND(E262-F262,1)</x:f>
        <x:v>62</x:v>
      </x:c>
      <x:c r="J262" s="23" t="str">
        <x:v>IF2412</x:v>
      </x:c>
    </x:row>
    <x:row r="263">
      <x:c r="A263" s="23" t="n">
        <x:v>10</x:v>
      </x:c>
      <x:c r="B263" s="23" t="str">
        <x:v>周四</x:v>
      </x:c>
      <x:c r="C263" s="23" t="str">
        <x:v>11月14日</x:v>
      </x:c>
      <x:c r="D263" s="24" t="n">
        <x:v>4098</x:v>
      </x:c>
      <x:c r="E263" s="24" t="n">
        <x:v>4122.2</x:v>
      </x:c>
      <x:c r="F263" s="24" t="n">
        <x:v>4037</x:v>
      </x:c>
      <x:c r="G263" s="24" t="n">
        <x:v>4041.8</x:v>
      </x:c>
      <x:c r="H263" s="25" t="n">
        <x:v>-0.017263178369966936</x:v>
      </x:c>
      <x:c r="I263" s="24" t="n">
        <x:f>ROUND(E263-F263,1)</x:f>
        <x:v>85.2</x:v>
      </x:c>
      <x:c r="J263" s="23" t="str">
        <x:v>IF2412</x:v>
      </x:c>
    </x:row>
    <x:row r="264">
      <x:c r="A264" s="29" t="n">
        <x:v>11</x:v>
      </x:c>
      <x:c r="B264" s="29" t="str">
        <x:v>周五</x:v>
      </x:c>
      <x:c r="C264" s="29" t="str">
        <x:v>11月15日</x:v>
      </x:c>
      <x:c r="D264" s="30" t="n">
        <x:v>4040</x:v>
      </x:c>
      <x:c r="E264" s="30" t="n">
        <x:v>4057.8</x:v>
      </x:c>
      <x:c r="F264" s="30" t="n">
        <x:v>3969.4</x:v>
      </x:c>
      <x:c r="G264" s="30" t="n">
        <x:v>3975.2</x:v>
      </x:c>
      <x:c r="H264" s="31" t="n">
        <x:v>-0.01647780691771006</x:v>
      </x:c>
      <x:c r="I264" s="30" t="n">
        <x:f>ROUND(E264-F264,1)</x:f>
        <x:v>88.4</x:v>
      </x:c>
      <x:c r="J264" s="29" t="str">
        <x:v>IF2412</x:v>
      </x:c>
    </x:row>
    <x:row r="265">
      <x:c r="A265" s="23" t="n">
        <x:v>12</x:v>
      </x:c>
      <x:c r="B265" s="23" t="str">
        <x:v>周一</x:v>
      </x:c>
      <x:c r="C265" s="23" t="str">
        <x:v>11月18日</x:v>
      </x:c>
      <x:c r="D265" s="24" t="n">
        <x:v>3997.8</x:v>
      </x:c>
      <x:c r="E265" s="24" t="n">
        <x:v>4035.6</x:v>
      </x:c>
      <x:c r="F265" s="24" t="n">
        <x:v>3932</x:v>
      </x:c>
      <x:c r="G265" s="24" t="n">
        <x:v>3954.6</x:v>
      </x:c>
      <x:c r="H265" s="25" t="n">
        <x:v>-0.005182129201046437</x:v>
      </x:c>
      <x:c r="I265" s="33" t="n">
        <x:f>ROUND(E265-F265,1)</x:f>
        <x:v>103.6</x:v>
      </x:c>
      <x:c r="J265" s="23" t="str">
        <x:v>IF2412</x:v>
      </x:c>
    </x:row>
    <x:row r="266">
      <x:c r="A266" s="23" t="n">
        <x:v>13</x:v>
      </x:c>
      <x:c r="B266" s="23" t="str">
        <x:v>周二</x:v>
      </x:c>
      <x:c r="C266" s="23" t="str">
        <x:v>11月19日</x:v>
      </x:c>
      <x:c r="D266" s="24" t="n">
        <x:v>3966</x:v>
      </x:c>
      <x:c r="E266" s="24" t="n">
        <x:v>3978</x:v>
      </x:c>
      <x:c r="F266" s="24" t="n">
        <x:v>3900</x:v>
      </x:c>
      <x:c r="G266" s="24" t="n">
        <x:v>3973.2</x:v>
      </x:c>
      <x:c r="H266" s="25" t="n">
        <x:v>0.004703383401608141</x:v>
      </x:c>
      <x:c r="I266" s="24" t="n">
        <x:f>ROUND(E266-F266,1)</x:f>
        <x:v>78</x:v>
      </x:c>
      <x:c r="J266" s="23" t="str">
        <x:v>IF2412</x:v>
      </x:c>
    </x:row>
    <x:row r="267">
      <x:c r="A267" s="23" t="n">
        <x:v>14</x:v>
      </x:c>
      <x:c r="B267" s="23" t="str">
        <x:v>周三</x:v>
      </x:c>
      <x:c r="C267" s="23" t="str">
        <x:v>11月20日</x:v>
      </x:c>
      <x:c r="D267" s="24" t="n">
        <x:v>3961.4</x:v>
      </x:c>
      <x:c r="E267" s="24" t="n">
        <x:v>4002.2</x:v>
      </x:c>
      <x:c r="F267" s="24" t="n">
        <x:v>3956</x:v>
      </x:c>
      <x:c r="G267" s="24" t="n">
        <x:v>3980</x:v>
      </x:c>
      <x:c r="H267" s="25" t="n">
        <x:v>0.0017114668277460332</x:v>
      </x:c>
      <x:c r="I267" s="24" t="n">
        <x:f>ROUND(E267-F267,1)</x:f>
        <x:v>46.2</x:v>
      </x:c>
      <x:c r="J267" s="23" t="str">
        <x:v>IF2412</x:v>
      </x:c>
    </x:row>
    <x:row r="268">
      <x:c r="A268" s="23" t="n">
        <x:v>15</x:v>
      </x:c>
      <x:c r="B268" s="23" t="str">
        <x:v>周四</x:v>
      </x:c>
      <x:c r="C268" s="23" t="str">
        <x:v>11月21日</x:v>
      </x:c>
      <x:c r="D268" s="24" t="n">
        <x:v>3974.8</x:v>
      </x:c>
      <x:c r="E268" s="24" t="n">
        <x:v>3998</x:v>
      </x:c>
      <x:c r="F268" s="24" t="n">
        <x:v>3960.2</x:v>
      </x:c>
      <x:c r="G268" s="24" t="n">
        <x:v>3989.2</x:v>
      </x:c>
      <x:c r="H268" s="25" t="n">
        <x:v>0.0023115577889447625</x:v>
      </x:c>
      <x:c r="I268" s="24" t="n">
        <x:f>ROUND(E268-F268,1)</x:f>
        <x:v>37.8</x:v>
      </x:c>
      <x:c r="J268" s="23" t="str">
        <x:v>IF2412</x:v>
      </x:c>
    </x:row>
    <x:row r="269">
      <x:c r="A269" s="23" t="n">
        <x:v>16</x:v>
      </x:c>
      <x:c r="B269" s="23" t="str">
        <x:v>周五</x:v>
      </x:c>
      <x:c r="C269" s="23" t="str">
        <x:v>11月22日</x:v>
      </x:c>
      <x:c r="D269" s="24" t="n">
        <x:v>3985</x:v>
      </x:c>
      <x:c r="E269" s="24" t="n">
        <x:v>3992</x:v>
      </x:c>
      <x:c r="F269" s="24" t="n">
        <x:v>3853.2</x:v>
      </x:c>
      <x:c r="G269" s="24" t="n">
        <x:v>3860.8</x:v>
      </x:c>
      <x:c r="H269" s="25" t="n">
        <x:v>-0.03218690464253471</x:v>
      </x:c>
      <x:c r="I269" s="33" t="n">
        <x:f>ROUND(E269-F269,1)</x:f>
        <x:v>138.8</x:v>
      </x:c>
      <x:c r="J269" s="23" t="str">
        <x:v>IF2412</x:v>
      </x:c>
    </x:row>
    <x:row r="270">
      <x:c r="A270" s="23" t="n">
        <x:v>17</x:v>
      </x:c>
      <x:c r="B270" s="23" t="str">
        <x:v>周一</x:v>
      </x:c>
      <x:c r="C270" s="23" t="str">
        <x:v>11月25日</x:v>
      </x:c>
      <x:c r="D270" s="24" t="n">
        <x:v>3878.2</x:v>
      </x:c>
      <x:c r="E270" s="24" t="n">
        <x:v>3887</x:v>
      </x:c>
      <x:c r="F270" s="24" t="n">
        <x:v>3804</x:v>
      </x:c>
      <x:c r="G270" s="24" t="n">
        <x:v>3839</x:v>
      </x:c>
      <x:c r="H270" s="25" t="n">
        <x:v>-0.005646498135101541</x:v>
      </x:c>
      <x:c r="I270" s="24" t="n">
        <x:f>ROUND(E270-F270,1)</x:f>
        <x:v>83</x:v>
      </x:c>
      <x:c r="J270" s="23" t="str">
        <x:v>IF2412</x:v>
      </x:c>
    </x:row>
    <x:row r="271">
      <x:c r="A271" s="23" t="n">
        <x:v>18</x:v>
      </x:c>
      <x:c r="B271" s="23" t="str">
        <x:v>周二</x:v>
      </x:c>
      <x:c r="C271" s="23" t="str">
        <x:v>11月26日</x:v>
      </x:c>
      <x:c r="D271" s="24" t="n">
        <x:v>3830</x:v>
      </x:c>
      <x:c r="E271" s="24" t="n">
        <x:v>3869.8</x:v>
      </x:c>
      <x:c r="F271" s="24" t="n">
        <x:v>3822</x:v>
      </x:c>
      <x:c r="G271" s="24" t="n">
        <x:v>3836</x:v>
      </x:c>
      <x:c r="H271" s="25" t="n">
        <x:v>-0.0007814535035165493</x:v>
      </x:c>
      <x:c r="I271" s="24" t="n">
        <x:f>ROUND(E271-F271,1)</x:f>
        <x:v>47.8</x:v>
      </x:c>
      <x:c r="J271" s="23" t="str">
        <x:v>IF2412</x:v>
      </x:c>
    </x:row>
    <x:row r="272">
      <x:c r="A272" s="23" t="n">
        <x:v>19</x:v>
      </x:c>
      <x:c r="B272" s="23" t="str">
        <x:v>周三</x:v>
      </x:c>
      <x:c r="C272" s="23" t="str">
        <x:v>11月27日</x:v>
      </x:c>
      <x:c r="D272" s="24" t="n">
        <x:v>3828.6</x:v>
      </x:c>
      <x:c r="E272" s="24" t="n">
        <x:v>3910.4</x:v>
      </x:c>
      <x:c r="F272" s="24" t="n">
        <x:v>3813.6</x:v>
      </x:c>
      <x:c r="G272" s="24" t="n">
        <x:v>3901.4</x:v>
      </x:c>
      <x:c r="H272" s="25" t="n">
        <x:v>0.017049009384775937</x:v>
      </x:c>
      <x:c r="I272" s="33" t="n">
        <x:f>ROUND(E272-F272,1)</x:f>
        <x:v>96.8</x:v>
      </x:c>
      <x:c r="J272" s="23" t="str">
        <x:v>IF2412</x:v>
      </x:c>
    </x:row>
    <x:row r="273">
      <x:c r="A273" s="23" t="n">
        <x:v>20</x:v>
      </x:c>
      <x:c r="B273" s="23" t="str">
        <x:v>周四</x:v>
      </x:c>
      <x:c r="C273" s="23" t="str">
        <x:v>11月28日</x:v>
      </x:c>
      <x:c r="D273" s="24" t="n">
        <x:v>3896.2</x:v>
      </x:c>
      <x:c r="E273" s="24" t="n">
        <x:v>3905</x:v>
      </x:c>
      <x:c r="F273" s="24" t="n">
        <x:v>3853.2</x:v>
      </x:c>
      <x:c r="G273" s="24" t="n">
        <x:v>3872.4</x:v>
      </x:c>
      <x:c r="H273" s="25" t="n">
        <x:v>-0.007433229097247196</x:v>
      </x:c>
      <x:c r="I273" s="24" t="n">
        <x:f>ROUND(E273-F273,1)</x:f>
        <x:v>51.8</x:v>
      </x:c>
      <x:c r="J273" s="23" t="str">
        <x:v>IF2412</x:v>
      </x:c>
    </x:row>
    <x:row r="274">
      <x:c r="A274" s="23" t="n">
        <x:v>21</x:v>
      </x:c>
      <x:c r="B274" s="23" t="str">
        <x:v>周五</x:v>
      </x:c>
      <x:c r="C274" s="23" t="str">
        <x:v>11月29日</x:v>
      </x:c>
      <x:c r="D274" s="24" t="n">
        <x:v>3876.8</x:v>
      </x:c>
      <x:c r="E274" s="24" t="n">
        <x:v>3965.6</x:v>
      </x:c>
      <x:c r="F274" s="24" t="n">
        <x:v>3874</x:v>
      </x:c>
      <x:c r="G274" s="24" t="n">
        <x:v>3911</x:v>
      </x:c>
      <x:c r="H274" s="25" t="n">
        <x:v>0.009967978514616282</x:v>
      </x:c>
      <x:c r="I274" s="33" t="n">
        <x:f>ROUND(E274-F274,1)</x:f>
        <x:v>91.6</x:v>
      </x:c>
      <x:c r="J274" s="23" t="str">
        <x:v>IF2412</x:v>
      </x:c>
    </x:row>
    <x:row r="275">
      <x:c r="A275" s="36" t="str">
        <x:v>合计</x:v>
      </x:c>
      <x:c r="B275" s="35" t="n">
        <x:v>21</x:v>
      </x:c>
      <x:c r="C275" s="35"/>
      <x:c r="D275" s="35"/>
      <x:c r="E275" s="35"/>
      <x:c r="F275" s="35"/>
      <x:c r="G275" s="35"/>
      <x:c r="H275" s="35"/>
      <x:c r="I275" s="37" t="n">
        <x:f>ROUND(SUM(I254:I274),1)</x:f>
        <x:v>1889.8</x:v>
      </x:c>
      <x:c r="J275" s="35"/>
    </x:row>
    <x:row r="276">
      <x:c r="A276" s="36" t="str">
        <x:v>均值</x:v>
      </x:c>
      <x:c r="B276" s="35"/>
      <x:c r="C276" s="35"/>
      <x:c r="D276" s="35"/>
      <x:c r="E276" s="35"/>
      <x:c r="F276" s="35"/>
      <x:c r="G276" s="35"/>
      <x:c r="H276" s="35"/>
      <x:c r="I276" s="39" t="n">
        <x:f>ROUND(IFERROR(AVERAGE(I254:I274),0),1)</x:f>
        <x:v>90</x:v>
      </x:c>
      <x:c r="J276" s="35"/>
    </x:row>
    <x:row r="278">
      <x:c r="A278" s="17" t="str">
        <x:v>12月</x:v>
      </x:c>
      <x:c r="B278" s="17"/>
      <x:c r="C278" s="17"/>
      <x:c r="D278" s="17"/>
      <x:c r="E278" s="17"/>
      <x:c r="F278" s="17"/>
      <x:c r="G278" s="17"/>
      <x:c r="H278" s="17"/>
      <x:c r="I278" s="17"/>
      <x:c r="J278" s="17"/>
    </x:row>
    <x:row r="279">
      <x:c r="A279" s="20" t="str">
        <x:v>序号</x:v>
      </x:c>
      <x:c r="B279" s="20" t="str">
        <x:v>星期</x:v>
      </x:c>
      <x:c r="C279" s="20" t="str">
        <x:v>日期</x:v>
      </x:c>
      <x:c r="D279" s="20" t="str">
        <x:v>开盘</x:v>
      </x:c>
      <x:c r="E279" s="20" t="str">
        <x:v>高点</x:v>
      </x:c>
      <x:c r="F279" s="20" t="str">
        <x:v>低点</x:v>
      </x:c>
      <x:c r="G279" s="20" t="str">
        <x:v>收盘</x:v>
      </x:c>
      <x:c r="H279" s="20" t="str">
        <x:v>涨幅</x:v>
      </x:c>
      <x:c r="I279" s="20" t="str">
        <x:v>振幅</x:v>
      </x:c>
      <x:c r="J279" s="20" t="str">
        <x:v>标的</x:v>
      </x:c>
    </x:row>
    <x:row r="280">
      <x:c r="A280" s="23" t="n">
        <x:v>1</x:v>
      </x:c>
      <x:c r="B280" s="23" t="str">
        <x:v>周一</x:v>
      </x:c>
      <x:c r="C280" s="23" t="str">
        <x:v>12月2日</x:v>
      </x:c>
      <x:c r="D280" s="24" t="n">
        <x:v>3912</x:v>
      </x:c>
      <x:c r="E280" s="24" t="n">
        <x:v>3959.4</x:v>
      </x:c>
      <x:c r="F280" s="24" t="n">
        <x:v>3902</x:v>
      </x:c>
      <x:c r="G280" s="24" t="n">
        <x:v>3942</x:v>
      </x:c>
      <x:c r="H280" s="25" t="n">
        <x:v>0.007926361544362104</x:v>
      </x:c>
      <x:c r="I280" s="24" t="n">
        <x:f>ROUND(E280-F280,1)</x:f>
        <x:v>57.4</x:v>
      </x:c>
      <x:c r="J280" s="23" t="str">
        <x:v>IF2412</x:v>
      </x:c>
    </x:row>
    <x:row r="281">
      <x:c r="A281" s="23" t="n">
        <x:v>2</x:v>
      </x:c>
      <x:c r="B281" s="23" t="str">
        <x:v>周二</x:v>
      </x:c>
      <x:c r="C281" s="23" t="str">
        <x:v>12月3日</x:v>
      </x:c>
      <x:c r="D281" s="24" t="n">
        <x:v>3939.8</x:v>
      </x:c>
      <x:c r="E281" s="24" t="n">
        <x:v>3965.6</x:v>
      </x:c>
      <x:c r="F281" s="24" t="n">
        <x:v>3914.2</x:v>
      </x:c>
      <x:c r="G281" s="24" t="n">
        <x:v>3945.6</x:v>
      </x:c>
      <x:c r="H281" s="25" t="n">
        <x:v>0.0009132420091324533</x:v>
      </x:c>
      <x:c r="I281" s="24" t="n">
        <x:f>ROUND(E281-F281,1)</x:f>
        <x:v>51.4</x:v>
      </x:c>
      <x:c r="J281" s="23" t="str">
        <x:v>IF2412</x:v>
      </x:c>
    </x:row>
    <x:row r="282">
      <x:c r="A282" s="23" t="n">
        <x:v>3</x:v>
      </x:c>
      <x:c r="B282" s="23" t="str">
        <x:v>周三</x:v>
      </x:c>
      <x:c r="C282" s="23" t="str">
        <x:v>12月4日</x:v>
      </x:c>
      <x:c r="D282" s="24" t="n">
        <x:v>3940</x:v>
      </x:c>
      <x:c r="E282" s="24" t="n">
        <x:v>3950.4</x:v>
      </x:c>
      <x:c r="F282" s="24" t="n">
        <x:v>3910</x:v>
      </x:c>
      <x:c r="G282" s="24" t="n">
        <x:v>3924.8</x:v>
      </x:c>
      <x:c r="H282" s="25" t="n">
        <x:v>-0.005271695052716852</x:v>
      </x:c>
      <x:c r="I282" s="24" t="n">
        <x:f>ROUND(E282-F282,1)</x:f>
        <x:v>40.4</x:v>
      </x:c>
      <x:c r="J282" s="23" t="str">
        <x:v>IF2412</x:v>
      </x:c>
    </x:row>
    <x:row r="283">
      <x:c r="A283" s="23" t="n">
        <x:v>4</x:v>
      </x:c>
      <x:c r="B283" s="23" t="str">
        <x:v>周四</x:v>
      </x:c>
      <x:c r="C283" s="23" t="str">
        <x:v>12月5日</x:v>
      </x:c>
      <x:c r="D283" s="24" t="n">
        <x:v>3915.6</x:v>
      </x:c>
      <x:c r="E283" s="24" t="n">
        <x:v>3934.6</x:v>
      </x:c>
      <x:c r="F283" s="24" t="n">
        <x:v>3903.2</x:v>
      </x:c>
      <x:c r="G283" s="24" t="n">
        <x:v>3918.6</x:v>
      </x:c>
      <x:c r="H283" s="25" t="n">
        <x:v>-0.0015796983285772948</x:v>
      </x:c>
      <x:c r="I283" s="24" t="n">
        <x:f>ROUND(E283-F283,1)</x:f>
        <x:v>31.4</x:v>
      </x:c>
      <x:c r="J283" s="23" t="str">
        <x:v>IF2412</x:v>
      </x:c>
    </x:row>
    <x:row r="284">
      <x:c r="A284" s="23" t="n">
        <x:v>5</x:v>
      </x:c>
      <x:c r="B284" s="23" t="str">
        <x:v>周五</x:v>
      </x:c>
      <x:c r="C284" s="23" t="str">
        <x:v>12月6日</x:v>
      </x:c>
      <x:c r="D284" s="24" t="n">
        <x:v>3921</x:v>
      </x:c>
      <x:c r="E284" s="24" t="n">
        <x:v>4001.4</x:v>
      </x:c>
      <x:c r="F284" s="24" t="n">
        <x:v>3915.2</x:v>
      </x:c>
      <x:c r="G284" s="24" t="n">
        <x:v>3968</x:v>
      </x:c>
      <x:c r="H284" s="25" t="n">
        <x:v>0.012606543153167005</x:v>
      </x:c>
      <x:c r="I284" s="24" t="n">
        <x:f>ROUND(E284-F284,1)</x:f>
        <x:v>86.2</x:v>
      </x:c>
      <x:c r="J284" s="23" t="str">
        <x:v>IF2412</x:v>
      </x:c>
    </x:row>
    <x:row r="285">
      <x:c r="A285" s="23" t="n">
        <x:v>6</x:v>
      </x:c>
      <x:c r="B285" s="23" t="str">
        <x:v>周一</x:v>
      </x:c>
      <x:c r="C285" s="23" t="str">
        <x:v>12月9日</x:v>
      </x:c>
      <x:c r="D285" s="24" t="n">
        <x:v>3967</x:v>
      </x:c>
      <x:c r="E285" s="24" t="n">
        <x:v>3994.4</x:v>
      </x:c>
      <x:c r="F285" s="24" t="n">
        <x:v>3936.6</x:v>
      </x:c>
      <x:c r="G285" s="24" t="n">
        <x:v>3963.4</x:v>
      </x:c>
      <x:c r="H285" s="25" t="n">
        <x:v>-0.001159274193548332</x:v>
      </x:c>
      <x:c r="I285" s="24" t="n">
        <x:f>ROUND(E285-F285,1)</x:f>
        <x:v>57.8</x:v>
      </x:c>
      <x:c r="J285" s="23" t="str">
        <x:v>IF2412</x:v>
      </x:c>
    </x:row>
    <x:row r="286">
      <x:c r="A286" s="23" t="n">
        <x:v>7</x:v>
      </x:c>
      <x:c r="B286" s="23" t="str">
        <x:v>周二</x:v>
      </x:c>
      <x:c r="C286" s="23" t="str">
        <x:v>12月10日</x:v>
      </x:c>
      <x:c r="D286" s="24" t="n">
        <x:v>4099</x:v>
      </x:c>
      <x:c r="E286" s="24" t="n">
        <x:v>4124</x:v>
      </x:c>
      <x:c r="F286" s="24" t="n">
        <x:v>3989.6</x:v>
      </x:c>
      <x:c r="G286" s="24" t="n">
        <x:v>4000.4</x:v>
      </x:c>
      <x:c r="H286" s="25" t="n">
        <x:v>0.009335419084624208</x:v>
      </x:c>
      <x:c r="I286" s="33" t="n">
        <x:f>ROUND(E286-F286,1)</x:f>
        <x:v>134.4</x:v>
      </x:c>
      <x:c r="J286" s="23" t="str">
        <x:v>IF2412</x:v>
      </x:c>
    </x:row>
    <x:row r="287">
      <x:c r="A287" s="23" t="n">
        <x:v>8</x:v>
      </x:c>
      <x:c r="B287" s="23" t="str">
        <x:v>周三</x:v>
      </x:c>
      <x:c r="C287" s="23" t="str">
        <x:v>12月11日</x:v>
      </x:c>
      <x:c r="D287" s="24" t="n">
        <x:v>3997</x:v>
      </x:c>
      <x:c r="E287" s="24" t="n">
        <x:v>4013.6</x:v>
      </x:c>
      <x:c r="F287" s="24" t="n">
        <x:v>3985.2</x:v>
      </x:c>
      <x:c r="G287" s="24" t="n">
        <x:v>3994</x:v>
      </x:c>
      <x:c r="H287" s="25" t="n">
        <x:v>-0.0015998400159984438</x:v>
      </x:c>
      <x:c r="I287" s="24" t="n">
        <x:f>ROUND(E287-F287,1)</x:f>
        <x:v>28.4</x:v>
      </x:c>
      <x:c r="J287" s="23" t="str">
        <x:v>IF2412</x:v>
      </x:c>
    </x:row>
    <x:row r="288">
      <x:c r="A288" s="23" t="n">
        <x:v>9</x:v>
      </x:c>
      <x:c r="B288" s="23" t="str">
        <x:v>周四</x:v>
      </x:c>
      <x:c r="C288" s="23" t="str">
        <x:v>12月12日</x:v>
      </x:c>
      <x:c r="D288" s="24" t="n">
        <x:v>3994.2</x:v>
      </x:c>
      <x:c r="E288" s="24" t="n">
        <x:v>4044.2</x:v>
      </x:c>
      <x:c r="F288" s="24" t="n">
        <x:v>3987</x:v>
      </x:c>
      <x:c r="G288" s="24" t="n">
        <x:v>4038.8</x:v>
      </x:c>
      <x:c r="H288" s="25" t="n">
        <x:v>0.011216825237856831</x:v>
      </x:c>
      <x:c r="I288" s="24" t="n">
        <x:f>ROUND(E288-F288,1)</x:f>
        <x:v>57.2</x:v>
      </x:c>
      <x:c r="J288" s="23" t="str">
        <x:v>IF2412</x:v>
      </x:c>
    </x:row>
    <x:row r="289">
      <x:c r="A289" s="23" t="n">
        <x:v>10</x:v>
      </x:c>
      <x:c r="B289" s="23" t="str">
        <x:v>周五</x:v>
      </x:c>
      <x:c r="C289" s="23" t="str">
        <x:v>12月13日</x:v>
      </x:c>
      <x:c r="D289" s="24" t="n">
        <x:v>4005</x:v>
      </x:c>
      <x:c r="E289" s="24" t="n">
        <x:v>4006.4</x:v>
      </x:c>
      <x:c r="F289" s="24" t="n">
        <x:v>3926.2</x:v>
      </x:c>
      <x:c r="G289" s="24" t="n">
        <x:v>3935</x:v>
      </x:c>
      <x:c r="H289" s="25" t="n">
        <x:v>-0.025700703179162177</x:v>
      </x:c>
      <x:c r="I289" s="24" t="n">
        <x:f>ROUND(E289-F289,1)</x:f>
        <x:v>80.2</x:v>
      </x:c>
      <x:c r="J289" s="23" t="str">
        <x:v>IF2412</x:v>
      </x:c>
    </x:row>
    <x:row r="290">
      <x:c r="A290" s="23" t="n">
        <x:v>11</x:v>
      </x:c>
      <x:c r="B290" s="23" t="str">
        <x:v>周一</x:v>
      </x:c>
      <x:c r="C290" s="23" t="str">
        <x:v>12月16日</x:v>
      </x:c>
      <x:c r="D290" s="24" t="n">
        <x:v>3940</x:v>
      </x:c>
      <x:c r="E290" s="24" t="n">
        <x:v>3940</x:v>
      </x:c>
      <x:c r="F290" s="24" t="n">
        <x:v>3901.2</x:v>
      </x:c>
      <x:c r="G290" s="24" t="n">
        <x:v>3911.4</x:v>
      </x:c>
      <x:c r="H290" s="25" t="n">
        <x:v>-0.005997458703938974</x:v>
      </x:c>
      <x:c r="I290" s="24" t="n">
        <x:f>ROUND(E290-F290,1)</x:f>
        <x:v>38.8</x:v>
      </x:c>
      <x:c r="J290" s="23" t="str">
        <x:v>IF2412</x:v>
      </x:c>
    </x:row>
    <x:row r="291">
      <x:c r="A291" s="23" t="n">
        <x:v>12</x:v>
      </x:c>
      <x:c r="B291" s="23" t="str">
        <x:v>周二</x:v>
      </x:c>
      <x:c r="C291" s="23" t="str">
        <x:v>12月17日</x:v>
      </x:c>
      <x:c r="D291" s="24" t="n">
        <x:v>3907</x:v>
      </x:c>
      <x:c r="E291" s="24" t="n">
        <x:v>3962</x:v>
      </x:c>
      <x:c r="F291" s="24" t="n">
        <x:v>3907</x:v>
      </x:c>
      <x:c r="G291" s="24" t="n">
        <x:v>3922.4</x:v>
      </x:c>
      <x:c r="H291" s="25" t="n">
        <x:v>0.002812292273866035</x:v>
      </x:c>
      <x:c r="I291" s="24" t="n">
        <x:f>ROUND(E291-F291,1)</x:f>
        <x:v>55</x:v>
      </x:c>
      <x:c r="J291" s="23" t="str">
        <x:v>IF2412</x:v>
      </x:c>
    </x:row>
    <x:row r="292">
      <x:c r="A292" s="23" t="n">
        <x:v>13</x:v>
      </x:c>
      <x:c r="B292" s="23" t="str">
        <x:v>周三</x:v>
      </x:c>
      <x:c r="C292" s="23" t="str">
        <x:v>12月18日</x:v>
      </x:c>
      <x:c r="D292" s="24" t="n">
        <x:v>3941.4</x:v>
      </x:c>
      <x:c r="E292" s="24" t="n">
        <x:v>3959.4</x:v>
      </x:c>
      <x:c r="F292" s="24" t="n">
        <x:v>3931.6</x:v>
      </x:c>
      <x:c r="G292" s="24" t="n">
        <x:v>3940.2</x:v>
      </x:c>
      <x:c r="H292" s="25" t="n">
        <x:v>0.0045380379359574174</x:v>
      </x:c>
      <x:c r="I292" s="24" t="n">
        <x:f>ROUND(E292-F292,1)</x:f>
        <x:v>27.8</x:v>
      </x:c>
      <x:c r="J292" s="23" t="str">
        <x:v>IF2412</x:v>
      </x:c>
    </x:row>
    <x:row r="293">
      <x:c r="A293" s="23" t="n">
        <x:v>14</x:v>
      </x:c>
      <x:c r="B293" s="23" t="str">
        <x:v>周四</x:v>
      </x:c>
      <x:c r="C293" s="23" t="str">
        <x:v>12月19日</x:v>
      </x:c>
      <x:c r="D293" s="24" t="n">
        <x:v>3910.8</x:v>
      </x:c>
      <x:c r="E293" s="24" t="n">
        <x:v>3956.6</x:v>
      </x:c>
      <x:c r="F293" s="24" t="n">
        <x:v>3897.2</x:v>
      </x:c>
      <x:c r="G293" s="24" t="n">
        <x:v>3944.8</x:v>
      </x:c>
      <x:c r="H293" s="25" t="n">
        <x:v>0.0011674534287600125</x:v>
      </x:c>
      <x:c r="I293" s="24" t="n">
        <x:f>ROUND(E293-F293,1)</x:f>
        <x:v>59.4</x:v>
      </x:c>
      <x:c r="J293" s="23" t="str">
        <x:v>IF2412</x:v>
      </x:c>
    </x:row>
    <x:row r="294">
      <x:c r="A294" s="29" t="n">
        <x:v>15</x:v>
      </x:c>
      <x:c r="B294" s="29" t="str">
        <x:v>周五</x:v>
      </x:c>
      <x:c r="C294" s="29" t="str">
        <x:v>12月20日</x:v>
      </x:c>
      <x:c r="D294" s="30" t="n">
        <x:v>3937</x:v>
      </x:c>
      <x:c r="E294" s="30" t="n">
        <x:v>3957.6</x:v>
      </x:c>
      <x:c r="F294" s="30" t="n">
        <x:v>3921</x:v>
      </x:c>
      <x:c r="G294" s="30" t="n">
        <x:v>3935</x:v>
      </x:c>
      <x:c r="H294" s="31" t="n">
        <x:v>-0.002484283106874874</x:v>
      </x:c>
      <x:c r="I294" s="30" t="n">
        <x:f>ROUND(E294-F294,1)</x:f>
        <x:v>36.6</x:v>
      </x:c>
      <x:c r="J294" s="29" t="str">
        <x:v>IF2412</x:v>
      </x:c>
    </x:row>
    <x:row r="295">
      <x:c r="A295" s="23" t="n">
        <x:v>16</x:v>
      </x:c>
      <x:c r="B295" s="23" t="str">
        <x:v>周一</x:v>
      </x:c>
      <x:c r="C295" s="23" t="str">
        <x:v>12月23日</x:v>
      </x:c>
      <x:c r="D295" s="24" t="n">
        <x:v>3939.8</x:v>
      </x:c>
      <x:c r="E295" s="24" t="n">
        <x:v>3972</x:v>
      </x:c>
      <x:c r="F295" s="24" t="n">
        <x:v>3931.4</x:v>
      </x:c>
      <x:c r="G295" s="24" t="n">
        <x:v>3937.4</x:v>
      </x:c>
      <x:c r="H295" s="25" t="n">
        <x:v>0.0006099110546378128</x:v>
      </x:c>
      <x:c r="I295" s="24" t="n">
        <x:f>ROUND(E295-F295,1)</x:f>
        <x:v>40.6</x:v>
      </x:c>
      <x:c r="J295" s="23" t="str">
        <x:v>IF2503</x:v>
      </x:c>
    </x:row>
    <x:row r="296">
      <x:c r="A296" s="23" t="n">
        <x:v>17</x:v>
      </x:c>
      <x:c r="B296" s="23" t="str">
        <x:v>周二</x:v>
      </x:c>
      <x:c r="C296" s="23" t="str">
        <x:v>12月24日</x:v>
      </x:c>
      <x:c r="D296" s="24" t="n">
        <x:v>3941.2</x:v>
      </x:c>
      <x:c r="E296" s="24" t="n">
        <x:v>3998.4</x:v>
      </x:c>
      <x:c r="F296" s="24" t="n">
        <x:v>3938.2</x:v>
      </x:c>
      <x:c r="G296" s="24" t="n">
        <x:v>3988.8</x:v>
      </x:c>
      <x:c r="H296" s="25" t="n">
        <x:v>0.013054299791740664</x:v>
      </x:c>
      <x:c r="I296" s="24" t="n">
        <x:f>ROUND(E296-F296,1)</x:f>
        <x:v>60.2</x:v>
      </x:c>
      <x:c r="J296" s="23" t="str">
        <x:v>IF2503</x:v>
      </x:c>
    </x:row>
    <x:row r="297">
      <x:c r="A297" s="23" t="n">
        <x:v>18</x:v>
      </x:c>
      <x:c r="B297" s="23" t="str">
        <x:v>周三</x:v>
      </x:c>
      <x:c r="C297" s="23" t="str">
        <x:v>12月25日</x:v>
      </x:c>
      <x:c r="D297" s="24" t="n">
        <x:v>3992</x:v>
      </x:c>
      <x:c r="E297" s="24" t="n">
        <x:v>4009</x:v>
      </x:c>
      <x:c r="F297" s="24" t="n">
        <x:v>3968</x:v>
      </x:c>
      <x:c r="G297" s="24" t="n">
        <x:v>3986.8</x:v>
      </x:c>
      <x:c r="H297" s="25" t="n">
        <x:v>-0.0005014039310068386</x:v>
      </x:c>
      <x:c r="I297" s="24" t="n">
        <x:f>ROUND(E297-F297,1)</x:f>
        <x:v>41</x:v>
      </x:c>
      <x:c r="J297" s="23" t="str">
        <x:v>IF2503</x:v>
      </x:c>
    </x:row>
    <x:row r="298">
      <x:c r="A298" s="23" t="n">
        <x:v>19</x:v>
      </x:c>
      <x:c r="B298" s="23" t="str">
        <x:v>周四</x:v>
      </x:c>
      <x:c r="C298" s="23" t="str">
        <x:v>12月26日</x:v>
      </x:c>
      <x:c r="D298" s="24" t="n">
        <x:v>3984.8</x:v>
      </x:c>
      <x:c r="E298" s="24" t="n">
        <x:v>3999.6</x:v>
      </x:c>
      <x:c r="F298" s="24" t="n">
        <x:v>3972.2</x:v>
      </x:c>
      <x:c r="G298" s="24" t="n">
        <x:v>3990.4</x:v>
      </x:c>
      <x:c r="H298" s="25" t="n">
        <x:v>0.0009029798334503347</x:v>
      </x:c>
      <x:c r="I298" s="24" t="n">
        <x:f>ROUND(E298-F298,1)</x:f>
        <x:v>27.4</x:v>
      </x:c>
      <x:c r="J298" s="23" t="str">
        <x:v>IF2503</x:v>
      </x:c>
    </x:row>
    <x:row r="299">
      <x:c r="A299" s="23" t="n">
        <x:v>20</x:v>
      </x:c>
      <x:c r="B299" s="23" t="str">
        <x:v>周五</x:v>
      </x:c>
      <x:c r="C299" s="23" t="str">
        <x:v>12月27日</x:v>
      </x:c>
      <x:c r="D299" s="24" t="n">
        <x:v>3994</x:v>
      </x:c>
      <x:c r="E299" s="24" t="n">
        <x:v>4021.2</x:v>
      </x:c>
      <x:c r="F299" s="24" t="n">
        <x:v>3980</x:v>
      </x:c>
      <x:c r="G299" s="24" t="n">
        <x:v>3987</x:v>
      </x:c>
      <x:c r="H299" s="25" t="n">
        <x:v>-0.0008520449077786818</x:v>
      </x:c>
      <x:c r="I299" s="24" t="n">
        <x:f>ROUND(E299-F299,1)</x:f>
        <x:v>41.2</x:v>
      </x:c>
      <x:c r="J299" s="23" t="str">
        <x:v>IF2503</x:v>
      </x:c>
    </x:row>
    <x:row r="300">
      <x:c r="A300" s="23" t="n">
        <x:v>21</x:v>
      </x:c>
      <x:c r="B300" s="23" t="str">
        <x:v>周一</x:v>
      </x:c>
      <x:c r="C300" s="23" t="str">
        <x:v>12月30日</x:v>
      </x:c>
      <x:c r="D300" s="24" t="n">
        <x:v>3987.6</x:v>
      </x:c>
      <x:c r="E300" s="24" t="n">
        <x:v>4014.8</x:v>
      </x:c>
      <x:c r="F300" s="24" t="n">
        <x:v>3986.6</x:v>
      </x:c>
      <x:c r="G300" s="24" t="n">
        <x:v>4003.4</x:v>
      </x:c>
      <x:c r="H300" s="25" t="n">
        <x:v>0.0041133684474543575</x:v>
      </x:c>
      <x:c r="I300" s="24" t="n">
        <x:f>ROUND(E300-F300,1)</x:f>
        <x:v>28.2</x:v>
      </x:c>
      <x:c r="J300" s="23" t="str">
        <x:v>IF2503</x:v>
      </x:c>
    </x:row>
    <x:row r="301">
      <x:c r="A301" s="23" t="n">
        <x:v>22</x:v>
      </x:c>
      <x:c r="B301" s="23" t="str">
        <x:v>周二</x:v>
      </x:c>
      <x:c r="C301" s="23" t="str">
        <x:v>12月31日</x:v>
      </x:c>
      <x:c r="D301" s="24" t="n">
        <x:v>4005.8</x:v>
      </x:c>
      <x:c r="E301" s="24" t="n">
        <x:v>4014.2</x:v>
      </x:c>
      <x:c r="F301" s="24" t="n">
        <x:v>3916.8</x:v>
      </x:c>
      <x:c r="G301" s="24" t="n">
        <x:v>3921</x:v>
      </x:c>
      <x:c r="H301" s="25" t="n">
        <x:v>-0.020582504870859775</x:v>
      </x:c>
      <x:c r="I301" s="33" t="n">
        <x:f>ROUND(E301-F301,1)</x:f>
        <x:v>97.4</x:v>
      </x:c>
      <x:c r="J301" s="23" t="str">
        <x:v>IF2503</x:v>
      </x:c>
    </x:row>
    <x:row r="302">
      <x:c r="A302" s="36" t="str">
        <x:v>合计</x:v>
      </x:c>
      <x:c r="B302" s="35" t="n">
        <x:v>22</x:v>
      </x:c>
      <x:c r="C302" s="35"/>
      <x:c r="D302" s="35"/>
      <x:c r="E302" s="35"/>
      <x:c r="F302" s="35"/>
      <x:c r="G302" s="35"/>
      <x:c r="H302" s="35"/>
      <x:c r="I302" s="37" t="n">
        <x:f>ROUND(SUM(I280:I301),1)</x:f>
        <x:v>1178.4</x:v>
      </x:c>
      <x:c r="J302" s="35"/>
    </x:row>
    <x:row r="303">
      <x:c r="A303" s="36" t="str">
        <x:v>均值</x:v>
      </x:c>
      <x:c r="B303" s="35"/>
      <x:c r="C303" s="35"/>
      <x:c r="D303" s="35"/>
      <x:c r="E303" s="35"/>
      <x:c r="F303" s="35"/>
      <x:c r="G303" s="35"/>
      <x:c r="H303" s="35"/>
      <x:c r="I303" s="39" t="n">
        <x:f>ROUND(IFERROR(AVERAGE(I280:I301),0),1)</x:f>
        <x:v>53.6</x:v>
      </x:c>
      <x:c r="J303" s="35"/>
    </x:row>
  </x:sheetData>
  <x:mergeCells>
    <x:mergeCell ref="A1:J1"/>
    <x:mergeCell ref="A3:J3"/>
    <x:mergeCell ref="A30:J30"/>
    <x:mergeCell ref="A50:J50"/>
    <x:mergeCell ref="A76:J76"/>
    <x:mergeCell ref="A101:J101"/>
    <x:mergeCell ref="A126:J126"/>
    <x:mergeCell ref="A150:J150"/>
    <x:mergeCell ref="A178:J178"/>
    <x:mergeCell ref="A205:J205"/>
    <x:mergeCell ref="A229:J229"/>
    <x:mergeCell ref="A252:J252"/>
    <x:mergeCell ref="A278:J27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</x:cols>
  <x:sheetData>
    <x:row r="1" ht="38" customHeight="1">
      <x:c r="A1" s="15" t="str">
        <x:v>2024年统计 - IH主力</x:v>
      </x:c>
    </x:row>
    <x:row r="3">
      <x:c r="A3" s="17" t="str">
        <x:v>1月</x:v>
      </x:c>
      <x:c r="B3" s="17"/>
      <x:c r="C3" s="17"/>
      <x:c r="D3" s="17"/>
      <x:c r="E3" s="17"/>
      <x:c r="F3" s="17"/>
      <x:c r="G3" s="17"/>
      <x:c r="H3" s="17"/>
      <x:c r="I3" s="17"/>
      <x:c r="J3" s="17"/>
    </x:row>
    <x:row r="4">
      <x:c r="A4" s="20" t="str">
        <x:v>序号</x:v>
      </x:c>
      <x:c r="B4" s="20" t="str">
        <x:v>星期</x:v>
      </x:c>
      <x:c r="C4" s="20" t="str">
        <x:v>日期</x:v>
      </x:c>
      <x:c r="D4" s="20" t="str">
        <x:v>开盘</x:v>
      </x:c>
      <x:c r="E4" s="20" t="str">
        <x:v>高点</x:v>
      </x:c>
      <x:c r="F4" s="20" t="str">
        <x:v>低点</x:v>
      </x:c>
      <x:c r="G4" s="20" t="str">
        <x:v>收盘</x:v>
      </x:c>
      <x:c r="H4" s="20" t="str">
        <x:v>涨幅</x:v>
      </x:c>
      <x:c r="I4" s="20" t="str">
        <x:v>振幅</x:v>
      </x:c>
      <x:c r="J4" s="20" t="str">
        <x:v>标的</x:v>
      </x:c>
    </x:row>
    <x:row r="5">
      <x:c r="A5" s="23" t="n">
        <x:v>1</x:v>
      </x:c>
      <x:c r="B5" s="23" t="str">
        <x:v>周二</x:v>
      </x:c>
      <x:c r="C5" s="23" t="str">
        <x:v>1月2日</x:v>
      </x:c>
      <x:c r="D5" s="24" t="n">
        <x:v>2334</x:v>
      </x:c>
      <x:c r="E5" s="24" t="n">
        <x:v>2336</x:v>
      </x:c>
      <x:c r="F5" s="24" t="n">
        <x:v>2304.4</x:v>
      </x:c>
      <x:c r="G5" s="24" t="n">
        <x:v>2304.4</x:v>
      </x:c>
      <x:c r="H5" s="25" t="n">
        <x:v>-0.014011862804091724</x:v>
      </x:c>
      <x:c r="I5" s="24" t="n">
        <x:f>ROUND(E5-F5,1)</x:f>
        <x:v>31.6</x:v>
      </x:c>
      <x:c r="J5" s="23" t="str">
        <x:v>IH2403</x:v>
      </x:c>
    </x:row>
    <x:row r="6">
      <x:c r="A6" s="23" t="n">
        <x:v>2</x:v>
      </x:c>
      <x:c r="B6" s="23" t="str">
        <x:v>周三</x:v>
      </x:c>
      <x:c r="C6" s="23" t="str">
        <x:v>1月3日</x:v>
      </x:c>
      <x:c r="D6" s="24" t="n">
        <x:v>2302</x:v>
      </x:c>
      <x:c r="E6" s="24" t="n">
        <x:v>2316.2</x:v>
      </x:c>
      <x:c r="F6" s="24" t="n">
        <x:v>2298.4</x:v>
      </x:c>
      <x:c r="G6" s="24" t="n">
        <x:v>2309.4</x:v>
      </x:c>
      <x:c r="H6" s="25" t="n">
        <x:v>0.0026155187445509043</x:v>
      </x:c>
      <x:c r="I6" s="24" t="n">
        <x:f>ROUND(E6-F6,1)</x:f>
        <x:v>17.8</x:v>
      </x:c>
      <x:c r="J6" s="23" t="str">
        <x:v>IH2403</x:v>
      </x:c>
    </x:row>
    <x:row r="7">
      <x:c r="A7" s="23" t="n">
        <x:v>3</x:v>
      </x:c>
      <x:c r="B7" s="23" t="str">
        <x:v>周四</x:v>
      </x:c>
      <x:c r="C7" s="23" t="str">
        <x:v>1月4日</x:v>
      </x:c>
      <x:c r="D7" s="24" t="n">
        <x:v>2307.6</x:v>
      </x:c>
      <x:c r="E7" s="24" t="n">
        <x:v>2312.2</x:v>
      </x:c>
      <x:c r="F7" s="24" t="n">
        <x:v>2271.6</x:v>
      </x:c>
      <x:c r="G7" s="24" t="n">
        <x:v>2290</x:v>
      </x:c>
      <x:c r="H7" s="25" t="n">
        <x:v>-0.007739130434782693</x:v>
      </x:c>
      <x:c r="I7" s="24" t="n">
        <x:f>ROUND(E7-F7,1)</x:f>
        <x:v>40.6</x:v>
      </x:c>
      <x:c r="J7" s="23" t="str">
        <x:v>IH2403</x:v>
      </x:c>
    </x:row>
    <x:row r="8">
      <x:c r="A8" s="23" t="n">
        <x:v>4</x:v>
      </x:c>
      <x:c r="B8" s="23" t="str">
        <x:v>周五</x:v>
      </x:c>
      <x:c r="C8" s="23" t="str">
        <x:v>1月5日</x:v>
      </x:c>
      <x:c r="D8" s="24" t="n">
        <x:v>2286</x:v>
      </x:c>
      <x:c r="E8" s="24" t="n">
        <x:v>2308</x:v>
      </x:c>
      <x:c r="F8" s="24" t="n">
        <x:v>2265</x:v>
      </x:c>
      <x:c r="G8" s="24" t="n">
        <x:v>2278</x:v>
      </x:c>
      <x:c r="H8" s="25" t="n">
        <x:v>-0.005170449566207935</x:v>
      </x:c>
      <x:c r="I8" s="24" t="n">
        <x:f>ROUND(E8-F8,1)</x:f>
        <x:v>43</x:v>
      </x:c>
      <x:c r="J8" s="23" t="str">
        <x:v>IH2403</x:v>
      </x:c>
    </x:row>
    <x:row r="9">
      <x:c r="A9" s="23" t="n">
        <x:v>5</x:v>
      </x:c>
      <x:c r="B9" s="23" t="str">
        <x:v>周一</x:v>
      </x:c>
      <x:c r="C9" s="23" t="str">
        <x:v>1月8日</x:v>
      </x:c>
      <x:c r="D9" s="24" t="n">
        <x:v>2276</x:v>
      </x:c>
      <x:c r="E9" s="24" t="n">
        <x:v>2287.6</x:v>
      </x:c>
      <x:c r="F9" s="24" t="n">
        <x:v>2245.2</x:v>
      </x:c>
      <x:c r="G9" s="24" t="n">
        <x:v>2246</x:v>
      </x:c>
      <x:c r="H9" s="25" t="n">
        <x:v>-0.013037350246652535</x:v>
      </x:c>
      <x:c r="I9" s="24" t="n">
        <x:f>ROUND(E9-F9,1)</x:f>
        <x:v>42.4</x:v>
      </x:c>
      <x:c r="J9" s="23" t="str">
        <x:v>IH2403</x:v>
      </x:c>
    </x:row>
    <x:row r="10">
      <x:c r="A10" s="23" t="n">
        <x:v>6</x:v>
      </x:c>
      <x:c r="B10" s="23" t="str">
        <x:v>周二</x:v>
      </x:c>
      <x:c r="C10" s="23" t="str">
        <x:v>1月9日</x:v>
      </x:c>
      <x:c r="D10" s="24" t="n">
        <x:v>2251</x:v>
      </x:c>
      <x:c r="E10" s="24" t="n">
        <x:v>2261.6</x:v>
      </x:c>
      <x:c r="F10" s="24" t="n">
        <x:v>2241.6</x:v>
      </x:c>
      <x:c r="G10" s="24" t="n">
        <x:v>2251.2</x:v>
      </x:c>
      <x:c r="H10" s="25" t="n">
        <x:v>0.002677615137451017</x:v>
      </x:c>
      <x:c r="I10" s="24" t="n">
        <x:f>ROUND(E10-F10,1)</x:f>
        <x:v>20</x:v>
      </x:c>
      <x:c r="J10" s="23" t="str">
        <x:v>IH2403</x:v>
      </x:c>
    </x:row>
    <x:row r="11">
      <x:c r="A11" s="23" t="n">
        <x:v>7</x:v>
      </x:c>
      <x:c r="B11" s="23" t="str">
        <x:v>周三</x:v>
      </x:c>
      <x:c r="C11" s="23" t="str">
        <x:v>1月10日</x:v>
      </x:c>
      <x:c r="D11" s="24" t="n">
        <x:v>2245</x:v>
      </x:c>
      <x:c r="E11" s="24" t="n">
        <x:v>2265.6</x:v>
      </x:c>
      <x:c r="F11" s="24" t="n">
        <x:v>2237.2</x:v>
      </x:c>
      <x:c r="G11" s="24" t="n">
        <x:v>2239.2</x:v>
      </x:c>
      <x:c r="H11" s="25" t="n">
        <x:v>-0.00507388285561694</x:v>
      </x:c>
      <x:c r="I11" s="24" t="n">
        <x:f>ROUND(E11-F11,1)</x:f>
        <x:v>28.4</x:v>
      </x:c>
      <x:c r="J11" s="23" t="str">
        <x:v>IH2403</x:v>
      </x:c>
    </x:row>
    <x:row r="12">
      <x:c r="A12" s="23" t="n">
        <x:v>8</x:v>
      </x:c>
      <x:c r="B12" s="23" t="str">
        <x:v>周四</x:v>
      </x:c>
      <x:c r="C12" s="23" t="str">
        <x:v>1月11日</x:v>
      </x:c>
      <x:c r="D12" s="24" t="n">
        <x:v>2238</x:v>
      </x:c>
      <x:c r="E12" s="24" t="n">
        <x:v>2262.8</x:v>
      </x:c>
      <x:c r="F12" s="24" t="n">
        <x:v>2233.8</x:v>
      </x:c>
      <x:c r="G12" s="24" t="n">
        <x:v>2251.6</x:v>
      </x:c>
      <x:c r="H12" s="25" t="n">
        <x:v>0.0033998389549967367</x:v>
      </x:c>
      <x:c r="I12" s="24" t="n">
        <x:f>ROUND(E12-F12,1)</x:f>
        <x:v>29</x:v>
      </x:c>
      <x:c r="J12" s="23" t="str">
        <x:v>IH2403</x:v>
      </x:c>
    </x:row>
    <x:row r="13">
      <x:c r="A13" s="23" t="n">
        <x:v>9</x:v>
      </x:c>
      <x:c r="B13" s="23" t="str">
        <x:v>周五</x:v>
      </x:c>
      <x:c r="C13" s="23" t="str">
        <x:v>1月12日</x:v>
      </x:c>
      <x:c r="D13" s="24" t="n">
        <x:v>2245</x:v>
      </x:c>
      <x:c r="E13" s="24" t="n">
        <x:v>2261.8</x:v>
      </x:c>
      <x:c r="F13" s="24" t="n">
        <x:v>2238.4</x:v>
      </x:c>
      <x:c r="G13" s="24" t="n">
        <x:v>2246</x:v>
      </x:c>
      <x:c r="H13" s="25" t="n">
        <x:v>-0.0016941596076683885</x:v>
      </x:c>
      <x:c r="I13" s="24" t="n">
        <x:f>ROUND(E13-F13,1)</x:f>
        <x:v>23.4</x:v>
      </x:c>
      <x:c r="J13" s="23" t="str">
        <x:v>IH2403</x:v>
      </x:c>
    </x:row>
    <x:row r="14">
      <x:c r="A14" s="23" t="n">
        <x:v>10</x:v>
      </x:c>
      <x:c r="B14" s="23" t="str">
        <x:v>周一</x:v>
      </x:c>
      <x:c r="C14" s="23" t="str">
        <x:v>1月15日</x:v>
      </x:c>
      <x:c r="D14" s="24" t="n">
        <x:v>2235</x:v>
      </x:c>
      <x:c r="E14" s="24" t="n">
        <x:v>2265.4</x:v>
      </x:c>
      <x:c r="F14" s="24" t="n">
        <x:v>2231.2</x:v>
      </x:c>
      <x:c r="G14" s="24" t="n">
        <x:v>2242.8</x:v>
      </x:c>
      <x:c r="H14" s="25" t="n">
        <x:v>0</x:v>
      </x:c>
      <x:c r="I14" s="24" t="n">
        <x:f>ROUND(E14-F14,1)</x:f>
        <x:v>34.2</x:v>
      </x:c>
      <x:c r="J14" s="23" t="str">
        <x:v>IH2403</x:v>
      </x:c>
    </x:row>
    <x:row r="15">
      <x:c r="A15" s="23" t="n">
        <x:v>11</x:v>
      </x:c>
      <x:c r="B15" s="23" t="str">
        <x:v>周二</x:v>
      </x:c>
      <x:c r="C15" s="23" t="str">
        <x:v>1月16日</x:v>
      </x:c>
      <x:c r="D15" s="24" t="n">
        <x:v>2235.4</x:v>
      </x:c>
      <x:c r="E15" s="24" t="n">
        <x:v>2257.8</x:v>
      </x:c>
      <x:c r="F15" s="24" t="n">
        <x:v>2221.2</x:v>
      </x:c>
      <x:c r="G15" s="24" t="n">
        <x:v>2255.2</x:v>
      </x:c>
      <x:c r="H15" s="25" t="n">
        <x:v>0.005448374419435575</x:v>
      </x:c>
      <x:c r="I15" s="24" t="n">
        <x:f>ROUND(E15-F15,1)</x:f>
        <x:v>36.6</x:v>
      </x:c>
      <x:c r="J15" s="23" t="str">
        <x:v>IH2403</x:v>
      </x:c>
    </x:row>
    <x:row r="16">
      <x:c r="A16" s="23" t="n">
        <x:v>12</x:v>
      </x:c>
      <x:c r="B16" s="23" t="str">
        <x:v>周三</x:v>
      </x:c>
      <x:c r="C16" s="23" t="str">
        <x:v>1月17日</x:v>
      </x:c>
      <x:c r="D16" s="24" t="n">
        <x:v>2252.4</x:v>
      </x:c>
      <x:c r="E16" s="24" t="n">
        <x:v>2252.4</x:v>
      </x:c>
      <x:c r="F16" s="24" t="n">
        <x:v>2193.4</x:v>
      </x:c>
      <x:c r="G16" s="24" t="n">
        <x:v>2195.8</x:v>
      </x:c>
      <x:c r="H16" s="25" t="n">
        <x:v>-0.022741405347783683</x:v>
      </x:c>
      <x:c r="I16" s="24" t="n">
        <x:f>ROUND(E16-F16,1)</x:f>
        <x:v>59</x:v>
      </x:c>
      <x:c r="J16" s="23" t="str">
        <x:v>IH2403</x:v>
      </x:c>
    </x:row>
    <x:row r="17">
      <x:c r="A17" s="23" t="n">
        <x:v>13</x:v>
      </x:c>
      <x:c r="B17" s="23" t="str">
        <x:v>周四</x:v>
      </x:c>
      <x:c r="C17" s="23" t="str">
        <x:v>1月18日</x:v>
      </x:c>
      <x:c r="D17" s="24" t="n">
        <x:v>2191</x:v>
      </x:c>
      <x:c r="E17" s="24" t="n">
        <x:v>2222</x:v>
      </x:c>
      <x:c r="F17" s="24" t="n">
        <x:v>2161.2</x:v>
      </x:c>
      <x:c r="G17" s="24" t="n">
        <x:v>2217.2</x:v>
      </x:c>
      <x:c r="H17" s="25" t="n">
        <x:v>0.011726206708481124</x:v>
      </x:c>
      <x:c r="I17" s="33" t="n">
        <x:f>ROUND(E17-F17,1)</x:f>
        <x:v>60.8</x:v>
      </x:c>
      <x:c r="J17" s="23" t="str">
        <x:v>IH2403</x:v>
      </x:c>
    </x:row>
    <x:row r="18">
      <x:c r="A18" s="29" t="n">
        <x:v>14</x:v>
      </x:c>
      <x:c r="B18" s="29" t="str">
        <x:v>周五</x:v>
      </x:c>
      <x:c r="C18" s="29" t="str">
        <x:v>1月19日</x:v>
      </x:c>
      <x:c r="D18" s="30" t="n">
        <x:v>2213.4</x:v>
      </x:c>
      <x:c r="E18" s="30" t="n">
        <x:v>2237</x:v>
      </x:c>
      <x:c r="F18" s="30" t="n">
        <x:v>2207.2</x:v>
      </x:c>
      <x:c r="G18" s="30" t="n">
        <x:v>2234</x:v>
      </x:c>
      <x:c r="H18" s="31" t="n">
        <x:v>0.005660377358490454</x:v>
      </x:c>
      <x:c r="I18" s="30" t="n">
        <x:f>ROUND(E18-F18,1)</x:f>
        <x:v>29.8</x:v>
      </x:c>
      <x:c r="J18" s="29" t="str">
        <x:v>IH2403</x:v>
      </x:c>
    </x:row>
    <x:row r="19">
      <x:c r="A19" s="23" t="n">
        <x:v>15</x:v>
      </x:c>
      <x:c r="B19" s="23" t="str">
        <x:v>周一</x:v>
      </x:c>
      <x:c r="C19" s="23" t="str">
        <x:v>1月22日</x:v>
      </x:c>
      <x:c r="D19" s="24" t="n">
        <x:v>2232.6</x:v>
      </x:c>
      <x:c r="E19" s="24" t="n">
        <x:v>2252.6</x:v>
      </x:c>
      <x:c r="F19" s="24" t="n">
        <x:v>2177</x:v>
      </x:c>
      <x:c r="G19" s="24" t="n">
        <x:v>2194.4</x:v>
      </x:c>
      <x:c r="H19" s="25" t="n">
        <x:v>-0.017064236576431635</x:v>
      </x:c>
      <x:c r="I19" s="33" t="n">
        <x:f>ROUND(E19-F19,1)</x:f>
        <x:v>75.6</x:v>
      </x:c>
      <x:c r="J19" s="23" t="str">
        <x:v>IH2403</x:v>
      </x:c>
    </x:row>
    <x:row r="20">
      <x:c r="A20" s="23" t="n">
        <x:v>16</x:v>
      </x:c>
      <x:c r="B20" s="23" t="str">
        <x:v>周二</x:v>
      </x:c>
      <x:c r="C20" s="23" t="str">
        <x:v>1月23日</x:v>
      </x:c>
      <x:c r="D20" s="24" t="n">
        <x:v>2198.6</x:v>
      </x:c>
      <x:c r="E20" s="24" t="n">
        <x:v>2235.8</x:v>
      </x:c>
      <x:c r="F20" s="24" t="n">
        <x:v>2191.4</x:v>
      </x:c>
      <x:c r="G20" s="24" t="n">
        <x:v>2217.6</x:v>
      </x:c>
      <x:c r="H20" s="25" t="n">
        <x:v>0.008453008543900964</x:v>
      </x:c>
      <x:c r="I20" s="24" t="n">
        <x:f>ROUND(E20-F20,1)</x:f>
        <x:v>44.4</x:v>
      </x:c>
      <x:c r="J20" s="23" t="str">
        <x:v>IH2403</x:v>
      </x:c>
    </x:row>
    <x:row r="21">
      <x:c r="A21" s="23" t="n">
        <x:v>17</x:v>
      </x:c>
      <x:c r="B21" s="23" t="str">
        <x:v>周三</x:v>
      </x:c>
      <x:c r="C21" s="23" t="str">
        <x:v>1月24日</x:v>
      </x:c>
      <x:c r="D21" s="24" t="n">
        <x:v>2235</x:v>
      </x:c>
      <x:c r="E21" s="24" t="n">
        <x:v>2269</x:v>
      </x:c>
      <x:c r="F21" s="24" t="n">
        <x:v>2208</x:v>
      </x:c>
      <x:c r="G21" s="24" t="n">
        <x:v>2262</x:v>
      </x:c>
      <x:c r="H21" s="25" t="n">
        <x:v>0.017485353762956457</x:v>
      </x:c>
      <x:c r="I21" s="33" t="n">
        <x:f>ROUND(E21-F21,1)</x:f>
        <x:v>61</x:v>
      </x:c>
      <x:c r="J21" s="23" t="str">
        <x:v>IH2403</x:v>
      </x:c>
    </x:row>
    <x:row r="22">
      <x:c r="A22" s="23" t="n">
        <x:v>18</x:v>
      </x:c>
      <x:c r="B22" s="23" t="str">
        <x:v>周四</x:v>
      </x:c>
      <x:c r="C22" s="23" t="str">
        <x:v>1月25日</x:v>
      </x:c>
      <x:c r="D22" s="24" t="n">
        <x:v>2263</x:v>
      </x:c>
      <x:c r="E22" s="24" t="n">
        <x:v>2323.4</x:v>
      </x:c>
      <x:c r="F22" s="24" t="n">
        <x:v>2255</x:v>
      </x:c>
      <x:c r="G22" s="24" t="n">
        <x:v>2317.8</x:v>
      </x:c>
      <x:c r="H22" s="25" t="n">
        <x:v>0.02524581450969965</x:v>
      </x:c>
      <x:c r="I22" s="33" t="n">
        <x:f>ROUND(E22-F22,1)</x:f>
        <x:v>68.4</x:v>
      </x:c>
      <x:c r="J22" s="23" t="str">
        <x:v>IH2403</x:v>
      </x:c>
    </x:row>
    <x:row r="23">
      <x:c r="A23" s="23" t="n">
        <x:v>19</x:v>
      </x:c>
      <x:c r="B23" s="23" t="str">
        <x:v>周五</x:v>
      </x:c>
      <x:c r="C23" s="23" t="str">
        <x:v>1月26日</x:v>
      </x:c>
      <x:c r="D23" s="24" t="n">
        <x:v>2309</x:v>
      </x:c>
      <x:c r="E23" s="24" t="n">
        <x:v>2329</x:v>
      </x:c>
      <x:c r="F23" s="24" t="n">
        <x:v>2303.4</x:v>
      </x:c>
      <x:c r="G23" s="24" t="n">
        <x:v>2319.6</x:v>
      </x:c>
      <x:c r="H23" s="25" t="n">
        <x:v>0.00043200276481769606</x:v>
      </x:c>
      <x:c r="I23" s="24" t="n">
        <x:f>ROUND(E23-F23,1)</x:f>
        <x:v>25.6</x:v>
      </x:c>
      <x:c r="J23" s="23" t="str">
        <x:v>IH2403</x:v>
      </x:c>
    </x:row>
    <x:row r="24">
      <x:c r="A24" s="23" t="n">
        <x:v>20</x:v>
      </x:c>
      <x:c r="B24" s="23" t="str">
        <x:v>周一</x:v>
      </x:c>
      <x:c r="C24" s="23" t="str">
        <x:v>1月29日</x:v>
      </x:c>
      <x:c r="D24" s="24" t="n">
        <x:v>2324.2</x:v>
      </x:c>
      <x:c r="E24" s="24" t="n">
        <x:v>2336.4</x:v>
      </x:c>
      <x:c r="F24" s="24" t="n">
        <x:v>2305</x:v>
      </x:c>
      <x:c r="G24" s="24" t="n">
        <x:v>2305</x:v>
      </x:c>
      <x:c r="H24" s="25" t="n">
        <x:v>-0.004663615165385715</x:v>
      </x:c>
      <x:c r="I24" s="24" t="n">
        <x:f>ROUND(E24-F24,1)</x:f>
        <x:v>31.4</x:v>
      </x:c>
      <x:c r="J24" s="23" t="str">
        <x:v>IH2403</x:v>
      </x:c>
    </x:row>
    <x:row r="25">
      <x:c r="A25" s="23" t="n">
        <x:v>21</x:v>
      </x:c>
      <x:c r="B25" s="23" t="str">
        <x:v>周二</x:v>
      </x:c>
      <x:c r="C25" s="23" t="str">
        <x:v>1月30日</x:v>
      </x:c>
      <x:c r="D25" s="24" t="n">
        <x:v>2295.6</x:v>
      </x:c>
      <x:c r="E25" s="24" t="n">
        <x:v>2307</x:v>
      </x:c>
      <x:c r="F25" s="24" t="n">
        <x:v>2272.2</x:v>
      </x:c>
      <x:c r="G25" s="24" t="n">
        <x:v>2272.4</x:v>
      </x:c>
      <x:c r="H25" s="25" t="n">
        <x:v>-0.014577006507592194</x:v>
      </x:c>
      <x:c r="I25" s="24" t="n">
        <x:f>ROUND(E25-F25,1)</x:f>
        <x:v>34.8</x:v>
      </x:c>
      <x:c r="J25" s="23" t="str">
        <x:v>IH2403</x:v>
      </x:c>
    </x:row>
    <x:row r="26">
      <x:c r="A26" s="23" t="n">
        <x:v>22</x:v>
      </x:c>
      <x:c r="B26" s="23" t="str">
        <x:v>周三</x:v>
      </x:c>
      <x:c r="C26" s="23" t="str">
        <x:v>1月31日</x:v>
      </x:c>
      <x:c r="D26" s="24" t="n">
        <x:v>2269.6</x:v>
      </x:c>
      <x:c r="E26" s="24" t="n">
        <x:v>2279.4</x:v>
      </x:c>
      <x:c r="F26" s="24" t="n">
        <x:v>2242.4</x:v>
      </x:c>
      <x:c r="G26" s="24" t="n">
        <x:v>2254.2</x:v>
      </x:c>
      <x:c r="H26" s="25" t="n">
        <x:v>-0.00695606234040691</x:v>
      </x:c>
      <x:c r="I26" s="24" t="n">
        <x:f>ROUND(E26-F26,1)</x:f>
        <x:v>37</x:v>
      </x:c>
      <x:c r="J26" s="23" t="str">
        <x:v>IH2403</x:v>
      </x:c>
    </x:row>
    <x:row r="27">
      <x:c r="A27" s="36" t="str">
        <x:v>合计</x:v>
      </x:c>
      <x:c r="B27" s="35" t="n">
        <x:v>22</x:v>
      </x:c>
      <x:c r="C27" s="35"/>
      <x:c r="D27" s="35"/>
      <x:c r="E27" s="35"/>
      <x:c r="F27" s="35"/>
      <x:c r="G27" s="35"/>
      <x:c r="H27" s="35"/>
      <x:c r="I27" s="37" t="n">
        <x:f>ROUND(SUM(I5:I26),1)</x:f>
        <x:v>874.8</x:v>
      </x:c>
      <x:c r="J27" s="35"/>
    </x:row>
    <x:row r="28">
      <x:c r="A28" s="36" t="str">
        <x:v>均值</x:v>
      </x:c>
      <x:c r="B28" s="35"/>
      <x:c r="C28" s="35"/>
      <x:c r="D28" s="35"/>
      <x:c r="E28" s="35"/>
      <x:c r="F28" s="35"/>
      <x:c r="G28" s="35"/>
      <x:c r="H28" s="35"/>
      <x:c r="I28" s="39" t="n">
        <x:f>ROUND(IFERROR(AVERAGE(I5:I26),0),1)</x:f>
        <x:v>39.8</x:v>
      </x:c>
      <x:c r="J28" s="35"/>
    </x:row>
    <x:row r="30">
      <x:c r="A30" s="17" t="str">
        <x:v>2月</x:v>
      </x:c>
      <x:c r="B30" s="17"/>
      <x:c r="C30" s="17"/>
      <x:c r="D30" s="17"/>
      <x:c r="E30" s="17"/>
      <x:c r="F30" s="17"/>
      <x:c r="G30" s="17"/>
      <x:c r="H30" s="17"/>
      <x:c r="I30" s="17"/>
      <x:c r="J30" s="17"/>
    </x:row>
    <x:row r="31">
      <x:c r="A31" s="20" t="str">
        <x:v>序号</x:v>
      </x:c>
      <x:c r="B31" s="20" t="str">
        <x:v>星期</x:v>
      </x:c>
      <x:c r="C31" s="20" t="str">
        <x:v>日期</x:v>
      </x:c>
      <x:c r="D31" s="20" t="str">
        <x:v>开盘</x:v>
      </x:c>
      <x:c r="E31" s="20" t="str">
        <x:v>高点</x:v>
      </x:c>
      <x:c r="F31" s="20" t="str">
        <x:v>低点</x:v>
      </x:c>
      <x:c r="G31" s="20" t="str">
        <x:v>收盘</x:v>
      </x:c>
      <x:c r="H31" s="20" t="str">
        <x:v>涨幅</x:v>
      </x:c>
      <x:c r="I31" s="20" t="str">
        <x:v>振幅</x:v>
      </x:c>
      <x:c r="J31" s="20" t="str">
        <x:v>标的</x:v>
      </x:c>
    </x:row>
    <x:row r="32">
      <x:c r="A32" s="23" t="n">
        <x:v>1</x:v>
      </x:c>
      <x:c r="B32" s="23" t="str">
        <x:v>周四</x:v>
      </x:c>
      <x:c r="C32" s="23" t="str">
        <x:v>2月1日</x:v>
      </x:c>
      <x:c r="D32" s="24" t="n">
        <x:v>2248</x:v>
      </x:c>
      <x:c r="E32" s="24" t="n">
        <x:v>2271</x:v>
      </x:c>
      <x:c r="F32" s="24" t="n">
        <x:v>2236.6</x:v>
      </x:c>
      <x:c r="G32" s="24" t="n">
        <x:v>2241.4</x:v>
      </x:c>
      <x:c r="H32" s="25" t="n">
        <x:v>-0.004344741975527477</x:v>
      </x:c>
      <x:c r="I32" s="24" t="n">
        <x:f>ROUND(E32-F32,1)</x:f>
        <x:v>34.4</x:v>
      </x:c>
      <x:c r="J32" s="23" t="str">
        <x:v>IH2403</x:v>
      </x:c>
    </x:row>
    <x:row r="33">
      <x:c r="A33" s="23" t="n">
        <x:v>2</x:v>
      </x:c>
      <x:c r="B33" s="23" t="str">
        <x:v>周五</x:v>
      </x:c>
      <x:c r="C33" s="23" t="str">
        <x:v>2月2日</x:v>
      </x:c>
      <x:c r="D33" s="24" t="n">
        <x:v>2250</x:v>
      </x:c>
      <x:c r="E33" s="24" t="n">
        <x:v>2263</x:v>
      </x:c>
      <x:c r="F33" s="24" t="n">
        <x:v>2153</x:v>
      </x:c>
      <x:c r="G33" s="24" t="n">
        <x:v>2215.8</x:v>
      </x:c>
      <x:c r="H33" s="25" t="n">
        <x:v>-0.010597559889571673</x:v>
      </x:c>
      <x:c r="I33" s="33" t="n">
        <x:f>ROUND(E33-F33,1)</x:f>
        <x:v>110</x:v>
      </x:c>
      <x:c r="J33" s="23" t="str">
        <x:v>IH2403</x:v>
      </x:c>
    </x:row>
    <x:row r="34">
      <x:c r="A34" s="23" t="n">
        <x:v>3</x:v>
      </x:c>
      <x:c r="B34" s="23" t="str">
        <x:v>周一</x:v>
      </x:c>
      <x:c r="C34" s="23" t="str">
        <x:v>2月5日</x:v>
      </x:c>
      <x:c r="D34" s="24" t="n">
        <x:v>2207</x:v>
      </x:c>
      <x:c r="E34" s="24" t="n">
        <x:v>2252</x:v>
      </x:c>
      <x:c r="F34" s="24" t="n">
        <x:v>2181</x:v>
      </x:c>
      <x:c r="G34" s="24" t="n">
        <x:v>2221.8</x:v>
      </x:c>
      <x:c r="H34" s="25" t="n">
        <x:v>0.008100810081008047</x:v>
      </x:c>
      <x:c r="I34" s="33" t="n">
        <x:f>ROUND(E34-F34,1)</x:f>
        <x:v>71</x:v>
      </x:c>
      <x:c r="J34" s="23" t="str">
        <x:v>IH2403</x:v>
      </x:c>
    </x:row>
    <x:row r="35">
      <x:c r="A35" s="23" t="n">
        <x:v>4</x:v>
      </x:c>
      <x:c r="B35" s="23" t="str">
        <x:v>周二</x:v>
      </x:c>
      <x:c r="C35" s="23" t="str">
        <x:v>2月6日</x:v>
      </x:c>
      <x:c r="D35" s="24" t="n">
        <x:v>2218</x:v>
      </x:c>
      <x:c r="E35" s="24" t="n">
        <x:v>2315.8</x:v>
      </x:c>
      <x:c r="F35" s="24" t="n">
        <x:v>2218</x:v>
      </x:c>
      <x:c r="G35" s="24" t="n">
        <x:v>2292.6</x:v>
      </x:c>
      <x:c r="H35" s="25" t="n">
        <x:v>0.030803571428571486</x:v>
      </x:c>
      <x:c r="I35" s="33" t="n">
        <x:f>ROUND(E35-F35,1)</x:f>
        <x:v>97.8</x:v>
      </x:c>
      <x:c r="J35" s="23" t="str">
        <x:v>IH2403</x:v>
      </x:c>
    </x:row>
    <x:row r="36">
      <x:c r="A36" s="23" t="n">
        <x:v>5</x:v>
      </x:c>
      <x:c r="B36" s="23" t="str">
        <x:v>周三</x:v>
      </x:c>
      <x:c r="C36" s="23" t="str">
        <x:v>2月7日</x:v>
      </x:c>
      <x:c r="D36" s="24" t="n">
        <x:v>2290.2</x:v>
      </x:c>
      <x:c r="E36" s="24" t="n">
        <x:v>2330.6</x:v>
      </x:c>
      <x:c r="F36" s="24" t="n">
        <x:v>2290.2</x:v>
      </x:c>
      <x:c r="G36" s="24" t="n">
        <x:v>2329</x:v>
      </x:c>
      <x:c r="H36" s="25" t="n">
        <x:v>0.008661758336942382</x:v>
      </x:c>
      <x:c r="I36" s="24" t="n">
        <x:f>ROUND(E36-F36,1)</x:f>
        <x:v>40.4</x:v>
      </x:c>
      <x:c r="J36" s="23" t="str">
        <x:v>IH2403</x:v>
      </x:c>
    </x:row>
    <x:row r="37">
      <x:c r="A37" s="23" t="n">
        <x:v>6</x:v>
      </x:c>
      <x:c r="B37" s="23" t="str">
        <x:v>周四</x:v>
      </x:c>
      <x:c r="C37" s="23" t="str">
        <x:v>2月8日</x:v>
      </x:c>
      <x:c r="D37" s="24" t="n">
        <x:v>2341</x:v>
      </x:c>
      <x:c r="E37" s="24" t="n">
        <x:v>2352</x:v>
      </x:c>
      <x:c r="F37" s="24" t="n">
        <x:v>2325.8</x:v>
      </x:c>
      <x:c r="G37" s="24" t="n">
        <x:v>2336</x:v>
      </x:c>
      <x:c r="H37" s="25" t="n">
        <x:v>0.003005581794761625</x:v>
      </x:c>
      <x:c r="I37" s="24" t="n">
        <x:f>ROUND(E37-F37,1)</x:f>
        <x:v>26.2</x:v>
      </x:c>
      <x:c r="J37" s="23" t="str">
        <x:v>IH2403</x:v>
      </x:c>
    </x:row>
    <x:row r="38">
      <x:c r="A38" s="29" t="n">
        <x:v>7</x:v>
      </x:c>
      <x:c r="B38" s="29" t="str">
        <x:v>周一</x:v>
      </x:c>
      <x:c r="C38" s="29" t="str">
        <x:v>2月19日</x:v>
      </x:c>
      <x:c r="D38" s="30" t="n">
        <x:v>2360</x:v>
      </x:c>
      <x:c r="E38" s="30" t="n">
        <x:v>2362</x:v>
      </x:c>
      <x:c r="F38" s="30" t="n">
        <x:v>2336</x:v>
      </x:c>
      <x:c r="G38" s="30" t="n">
        <x:v>2347.4</x:v>
      </x:c>
      <x:c r="H38" s="31" t="n">
        <x:v>0.004880136986301409</x:v>
      </x:c>
      <x:c r="I38" s="30" t="n">
        <x:f>ROUND(E38-F38,1)</x:f>
        <x:v>26</x:v>
      </x:c>
      <x:c r="J38" s="29" t="str">
        <x:v>IH2403</x:v>
      </x:c>
    </x:row>
    <x:row r="39">
      <x:c r="A39" s="23" t="n">
        <x:v>8</x:v>
      </x:c>
      <x:c r="B39" s="23" t="str">
        <x:v>周二</x:v>
      </x:c>
      <x:c r="C39" s="23" t="str">
        <x:v>2月20日</x:v>
      </x:c>
      <x:c r="D39" s="24" t="n">
        <x:v>2349.6</x:v>
      </x:c>
      <x:c r="E39" s="24" t="n">
        <x:v>2358</x:v>
      </x:c>
      <x:c r="F39" s="24" t="n">
        <x:v>2339.6</x:v>
      </x:c>
      <x:c r="G39" s="24" t="n">
        <x:v>2347.6</x:v>
      </x:c>
      <x:c r="H39" s="25" t="n">
        <x:v>0.00008520064752493006</x:v>
      </x:c>
      <x:c r="I39" s="24" t="n">
        <x:f>ROUND(E39-F39,1)</x:f>
        <x:v>18.4</x:v>
      </x:c>
      <x:c r="J39" s="23" t="str">
        <x:v>IH2403</x:v>
      </x:c>
    </x:row>
    <x:row r="40">
      <x:c r="A40" s="23" t="n">
        <x:v>9</x:v>
      </x:c>
      <x:c r="B40" s="23" t="str">
        <x:v>周三</x:v>
      </x:c>
      <x:c r="C40" s="23" t="str">
        <x:v>2月21日</x:v>
      </x:c>
      <x:c r="D40" s="24" t="n">
        <x:v>2345.8</x:v>
      </x:c>
      <x:c r="E40" s="24" t="n">
        <x:v>2442.6</x:v>
      </x:c>
      <x:c r="F40" s="24" t="n">
        <x:v>2342.6</x:v>
      </x:c>
      <x:c r="G40" s="24" t="n">
        <x:v>2407.4</x:v>
      </x:c>
      <x:c r="H40" s="25" t="n">
        <x:v>0.025472823308911208</x:v>
      </x:c>
      <x:c r="I40" s="33" t="n">
        <x:f>ROUND(E40-F40,1)</x:f>
        <x:v>100</x:v>
      </x:c>
      <x:c r="J40" s="23" t="str">
        <x:v>IH2403</x:v>
      </x:c>
    </x:row>
    <x:row r="41">
      <x:c r="A41" s="23" t="n">
        <x:v>10</x:v>
      </x:c>
      <x:c r="B41" s="23" t="str">
        <x:v>周四</x:v>
      </x:c>
      <x:c r="C41" s="23" t="str">
        <x:v>2月22日</x:v>
      </x:c>
      <x:c r="D41" s="24" t="n">
        <x:v>2408</x:v>
      </x:c>
      <x:c r="E41" s="24" t="n">
        <x:v>2437.2</x:v>
      </x:c>
      <x:c r="F41" s="24" t="n">
        <x:v>2405</x:v>
      </x:c>
      <x:c r="G41" s="24" t="n">
        <x:v>2433.2</x:v>
      </x:c>
      <x:c r="H41" s="25" t="n">
        <x:v>0.010716956052172266</x:v>
      </x:c>
      <x:c r="I41" s="24" t="n">
        <x:f>ROUND(E41-F41,1)</x:f>
        <x:v>32.2</x:v>
      </x:c>
      <x:c r="J41" s="23" t="str">
        <x:v>IH2403</x:v>
      </x:c>
    </x:row>
    <x:row r="42">
      <x:c r="A42" s="23" t="n">
        <x:v>11</x:v>
      </x:c>
      <x:c r="B42" s="23" t="str">
        <x:v>周五</x:v>
      </x:c>
      <x:c r="C42" s="23" t="str">
        <x:v>2月23日</x:v>
      </x:c>
      <x:c r="D42" s="24" t="n">
        <x:v>2433</x:v>
      </x:c>
      <x:c r="E42" s="24" t="n">
        <x:v>2450.8</x:v>
      </x:c>
      <x:c r="F42" s="24" t="n">
        <x:v>2425.2</x:v>
      </x:c>
      <x:c r="G42" s="24" t="n">
        <x:v>2432.6</x:v>
      </x:c>
      <x:c r="H42" s="25" t="n">
        <x:v>-0.0002465888541837158</x:v>
      </x:c>
      <x:c r="I42" s="24" t="n">
        <x:f>ROUND(E42-F42,1)</x:f>
        <x:v>25.6</x:v>
      </x:c>
      <x:c r="J42" s="23" t="str">
        <x:v>IH2403</x:v>
      </x:c>
    </x:row>
    <x:row r="43">
      <x:c r="A43" s="23" t="n">
        <x:v>12</x:v>
      </x:c>
      <x:c r="B43" s="23" t="str">
        <x:v>周一</x:v>
      </x:c>
      <x:c r="C43" s="23" t="str">
        <x:v>2月26日</x:v>
      </x:c>
      <x:c r="D43" s="24" t="n">
        <x:v>2427</x:v>
      </x:c>
      <x:c r="E43" s="24" t="n">
        <x:v>2431</x:v>
      </x:c>
      <x:c r="F43" s="24" t="n">
        <x:v>2388.6</x:v>
      </x:c>
      <x:c r="G43" s="24" t="n">
        <x:v>2390.4</x:v>
      </x:c>
      <x:c r="H43" s="25" t="n">
        <x:v>-0.01734769382553636</x:v>
      </x:c>
      <x:c r="I43" s="24" t="n">
        <x:f>ROUND(E43-F43,1)</x:f>
        <x:v>42.4</x:v>
      </x:c>
      <x:c r="J43" s="23" t="str">
        <x:v>IH2403</x:v>
      </x:c>
    </x:row>
    <x:row r="44">
      <x:c r="A44" s="23" t="n">
        <x:v>13</x:v>
      </x:c>
      <x:c r="B44" s="23" t="str">
        <x:v>周二</x:v>
      </x:c>
      <x:c r="C44" s="23" t="str">
        <x:v>2月27日</x:v>
      </x:c>
      <x:c r="D44" s="24" t="n">
        <x:v>2390</x:v>
      </x:c>
      <x:c r="E44" s="24" t="n">
        <x:v>2406.6</x:v>
      </x:c>
      <x:c r="F44" s="24" t="n">
        <x:v>2383.4</x:v>
      </x:c>
      <x:c r="G44" s="24" t="n">
        <x:v>2405.8</x:v>
      </x:c>
      <x:c r="H44" s="25" t="n">
        <x:v>0.0064424364123158995</x:v>
      </x:c>
      <x:c r="I44" s="24" t="n">
        <x:f>ROUND(E44-F44,1)</x:f>
        <x:v>23.2</x:v>
      </x:c>
      <x:c r="J44" s="23" t="str">
        <x:v>IH2403</x:v>
      </x:c>
    </x:row>
    <x:row r="45">
      <x:c r="A45" s="23" t="n">
        <x:v>14</x:v>
      </x:c>
      <x:c r="B45" s="23" t="str">
        <x:v>周三</x:v>
      </x:c>
      <x:c r="C45" s="23" t="str">
        <x:v>2月28日</x:v>
      </x:c>
      <x:c r="D45" s="24" t="n">
        <x:v>2407</x:v>
      </x:c>
      <x:c r="E45" s="24" t="n">
        <x:v>2422.2</x:v>
      </x:c>
      <x:c r="F45" s="24" t="n">
        <x:v>2389.2</x:v>
      </x:c>
      <x:c r="G45" s="24" t="n">
        <x:v>2389.2</x:v>
      </x:c>
      <x:c r="H45" s="25" t="n">
        <x:v>-0.006899991686757145</x:v>
      </x:c>
      <x:c r="I45" s="24" t="n">
        <x:f>ROUND(E45-F45,1)</x:f>
        <x:v>33</x:v>
      </x:c>
      <x:c r="J45" s="23" t="str">
        <x:v>IH2403</x:v>
      </x:c>
    </x:row>
    <x:row r="46">
      <x:c r="A46" s="23" t="n">
        <x:v>15</x:v>
      </x:c>
      <x:c r="B46" s="23" t="str">
        <x:v>周四</x:v>
      </x:c>
      <x:c r="C46" s="23" t="str">
        <x:v>2月29日</x:v>
      </x:c>
      <x:c r="D46" s="24" t="n">
        <x:v>2389.2</x:v>
      </x:c>
      <x:c r="E46" s="24" t="n">
        <x:v>2418.6</x:v>
      </x:c>
      <x:c r="F46" s="24" t="n">
        <x:v>2385.4</x:v>
      </x:c>
      <x:c r="G46" s="24" t="n">
        <x:v>2411</x:v>
      </x:c>
      <x:c r="H46" s="25" t="n">
        <x:v>0.009124393102293737</x:v>
      </x:c>
      <x:c r="I46" s="24" t="n">
        <x:f>ROUND(E46-F46,1)</x:f>
        <x:v>33.2</x:v>
      </x:c>
      <x:c r="J46" s="23" t="str">
        <x:v>IH2403</x:v>
      </x:c>
    </x:row>
    <x:row r="47">
      <x:c r="A47" s="36" t="str">
        <x:v>合计</x:v>
      </x:c>
      <x:c r="B47" s="35" t="n">
        <x:v>15</x:v>
      </x:c>
      <x:c r="C47" s="35"/>
      <x:c r="D47" s="35"/>
      <x:c r="E47" s="35"/>
      <x:c r="F47" s="35"/>
      <x:c r="G47" s="35"/>
      <x:c r="H47" s="35"/>
      <x:c r="I47" s="37" t="n">
        <x:f>ROUND(SUM(I32:I46),1)</x:f>
        <x:v>713.8</x:v>
      </x:c>
      <x:c r="J47" s="35"/>
    </x:row>
    <x:row r="48">
      <x:c r="A48" s="36" t="str">
        <x:v>均值</x:v>
      </x:c>
      <x:c r="B48" s="35"/>
      <x:c r="C48" s="35"/>
      <x:c r="D48" s="35"/>
      <x:c r="E48" s="35"/>
      <x:c r="F48" s="35"/>
      <x:c r="G48" s="35"/>
      <x:c r="H48" s="35"/>
      <x:c r="I48" s="39" t="n">
        <x:f>ROUND(IFERROR(AVERAGE(I32:I46),0),1)</x:f>
        <x:v>47.6</x:v>
      </x:c>
      <x:c r="J48" s="35"/>
    </x:row>
    <x:row r="50">
      <x:c r="A50" s="17" t="str">
        <x:v>3月</x:v>
      </x:c>
      <x:c r="B50" s="17"/>
      <x:c r="C50" s="17"/>
      <x:c r="D50" s="17"/>
      <x:c r="E50" s="17"/>
      <x:c r="F50" s="17"/>
      <x:c r="G50" s="17"/>
      <x:c r="H50" s="17"/>
      <x:c r="I50" s="17"/>
      <x:c r="J50" s="17"/>
    </x:row>
    <x:row r="51">
      <x:c r="A51" s="20" t="str">
        <x:v>序号</x:v>
      </x:c>
      <x:c r="B51" s="20" t="str">
        <x:v>星期</x:v>
      </x:c>
      <x:c r="C51" s="20" t="str">
        <x:v>日期</x:v>
      </x:c>
      <x:c r="D51" s="20" t="str">
        <x:v>开盘</x:v>
      </x:c>
      <x:c r="E51" s="20" t="str">
        <x:v>高点</x:v>
      </x:c>
      <x:c r="F51" s="20" t="str">
        <x:v>低点</x:v>
      </x:c>
      <x:c r="G51" s="20" t="str">
        <x:v>收盘</x:v>
      </x:c>
      <x:c r="H51" s="20" t="str">
        <x:v>涨幅</x:v>
      </x:c>
      <x:c r="I51" s="20" t="str">
        <x:v>振幅</x:v>
      </x:c>
      <x:c r="J51" s="20" t="str">
        <x:v>标的</x:v>
      </x:c>
    </x:row>
    <x:row r="52">
      <x:c r="A52" s="23" t="n">
        <x:v>1</x:v>
      </x:c>
      <x:c r="B52" s="23" t="str">
        <x:v>周五</x:v>
      </x:c>
      <x:c r="C52" s="23" t="str">
        <x:v>3月1日</x:v>
      </x:c>
      <x:c r="D52" s="24" t="n">
        <x:v>2402.8</x:v>
      </x:c>
      <x:c r="E52" s="24" t="n">
        <x:v>2425.4</x:v>
      </x:c>
      <x:c r="F52" s="24" t="n">
        <x:v>2398.4</x:v>
      </x:c>
      <x:c r="G52" s="24" t="n">
        <x:v>2417.4</x:v>
      </x:c>
      <x:c r="H52" s="25" t="n">
        <x:v>0.0026545002073827817</x:v>
      </x:c>
      <x:c r="I52" s="24" t="n">
        <x:f>ROUND(E52-F52,1)</x:f>
        <x:v>27</x:v>
      </x:c>
      <x:c r="J52" s="23" t="str">
        <x:v>IH2403</x:v>
      </x:c>
    </x:row>
    <x:row r="53">
      <x:c r="A53" s="23" t="n">
        <x:v>2</x:v>
      </x:c>
      <x:c r="B53" s="23" t="str">
        <x:v>周一</x:v>
      </x:c>
      <x:c r="C53" s="23" t="str">
        <x:v>3月4日</x:v>
      </x:c>
      <x:c r="D53" s="24" t="n">
        <x:v>2411</x:v>
      </x:c>
      <x:c r="E53" s="24" t="n">
        <x:v>2426.2</x:v>
      </x:c>
      <x:c r="F53" s="24" t="n">
        <x:v>2406.2</x:v>
      </x:c>
      <x:c r="G53" s="24" t="n">
        <x:v>2417.4</x:v>
      </x:c>
      <x:c r="H53" s="25" t="n">
        <x:v>0</x:v>
      </x:c>
      <x:c r="I53" s="24" t="n">
        <x:f>ROUND(E53-F53,1)</x:f>
        <x:v>20</x:v>
      </x:c>
      <x:c r="J53" s="23" t="str">
        <x:v>IH2403</x:v>
      </x:c>
    </x:row>
    <x:row r="54">
      <x:c r="A54" s="23" t="n">
        <x:v>3</x:v>
      </x:c>
      <x:c r="B54" s="23" t="str">
        <x:v>周二</x:v>
      </x:c>
      <x:c r="C54" s="23" t="str">
        <x:v>3月5日</x:v>
      </x:c>
      <x:c r="D54" s="24" t="n">
        <x:v>2407.6</x:v>
      </x:c>
      <x:c r="E54" s="24" t="n">
        <x:v>2444.4</x:v>
      </x:c>
      <x:c r="F54" s="24" t="n">
        <x:v>2405</x:v>
      </x:c>
      <x:c r="G54" s="24" t="n">
        <x:v>2435.2</x:v>
      </x:c>
      <x:c r="H54" s="25" t="n">
        <x:v>0.007363282865888943</x:v>
      </x:c>
      <x:c r="I54" s="24" t="n">
        <x:f>ROUND(E54-F54,1)</x:f>
        <x:v>39.4</x:v>
      </x:c>
      <x:c r="J54" s="23" t="str">
        <x:v>IH2403</x:v>
      </x:c>
    </x:row>
    <x:row r="55">
      <x:c r="A55" s="23" t="n">
        <x:v>4</x:v>
      </x:c>
      <x:c r="B55" s="23" t="str">
        <x:v>周三</x:v>
      </x:c>
      <x:c r="C55" s="23" t="str">
        <x:v>3月6日</x:v>
      </x:c>
      <x:c r="D55" s="24" t="n">
        <x:v>2435</x:v>
      </x:c>
      <x:c r="E55" s="24" t="n">
        <x:v>2449.8</x:v>
      </x:c>
      <x:c r="F55" s="24" t="n">
        <x:v>2427.8</x:v>
      </x:c>
      <x:c r="G55" s="24" t="n">
        <x:v>2429.8</x:v>
      </x:c>
      <x:c r="H55" s="25" t="n">
        <x:v>-0.0022174770039420366</x:v>
      </x:c>
      <x:c r="I55" s="24" t="n">
        <x:f>ROUND(E55-F55,1)</x:f>
        <x:v>22</x:v>
      </x:c>
      <x:c r="J55" s="23" t="str">
        <x:v>IH2403</x:v>
      </x:c>
    </x:row>
    <x:row r="56">
      <x:c r="A56" s="23" t="n">
        <x:v>5</x:v>
      </x:c>
      <x:c r="B56" s="23" t="str">
        <x:v>周四</x:v>
      </x:c>
      <x:c r="C56" s="23" t="str">
        <x:v>3月7日</x:v>
      </x:c>
      <x:c r="D56" s="24" t="n">
        <x:v>2429</x:v>
      </x:c>
      <x:c r="E56" s="24" t="n">
        <x:v>2444.4</x:v>
      </x:c>
      <x:c r="F56" s="24" t="n">
        <x:v>2413.8</x:v>
      </x:c>
      <x:c r="G56" s="24" t="n">
        <x:v>2419.8</x:v>
      </x:c>
      <x:c r="H56" s="25" t="n">
        <x:v>-0.00411556506708366</x:v>
      </x:c>
      <x:c r="I56" s="24" t="n">
        <x:f>ROUND(E56-F56,1)</x:f>
        <x:v>30.6</x:v>
      </x:c>
      <x:c r="J56" s="23" t="str">
        <x:v>IH2403</x:v>
      </x:c>
    </x:row>
    <x:row r="57">
      <x:c r="A57" s="23" t="n">
        <x:v>6</x:v>
      </x:c>
      <x:c r="B57" s="23" t="str">
        <x:v>周五</x:v>
      </x:c>
      <x:c r="C57" s="23" t="str">
        <x:v>3月8日</x:v>
      </x:c>
      <x:c r="D57" s="24" t="n">
        <x:v>2422.8</x:v>
      </x:c>
      <x:c r="E57" s="24" t="n">
        <x:v>2431.2</x:v>
      </x:c>
      <x:c r="F57" s="24" t="n">
        <x:v>2407</x:v>
      </x:c>
      <x:c r="G57" s="24" t="n">
        <x:v>2425</x:v>
      </x:c>
      <x:c r="H57" s="25" t="n">
        <x:v>0.0021489379287542576</x:v>
      </x:c>
      <x:c r="I57" s="24" t="n">
        <x:f>ROUND(E57-F57,1)</x:f>
        <x:v>24.2</x:v>
      </x:c>
      <x:c r="J57" s="23" t="str">
        <x:v>IH2403</x:v>
      </x:c>
    </x:row>
    <x:row r="58">
      <x:c r="A58" s="23" t="n">
        <x:v>7</x:v>
      </x:c>
      <x:c r="B58" s="23" t="str">
        <x:v>周一</x:v>
      </x:c>
      <x:c r="C58" s="23" t="str">
        <x:v>3月11日</x:v>
      </x:c>
      <x:c r="D58" s="24" t="n">
        <x:v>2424</x:v>
      </x:c>
      <x:c r="E58" s="24" t="n">
        <x:v>2444.8</x:v>
      </x:c>
      <x:c r="F58" s="24" t="n">
        <x:v>2416.2</x:v>
      </x:c>
      <x:c r="G58" s="24" t="n">
        <x:v>2444.6</x:v>
      </x:c>
      <x:c r="H58" s="25" t="n">
        <x:v>0.008082474226804193</x:v>
      </x:c>
      <x:c r="I58" s="24" t="n">
        <x:f>ROUND(E58-F58,1)</x:f>
        <x:v>28.6</x:v>
      </x:c>
      <x:c r="J58" s="23" t="str">
        <x:v>IH2403</x:v>
      </x:c>
    </x:row>
    <x:row r="59">
      <x:c r="A59" s="23" t="n">
        <x:v>8</x:v>
      </x:c>
      <x:c r="B59" s="23" t="str">
        <x:v>周二</x:v>
      </x:c>
      <x:c r="C59" s="23" t="str">
        <x:v>3月12日</x:v>
      </x:c>
      <x:c r="D59" s="24" t="n">
        <x:v>2446</x:v>
      </x:c>
      <x:c r="E59" s="24" t="n">
        <x:v>2484.8</x:v>
      </x:c>
      <x:c r="F59" s="24" t="n">
        <x:v>2437.2</x:v>
      </x:c>
      <x:c r="G59" s="24" t="n">
        <x:v>2451.6</x:v>
      </x:c>
      <x:c r="H59" s="25" t="n">
        <x:v>0.002863454143827271</x:v>
      </x:c>
      <x:c r="I59" s="24" t="n">
        <x:f>ROUND(E59-F59,1)</x:f>
        <x:v>47.6</x:v>
      </x:c>
      <x:c r="J59" s="23" t="str">
        <x:v>IH2403</x:v>
      </x:c>
    </x:row>
    <x:row r="60">
      <x:c r="A60" s="23" t="n">
        <x:v>9</x:v>
      </x:c>
      <x:c r="B60" s="23" t="str">
        <x:v>周三</x:v>
      </x:c>
      <x:c r="C60" s="23" t="str">
        <x:v>3月13日</x:v>
      </x:c>
      <x:c r="D60" s="24" t="n">
        <x:v>2449</x:v>
      </x:c>
      <x:c r="E60" s="24" t="n">
        <x:v>2451</x:v>
      </x:c>
      <x:c r="F60" s="24" t="n">
        <x:v>2420.6</x:v>
      </x:c>
      <x:c r="G60" s="24" t="n">
        <x:v>2433.8</x:v>
      </x:c>
      <x:c r="H60" s="25" t="n">
        <x:v>-0.007260564529286917</x:v>
      </x:c>
      <x:c r="I60" s="24" t="n">
        <x:f>ROUND(E60-F60,1)</x:f>
        <x:v>30.4</x:v>
      </x:c>
      <x:c r="J60" s="23" t="str">
        <x:v>IH2403</x:v>
      </x:c>
    </x:row>
    <x:row r="61">
      <x:c r="A61" s="23" t="n">
        <x:v>10</x:v>
      </x:c>
      <x:c r="B61" s="23" t="str">
        <x:v>周四</x:v>
      </x:c>
      <x:c r="C61" s="23" t="str">
        <x:v>3月14日</x:v>
      </x:c>
      <x:c r="D61" s="24" t="n">
        <x:v>2435.2</x:v>
      </x:c>
      <x:c r="E61" s="24" t="n">
        <x:v>2450.2</x:v>
      </x:c>
      <x:c r="F61" s="24" t="n">
        <x:v>2417.6</x:v>
      </x:c>
      <x:c r="G61" s="24" t="n">
        <x:v>2427.6</x:v>
      </x:c>
      <x:c r="H61" s="25" t="n">
        <x:v>-0.0025474566521490605</x:v>
      </x:c>
      <x:c r="I61" s="24" t="n">
        <x:f>ROUND(E61-F61,1)</x:f>
        <x:v>32.6</x:v>
      </x:c>
      <x:c r="J61" s="23" t="str">
        <x:v>IH2403</x:v>
      </x:c>
    </x:row>
    <x:row r="62">
      <x:c r="A62" s="29" t="n">
        <x:v>11</x:v>
      </x:c>
      <x:c r="B62" s="29" t="str">
        <x:v>周五</x:v>
      </x:c>
      <x:c r="C62" s="29" t="str">
        <x:v>3月15日</x:v>
      </x:c>
      <x:c r="D62" s="30" t="n">
        <x:v>2422</x:v>
      </x:c>
      <x:c r="E62" s="30" t="n">
        <x:v>2431.6</x:v>
      </x:c>
      <x:c r="F62" s="30" t="n">
        <x:v>2410.8</x:v>
      </x:c>
      <x:c r="G62" s="30" t="n">
        <x:v>2418.6</x:v>
      </x:c>
      <x:c r="H62" s="31" t="n">
        <x:v>-0.003707365299060794</x:v>
      </x:c>
      <x:c r="I62" s="30" t="n">
        <x:f>ROUND(E62-F62,1)</x:f>
        <x:v>20.8</x:v>
      </x:c>
      <x:c r="J62" s="29" t="str">
        <x:v>IH2403</x:v>
      </x:c>
    </x:row>
    <x:row r="63">
      <x:c r="A63" s="23" t="n">
        <x:v>12</x:v>
      </x:c>
      <x:c r="B63" s="23" t="str">
        <x:v>周一</x:v>
      </x:c>
      <x:c r="C63" s="23" t="str">
        <x:v>3月18日</x:v>
      </x:c>
      <x:c r="D63" s="24" t="n">
        <x:v>2416.4</x:v>
      </x:c>
      <x:c r="E63" s="24" t="n">
        <x:v>2430</x:v>
      </x:c>
      <x:c r="F63" s="24" t="n">
        <x:v>2408.4</x:v>
      </x:c>
      <x:c r="G63" s="24" t="n">
        <x:v>2424.6</x:v>
      </x:c>
      <x:c r="H63" s="25" t="n">
        <x:v>0.008517324071777077</x:v>
      </x:c>
      <x:c r="I63" s="24" t="n">
        <x:f>ROUND(E63-F63,1)</x:f>
        <x:v>21.6</x:v>
      </x:c>
      <x:c r="J63" s="23" t="str">
        <x:v>IH2406</x:v>
      </x:c>
    </x:row>
    <x:row r="64">
      <x:c r="A64" s="23" t="n">
        <x:v>13</x:v>
      </x:c>
      <x:c r="B64" s="23" t="str">
        <x:v>周二</x:v>
      </x:c>
      <x:c r="C64" s="23" t="str">
        <x:v>3月19日</x:v>
      </x:c>
      <x:c r="D64" s="24" t="n">
        <x:v>2419.4</x:v>
      </x:c>
      <x:c r="E64" s="24" t="n">
        <x:v>2428.8</x:v>
      </x:c>
      <x:c r="F64" s="24" t="n">
        <x:v>2400.4</x:v>
      </x:c>
      <x:c r="G64" s="24" t="n">
        <x:v>2404</x:v>
      </x:c>
      <x:c r="H64" s="25" t="n">
        <x:v>-0.007707445063955265</x:v>
      </x:c>
      <x:c r="I64" s="24" t="n">
        <x:f>ROUND(E64-F64,1)</x:f>
        <x:v>28.4</x:v>
      </x:c>
      <x:c r="J64" s="23" t="str">
        <x:v>IH2406</x:v>
      </x:c>
    </x:row>
    <x:row r="65">
      <x:c r="A65" s="23" t="n">
        <x:v>14</x:v>
      </x:c>
      <x:c r="B65" s="23" t="str">
        <x:v>周三</x:v>
      </x:c>
      <x:c r="C65" s="23" t="str">
        <x:v>3月20日</x:v>
      </x:c>
      <x:c r="D65" s="24" t="n">
        <x:v>2401</x:v>
      </x:c>
      <x:c r="E65" s="24" t="n">
        <x:v>2422.2</x:v>
      </x:c>
      <x:c r="F65" s="24" t="n">
        <x:v>2395.4</x:v>
      </x:c>
      <x:c r="G65" s="24" t="n">
        <x:v>2414</x:v>
      </x:c>
      <x:c r="H65" s="25" t="n">
        <x:v>0.0036357626838539048</x:v>
      </x:c>
      <x:c r="I65" s="24" t="n">
        <x:f>ROUND(E65-F65,1)</x:f>
        <x:v>26.8</x:v>
      </x:c>
      <x:c r="J65" s="23" t="str">
        <x:v>IH2406</x:v>
      </x:c>
    </x:row>
    <x:row r="66">
      <x:c r="A66" s="23" t="n">
        <x:v>15</x:v>
      </x:c>
      <x:c r="B66" s="23" t="str">
        <x:v>周四</x:v>
      </x:c>
      <x:c r="C66" s="23" t="str">
        <x:v>3月21日</x:v>
      </x:c>
      <x:c r="D66" s="24" t="n">
        <x:v>2420.6</x:v>
      </x:c>
      <x:c r="E66" s="24" t="n">
        <x:v>2431.6</x:v>
      </x:c>
      <x:c r="F66" s="24" t="n">
        <x:v>2414.6</x:v>
      </x:c>
      <x:c r="G66" s="24" t="n">
        <x:v>2415</x:v>
      </x:c>
      <x:c r="H66" s="25" t="n">
        <x:v>0.0005763214226905955</x:v>
      </x:c>
      <x:c r="I66" s="24" t="n">
        <x:f>ROUND(E66-F66,1)</x:f>
        <x:v>17</x:v>
      </x:c>
      <x:c r="J66" s="23" t="str">
        <x:v>IH2406</x:v>
      </x:c>
    </x:row>
    <x:row r="67">
      <x:c r="A67" s="23" t="n">
        <x:v>16</x:v>
      </x:c>
      <x:c r="B67" s="23" t="str">
        <x:v>周五</x:v>
      </x:c>
      <x:c r="C67" s="23" t="str">
        <x:v>3月22日</x:v>
      </x:c>
      <x:c r="D67" s="24" t="n">
        <x:v>2413.8</x:v>
      </x:c>
      <x:c r="E67" s="24" t="n">
        <x:v>2413.8</x:v>
      </x:c>
      <x:c r="F67" s="24" t="n">
        <x:v>2374</x:v>
      </x:c>
      <x:c r="G67" s="24" t="n">
        <x:v>2387.2</x:v>
      </x:c>
      <x:c r="H67" s="25" t="n">
        <x:v>-0.01151978935242326</x:v>
      </x:c>
      <x:c r="I67" s="24" t="n">
        <x:f>ROUND(E67-F67,1)</x:f>
        <x:v>39.8</x:v>
      </x:c>
      <x:c r="J67" s="23" t="str">
        <x:v>IH2406</x:v>
      </x:c>
    </x:row>
    <x:row r="68">
      <x:c r="A68" s="23" t="n">
        <x:v>17</x:v>
      </x:c>
      <x:c r="B68" s="23" t="str">
        <x:v>周一</x:v>
      </x:c>
      <x:c r="C68" s="23" t="str">
        <x:v>3月25日</x:v>
      </x:c>
      <x:c r="D68" s="24" t="n">
        <x:v>2390</x:v>
      </x:c>
      <x:c r="E68" s="24" t="n">
        <x:v>2407.4</x:v>
      </x:c>
      <x:c r="F68" s="24" t="n">
        <x:v>2380</x:v>
      </x:c>
      <x:c r="G68" s="24" t="n">
        <x:v>2388.8</x:v>
      </x:c>
      <x:c r="H68" s="25" t="n">
        <x:v>0.0014151336052610208</x:v>
      </x:c>
      <x:c r="I68" s="24" t="n">
        <x:f>ROUND(E68-F68,1)</x:f>
        <x:v>27.4</x:v>
      </x:c>
      <x:c r="J68" s="23" t="str">
        <x:v>IH2406</x:v>
      </x:c>
    </x:row>
    <x:row r="69">
      <x:c r="A69" s="23" t="n">
        <x:v>18</x:v>
      </x:c>
      <x:c r="B69" s="23" t="str">
        <x:v>周二</x:v>
      </x:c>
      <x:c r="C69" s="23" t="str">
        <x:v>3月26日</x:v>
      </x:c>
      <x:c r="D69" s="24" t="n">
        <x:v>2392.4</x:v>
      </x:c>
      <x:c r="E69" s="24" t="n">
        <x:v>2406</x:v>
      </x:c>
      <x:c r="F69" s="24" t="n">
        <x:v>2388</x:v>
      </x:c>
      <x:c r="G69" s="24" t="n">
        <x:v>2403</x:v>
      </x:c>
      <x:c r="H69" s="25" t="n">
        <x:v>0.004322527015793831</x:v>
      </x:c>
      <x:c r="I69" s="24" t="n">
        <x:f>ROUND(E69-F69,1)</x:f>
        <x:v>18</x:v>
      </x:c>
      <x:c r="J69" s="23" t="str">
        <x:v>IH2406</x:v>
      </x:c>
    </x:row>
    <x:row r="70">
      <x:c r="A70" s="23" t="n">
        <x:v>19</x:v>
      </x:c>
      <x:c r="B70" s="23" t="str">
        <x:v>周三</x:v>
      </x:c>
      <x:c r="C70" s="23" t="str">
        <x:v>3月27日</x:v>
      </x:c>
      <x:c r="D70" s="24" t="n">
        <x:v>2399.8</x:v>
      </x:c>
      <x:c r="E70" s="24" t="n">
        <x:v>2412.2</x:v>
      </x:c>
      <x:c r="F70" s="24" t="n">
        <x:v>2387</x:v>
      </x:c>
      <x:c r="G70" s="24" t="n">
        <x:v>2388.4</x:v>
      </x:c>
      <x:c r="H70" s="25" t="n">
        <x:v>-0.006207581526237349</x:v>
      </x:c>
      <x:c r="I70" s="24" t="n">
        <x:f>ROUND(E70-F70,1)</x:f>
        <x:v>25.2</x:v>
      </x:c>
      <x:c r="J70" s="23" t="str">
        <x:v>IH2406</x:v>
      </x:c>
    </x:row>
    <x:row r="71">
      <x:c r="A71" s="23" t="n">
        <x:v>20</x:v>
      </x:c>
      <x:c r="B71" s="23" t="str">
        <x:v>周四</x:v>
      </x:c>
      <x:c r="C71" s="23" t="str">
        <x:v>3月28日</x:v>
      </x:c>
      <x:c r="D71" s="24" t="n">
        <x:v>2387</x:v>
      </x:c>
      <x:c r="E71" s="24" t="n">
        <x:v>2416</x:v>
      </x:c>
      <x:c r="F71" s="24" t="n">
        <x:v>2376.6</x:v>
      </x:c>
      <x:c r="G71" s="24" t="n">
        <x:v>2391.6</x:v>
      </x:c>
      <x:c r="H71" s="25" t="n">
        <x:v>0.0016656950112434732</x:v>
      </x:c>
      <x:c r="I71" s="24" t="n">
        <x:f>ROUND(E71-F71,1)</x:f>
        <x:v>39.4</x:v>
      </x:c>
      <x:c r="J71" s="23" t="str">
        <x:v>IH2406</x:v>
      </x:c>
    </x:row>
    <x:row r="72">
      <x:c r="A72" s="23" t="n">
        <x:v>21</x:v>
      </x:c>
      <x:c r="B72" s="23" t="str">
        <x:v>周五</x:v>
      </x:c>
      <x:c r="C72" s="23" t="str">
        <x:v>3月29日</x:v>
      </x:c>
      <x:c r="D72" s="24" t="n">
        <x:v>2391.6</x:v>
      </x:c>
      <x:c r="E72" s="24" t="n">
        <x:v>2408.4</x:v>
      </x:c>
      <x:c r="F72" s="24" t="n">
        <x:v>2389.2</x:v>
      </x:c>
      <x:c r="G72" s="24" t="n">
        <x:v>2403</x:v>
      </x:c>
      <x:c r="H72" s="25" t="n">
        <x:v>0.005071921509935962</x:v>
      </x:c>
      <x:c r="I72" s="24" t="n">
        <x:f>ROUND(E72-F72,1)</x:f>
        <x:v>19.2</x:v>
      </x:c>
      <x:c r="J72" s="23" t="str">
        <x:v>IH2406</x:v>
      </x:c>
    </x:row>
    <x:row r="73">
      <x:c r="A73" s="36" t="str">
        <x:v>合计</x:v>
      </x:c>
      <x:c r="B73" s="35" t="n">
        <x:v>21</x:v>
      </x:c>
      <x:c r="C73" s="35"/>
      <x:c r="D73" s="35"/>
      <x:c r="E73" s="35"/>
      <x:c r="F73" s="35"/>
      <x:c r="G73" s="35"/>
      <x:c r="H73" s="35"/>
      <x:c r="I73" s="37" t="n">
        <x:f>ROUND(SUM(I52:I72),1)</x:f>
        <x:v>586</x:v>
      </x:c>
      <x:c r="J73" s="35"/>
    </x:row>
    <x:row r="74">
      <x:c r="A74" s="36" t="str">
        <x:v>均值</x:v>
      </x:c>
      <x:c r="B74" s="35"/>
      <x:c r="C74" s="35"/>
      <x:c r="D74" s="35"/>
      <x:c r="E74" s="35"/>
      <x:c r="F74" s="35"/>
      <x:c r="G74" s="35"/>
      <x:c r="H74" s="35"/>
      <x:c r="I74" s="39" t="n">
        <x:f>ROUND(IFERROR(AVERAGE(I52:I72),0),1)</x:f>
        <x:v>27.9</x:v>
      </x:c>
      <x:c r="J74" s="35"/>
    </x:row>
    <x:row r="76">
      <x:c r="A76" s="17" t="str">
        <x:v>4月</x:v>
      </x:c>
      <x:c r="B76" s="17"/>
      <x:c r="C76" s="17"/>
      <x:c r="D76" s="17"/>
      <x:c r="E76" s="17"/>
      <x:c r="F76" s="17"/>
      <x:c r="G76" s="17"/>
      <x:c r="H76" s="17"/>
      <x:c r="I76" s="17"/>
      <x:c r="J76" s="17"/>
    </x:row>
    <x:row r="77">
      <x:c r="A77" s="20" t="str">
        <x:v>序号</x:v>
      </x:c>
      <x:c r="B77" s="20" t="str">
        <x:v>星期</x:v>
      </x:c>
      <x:c r="C77" s="20" t="str">
        <x:v>日期</x:v>
      </x:c>
      <x:c r="D77" s="20" t="str">
        <x:v>开盘</x:v>
      </x:c>
      <x:c r="E77" s="20" t="str">
        <x:v>高点</x:v>
      </x:c>
      <x:c r="F77" s="20" t="str">
        <x:v>低点</x:v>
      </x:c>
      <x:c r="G77" s="20" t="str">
        <x:v>收盘</x:v>
      </x:c>
      <x:c r="H77" s="20" t="str">
        <x:v>涨幅</x:v>
      </x:c>
      <x:c r="I77" s="20" t="str">
        <x:v>振幅</x:v>
      </x:c>
      <x:c r="J77" s="20" t="str">
        <x:v>标的</x:v>
      </x:c>
    </x:row>
    <x:row r="78">
      <x:c r="A78" s="23" t="n">
        <x:v>1</x:v>
      </x:c>
      <x:c r="B78" s="23" t="str">
        <x:v>周一</x:v>
      </x:c>
      <x:c r="C78" s="23" t="str">
        <x:v>4月1日</x:v>
      </x:c>
      <x:c r="D78" s="24" t="n">
        <x:v>2415</x:v>
      </x:c>
      <x:c r="E78" s="24" t="n">
        <x:v>2441.6</x:v>
      </x:c>
      <x:c r="F78" s="24" t="n">
        <x:v>2413</x:v>
      </x:c>
      <x:c r="G78" s="24" t="n">
        <x:v>2433.6</x:v>
      </x:c>
      <x:c r="H78" s="25" t="n">
        <x:v>0.01182991396426214</x:v>
      </x:c>
      <x:c r="I78" s="24" t="n">
        <x:f>ROUND(E78-F78,1)</x:f>
        <x:v>28.6</x:v>
      </x:c>
      <x:c r="J78" s="23" t="str">
        <x:v>IH2406</x:v>
      </x:c>
    </x:row>
    <x:row r="79">
      <x:c r="A79" s="23" t="n">
        <x:v>2</x:v>
      </x:c>
      <x:c r="B79" s="23" t="str">
        <x:v>周二</x:v>
      </x:c>
      <x:c r="C79" s="23" t="str">
        <x:v>4月2日</x:v>
      </x:c>
      <x:c r="D79" s="24" t="n">
        <x:v>2433.8</x:v>
      </x:c>
      <x:c r="E79" s="24" t="n">
        <x:v>2438.6</x:v>
      </x:c>
      <x:c r="F79" s="24" t="n">
        <x:v>2422</x:v>
      </x:c>
      <x:c r="G79" s="24" t="n">
        <x:v>2429.4</x:v>
      </x:c>
      <x:c r="H79" s="25" t="n">
        <x:v>-0.0015534298095003507</x:v>
      </x:c>
      <x:c r="I79" s="24" t="n">
        <x:f>ROUND(E79-F79,1)</x:f>
        <x:v>16.6</x:v>
      </x:c>
      <x:c r="J79" s="23" t="str">
        <x:v>IH2406</x:v>
      </x:c>
    </x:row>
    <x:row r="80">
      <x:c r="A80" s="23" t="n">
        <x:v>3</x:v>
      </x:c>
      <x:c r="B80" s="23" t="str">
        <x:v>周三</x:v>
      </x:c>
      <x:c r="C80" s="23" t="str">
        <x:v>4月3日</x:v>
      </x:c>
      <x:c r="D80" s="24" t="n">
        <x:v>2431.4</x:v>
      </x:c>
      <x:c r="E80" s="24" t="n">
        <x:v>2433</x:v>
      </x:c>
      <x:c r="F80" s="24" t="n">
        <x:v>2414.8</x:v>
      </x:c>
      <x:c r="G80" s="24" t="n">
        <x:v>2421.8</x:v>
      </x:c>
      <x:c r="H80" s="25" t="n">
        <x:v>-0.0036849000982640545</x:v>
      </x:c>
      <x:c r="I80" s="24" t="n">
        <x:f>ROUND(E80-F80,1)</x:f>
        <x:v>18.2</x:v>
      </x:c>
      <x:c r="J80" s="23" t="str">
        <x:v>IH2406</x:v>
      </x:c>
    </x:row>
    <x:row r="81">
      <x:c r="A81" s="23" t="n">
        <x:v>4</x:v>
      </x:c>
      <x:c r="B81" s="23" t="str">
        <x:v>周一</x:v>
      </x:c>
      <x:c r="C81" s="23" t="str">
        <x:v>4月8日</x:v>
      </x:c>
      <x:c r="D81" s="24" t="n">
        <x:v>2411.8</x:v>
      </x:c>
      <x:c r="E81" s="24" t="n">
        <x:v>2420.2</x:v>
      </x:c>
      <x:c r="F81" s="24" t="n">
        <x:v>2396.6</x:v>
      </x:c>
      <x:c r="G81" s="24" t="n">
        <x:v>2404.8</x:v>
      </x:c>
      <x:c r="H81" s="25" t="n">
        <x:v>-0.006246404208103962</x:v>
      </x:c>
      <x:c r="I81" s="24" t="n">
        <x:f>ROUND(E81-F81,1)</x:f>
        <x:v>23.6</x:v>
      </x:c>
      <x:c r="J81" s="23" t="str">
        <x:v>IH2406</x:v>
      </x:c>
    </x:row>
    <x:row r="82">
      <x:c r="A82" s="23" t="n">
        <x:v>5</x:v>
      </x:c>
      <x:c r="B82" s="23" t="str">
        <x:v>周二</x:v>
      </x:c>
      <x:c r="C82" s="23" t="str">
        <x:v>4月9日</x:v>
      </x:c>
      <x:c r="D82" s="24" t="n">
        <x:v>2405.4</x:v>
      </x:c>
      <x:c r="E82" s="24" t="n">
        <x:v>2409.8</x:v>
      </x:c>
      <x:c r="F82" s="24" t="n">
        <x:v>2391</x:v>
      </x:c>
      <x:c r="G82" s="24" t="n">
        <x:v>2392.8</x:v>
      </x:c>
      <x:c r="H82" s="25" t="n">
        <x:v>-0.0050450748490612485</x:v>
      </x:c>
      <x:c r="I82" s="24" t="n">
        <x:f>ROUND(E82-F82,1)</x:f>
        <x:v>18.8</x:v>
      </x:c>
      <x:c r="J82" s="23" t="str">
        <x:v>IH2406</x:v>
      </x:c>
    </x:row>
    <x:row r="83">
      <x:c r="A83" s="23" t="n">
        <x:v>6</x:v>
      </x:c>
      <x:c r="B83" s="23" t="str">
        <x:v>周三</x:v>
      </x:c>
      <x:c r="C83" s="23" t="str">
        <x:v>4月10日</x:v>
      </x:c>
      <x:c r="D83" s="24" t="n">
        <x:v>2397.4</x:v>
      </x:c>
      <x:c r="E83" s="24" t="n">
        <x:v>2401.4</x:v>
      </x:c>
      <x:c r="F83" s="24" t="n">
        <x:v>2378</x:v>
      </x:c>
      <x:c r="G83" s="24" t="n">
        <x:v>2386.6</x:v>
      </x:c>
      <x:c r="H83" s="25" t="n">
        <x:v>-0.0029093931837074205</x:v>
      </x:c>
      <x:c r="I83" s="24" t="n">
        <x:f>ROUND(E83-F83,1)</x:f>
        <x:v>23.4</x:v>
      </x:c>
      <x:c r="J83" s="23" t="str">
        <x:v>IH2406</x:v>
      </x:c>
    </x:row>
    <x:row r="84">
      <x:c r="A84" s="23" t="n">
        <x:v>7</x:v>
      </x:c>
      <x:c r="B84" s="23" t="str">
        <x:v>周四</x:v>
      </x:c>
      <x:c r="C84" s="23" t="str">
        <x:v>4月11日</x:v>
      </x:c>
      <x:c r="D84" s="24" t="n">
        <x:v>2374.4</x:v>
      </x:c>
      <x:c r="E84" s="24" t="n">
        <x:v>2393.8</x:v>
      </x:c>
      <x:c r="F84" s="24" t="n">
        <x:v>2368.2</x:v>
      </x:c>
      <x:c r="G84" s="24" t="n">
        <x:v>2387</x:v>
      </x:c>
      <x:c r="H84" s="25" t="n">
        <x:v>-0.00008336807002906621</x:v>
      </x:c>
      <x:c r="I84" s="24" t="n">
        <x:f>ROUND(E84-F84,1)</x:f>
        <x:v>25.6</x:v>
      </x:c>
      <x:c r="J84" s="23" t="str">
        <x:v>IH2406</x:v>
      </x:c>
    </x:row>
    <x:row r="85">
      <x:c r="A85" s="23" t="n">
        <x:v>8</x:v>
      </x:c>
      <x:c r="B85" s="23" t="str">
        <x:v>周五</x:v>
      </x:c>
      <x:c r="C85" s="23" t="str">
        <x:v>4月12日</x:v>
      </x:c>
      <x:c r="D85" s="24" t="n">
        <x:v>2387.4</x:v>
      </x:c>
      <x:c r="E85" s="24" t="n">
        <x:v>2391</x:v>
      </x:c>
      <x:c r="F85" s="24" t="n">
        <x:v>2355.6</x:v>
      </x:c>
      <x:c r="G85" s="24" t="n">
        <x:v>2363</x:v>
      </x:c>
      <x:c r="H85" s="25" t="n">
        <x:v>-0.009338002334500661</x:v>
      </x:c>
      <x:c r="I85" s="24" t="n">
        <x:f>ROUND(E85-F85,1)</x:f>
        <x:v>35.4</x:v>
      </x:c>
      <x:c r="J85" s="23" t="str">
        <x:v>IH2406</x:v>
      </x:c>
    </x:row>
    <x:row r="86">
      <x:c r="A86" s="23" t="n">
        <x:v>9</x:v>
      </x:c>
      <x:c r="B86" s="23" t="str">
        <x:v>周一</x:v>
      </x:c>
      <x:c r="C86" s="23" t="str">
        <x:v>4月15日</x:v>
      </x:c>
      <x:c r="D86" s="24" t="n">
        <x:v>2359</x:v>
      </x:c>
      <x:c r="E86" s="24" t="n">
        <x:v>2413.6</x:v>
      </x:c>
      <x:c r="F86" s="24" t="n">
        <x:v>2358.8</x:v>
      </x:c>
      <x:c r="G86" s="24" t="n">
        <x:v>2409</x:v>
      </x:c>
      <x:c r="H86" s="25" t="n">
        <x:v>0.019441171519946066</x:v>
      </x:c>
      <x:c r="I86" s="24" t="n">
        <x:f>ROUND(E86-F86,1)</x:f>
        <x:v>54.8</x:v>
      </x:c>
      <x:c r="J86" s="23" t="str">
        <x:v>IH2406</x:v>
      </x:c>
    </x:row>
    <x:row r="87">
      <x:c r="A87" s="23" t="n">
        <x:v>10</x:v>
      </x:c>
      <x:c r="B87" s="23" t="str">
        <x:v>周二</x:v>
      </x:c>
      <x:c r="C87" s="23" t="str">
        <x:v>4月16日</x:v>
      </x:c>
      <x:c r="D87" s="24" t="n">
        <x:v>2401.6</x:v>
      </x:c>
      <x:c r="E87" s="24" t="n">
        <x:v>2418</x:v>
      </x:c>
      <x:c r="F87" s="24" t="n">
        <x:v>2383.6</x:v>
      </x:c>
      <x:c r="G87" s="24" t="n">
        <x:v>2398.4</x:v>
      </x:c>
      <x:c r="H87" s="25" t="n">
        <x:v>-0.002559233880954248</x:v>
      </x:c>
      <x:c r="I87" s="24" t="n">
        <x:f>ROUND(E87-F87,1)</x:f>
        <x:v>34.4</x:v>
      </x:c>
      <x:c r="J87" s="23" t="str">
        <x:v>IH2406</x:v>
      </x:c>
    </x:row>
    <x:row r="88">
      <x:c r="A88" s="23" t="n">
        <x:v>11</x:v>
      </x:c>
      <x:c r="B88" s="23" t="str">
        <x:v>周三</x:v>
      </x:c>
      <x:c r="C88" s="23" t="str">
        <x:v>4月17日</x:v>
      </x:c>
      <x:c r="D88" s="24" t="n">
        <x:v>2397</x:v>
      </x:c>
      <x:c r="E88" s="24" t="n">
        <x:v>2430.4</x:v>
      </x:c>
      <x:c r="F88" s="24" t="n">
        <x:v>2385.2</x:v>
      </x:c>
      <x:c r="G88" s="24" t="n">
        <x:v>2429.6</x:v>
      </x:c>
      <x:c r="H88" s="25" t="n">
        <x:v>0.010925343486177796</x:v>
      </x:c>
      <x:c r="I88" s="24" t="n">
        <x:f>ROUND(E88-F88,1)</x:f>
        <x:v>45.2</x:v>
      </x:c>
      <x:c r="J88" s="23" t="str">
        <x:v>IH2406</x:v>
      </x:c>
    </x:row>
    <x:row r="89">
      <x:c r="A89" s="23" t="n">
        <x:v>12</x:v>
      </x:c>
      <x:c r="B89" s="23" t="str">
        <x:v>周四</x:v>
      </x:c>
      <x:c r="C89" s="23" t="str">
        <x:v>4月18日</x:v>
      </x:c>
      <x:c r="D89" s="24" t="n">
        <x:v>2425</x:v>
      </x:c>
      <x:c r="E89" s="24" t="n">
        <x:v>2461</x:v>
      </x:c>
      <x:c r="F89" s="24" t="n">
        <x:v>2420.2</x:v>
      </x:c>
      <x:c r="G89" s="24" t="n">
        <x:v>2438.4</x:v>
      </x:c>
      <x:c r="H89" s="25" t="n">
        <x:v>0.002374324545603379</x:v>
      </x:c>
      <x:c r="I89" s="24" t="n">
        <x:f>ROUND(E89-F89,1)</x:f>
        <x:v>40.8</x:v>
      </x:c>
      <x:c r="J89" s="23" t="str">
        <x:v>IH2406</x:v>
      </x:c>
    </x:row>
    <x:row r="90">
      <x:c r="A90" s="29" t="n">
        <x:v>13</x:v>
      </x:c>
      <x:c r="B90" s="29" t="str">
        <x:v>周五</x:v>
      </x:c>
      <x:c r="C90" s="29" t="str">
        <x:v>4月19日</x:v>
      </x:c>
      <x:c r="D90" s="30" t="n">
        <x:v>2432.6</x:v>
      </x:c>
      <x:c r="E90" s="30" t="n">
        <x:v>2439.6</x:v>
      </x:c>
      <x:c r="F90" s="30" t="n">
        <x:v>2417.2</x:v>
      </x:c>
      <x:c r="G90" s="30" t="n">
        <x:v>2422</x:v>
      </x:c>
      <x:c r="H90" s="31" t="n">
        <x:v>-0.005799232214326433</x:v>
      </x:c>
      <x:c r="I90" s="30" t="n">
        <x:f>ROUND(E90-F90,1)</x:f>
        <x:v>22.4</x:v>
      </x:c>
      <x:c r="J90" s="29" t="str">
        <x:v>IH2406</x:v>
      </x:c>
    </x:row>
    <x:row r="91">
      <x:c r="A91" s="23" t="n">
        <x:v>14</x:v>
      </x:c>
      <x:c r="B91" s="23" t="str">
        <x:v>周一</x:v>
      </x:c>
      <x:c r="C91" s="23" t="str">
        <x:v>4月22日</x:v>
      </x:c>
      <x:c r="D91" s="24" t="n">
        <x:v>2428</x:v>
      </x:c>
      <x:c r="E91" s="24" t="n">
        <x:v>2444.4</x:v>
      </x:c>
      <x:c r="F91" s="24" t="n">
        <x:v>2413.2</x:v>
      </x:c>
      <x:c r="G91" s="24" t="n">
        <x:v>2416.6</x:v>
      </x:c>
      <x:c r="H91" s="25" t="n">
        <x:v>-0.0016431153466973658</x:v>
      </x:c>
      <x:c r="I91" s="24" t="n">
        <x:f>ROUND(E91-F91,1)</x:f>
        <x:v>31.2</x:v>
      </x:c>
      <x:c r="J91" s="23" t="str">
        <x:v>IH2406</x:v>
      </x:c>
    </x:row>
    <x:row r="92">
      <x:c r="A92" s="23" t="n">
        <x:v>15</x:v>
      </x:c>
      <x:c r="B92" s="23" t="str">
        <x:v>周二</x:v>
      </x:c>
      <x:c r="C92" s="23" t="str">
        <x:v>4月23日</x:v>
      </x:c>
      <x:c r="D92" s="24" t="n">
        <x:v>2416.6</x:v>
      </x:c>
      <x:c r="E92" s="24" t="n">
        <x:v>2419.4</x:v>
      </x:c>
      <x:c r="F92" s="24" t="n">
        <x:v>2402.4</x:v>
      </x:c>
      <x:c r="G92" s="24" t="n">
        <x:v>2404.6</x:v>
      </x:c>
      <x:c r="H92" s="25" t="n">
        <x:v>-0.005184331797234987</x:v>
      </x:c>
      <x:c r="I92" s="24" t="n">
        <x:f>ROUND(E92-F92,1)</x:f>
        <x:v>17</x:v>
      </x:c>
      <x:c r="J92" s="23" t="str">
        <x:v>IH2406</x:v>
      </x:c>
    </x:row>
    <x:row r="93">
      <x:c r="A93" s="23" t="n">
        <x:v>16</x:v>
      </x:c>
      <x:c r="B93" s="23" t="str">
        <x:v>周三</x:v>
      </x:c>
      <x:c r="C93" s="23" t="str">
        <x:v>4月24日</x:v>
      </x:c>
      <x:c r="D93" s="24" t="n">
        <x:v>2415</x:v>
      </x:c>
      <x:c r="E93" s="24" t="n">
        <x:v>2419.4</x:v>
      </x:c>
      <x:c r="F93" s="24" t="n">
        <x:v>2397.2</x:v>
      </x:c>
      <x:c r="G93" s="24" t="n">
        <x:v>2414.6</x:v>
      </x:c>
      <x:c r="H93" s="25" t="n">
        <x:v>0.003970551741252271</x:v>
      </x:c>
      <x:c r="I93" s="24" t="n">
        <x:f>ROUND(E93-F93,1)</x:f>
        <x:v>22.2</x:v>
      </x:c>
      <x:c r="J93" s="23" t="str">
        <x:v>IH2406</x:v>
      </x:c>
    </x:row>
    <x:row r="94">
      <x:c r="A94" s="23" t="n">
        <x:v>17</x:v>
      </x:c>
      <x:c r="B94" s="23" t="str">
        <x:v>周四</x:v>
      </x:c>
      <x:c r="C94" s="23" t="str">
        <x:v>4月25日</x:v>
      </x:c>
      <x:c r="D94" s="24" t="n">
        <x:v>2414</x:v>
      </x:c>
      <x:c r="E94" s="24" t="n">
        <x:v>2429.6</x:v>
      </x:c>
      <x:c r="F94" s="24" t="n">
        <x:v>2403.2</x:v>
      </x:c>
      <x:c r="G94" s="24" t="n">
        <x:v>2424.4</x:v>
      </x:c>
      <x:c r="H94" s="25" t="n">
        <x:v>0.003954848809425648</x:v>
      </x:c>
      <x:c r="I94" s="24" t="n">
        <x:f>ROUND(E94-F94,1)</x:f>
        <x:v>26.4</x:v>
      </x:c>
      <x:c r="J94" s="23" t="str">
        <x:v>IH2406</x:v>
      </x:c>
    </x:row>
    <x:row r="95">
      <x:c r="A95" s="23" t="n">
        <x:v>18</x:v>
      </x:c>
      <x:c r="B95" s="23" t="str">
        <x:v>周五</x:v>
      </x:c>
      <x:c r="C95" s="23" t="str">
        <x:v>4月26日</x:v>
      </x:c>
      <x:c r="D95" s="24" t="n">
        <x:v>2431</x:v>
      </x:c>
      <x:c r="E95" s="24" t="n">
        <x:v>2465.4</x:v>
      </x:c>
      <x:c r="F95" s="24" t="n">
        <x:v>2428</x:v>
      </x:c>
      <x:c r="G95" s="24" t="n">
        <x:v>2455.2</x:v>
      </x:c>
      <x:c r="H95" s="25" t="n">
        <x:v>0.012392285597045527</x:v>
      </x:c>
      <x:c r="I95" s="24" t="n">
        <x:f>ROUND(E95-F95,1)</x:f>
        <x:v>37.4</x:v>
      </x:c>
      <x:c r="J95" s="23" t="str">
        <x:v>IH2406</x:v>
      </x:c>
    </x:row>
    <x:row r="96">
      <x:c r="A96" s="23" t="n">
        <x:v>19</x:v>
      </x:c>
      <x:c r="B96" s="23" t="str">
        <x:v>周一</x:v>
      </x:c>
      <x:c r="C96" s="23" t="str">
        <x:v>4月29日</x:v>
      </x:c>
      <x:c r="D96" s="24" t="n">
        <x:v>2455.6</x:v>
      </x:c>
      <x:c r="E96" s="24" t="n">
        <x:v>2494.4</x:v>
      </x:c>
      <x:c r="F96" s="24" t="n">
        <x:v>2451.2</x:v>
      </x:c>
      <x:c r="G96" s="24" t="n">
        <x:v>2475.6</x:v>
      </x:c>
      <x:c r="H96" s="25" t="n">
        <x:v>0.0068904020752269535</x:v>
      </x:c>
      <x:c r="I96" s="24" t="n">
        <x:f>ROUND(E96-F96,1)</x:f>
        <x:v>43.2</x:v>
      </x:c>
      <x:c r="J96" s="23" t="str">
        <x:v>IH2406</x:v>
      </x:c>
    </x:row>
    <x:row r="97">
      <x:c r="A97" s="23" t="n">
        <x:v>20</x:v>
      </x:c>
      <x:c r="B97" s="23" t="str">
        <x:v>周二</x:v>
      </x:c>
      <x:c r="C97" s="23" t="str">
        <x:v>4月30日</x:v>
      </x:c>
      <x:c r="D97" s="24" t="n">
        <x:v>2475</x:v>
      </x:c>
      <x:c r="E97" s="24" t="n">
        <x:v>2480.2</x:v>
      </x:c>
      <x:c r="F97" s="24" t="n">
        <x:v>2459.4</x:v>
      </x:c>
      <x:c r="G97" s="24" t="n">
        <x:v>2460.4</x:v>
      </x:c>
      <x:c r="H97" s="25" t="n">
        <x:v>-0.005635617100072432</x:v>
      </x:c>
      <x:c r="I97" s="24" t="n">
        <x:f>ROUND(E97-F97,1)</x:f>
        <x:v>20.8</x:v>
      </x:c>
      <x:c r="J97" s="23" t="str">
        <x:v>IH2406</x:v>
      </x:c>
    </x:row>
    <x:row r="98">
      <x:c r="A98" s="36" t="str">
        <x:v>合计</x:v>
      </x:c>
      <x:c r="B98" s="35" t="n">
        <x:v>20</x:v>
      </x:c>
      <x:c r="C98" s="35"/>
      <x:c r="D98" s="35"/>
      <x:c r="E98" s="35"/>
      <x:c r="F98" s="35"/>
      <x:c r="G98" s="35"/>
      <x:c r="H98" s="35"/>
      <x:c r="I98" s="37" t="n">
        <x:f>ROUND(SUM(I78:I97),1)</x:f>
        <x:v>586</x:v>
      </x:c>
      <x:c r="J98" s="35"/>
    </x:row>
    <x:row r="99">
      <x:c r="A99" s="36" t="str">
        <x:v>均值</x:v>
      </x:c>
      <x:c r="B99" s="35"/>
      <x:c r="C99" s="35"/>
      <x:c r="D99" s="35"/>
      <x:c r="E99" s="35"/>
      <x:c r="F99" s="35"/>
      <x:c r="G99" s="35"/>
      <x:c r="H99" s="35"/>
      <x:c r="I99" s="39" t="n">
        <x:f>ROUND(IFERROR(AVERAGE(I78:I97),0),1)</x:f>
        <x:v>29.3</x:v>
      </x:c>
      <x:c r="J99" s="35"/>
    </x:row>
    <x:row r="101">
      <x:c r="A101" s="17" t="str">
        <x:v>5月</x:v>
      </x:c>
      <x:c r="B101" s="17"/>
      <x:c r="C101" s="17"/>
      <x:c r="D101" s="17"/>
      <x:c r="E101" s="17"/>
      <x:c r="F101" s="17"/>
      <x:c r="G101" s="17"/>
      <x:c r="H101" s="17"/>
      <x:c r="I101" s="17"/>
      <x:c r="J101" s="17"/>
    </x:row>
    <x:row r="102">
      <x:c r="A102" s="20" t="str">
        <x:v>序号</x:v>
      </x:c>
      <x:c r="B102" s="20" t="str">
        <x:v>星期</x:v>
      </x:c>
      <x:c r="C102" s="20" t="str">
        <x:v>日期</x:v>
      </x:c>
      <x:c r="D102" s="20" t="str">
        <x:v>开盘</x:v>
      </x:c>
      <x:c r="E102" s="20" t="str">
        <x:v>高点</x:v>
      </x:c>
      <x:c r="F102" s="20" t="str">
        <x:v>低点</x:v>
      </x:c>
      <x:c r="G102" s="20" t="str">
        <x:v>收盘</x:v>
      </x:c>
      <x:c r="H102" s="20" t="str">
        <x:v>涨幅</x:v>
      </x:c>
      <x:c r="I102" s="20" t="str">
        <x:v>振幅</x:v>
      </x:c>
      <x:c r="J102" s="20" t="str">
        <x:v>标的</x:v>
      </x:c>
    </x:row>
    <x:row r="103">
      <x:c r="A103" s="23" t="n">
        <x:v>1</x:v>
      </x:c>
      <x:c r="B103" s="23" t="str">
        <x:v>周一</x:v>
      </x:c>
      <x:c r="C103" s="23" t="str">
        <x:v>5月6日</x:v>
      </x:c>
      <x:c r="D103" s="24" t="n">
        <x:v>2488.8</x:v>
      </x:c>
      <x:c r="E103" s="24" t="n">
        <x:v>2501.8</x:v>
      </x:c>
      <x:c r="F103" s="24" t="n">
        <x:v>2475.4</x:v>
      </x:c>
      <x:c r="G103" s="24" t="n">
        <x:v>2489</x:v>
      </x:c>
      <x:c r="H103" s="25" t="n">
        <x:v>0.011254149461582097</x:v>
      </x:c>
      <x:c r="I103" s="24" t="n">
        <x:f>ROUND(E103-F103,1)</x:f>
        <x:v>26.4</x:v>
      </x:c>
      <x:c r="J103" s="23" t="str">
        <x:v>IH2406</x:v>
      </x:c>
    </x:row>
    <x:row r="104">
      <x:c r="A104" s="23" t="n">
        <x:v>2</x:v>
      </x:c>
      <x:c r="B104" s="23" t="str">
        <x:v>周二</x:v>
      </x:c>
      <x:c r="C104" s="23" t="str">
        <x:v>5月7日</x:v>
      </x:c>
      <x:c r="D104" s="24" t="n">
        <x:v>2489</x:v>
      </x:c>
      <x:c r="E104" s="24" t="n">
        <x:v>2497.4</x:v>
      </x:c>
      <x:c r="F104" s="24" t="n">
        <x:v>2483.4</x:v>
      </x:c>
      <x:c r="G104" s="24" t="n">
        <x:v>2495</x:v>
      </x:c>
      <x:c r="H104" s="25" t="n">
        <x:v>0.0025620496397118497</x:v>
      </x:c>
      <x:c r="I104" s="24" t="n">
        <x:f>ROUND(E104-F104,1)</x:f>
        <x:v>14</x:v>
      </x:c>
      <x:c r="J104" s="23" t="str">
        <x:v>IH2406</x:v>
      </x:c>
    </x:row>
    <x:row r="105">
      <x:c r="A105" s="23" t="n">
        <x:v>3</x:v>
      </x:c>
      <x:c r="B105" s="23" t="str">
        <x:v>周三</x:v>
      </x:c>
      <x:c r="C105" s="23" t="str">
        <x:v>5月8日</x:v>
      </x:c>
      <x:c r="D105" s="24" t="n">
        <x:v>2490.2</x:v>
      </x:c>
      <x:c r="E105" s="24" t="n">
        <x:v>2491.4</x:v>
      </x:c>
      <x:c r="F105" s="24" t="n">
        <x:v>2478</x:v>
      </x:c>
      <x:c r="G105" s="24" t="n">
        <x:v>2479</x:v>
      </x:c>
      <x:c r="H105" s="25" t="n">
        <x:v>-0.0063088963424373645</x:v>
      </x:c>
      <x:c r="I105" s="24" t="n">
        <x:f>ROUND(E105-F105,1)</x:f>
        <x:v>13.4</x:v>
      </x:c>
      <x:c r="J105" s="23" t="str">
        <x:v>IH2406</x:v>
      </x:c>
    </x:row>
    <x:row r="106">
      <x:c r="A106" s="23" t="n">
        <x:v>4</x:v>
      </x:c>
      <x:c r="B106" s="23" t="str">
        <x:v>周四</x:v>
      </x:c>
      <x:c r="C106" s="23" t="str">
        <x:v>5月9日</x:v>
      </x:c>
      <x:c r="D106" s="24" t="n">
        <x:v>2481.2</x:v>
      </x:c>
      <x:c r="E106" s="24" t="n">
        <x:v>2502.2</x:v>
      </x:c>
      <x:c r="F106" s="24" t="n">
        <x:v>2479.4</x:v>
      </x:c>
      <x:c r="G106" s="24" t="n">
        <x:v>2496.6</x:v>
      </x:c>
      <x:c r="H106" s="25" t="n">
        <x:v>0.006911516515309968</x:v>
      </x:c>
      <x:c r="I106" s="24" t="n">
        <x:f>ROUND(E106-F106,1)</x:f>
        <x:v>22.8</x:v>
      </x:c>
      <x:c r="J106" s="23" t="str">
        <x:v>IH2406</x:v>
      </x:c>
    </x:row>
    <x:row r="107">
      <x:c r="A107" s="23" t="n">
        <x:v>5</x:v>
      </x:c>
      <x:c r="B107" s="23" t="str">
        <x:v>周五</x:v>
      </x:c>
      <x:c r="C107" s="23" t="str">
        <x:v>5月10日</x:v>
      </x:c>
      <x:c r="D107" s="24" t="n">
        <x:v>2505</x:v>
      </x:c>
      <x:c r="E107" s="24" t="n">
        <x:v>2510.8</x:v>
      </x:c>
      <x:c r="F107" s="24" t="n">
        <x:v>2483.2</x:v>
      </x:c>
      <x:c r="G107" s="24" t="n">
        <x:v>2502.4</x:v>
      </x:c>
      <x:c r="H107" s="25" t="n">
        <x:v>0.0025540745470507</x:v>
      </x:c>
      <x:c r="I107" s="24" t="n">
        <x:f>ROUND(E107-F107,1)</x:f>
        <x:v>27.6</x:v>
      </x:c>
      <x:c r="J107" s="23" t="str">
        <x:v>IH2406</x:v>
      </x:c>
    </x:row>
    <x:row r="108">
      <x:c r="A108" s="23" t="n">
        <x:v>6</x:v>
      </x:c>
      <x:c r="B108" s="23" t="str">
        <x:v>周一</x:v>
      </x:c>
      <x:c r="C108" s="23" t="str">
        <x:v>5月13日</x:v>
      </x:c>
      <x:c r="D108" s="24" t="n">
        <x:v>2494.6</x:v>
      </x:c>
      <x:c r="E108" s="24" t="n">
        <x:v>2503.8</x:v>
      </x:c>
      <x:c r="F108" s="24" t="n">
        <x:v>2476.4</x:v>
      </x:c>
      <x:c r="G108" s="24" t="n">
        <x:v>2496</x:v>
      </x:c>
      <x:c r="H108" s="25" t="n">
        <x:v>-0.001990287397500179</x:v>
      </x:c>
      <x:c r="I108" s="24" t="n">
        <x:f>ROUND(E108-F108,1)</x:f>
        <x:v>27.4</x:v>
      </x:c>
      <x:c r="J108" s="23" t="str">
        <x:v>IH2406</x:v>
      </x:c>
    </x:row>
    <x:row r="109">
      <x:c r="A109" s="23" t="n">
        <x:v>7</x:v>
      </x:c>
      <x:c r="B109" s="23" t="str">
        <x:v>周二</x:v>
      </x:c>
      <x:c r="C109" s="23" t="str">
        <x:v>5月14日</x:v>
      </x:c>
      <x:c r="D109" s="24" t="n">
        <x:v>2500.8</x:v>
      </x:c>
      <x:c r="E109" s="24" t="n">
        <x:v>2501.6</x:v>
      </x:c>
      <x:c r="F109" s="24" t="n">
        <x:v>2482.2</x:v>
      </x:c>
      <x:c r="G109" s="24" t="n">
        <x:v>2486.6</x:v>
      </x:c>
      <x:c r="H109" s="25" t="n">
        <x:v>-0.0038289725590299195</x:v>
      </x:c>
      <x:c r="I109" s="24" t="n">
        <x:f>ROUND(E109-F109,1)</x:f>
        <x:v>19.4</x:v>
      </x:c>
      <x:c r="J109" s="23" t="str">
        <x:v>IH2406</x:v>
      </x:c>
    </x:row>
    <x:row r="110">
      <x:c r="A110" s="23" t="n">
        <x:v>8</x:v>
      </x:c>
      <x:c r="B110" s="23" t="str">
        <x:v>周三</x:v>
      </x:c>
      <x:c r="C110" s="23" t="str">
        <x:v>5月15日</x:v>
      </x:c>
      <x:c r="D110" s="24" t="n">
        <x:v>2492.6</x:v>
      </x:c>
      <x:c r="E110" s="24" t="n">
        <x:v>2492.6</x:v>
      </x:c>
      <x:c r="F110" s="24" t="n">
        <x:v>2463.6</x:v>
      </x:c>
      <x:c r="G110" s="24" t="n">
        <x:v>2465.6</x:v>
      </x:c>
      <x:c r="H110" s="25" t="n">
        <x:v>-0.007847533632286963</x:v>
      </x:c>
      <x:c r="I110" s="24" t="n">
        <x:f>ROUND(E110-F110,1)</x:f>
        <x:v>29</x:v>
      </x:c>
      <x:c r="J110" s="23" t="str">
        <x:v>IH2406</x:v>
      </x:c>
    </x:row>
    <x:row r="111">
      <x:c r="A111" s="23" t="n">
        <x:v>9</x:v>
      </x:c>
      <x:c r="B111" s="23" t="str">
        <x:v>周四</x:v>
      </x:c>
      <x:c r="C111" s="23" t="str">
        <x:v>5月16日</x:v>
      </x:c>
      <x:c r="D111" s="24" t="n">
        <x:v>2472.4</x:v>
      </x:c>
      <x:c r="E111" s="24" t="n">
        <x:v>2488.8</x:v>
      </x:c>
      <x:c r="F111" s="24" t="n">
        <x:v>2463.8</x:v>
      </x:c>
      <x:c r="G111" s="24" t="n">
        <x:v>2477.6</x:v>
      </x:c>
      <x:c r="H111" s="25" t="n">
        <x:v>-0.00016142050040357514</x:v>
      </x:c>
      <x:c r="I111" s="24" t="n">
        <x:f>ROUND(E111-F111,1)</x:f>
        <x:v>25</x:v>
      </x:c>
      <x:c r="J111" s="23" t="str">
        <x:v>IH2406</x:v>
      </x:c>
    </x:row>
    <x:row r="112">
      <x:c r="A112" s="29" t="n">
        <x:v>10</x:v>
      </x:c>
      <x:c r="B112" s="29" t="str">
        <x:v>周五</x:v>
      </x:c>
      <x:c r="C112" s="29" t="str">
        <x:v>5月17日</x:v>
      </x:c>
      <x:c r="D112" s="30" t="n">
        <x:v>2481</x:v>
      </x:c>
      <x:c r="E112" s="30" t="n">
        <x:v>2521</x:v>
      </x:c>
      <x:c r="F112" s="30" t="n">
        <x:v>2478</x:v>
      </x:c>
      <x:c r="G112" s="30" t="n">
        <x:v>2520.4</x:v>
      </x:c>
      <x:c r="H112" s="31" t="n">
        <x:v>0.01727478204714239</x:v>
      </x:c>
      <x:c r="I112" s="30" t="n">
        <x:f>ROUND(E112-F112,1)</x:f>
        <x:v>43</x:v>
      </x:c>
      <x:c r="J112" s="29" t="str">
        <x:v>IH2406</x:v>
      </x:c>
    </x:row>
    <x:row r="113">
      <x:c r="A113" s="23" t="n">
        <x:v>11</x:v>
      </x:c>
      <x:c r="B113" s="23" t="str">
        <x:v>周一</x:v>
      </x:c>
      <x:c r="C113" s="23" t="str">
        <x:v>5月20日</x:v>
      </x:c>
      <x:c r="D113" s="24" t="n">
        <x:v>2526</x:v>
      </x:c>
      <x:c r="E113" s="24" t="n">
        <x:v>2538.4</x:v>
      </x:c>
      <x:c r="F113" s="24" t="n">
        <x:v>2514.4</x:v>
      </x:c>
      <x:c r="G113" s="24" t="n">
        <x:v>2523.8</x:v>
      </x:c>
      <x:c r="H113" s="25" t="n">
        <x:v>0.0013489922234566354</x:v>
      </x:c>
      <x:c r="I113" s="24" t="n">
        <x:f>ROUND(E113-F113,1)</x:f>
        <x:v>24</x:v>
      </x:c>
      <x:c r="J113" s="23" t="str">
        <x:v>IH2406</x:v>
      </x:c>
    </x:row>
    <x:row r="114">
      <x:c r="A114" s="23" t="n">
        <x:v>12</x:v>
      </x:c>
      <x:c r="B114" s="23" t="str">
        <x:v>周二</x:v>
      </x:c>
      <x:c r="C114" s="23" t="str">
        <x:v>5月21日</x:v>
      </x:c>
      <x:c r="D114" s="24" t="n">
        <x:v>2519</x:v>
      </x:c>
      <x:c r="E114" s="24" t="n">
        <x:v>2522.4</x:v>
      </x:c>
      <x:c r="F114" s="24" t="n">
        <x:v>2507.4</x:v>
      </x:c>
      <x:c r="G114" s="24" t="n">
        <x:v>2519</x:v>
      </x:c>
      <x:c r="H114" s="25" t="n">
        <x:v>-0.0019018939694113168</x:v>
      </x:c>
      <x:c r="I114" s="24" t="n">
        <x:f>ROUND(E114-F114,1)</x:f>
        <x:v>15</x:v>
      </x:c>
      <x:c r="J114" s="23" t="str">
        <x:v>IH2406</x:v>
      </x:c>
    </x:row>
    <x:row r="115">
      <x:c r="A115" s="23" t="n">
        <x:v>13</x:v>
      </x:c>
      <x:c r="B115" s="23" t="str">
        <x:v>周三</x:v>
      </x:c>
      <x:c r="C115" s="23" t="str">
        <x:v>5月22日</x:v>
      </x:c>
      <x:c r="D115" s="24" t="n">
        <x:v>2519.6</x:v>
      </x:c>
      <x:c r="E115" s="24" t="n">
        <x:v>2525</x:v>
      </x:c>
      <x:c r="F115" s="24" t="n">
        <x:v>2510.4</x:v>
      </x:c>
      <x:c r="G115" s="24" t="n">
        <x:v>2517.6</x:v>
      </x:c>
      <x:c r="H115" s="25" t="n">
        <x:v>-0.0005557761016277141</x:v>
      </x:c>
      <x:c r="I115" s="24" t="n">
        <x:f>ROUND(E115-F115,1)</x:f>
        <x:v>14.6</x:v>
      </x:c>
      <x:c r="J115" s="23" t="str">
        <x:v>IH2406</x:v>
      </x:c>
    </x:row>
    <x:row r="116">
      <x:c r="A116" s="23" t="n">
        <x:v>14</x:v>
      </x:c>
      <x:c r="B116" s="23" t="str">
        <x:v>周四</x:v>
      </x:c>
      <x:c r="C116" s="23" t="str">
        <x:v>5月23日</x:v>
      </x:c>
      <x:c r="D116" s="24" t="n">
        <x:v>2509.8</x:v>
      </x:c>
      <x:c r="E116" s="24" t="n">
        <x:v>2509.8</x:v>
      </x:c>
      <x:c r="F116" s="24" t="n">
        <x:v>2484.2</x:v>
      </x:c>
      <x:c r="G116" s="24" t="n">
        <x:v>2493</x:v>
      </x:c>
      <x:c r="H116" s="25" t="n">
        <x:v>-0.009771210676835063</x:v>
      </x:c>
      <x:c r="I116" s="24" t="n">
        <x:f>ROUND(E116-F116,1)</x:f>
        <x:v>25.6</x:v>
      </x:c>
      <x:c r="J116" s="23" t="str">
        <x:v>IH2406</x:v>
      </x:c>
    </x:row>
    <x:row r="117">
      <x:c r="A117" s="23" t="n">
        <x:v>15</x:v>
      </x:c>
      <x:c r="B117" s="23" t="str">
        <x:v>周五</x:v>
      </x:c>
      <x:c r="C117" s="23" t="str">
        <x:v>5月24日</x:v>
      </x:c>
      <x:c r="D117" s="24" t="n">
        <x:v>2485.4</x:v>
      </x:c>
      <x:c r="E117" s="24" t="n">
        <x:v>2494.8</x:v>
      </x:c>
      <x:c r="F117" s="24" t="n">
        <x:v>2461</x:v>
      </x:c>
      <x:c r="G117" s="24" t="n">
        <x:v>2462.6</x:v>
      </x:c>
      <x:c r="H117" s="25" t="n">
        <x:v>-0.012194143602085927</x:v>
      </x:c>
      <x:c r="I117" s="24" t="n">
        <x:f>ROUND(E117-F117,1)</x:f>
        <x:v>33.8</x:v>
      </x:c>
      <x:c r="J117" s="23" t="str">
        <x:v>IH2406</x:v>
      </x:c>
    </x:row>
    <x:row r="118">
      <x:c r="A118" s="23" t="n">
        <x:v>16</x:v>
      </x:c>
      <x:c r="B118" s="23" t="str">
        <x:v>周一</x:v>
      </x:c>
      <x:c r="C118" s="23" t="str">
        <x:v>5月27日</x:v>
      </x:c>
      <x:c r="D118" s="24" t="n">
        <x:v>2470.8</x:v>
      </x:c>
      <x:c r="E118" s="24" t="n">
        <x:v>2488</x:v>
      </x:c>
      <x:c r="F118" s="24" t="n">
        <x:v>2469</x:v>
      </x:c>
      <x:c r="G118" s="24" t="n">
        <x:v>2485.2</x:v>
      </x:c>
      <x:c r="H118" s="25" t="n">
        <x:v>0.009177292292698702</x:v>
      </x:c>
      <x:c r="I118" s="24" t="n">
        <x:f>ROUND(E118-F118,1)</x:f>
        <x:v>19</x:v>
      </x:c>
      <x:c r="J118" s="23" t="str">
        <x:v>IH2406</x:v>
      </x:c>
    </x:row>
    <x:row r="119">
      <x:c r="A119" s="23" t="n">
        <x:v>17</x:v>
      </x:c>
      <x:c r="B119" s="23" t="str">
        <x:v>周二</x:v>
      </x:c>
      <x:c r="C119" s="23" t="str">
        <x:v>5月28日</x:v>
      </x:c>
      <x:c r="D119" s="24" t="n">
        <x:v>2484.2</x:v>
      </x:c>
      <x:c r="E119" s="24" t="n">
        <x:v>2493.4</x:v>
      </x:c>
      <x:c r="F119" s="24" t="n">
        <x:v>2474.6</x:v>
      </x:c>
      <x:c r="G119" s="24" t="n">
        <x:v>2480</x:v>
      </x:c>
      <x:c r="H119" s="25" t="n">
        <x:v>-0.0020923869306292975</x:v>
      </x:c>
      <x:c r="I119" s="24" t="n">
        <x:f>ROUND(E119-F119,1)</x:f>
        <x:v>18.8</x:v>
      </x:c>
      <x:c r="J119" s="23" t="str">
        <x:v>IH2406</x:v>
      </x:c>
    </x:row>
    <x:row r="120">
      <x:c r="A120" s="23" t="n">
        <x:v>18</x:v>
      </x:c>
      <x:c r="B120" s="23" t="str">
        <x:v>周三</x:v>
      </x:c>
      <x:c r="C120" s="23" t="str">
        <x:v>5月29日</x:v>
      </x:c>
      <x:c r="D120" s="24" t="n">
        <x:v>2483.2</x:v>
      </x:c>
      <x:c r="E120" s="24" t="n">
        <x:v>2501.8</x:v>
      </x:c>
      <x:c r="F120" s="24" t="n">
        <x:v>2476.6</x:v>
      </x:c>
      <x:c r="G120" s="24" t="n">
        <x:v>2481</x:v>
      </x:c>
      <x:c r="H120" s="25" t="n">
        <x:v>0.00040322580645169026</x:v>
      </x:c>
      <x:c r="I120" s="24" t="n">
        <x:f>ROUND(E120-F120,1)</x:f>
        <x:v>25.2</x:v>
      </x:c>
      <x:c r="J120" s="23" t="str">
        <x:v>IH2406</x:v>
      </x:c>
    </x:row>
    <x:row r="121">
      <x:c r="A121" s="23" t="n">
        <x:v>19</x:v>
      </x:c>
      <x:c r="B121" s="23" t="str">
        <x:v>周四</x:v>
      </x:c>
      <x:c r="C121" s="23" t="str">
        <x:v>5月30日</x:v>
      </x:c>
      <x:c r="D121" s="24" t="n">
        <x:v>2478</x:v>
      </x:c>
      <x:c r="E121" s="24" t="n">
        <x:v>2491.8</x:v>
      </x:c>
      <x:c r="F121" s="24" t="n">
        <x:v>2457.4</x:v>
      </x:c>
      <x:c r="G121" s="24" t="n">
        <x:v>2463.2</x:v>
      </x:c>
      <x:c r="H121" s="25" t="n">
        <x:v>-0.007174526400644976</x:v>
      </x:c>
      <x:c r="I121" s="24" t="n">
        <x:f>ROUND(E121-F121,1)</x:f>
        <x:v>34.4</x:v>
      </x:c>
      <x:c r="J121" s="23" t="str">
        <x:v>IH2406</x:v>
      </x:c>
    </x:row>
    <x:row r="122">
      <x:c r="A122" s="23" t="n">
        <x:v>20</x:v>
      </x:c>
      <x:c r="B122" s="23" t="str">
        <x:v>周五</x:v>
      </x:c>
      <x:c r="C122" s="23" t="str">
        <x:v>5月31日</x:v>
      </x:c>
      <x:c r="D122" s="24" t="n">
        <x:v>2472.4</x:v>
      </x:c>
      <x:c r="E122" s="24" t="n">
        <x:v>2478.4</x:v>
      </x:c>
      <x:c r="F122" s="24" t="n">
        <x:v>2452.8</x:v>
      </x:c>
      <x:c r="G122" s="24" t="n">
        <x:v>2456</x:v>
      </x:c>
      <x:c r="H122" s="25" t="n">
        <x:v>-0.002923026956804131</x:v>
      </x:c>
      <x:c r="I122" s="24" t="n">
        <x:f>ROUND(E122-F122,1)</x:f>
        <x:v>25.6</x:v>
      </x:c>
      <x:c r="J122" s="23" t="str">
        <x:v>IH2406</x:v>
      </x:c>
    </x:row>
    <x:row r="123">
      <x:c r="A123" s="36" t="str">
        <x:v>合计</x:v>
      </x:c>
      <x:c r="B123" s="35" t="n">
        <x:v>20</x:v>
      </x:c>
      <x:c r="C123" s="35"/>
      <x:c r="D123" s="35"/>
      <x:c r="E123" s="35"/>
      <x:c r="F123" s="35"/>
      <x:c r="G123" s="35"/>
      <x:c r="H123" s="35"/>
      <x:c r="I123" s="37" t="n">
        <x:f>ROUND(SUM(I103:I122),1)</x:f>
        <x:v>484</x:v>
      </x:c>
      <x:c r="J123" s="35"/>
    </x:row>
    <x:row r="124">
      <x:c r="A124" s="36" t="str">
        <x:v>均值</x:v>
      </x:c>
      <x:c r="B124" s="35"/>
      <x:c r="C124" s="35"/>
      <x:c r="D124" s="35"/>
      <x:c r="E124" s="35"/>
      <x:c r="F124" s="35"/>
      <x:c r="G124" s="35"/>
      <x:c r="H124" s="35"/>
      <x:c r="I124" s="39" t="n">
        <x:f>ROUND(IFERROR(AVERAGE(I103:I122),0),1)</x:f>
        <x:v>24.2</x:v>
      </x:c>
      <x:c r="J124" s="35"/>
    </x:row>
    <x:row r="126">
      <x:c r="A126" s="17" t="str">
        <x:v>6月</x:v>
      </x:c>
      <x:c r="B126" s="17"/>
      <x:c r="C126" s="17"/>
      <x:c r="D126" s="17"/>
      <x:c r="E126" s="17"/>
      <x:c r="F126" s="17"/>
      <x:c r="G126" s="17"/>
      <x:c r="H126" s="17"/>
      <x:c r="I126" s="17"/>
      <x:c r="J126" s="17"/>
    </x:row>
    <x:row r="127">
      <x:c r="A127" s="20" t="str">
        <x:v>序号</x:v>
      </x:c>
      <x:c r="B127" s="20" t="str">
        <x:v>星期</x:v>
      </x:c>
      <x:c r="C127" s="20" t="str">
        <x:v>日期</x:v>
      </x:c>
      <x:c r="D127" s="20" t="str">
        <x:v>开盘</x:v>
      </x:c>
      <x:c r="E127" s="20" t="str">
        <x:v>高点</x:v>
      </x:c>
      <x:c r="F127" s="20" t="str">
        <x:v>低点</x:v>
      </x:c>
      <x:c r="G127" s="20" t="str">
        <x:v>收盘</x:v>
      </x:c>
      <x:c r="H127" s="20" t="str">
        <x:v>涨幅</x:v>
      </x:c>
      <x:c r="I127" s="20" t="str">
        <x:v>振幅</x:v>
      </x:c>
      <x:c r="J127" s="20" t="str">
        <x:v>标的</x:v>
      </x:c>
    </x:row>
    <x:row r="128">
      <x:c r="A128" s="23" t="n">
        <x:v>1</x:v>
      </x:c>
      <x:c r="B128" s="23" t="str">
        <x:v>周一</x:v>
      </x:c>
      <x:c r="C128" s="23" t="str">
        <x:v>6月3日</x:v>
      </x:c>
      <x:c r="D128" s="24" t="n">
        <x:v>2451.4</x:v>
      </x:c>
      <x:c r="E128" s="24" t="n">
        <x:v>2465.2</x:v>
      </x:c>
      <x:c r="F128" s="24" t="n">
        <x:v>2443.2</x:v>
      </x:c>
      <x:c r="G128" s="24" t="n">
        <x:v>2456.8</x:v>
      </x:c>
      <x:c r="H128" s="25" t="n">
        <x:v>0.0003257328990229347</x:v>
      </x:c>
      <x:c r="I128" s="24" t="n">
        <x:f>ROUND(E128-F128,1)</x:f>
        <x:v>22</x:v>
      </x:c>
      <x:c r="J128" s="23" t="str">
        <x:v>IH2406</x:v>
      </x:c>
    </x:row>
    <x:row r="129">
      <x:c r="A129" s="23" t="n">
        <x:v>2</x:v>
      </x:c>
      <x:c r="B129" s="23" t="str">
        <x:v>周二</x:v>
      </x:c>
      <x:c r="C129" s="23" t="str">
        <x:v>6月4日</x:v>
      </x:c>
      <x:c r="D129" s="24" t="n">
        <x:v>2456</x:v>
      </x:c>
      <x:c r="E129" s="24" t="n">
        <x:v>2479.4</x:v>
      </x:c>
      <x:c r="F129" s="24" t="n">
        <x:v>2452</x:v>
      </x:c>
      <x:c r="G129" s="24" t="n">
        <x:v>2471.2</x:v>
      </x:c>
      <x:c r="H129" s="25" t="n">
        <x:v>0.0058612829697166635</x:v>
      </x:c>
      <x:c r="I129" s="24" t="n">
        <x:f>ROUND(E129-F129,1)</x:f>
        <x:v>27.4</x:v>
      </x:c>
      <x:c r="J129" s="23" t="str">
        <x:v>IH2406</x:v>
      </x:c>
    </x:row>
    <x:row r="130">
      <x:c r="A130" s="23" t="n">
        <x:v>3</x:v>
      </x:c>
      <x:c r="B130" s="23" t="str">
        <x:v>周三</x:v>
      </x:c>
      <x:c r="C130" s="23" t="str">
        <x:v>6月5日</x:v>
      </x:c>
      <x:c r="D130" s="24" t="n">
        <x:v>2468.8</x:v>
      </x:c>
      <x:c r="E130" s="24" t="n">
        <x:v>2474</x:v>
      </x:c>
      <x:c r="F130" s="24" t="n">
        <x:v>2459.6</x:v>
      </x:c>
      <x:c r="G130" s="24" t="n">
        <x:v>2460.2</x:v>
      </x:c>
      <x:c r="H130" s="25" t="n">
        <x:v>-0.004451278730980945</x:v>
      </x:c>
      <x:c r="I130" s="24" t="n">
        <x:f>ROUND(E130-F130,1)</x:f>
        <x:v>14.4</x:v>
      </x:c>
      <x:c r="J130" s="23" t="str">
        <x:v>IH2406</x:v>
      </x:c>
    </x:row>
    <x:row r="131">
      <x:c r="A131" s="23" t="n">
        <x:v>4</x:v>
      </x:c>
      <x:c r="B131" s="23" t="str">
        <x:v>周四</x:v>
      </x:c>
      <x:c r="C131" s="23" t="str">
        <x:v>6月6日</x:v>
      </x:c>
      <x:c r="D131" s="24" t="n">
        <x:v>2469</x:v>
      </x:c>
      <x:c r="E131" s="24" t="n">
        <x:v>2484</x:v>
      </x:c>
      <x:c r="F131" s="24" t="n">
        <x:v>2452</x:v>
      </x:c>
      <x:c r="G131" s="24" t="n">
        <x:v>2461.4</x:v>
      </x:c>
      <x:c r="H131" s="25" t="n">
        <x:v>0.0004877652223398421</x:v>
      </x:c>
      <x:c r="I131" s="24" t="n">
        <x:f>ROUND(E131-F131,1)</x:f>
        <x:v>32</x:v>
      </x:c>
      <x:c r="J131" s="23" t="str">
        <x:v>IH2406</x:v>
      </x:c>
    </x:row>
    <x:row r="132">
      <x:c r="A132" s="23" t="n">
        <x:v>5</x:v>
      </x:c>
      <x:c r="B132" s="23" t="str">
        <x:v>周五</x:v>
      </x:c>
      <x:c r="C132" s="23" t="str">
        <x:v>6月7日</x:v>
      </x:c>
      <x:c r="D132" s="24" t="n">
        <x:v>2467</x:v>
      </x:c>
      <x:c r="E132" s="24" t="n">
        <x:v>2472.4</x:v>
      </x:c>
      <x:c r="F132" s="24" t="n">
        <x:v>2437</x:v>
      </x:c>
      <x:c r="G132" s="24" t="n">
        <x:v>2448.4</x:v>
      </x:c>
      <x:c r="H132" s="25" t="n">
        <x:v>-0.005281547087023664</x:v>
      </x:c>
      <x:c r="I132" s="24" t="n">
        <x:f>ROUND(E132-F132,1)</x:f>
        <x:v>35.4</x:v>
      </x:c>
      <x:c r="J132" s="23" t="str">
        <x:v>IH2406</x:v>
      </x:c>
    </x:row>
    <x:row r="133">
      <x:c r="A133" s="23" t="n">
        <x:v>6</x:v>
      </x:c>
      <x:c r="B133" s="23" t="str">
        <x:v>周二</x:v>
      </x:c>
      <x:c r="C133" s="23" t="str">
        <x:v>6月11日</x:v>
      </x:c>
      <x:c r="D133" s="24" t="n">
        <x:v>2441.6</x:v>
      </x:c>
      <x:c r="E133" s="24" t="n">
        <x:v>2444.8</x:v>
      </x:c>
      <x:c r="F133" s="24" t="n">
        <x:v>2408.2</x:v>
      </x:c>
      <x:c r="G133" s="24" t="n">
        <x:v>2419</x:v>
      </x:c>
      <x:c r="H133" s="25" t="n">
        <x:v>-0.012007841855905976</x:v>
      </x:c>
      <x:c r="I133" s="24" t="n">
        <x:f>ROUND(E133-F133,1)</x:f>
        <x:v>36.6</x:v>
      </x:c>
      <x:c r="J133" s="23" t="str">
        <x:v>IH2406</x:v>
      </x:c>
    </x:row>
    <x:row r="134">
      <x:c r="A134" s="23" t="n">
        <x:v>7</x:v>
      </x:c>
      <x:c r="B134" s="23" t="str">
        <x:v>周三</x:v>
      </x:c>
      <x:c r="C134" s="23" t="str">
        <x:v>6月12日</x:v>
      </x:c>
      <x:c r="D134" s="24" t="n">
        <x:v>2413.2</x:v>
      </x:c>
      <x:c r="E134" s="24" t="n">
        <x:v>2420.2</x:v>
      </x:c>
      <x:c r="F134" s="24" t="n">
        <x:v>2406.6</x:v>
      </x:c>
      <x:c r="G134" s="24" t="n">
        <x:v>2415.2</x:v>
      </x:c>
      <x:c r="H134" s="25" t="n">
        <x:v>-0.0015708970649028764</x:v>
      </x:c>
      <x:c r="I134" s="24" t="n">
        <x:f>ROUND(E134-F134,1)</x:f>
        <x:v>13.6</x:v>
      </x:c>
      <x:c r="J134" s="23" t="str">
        <x:v>IH2406</x:v>
      </x:c>
    </x:row>
    <x:row r="135">
      <x:c r="A135" s="23" t="n">
        <x:v>8</x:v>
      </x:c>
      <x:c r="B135" s="23" t="str">
        <x:v>周四</x:v>
      </x:c>
      <x:c r="C135" s="23" t="str">
        <x:v>6月13日</x:v>
      </x:c>
      <x:c r="D135" s="24" t="n">
        <x:v>2419.2</x:v>
      </x:c>
      <x:c r="E135" s="24" t="n">
        <x:v>2419.8</x:v>
      </x:c>
      <x:c r="F135" s="24" t="n">
        <x:v>2397.8</x:v>
      </x:c>
      <x:c r="G135" s="24" t="n">
        <x:v>2405.4</x:v>
      </x:c>
      <x:c r="H135" s="25" t="n">
        <x:v>-0.00405763497846956</x:v>
      </x:c>
      <x:c r="I135" s="24" t="n">
        <x:f>ROUND(E135-F135,1)</x:f>
        <x:v>22</x:v>
      </x:c>
      <x:c r="J135" s="23" t="str">
        <x:v>IH2406</x:v>
      </x:c>
    </x:row>
    <x:row r="136">
      <x:c r="A136" s="23" t="n">
        <x:v>9</x:v>
      </x:c>
      <x:c r="B136" s="23" t="str">
        <x:v>周五</x:v>
      </x:c>
      <x:c r="C136" s="23" t="str">
        <x:v>6月14日</x:v>
      </x:c>
      <x:c r="D136" s="24" t="n">
        <x:v>2404.2</x:v>
      </x:c>
      <x:c r="E136" s="24" t="n">
        <x:v>2425.4</x:v>
      </x:c>
      <x:c r="F136" s="24" t="n">
        <x:v>2393.6</x:v>
      </x:c>
      <x:c r="G136" s="24" t="n">
        <x:v>2419.6</x:v>
      </x:c>
      <x:c r="H136" s="25" t="n">
        <x:v>0.005903384052548422</x:v>
      </x:c>
      <x:c r="I136" s="24" t="n">
        <x:f>ROUND(E136-F136,1)</x:f>
        <x:v>31.8</x:v>
      </x:c>
      <x:c r="J136" s="23" t="str">
        <x:v>IH2406</x:v>
      </x:c>
    </x:row>
    <x:row r="137">
      <x:c r="A137" s="23" t="n">
        <x:v>10</x:v>
      </x:c>
      <x:c r="B137" s="23" t="str">
        <x:v>周一</x:v>
      </x:c>
      <x:c r="C137" s="23" t="str">
        <x:v>6月17日</x:v>
      </x:c>
      <x:c r="D137" s="24" t="n">
        <x:v>2409.4</x:v>
      </x:c>
      <x:c r="E137" s="24" t="n">
        <x:v>2415</x:v>
      </x:c>
      <x:c r="F137" s="24" t="n">
        <x:v>2403.6</x:v>
      </x:c>
      <x:c r="G137" s="24" t="n">
        <x:v>2408.8</x:v>
      </x:c>
      <x:c r="H137" s="25" t="n">
        <x:v>-0.004463547693833614</x:v>
      </x:c>
      <x:c r="I137" s="24" t="n">
        <x:f>ROUND(E137-F137,1)</x:f>
        <x:v>11.4</x:v>
      </x:c>
      <x:c r="J137" s="23" t="str">
        <x:v>IH2406</x:v>
      </x:c>
    </x:row>
    <x:row r="138">
      <x:c r="A138" s="23" t="n">
        <x:v>11</x:v>
      </x:c>
      <x:c r="B138" s="23" t="str">
        <x:v>周二</x:v>
      </x:c>
      <x:c r="C138" s="23" t="str">
        <x:v>6月18日</x:v>
      </x:c>
      <x:c r="D138" s="24" t="n">
        <x:v>2409</x:v>
      </x:c>
      <x:c r="E138" s="24" t="n">
        <x:v>2419.6</x:v>
      </x:c>
      <x:c r="F138" s="24" t="n">
        <x:v>2402</x:v>
      </x:c>
      <x:c r="G138" s="24" t="n">
        <x:v>2408.8</x:v>
      </x:c>
      <x:c r="H138" s="25" t="n">
        <x:v>0</x:v>
      </x:c>
      <x:c r="I138" s="24" t="n">
        <x:f>ROUND(E138-F138,1)</x:f>
        <x:v>17.6</x:v>
      </x:c>
      <x:c r="J138" s="23" t="str">
        <x:v>IH2406</x:v>
      </x:c>
    </x:row>
    <x:row r="139">
      <x:c r="A139" s="23" t="n">
        <x:v>12</x:v>
      </x:c>
      <x:c r="B139" s="23" t="str">
        <x:v>周三</x:v>
      </x:c>
      <x:c r="C139" s="23" t="str">
        <x:v>6月19日</x:v>
      </x:c>
      <x:c r="D139" s="24" t="n">
        <x:v>2410</x:v>
      </x:c>
      <x:c r="E139" s="24" t="n">
        <x:v>2417.4</x:v>
      </x:c>
      <x:c r="F139" s="24" t="n">
        <x:v>2402.2</x:v>
      </x:c>
      <x:c r="G139" s="24" t="n">
        <x:v>2414.6</x:v>
      </x:c>
      <x:c r="H139" s="25" t="n">
        <x:v>0.0024078379275986883</x:v>
      </x:c>
      <x:c r="I139" s="24" t="n">
        <x:f>ROUND(E139-F139,1)</x:f>
        <x:v>15.2</x:v>
      </x:c>
      <x:c r="J139" s="23" t="str">
        <x:v>IH2406</x:v>
      </x:c>
    </x:row>
    <x:row r="140">
      <x:c r="A140" s="23" t="n">
        <x:v>13</x:v>
      </x:c>
      <x:c r="B140" s="23" t="str">
        <x:v>周四</x:v>
      </x:c>
      <x:c r="C140" s="23" t="str">
        <x:v>6月20日</x:v>
      </x:c>
      <x:c r="D140" s="24" t="n">
        <x:v>2415</x:v>
      </x:c>
      <x:c r="E140" s="24" t="n">
        <x:v>2423.2</x:v>
      </x:c>
      <x:c r="F140" s="24" t="n">
        <x:v>2406</x:v>
      </x:c>
      <x:c r="G140" s="24" t="n">
        <x:v>2409.2</x:v>
      </x:c>
      <x:c r="H140" s="25" t="n">
        <x:v>-0.002236395262155244</x:v>
      </x:c>
      <x:c r="I140" s="24" t="n">
        <x:f>ROUND(E140-F140,1)</x:f>
        <x:v>17.2</x:v>
      </x:c>
      <x:c r="J140" s="23" t="str">
        <x:v>IH2406</x:v>
      </x:c>
    </x:row>
    <x:row r="141">
      <x:c r="A141" s="29" t="n">
        <x:v>14</x:v>
      </x:c>
      <x:c r="B141" s="29" t="str">
        <x:v>周五</x:v>
      </x:c>
      <x:c r="C141" s="29" t="str">
        <x:v>6月21日</x:v>
      </x:c>
      <x:c r="D141" s="30" t="n">
        <x:v>2411.4</x:v>
      </x:c>
      <x:c r="E141" s="30" t="n">
        <x:v>2416.2</x:v>
      </x:c>
      <x:c r="F141" s="30" t="n">
        <x:v>2388</x:v>
      </x:c>
      <x:c r="G141" s="30" t="n">
        <x:v>2397.8</x:v>
      </x:c>
      <x:c r="H141" s="31" t="n">
        <x:v>-0.00473186119873803</x:v>
      </x:c>
      <x:c r="I141" s="30" t="n">
        <x:f>ROUND(E141-F141,1)</x:f>
        <x:v>28.2</x:v>
      </x:c>
      <x:c r="J141" s="29" t="str">
        <x:v>IH2406</x:v>
      </x:c>
    </x:row>
    <x:row r="142">
      <x:c r="A142" s="23" t="n">
        <x:v>15</x:v>
      </x:c>
      <x:c r="B142" s="23" t="str">
        <x:v>周一</x:v>
      </x:c>
      <x:c r="C142" s="23" t="str">
        <x:v>6月24日</x:v>
      </x:c>
      <x:c r="D142" s="24" t="n">
        <x:v>2355.6</x:v>
      </x:c>
      <x:c r="E142" s="24" t="n">
        <x:v>2384.2</x:v>
      </x:c>
      <x:c r="F142" s="24" t="n">
        <x:v>2351</x:v>
      </x:c>
      <x:c r="G142" s="24" t="n">
        <x:v>2368.8</x:v>
      </x:c>
      <x:c r="H142" s="25" t="n">
        <x:v>-0.010342814246392606</x:v>
      </x:c>
      <x:c r="I142" s="24" t="n">
        <x:f>ROUND(E142-F142,1)</x:f>
        <x:v>33.2</x:v>
      </x:c>
      <x:c r="J142" s="23" t="str">
        <x:v>IH2409</x:v>
      </x:c>
    </x:row>
    <x:row r="143">
      <x:c r="A143" s="23" t="n">
        <x:v>16</x:v>
      </x:c>
      <x:c r="B143" s="23" t="str">
        <x:v>周二</x:v>
      </x:c>
      <x:c r="C143" s="23" t="str">
        <x:v>6月25日</x:v>
      </x:c>
      <x:c r="D143" s="24" t="n">
        <x:v>2368</x:v>
      </x:c>
      <x:c r="E143" s="24" t="n">
        <x:v>2375.4</x:v>
      </x:c>
      <x:c r="F143" s="24" t="n">
        <x:v>2346.2</x:v>
      </x:c>
      <x:c r="G143" s="24" t="n">
        <x:v>2356.6</x:v>
      </x:c>
      <x:c r="H143" s="25" t="n">
        <x:v>-0.0056468605141172246</x:v>
      </x:c>
      <x:c r="I143" s="24" t="n">
        <x:f>ROUND(E143-F143,1)</x:f>
        <x:v>29.2</x:v>
      </x:c>
      <x:c r="J143" s="23" t="str">
        <x:v>IH2409</x:v>
      </x:c>
    </x:row>
    <x:row r="144">
      <x:c r="A144" s="23" t="n">
        <x:v>17</x:v>
      </x:c>
      <x:c r="B144" s="23" t="str">
        <x:v>周三</x:v>
      </x:c>
      <x:c r="C144" s="23" t="str">
        <x:v>6月26日</x:v>
      </x:c>
      <x:c r="D144" s="24" t="n">
        <x:v>2353.6</x:v>
      </x:c>
      <x:c r="E144" s="24" t="n">
        <x:v>2370</x:v>
      </x:c>
      <x:c r="F144" s="24" t="n">
        <x:v>2346.6</x:v>
      </x:c>
      <x:c r="G144" s="24" t="n">
        <x:v>2363.2</x:v>
      </x:c>
      <x:c r="H144" s="25" t="n">
        <x:v>0.0030513646380743165</x:v>
      </x:c>
      <x:c r="I144" s="24" t="n">
        <x:f>ROUND(E144-F144,1)</x:f>
        <x:v>23.4</x:v>
      </x:c>
      <x:c r="J144" s="23" t="str">
        <x:v>IH2409</x:v>
      </x:c>
    </x:row>
    <x:row r="145">
      <x:c r="A145" s="23" t="n">
        <x:v>18</x:v>
      </x:c>
      <x:c r="B145" s="23" t="str">
        <x:v>周四</x:v>
      </x:c>
      <x:c r="C145" s="23" t="str">
        <x:v>6月27日</x:v>
      </x:c>
      <x:c r="D145" s="24" t="n">
        <x:v>2359.2</x:v>
      </x:c>
      <x:c r="E145" s="24" t="n">
        <x:v>2361.2</x:v>
      </x:c>
      <x:c r="F145" s="24" t="n">
        <x:v>2342.2</x:v>
      </x:c>
      <x:c r="G145" s="24" t="n">
        <x:v>2353.4</x:v>
      </x:c>
      <x:c r="H145" s="25" t="n">
        <x:v>-0.00338009126246408</x:v>
      </x:c>
      <x:c r="I145" s="24" t="n">
        <x:f>ROUND(E145-F145,1)</x:f>
        <x:v>19</x:v>
      </x:c>
      <x:c r="J145" s="23" t="str">
        <x:v>IH2409</x:v>
      </x:c>
    </x:row>
    <x:row r="146">
      <x:c r="A146" s="23" t="n">
        <x:v>19</x:v>
      </x:c>
      <x:c r="B146" s="23" t="str">
        <x:v>周五</x:v>
      </x:c>
      <x:c r="C146" s="23" t="str">
        <x:v>6月28日</x:v>
      </x:c>
      <x:c r="D146" s="24" t="n">
        <x:v>2347.6</x:v>
      </x:c>
      <x:c r="E146" s="24" t="n">
        <x:v>2374.4</x:v>
      </x:c>
      <x:c r="F146" s="24" t="n">
        <x:v>2347.6</x:v>
      </x:c>
      <x:c r="G146" s="24" t="n">
        <x:v>2360.6</x:v>
      </x:c>
      <x:c r="H146" s="25" t="n">
        <x:v>0.0027132440223840426</x:v>
      </x:c>
      <x:c r="I146" s="24" t="n">
        <x:f>ROUND(E146-F146,1)</x:f>
        <x:v>26.8</x:v>
      </x:c>
      <x:c r="J146" s="23" t="str">
        <x:v>IH2409</x:v>
      </x:c>
    </x:row>
    <x:row r="147">
      <x:c r="A147" s="36" t="str">
        <x:v>合计</x:v>
      </x:c>
      <x:c r="B147" s="35" t="n">
        <x:v>19</x:v>
      </x:c>
      <x:c r="C147" s="35"/>
      <x:c r="D147" s="35"/>
      <x:c r="E147" s="35"/>
      <x:c r="F147" s="35"/>
      <x:c r="G147" s="35"/>
      <x:c r="H147" s="35"/>
      <x:c r="I147" s="37" t="n">
        <x:f>ROUND(SUM(I128:I146),1)</x:f>
        <x:v>456.4</x:v>
      </x:c>
      <x:c r="J147" s="35"/>
    </x:row>
    <x:row r="148">
      <x:c r="A148" s="36" t="str">
        <x:v>均值</x:v>
      </x:c>
      <x:c r="B148" s="35"/>
      <x:c r="C148" s="35"/>
      <x:c r="D148" s="35"/>
      <x:c r="E148" s="35"/>
      <x:c r="F148" s="35"/>
      <x:c r="G148" s="35"/>
      <x:c r="H148" s="35"/>
      <x:c r="I148" s="39" t="n">
        <x:f>ROUND(IFERROR(AVERAGE(I128:I146),0),1)</x:f>
        <x:v>24</x:v>
      </x:c>
      <x:c r="J148" s="35"/>
    </x:row>
    <x:row r="150">
      <x:c r="A150" s="17" t="str">
        <x:v>7月</x:v>
      </x:c>
      <x:c r="B150" s="17"/>
      <x:c r="C150" s="17"/>
      <x:c r="D150" s="17"/>
      <x:c r="E150" s="17"/>
      <x:c r="F150" s="17"/>
      <x:c r="G150" s="17"/>
      <x:c r="H150" s="17"/>
      <x:c r="I150" s="17"/>
      <x:c r="J150" s="17"/>
    </x:row>
    <x:row r="151">
      <x:c r="A151" s="20" t="str">
        <x:v>序号</x:v>
      </x:c>
      <x:c r="B151" s="20" t="str">
        <x:v>星期</x:v>
      </x:c>
      <x:c r="C151" s="20" t="str">
        <x:v>日期</x:v>
      </x:c>
      <x:c r="D151" s="20" t="str">
        <x:v>开盘</x:v>
      </x:c>
      <x:c r="E151" s="20" t="str">
        <x:v>高点</x:v>
      </x:c>
      <x:c r="F151" s="20" t="str">
        <x:v>低点</x:v>
      </x:c>
      <x:c r="G151" s="20" t="str">
        <x:v>收盘</x:v>
      </x:c>
      <x:c r="H151" s="20" t="str">
        <x:v>涨幅</x:v>
      </x:c>
      <x:c r="I151" s="20" t="str">
        <x:v>振幅</x:v>
      </x:c>
      <x:c r="J151" s="20" t="str">
        <x:v>标的</x:v>
      </x:c>
    </x:row>
    <x:row r="152">
      <x:c r="A152" s="23" t="n">
        <x:v>1</x:v>
      </x:c>
      <x:c r="B152" s="23" t="str">
        <x:v>周一</x:v>
      </x:c>
      <x:c r="C152" s="23" t="str">
        <x:v>7月1日</x:v>
      </x:c>
      <x:c r="D152" s="24" t="n">
        <x:v>2362.2</x:v>
      </x:c>
      <x:c r="E152" s="24" t="n">
        <x:v>2375</x:v>
      </x:c>
      <x:c r="F152" s="24" t="n">
        <x:v>2351.4</x:v>
      </x:c>
      <x:c r="G152" s="24" t="n">
        <x:v>2369</x:v>
      </x:c>
      <x:c r="H152" s="25" t="n">
        <x:v>0.003805175038051667</x:v>
      </x:c>
      <x:c r="I152" s="24" t="n">
        <x:f>ROUND(E152-F152,1)</x:f>
        <x:v>23.6</x:v>
      </x:c>
      <x:c r="J152" s="23" t="str">
        <x:v>IH2409</x:v>
      </x:c>
    </x:row>
    <x:row r="153">
      <x:c r="A153" s="23" t="n">
        <x:v>2</x:v>
      </x:c>
      <x:c r="B153" s="23" t="str">
        <x:v>周二</x:v>
      </x:c>
      <x:c r="C153" s="23" t="str">
        <x:v>7月2日</x:v>
      </x:c>
      <x:c r="D153" s="24" t="n">
        <x:v>2366</x:v>
      </x:c>
      <x:c r="E153" s="24" t="n">
        <x:v>2385.4</x:v>
      </x:c>
      <x:c r="F153" s="24" t="n">
        <x:v>2365</x:v>
      </x:c>
      <x:c r="G153" s="24" t="n">
        <x:v>2379</x:v>
      </x:c>
      <x:c r="H153" s="25" t="n">
        <x:v>0.004970095189958723</x:v>
      </x:c>
      <x:c r="I153" s="24" t="n">
        <x:f>ROUND(E153-F153,1)</x:f>
        <x:v>20.4</x:v>
      </x:c>
      <x:c r="J153" s="23" t="str">
        <x:v>IH2409</x:v>
      </x:c>
    </x:row>
    <x:row r="154">
      <x:c r="A154" s="23" t="n">
        <x:v>3</x:v>
      </x:c>
      <x:c r="B154" s="23" t="str">
        <x:v>周三</x:v>
      </x:c>
      <x:c r="C154" s="23" t="str">
        <x:v>7月3日</x:v>
      </x:c>
      <x:c r="D154" s="24" t="n">
        <x:v>2377.2</x:v>
      </x:c>
      <x:c r="E154" s="24" t="n">
        <x:v>2383</x:v>
      </x:c>
      <x:c r="F154" s="24" t="n">
        <x:v>2371</x:v>
      </x:c>
      <x:c r="G154" s="24" t="n">
        <x:v>2379</x:v>
      </x:c>
      <x:c r="H154" s="25" t="n">
        <x:v>-0.00025146689019273083</x:v>
      </x:c>
      <x:c r="I154" s="24" t="n">
        <x:f>ROUND(E154-F154,1)</x:f>
        <x:v>12</x:v>
      </x:c>
      <x:c r="J154" s="23" t="str">
        <x:v>IH2409</x:v>
      </x:c>
    </x:row>
    <x:row r="155">
      <x:c r="A155" s="23" t="n">
        <x:v>4</x:v>
      </x:c>
      <x:c r="B155" s="23" t="str">
        <x:v>周四</x:v>
      </x:c>
      <x:c r="C155" s="23" t="str">
        <x:v>7月4日</x:v>
      </x:c>
      <x:c r="D155" s="24" t="n">
        <x:v>2385.4</x:v>
      </x:c>
      <x:c r="E155" s="24" t="n">
        <x:v>2392.2</x:v>
      </x:c>
      <x:c r="F155" s="24" t="n">
        <x:v>2369.8</x:v>
      </x:c>
      <x:c r="G155" s="24" t="n">
        <x:v>2370</x:v>
      </x:c>
      <x:c r="H155" s="25" t="n">
        <x:v>-0.003689108744864722</x:v>
      </x:c>
      <x:c r="I155" s="24" t="n">
        <x:f>ROUND(E155-F155,1)</x:f>
        <x:v>22.4</x:v>
      </x:c>
      <x:c r="J155" s="23" t="str">
        <x:v>IH2409</x:v>
      </x:c>
    </x:row>
    <x:row r="156">
      <x:c r="A156" s="23" t="n">
        <x:v>5</x:v>
      </x:c>
      <x:c r="B156" s="23" t="str">
        <x:v>周五</x:v>
      </x:c>
      <x:c r="C156" s="23" t="str">
        <x:v>7月5日</x:v>
      </x:c>
      <x:c r="D156" s="24" t="n">
        <x:v>2370</x:v>
      </x:c>
      <x:c r="E156" s="24" t="n">
        <x:v>2374.8</x:v>
      </x:c>
      <x:c r="F156" s="24" t="n">
        <x:v>2328.6</x:v>
      </x:c>
      <x:c r="G156" s="24" t="n">
        <x:v>2345.2</x:v>
      </x:c>
      <x:c r="H156" s="25" t="n">
        <x:v>-0.010014306151645114</x:v>
      </x:c>
      <x:c r="I156" s="24" t="n">
        <x:f>ROUND(E156-F156,1)</x:f>
        <x:v>46.2</x:v>
      </x:c>
      <x:c r="J156" s="23" t="str">
        <x:v>IH2409</x:v>
      </x:c>
    </x:row>
    <x:row r="157">
      <x:c r="A157" s="23" t="n">
        <x:v>6</x:v>
      </x:c>
      <x:c r="B157" s="23" t="str">
        <x:v>周一</x:v>
      </x:c>
      <x:c r="C157" s="23" t="str">
        <x:v>7月8日</x:v>
      </x:c>
      <x:c r="D157" s="24" t="n">
        <x:v>2347.8</x:v>
      </x:c>
      <x:c r="E157" s="24" t="n">
        <x:v>2352.4</x:v>
      </x:c>
      <x:c r="F157" s="24" t="n">
        <x:v>2331.4</x:v>
      </x:c>
      <x:c r="G157" s="24" t="n">
        <x:v>2335.6</x:v>
      </x:c>
      <x:c r="H157" s="25" t="n">
        <x:v>-0.0034852091125469054</x:v>
      </x:c>
      <x:c r="I157" s="24" t="n">
        <x:f>ROUND(E157-F157,1)</x:f>
        <x:v>21</x:v>
      </x:c>
      <x:c r="J157" s="23" t="str">
        <x:v>IH2409</x:v>
      </x:c>
    </x:row>
    <x:row r="158">
      <x:c r="A158" s="23" t="n">
        <x:v>7</x:v>
      </x:c>
      <x:c r="B158" s="23" t="str">
        <x:v>周二</x:v>
      </x:c>
      <x:c r="C158" s="23" t="str">
        <x:v>7月9日</x:v>
      </x:c>
      <x:c r="D158" s="24" t="n">
        <x:v>2337</x:v>
      </x:c>
      <x:c r="E158" s="24" t="n">
        <x:v>2370</x:v>
      </x:c>
      <x:c r="F158" s="24" t="n">
        <x:v>2318.2</x:v>
      </x:c>
      <x:c r="G158" s="24" t="n">
        <x:v>2361.8</x:v>
      </x:c>
      <x:c r="H158" s="25" t="n">
        <x:v>0.009895078051693318</x:v>
      </x:c>
      <x:c r="I158" s="24" t="n">
        <x:f>ROUND(E158-F158,1)</x:f>
        <x:v>51.8</x:v>
      </x:c>
      <x:c r="J158" s="23" t="str">
        <x:v>IH2409</x:v>
      </x:c>
    </x:row>
    <x:row r="159">
      <x:c r="A159" s="23" t="n">
        <x:v>8</x:v>
      </x:c>
      <x:c r="B159" s="23" t="str">
        <x:v>周三</x:v>
      </x:c>
      <x:c r="C159" s="23" t="str">
        <x:v>7月10日</x:v>
      </x:c>
      <x:c r="D159" s="24" t="n">
        <x:v>2359.8</x:v>
      </x:c>
      <x:c r="E159" s="24" t="n">
        <x:v>2369.6</x:v>
      </x:c>
      <x:c r="F159" s="24" t="n">
        <x:v>2355.2</x:v>
      </x:c>
      <x:c r="G159" s="24" t="n">
        <x:v>2357</x:v>
      </x:c>
      <x:c r="H159" s="25" t="n">
        <x:v>-0.0014359320888589489</x:v>
      </x:c>
      <x:c r="I159" s="24" t="n">
        <x:f>ROUND(E159-F159,1)</x:f>
        <x:v>14.4</x:v>
      </x:c>
      <x:c r="J159" s="23" t="str">
        <x:v>IH2409</x:v>
      </x:c>
    </x:row>
    <x:row r="160">
      <x:c r="A160" s="23" t="n">
        <x:v>9</x:v>
      </x:c>
      <x:c r="B160" s="23" t="str">
        <x:v>周四</x:v>
      </x:c>
      <x:c r="C160" s="23" t="str">
        <x:v>7月11日</x:v>
      </x:c>
      <x:c r="D160" s="24" t="n">
        <x:v>2366.6</x:v>
      </x:c>
      <x:c r="E160" s="24" t="n">
        <x:v>2388</x:v>
      </x:c>
      <x:c r="F160" s="24" t="n">
        <x:v>2361.8</x:v>
      </x:c>
      <x:c r="G160" s="24" t="n">
        <x:v>2384.4</x:v>
      </x:c>
      <x:c r="H160" s="25" t="n">
        <x:v>0.009812214515310336</x:v>
      </x:c>
      <x:c r="I160" s="24" t="n">
        <x:f>ROUND(E160-F160,1)</x:f>
        <x:v>26.2</x:v>
      </x:c>
      <x:c r="J160" s="23" t="str">
        <x:v>IH2409</x:v>
      </x:c>
    </x:row>
    <x:row r="161">
      <x:c r="A161" s="23" t="n">
        <x:v>10</x:v>
      </x:c>
      <x:c r="B161" s="23" t="str">
        <x:v>周五</x:v>
      </x:c>
      <x:c r="C161" s="23" t="str">
        <x:v>7月12日</x:v>
      </x:c>
      <x:c r="D161" s="24" t="n">
        <x:v>2389.4</x:v>
      </x:c>
      <x:c r="E161" s="24" t="n">
        <x:v>2399</x:v>
      </x:c>
      <x:c r="F161" s="24" t="n">
        <x:v>2386</x:v>
      </x:c>
      <x:c r="G161" s="24" t="n">
        <x:v>2396.2</x:v>
      </x:c>
      <x:c r="H161" s="25" t="n">
        <x:v>0.005612330373596874</x:v>
      </x:c>
      <x:c r="I161" s="24" t="n">
        <x:f>ROUND(E161-F161,1)</x:f>
        <x:v>13</x:v>
      </x:c>
      <x:c r="J161" s="23" t="str">
        <x:v>IH2409</x:v>
      </x:c>
    </x:row>
    <x:row r="162">
      <x:c r="A162" s="23" t="n">
        <x:v>11</x:v>
      </x:c>
      <x:c r="B162" s="23" t="str">
        <x:v>周一</x:v>
      </x:c>
      <x:c r="C162" s="23" t="str">
        <x:v>7月15日</x:v>
      </x:c>
      <x:c r="D162" s="24" t="n">
        <x:v>2390</x:v>
      </x:c>
      <x:c r="E162" s="24" t="n">
        <x:v>2406</x:v>
      </x:c>
      <x:c r="F162" s="24" t="n">
        <x:v>2390</x:v>
      </x:c>
      <x:c r="G162" s="24" t="n">
        <x:v>2396.2</x:v>
      </x:c>
      <x:c r="H162" s="25" t="n">
        <x:v>0.0023323615160348865</x:v>
      </x:c>
      <x:c r="I162" s="24" t="n">
        <x:f>ROUND(E162-F162,1)</x:f>
        <x:v>16</x:v>
      </x:c>
      <x:c r="J162" s="23" t="str">
        <x:v>IH2409</x:v>
      </x:c>
    </x:row>
    <x:row r="163">
      <x:c r="A163" s="23" t="n">
        <x:v>12</x:v>
      </x:c>
      <x:c r="B163" s="23" t="str">
        <x:v>周二</x:v>
      </x:c>
      <x:c r="C163" s="23" t="str">
        <x:v>7月16日</x:v>
      </x:c>
      <x:c r="D163" s="24" t="n">
        <x:v>2392</x:v>
      </x:c>
      <x:c r="E163" s="24" t="n">
        <x:v>2406</x:v>
      </x:c>
      <x:c r="F163" s="24" t="n">
        <x:v>2388.8</x:v>
      </x:c>
      <x:c r="G163" s="24" t="n">
        <x:v>2403.8</x:v>
      </x:c>
      <x:c r="H163" s="25" t="n">
        <x:v>0.004155239757333895</x:v>
      </x:c>
      <x:c r="I163" s="24" t="n">
        <x:f>ROUND(E163-F163,1)</x:f>
        <x:v>17.2</x:v>
      </x:c>
      <x:c r="J163" s="23" t="str">
        <x:v>IH2409</x:v>
      </x:c>
    </x:row>
    <x:row r="164">
      <x:c r="A164" s="23" t="n">
        <x:v>13</x:v>
      </x:c>
      <x:c r="B164" s="23" t="str">
        <x:v>周三</x:v>
      </x:c>
      <x:c r="C164" s="23" t="str">
        <x:v>7月17日</x:v>
      </x:c>
      <x:c r="D164" s="24" t="n">
        <x:v>2405</x:v>
      </x:c>
      <x:c r="E164" s="24" t="n">
        <x:v>2418</x:v>
      </x:c>
      <x:c r="F164" s="24" t="n">
        <x:v>2402.6</x:v>
      </x:c>
      <x:c r="G164" s="24" t="n">
        <x:v>2411</x:v>
      </x:c>
      <x:c r="H164" s="25" t="n">
        <x:v>0.004717371513697</x:v>
      </x:c>
      <x:c r="I164" s="24" t="n">
        <x:f>ROUND(E164-F164,1)</x:f>
        <x:v>15.4</x:v>
      </x:c>
      <x:c r="J164" s="23" t="str">
        <x:v>IH2409</x:v>
      </x:c>
    </x:row>
    <x:row r="165">
      <x:c r="A165" s="23" t="n">
        <x:v>14</x:v>
      </x:c>
      <x:c r="B165" s="23" t="str">
        <x:v>周四</x:v>
      </x:c>
      <x:c r="C165" s="23" t="str">
        <x:v>7月18日</x:v>
      </x:c>
      <x:c r="D165" s="24" t="n">
        <x:v>2411</x:v>
      </x:c>
      <x:c r="E165" s="24" t="n">
        <x:v>2423.6</x:v>
      </x:c>
      <x:c r="F165" s="24" t="n">
        <x:v>2402.6</x:v>
      </x:c>
      <x:c r="G165" s="24" t="n">
        <x:v>2420.8</x:v>
      </x:c>
      <x:c r="H165" s="25" t="n">
        <x:v>0.0044481054365734796</x:v>
      </x:c>
      <x:c r="I165" s="24" t="n">
        <x:f>ROUND(E165-F165,1)</x:f>
        <x:v>21</x:v>
      </x:c>
      <x:c r="J165" s="23" t="str">
        <x:v>IH2409</x:v>
      </x:c>
    </x:row>
    <x:row r="166">
      <x:c r="A166" s="29" t="n">
        <x:v>15</x:v>
      </x:c>
      <x:c r="B166" s="29" t="str">
        <x:v>周五</x:v>
      </x:c>
      <x:c r="C166" s="29" t="str">
        <x:v>7月19日</x:v>
      </x:c>
      <x:c r="D166" s="30" t="n">
        <x:v>2411</x:v>
      </x:c>
      <x:c r="E166" s="30" t="n">
        <x:v>2434.8</x:v>
      </x:c>
      <x:c r="F166" s="30" t="n">
        <x:v>2406.6</x:v>
      </x:c>
      <x:c r="G166" s="30" t="n">
        <x:v>2431.2</x:v>
      </x:c>
      <x:c r="H166" s="31" t="n">
        <x:v>0.0031162866983762694</x:v>
      </x:c>
      <x:c r="I166" s="30" t="n">
        <x:f>ROUND(E166-F166,1)</x:f>
        <x:v>28.2</x:v>
      </x:c>
      <x:c r="J166" s="29" t="str">
        <x:v>IH2409</x:v>
      </x:c>
    </x:row>
    <x:row r="167">
      <x:c r="A167" s="23" t="n">
        <x:v>16</x:v>
      </x:c>
      <x:c r="B167" s="23" t="str">
        <x:v>周一</x:v>
      </x:c>
      <x:c r="C167" s="23" t="str">
        <x:v>7月22日</x:v>
      </x:c>
      <x:c r="D167" s="24" t="n">
        <x:v>2430</x:v>
      </x:c>
      <x:c r="E167" s="24" t="n">
        <x:v>2435.2</x:v>
      </x:c>
      <x:c r="F167" s="24" t="n">
        <x:v>2408</x:v>
      </x:c>
      <x:c r="G167" s="24" t="n">
        <x:v>2420</x:v>
      </x:c>
      <x:c r="H167" s="25" t="n">
        <x:v>-0.00972858077174632</x:v>
      </x:c>
      <x:c r="I167" s="24" t="n">
        <x:f>ROUND(E167-F167,1)</x:f>
        <x:v>27.2</x:v>
      </x:c>
      <x:c r="J167" s="23" t="str">
        <x:v>IH2409</x:v>
      </x:c>
    </x:row>
    <x:row r="168">
      <x:c r="A168" s="23" t="n">
        <x:v>17</x:v>
      </x:c>
      <x:c r="B168" s="23" t="str">
        <x:v>周二</x:v>
      </x:c>
      <x:c r="C168" s="23" t="str">
        <x:v>7月23日</x:v>
      </x:c>
      <x:c r="D168" s="24" t="n">
        <x:v>2417.8</x:v>
      </x:c>
      <x:c r="E168" s="24" t="n">
        <x:v>2421</x:v>
      </x:c>
      <x:c r="F168" s="24" t="n">
        <x:v>2389.4</x:v>
      </x:c>
      <x:c r="G168" s="24" t="n">
        <x:v>2393</x:v>
      </x:c>
      <x:c r="H168" s="25" t="n">
        <x:v>-0.011062494840254122</x:v>
      </x:c>
      <x:c r="I168" s="24" t="n">
        <x:f>ROUND(E168-F168,1)</x:f>
        <x:v>31.6</x:v>
      </x:c>
      <x:c r="J168" s="23" t="str">
        <x:v>IH2409</x:v>
      </x:c>
    </x:row>
    <x:row r="169">
      <x:c r="A169" s="23" t="n">
        <x:v>18</x:v>
      </x:c>
      <x:c r="B169" s="23" t="str">
        <x:v>周三</x:v>
      </x:c>
      <x:c r="C169" s="23" t="str">
        <x:v>7月24日</x:v>
      </x:c>
      <x:c r="D169" s="24" t="n">
        <x:v>2390</x:v>
      </x:c>
      <x:c r="E169" s="24" t="n">
        <x:v>2398.8</x:v>
      </x:c>
      <x:c r="F169" s="24" t="n">
        <x:v>2373.4</x:v>
      </x:c>
      <x:c r="G169" s="24" t="n">
        <x:v>2382.2</x:v>
      </x:c>
      <x:c r="H169" s="25" t="n">
        <x:v>-0.004674847650054326</x:v>
      </x:c>
      <x:c r="I169" s="24" t="n">
        <x:f>ROUND(E169-F169,1)</x:f>
        <x:v>25.4</x:v>
      </x:c>
      <x:c r="J169" s="23" t="str">
        <x:v>IH2409</x:v>
      </x:c>
    </x:row>
    <x:row r="170">
      <x:c r="A170" s="23" t="n">
        <x:v>19</x:v>
      </x:c>
      <x:c r="B170" s="23" t="str">
        <x:v>周四</x:v>
      </x:c>
      <x:c r="C170" s="23" t="str">
        <x:v>7月25日</x:v>
      </x:c>
      <x:c r="D170" s="24" t="n">
        <x:v>2380</x:v>
      </x:c>
      <x:c r="E170" s="24" t="n">
        <x:v>2380.2</x:v>
      </x:c>
      <x:c r="F170" s="24" t="n">
        <x:v>2349.2</x:v>
      </x:c>
      <x:c r="G170" s="24" t="n">
        <x:v>2357</x:v>
      </x:c>
      <x:c r="H170" s="25" t="n">
        <x:v>-0.010483938606055565</x:v>
      </x:c>
      <x:c r="I170" s="24" t="n">
        <x:f>ROUND(E170-F170,1)</x:f>
        <x:v>31</x:v>
      </x:c>
      <x:c r="J170" s="23" t="str">
        <x:v>IH2409</x:v>
      </x:c>
    </x:row>
    <x:row r="171">
      <x:c r="A171" s="23" t="n">
        <x:v>20</x:v>
      </x:c>
      <x:c r="B171" s="23" t="str">
        <x:v>周五</x:v>
      </x:c>
      <x:c r="C171" s="23" t="str">
        <x:v>7月26日</x:v>
      </x:c>
      <x:c r="D171" s="24" t="n">
        <x:v>2358.4</x:v>
      </x:c>
      <x:c r="E171" s="24" t="n">
        <x:v>2365.6</x:v>
      </x:c>
      <x:c r="F171" s="24" t="n">
        <x:v>2339.2</x:v>
      </x:c>
      <x:c r="G171" s="24" t="n">
        <x:v>2351.2</x:v>
      </x:c>
      <x:c r="H171" s="25" t="n">
        <x:v>-0.0031361247669097203</x:v>
      </x:c>
      <x:c r="I171" s="24" t="n">
        <x:f>ROUND(E171-F171,1)</x:f>
        <x:v>26.4</x:v>
      </x:c>
      <x:c r="J171" s="23" t="str">
        <x:v>IH2409</x:v>
      </x:c>
    </x:row>
    <x:row r="172">
      <x:c r="A172" s="23" t="n">
        <x:v>21</x:v>
      </x:c>
      <x:c r="B172" s="23" t="str">
        <x:v>周一</x:v>
      </x:c>
      <x:c r="C172" s="23" t="str">
        <x:v>7月29日</x:v>
      </x:c>
      <x:c r="D172" s="24" t="n">
        <x:v>2349.2</x:v>
      </x:c>
      <x:c r="E172" s="24" t="n">
        <x:v>2356.2</x:v>
      </x:c>
      <x:c r="F172" s="24" t="n">
        <x:v>2342.8</x:v>
      </x:c>
      <x:c r="G172" s="24" t="n">
        <x:v>2346.8</x:v>
      </x:c>
      <x:c r="H172" s="25" t="n">
        <x:v>-0.001955616019045925</x:v>
      </x:c>
      <x:c r="I172" s="24" t="n">
        <x:f>ROUND(E172-F172,1)</x:f>
        <x:v>13.4</x:v>
      </x:c>
      <x:c r="J172" s="23" t="str">
        <x:v>IH2409</x:v>
      </x:c>
    </x:row>
    <x:row r="173">
      <x:c r="A173" s="23" t="n">
        <x:v>22</x:v>
      </x:c>
      <x:c r="B173" s="23" t="str">
        <x:v>周二</x:v>
      </x:c>
      <x:c r="C173" s="23" t="str">
        <x:v>7月30日</x:v>
      </x:c>
      <x:c r="D173" s="24" t="n">
        <x:v>2341</x:v>
      </x:c>
      <x:c r="E173" s="24" t="n">
        <x:v>2343.2</x:v>
      </x:c>
      <x:c r="F173" s="24" t="n">
        <x:v>2319.6</x:v>
      </x:c>
      <x:c r="G173" s="24" t="n">
        <x:v>2331.2</x:v>
      </x:c>
      <x:c r="H173" s="25" t="n">
        <x:v>-0.006219117396489948</x:v>
      </x:c>
      <x:c r="I173" s="24" t="n">
        <x:f>ROUND(E173-F173,1)</x:f>
        <x:v>23.6</x:v>
      </x:c>
      <x:c r="J173" s="23" t="str">
        <x:v>IH2409</x:v>
      </x:c>
    </x:row>
    <x:row r="174">
      <x:c r="A174" s="23" t="n">
        <x:v>23</x:v>
      </x:c>
      <x:c r="B174" s="23" t="str">
        <x:v>周三</x:v>
      </x:c>
      <x:c r="C174" s="23" t="str">
        <x:v>7月31日</x:v>
      </x:c>
      <x:c r="D174" s="24" t="n">
        <x:v>2331.2</x:v>
      </x:c>
      <x:c r="E174" s="24" t="n">
        <x:v>2380.2</x:v>
      </x:c>
      <x:c r="F174" s="24" t="n">
        <x:v>2330.2</x:v>
      </x:c>
      <x:c r="G174" s="24" t="n">
        <x:v>2376</x:v>
      </x:c>
      <x:c r="H174" s="25" t="n">
        <x:v>0.018688384054864837</x:v>
      </x:c>
      <x:c r="I174" s="24" t="n">
        <x:f>ROUND(E174-F174,1)</x:f>
        <x:v>50</x:v>
      </x:c>
      <x:c r="J174" s="23" t="str">
        <x:v>IH2409</x:v>
      </x:c>
    </x:row>
    <x:row r="175">
      <x:c r="A175" s="36" t="str">
        <x:v>合计</x:v>
      </x:c>
      <x:c r="B175" s="35" t="n">
        <x:v>23</x:v>
      </x:c>
      <x:c r="C175" s="35"/>
      <x:c r="D175" s="35"/>
      <x:c r="E175" s="35"/>
      <x:c r="F175" s="35"/>
      <x:c r="G175" s="35"/>
      <x:c r="H175" s="35"/>
      <x:c r="I175" s="37" t="n">
        <x:f>ROUND(SUM(I152:I174),1)</x:f>
        <x:v>577.4</x:v>
      </x:c>
      <x:c r="J175" s="35"/>
    </x:row>
    <x:row r="176">
      <x:c r="A176" s="36" t="str">
        <x:v>均值</x:v>
      </x:c>
      <x:c r="B176" s="35"/>
      <x:c r="C176" s="35"/>
      <x:c r="D176" s="35"/>
      <x:c r="E176" s="35"/>
      <x:c r="F176" s="35"/>
      <x:c r="G176" s="35"/>
      <x:c r="H176" s="35"/>
      <x:c r="I176" s="39" t="n">
        <x:f>ROUND(IFERROR(AVERAGE(I152:I174),0),1)</x:f>
        <x:v>25.1</x:v>
      </x:c>
      <x:c r="J176" s="35"/>
    </x:row>
    <x:row r="178">
      <x:c r="A178" s="17" t="str">
        <x:v>8月</x:v>
      </x:c>
      <x:c r="B178" s="17"/>
      <x:c r="C178" s="17"/>
      <x:c r="D178" s="17"/>
      <x:c r="E178" s="17"/>
      <x:c r="F178" s="17"/>
      <x:c r="G178" s="17"/>
      <x:c r="H178" s="17"/>
      <x:c r="I178" s="17"/>
      <x:c r="J178" s="17"/>
    </x:row>
    <x:row r="179">
      <x:c r="A179" s="20" t="str">
        <x:v>序号</x:v>
      </x:c>
      <x:c r="B179" s="20" t="str">
        <x:v>星期</x:v>
      </x:c>
      <x:c r="C179" s="20" t="str">
        <x:v>日期</x:v>
      </x:c>
      <x:c r="D179" s="20" t="str">
        <x:v>开盘</x:v>
      </x:c>
      <x:c r="E179" s="20" t="str">
        <x:v>高点</x:v>
      </x:c>
      <x:c r="F179" s="20" t="str">
        <x:v>低点</x:v>
      </x:c>
      <x:c r="G179" s="20" t="str">
        <x:v>收盘</x:v>
      </x:c>
      <x:c r="H179" s="20" t="str">
        <x:v>涨幅</x:v>
      </x:c>
      <x:c r="I179" s="20" t="str">
        <x:v>振幅</x:v>
      </x:c>
      <x:c r="J179" s="20" t="str">
        <x:v>标的</x:v>
      </x:c>
    </x:row>
    <x:row r="180">
      <x:c r="A180" s="23" t="n">
        <x:v>1</x:v>
      </x:c>
      <x:c r="B180" s="23" t="str">
        <x:v>周四</x:v>
      </x:c>
      <x:c r="C180" s="23" t="str">
        <x:v>8月1日</x:v>
      </x:c>
      <x:c r="D180" s="24" t="n">
        <x:v>2374</x:v>
      </x:c>
      <x:c r="E180" s="24" t="n">
        <x:v>2379.2</x:v>
      </x:c>
      <x:c r="F180" s="24" t="n">
        <x:v>2359</x:v>
      </x:c>
      <x:c r="G180" s="24" t="n">
        <x:v>2360.4</x:v>
      </x:c>
      <x:c r="H180" s="25" t="n">
        <x:v>-0.006227383657325447</x:v>
      </x:c>
      <x:c r="I180" s="24" t="n">
        <x:f>ROUND(E180-F180,1)</x:f>
        <x:v>20.2</x:v>
      </x:c>
      <x:c r="J180" s="23" t="str">
        <x:v>IH2409</x:v>
      </x:c>
    </x:row>
    <x:row r="181">
      <x:c r="A181" s="23" t="n">
        <x:v>2</x:v>
      </x:c>
      <x:c r="B181" s="23" t="str">
        <x:v>周五</x:v>
      </x:c>
      <x:c r="C181" s="23" t="str">
        <x:v>8月2日</x:v>
      </x:c>
      <x:c r="D181" s="24" t="n">
        <x:v>2351.6</x:v>
      </x:c>
      <x:c r="E181" s="24" t="n">
        <x:v>2360.2</x:v>
      </x:c>
      <x:c r="F181" s="24" t="n">
        <x:v>2337</x:v>
      </x:c>
      <x:c r="G181" s="24" t="n">
        <x:v>2341.2</x:v>
      </x:c>
      <x:c r="H181" s="25" t="n">
        <x:v>-0.0062664069777289555</x:v>
      </x:c>
      <x:c r="I181" s="24" t="n">
        <x:f>ROUND(E181-F181,1)</x:f>
        <x:v>23.2</x:v>
      </x:c>
      <x:c r="J181" s="23" t="str">
        <x:v>IH2409</x:v>
      </x:c>
    </x:row>
    <x:row r="182">
      <x:c r="A182" s="23" t="n">
        <x:v>3</x:v>
      </x:c>
      <x:c r="B182" s="23" t="str">
        <x:v>周一</x:v>
      </x:c>
      <x:c r="C182" s="23" t="str">
        <x:v>8月5日</x:v>
      </x:c>
      <x:c r="D182" s="24" t="n">
        <x:v>2335</x:v>
      </x:c>
      <x:c r="E182" s="24" t="n">
        <x:v>2363.4</x:v>
      </x:c>
      <x:c r="F182" s="24" t="n">
        <x:v>2322.4</x:v>
      </x:c>
      <x:c r="G182" s="24" t="n">
        <x:v>2326.4</x:v>
      </x:c>
      <x:c r="H182" s="25" t="n">
        <x:v>-0.006817213463996552</x:v>
      </x:c>
      <x:c r="I182" s="24" t="n">
        <x:f>ROUND(E182-F182,1)</x:f>
        <x:v>41</x:v>
      </x:c>
      <x:c r="J182" s="23" t="str">
        <x:v>IH2409</x:v>
      </x:c>
    </x:row>
    <x:row r="183">
      <x:c r="A183" s="23" t="n">
        <x:v>4</x:v>
      </x:c>
      <x:c r="B183" s="23" t="str">
        <x:v>周二</x:v>
      </x:c>
      <x:c r="C183" s="23" t="str">
        <x:v>8月6日</x:v>
      </x:c>
      <x:c r="D183" s="24" t="n">
        <x:v>2343</x:v>
      </x:c>
      <x:c r="E183" s="24" t="n">
        <x:v>2346.8</x:v>
      </x:c>
      <x:c r="F183" s="24" t="n">
        <x:v>2290.8</x:v>
      </x:c>
      <x:c r="G183" s="24" t="n">
        <x:v>2309.4</x:v>
      </x:c>
      <x:c r="H183" s="25" t="n">
        <x:v>-0.007893607893607935</x:v>
      </x:c>
      <x:c r="I183" s="24" t="n">
        <x:f>ROUND(E183-F183,1)</x:f>
        <x:v>56</x:v>
      </x:c>
      <x:c r="J183" s="23" t="str">
        <x:v>IH2409</x:v>
      </x:c>
    </x:row>
    <x:row r="184">
      <x:c r="A184" s="23" t="n">
        <x:v>5</x:v>
      </x:c>
      <x:c r="B184" s="23" t="str">
        <x:v>周三</x:v>
      </x:c>
      <x:c r="C184" s="23" t="str">
        <x:v>8月7日</x:v>
      </x:c>
      <x:c r="D184" s="24" t="n">
        <x:v>2310.2</x:v>
      </x:c>
      <x:c r="E184" s="24" t="n">
        <x:v>2325.2</x:v>
      </x:c>
      <x:c r="F184" s="24" t="n">
        <x:v>2302.8</x:v>
      </x:c>
      <x:c r="G184" s="24" t="n">
        <x:v>2307.8</x:v>
      </x:c>
      <x:c r="H184" s="25" t="n">
        <x:v>-0.0002594482400760656</x:v>
      </x:c>
      <x:c r="I184" s="24" t="n">
        <x:f>ROUND(E184-F184,1)</x:f>
        <x:v>22.4</x:v>
      </x:c>
      <x:c r="J184" s="23" t="str">
        <x:v>IH2409</x:v>
      </x:c>
    </x:row>
    <x:row r="185">
      <x:c r="A185" s="23" t="n">
        <x:v>6</x:v>
      </x:c>
      <x:c r="B185" s="23" t="str">
        <x:v>周四</x:v>
      </x:c>
      <x:c r="C185" s="23" t="str">
        <x:v>8月8日</x:v>
      </x:c>
      <x:c r="D185" s="24" t="n">
        <x:v>2308</x:v>
      </x:c>
      <x:c r="E185" s="24" t="n">
        <x:v>2331.2</x:v>
      </x:c>
      <x:c r="F185" s="24" t="n">
        <x:v>2301</x:v>
      </x:c>
      <x:c r="G185" s="24" t="n">
        <x:v>2317</x:v>
      </x:c>
      <x:c r="H185" s="25" t="n">
        <x:v>0.003287197231833794</x:v>
      </x:c>
      <x:c r="I185" s="24" t="n">
        <x:f>ROUND(E185-F185,1)</x:f>
        <x:v>30.2</x:v>
      </x:c>
      <x:c r="J185" s="23" t="str">
        <x:v>IH2409</x:v>
      </x:c>
    </x:row>
    <x:row r="186">
      <x:c r="A186" s="23" t="n">
        <x:v>7</x:v>
      </x:c>
      <x:c r="B186" s="23" t="str">
        <x:v>周五</x:v>
      </x:c>
      <x:c r="C186" s="23" t="str">
        <x:v>8月9日</x:v>
      </x:c>
      <x:c r="D186" s="24" t="n">
        <x:v>2325.8</x:v>
      </x:c>
      <x:c r="E186" s="24" t="n">
        <x:v>2335</x:v>
      </x:c>
      <x:c r="F186" s="24" t="n">
        <x:v>2311.2</x:v>
      </x:c>
      <x:c r="G186" s="24" t="n">
        <x:v>2311.4</x:v>
      </x:c>
      <x:c r="H186" s="25" t="n">
        <x:v>-0.0017244352474564684</x:v>
      </x:c>
      <x:c r="I186" s="24" t="n">
        <x:f>ROUND(E186-F186,1)</x:f>
        <x:v>23.8</x:v>
      </x:c>
      <x:c r="J186" s="23" t="str">
        <x:v>IH2409</x:v>
      </x:c>
    </x:row>
    <x:row r="187">
      <x:c r="A187" s="23" t="n">
        <x:v>8</x:v>
      </x:c>
      <x:c r="B187" s="23" t="str">
        <x:v>周一</x:v>
      </x:c>
      <x:c r="C187" s="23" t="str">
        <x:v>8月12日</x:v>
      </x:c>
      <x:c r="D187" s="24" t="n">
        <x:v>2310.8</x:v>
      </x:c>
      <x:c r="E187" s="24" t="n">
        <x:v>2321.2</x:v>
      </x:c>
      <x:c r="F187" s="24" t="n">
        <x:v>2307.2</x:v>
      </x:c>
      <x:c r="G187" s="24" t="n">
        <x:v>2314.2</x:v>
      </x:c>
      <x:c r="H187" s="25" t="n">
        <x:v>0.0008637070305752559</x:v>
      </x:c>
      <x:c r="I187" s="24" t="n">
        <x:f>ROUND(E187-F187,1)</x:f>
        <x:v>14</x:v>
      </x:c>
      <x:c r="J187" s="23" t="str">
        <x:v>IH2409</x:v>
      </x:c>
    </x:row>
    <x:row r="188">
      <x:c r="A188" s="23" t="n">
        <x:v>9</x:v>
      </x:c>
      <x:c r="B188" s="23" t="str">
        <x:v>周二</x:v>
      </x:c>
      <x:c r="C188" s="23" t="str">
        <x:v>8月13日</x:v>
      </x:c>
      <x:c r="D188" s="24" t="n">
        <x:v>2312.8</x:v>
      </x:c>
      <x:c r="E188" s="24" t="n">
        <x:v>2318.4</x:v>
      </x:c>
      <x:c r="F188" s="24" t="n">
        <x:v>2300.8</x:v>
      </x:c>
      <x:c r="G188" s="24" t="n">
        <x:v>2314</x:v>
      </x:c>
      <x:c r="H188" s="25" t="n">
        <x:v>-0.0005177770107006596</x:v>
      </x:c>
      <x:c r="I188" s="24" t="n">
        <x:f>ROUND(E188-F188,1)</x:f>
        <x:v>17.6</x:v>
      </x:c>
      <x:c r="J188" s="23" t="str">
        <x:v>IH2409</x:v>
      </x:c>
    </x:row>
    <x:row r="189">
      <x:c r="A189" s="23" t="n">
        <x:v>10</x:v>
      </x:c>
      <x:c r="B189" s="23" t="str">
        <x:v>周三</x:v>
      </x:c>
      <x:c r="C189" s="23" t="str">
        <x:v>8月14日</x:v>
      </x:c>
      <x:c r="D189" s="24" t="n">
        <x:v>2314</x:v>
      </x:c>
      <x:c r="E189" s="24" t="n">
        <x:v>2315</x:v>
      </x:c>
      <x:c r="F189" s="24" t="n">
        <x:v>2299.2</x:v>
      </x:c>
      <x:c r="G189" s="24" t="n">
        <x:v>2299.6</x:v>
      </x:c>
      <x:c r="H189" s="25" t="n">
        <x:v>-0.005612156795026801</x:v>
      </x:c>
      <x:c r="I189" s="24" t="n">
        <x:f>ROUND(E189-F189,1)</x:f>
        <x:v>15.8</x:v>
      </x:c>
      <x:c r="J189" s="23" t="str">
        <x:v>IH2409</x:v>
      </x:c>
    </x:row>
    <x:row r="190">
      <x:c r="A190" s="23" t="n">
        <x:v>11</x:v>
      </x:c>
      <x:c r="B190" s="23" t="str">
        <x:v>周四</x:v>
      </x:c>
      <x:c r="C190" s="23" t="str">
        <x:v>8月15日</x:v>
      </x:c>
      <x:c r="D190" s="24" t="n">
        <x:v>2299</x:v>
      </x:c>
      <x:c r="E190" s="24" t="n">
        <x:v>2344.2</x:v>
      </x:c>
      <x:c r="F190" s="24" t="n">
        <x:v>2291.6</x:v>
      </x:c>
      <x:c r="G190" s="24" t="n">
        <x:v>2330.2</x:v>
      </x:c>
      <x:c r="H190" s="25" t="n">
        <x:v>0.013111053225666414</x:v>
      </x:c>
      <x:c r="I190" s="24" t="n">
        <x:f>ROUND(E190-F190,1)</x:f>
        <x:v>52.6</x:v>
      </x:c>
      <x:c r="J190" s="23" t="str">
        <x:v>IH2409</x:v>
      </x:c>
    </x:row>
    <x:row r="191">
      <x:c r="A191" s="29" t="n">
        <x:v>12</x:v>
      </x:c>
      <x:c r="B191" s="29" t="str">
        <x:v>周五</x:v>
      </x:c>
      <x:c r="C191" s="29" t="str">
        <x:v>8月16日</x:v>
      </x:c>
      <x:c r="D191" s="30" t="n">
        <x:v>2329.6</x:v>
      </x:c>
      <x:c r="E191" s="30" t="n">
        <x:v>2345</x:v>
      </x:c>
      <x:c r="F191" s="30" t="n">
        <x:v>2325</x:v>
      </x:c>
      <x:c r="G191" s="30" t="n">
        <x:v>2342</x:v>
      </x:c>
      <x:c r="H191" s="31" t="n">
        <x:v>0.003599588618443672</x:v>
      </x:c>
      <x:c r="I191" s="30" t="n">
        <x:f>ROUND(E191-F191,1)</x:f>
        <x:v>20</x:v>
      </x:c>
      <x:c r="J191" s="29" t="str">
        <x:v>IH2409</x:v>
      </x:c>
    </x:row>
    <x:row r="192">
      <x:c r="A192" s="23" t="n">
        <x:v>13</x:v>
      </x:c>
      <x:c r="B192" s="23" t="str">
        <x:v>周一</x:v>
      </x:c>
      <x:c r="C192" s="23" t="str">
        <x:v>8月19日</x:v>
      </x:c>
      <x:c r="D192" s="24" t="n">
        <x:v>2341</x:v>
      </x:c>
      <x:c r="E192" s="24" t="n">
        <x:v>2369</x:v>
      </x:c>
      <x:c r="F192" s="24" t="n">
        <x:v>2340.8</x:v>
      </x:c>
      <x:c r="G192" s="24" t="n">
        <x:v>2353.2</x:v>
      </x:c>
      <x:c r="H192" s="25" t="n">
        <x:v>0.004782237403928136</x:v>
      </x:c>
      <x:c r="I192" s="24" t="n">
        <x:f>ROUND(E192-F192,1)</x:f>
        <x:v>28.2</x:v>
      </x:c>
      <x:c r="J192" s="23" t="str">
        <x:v>IH2409</x:v>
      </x:c>
    </x:row>
    <x:row r="193">
      <x:c r="A193" s="23" t="n">
        <x:v>14</x:v>
      </x:c>
      <x:c r="B193" s="23" t="str">
        <x:v>周二</x:v>
      </x:c>
      <x:c r="C193" s="23" t="str">
        <x:v>8月20日</x:v>
      </x:c>
      <x:c r="D193" s="24" t="n">
        <x:v>2358.8</x:v>
      </x:c>
      <x:c r="E193" s="24" t="n">
        <x:v>2358.8</x:v>
      </x:c>
      <x:c r="F193" s="24" t="n">
        <x:v>2335</x:v>
      </x:c>
      <x:c r="G193" s="24" t="n">
        <x:v>2342.2</x:v>
      </x:c>
      <x:c r="H193" s="25" t="n">
        <x:v>-0.004674485806561268</x:v>
      </x:c>
      <x:c r="I193" s="24" t="n">
        <x:f>ROUND(E193-F193,1)</x:f>
        <x:v>23.8</x:v>
      </x:c>
      <x:c r="J193" s="23" t="str">
        <x:v>IH2409</x:v>
      </x:c>
    </x:row>
    <x:row r="194">
      <x:c r="A194" s="23" t="n">
        <x:v>15</x:v>
      </x:c>
      <x:c r="B194" s="23" t="str">
        <x:v>周三</x:v>
      </x:c>
      <x:c r="C194" s="23" t="str">
        <x:v>8月21日</x:v>
      </x:c>
      <x:c r="D194" s="24" t="n">
        <x:v>2340</x:v>
      </x:c>
      <x:c r="E194" s="24" t="n">
        <x:v>2341.2</x:v>
      </x:c>
      <x:c r="F194" s="24" t="n">
        <x:v>2320.2</x:v>
      </x:c>
      <x:c r="G194" s="24" t="n">
        <x:v>2334.6</x:v>
      </x:c>
      <x:c r="H194" s="25" t="n">
        <x:v>-0.0032448125693791408</x:v>
      </x:c>
      <x:c r="I194" s="24" t="n">
        <x:f>ROUND(E194-F194,1)</x:f>
        <x:v>21</x:v>
      </x:c>
      <x:c r="J194" s="23" t="str">
        <x:v>IH2409</x:v>
      </x:c>
    </x:row>
    <x:row r="195">
      <x:c r="A195" s="23" t="n">
        <x:v>16</x:v>
      </x:c>
      <x:c r="B195" s="23" t="str">
        <x:v>周四</x:v>
      </x:c>
      <x:c r="C195" s="23" t="str">
        <x:v>8月22日</x:v>
      </x:c>
      <x:c r="D195" s="24" t="n">
        <x:v>2336.4</x:v>
      </x:c>
      <x:c r="E195" s="24" t="n">
        <x:v>2343.4</x:v>
      </x:c>
      <x:c r="F195" s="24" t="n">
        <x:v>2326.6</x:v>
      </x:c>
      <x:c r="G195" s="24" t="n">
        <x:v>2334</x:v>
      </x:c>
      <x:c r="H195" s="25" t="n">
        <x:v>-0.0002570033410433936</x:v>
      </x:c>
      <x:c r="I195" s="24" t="n">
        <x:f>ROUND(E195-F195,1)</x:f>
        <x:v>16.8</x:v>
      </x:c>
      <x:c r="J195" s="23" t="str">
        <x:v>IH2409</x:v>
      </x:c>
    </x:row>
    <x:row r="196">
      <x:c r="A196" s="23" t="n">
        <x:v>17</x:v>
      </x:c>
      <x:c r="B196" s="23" t="str">
        <x:v>周五</x:v>
      </x:c>
      <x:c r="C196" s="23" t="str">
        <x:v>8月23日</x:v>
      </x:c>
      <x:c r="D196" s="24" t="n">
        <x:v>2334.8</x:v>
      </x:c>
      <x:c r="E196" s="24" t="n">
        <x:v>2359</x:v>
      </x:c>
      <x:c r="F196" s="24" t="n">
        <x:v>2333.4</x:v>
      </x:c>
      <x:c r="G196" s="24" t="n">
        <x:v>2352.6</x:v>
      </x:c>
      <x:c r="H196" s="25" t="n">
        <x:v>0.007969151670951025</x:v>
      </x:c>
      <x:c r="I196" s="24" t="n">
        <x:f>ROUND(E196-F196,1)</x:f>
        <x:v>25.6</x:v>
      </x:c>
      <x:c r="J196" s="23" t="str">
        <x:v>IH2409</x:v>
      </x:c>
    </x:row>
    <x:row r="197">
      <x:c r="A197" s="23" t="n">
        <x:v>18</x:v>
      </x:c>
      <x:c r="B197" s="23" t="str">
        <x:v>周一</x:v>
      </x:c>
      <x:c r="C197" s="23" t="str">
        <x:v>8月26日</x:v>
      </x:c>
      <x:c r="D197" s="24" t="n">
        <x:v>2355.2</x:v>
      </x:c>
      <x:c r="E197" s="24" t="n">
        <x:v>2361.2</x:v>
      </x:c>
      <x:c r="F197" s="24" t="n">
        <x:v>2337.6</x:v>
      </x:c>
      <x:c r="G197" s="24" t="n">
        <x:v>2349.6</x:v>
      </x:c>
      <x:c r="H197" s="25" t="n">
        <x:v>-0.0012751849018107775</x:v>
      </x:c>
      <x:c r="I197" s="24" t="n">
        <x:f>ROUND(E197-F197,1)</x:f>
        <x:v>23.6</x:v>
      </x:c>
      <x:c r="J197" s="23" t="str">
        <x:v>IH2409</x:v>
      </x:c>
    </x:row>
    <x:row r="198">
      <x:c r="A198" s="23" t="n">
        <x:v>19</x:v>
      </x:c>
      <x:c r="B198" s="23" t="str">
        <x:v>周二</x:v>
      </x:c>
      <x:c r="C198" s="23" t="str">
        <x:v>8月27日</x:v>
      </x:c>
      <x:c r="D198" s="24" t="n">
        <x:v>2346.2</x:v>
      </x:c>
      <x:c r="E198" s="24" t="n">
        <x:v>2351.6</x:v>
      </x:c>
      <x:c r="F198" s="24" t="n">
        <x:v>2340.8</x:v>
      </x:c>
      <x:c r="G198" s="24" t="n">
        <x:v>2350</x:v>
      </x:c>
      <x:c r="H198" s="25" t="n">
        <x:v>0.0001702417432754011</x:v>
      </x:c>
      <x:c r="I198" s="24" t="n">
        <x:f>ROUND(E198-F198,1)</x:f>
        <x:v>10.8</x:v>
      </x:c>
      <x:c r="J198" s="23" t="str">
        <x:v>IH2409</x:v>
      </x:c>
    </x:row>
    <x:row r="199">
      <x:c r="A199" s="23" t="n">
        <x:v>20</x:v>
      </x:c>
      <x:c r="B199" s="23" t="str">
        <x:v>周三</x:v>
      </x:c>
      <x:c r="C199" s="23" t="str">
        <x:v>8月28日</x:v>
      </x:c>
      <x:c r="D199" s="24" t="n">
        <x:v>2348</x:v>
      </x:c>
      <x:c r="E199" s="24" t="n">
        <x:v>2351.4</x:v>
      </x:c>
      <x:c r="F199" s="24" t="n">
        <x:v>2324.4</x:v>
      </x:c>
      <x:c r="G199" s="24" t="n">
        <x:v>2330</x:v>
      </x:c>
      <x:c r="H199" s="25" t="n">
        <x:v>-0.008510638297872353</x:v>
      </x:c>
      <x:c r="I199" s="24" t="n">
        <x:f>ROUND(E199-F199,1)</x:f>
        <x:v>27</x:v>
      </x:c>
      <x:c r="J199" s="23" t="str">
        <x:v>IH2409</x:v>
      </x:c>
    </x:row>
    <x:row r="200">
      <x:c r="A200" s="23" t="n">
        <x:v>21</x:v>
      </x:c>
      <x:c r="B200" s="23" t="str">
        <x:v>周四</x:v>
      </x:c>
      <x:c r="C200" s="23" t="str">
        <x:v>8月29日</x:v>
      </x:c>
      <x:c r="D200" s="24" t="n">
        <x:v>2326.4</x:v>
      </x:c>
      <x:c r="E200" s="24" t="n">
        <x:v>2331.6</x:v>
      </x:c>
      <x:c r="F200" s="24" t="n">
        <x:v>2312.6</x:v>
      </x:c>
      <x:c r="G200" s="24" t="n">
        <x:v>2314.6</x:v>
      </x:c>
      <x:c r="H200" s="25" t="n">
        <x:v>-0.006609442060085846</x:v>
      </x:c>
      <x:c r="I200" s="24" t="n">
        <x:f>ROUND(E200-F200,1)</x:f>
        <x:v>19</x:v>
      </x:c>
      <x:c r="J200" s="23" t="str">
        <x:v>IH2409</x:v>
      </x:c>
    </x:row>
    <x:row r="201">
      <x:c r="A201" s="23" t="n">
        <x:v>22</x:v>
      </x:c>
      <x:c r="B201" s="23" t="str">
        <x:v>周五</x:v>
      </x:c>
      <x:c r="C201" s="23" t="str">
        <x:v>8月30日</x:v>
      </x:c>
      <x:c r="D201" s="24" t="n">
        <x:v>2312.6</x:v>
      </x:c>
      <x:c r="E201" s="24" t="n">
        <x:v>2358.6</x:v>
      </x:c>
      <x:c r="F201" s="24" t="n">
        <x:v>2307.4</x:v>
      </x:c>
      <x:c r="G201" s="24" t="n">
        <x:v>2337</x:v>
      </x:c>
      <x:c r="H201" s="25" t="n">
        <x:v>0.00967769809038277</x:v>
      </x:c>
      <x:c r="I201" s="24" t="n">
        <x:f>ROUND(E201-F201,1)</x:f>
        <x:v>51.2</x:v>
      </x:c>
      <x:c r="J201" s="23" t="str">
        <x:v>IH2409</x:v>
      </x:c>
    </x:row>
    <x:row r="202">
      <x:c r="A202" s="36" t="str">
        <x:v>合计</x:v>
      </x:c>
      <x:c r="B202" s="35" t="n">
        <x:v>22</x:v>
      </x:c>
      <x:c r="C202" s="35"/>
      <x:c r="D202" s="35"/>
      <x:c r="E202" s="35"/>
      <x:c r="F202" s="35"/>
      <x:c r="G202" s="35"/>
      <x:c r="H202" s="35"/>
      <x:c r="I202" s="37" t="n">
        <x:f>ROUND(SUM(I180:I201),1)</x:f>
        <x:v>583.8</x:v>
      </x:c>
      <x:c r="J202" s="35"/>
    </x:row>
    <x:row r="203">
      <x:c r="A203" s="36" t="str">
        <x:v>均值</x:v>
      </x:c>
      <x:c r="B203" s="35"/>
      <x:c r="C203" s="35"/>
      <x:c r="D203" s="35"/>
      <x:c r="E203" s="35"/>
      <x:c r="F203" s="35"/>
      <x:c r="G203" s="35"/>
      <x:c r="H203" s="35"/>
      <x:c r="I203" s="39" t="n">
        <x:f>ROUND(IFERROR(AVERAGE(I180:I201),0),1)</x:f>
        <x:v>26.5</x:v>
      </x:c>
      <x:c r="J203" s="35"/>
    </x:row>
    <x:row r="205">
      <x:c r="A205" s="17" t="str">
        <x:v>9月</x:v>
      </x:c>
      <x:c r="B205" s="17"/>
      <x:c r="C205" s="17"/>
      <x:c r="D205" s="17"/>
      <x:c r="E205" s="17"/>
      <x:c r="F205" s="17"/>
      <x:c r="G205" s="17"/>
      <x:c r="H205" s="17"/>
      <x:c r="I205" s="17"/>
      <x:c r="J205" s="17"/>
    </x:row>
    <x:row r="206">
      <x:c r="A206" s="20" t="str">
        <x:v>序号</x:v>
      </x:c>
      <x:c r="B206" s="20" t="str">
        <x:v>星期</x:v>
      </x:c>
      <x:c r="C206" s="20" t="str">
        <x:v>日期</x:v>
      </x:c>
      <x:c r="D206" s="20" t="str">
        <x:v>开盘</x:v>
      </x:c>
      <x:c r="E206" s="20" t="str">
        <x:v>高点</x:v>
      </x:c>
      <x:c r="F206" s="20" t="str">
        <x:v>低点</x:v>
      </x:c>
      <x:c r="G206" s="20" t="str">
        <x:v>收盘</x:v>
      </x:c>
      <x:c r="H206" s="20" t="str">
        <x:v>涨幅</x:v>
      </x:c>
      <x:c r="I206" s="20" t="str">
        <x:v>振幅</x:v>
      </x:c>
      <x:c r="J206" s="20" t="str">
        <x:v>标的</x:v>
      </x:c>
    </x:row>
    <x:row r="207">
      <x:c r="A207" s="23" t="n">
        <x:v>1</x:v>
      </x:c>
      <x:c r="B207" s="23" t="str">
        <x:v>周一</x:v>
      </x:c>
      <x:c r="C207" s="23" t="str">
        <x:v>9月2日</x:v>
      </x:c>
      <x:c r="D207" s="24" t="n">
        <x:v>2326</x:v>
      </x:c>
      <x:c r="E207" s="24" t="n">
        <x:v>2328</x:v>
      </x:c>
      <x:c r="F207" s="24" t="n">
        <x:v>2296.2</x:v>
      </x:c>
      <x:c r="G207" s="24" t="n">
        <x:v>2299.6</x:v>
      </x:c>
      <x:c r="H207" s="25" t="n">
        <x:v>-0.016003423192126665</x:v>
      </x:c>
      <x:c r="I207" s="24" t="n">
        <x:f>ROUND(E207-F207,1)</x:f>
        <x:v>31.8</x:v>
      </x:c>
      <x:c r="J207" s="23" t="str">
        <x:v>IH2409</x:v>
      </x:c>
    </x:row>
    <x:row r="208">
      <x:c r="A208" s="23" t="n">
        <x:v>2</x:v>
      </x:c>
      <x:c r="B208" s="23" t="str">
        <x:v>周二</x:v>
      </x:c>
      <x:c r="C208" s="23" t="str">
        <x:v>9月3日</x:v>
      </x:c>
      <x:c r="D208" s="24" t="n">
        <x:v>2300.2</x:v>
      </x:c>
      <x:c r="E208" s="24" t="n">
        <x:v>2302.6</x:v>
      </x:c>
      <x:c r="F208" s="24" t="n">
        <x:v>2283.8</x:v>
      </x:c>
      <x:c r="G208" s="24" t="n">
        <x:v>2289</x:v>
      </x:c>
      <x:c r="H208" s="25" t="n">
        <x:v>-0.00460949730387894</x:v>
      </x:c>
      <x:c r="I208" s="24" t="n">
        <x:f>ROUND(E208-F208,1)</x:f>
        <x:v>18.8</x:v>
      </x:c>
      <x:c r="J208" s="23" t="str">
        <x:v>IH2409</x:v>
      </x:c>
    </x:row>
    <x:row r="209">
      <x:c r="A209" s="23" t="n">
        <x:v>3</x:v>
      </x:c>
      <x:c r="B209" s="23" t="str">
        <x:v>周三</x:v>
      </x:c>
      <x:c r="C209" s="23" t="str">
        <x:v>9月4日</x:v>
      </x:c>
      <x:c r="D209" s="24" t="n">
        <x:v>2282</x:v>
      </x:c>
      <x:c r="E209" s="24" t="n">
        <x:v>2290</x:v>
      </x:c>
      <x:c r="F209" s="24" t="n">
        <x:v>2264.6</x:v>
      </x:c>
      <x:c r="G209" s="24" t="n">
        <x:v>2269.4</x:v>
      </x:c>
      <x:c r="H209" s="25" t="n">
        <x:v>-0.008562691131498434</x:v>
      </x:c>
      <x:c r="I209" s="24" t="n">
        <x:f>ROUND(E209-F209,1)</x:f>
        <x:v>25.4</x:v>
      </x:c>
      <x:c r="J209" s="23" t="str">
        <x:v>IH2409</x:v>
      </x:c>
    </x:row>
    <x:row r="210">
      <x:c r="A210" s="23" t="n">
        <x:v>4</x:v>
      </x:c>
      <x:c r="B210" s="23" t="str">
        <x:v>周四</x:v>
      </x:c>
      <x:c r="C210" s="23" t="str">
        <x:v>9月5日</x:v>
      </x:c>
      <x:c r="D210" s="24" t="n">
        <x:v>2272</x:v>
      </x:c>
      <x:c r="E210" s="24" t="n">
        <x:v>2281.4</x:v>
      </x:c>
      <x:c r="F210" s="24" t="n">
        <x:v>2264</x:v>
      </x:c>
      <x:c r="G210" s="24" t="n">
        <x:v>2272.8</x:v>
      </x:c>
      <x:c r="H210" s="25" t="n">
        <x:v>0.0014981933550719528</x:v>
      </x:c>
      <x:c r="I210" s="24" t="n">
        <x:f>ROUND(E210-F210,1)</x:f>
        <x:v>17.4</x:v>
      </x:c>
      <x:c r="J210" s="23" t="str">
        <x:v>IH2409</x:v>
      </x:c>
    </x:row>
    <x:row r="211">
      <x:c r="A211" s="23" t="n">
        <x:v>5</x:v>
      </x:c>
      <x:c r="B211" s="23" t="str">
        <x:v>周五</x:v>
      </x:c>
      <x:c r="C211" s="23" t="str">
        <x:v>9月6日</x:v>
      </x:c>
      <x:c r="D211" s="24" t="n">
        <x:v>2277.2</x:v>
      </x:c>
      <x:c r="E211" s="24" t="n">
        <x:v>2289</x:v>
      </x:c>
      <x:c r="F211" s="24" t="n">
        <x:v>2258.8</x:v>
      </x:c>
      <x:c r="G211" s="24" t="n">
        <x:v>2261.4</x:v>
      </x:c>
      <x:c r="H211" s="25" t="n">
        <x:v>-0.0050158394931362205</x:v>
      </x:c>
      <x:c r="I211" s="24" t="n">
        <x:f>ROUND(E211-F211,1)</x:f>
        <x:v>30.2</x:v>
      </x:c>
      <x:c r="J211" s="23" t="str">
        <x:v>IH2409</x:v>
      </x:c>
    </x:row>
    <x:row r="212">
      <x:c r="A212" s="23" t="n">
        <x:v>6</x:v>
      </x:c>
      <x:c r="B212" s="23" t="str">
        <x:v>周一</x:v>
      </x:c>
      <x:c r="C212" s="23" t="str">
        <x:v>9月9日</x:v>
      </x:c>
      <x:c r="D212" s="24" t="n">
        <x:v>2255</x:v>
      </x:c>
      <x:c r="E212" s="24" t="n">
        <x:v>2257.2</x:v>
      </x:c>
      <x:c r="F212" s="24" t="n">
        <x:v>2223.8</x:v>
      </x:c>
      <x:c r="G212" s="24" t="n">
        <x:v>2233</x:v>
      </x:c>
      <x:c r="H212" s="25" t="n">
        <x:v>-0.012558592022640869</x:v>
      </x:c>
      <x:c r="I212" s="24" t="n">
        <x:f>ROUND(E212-F212,1)</x:f>
        <x:v>33.4</x:v>
      </x:c>
      <x:c r="J212" s="23" t="str">
        <x:v>IH2409</x:v>
      </x:c>
    </x:row>
    <x:row r="213">
      <x:c r="A213" s="23" t="n">
        <x:v>7</x:v>
      </x:c>
      <x:c r="B213" s="23" t="str">
        <x:v>周二</x:v>
      </x:c>
      <x:c r="C213" s="23" t="str">
        <x:v>9月10日</x:v>
      </x:c>
      <x:c r="D213" s="24" t="n">
        <x:v>2232</x:v>
      </x:c>
      <x:c r="E213" s="24" t="n">
        <x:v>2241</x:v>
      </x:c>
      <x:c r="F213" s="24" t="n">
        <x:v>2220.2</x:v>
      </x:c>
      <x:c r="G213" s="24" t="n">
        <x:v>2232.8</x:v>
      </x:c>
      <x:c r="H213" s="25" t="n">
        <x:v>-0.00008956560680695169</x:v>
      </x:c>
      <x:c r="I213" s="24" t="n">
        <x:f>ROUND(E213-F213,1)</x:f>
        <x:v>20.8</x:v>
      </x:c>
      <x:c r="J213" s="23" t="str">
        <x:v>IH2409</x:v>
      </x:c>
    </x:row>
    <x:row r="214">
      <x:c r="A214" s="23" t="n">
        <x:v>8</x:v>
      </x:c>
      <x:c r="B214" s="23" t="str">
        <x:v>周三</x:v>
      </x:c>
      <x:c r="C214" s="23" t="str">
        <x:v>9月11日</x:v>
      </x:c>
      <x:c r="D214" s="24" t="n">
        <x:v>2230.4</x:v>
      </x:c>
      <x:c r="E214" s="24" t="n">
        <x:v>2230.4</x:v>
      </x:c>
      <x:c r="F214" s="24" t="n">
        <x:v>2212.4</x:v>
      </x:c>
      <x:c r="G214" s="24" t="n">
        <x:v>2220.2</x:v>
      </x:c>
      <x:c r="H214" s="25" t="n">
        <x:v>-0.005643138659978675</x:v>
      </x:c>
      <x:c r="I214" s="24" t="n">
        <x:f>ROUND(E214-F214,1)</x:f>
        <x:v>18</x:v>
      </x:c>
      <x:c r="J214" s="23" t="str">
        <x:v>IH2409</x:v>
      </x:c>
    </x:row>
    <x:row r="215">
      <x:c r="A215" s="23" t="n">
        <x:v>9</x:v>
      </x:c>
      <x:c r="B215" s="23" t="str">
        <x:v>周四</x:v>
      </x:c>
      <x:c r="C215" s="23" t="str">
        <x:v>9月12日</x:v>
      </x:c>
      <x:c r="D215" s="24" t="n">
        <x:v>2223.4</x:v>
      </x:c>
      <x:c r="E215" s="24" t="n">
        <x:v>2228.8</x:v>
      </x:c>
      <x:c r="F215" s="24" t="n">
        <x:v>2208.8</x:v>
      </x:c>
      <x:c r="G215" s="24" t="n">
        <x:v>2211.2</x:v>
      </x:c>
      <x:c r="H215" s="25" t="n">
        <x:v>-0.0040536888568597496</x:v>
      </x:c>
      <x:c r="I215" s="24" t="n">
        <x:f>ROUND(E215-F215,1)</x:f>
        <x:v>20</x:v>
      </x:c>
      <x:c r="J215" s="23" t="str">
        <x:v>IH2409</x:v>
      </x:c>
    </x:row>
    <x:row r="216">
      <x:c r="A216" s="23" t="n">
        <x:v>10</x:v>
      </x:c>
      <x:c r="B216" s="23" t="str">
        <x:v>周五</x:v>
      </x:c>
      <x:c r="C216" s="23" t="str">
        <x:v>9月13日</x:v>
      </x:c>
      <x:c r="D216" s="24" t="n">
        <x:v>2212.2</x:v>
      </x:c>
      <x:c r="E216" s="24" t="n">
        <x:v>2226</x:v>
      </x:c>
      <x:c r="F216" s="24" t="n">
        <x:v>2204.2</x:v>
      </x:c>
      <x:c r="G216" s="24" t="n">
        <x:v>2204.4</x:v>
      </x:c>
      <x:c r="H216" s="25" t="n">
        <x:v>-0.003075253256150434</x:v>
      </x:c>
      <x:c r="I216" s="24" t="n">
        <x:f>ROUND(E216-F216,1)</x:f>
        <x:v>21.8</x:v>
      </x:c>
      <x:c r="J216" s="23" t="str">
        <x:v>IH2409</x:v>
      </x:c>
    </x:row>
    <x:row r="217">
      <x:c r="A217" s="23" t="n">
        <x:v>11</x:v>
      </x:c>
      <x:c r="B217" s="23" t="str">
        <x:v>周三</x:v>
      </x:c>
      <x:c r="C217" s="23" t="str">
        <x:v>9月18日</x:v>
      </x:c>
      <x:c r="D217" s="24" t="n">
        <x:v>2210.2</x:v>
      </x:c>
      <x:c r="E217" s="24" t="n">
        <x:v>2228.6</x:v>
      </x:c>
      <x:c r="F217" s="24" t="n">
        <x:v>2202.6</x:v>
      </x:c>
      <x:c r="G217" s="24" t="n">
        <x:v>2218.4</x:v>
      </x:c>
      <x:c r="H217" s="25" t="n">
        <x:v>0.006350934494647076</x:v>
      </x:c>
      <x:c r="I217" s="24" t="n">
        <x:f>ROUND(E217-F217,1)</x:f>
        <x:v>26</x:v>
      </x:c>
      <x:c r="J217" s="23" t="str">
        <x:v>IH2409</x:v>
      </x:c>
    </x:row>
    <x:row r="218">
      <x:c r="A218" s="23" t="n">
        <x:v>12</x:v>
      </x:c>
      <x:c r="B218" s="23" t="str">
        <x:v>周四</x:v>
      </x:c>
      <x:c r="C218" s="23" t="str">
        <x:v>9月19日</x:v>
      </x:c>
      <x:c r="D218" s="24" t="n">
        <x:v>2227</x:v>
      </x:c>
      <x:c r="E218" s="24" t="n">
        <x:v>2244.4</x:v>
      </x:c>
      <x:c r="F218" s="24" t="n">
        <x:v>2198.6</x:v>
      </x:c>
      <x:c r="G218" s="24" t="n">
        <x:v>2231.4</x:v>
      </x:c>
      <x:c r="H218" s="25" t="n">
        <x:v>0.005860079336458712</x:v>
      </x:c>
      <x:c r="I218" s="24" t="n">
        <x:f>ROUND(E218-F218,1)</x:f>
        <x:v>45.8</x:v>
      </x:c>
      <x:c r="J218" s="23" t="str">
        <x:v>IH2409</x:v>
      </x:c>
    </x:row>
    <x:row r="219">
      <x:c r="A219" s="29" t="n">
        <x:v>13</x:v>
      </x:c>
      <x:c r="B219" s="29" t="str">
        <x:v>周五</x:v>
      </x:c>
      <x:c r="C219" s="29" t="str">
        <x:v>9月20日</x:v>
      </x:c>
      <x:c r="D219" s="30" t="n">
        <x:v>2231.8</x:v>
      </x:c>
      <x:c r="E219" s="30" t="n">
        <x:v>2231.8</x:v>
      </x:c>
      <x:c r="F219" s="30" t="n">
        <x:v>2212.4</x:v>
      </x:c>
      <x:c r="G219" s="30" t="n">
        <x:v>2221.4</x:v>
      </x:c>
      <x:c r="H219" s="31" t="n">
        <x:v>-0.004481491440351371</x:v>
      </x:c>
      <x:c r="I219" s="30" t="n">
        <x:f>ROUND(E219-F219,1)</x:f>
        <x:v>19.4</x:v>
      </x:c>
      <x:c r="J219" s="29" t="str">
        <x:v>IH2409</x:v>
      </x:c>
    </x:row>
    <x:row r="220">
      <x:c r="A220" s="23" t="n">
        <x:v>14</x:v>
      </x:c>
      <x:c r="B220" s="23" t="str">
        <x:v>周一</x:v>
      </x:c>
      <x:c r="C220" s="23" t="str">
        <x:v>9月23日</x:v>
      </x:c>
      <x:c r="D220" s="24" t="n">
        <x:v>2228</x:v>
      </x:c>
      <x:c r="E220" s="24" t="n">
        <x:v>2252.4</x:v>
      </x:c>
      <x:c r="F220" s="24" t="n">
        <x:v>2227</x:v>
      </x:c>
      <x:c r="G220" s="24" t="n">
        <x:v>2240</x:v>
      </x:c>
      <x:c r="H220" s="25" t="n">
        <x:v>0.007922931484649176</x:v>
      </x:c>
      <x:c r="I220" s="24" t="n">
        <x:f>ROUND(E220-F220,1)</x:f>
        <x:v>25.4</x:v>
      </x:c>
      <x:c r="J220" s="23" t="str">
        <x:v>IH2412</x:v>
      </x:c>
    </x:row>
    <x:row r="221">
      <x:c r="A221" s="23" t="n">
        <x:v>15</x:v>
      </x:c>
      <x:c r="B221" s="23" t="str">
        <x:v>周二</x:v>
      </x:c>
      <x:c r="C221" s="23" t="str">
        <x:v>9月24日</x:v>
      </x:c>
      <x:c r="D221" s="24" t="n">
        <x:v>2265.8</x:v>
      </x:c>
      <x:c r="E221" s="24" t="n">
        <x:v>2363.2</x:v>
      </x:c>
      <x:c r="F221" s="24" t="n">
        <x:v>2254</x:v>
      </x:c>
      <x:c r="G221" s="24" t="n">
        <x:v>2362.6</x:v>
      </x:c>
      <x:c r="H221" s="25" t="n">
        <x:v>0.054041983028137563</x:v>
      </x:c>
      <x:c r="I221" s="33" t="n">
        <x:f>ROUND(E221-F221,1)</x:f>
        <x:v>109.2</x:v>
      </x:c>
      <x:c r="J221" s="23" t="str">
        <x:v>IH2412</x:v>
      </x:c>
    </x:row>
    <x:row r="222">
      <x:c r="A222" s="23" t="n">
        <x:v>16</x:v>
      </x:c>
      <x:c r="B222" s="23" t="str">
        <x:v>周三</x:v>
      </x:c>
      <x:c r="C222" s="23" t="str">
        <x:v>9月25日</x:v>
      </x:c>
      <x:c r="D222" s="24" t="n">
        <x:v>2391.6</x:v>
      </x:c>
      <x:c r="E222" s="24" t="n">
        <x:v>2439.8</x:v>
      </x:c>
      <x:c r="F222" s="24" t="n">
        <x:v>2382.6</x:v>
      </x:c>
      <x:c r="G222" s="24" t="n">
        <x:v>2390</x:v>
      </x:c>
      <x:c r="H222" s="25" t="n">
        <x:v>0.011355932203389818</x:v>
      </x:c>
      <x:c r="I222" s="24" t="n">
        <x:f>ROUND(E222-F222,1)</x:f>
        <x:v>57.2</x:v>
      </x:c>
      <x:c r="J222" s="23" t="str">
        <x:v>IH2412</x:v>
      </x:c>
    </x:row>
    <x:row r="223">
      <x:c r="A223" s="23" t="n">
        <x:v>17</x:v>
      </x:c>
      <x:c r="B223" s="23" t="str">
        <x:v>周四</x:v>
      </x:c>
      <x:c r="C223" s="23" t="str">
        <x:v>9月26日</x:v>
      </x:c>
      <x:c r="D223" s="24" t="n">
        <x:v>2392.6</x:v>
      </x:c>
      <x:c r="E223" s="24" t="n">
        <x:v>2538.2</x:v>
      </x:c>
      <x:c r="F223" s="24" t="n">
        <x:v>2389.6</x:v>
      </x:c>
      <x:c r="G223" s="24" t="n">
        <x:v>2528.8</x:v>
      </x:c>
      <x:c r="H223" s="25" t="n">
        <x:v>0.056980056980056926</x:v>
      </x:c>
      <x:c r="I223" s="33" t="n">
        <x:f>ROUND(E223-F223,1)</x:f>
        <x:v>148.6</x:v>
      </x:c>
      <x:c r="J223" s="23" t="str">
        <x:v>IH2412</x:v>
      </x:c>
    </x:row>
    <x:row r="224">
      <x:c r="A224" s="23" t="n">
        <x:v>18</x:v>
      </x:c>
      <x:c r="B224" s="23" t="str">
        <x:v>周五</x:v>
      </x:c>
      <x:c r="C224" s="23" t="str">
        <x:v>9月27日</x:v>
      </x:c>
      <x:c r="D224" s="24" t="n">
        <x:v>2566.2</x:v>
      </x:c>
      <x:c r="E224" s="24" t="n">
        <x:v>2746</x:v>
      </x:c>
      <x:c r="F224" s="24" t="n">
        <x:v>2520</x:v>
      </x:c>
      <x:c r="G224" s="24" t="n">
        <x:v>2660</x:v>
      </x:c>
      <x:c r="H224" s="25" t="n">
        <x:v>0.05184715395592199</x:v>
      </x:c>
      <x:c r="I224" s="33" t="n">
        <x:f>ROUND(E224-F224,1)</x:f>
        <x:v>226</x:v>
      </x:c>
      <x:c r="J224" s="23" t="str">
        <x:v>IH2412</x:v>
      </x:c>
    </x:row>
    <x:row r="225">
      <x:c r="A225" s="23" t="n">
        <x:v>19</x:v>
      </x:c>
      <x:c r="B225" s="23" t="str">
        <x:v>周一</x:v>
      </x:c>
      <x:c r="C225" s="23" t="str">
        <x:v>9月30日</x:v>
      </x:c>
      <x:c r="D225" s="24" t="n">
        <x:v>2750</x:v>
      </x:c>
      <x:c r="E225" s="24" t="n">
        <x:v>2896</x:v>
      </x:c>
      <x:c r="F225" s="24" t="n">
        <x:v>2644.6</x:v>
      </x:c>
      <x:c r="G225" s="24" t="n">
        <x:v>2885</x:v>
      </x:c>
      <x:c r="H225" s="25" t="n">
        <x:v>0.07717817304793506</x:v>
      </x:c>
      <x:c r="I225" s="33" t="n">
        <x:f>ROUND(E225-F225,1)</x:f>
        <x:v>251.4</x:v>
      </x:c>
      <x:c r="J225" s="23" t="str">
        <x:v>IH2412</x:v>
      </x:c>
    </x:row>
    <x:row r="226">
      <x:c r="A226" s="36" t="str">
        <x:v>合计</x:v>
      </x:c>
      <x:c r="B226" s="35" t="n">
        <x:v>19</x:v>
      </x:c>
      <x:c r="C226" s="35"/>
      <x:c r="D226" s="35"/>
      <x:c r="E226" s="35"/>
      <x:c r="F226" s="35"/>
      <x:c r="G226" s="35"/>
      <x:c r="H226" s="35"/>
      <x:c r="I226" s="37" t="n">
        <x:f>ROUND(SUM(I207:I225),1)</x:f>
        <x:v>1146.6</x:v>
      </x:c>
      <x:c r="J226" s="35"/>
    </x:row>
    <x:row r="227">
      <x:c r="A227" s="36" t="str">
        <x:v>均值</x:v>
      </x:c>
      <x:c r="B227" s="35"/>
      <x:c r="C227" s="35"/>
      <x:c r="D227" s="35"/>
      <x:c r="E227" s="35"/>
      <x:c r="F227" s="35"/>
      <x:c r="G227" s="35"/>
      <x:c r="H227" s="35"/>
      <x:c r="I227" s="39" t="n">
        <x:f>ROUND(IFERROR(AVERAGE(I207:I225),0),1)</x:f>
        <x:v>60.3</x:v>
      </x:c>
      <x:c r="J227" s="35"/>
    </x:row>
    <x:row r="229">
      <x:c r="A229" s="17" t="str">
        <x:v>10月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</x:row>
    <x:row r="230">
      <x:c r="A230" s="20" t="str">
        <x:v>序号</x:v>
      </x:c>
      <x:c r="B230" s="20" t="str">
        <x:v>星期</x:v>
      </x:c>
      <x:c r="C230" s="20" t="str">
        <x:v>日期</x:v>
      </x:c>
      <x:c r="D230" s="20" t="str">
        <x:v>开盘</x:v>
      </x:c>
      <x:c r="E230" s="20" t="str">
        <x:v>高点</x:v>
      </x:c>
      <x:c r="F230" s="20" t="str">
        <x:v>低点</x:v>
      </x:c>
      <x:c r="G230" s="20" t="str">
        <x:v>收盘</x:v>
      </x:c>
      <x:c r="H230" s="20" t="str">
        <x:v>涨幅</x:v>
      </x:c>
      <x:c r="I230" s="20" t="str">
        <x:v>振幅</x:v>
      </x:c>
      <x:c r="J230" s="20" t="str">
        <x:v>标的</x:v>
      </x:c>
    </x:row>
    <x:row r="231">
      <x:c r="A231" s="23" t="n">
        <x:v>1</x:v>
      </x:c>
      <x:c r="B231" s="23" t="str">
        <x:v>周二</x:v>
      </x:c>
      <x:c r="C231" s="23" t="str">
        <x:v>10月8日</x:v>
      </x:c>
      <x:c r="D231" s="24" t="n">
        <x:v>3138.8</x:v>
      </x:c>
      <x:c r="E231" s="24" t="n">
        <x:v>3138.8</x:v>
      </x:c>
      <x:c r="F231" s="24" t="n">
        <x:v>2828</x:v>
      </x:c>
      <x:c r="G231" s="24" t="n">
        <x:v>2850.4</x:v>
      </x:c>
      <x:c r="H231" s="25" t="n">
        <x:v>-0.0033585222502098278</x:v>
      </x:c>
      <x:c r="I231" s="33" t="n">
        <x:f>ROUND(E231-F231,1)</x:f>
        <x:v>310.8</x:v>
      </x:c>
      <x:c r="J231" s="23" t="str">
        <x:v>IH2412</x:v>
      </x:c>
    </x:row>
    <x:row r="232">
      <x:c r="A232" s="23" t="n">
        <x:v>2</x:v>
      </x:c>
      <x:c r="B232" s="23" t="str">
        <x:v>周三</x:v>
      </x:c>
      <x:c r="C232" s="23" t="str">
        <x:v>10月9日</x:v>
      </x:c>
      <x:c r="D232" s="24" t="n">
        <x:v>2820</x:v>
      </x:c>
      <x:c r="E232" s="24" t="n">
        <x:v>2843.8</x:v>
      </x:c>
      <x:c r="F232" s="24" t="n">
        <x:v>2644.4</x:v>
      </x:c>
      <x:c r="G232" s="24" t="n">
        <x:v>2652</x:v>
      </x:c>
      <x:c r="H232" s="25" t="n">
        <x:v>-0.06802864363942718</x:v>
      </x:c>
      <x:c r="I232" s="33" t="n">
        <x:f>ROUND(E232-F232,1)</x:f>
        <x:v>199.4</x:v>
      </x:c>
      <x:c r="J232" s="23" t="str">
        <x:v>IH2412</x:v>
      </x:c>
    </x:row>
    <x:row r="233">
      <x:c r="A233" s="23" t="n">
        <x:v>3</x:v>
      </x:c>
      <x:c r="B233" s="23" t="str">
        <x:v>周四</x:v>
      </x:c>
      <x:c r="C233" s="23" t="str">
        <x:v>10月10日</x:v>
      </x:c>
      <x:c r="D233" s="24" t="n">
        <x:v>2698</x:v>
      </x:c>
      <x:c r="E233" s="24" t="n">
        <x:v>2828.6</x:v>
      </x:c>
      <x:c r="F233" s="24" t="n">
        <x:v>2690</x:v>
      </x:c>
      <x:c r="G233" s="24" t="n">
        <x:v>2751.4</x:v>
      </x:c>
      <x:c r="H233" s="25" t="n">
        <x:v>0.03585687382297542</x:v>
      </x:c>
      <x:c r="I233" s="33" t="n">
        <x:f>ROUND(E233-F233,1)</x:f>
        <x:v>138.6</x:v>
      </x:c>
      <x:c r="J233" s="23" t="str">
        <x:v>IH2412</x:v>
      </x:c>
    </x:row>
    <x:row r="234">
      <x:c r="A234" s="23" t="n">
        <x:v>4</x:v>
      </x:c>
      <x:c r="B234" s="23" t="str">
        <x:v>周五</x:v>
      </x:c>
      <x:c r="C234" s="23" t="str">
        <x:v>10月11日</x:v>
      </x:c>
      <x:c r="D234" s="24" t="n">
        <x:v>2745.8</x:v>
      </x:c>
      <x:c r="E234" s="24" t="n">
        <x:v>2760.6</x:v>
      </x:c>
      <x:c r="F234" s="24" t="n">
        <x:v>2656</x:v>
      </x:c>
      <x:c r="G234" s="24" t="n">
        <x:v>2698.6</x:v>
      </x:c>
      <x:c r="H234" s="25" t="n">
        <x:v>-0.02225292705985016</x:v>
      </x:c>
      <x:c r="I234" s="33" t="n">
        <x:f>ROUND(E234-F234,1)</x:f>
        <x:v>104.6</x:v>
      </x:c>
      <x:c r="J234" s="23" t="str">
        <x:v>IH2412</x:v>
      </x:c>
    </x:row>
    <x:row r="235">
      <x:c r="A235" s="23" t="n">
        <x:v>5</x:v>
      </x:c>
      <x:c r="B235" s="23" t="str">
        <x:v>周一</x:v>
      </x:c>
      <x:c r="C235" s="23" t="str">
        <x:v>10月14日</x:v>
      </x:c>
      <x:c r="D235" s="24" t="n">
        <x:v>2720</x:v>
      </x:c>
      <x:c r="E235" s="24" t="n">
        <x:v>2751</x:v>
      </x:c>
      <x:c r="F235" s="24" t="n">
        <x:v>2682.4</x:v>
      </x:c>
      <x:c r="G235" s="24" t="n">
        <x:v>2725</x:v>
      </x:c>
      <x:c r="H235" s="25" t="n">
        <x:v>0.011007809594644868</x:v>
      </x:c>
      <x:c r="I235" s="33" t="n">
        <x:f>ROUND(E235-F235,1)</x:f>
        <x:v>68.6</x:v>
      </x:c>
      <x:c r="J235" s="23" t="str">
        <x:v>IH2412</x:v>
      </x:c>
    </x:row>
    <x:row r="236">
      <x:c r="A236" s="23" t="n">
        <x:v>6</x:v>
      </x:c>
      <x:c r="B236" s="23" t="str">
        <x:v>周二</x:v>
      </x:c>
      <x:c r="C236" s="23" t="str">
        <x:v>10月15日</x:v>
      </x:c>
      <x:c r="D236" s="24" t="n">
        <x:v>2702</x:v>
      </x:c>
      <x:c r="E236" s="24" t="n">
        <x:v>2735</x:v>
      </x:c>
      <x:c r="F236" s="24" t="n">
        <x:v>2652.8</x:v>
      </x:c>
      <x:c r="G236" s="24" t="n">
        <x:v>2653</x:v>
      </x:c>
      <x:c r="H236" s="25" t="n">
        <x:v>-0.02413006694622233</x:v>
      </x:c>
      <x:c r="I236" s="33" t="n">
        <x:f>ROUND(E236-F236,1)</x:f>
        <x:v>82.2</x:v>
      </x:c>
      <x:c r="J236" s="23" t="str">
        <x:v>IH2412</x:v>
      </x:c>
    </x:row>
    <x:row r="237">
      <x:c r="A237" s="23" t="n">
        <x:v>7</x:v>
      </x:c>
      <x:c r="B237" s="23" t="str">
        <x:v>周三</x:v>
      </x:c>
      <x:c r="C237" s="23" t="str">
        <x:v>10月16日</x:v>
      </x:c>
      <x:c r="D237" s="24" t="n">
        <x:v>2631</x:v>
      </x:c>
      <x:c r="E237" s="24" t="n">
        <x:v>2687.2</x:v>
      </x:c>
      <x:c r="F237" s="24" t="n">
        <x:v>2628</x:v>
      </x:c>
      <x:c r="G237" s="24" t="n">
        <x:v>2654</x:v>
      </x:c>
      <x:c r="H237" s="25" t="n">
        <x:v>-0.0008292499057669378</x:v>
      </x:c>
      <x:c r="I237" s="24" t="n">
        <x:f>ROUND(E237-F237,1)</x:f>
        <x:v>59.2</x:v>
      </x:c>
      <x:c r="J237" s="23" t="str">
        <x:v>IH2412</x:v>
      </x:c>
    </x:row>
    <x:row r="238">
      <x:c r="A238" s="23" t="n">
        <x:v>8</x:v>
      </x:c>
      <x:c r="B238" s="23" t="str">
        <x:v>周四</x:v>
      </x:c>
      <x:c r="C238" s="23" t="str">
        <x:v>10月17日</x:v>
      </x:c>
      <x:c r="D238" s="24" t="n">
        <x:v>2672</x:v>
      </x:c>
      <x:c r="E238" s="24" t="n">
        <x:v>2688</x:v>
      </x:c>
      <x:c r="F238" s="24" t="n">
        <x:v>2606</x:v>
      </x:c>
      <x:c r="G238" s="24" t="n">
        <x:v>2607</x:v>
      </x:c>
      <x:c r="H238" s="25" t="n">
        <x:v>-0.016523313716613974</x:v>
      </x:c>
      <x:c r="I238" s="33" t="n">
        <x:f>ROUND(E238-F238,1)</x:f>
        <x:v>82</x:v>
      </x:c>
      <x:c r="J238" s="23" t="str">
        <x:v>IH2412</x:v>
      </x:c>
    </x:row>
    <x:row r="239">
      <x:c r="A239" s="29" t="n">
        <x:v>9</x:v>
      </x:c>
      <x:c r="B239" s="29" t="str">
        <x:v>周五</x:v>
      </x:c>
      <x:c r="C239" s="29" t="str">
        <x:v>10月18日</x:v>
      </x:c>
      <x:c r="D239" s="30" t="n">
        <x:v>2604.6</x:v>
      </x:c>
      <x:c r="E239" s="30" t="n">
        <x:v>2769.8</x:v>
      </x:c>
      <x:c r="F239" s="30" t="n">
        <x:v>2588.8</x:v>
      </x:c>
      <x:c r="G239" s="30" t="n">
        <x:v>2696.2</x:v>
      </x:c>
      <x:c r="H239" s="31" t="n">
        <x:v>0.03421557345607962</x:v>
      </x:c>
      <x:c r="I239" s="33" t="n">
        <x:f>ROUND(E239-F239,1)</x:f>
        <x:v>181</x:v>
      </x:c>
      <x:c r="J239" s="29" t="str">
        <x:v>IH2412</x:v>
      </x:c>
    </x:row>
    <x:row r="240">
      <x:c r="A240" s="23" t="n">
        <x:v>10</x:v>
      </x:c>
      <x:c r="B240" s="23" t="str">
        <x:v>周一</x:v>
      </x:c>
      <x:c r="C240" s="23" t="str">
        <x:v>10月21日</x:v>
      </x:c>
      <x:c r="D240" s="24" t="n">
        <x:v>2706</x:v>
      </x:c>
      <x:c r="E240" s="24" t="n">
        <x:v>2714.4</x:v>
      </x:c>
      <x:c r="F240" s="24" t="n">
        <x:v>2672.2</x:v>
      </x:c>
      <x:c r="G240" s="24" t="n">
        <x:v>2690.8</x:v>
      </x:c>
      <x:c r="H240" s="25" t="n">
        <x:v>-0.0020028187819893795</x:v>
      </x:c>
      <x:c r="I240" s="24" t="n">
        <x:f>ROUND(E240-F240,1)</x:f>
        <x:v>42.2</x:v>
      </x:c>
      <x:c r="J240" s="23" t="str">
        <x:v>IH2412</x:v>
      </x:c>
    </x:row>
    <x:row r="241">
      <x:c r="A241" s="23" t="n">
        <x:v>11</x:v>
      </x:c>
      <x:c r="B241" s="23" t="str">
        <x:v>周二</x:v>
      </x:c>
      <x:c r="C241" s="23" t="str">
        <x:v>10月22日</x:v>
      </x:c>
      <x:c r="D241" s="24" t="n">
        <x:v>2691</x:v>
      </x:c>
      <x:c r="E241" s="24" t="n">
        <x:v>2725.4</x:v>
      </x:c>
      <x:c r="F241" s="24" t="n">
        <x:v>2685.2</x:v>
      </x:c>
      <x:c r="G241" s="24" t="n">
        <x:v>2706</x:v>
      </x:c>
      <x:c r="H241" s="25" t="n">
        <x:v>0.005648877657202345</x:v>
      </x:c>
      <x:c r="I241" s="24" t="n">
        <x:f>ROUND(E241-F241,1)</x:f>
        <x:v>40.2</x:v>
      </x:c>
      <x:c r="J241" s="23" t="str">
        <x:v>IH2412</x:v>
      </x:c>
    </x:row>
    <x:row r="242">
      <x:c r="A242" s="23" t="n">
        <x:v>12</x:v>
      </x:c>
      <x:c r="B242" s="23" t="str">
        <x:v>周三</x:v>
      </x:c>
      <x:c r="C242" s="23" t="str">
        <x:v>10月23日</x:v>
      </x:c>
      <x:c r="D242" s="24" t="n">
        <x:v>2703</x:v>
      </x:c>
      <x:c r="E242" s="24" t="n">
        <x:v>2742.8</x:v>
      </x:c>
      <x:c r="F242" s="24" t="n">
        <x:v>2696.4</x:v>
      </x:c>
      <x:c r="G242" s="24" t="n">
        <x:v>2718.6</x:v>
      </x:c>
      <x:c r="H242" s="25" t="n">
        <x:v>0.004656319290465616</x:v>
      </x:c>
      <x:c r="I242" s="24" t="n">
        <x:f>ROUND(E242-F242,1)</x:f>
        <x:v>46.4</x:v>
      </x:c>
      <x:c r="J242" s="23" t="str">
        <x:v>IH2412</x:v>
      </x:c>
    </x:row>
    <x:row r="243">
      <x:c r="A243" s="23" t="n">
        <x:v>13</x:v>
      </x:c>
      <x:c r="B243" s="23" t="str">
        <x:v>周四</x:v>
      </x:c>
      <x:c r="C243" s="23" t="str">
        <x:v>10月24日</x:v>
      </x:c>
      <x:c r="D243" s="24" t="n">
        <x:v>2708</x:v>
      </x:c>
      <x:c r="E243" s="24" t="n">
        <x:v>2713.6</x:v>
      </x:c>
      <x:c r="F243" s="24" t="n">
        <x:v>2677.2</x:v>
      </x:c>
      <x:c r="G243" s="24" t="n">
        <x:v>2691</x:v>
      </x:c>
      <x:c r="H243" s="25" t="n">
        <x:v>-0.01015228426395931</x:v>
      </x:c>
      <x:c r="I243" s="24" t="n">
        <x:f>ROUND(E243-F243,1)</x:f>
        <x:v>36.4</x:v>
      </x:c>
      <x:c r="J243" s="23" t="str">
        <x:v>IH2412</x:v>
      </x:c>
    </x:row>
    <x:row r="244">
      <x:c r="A244" s="23" t="n">
        <x:v>14</x:v>
      </x:c>
      <x:c r="B244" s="23" t="str">
        <x:v>周五</x:v>
      </x:c>
      <x:c r="C244" s="23" t="str">
        <x:v>10月25日</x:v>
      </x:c>
      <x:c r="D244" s="24" t="n">
        <x:v>2696</x:v>
      </x:c>
      <x:c r="E244" s="24" t="n">
        <x:v>2718.8</x:v>
      </x:c>
      <x:c r="F244" s="24" t="n">
        <x:v>2680.2</x:v>
      </x:c>
      <x:c r="G244" s="24" t="n">
        <x:v>2692.4</x:v>
      </x:c>
      <x:c r="H244" s="25" t="n">
        <x:v>0.0005202526941656682</x:v>
      </x:c>
      <x:c r="I244" s="24" t="n">
        <x:f>ROUND(E244-F244,1)</x:f>
        <x:v>38.6</x:v>
      </x:c>
      <x:c r="J244" s="23" t="str">
        <x:v>IH2412</x:v>
      </x:c>
    </x:row>
    <x:row r="245">
      <x:c r="A245" s="23" t="n">
        <x:v>15</x:v>
      </x:c>
      <x:c r="B245" s="23" t="str">
        <x:v>周一</x:v>
      </x:c>
      <x:c r="C245" s="23" t="str">
        <x:v>10月28日</x:v>
      </x:c>
      <x:c r="D245" s="24" t="n">
        <x:v>2689.2</x:v>
      </x:c>
      <x:c r="E245" s="24" t="n">
        <x:v>2698.4</x:v>
      </x:c>
      <x:c r="F245" s="24" t="n">
        <x:v>2667</x:v>
      </x:c>
      <x:c r="G245" s="24" t="n">
        <x:v>2698.4</x:v>
      </x:c>
      <x:c r="H245" s="25" t="n">
        <x:v>0.002228495023027799</x:v>
      </x:c>
      <x:c r="I245" s="24" t="n">
        <x:f>ROUND(E245-F245,1)</x:f>
        <x:v>31.4</x:v>
      </x:c>
      <x:c r="J245" s="23" t="str">
        <x:v>IH2412</x:v>
      </x:c>
    </x:row>
    <x:row r="246">
      <x:c r="A246" s="23" t="n">
        <x:v>16</x:v>
      </x:c>
      <x:c r="B246" s="23" t="str">
        <x:v>周二</x:v>
      </x:c>
      <x:c r="C246" s="23" t="str">
        <x:v>10月29日</x:v>
      </x:c>
      <x:c r="D246" s="24" t="n">
        <x:v>2708</x:v>
      </x:c>
      <x:c r="E246" s="24" t="n">
        <x:v>2728.2</x:v>
      </x:c>
      <x:c r="F246" s="24" t="n">
        <x:v>2671.8</x:v>
      </x:c>
      <x:c r="G246" s="24" t="n">
        <x:v>2679.6</x:v>
      </x:c>
      <x:c r="H246" s="25" t="n">
        <x:v>-0.00696709160984299</x:v>
      </x:c>
      <x:c r="I246" s="24" t="n">
        <x:f>ROUND(E246-F246,1)</x:f>
        <x:v>56.4</x:v>
      </x:c>
      <x:c r="J246" s="23" t="str">
        <x:v>IH2412</x:v>
      </x:c>
    </x:row>
    <x:row r="247">
      <x:c r="A247" s="23" t="n">
        <x:v>17</x:v>
      </x:c>
      <x:c r="B247" s="23" t="str">
        <x:v>周三</x:v>
      </x:c>
      <x:c r="C247" s="23" t="str">
        <x:v>10月30日</x:v>
      </x:c>
      <x:c r="D247" s="24" t="n">
        <x:v>2677</x:v>
      </x:c>
      <x:c r="E247" s="24" t="n">
        <x:v>2688</x:v>
      </x:c>
      <x:c r="F247" s="24" t="n">
        <x:v>2634</x:v>
      </x:c>
      <x:c r="G247" s="24" t="n">
        <x:v>2645.2</x:v>
      </x:c>
      <x:c r="H247" s="25" t="n">
        <x:v>-0.012837736975668035</x:v>
      </x:c>
      <x:c r="I247" s="24" t="n">
        <x:f>ROUND(E247-F247,1)</x:f>
        <x:v>54</x:v>
      </x:c>
      <x:c r="J247" s="23" t="str">
        <x:v>IH2412</x:v>
      </x:c>
    </x:row>
    <x:row r="248">
      <x:c r="A248" s="23" t="n">
        <x:v>18</x:v>
      </x:c>
      <x:c r="B248" s="23" t="str">
        <x:v>周四</x:v>
      </x:c>
      <x:c r="C248" s="23" t="str">
        <x:v>10月31日</x:v>
      </x:c>
      <x:c r="D248" s="24" t="n">
        <x:v>2650.2</x:v>
      </x:c>
      <x:c r="E248" s="24" t="n">
        <x:v>2667.4</x:v>
      </x:c>
      <x:c r="F248" s="24" t="n">
        <x:v>2624.6</x:v>
      </x:c>
      <x:c r="G248" s="24" t="n">
        <x:v>2645</x:v>
      </x:c>
      <x:c r="H248" s="25" t="n">
        <x:v>-0.00007560864962941061</x:v>
      </x:c>
      <x:c r="I248" s="24" t="n">
        <x:f>ROUND(E248-F248,1)</x:f>
        <x:v>42.8</x:v>
      </x:c>
      <x:c r="J248" s="23" t="str">
        <x:v>IH2412</x:v>
      </x:c>
    </x:row>
    <x:row r="249">
      <x:c r="A249" s="36" t="str">
        <x:v>合计</x:v>
      </x:c>
      <x:c r="B249" s="35" t="n">
        <x:v>18</x:v>
      </x:c>
      <x:c r="C249" s="35"/>
      <x:c r="D249" s="35"/>
      <x:c r="E249" s="35"/>
      <x:c r="F249" s="35"/>
      <x:c r="G249" s="35"/>
      <x:c r="H249" s="35"/>
      <x:c r="I249" s="37" t="n">
        <x:f>ROUND(SUM(I231:I248),1)</x:f>
        <x:v>1614.8</x:v>
      </x:c>
      <x:c r="J249" s="35"/>
    </x:row>
    <x:row r="250">
      <x:c r="A250" s="36" t="str">
        <x:v>均值</x:v>
      </x:c>
      <x:c r="B250" s="35"/>
      <x:c r="C250" s="35"/>
      <x:c r="D250" s="35"/>
      <x:c r="E250" s="35"/>
      <x:c r="F250" s="35"/>
      <x:c r="G250" s="35"/>
      <x:c r="H250" s="35"/>
      <x:c r="I250" s="39" t="n">
        <x:f>ROUND(IFERROR(AVERAGE(I231:I248),0),1)</x:f>
        <x:v>89.7</x:v>
      </x:c>
      <x:c r="J250" s="35"/>
    </x:row>
    <x:row r="252">
      <x:c r="A252" s="17" t="str">
        <x:v>11月</x:v>
      </x:c>
      <x:c r="B252" s="17"/>
      <x:c r="C252" s="17"/>
      <x:c r="D252" s="17"/>
      <x:c r="E252" s="17"/>
      <x:c r="F252" s="17"/>
      <x:c r="G252" s="17"/>
      <x:c r="H252" s="17"/>
      <x:c r="I252" s="17"/>
      <x:c r="J252" s="17"/>
    </x:row>
    <x:row r="253">
      <x:c r="A253" s="20" t="str">
        <x:v>序号</x:v>
      </x:c>
      <x:c r="B253" s="20" t="str">
        <x:v>星期</x:v>
      </x:c>
      <x:c r="C253" s="20" t="str">
        <x:v>日期</x:v>
      </x:c>
      <x:c r="D253" s="20" t="str">
        <x:v>开盘</x:v>
      </x:c>
      <x:c r="E253" s="20" t="str">
        <x:v>高点</x:v>
      </x:c>
      <x:c r="F253" s="20" t="str">
        <x:v>低点</x:v>
      </x:c>
      <x:c r="G253" s="20" t="str">
        <x:v>收盘</x:v>
      </x:c>
      <x:c r="H253" s="20" t="str">
        <x:v>涨幅</x:v>
      </x:c>
      <x:c r="I253" s="20" t="str">
        <x:v>振幅</x:v>
      </x:c>
      <x:c r="J253" s="20" t="str">
        <x:v>标的</x:v>
      </x:c>
    </x:row>
    <x:row r="254">
      <x:c r="A254" s="23" t="n">
        <x:v>1</x:v>
      </x:c>
      <x:c r="B254" s="23" t="str">
        <x:v>周五</x:v>
      </x:c>
      <x:c r="C254" s="23" t="str">
        <x:v>11月1日</x:v>
      </x:c>
      <x:c r="D254" s="24" t="n">
        <x:v>2646.2</x:v>
      </x:c>
      <x:c r="E254" s="24" t="n">
        <x:v>2688</x:v>
      </x:c>
      <x:c r="F254" s="24" t="n">
        <x:v>2641.2</x:v>
      </x:c>
      <x:c r="G254" s="24" t="n">
        <x:v>2665.4</x:v>
      </x:c>
      <x:c r="H254" s="25" t="n">
        <x:v>0.007712665406427233</x:v>
      </x:c>
      <x:c r="I254" s="24" t="n">
        <x:f>ROUND(E254-F254,1)</x:f>
        <x:v>46.8</x:v>
      </x:c>
      <x:c r="J254" s="23" t="str">
        <x:v>IH2412</x:v>
      </x:c>
    </x:row>
    <x:row r="255">
      <x:c r="A255" s="23" t="n">
        <x:v>2</x:v>
      </x:c>
      <x:c r="B255" s="23" t="str">
        <x:v>周一</x:v>
      </x:c>
      <x:c r="C255" s="23" t="str">
        <x:v>11月4日</x:v>
      </x:c>
      <x:c r="D255" s="24" t="n">
        <x:v>2672</x:v>
      </x:c>
      <x:c r="E255" s="24" t="n">
        <x:v>2690.6</x:v>
      </x:c>
      <x:c r="F255" s="24" t="n">
        <x:v>2644.4</x:v>
      </x:c>
      <x:c r="G255" s="24" t="n">
        <x:v>2690.2</x:v>
      </x:c>
      <x:c r="H255" s="25" t="n">
        <x:v>0.0093044195993095</x:v>
      </x:c>
      <x:c r="I255" s="24" t="n">
        <x:f>ROUND(E255-F255,1)</x:f>
        <x:v>46.2</x:v>
      </x:c>
      <x:c r="J255" s="23" t="str">
        <x:v>IH2412</x:v>
      </x:c>
    </x:row>
    <x:row r="256">
      <x:c r="A256" s="23" t="n">
        <x:v>3</x:v>
      </x:c>
      <x:c r="B256" s="23" t="str">
        <x:v>周二</x:v>
      </x:c>
      <x:c r="C256" s="23" t="str">
        <x:v>11月5日</x:v>
      </x:c>
      <x:c r="D256" s="24" t="n">
        <x:v>2680</x:v>
      </x:c>
      <x:c r="E256" s="24" t="n">
        <x:v>2745.2</x:v>
      </x:c>
      <x:c r="F256" s="24" t="n">
        <x:v>2671.2</x:v>
      </x:c>
      <x:c r="G256" s="24" t="n">
        <x:v>2745.2</x:v>
      </x:c>
      <x:c r="H256" s="25" t="n">
        <x:v>0.020444576611404308</x:v>
      </x:c>
      <x:c r="I256" s="33" t="n">
        <x:f>ROUND(E256-F256,1)</x:f>
        <x:v>74</x:v>
      </x:c>
      <x:c r="J256" s="23" t="str">
        <x:v>IH2412</x:v>
      </x:c>
    </x:row>
    <x:row r="257">
      <x:c r="A257" s="23" t="n">
        <x:v>4</x:v>
      </x:c>
      <x:c r="B257" s="23" t="str">
        <x:v>周三</x:v>
      </x:c>
      <x:c r="C257" s="23" t="str">
        <x:v>11月6日</x:v>
      </x:c>
      <x:c r="D257" s="24" t="n">
        <x:v>2742</x:v>
      </x:c>
      <x:c r="E257" s="24" t="n">
        <x:v>2760.8</x:v>
      </x:c>
      <x:c r="F257" s="24" t="n">
        <x:v>2701.8</x:v>
      </x:c>
      <x:c r="G257" s="24" t="n">
        <x:v>2720.6</x:v>
      </x:c>
      <x:c r="H257" s="25" t="n">
        <x:v>-0.008961095730730007</x:v>
      </x:c>
      <x:c r="I257" s="24" t="n">
        <x:f>ROUND(E257-F257,1)</x:f>
        <x:v>59</x:v>
      </x:c>
      <x:c r="J257" s="23" t="str">
        <x:v>IH2412</x:v>
      </x:c>
    </x:row>
    <x:row r="258">
      <x:c r="A258" s="23" t="n">
        <x:v>5</x:v>
      </x:c>
      <x:c r="B258" s="23" t="str">
        <x:v>周四</x:v>
      </x:c>
      <x:c r="C258" s="23" t="str">
        <x:v>11月7日</x:v>
      </x:c>
      <x:c r="D258" s="24" t="n">
        <x:v>2704</x:v>
      </x:c>
      <x:c r="E258" s="24" t="n">
        <x:v>2829.6</x:v>
      </x:c>
      <x:c r="F258" s="24" t="n">
        <x:v>2702.4</x:v>
      </x:c>
      <x:c r="G258" s="24" t="n">
        <x:v>2826.8</x:v>
      </x:c>
      <x:c r="H258" s="25" t="n">
        <x:v>0.03903550687348378</x:v>
      </x:c>
      <x:c r="I258" s="33" t="n">
        <x:f>ROUND(E258-F258,1)</x:f>
        <x:v>127.2</x:v>
      </x:c>
      <x:c r="J258" s="23" t="str">
        <x:v>IH2412</x:v>
      </x:c>
    </x:row>
    <x:row r="259">
      <x:c r="A259" s="23" t="n">
        <x:v>6</x:v>
      </x:c>
      <x:c r="B259" s="23" t="str">
        <x:v>周五</x:v>
      </x:c>
      <x:c r="C259" s="23" t="str">
        <x:v>11月8日</x:v>
      </x:c>
      <x:c r="D259" s="24" t="n">
        <x:v>2848</x:v>
      </x:c>
      <x:c r="E259" s="24" t="n">
        <x:v>2855</x:v>
      </x:c>
      <x:c r="F259" s="24" t="n">
        <x:v>2766</x:v>
      </x:c>
      <x:c r="G259" s="24" t="n">
        <x:v>2780.4</x:v>
      </x:c>
      <x:c r="H259" s="25" t="n">
        <x:v>-0.016414320079241596</x:v>
      </x:c>
      <x:c r="I259" s="33" t="n">
        <x:f>ROUND(E259-F259,1)</x:f>
        <x:v>89</x:v>
      </x:c>
      <x:c r="J259" s="23" t="str">
        <x:v>IH2412</x:v>
      </x:c>
    </x:row>
    <x:row r="260">
      <x:c r="A260" s="23" t="n">
        <x:v>7</x:v>
      </x:c>
      <x:c r="B260" s="23" t="str">
        <x:v>周一</x:v>
      </x:c>
      <x:c r="C260" s="23" t="str">
        <x:v>11月11日</x:v>
      </x:c>
      <x:c r="D260" s="24" t="n">
        <x:v>2755.6</x:v>
      </x:c>
      <x:c r="E260" s="24" t="n">
        <x:v>2766.8</x:v>
      </x:c>
      <x:c r="F260" s="24" t="n">
        <x:v>2719</x:v>
      </x:c>
      <x:c r="G260" s="24" t="n">
        <x:v>2761</x:v>
      </x:c>
      <x:c r="H260" s="25" t="n">
        <x:v>-0.006977413321824222</x:v>
      </x:c>
      <x:c r="I260" s="24" t="n">
        <x:f>ROUND(E260-F260,1)</x:f>
        <x:v>47.8</x:v>
      </x:c>
      <x:c r="J260" s="23" t="str">
        <x:v>IH2412</x:v>
      </x:c>
    </x:row>
    <x:row r="261">
      <x:c r="A261" s="23" t="n">
        <x:v>8</x:v>
      </x:c>
      <x:c r="B261" s="23" t="str">
        <x:v>周二</x:v>
      </x:c>
      <x:c r="C261" s="23" t="str">
        <x:v>11月12日</x:v>
      </x:c>
      <x:c r="D261" s="24" t="n">
        <x:v>2756</x:v>
      </x:c>
      <x:c r="E261" s="24" t="n">
        <x:v>2793.8</x:v>
      </x:c>
      <x:c r="F261" s="24" t="n">
        <x:v>2706.4</x:v>
      </x:c>
      <x:c r="G261" s="24" t="n">
        <x:v>2716</x:v>
      </x:c>
      <x:c r="H261" s="25" t="n">
        <x:v>-0.016298442593263296</x:v>
      </x:c>
      <x:c r="I261" s="33" t="n">
        <x:f>ROUND(E261-F261,1)</x:f>
        <x:v>87.4</x:v>
      </x:c>
      <x:c r="J261" s="23" t="str">
        <x:v>IH2412</x:v>
      </x:c>
    </x:row>
    <x:row r="262">
      <x:c r="A262" s="23" t="n">
        <x:v>9</x:v>
      </x:c>
      <x:c r="B262" s="23" t="str">
        <x:v>周三</x:v>
      </x:c>
      <x:c r="C262" s="23" t="str">
        <x:v>11月13日</x:v>
      </x:c>
      <x:c r="D262" s="24" t="n">
        <x:v>2706</x:v>
      </x:c>
      <x:c r="E262" s="24" t="n">
        <x:v>2749</x:v>
      </x:c>
      <x:c r="F262" s="24" t="n">
        <x:v>2702</x:v>
      </x:c>
      <x:c r="G262" s="24" t="n">
        <x:v>2735</x:v>
      </x:c>
      <x:c r="H262" s="25" t="n">
        <x:v>0.006995581737849754</x:v>
      </x:c>
      <x:c r="I262" s="24" t="n">
        <x:f>ROUND(E262-F262,1)</x:f>
        <x:v>47</x:v>
      </x:c>
      <x:c r="J262" s="23" t="str">
        <x:v>IH2412</x:v>
      </x:c>
    </x:row>
    <x:row r="263">
      <x:c r="A263" s="23" t="n">
        <x:v>10</x:v>
      </x:c>
      <x:c r="B263" s="23" t="str">
        <x:v>周四</x:v>
      </x:c>
      <x:c r="C263" s="23" t="str">
        <x:v>11月14日</x:v>
      </x:c>
      <x:c r="D263" s="24" t="n">
        <x:v>2727</x:v>
      </x:c>
      <x:c r="E263" s="24" t="n">
        <x:v>2755.4</x:v>
      </x:c>
      <x:c r="F263" s="24" t="n">
        <x:v>2705</x:v>
      </x:c>
      <x:c r="G263" s="24" t="n">
        <x:v>2712.6</x:v>
      </x:c>
      <x:c r="H263" s="25" t="n">
        <x:v>-0.008190127970749583</x:v>
      </x:c>
      <x:c r="I263" s="24" t="n">
        <x:f>ROUND(E263-F263,1)</x:f>
        <x:v>50.4</x:v>
      </x:c>
      <x:c r="J263" s="23" t="str">
        <x:v>IH2412</x:v>
      </x:c>
    </x:row>
    <x:row r="264">
      <x:c r="A264" s="29" t="n">
        <x:v>11</x:v>
      </x:c>
      <x:c r="B264" s="29" t="str">
        <x:v>周五</x:v>
      </x:c>
      <x:c r="C264" s="29" t="str">
        <x:v>11月15日</x:v>
      </x:c>
      <x:c r="D264" s="30" t="n">
        <x:v>2712</x:v>
      </x:c>
      <x:c r="E264" s="30" t="n">
        <x:v>2721.6</x:v>
      </x:c>
      <x:c r="F264" s="30" t="n">
        <x:v>2675.2</x:v>
      </x:c>
      <x:c r="G264" s="30" t="n">
        <x:v>2676</x:v>
      </x:c>
      <x:c r="H264" s="31" t="n">
        <x:v>-0.013492590134925875</x:v>
      </x:c>
      <x:c r="I264" s="30" t="n">
        <x:f>ROUND(E264-F264,1)</x:f>
        <x:v>46.4</x:v>
      </x:c>
      <x:c r="J264" s="29" t="str">
        <x:v>IH2412</x:v>
      </x:c>
    </x:row>
    <x:row r="265">
      <x:c r="A265" s="23" t="n">
        <x:v>12</x:v>
      </x:c>
      <x:c r="B265" s="23" t="str">
        <x:v>周一</x:v>
      </x:c>
      <x:c r="C265" s="23" t="str">
        <x:v>11月18日</x:v>
      </x:c>
      <x:c r="D265" s="24" t="n">
        <x:v>2690</x:v>
      </x:c>
      <x:c r="E265" s="24" t="n">
        <x:v>2734</x:v>
      </x:c>
      <x:c r="F265" s="24" t="n">
        <x:v>2672.8</x:v>
      </x:c>
      <x:c r="G265" s="24" t="n">
        <x:v>2685.2</x:v>
      </x:c>
      <x:c r="H265" s="25" t="n">
        <x:v>0.0034379671150970292</x:v>
      </x:c>
      <x:c r="I265" s="33" t="n">
        <x:f>ROUND(E265-F265,1)</x:f>
        <x:v>61.2</x:v>
      </x:c>
      <x:c r="J265" s="23" t="str">
        <x:v>IH2412</x:v>
      </x:c>
    </x:row>
    <x:row r="266">
      <x:c r="A266" s="23" t="n">
        <x:v>13</x:v>
      </x:c>
      <x:c r="B266" s="23" t="str">
        <x:v>周二</x:v>
      </x:c>
      <x:c r="C266" s="23" t="str">
        <x:v>11月19日</x:v>
      </x:c>
      <x:c r="D266" s="24" t="n">
        <x:v>2688</x:v>
      </x:c>
      <x:c r="E266" s="24" t="n">
        <x:v>2692</x:v>
      </x:c>
      <x:c r="F266" s="24" t="n">
        <x:v>2641</x:v>
      </x:c>
      <x:c r="G266" s="24" t="n">
        <x:v>2674.4</x:v>
      </x:c>
      <x:c r="H266" s="25" t="n">
        <x:v>-0.004022046774914245</x:v>
      </x:c>
      <x:c r="I266" s="24" t="n">
        <x:f>ROUND(E266-F266,1)</x:f>
        <x:v>51</x:v>
      </x:c>
      <x:c r="J266" s="23" t="str">
        <x:v>IH2412</x:v>
      </x:c>
    </x:row>
    <x:row r="267">
      <x:c r="A267" s="23" t="n">
        <x:v>14</x:v>
      </x:c>
      <x:c r="B267" s="23" t="str">
        <x:v>周三</x:v>
      </x:c>
      <x:c r="C267" s="23" t="str">
        <x:v>11月20日</x:v>
      </x:c>
      <x:c r="D267" s="24" t="n">
        <x:v>2670</x:v>
      </x:c>
      <x:c r="E267" s="24" t="n">
        <x:v>2691.2</x:v>
      </x:c>
      <x:c r="F267" s="24" t="n">
        <x:v>2661.4</x:v>
      </x:c>
      <x:c r="G267" s="24" t="n">
        <x:v>2680.6</x:v>
      </x:c>
      <x:c r="H267" s="25" t="n">
        <x:v>0.0023182769967093897</x:v>
      </x:c>
      <x:c r="I267" s="24" t="n">
        <x:f>ROUND(E267-F267,1)</x:f>
        <x:v>29.8</x:v>
      </x:c>
      <x:c r="J267" s="23" t="str">
        <x:v>IH2412</x:v>
      </x:c>
    </x:row>
    <x:row r="268">
      <x:c r="A268" s="23" t="n">
        <x:v>15</x:v>
      </x:c>
      <x:c r="B268" s="23" t="str">
        <x:v>周四</x:v>
      </x:c>
      <x:c r="C268" s="23" t="str">
        <x:v>11月21日</x:v>
      </x:c>
      <x:c r="D268" s="24" t="n">
        <x:v>2678.6</x:v>
      </x:c>
      <x:c r="E268" s="24" t="n">
        <x:v>2693.2</x:v>
      </x:c>
      <x:c r="F268" s="24" t="n">
        <x:v>2669</x:v>
      </x:c>
      <x:c r="G268" s="24" t="n">
        <x:v>2687.6</x:v>
      </x:c>
      <x:c r="H268" s="25" t="n">
        <x:v>0.0026113556666418347</x:v>
      </x:c>
      <x:c r="I268" s="24" t="n">
        <x:f>ROUND(E268-F268,1)</x:f>
        <x:v>24.2</x:v>
      </x:c>
      <x:c r="J268" s="23" t="str">
        <x:v>IH2412</x:v>
      </x:c>
    </x:row>
    <x:row r="269">
      <x:c r="A269" s="23" t="n">
        <x:v>16</x:v>
      </x:c>
      <x:c r="B269" s="23" t="str">
        <x:v>周五</x:v>
      </x:c>
      <x:c r="C269" s="23" t="str">
        <x:v>11月22日</x:v>
      </x:c>
      <x:c r="D269" s="24" t="n">
        <x:v>2688</x:v>
      </x:c>
      <x:c r="E269" s="24" t="n">
        <x:v>2691.2</x:v>
      </x:c>
      <x:c r="F269" s="24" t="n">
        <x:v>2601</x:v>
      </x:c>
      <x:c r="G269" s="24" t="n">
        <x:v>2603.6</x:v>
      </x:c>
      <x:c r="H269" s="25" t="n">
        <x:v>-0.03125465098973057</x:v>
      </x:c>
      <x:c r="I269" s="33" t="n">
        <x:f>ROUND(E269-F269,1)</x:f>
        <x:v>90.2</x:v>
      </x:c>
      <x:c r="J269" s="23" t="str">
        <x:v>IH2412</x:v>
      </x:c>
    </x:row>
    <x:row r="270">
      <x:c r="A270" s="23" t="n">
        <x:v>17</x:v>
      </x:c>
      <x:c r="B270" s="23" t="str">
        <x:v>周一</x:v>
      </x:c>
      <x:c r="C270" s="23" t="str">
        <x:v>11月25日</x:v>
      </x:c>
      <x:c r="D270" s="24" t="n">
        <x:v>2616</x:v>
      </x:c>
      <x:c r="E270" s="24" t="n">
        <x:v>2627</x:v>
      </x:c>
      <x:c r="F270" s="24" t="n">
        <x:v>2571</x:v>
      </x:c>
      <x:c r="G270" s="24" t="n">
        <x:v>2584.4</x:v>
      </x:c>
      <x:c r="H270" s="25" t="n">
        <x:v>-0.007374404670456247</x:v>
      </x:c>
      <x:c r="I270" s="24" t="n">
        <x:f>ROUND(E270-F270,1)</x:f>
        <x:v>56</x:v>
      </x:c>
      <x:c r="J270" s="23" t="str">
        <x:v>IH2412</x:v>
      </x:c>
    </x:row>
    <x:row r="271">
      <x:c r="A271" s="23" t="n">
        <x:v>18</x:v>
      </x:c>
      <x:c r="B271" s="23" t="str">
        <x:v>周二</x:v>
      </x:c>
      <x:c r="C271" s="23" t="str">
        <x:v>11月26日</x:v>
      </x:c>
      <x:c r="D271" s="24" t="n">
        <x:v>2572.6</x:v>
      </x:c>
      <x:c r="E271" s="24" t="n">
        <x:v>2615</x:v>
      </x:c>
      <x:c r="F271" s="24" t="n">
        <x:v>2572.6</x:v>
      </x:c>
      <x:c r="G271" s="24" t="n">
        <x:v>2597</x:v>
      </x:c>
      <x:c r="H271" s="25" t="n">
        <x:v>0.0048754062838569645</x:v>
      </x:c>
      <x:c r="I271" s="24" t="n">
        <x:f>ROUND(E271-F271,1)</x:f>
        <x:v>42.4</x:v>
      </x:c>
      <x:c r="J271" s="23" t="str">
        <x:v>IH2412</x:v>
      </x:c>
    </x:row>
    <x:row r="272">
      <x:c r="A272" s="23" t="n">
        <x:v>19</x:v>
      </x:c>
      <x:c r="B272" s="23" t="str">
        <x:v>周三</x:v>
      </x:c>
      <x:c r="C272" s="23" t="str">
        <x:v>11月27日</x:v>
      </x:c>
      <x:c r="D272" s="24" t="n">
        <x:v>2594.6</x:v>
      </x:c>
      <x:c r="E272" s="24" t="n">
        <x:v>2631.2</x:v>
      </x:c>
      <x:c r="F272" s="24" t="n">
        <x:v>2587.2</x:v>
      </x:c>
      <x:c r="G272" s="24" t="n">
        <x:v>2628.2</x:v>
      </x:c>
      <x:c r="H272" s="25" t="n">
        <x:v>0.012013862148632981</x:v>
      </x:c>
      <x:c r="I272" s="24" t="n">
        <x:f>ROUND(E272-F272,1)</x:f>
        <x:v>44</x:v>
      </x:c>
      <x:c r="J272" s="23" t="str">
        <x:v>IH2412</x:v>
      </x:c>
    </x:row>
    <x:row r="273">
      <x:c r="A273" s="23" t="n">
        <x:v>20</x:v>
      </x:c>
      <x:c r="B273" s="23" t="str">
        <x:v>周四</x:v>
      </x:c>
      <x:c r="C273" s="23" t="str">
        <x:v>11月28日</x:v>
      </x:c>
      <x:c r="D273" s="24" t="n">
        <x:v>2625</x:v>
      </x:c>
      <x:c r="E273" s="24" t="n">
        <x:v>2634.6</x:v>
      </x:c>
      <x:c r="F273" s="24" t="n">
        <x:v>2597</x:v>
      </x:c>
      <x:c r="G273" s="24" t="n">
        <x:v>2613.8</x:v>
      </x:c>
      <x:c r="H273" s="25" t="n">
        <x:v>-0.00547903508104397</x:v>
      </x:c>
      <x:c r="I273" s="24" t="n">
        <x:f>ROUND(E273-F273,1)</x:f>
        <x:v>37.6</x:v>
      </x:c>
      <x:c r="J273" s="23" t="str">
        <x:v>IH2412</x:v>
      </x:c>
    </x:row>
    <x:row r="274">
      <x:c r="A274" s="23" t="n">
        <x:v>21</x:v>
      </x:c>
      <x:c r="B274" s="23" t="str">
        <x:v>周五</x:v>
      </x:c>
      <x:c r="C274" s="23" t="str">
        <x:v>11月29日</x:v>
      </x:c>
      <x:c r="D274" s="24" t="n">
        <x:v>2619</x:v>
      </x:c>
      <x:c r="E274" s="24" t="n">
        <x:v>2665</x:v>
      </x:c>
      <x:c r="F274" s="24" t="n">
        <x:v>2615.4</x:v>
      </x:c>
      <x:c r="G274" s="24" t="n">
        <x:v>2625</x:v>
      </x:c>
      <x:c r="H274" s="25" t="n">
        <x:v>0.00428494911622912</x:v>
      </x:c>
      <x:c r="I274" s="24" t="n">
        <x:f>ROUND(E274-F274,1)</x:f>
        <x:v>49.6</x:v>
      </x:c>
      <x:c r="J274" s="23" t="str">
        <x:v>IH2412</x:v>
      </x:c>
    </x:row>
    <x:row r="275">
      <x:c r="A275" s="36" t="str">
        <x:v>合计</x:v>
      </x:c>
      <x:c r="B275" s="35" t="n">
        <x:v>21</x:v>
      </x:c>
      <x:c r="C275" s="35"/>
      <x:c r="D275" s="35"/>
      <x:c r="E275" s="35"/>
      <x:c r="F275" s="35"/>
      <x:c r="G275" s="35"/>
      <x:c r="H275" s="35"/>
      <x:c r="I275" s="37" t="n">
        <x:f>ROUND(SUM(I254:I274),1)</x:f>
        <x:v>1207.2</x:v>
      </x:c>
      <x:c r="J275" s="35"/>
    </x:row>
    <x:row r="276">
      <x:c r="A276" s="36" t="str">
        <x:v>均值</x:v>
      </x:c>
      <x:c r="B276" s="35"/>
      <x:c r="C276" s="35"/>
      <x:c r="D276" s="35"/>
      <x:c r="E276" s="35"/>
      <x:c r="F276" s="35"/>
      <x:c r="G276" s="35"/>
      <x:c r="H276" s="35"/>
      <x:c r="I276" s="39" t="n">
        <x:f>ROUND(IFERROR(AVERAGE(I254:I274),0),1)</x:f>
        <x:v>57.5</x:v>
      </x:c>
      <x:c r="J276" s="35"/>
    </x:row>
    <x:row r="278">
      <x:c r="A278" s="17" t="str">
        <x:v>12月</x:v>
      </x:c>
      <x:c r="B278" s="17"/>
      <x:c r="C278" s="17"/>
      <x:c r="D278" s="17"/>
      <x:c r="E278" s="17"/>
      <x:c r="F278" s="17"/>
      <x:c r="G278" s="17"/>
      <x:c r="H278" s="17"/>
      <x:c r="I278" s="17"/>
      <x:c r="J278" s="17"/>
    </x:row>
    <x:row r="279">
      <x:c r="A279" s="20" t="str">
        <x:v>序号</x:v>
      </x:c>
      <x:c r="B279" s="20" t="str">
        <x:v>星期</x:v>
      </x:c>
      <x:c r="C279" s="20" t="str">
        <x:v>日期</x:v>
      </x:c>
      <x:c r="D279" s="20" t="str">
        <x:v>开盘</x:v>
      </x:c>
      <x:c r="E279" s="20" t="str">
        <x:v>高点</x:v>
      </x:c>
      <x:c r="F279" s="20" t="str">
        <x:v>低点</x:v>
      </x:c>
      <x:c r="G279" s="20" t="str">
        <x:v>收盘</x:v>
      </x:c>
      <x:c r="H279" s="20" t="str">
        <x:v>涨幅</x:v>
      </x:c>
      <x:c r="I279" s="20" t="str">
        <x:v>振幅</x:v>
      </x:c>
      <x:c r="J279" s="20" t="str">
        <x:v>标的</x:v>
      </x:c>
    </x:row>
    <x:row r="280">
      <x:c r="A280" s="23" t="n">
        <x:v>1</x:v>
      </x:c>
      <x:c r="B280" s="23" t="str">
        <x:v>周一</x:v>
      </x:c>
      <x:c r="C280" s="23" t="str">
        <x:v>12月2日</x:v>
      </x:c>
      <x:c r="D280" s="24" t="n">
        <x:v>2624.8</x:v>
      </x:c>
      <x:c r="E280" s="24" t="n">
        <x:v>2650.2</x:v>
      </x:c>
      <x:c r="F280" s="24" t="n">
        <x:v>2614.8</x:v>
      </x:c>
      <x:c r="G280" s="24" t="n">
        <x:v>2639.4</x:v>
      </x:c>
      <x:c r="H280" s="25" t="n">
        <x:v>0.005485714285714316</x:v>
      </x:c>
      <x:c r="I280" s="24" t="n">
        <x:f>ROUND(E280-F280,1)</x:f>
        <x:v>35.4</x:v>
      </x:c>
      <x:c r="J280" s="23" t="str">
        <x:v>IH2412</x:v>
      </x:c>
    </x:row>
    <x:row r="281">
      <x:c r="A281" s="23" t="n">
        <x:v>2</x:v>
      </x:c>
      <x:c r="B281" s="23" t="str">
        <x:v>周二</x:v>
      </x:c>
      <x:c r="C281" s="23" t="str">
        <x:v>12月3日</x:v>
      </x:c>
      <x:c r="D281" s="24" t="n">
        <x:v>2638.6</x:v>
      </x:c>
      <x:c r="E281" s="24" t="n">
        <x:v>2661.2</x:v>
      </x:c>
      <x:c r="F281" s="24" t="n">
        <x:v>2625.2</x:v>
      </x:c>
      <x:c r="G281" s="24" t="n">
        <x:v>2650.4</x:v>
      </x:c>
      <x:c r="H281" s="25" t="n">
        <x:v>0.00416761385163289</x:v>
      </x:c>
      <x:c r="I281" s="24" t="n">
        <x:f>ROUND(E281-F281,1)</x:f>
        <x:v>36</x:v>
      </x:c>
      <x:c r="J281" s="23" t="str">
        <x:v>IH2412</x:v>
      </x:c>
    </x:row>
    <x:row r="282">
      <x:c r="A282" s="23" t="n">
        <x:v>3</x:v>
      </x:c>
      <x:c r="B282" s="23" t="str">
        <x:v>周三</x:v>
      </x:c>
      <x:c r="C282" s="23" t="str">
        <x:v>12月4日</x:v>
      </x:c>
      <x:c r="D282" s="24" t="n">
        <x:v>2647</x:v>
      </x:c>
      <x:c r="E282" s="24" t="n">
        <x:v>2660</x:v>
      </x:c>
      <x:c r="F282" s="24" t="n">
        <x:v>2633.6</x:v>
      </x:c>
      <x:c r="G282" s="24" t="n">
        <x:v>2644.6</x:v>
      </x:c>
      <x:c r="H282" s="25" t="n">
        <x:v>-0.002188348928463646</x:v>
      </x:c>
      <x:c r="I282" s="24" t="n">
        <x:f>ROUND(E282-F282,1)</x:f>
        <x:v>26.4</x:v>
      </x:c>
      <x:c r="J282" s="23" t="str">
        <x:v>IH2412</x:v>
      </x:c>
    </x:row>
    <x:row r="283">
      <x:c r="A283" s="23" t="n">
        <x:v>4</x:v>
      </x:c>
      <x:c r="B283" s="23" t="str">
        <x:v>周四</x:v>
      </x:c>
      <x:c r="C283" s="23" t="str">
        <x:v>12月5日</x:v>
      </x:c>
      <x:c r="D283" s="24" t="n">
        <x:v>2639</x:v>
      </x:c>
      <x:c r="E283" s="24" t="n">
        <x:v>2648</x:v>
      </x:c>
      <x:c r="F283" s="24" t="n">
        <x:v>2626</x:v>
      </x:c>
      <x:c r="G283" s="24" t="n">
        <x:v>2635</x:v>
      </x:c>
      <x:c r="H283" s="25" t="n">
        <x:v>-0.003630038569159777</x:v>
      </x:c>
      <x:c r="I283" s="24" t="n">
        <x:f>ROUND(E283-F283,1)</x:f>
        <x:v>22</x:v>
      </x:c>
      <x:c r="J283" s="23" t="str">
        <x:v>IH2412</x:v>
      </x:c>
    </x:row>
    <x:row r="284">
      <x:c r="A284" s="23" t="n">
        <x:v>5</x:v>
      </x:c>
      <x:c r="B284" s="23" t="str">
        <x:v>周五</x:v>
      </x:c>
      <x:c r="C284" s="23" t="str">
        <x:v>12月6日</x:v>
      </x:c>
      <x:c r="D284" s="24" t="n">
        <x:v>2636.6</x:v>
      </x:c>
      <x:c r="E284" s="24" t="n">
        <x:v>2687.6</x:v>
      </x:c>
      <x:c r="F284" s="24" t="n">
        <x:v>2635</x:v>
      </x:c>
      <x:c r="G284" s="24" t="n">
        <x:v>2663.8</x:v>
      </x:c>
      <x:c r="H284" s="25" t="n">
        <x:v>0.0109297912713473</x:v>
      </x:c>
      <x:c r="I284" s="24" t="n">
        <x:f>ROUND(E284-F284,1)</x:f>
        <x:v>52.6</x:v>
      </x:c>
      <x:c r="J284" s="23" t="str">
        <x:v>IH2412</x:v>
      </x:c>
    </x:row>
    <x:row r="285">
      <x:c r="A285" s="23" t="n">
        <x:v>6</x:v>
      </x:c>
      <x:c r="B285" s="23" t="str">
        <x:v>周一</x:v>
      </x:c>
      <x:c r="C285" s="23" t="str">
        <x:v>12月9日</x:v>
      </x:c>
      <x:c r="D285" s="24" t="n">
        <x:v>2661</x:v>
      </x:c>
      <x:c r="E285" s="24" t="n">
        <x:v>2690.6</x:v>
      </x:c>
      <x:c r="F285" s="24" t="n">
        <x:v>2654.2</x:v>
      </x:c>
      <x:c r="G285" s="24" t="n">
        <x:v>2667.6</x:v>
      </x:c>
      <x:c r="H285" s="25" t="n">
        <x:v>0.0014265335235377208</x:v>
      </x:c>
      <x:c r="I285" s="24" t="n">
        <x:f>ROUND(E285-F285,1)</x:f>
        <x:v>36.4</x:v>
      </x:c>
      <x:c r="J285" s="23" t="str">
        <x:v>IH2412</x:v>
      </x:c>
    </x:row>
    <x:row r="286">
      <x:c r="A286" s="23" t="n">
        <x:v>7</x:v>
      </x:c>
      <x:c r="B286" s="23" t="str">
        <x:v>周二</x:v>
      </x:c>
      <x:c r="C286" s="23" t="str">
        <x:v>12月10日</x:v>
      </x:c>
      <x:c r="D286" s="24" t="n">
        <x:v>2790</x:v>
      </x:c>
      <x:c r="E286" s="24" t="n">
        <x:v>2790</x:v>
      </x:c>
      <x:c r="F286" s="24" t="n">
        <x:v>2685</x:v>
      </x:c>
      <x:c r="G286" s="24" t="n">
        <x:v>2692.4</x:v>
      </x:c>
      <x:c r="H286" s="25" t="n">
        <x:v>0.009296746138851564</x:v>
      </x:c>
      <x:c r="I286" s="33" t="n">
        <x:f>ROUND(E286-F286,1)</x:f>
        <x:v>105</x:v>
      </x:c>
      <x:c r="J286" s="23" t="str">
        <x:v>IH2412</x:v>
      </x:c>
    </x:row>
    <x:row r="287">
      <x:c r="A287" s="23" t="n">
        <x:v>8</x:v>
      </x:c>
      <x:c r="B287" s="23" t="str">
        <x:v>周三</x:v>
      </x:c>
      <x:c r="C287" s="23" t="str">
        <x:v>12月11日</x:v>
      </x:c>
      <x:c r="D287" s="24" t="n">
        <x:v>2690</x:v>
      </x:c>
      <x:c r="E287" s="24" t="n">
        <x:v>2701.4</x:v>
      </x:c>
      <x:c r="F287" s="24" t="n">
        <x:v>2675.2</x:v>
      </x:c>
      <x:c r="G287" s="24" t="n">
        <x:v>2679</x:v>
      </x:c>
      <x:c r="H287" s="25" t="n">
        <x:v>-0.0049769722180954545</x:v>
      </x:c>
      <x:c r="I287" s="24" t="n">
        <x:f>ROUND(E287-F287,1)</x:f>
        <x:v>26.2</x:v>
      </x:c>
      <x:c r="J287" s="23" t="str">
        <x:v>IH2412</x:v>
      </x:c>
    </x:row>
    <x:row r="288">
      <x:c r="A288" s="23" t="n">
        <x:v>9</x:v>
      </x:c>
      <x:c r="B288" s="23" t="str">
        <x:v>周四</x:v>
      </x:c>
      <x:c r="C288" s="23" t="str">
        <x:v>12月12日</x:v>
      </x:c>
      <x:c r="D288" s="24" t="n">
        <x:v>2680.8</x:v>
      </x:c>
      <x:c r="E288" s="24" t="n">
        <x:v>2712.4</x:v>
      </x:c>
      <x:c r="F288" s="24" t="n">
        <x:v>2672.2</x:v>
      </x:c>
      <x:c r="G288" s="24" t="n">
        <x:v>2710.4</x:v>
      </x:c>
      <x:c r="H288" s="25" t="n">
        <x:v>0.011720791340052328</x:v>
      </x:c>
      <x:c r="I288" s="24" t="n">
        <x:f>ROUND(E288-F288,1)</x:f>
        <x:v>40.2</x:v>
      </x:c>
      <x:c r="J288" s="23" t="str">
        <x:v>IH2412</x:v>
      </x:c>
    </x:row>
    <x:row r="289">
      <x:c r="A289" s="23" t="n">
        <x:v>10</x:v>
      </x:c>
      <x:c r="B289" s="23" t="str">
        <x:v>周五</x:v>
      </x:c>
      <x:c r="C289" s="23" t="str">
        <x:v>12月13日</x:v>
      </x:c>
      <x:c r="D289" s="24" t="n">
        <x:v>2690</x:v>
      </x:c>
      <x:c r="E289" s="24" t="n">
        <x:v>2691.2</x:v>
      </x:c>
      <x:c r="F289" s="24" t="n">
        <x:v>2629</x:v>
      </x:c>
      <x:c r="G289" s="24" t="n">
        <x:v>2638</x:v>
      </x:c>
      <x:c r="H289" s="25" t="n">
        <x:v>-0.026711924439197232</x:v>
      </x:c>
      <x:c r="I289" s="33" t="n">
        <x:f>ROUND(E289-F289,1)</x:f>
        <x:v>62.2</x:v>
      </x:c>
      <x:c r="J289" s="23" t="str">
        <x:v>IH2412</x:v>
      </x:c>
    </x:row>
    <x:row r="290">
      <x:c r="A290" s="23" t="n">
        <x:v>11</x:v>
      </x:c>
      <x:c r="B290" s="23" t="str">
        <x:v>周一</x:v>
      </x:c>
      <x:c r="C290" s="23" t="str">
        <x:v>12月16日</x:v>
      </x:c>
      <x:c r="D290" s="24" t="n">
        <x:v>2639</x:v>
      </x:c>
      <x:c r="E290" s="24" t="n">
        <x:v>2645.4</x:v>
      </x:c>
      <x:c r="F290" s="24" t="n">
        <x:v>2630.2</x:v>
      </x:c>
      <x:c r="G290" s="24" t="n">
        <x:v>2635.8</x:v>
      </x:c>
      <x:c r="H290" s="25" t="n">
        <x:v>-0.0008339651250947044</x:v>
      </x:c>
      <x:c r="I290" s="24" t="n">
        <x:f>ROUND(E290-F290,1)</x:f>
        <x:v>15.2</x:v>
      </x:c>
      <x:c r="J290" s="23" t="str">
        <x:v>IH2412</x:v>
      </x:c>
    </x:row>
    <x:row r="291">
      <x:c r="A291" s="23" t="n">
        <x:v>12</x:v>
      </x:c>
      <x:c r="B291" s="23" t="str">
        <x:v>周二</x:v>
      </x:c>
      <x:c r="C291" s="23" t="str">
        <x:v>12月17日</x:v>
      </x:c>
      <x:c r="D291" s="24" t="n">
        <x:v>2632.2</x:v>
      </x:c>
      <x:c r="E291" s="24" t="n">
        <x:v>2675.6</x:v>
      </x:c>
      <x:c r="F291" s="24" t="n">
        <x:v>2631.6</x:v>
      </x:c>
      <x:c r="G291" s="24" t="n">
        <x:v>2651</x:v>
      </x:c>
      <x:c r="H291" s="25" t="n">
        <x:v>0.005766750132786935</x:v>
      </x:c>
      <x:c r="I291" s="24" t="n">
        <x:f>ROUND(E291-F291,1)</x:f>
        <x:v>44</x:v>
      </x:c>
      <x:c r="J291" s="23" t="str">
        <x:v>IH2412</x:v>
      </x:c>
    </x:row>
    <x:row r="292">
      <x:c r="A292" s="23" t="n">
        <x:v>13</x:v>
      </x:c>
      <x:c r="B292" s="23" t="str">
        <x:v>周三</x:v>
      </x:c>
      <x:c r="C292" s="23" t="str">
        <x:v>12月18日</x:v>
      </x:c>
      <x:c r="D292" s="24" t="n">
        <x:v>2665.4</x:v>
      </x:c>
      <x:c r="E292" s="24" t="n">
        <x:v>2681.8</x:v>
      </x:c>
      <x:c r="F292" s="24" t="n">
        <x:v>2661.4</x:v>
      </x:c>
      <x:c r="G292" s="24" t="n">
        <x:v>2669.6</x:v>
      </x:c>
      <x:c r="H292" s="25" t="n">
        <x:v>0.007016220294228548</x:v>
      </x:c>
      <x:c r="I292" s="24" t="n">
        <x:f>ROUND(E292-F292,1)</x:f>
        <x:v>20.4</x:v>
      </x:c>
      <x:c r="J292" s="23" t="str">
        <x:v>IH2412</x:v>
      </x:c>
    </x:row>
    <x:row r="293">
      <x:c r="A293" s="23" t="n">
        <x:v>14</x:v>
      </x:c>
      <x:c r="B293" s="23" t="str">
        <x:v>周四</x:v>
      </x:c>
      <x:c r="C293" s="23" t="str">
        <x:v>12月19日</x:v>
      </x:c>
      <x:c r="D293" s="24" t="n">
        <x:v>2653</x:v>
      </x:c>
      <x:c r="E293" s="24" t="n">
        <x:v>2672.2</x:v>
      </x:c>
      <x:c r="F293" s="24" t="n">
        <x:v>2638.6</x:v>
      </x:c>
      <x:c r="G293" s="24" t="n">
        <x:v>2660</x:v>
      </x:c>
      <x:c r="H293" s="25" t="n">
        <x:v>-0.003596044351213634</x:v>
      </x:c>
      <x:c r="I293" s="24" t="n">
        <x:f>ROUND(E293-F293,1)</x:f>
        <x:v>33.6</x:v>
      </x:c>
      <x:c r="J293" s="23" t="str">
        <x:v>IH2412</x:v>
      </x:c>
    </x:row>
    <x:row r="294">
      <x:c r="A294" s="29" t="n">
        <x:v>15</x:v>
      </x:c>
      <x:c r="B294" s="29" t="str">
        <x:v>周五</x:v>
      </x:c>
      <x:c r="C294" s="29" t="str">
        <x:v>12月20日</x:v>
      </x:c>
      <x:c r="D294" s="30" t="n">
        <x:v>2653.8</x:v>
      </x:c>
      <x:c r="E294" s="30" t="n">
        <x:v>2672</x:v>
      </x:c>
      <x:c r="F294" s="30" t="n">
        <x:v>2647.2</x:v>
      </x:c>
      <x:c r="G294" s="30" t="n">
        <x:v>2652.4</x:v>
      </x:c>
      <x:c r="H294" s="31" t="n">
        <x:v>-0.0028571428571427804</x:v>
      </x:c>
      <x:c r="I294" s="30" t="n">
        <x:f>ROUND(E294-F294,1)</x:f>
        <x:v>24.8</x:v>
      </x:c>
      <x:c r="J294" s="29" t="str">
        <x:v>IH2412</x:v>
      </x:c>
    </x:row>
    <x:row r="295">
      <x:c r="A295" s="23" t="n">
        <x:v>16</x:v>
      </x:c>
      <x:c r="B295" s="23" t="str">
        <x:v>周一</x:v>
      </x:c>
      <x:c r="C295" s="23" t="str">
        <x:v>12月23日</x:v>
      </x:c>
      <x:c r="D295" s="24" t="n">
        <x:v>2660</x:v>
      </x:c>
      <x:c r="E295" s="24" t="n">
        <x:v>2697</x:v>
      </x:c>
      <x:c r="F295" s="24" t="n">
        <x:v>2660</x:v>
      </x:c>
      <x:c r="G295" s="24" t="n">
        <x:v>2676.2</x:v>
      </x:c>
      <x:c r="H295" s="25" t="n">
        <x:v>0.008973005579852034</x:v>
      </x:c>
      <x:c r="I295" s="24" t="n">
        <x:f>ROUND(E295-F295,1)</x:f>
        <x:v>37</x:v>
      </x:c>
      <x:c r="J295" s="23" t="str">
        <x:v>IH2503</x:v>
      </x:c>
    </x:row>
    <x:row r="296">
      <x:c r="A296" s="23" t="n">
        <x:v>17</x:v>
      </x:c>
      <x:c r="B296" s="23" t="str">
        <x:v>周二</x:v>
      </x:c>
      <x:c r="C296" s="23" t="str">
        <x:v>12月24日</x:v>
      </x:c>
      <x:c r="D296" s="24" t="n">
        <x:v>2680.8</x:v>
      </x:c>
      <x:c r="E296" s="24" t="n">
        <x:v>2716.6</x:v>
      </x:c>
      <x:c r="F296" s="24" t="n">
        <x:v>2671.8</x:v>
      </x:c>
      <x:c r="G296" s="24" t="n">
        <x:v>2710.2</x:v>
      </x:c>
      <x:c r="H296" s="25" t="n">
        <x:v>0.012704581122487069</x:v>
      </x:c>
      <x:c r="I296" s="24" t="n">
        <x:f>ROUND(E296-F296,1)</x:f>
        <x:v>44.8</x:v>
      </x:c>
      <x:c r="J296" s="23" t="str">
        <x:v>IH2503</x:v>
      </x:c>
    </x:row>
    <x:row r="297">
      <x:c r="A297" s="23" t="n">
        <x:v>18</x:v>
      </x:c>
      <x:c r="B297" s="23" t="str">
        <x:v>周三</x:v>
      </x:c>
      <x:c r="C297" s="23" t="str">
        <x:v>12月25日</x:v>
      </x:c>
      <x:c r="D297" s="24" t="n">
        <x:v>2713</x:v>
      </x:c>
      <x:c r="E297" s="24" t="n">
        <x:v>2729.6</x:v>
      </x:c>
      <x:c r="F297" s="24" t="n">
        <x:v>2705.4</x:v>
      </x:c>
      <x:c r="G297" s="24" t="n">
        <x:v>2716.2</x:v>
      </x:c>
      <x:c r="H297" s="25" t="n">
        <x:v>0.002213858755811371</x:v>
      </x:c>
      <x:c r="I297" s="24" t="n">
        <x:f>ROUND(E297-F297,1)</x:f>
        <x:v>24.2</x:v>
      </x:c>
      <x:c r="J297" s="23" t="str">
        <x:v>IH2503</x:v>
      </x:c>
    </x:row>
    <x:row r="298">
      <x:c r="A298" s="23" t="n">
        <x:v>19</x:v>
      </x:c>
      <x:c r="B298" s="23" t="str">
        <x:v>周四</x:v>
      </x:c>
      <x:c r="C298" s="23" t="str">
        <x:v>12月26日</x:v>
      </x:c>
      <x:c r="D298" s="24" t="n">
        <x:v>2716.6</x:v>
      </x:c>
      <x:c r="E298" s="24" t="n">
        <x:v>2718.6</x:v>
      </x:c>
      <x:c r="F298" s="24" t="n">
        <x:v>2701.6</x:v>
      </x:c>
      <x:c r="G298" s="24" t="n">
        <x:v>2713.4</x:v>
      </x:c>
      <x:c r="H298" s="25" t="n">
        <x:v>-0.001030851925484022</x:v>
      </x:c>
      <x:c r="I298" s="24" t="n">
        <x:f>ROUND(E298-F298,1)</x:f>
        <x:v>17</x:v>
      </x:c>
      <x:c r="J298" s="23" t="str">
        <x:v>IH2503</x:v>
      </x:c>
    </x:row>
    <x:row r="299">
      <x:c r="A299" s="23" t="n">
        <x:v>20</x:v>
      </x:c>
      <x:c r="B299" s="23" t="str">
        <x:v>周五</x:v>
      </x:c>
      <x:c r="C299" s="23" t="str">
        <x:v>12月27日</x:v>
      </x:c>
      <x:c r="D299" s="24" t="n">
        <x:v>2715.4</x:v>
      </x:c>
      <x:c r="E299" s="24" t="n">
        <x:v>2725</x:v>
      </x:c>
      <x:c r="F299" s="24" t="n">
        <x:v>2696</x:v>
      </x:c>
      <x:c r="G299" s="24" t="n">
        <x:v>2710.6</x:v>
      </x:c>
      <x:c r="H299" s="25" t="n">
        <x:v>-0.0010319156777475191</x:v>
      </x:c>
      <x:c r="I299" s="24" t="n">
        <x:f>ROUND(E299-F299,1)</x:f>
        <x:v>29</x:v>
      </x:c>
      <x:c r="J299" s="23" t="str">
        <x:v>IH2503</x:v>
      </x:c>
    </x:row>
    <x:row r="300">
      <x:c r="A300" s="23" t="n">
        <x:v>21</x:v>
      </x:c>
      <x:c r="B300" s="23" t="str">
        <x:v>周一</x:v>
      </x:c>
      <x:c r="C300" s="23" t="str">
        <x:v>12月30日</x:v>
      </x:c>
      <x:c r="D300" s="24" t="n">
        <x:v>2710.8</x:v>
      </x:c>
      <x:c r="E300" s="24" t="n">
        <x:v>2735.8</x:v>
      </x:c>
      <x:c r="F300" s="24" t="n">
        <x:v>2710.6</x:v>
      </x:c>
      <x:c r="G300" s="24" t="n">
        <x:v>2728.2</x:v>
      </x:c>
      <x:c r="H300" s="25" t="n">
        <x:v>0.006493027374013138</x:v>
      </x:c>
      <x:c r="I300" s="24" t="n">
        <x:f>ROUND(E300-F300,1)</x:f>
        <x:v>25.2</x:v>
      </x:c>
      <x:c r="J300" s="23" t="str">
        <x:v>IH2503</x:v>
      </x:c>
    </x:row>
    <x:row r="301">
      <x:c r="A301" s="23" t="n">
        <x:v>22</x:v>
      </x:c>
      <x:c r="B301" s="23" t="str">
        <x:v>周二</x:v>
      </x:c>
      <x:c r="C301" s="23" t="str">
        <x:v>12月31日</x:v>
      </x:c>
      <x:c r="D301" s="24" t="n">
        <x:v>2723.2</x:v>
      </x:c>
      <x:c r="E301" s="24" t="n">
        <x:v>2734.8</x:v>
      </x:c>
      <x:c r="F301" s="24" t="n">
        <x:v>2681.2</x:v>
      </x:c>
      <x:c r="G301" s="24" t="n">
        <x:v>2681.2</x:v>
      </x:c>
      <x:c r="H301" s="25" t="n">
        <x:v>-0.01722747599149621</x:v>
      </x:c>
      <x:c r="I301" s="24" t="n">
        <x:f>ROUND(E301-F301,1)</x:f>
        <x:v>53.6</x:v>
      </x:c>
      <x:c r="J301" s="23" t="str">
        <x:v>IH2503</x:v>
      </x:c>
    </x:row>
    <x:row r="302">
      <x:c r="A302" s="36" t="str">
        <x:v>合计</x:v>
      </x:c>
      <x:c r="B302" s="35" t="n">
        <x:v>22</x:v>
      </x:c>
      <x:c r="C302" s="35"/>
      <x:c r="D302" s="35"/>
      <x:c r="E302" s="35"/>
      <x:c r="F302" s="35"/>
      <x:c r="G302" s="35"/>
      <x:c r="H302" s="35"/>
      <x:c r="I302" s="37" t="n">
        <x:f>ROUND(SUM(I280:I301),1)</x:f>
        <x:v>811.2</x:v>
      </x:c>
      <x:c r="J302" s="35"/>
    </x:row>
    <x:row r="303">
      <x:c r="A303" s="36" t="str">
        <x:v>均值</x:v>
      </x:c>
      <x:c r="B303" s="35"/>
      <x:c r="C303" s="35"/>
      <x:c r="D303" s="35"/>
      <x:c r="E303" s="35"/>
      <x:c r="F303" s="35"/>
      <x:c r="G303" s="35"/>
      <x:c r="H303" s="35"/>
      <x:c r="I303" s="39" t="n">
        <x:f>ROUND(IFERROR(AVERAGE(I280:I301),0),1)</x:f>
        <x:v>36.9</x:v>
      </x:c>
      <x:c r="J303" s="35"/>
    </x:row>
  </x:sheetData>
  <x:mergeCells>
    <x:mergeCell ref="A1:J1"/>
    <x:mergeCell ref="A3:J3"/>
    <x:mergeCell ref="A30:J30"/>
    <x:mergeCell ref="A50:J50"/>
    <x:mergeCell ref="A76:J76"/>
    <x:mergeCell ref="A101:J101"/>
    <x:mergeCell ref="A126:J126"/>
    <x:mergeCell ref="A150:J150"/>
    <x:mergeCell ref="A178:J178"/>
    <x:mergeCell ref="A205:J205"/>
    <x:mergeCell ref="A229:J229"/>
    <x:mergeCell ref="A252:J252"/>
    <x:mergeCell ref="A278:J278"/>
  </x:mergeCells>
  <x:pageMargins left="0.7" right="0.7" top="0.75" bottom="0.75" header="0.3" footer="0.3"/>
</x:worksheet>
</file>