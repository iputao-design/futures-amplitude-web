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9da8b8732140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78638a03f5b4a23"/>
    <x:sheet xmlns:r="http://schemas.openxmlformats.org/officeDocument/2006/relationships" name="周振幅统计" sheetId="2" r:id="R9d441619e7024973"/>
    <x:sheet xmlns:r="http://schemas.openxmlformats.org/officeDocument/2006/relationships" name="中证1000" sheetId="3" r:id="Rb6f172fdb82f40a8"/>
    <x:sheet xmlns:r="http://schemas.openxmlformats.org/officeDocument/2006/relationships" name="中证500" sheetId="4" r:id="Rfc9cd13b17a44581"/>
    <x:sheet xmlns:r="http://schemas.openxmlformats.org/officeDocument/2006/relationships" name="上证指数" sheetId="5" r:id="R295f6b12c1d34215"/>
    <x:sheet xmlns:r="http://schemas.openxmlformats.org/officeDocument/2006/relationships" name="IM主力" sheetId="6" r:id="Rcd1a33a9cb20450c"/>
    <x:sheet xmlns:r="http://schemas.openxmlformats.org/officeDocument/2006/relationships" name="IC主力" sheetId="7" r:id="R70df2e5fe1834d8a"/>
    <x:sheet xmlns:r="http://schemas.openxmlformats.org/officeDocument/2006/relationships" name="IF主力" sheetId="8" r:id="R4142e6584cb94c9d"/>
    <x:sheet xmlns:r="http://schemas.openxmlformats.org/officeDocument/2006/relationships" name="IH主力" sheetId="9" r:id="R72e5ed24bc9842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91a40e79bb4479" /><Relationship Type="http://schemas.openxmlformats.org/officeDocument/2006/relationships/theme" Target="/xl/theme/theme1.xml" Id="Rd5a90f98b9b34d96" /><Relationship Type="http://schemas.openxmlformats.org/officeDocument/2006/relationships/sharedStrings" Target="/xl/sharedStrings.xml" Id="R07529dd110174be9" /><Relationship Type="http://schemas.openxmlformats.org/officeDocument/2006/relationships/worksheet" Target="/xl/worksheets/sheet1.xml" Id="R278638a03f5b4a23" /><Relationship Type="http://schemas.openxmlformats.org/officeDocument/2006/relationships/worksheet" Target="/xl/worksheets/sheet2.xml" Id="R9d441619e7024973" /><Relationship Type="http://schemas.openxmlformats.org/officeDocument/2006/relationships/worksheet" Target="/xl/worksheets/sheet3.xml" Id="Rb6f172fdb82f40a8" /><Relationship Type="http://schemas.openxmlformats.org/officeDocument/2006/relationships/worksheet" Target="/xl/worksheets/sheet4.xml" Id="Rfc9cd13b17a44581" /><Relationship Type="http://schemas.openxmlformats.org/officeDocument/2006/relationships/worksheet" Target="/xl/worksheets/sheet5.xml" Id="R295f6b12c1d34215" /><Relationship Type="http://schemas.openxmlformats.org/officeDocument/2006/relationships/worksheet" Target="/xl/worksheets/sheet6.xml" Id="Rcd1a33a9cb20450c" /><Relationship Type="http://schemas.openxmlformats.org/officeDocument/2006/relationships/worksheet" Target="/xl/worksheets/sheet7.xml" Id="R70df2e5fe1834d8a" /><Relationship Type="http://schemas.openxmlformats.org/officeDocument/2006/relationships/worksheet" Target="/xl/worksheets/sheet8.xml" Id="R4142e6584cb94c9d" /><Relationship Type="http://schemas.openxmlformats.org/officeDocument/2006/relationships/worksheet" Target="/xl/worksheets/sheet9.xml" Id="R72e5ed24bc9842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2026-08-04</x:v>
      </x:c>
      <x:c r="C4" s="10" t="n">
        <x:v>7307.17</x:v>
      </x:c>
      <x:c r="D4" s="10" t="n">
        <x:v>7102.46</x:v>
      </x:c>
      <x:c r="E4" s="12" t="n">
        <x:v>204.7</x:v>
      </x:c>
      <x:c r="F4" s="9" t="n">
        <x:v>141</x:v>
      </x:c>
      <x:c r="G4" s="10" t="n">
        <x:v>25395.8</x:v>
      </x:c>
      <x:c r="H4" s="10" t="n">
        <x:v>180.1</x:v>
      </x:c>
      <x:c r="I4" s="10" t="n">
        <x:v>180</x:v>
      </x:c>
    </x:row>
    <x:row r="5">
      <x:c r="A5" s="9" t="str">
        <x:v>中证500</x:v>
      </x:c>
      <x:c r="B5" s="9" t="str">
        <x:v>2026-08-04</x:v>
      </x:c>
      <x:c r="C5" s="10" t="n">
        <x:v>7645.48</x:v>
      </x:c>
      <x:c r="D5" s="10" t="n">
        <x:v>7450.32</x:v>
      </x:c>
      <x:c r="E5" s="12" t="n">
        <x:v>195.2</x:v>
      </x:c>
      <x:c r="F5" s="9" t="n">
        <x:v>141</x:v>
      </x:c>
      <x:c r="G5" s="10" t="n">
        <x:v>25592.8</x:v>
      </x:c>
      <x:c r="H5" s="10" t="n">
        <x:v>181.5</x:v>
      </x:c>
      <x:c r="I5" s="10" t="n">
        <x:v>160</x:v>
      </x:c>
    </x:row>
    <x:row r="6">
      <x:c r="A6" s="9" t="str">
        <x:v>上证指数</x:v>
      </x:c>
      <x:c r="B6" s="9" t="str">
        <x:v>2026-08-04</x:v>
      </x:c>
      <x:c r="C6" s="10" t="n">
        <x:v>3831.94</x:v>
      </x:c>
      <x:c r="D6" s="10" t="n">
        <x:v>3799.52</x:v>
      </x:c>
      <x:c r="E6" s="12" t="n">
        <x:v>32.4</x:v>
      </x:c>
      <x:c r="F6" s="9" t="n">
        <x:v>141</x:v>
      </x:c>
      <x:c r="G6" s="10" t="n">
        <x:v>7037.7</x:v>
      </x:c>
      <x:c r="H6" s="10" t="n">
        <x:v>49.9</x:v>
      </x:c>
      <x:c r="I6" s="10" t="n">
        <x:v>50</x:v>
      </x:c>
    </x:row>
    <x:row r="7">
      <x:c r="A7" s="9" t="str">
        <x:v>IM主力</x:v>
      </x:c>
      <x:c r="B7" s="9" t="str">
        <x:v>2026-08-04</x:v>
      </x:c>
      <x:c r="C7" s="10" t="n">
        <x:v>7269.8</x:v>
      </x:c>
      <x:c r="D7" s="10" t="n">
        <x:v>7057.8</x:v>
      </x:c>
      <x:c r="E7" s="12" t="n">
        <x:v>212</x:v>
      </x:c>
      <x:c r="F7" s="9" t="n">
        <x:v>141</x:v>
      </x:c>
      <x:c r="G7" s="10" t="n">
        <x:v>27128</x:v>
      </x:c>
      <x:c r="H7" s="10" t="n">
        <x:v>192.4</x:v>
      </x:c>
      <x:c r="I7" s="10" t="n">
        <x:v>190</x:v>
      </x:c>
    </x:row>
    <x:row r="8">
      <x:c r="A8" s="9" t="str">
        <x:v>IC主力</x:v>
      </x:c>
      <x:c r="B8" s="9" t="str">
        <x:v>2026-08-04</x:v>
      </x:c>
      <x:c r="C8" s="10" t="n">
        <x:v>7599</x:v>
      </x:c>
      <x:c r="D8" s="10" t="n">
        <x:v>7392.8</x:v>
      </x:c>
      <x:c r="E8" s="12" t="n">
        <x:v>206.2</x:v>
      </x:c>
      <x:c r="F8" s="9" t="n">
        <x:v>141</x:v>
      </x:c>
      <x:c r="G8" s="10" t="n">
        <x:v>28483.8</x:v>
      </x:c>
      <x:c r="H8" s="10" t="n">
        <x:v>202</x:v>
      </x:c>
      <x:c r="I8" s="10" t="n">
        <x:v>150</x:v>
      </x:c>
    </x:row>
    <x:row r="9">
      <x:c r="A9" s="9" t="str">
        <x:v>IF主力</x:v>
      </x:c>
      <x:c r="B9" s="9" t="str">
        <x:v>2026-08-04</x:v>
      </x:c>
      <x:c r="C9" s="10" t="n">
        <x:v>4580.8</x:v>
      </x:c>
      <x:c r="D9" s="10" t="n">
        <x:v>4524.2</x:v>
      </x:c>
      <x:c r="E9" s="12" t="n">
        <x:v>56.6</x:v>
      </x:c>
      <x:c r="F9" s="9" t="n">
        <x:v>141</x:v>
      </x:c>
      <x:c r="G9" s="10" t="n">
        <x:v>10660</x:v>
      </x:c>
      <x:c r="H9" s="10" t="n">
        <x:v>75.6</x:v>
      </x:c>
      <x:c r="I9" s="10" t="n">
        <x:v>90</x:v>
      </x:c>
    </x:row>
    <x:row r="10">
      <x:c r="A10" s="9" t="str">
        <x:v>IH主力</x:v>
      </x:c>
      <x:c r="B10" s="9" t="str">
        <x:v>2026-08-04</x:v>
      </x:c>
      <x:c r="C10" s="10" t="n">
        <x:v>2872</x:v>
      </x:c>
      <x:c r="D10" s="10" t="n">
        <x:v>2846.6</x:v>
      </x:c>
      <x:c r="E10" s="12" t="n">
        <x:v>25.4</x:v>
      </x:c>
      <x:c r="F10" s="9" t="n">
        <x:v>141</x:v>
      </x:c>
      <x:c r="G10" s="10" t="n">
        <x:v>5947.4</x:v>
      </x:c>
      <x:c r="H10" s="10" t="n">
        <x:v>42.2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2026-08-04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8月3日-8月4日</x:v>
      </x:c>
      <x:c r="C34" s="23" t="n">
        <x:v>7055.27</x:v>
      </x:c>
      <x:c r="D34" s="23" t="n">
        <x:v>7307.17</x:v>
      </x:c>
      <x:c r="E34" s="23" t="n">
        <x:v>7042.89</x:v>
      </x:c>
      <x:c r="F34" s="23" t="n">
        <x:v>7279.19</x:v>
      </x:c>
      <x:c r="G34" s="28" t="n">
        <x:f>ROUND(F34-F33,1)</x:f>
        <x:v>203.7</x:v>
      </x:c>
      <x:c r="H34" s="24" t="n">
        <x:f>IFERROR(F34/F33-1,"")</x:f>
        <x:v>0.028786617501777245</x:v>
      </x:c>
      <x:c r="I34" s="26" t="n">
        <x:f>ROUND(D34-E34,1)</x:f>
        <x:v>264.3</x:v>
      </x:c>
      <x:c r="J34" s="22" t="str">
        <x:v>中证1000</x:v>
      </x:c>
      <x:c r="K34" s="22" t="n">
        <x:v>2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12333.5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411.1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8月3日-8月4日</x:v>
      </x:c>
      <x:c r="C69" s="23" t="n">
        <x:v>7457.12</x:v>
      </x:c>
      <x:c r="D69" s="23" t="n">
        <x:v>7645.48</x:v>
      </x:c>
      <x:c r="E69" s="23" t="n">
        <x:v>7397.94</x:v>
      </x:c>
      <x:c r="F69" s="23" t="n">
        <x:v>7607.49</x:v>
      </x:c>
      <x:c r="G69" s="23" t="n">
        <x:f>ROUND(F69-F68,1)</x:f>
        <x:v>113.5</x:v>
      </x:c>
      <x:c r="H69" s="24" t="n">
        <x:f>IFERROR(F69/F68-1,"")</x:f>
        <x:v>0.015145469903215858</x:v>
      </x:c>
      <x:c r="I69" s="26" t="n">
        <x:f>ROUND(D69-E69,1)</x:f>
        <x:v>247.5</x:v>
      </x:c>
      <x:c r="J69" s="22" t="str">
        <x:v>中证500</x:v>
      </x:c>
      <x:c r="K69" s="22" t="n">
        <x:v>2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12542.6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418.1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8月3日-8月4日</x:v>
      </x:c>
      <x:c r="C104" s="23" t="n">
        <x:v>3812.61</x:v>
      </x:c>
      <x:c r="D104" s="23" t="n">
        <x:v>3831.94</x:v>
      </x:c>
      <x:c r="E104" s="23" t="n">
        <x:v>3797.64</x:v>
      </x:c>
      <x:c r="F104" s="23" t="n">
        <x:v>3822.28</x:v>
      </x:c>
      <x:c r="G104" s="23" t="n">
        <x:f>ROUND(F104-F103,1)</x:f>
        <x:v>-10</x:v>
      </x:c>
      <x:c r="H104" s="24" t="n">
        <x:f>IFERROR(F104/F103-1,"")</x:f>
        <x:v>-0.0026042074389525105</x:v>
      </x:c>
      <x:c r="I104" s="23" t="n">
        <x:f>ROUND(D104-E104,1)</x:f>
        <x:v>34.3</x:v>
      </x:c>
      <x:c r="J104" s="22" t="str">
        <x:v>上证指数</x:v>
      </x:c>
      <x:c r="K104" s="22" t="n">
        <x:v>2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3270.2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109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8月3日-8月4日</x:v>
      </x:c>
      <x:c r="C139" s="23" t="n">
        <x:v>7000</x:v>
      </x:c>
      <x:c r="D139" s="23" t="n">
        <x:v>7269.8</x:v>
      </x:c>
      <x:c r="E139" s="23" t="n">
        <x:v>6976</x:v>
      </x:c>
      <x:c r="F139" s="23" t="n">
        <x:v>7211.4</x:v>
      </x:c>
      <x:c r="G139" s="28" t="n">
        <x:f>ROUND(F139-F138,1)</x:f>
        <x:v>223.6</x:v>
      </x:c>
      <x:c r="H139" s="24" t="n">
        <x:f>IFERROR(F139/F138-1,"")</x:f>
        <x:v>0.03199862617705129</x:v>
      </x:c>
      <x:c r="I139" s="26" t="n">
        <x:f>ROUND(D139-E139,1)</x:f>
        <x:v>293.8</x:v>
      </x:c>
      <x:c r="J139" s="22" t="str">
        <x:v>IM2609</x:v>
      </x:c>
      <x:c r="K139" s="22" t="n">
        <x:v>2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13023.8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434.1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8月3日-8月4日</x:v>
      </x:c>
      <x:c r="C174" s="23" t="n">
        <x:v>7391</x:v>
      </x:c>
      <x:c r="D174" s="23" t="n">
        <x:v>7599</x:v>
      </x:c>
      <x:c r="E174" s="23" t="n">
        <x:v>7335</x:v>
      </x:c>
      <x:c r="F174" s="23" t="n">
        <x:v>7529</x:v>
      </x:c>
      <x:c r="G174" s="23" t="n">
        <x:f>ROUND(F174-F173,1)</x:f>
        <x:v>134</x:v>
      </x:c>
      <x:c r="H174" s="24" t="n">
        <x:f>IFERROR(F174/F173-1,"")</x:f>
        <x:v>0.018120351588911454</x:v>
      </x:c>
      <x:c r="I174" s="26" t="n">
        <x:f>ROUND(D174-E174,1)</x:f>
        <x:v>264</x:v>
      </x:c>
      <x:c r="J174" s="22" t="str">
        <x:v>IC2609</x:v>
      </x:c>
      <x:c r="K174" s="22" t="n">
        <x:v>2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13713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457.1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8月3日-8月4日</x:v>
      </x:c>
      <x:c r="C209" s="23" t="n">
        <x:v>4526.4</x:v>
      </x:c>
      <x:c r="D209" s="23" t="n">
        <x:v>4580.8</x:v>
      </x:c>
      <x:c r="E209" s="23" t="n">
        <x:v>4494.2</x:v>
      </x:c>
      <x:c r="F209" s="23" t="n">
        <x:v>4552.8</x:v>
      </x:c>
      <x:c r="G209" s="23" t="n">
        <x:f>ROUND(F209-F208,1)</x:f>
        <x:v>14.8</x:v>
      </x:c>
      <x:c r="H209" s="24" t="n">
        <x:f>IFERROR(F209/F208-1,"")</x:f>
        <x:v>0.003261348611723225</x:v>
      </x:c>
      <x:c r="I209" s="23" t="n">
        <x:f>ROUND(D209-E209,1)</x:f>
        <x:v>86.6</x:v>
      </x:c>
      <x:c r="J209" s="22" t="str">
        <x:v>IF2609</x:v>
      </x:c>
      <x:c r="K209" s="22" t="n">
        <x:v>2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4891.8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163.1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8月3日-8月4日</x:v>
      </x:c>
      <x:c r="C244" s="23" t="n">
        <x:v>2882.4</x:v>
      </x:c>
      <x:c r="D244" s="23" t="n">
        <x:v>2890</x:v>
      </x:c>
      <x:c r="E244" s="23" t="n">
        <x:v>2845.8</x:v>
      </x:c>
      <x:c r="F244" s="23" t="n">
        <x:v>2852.4</x:v>
      </x:c>
      <x:c r="G244" s="23" t="n">
        <x:f>ROUND(F244-F243,1)</x:f>
        <x:v>-39.4</x:v>
      </x:c>
      <x:c r="H244" s="24" t="n">
        <x:f>IFERROR(F244/F243-1,"")</x:f>
        <x:v>-0.01362473200082992</x:v>
      </x:c>
      <x:c r="I244" s="23" t="n">
        <x:f>ROUND(D244-E244,1)</x:f>
        <x:v>44.2</x:v>
      </x:c>
      <x:c r="J244" s="22" t="str">
        <x:v>IH2609</x:v>
      </x:c>
      <x:c r="K244" s="22" t="n">
        <x:v>2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2777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92.6</x:v>
      </x:c>
      <x:c r="J246" s="30"/>
      <x:c r="K246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279.9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140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296.8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148.4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62.4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31.2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300.2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150.1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311.2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155.6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100.4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50.2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69.6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34.8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