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a139a3fa04d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e9f26dc86504946"/>
    <x:sheet xmlns:r="http://schemas.openxmlformats.org/officeDocument/2006/relationships" name="中证1000" sheetId="2" r:id="Rc09582f6c7564852"/>
    <x:sheet xmlns:r="http://schemas.openxmlformats.org/officeDocument/2006/relationships" name="中证500" sheetId="3" r:id="R0eee4b19ab814ca3"/>
    <x:sheet xmlns:r="http://schemas.openxmlformats.org/officeDocument/2006/relationships" name="上证指数" sheetId="4" r:id="R4201b1f83d8c403b"/>
    <x:sheet xmlns:r="http://schemas.openxmlformats.org/officeDocument/2006/relationships" name="IM主力" sheetId="5" r:id="Reda37498a2a3419e"/>
    <x:sheet xmlns:r="http://schemas.openxmlformats.org/officeDocument/2006/relationships" name="IC主力" sheetId="6" r:id="Rabef3ee9c0a44b53"/>
    <x:sheet xmlns:r="http://schemas.openxmlformats.org/officeDocument/2006/relationships" name="IF主力" sheetId="7" r:id="R50a251651b4a4d83"/>
    <x:sheet xmlns:r="http://schemas.openxmlformats.org/officeDocument/2006/relationships" name="IH主力" sheetId="8" r:id="Re21e668f6ab041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953808ac524266" /><Relationship Type="http://schemas.openxmlformats.org/officeDocument/2006/relationships/theme" Target="/xl/theme/theme1.xml" Id="Rd1ef02e394cf4c84" /><Relationship Type="http://schemas.openxmlformats.org/officeDocument/2006/relationships/sharedStrings" Target="/xl/sharedStrings.xml" Id="R38ddd89e9d6f495a" /><Relationship Type="http://schemas.openxmlformats.org/officeDocument/2006/relationships/worksheet" Target="/xl/worksheets/sheet1.xml" Id="R2e9f26dc86504946" /><Relationship Type="http://schemas.openxmlformats.org/officeDocument/2006/relationships/worksheet" Target="/xl/worksheets/sheet2.xml" Id="Rc09582f6c7564852" /><Relationship Type="http://schemas.openxmlformats.org/officeDocument/2006/relationships/worksheet" Target="/xl/worksheets/sheet3.xml" Id="R0eee4b19ab814ca3" /><Relationship Type="http://schemas.openxmlformats.org/officeDocument/2006/relationships/worksheet" Target="/xl/worksheets/sheet4.xml" Id="R4201b1f83d8c403b" /><Relationship Type="http://schemas.openxmlformats.org/officeDocument/2006/relationships/worksheet" Target="/xl/worksheets/sheet5.xml" Id="Reda37498a2a3419e" /><Relationship Type="http://schemas.openxmlformats.org/officeDocument/2006/relationships/worksheet" Target="/xl/worksheets/sheet6.xml" Id="Rabef3ee9c0a44b53" /><Relationship Type="http://schemas.openxmlformats.org/officeDocument/2006/relationships/worksheet" Target="/xl/worksheets/sheet7.xml" Id="R50a251651b4a4d83" /><Relationship Type="http://schemas.openxmlformats.org/officeDocument/2006/relationships/worksheet" Target="/xl/worksheets/sheet8.xml" Id="Re21e668f6ab041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2026-07-21</x:v>
      </x:c>
      <x:c r="C4" s="10" t="n">
        <x:v>7264.338</x:v>
      </x:c>
      <x:c r="D4" s="10" t="n">
        <x:v>6714.187</x:v>
      </x:c>
      <x:c r="E4" s="12" t="n">
        <x:v>550.2</x:v>
      </x:c>
      <x:c r="F4" s="9" t="n">
        <x:v>131</x:v>
      </x:c>
      <x:c r="G4" s="10" t="n">
        <x:v>23504.9</x:v>
      </x:c>
      <x:c r="H4" s="10" t="n">
        <x:v>179.4</x:v>
      </x:c>
      <x:c r="I4" s="10" t="n">
        <x:v>180</x:v>
      </x:c>
    </x:row>
    <x:row r="5">
      <x:c r="A5" s="9" t="str">
        <x:v>中证500</x:v>
      </x:c>
      <x:c r="B5" s="9" t="str">
        <x:v>2026-07-21</x:v>
      </x:c>
      <x:c r="C5" s="10" t="n">
        <x:v>7802.755</x:v>
      </x:c>
      <x:c r="D5" s="10" t="n">
        <x:v>7270.954</x:v>
      </x:c>
      <x:c r="E5" s="12" t="n">
        <x:v>531.8</x:v>
      </x:c>
      <x:c r="F5" s="9" t="n">
        <x:v>131</x:v>
      </x:c>
      <x:c r="G5" s="10" t="n">
        <x:v>23598.9</x:v>
      </x:c>
      <x:c r="H5" s="10" t="n">
        <x:v>180.1</x:v>
      </x:c>
      <x:c r="I5" s="10" t="n">
        <x:v>160</x:v>
      </x:c>
    </x:row>
    <x:row r="6">
      <x:c r="A6" s="9" t="str">
        <x:v>上证指数</x:v>
      </x:c>
      <x:c r="B6" s="9" t="str">
        <x:v>2026-07-21</x:v>
      </x:c>
      <x:c r="C6" s="10" t="n">
        <x:v>3864.6</x:v>
      </x:c>
      <x:c r="D6" s="10" t="n">
        <x:v>3743.36</x:v>
      </x:c>
      <x:c r="E6" s="12" t="n">
        <x:v>121.2</x:v>
      </x:c>
      <x:c r="F6" s="9" t="n">
        <x:v>131</x:v>
      </x:c>
      <x:c r="G6" s="10" t="n">
        <x:v>6579.6</x:v>
      </x:c>
      <x:c r="H6" s="10" t="n">
        <x:v>50.2</x:v>
      </x:c>
      <x:c r="I6" s="10" t="n">
        <x:v>50</x:v>
      </x:c>
    </x:row>
    <x:row r="7">
      <x:c r="A7" s="9" t="str">
        <x:v>IM主力</x:v>
      </x:c>
      <x:c r="B7" s="9" t="str">
        <x:v>2026-07-21</x:v>
      </x:c>
      <x:c r="C7" s="10" t="n">
        <x:v>7175.8</x:v>
      </x:c>
      <x:c r="D7" s="10" t="n">
        <x:v>6641.8</x:v>
      </x:c>
      <x:c r="E7" s="12" t="n">
        <x:v>534</x:v>
      </x:c>
      <x:c r="F7" s="9" t="n">
        <x:v>131</x:v>
      </x:c>
      <x:c r="G7" s="10" t="n">
        <x:v>25004.4</x:v>
      </x:c>
      <x:c r="H7" s="10" t="n">
        <x:v>190.9</x:v>
      </x:c>
      <x:c r="I7" s="10" t="n">
        <x:v>190</x:v>
      </x:c>
    </x:row>
    <x:row r="8">
      <x:c r="A8" s="9" t="str">
        <x:v>IC主力</x:v>
      </x:c>
      <x:c r="B8" s="9" t="str">
        <x:v>2026-07-21</x:v>
      </x:c>
      <x:c r="C8" s="10" t="n">
        <x:v>7700.6</x:v>
      </x:c>
      <x:c r="D8" s="10" t="n">
        <x:v>7201.2</x:v>
      </x:c>
      <x:c r="E8" s="12" t="n">
        <x:v>499.4</x:v>
      </x:c>
      <x:c r="F8" s="9" t="n">
        <x:v>131</x:v>
      </x:c>
      <x:c r="G8" s="10" t="n">
        <x:v>26269.4</x:v>
      </x:c>
      <x:c r="H8" s="10" t="n">
        <x:v>200.5</x:v>
      </x:c>
      <x:c r="I8" s="10" t="n">
        <x:v>150</x:v>
      </x:c>
    </x:row>
    <x:row r="9">
      <x:c r="A9" s="9" t="str">
        <x:v>IF主力</x:v>
      </x:c>
      <x:c r="B9" s="9" t="str">
        <x:v>2026-07-21</x:v>
      </x:c>
      <x:c r="C9" s="10" t="n">
        <x:v>4673.8</x:v>
      </x:c>
      <x:c r="D9" s="10" t="n">
        <x:v>4524.4</x:v>
      </x:c>
      <x:c r="E9" s="12" t="n">
        <x:v>149.4</x:v>
      </x:c>
      <x:c r="F9" s="9" t="n">
        <x:v>131</x:v>
      </x:c>
      <x:c r="G9" s="10" t="n">
        <x:v>9855.8</x:v>
      </x:c>
      <x:c r="H9" s="10" t="n">
        <x:v>75.2</x:v>
      </x:c>
      <x:c r="I9" s="10" t="n">
        <x:v>90</x:v>
      </x:c>
    </x:row>
    <x:row r="10">
      <x:c r="A10" s="9" t="str">
        <x:v>IH主力</x:v>
      </x:c>
      <x:c r="B10" s="9" t="str">
        <x:v>2026-07-21</x:v>
      </x:c>
      <x:c r="C10" s="10" t="n">
        <x:v>2933</x:v>
      </x:c>
      <x:c r="D10" s="10" t="n">
        <x:v>2875.2</x:v>
      </x:c>
      <x:c r="E10" s="12" t="n">
        <x:v>57.8</x:v>
      </x:c>
      <x:c r="F10" s="9" t="n">
        <x:v>131</x:v>
      </x:c>
      <x:c r="G10" s="10" t="n">
        <x:v>5509.8</x:v>
      </x:c>
      <x:c r="H10" s="10" t="n">
        <x:v>42.1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2026-07-21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7256.267</x:v>
      </x:c>
      <x:c r="E164" s="24" t="n">
        <x:v>7298.122</x:v>
      </x:c>
      <x:c r="F164" s="24" t="n">
        <x:v>6824.145</x:v>
      </x:c>
      <x:c r="G164" s="24" t="n">
        <x:v>6965.376</x:v>
      </x:c>
      <x:c r="H164" s="27" t="n">
        <x:v>-202.6</x:v>
      </x:c>
      <x:c r="I164" s="25" t="n">
        <x:v>-0.028267314881314065</x:v>
      </x:c>
      <x:c r="J164" s="29" t="n">
        <x:f>ROUND(E164-F164,1)</x:f>
        <x:v>474</x:v>
      </x:c>
      <x:c r="K164" s="23" t="str">
        <x:v>中证1000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6975.893</x:v>
      </x:c>
      <x:c r="E165" s="24" t="n">
        <x:v>7264.338</x:v>
      </x:c>
      <x:c r="F165" s="24" t="n">
        <x:v>6714.187</x:v>
      </x:c>
      <x:c r="G165" s="24" t="n">
        <x:v>7259.863</x:v>
      </x:c>
      <x:c r="H165" s="27" t="n">
        <x:v>294.5</x:v>
      </x:c>
      <x:c r="I165" s="25" t="n">
        <x:v>0.042278693928367916</x:v>
      </x:c>
      <x:c r="J165" s="29" t="n">
        <x:f>ROUND(E165-F165,1)</x:f>
        <x:v>550.2</x:v>
      </x:c>
      <x:c r="K165" s="23" t="str">
        <x:v>中证1000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4446.8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296.5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7597.769</x:v>
      </x:c>
      <x:c r="E164" s="24" t="n">
        <x:v>7626.489</x:v>
      </x:c>
      <x:c r="F164" s="24" t="n">
        <x:v>7253.518</x:v>
      </x:c>
      <x:c r="G164" s="24" t="n">
        <x:v>7411.313</x:v>
      </x:c>
      <x:c r="H164" s="24" t="n">
        <x:v>-102.4</x:v>
      </x:c>
      <x:c r="I164" s="25" t="n">
        <x:v>-0.013634978904711215</x:v>
      </x:c>
      <x:c r="J164" s="29" t="n">
        <x:f>ROUND(E164-F164,1)</x:f>
        <x:v>373</x:v>
      </x:c>
      <x:c r="K164" s="23" t="str">
        <x:v>中证500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7437.452</x:v>
      </x:c>
      <x:c r="E165" s="24" t="n">
        <x:v>7802.755</x:v>
      </x:c>
      <x:c r="F165" s="24" t="n">
        <x:v>7270.954</x:v>
      </x:c>
      <x:c r="G165" s="24" t="n">
        <x:v>7800.609</x:v>
      </x:c>
      <x:c r="H165" s="27" t="n">
        <x:v>389.3</x:v>
      </x:c>
      <x:c r="I165" s="25" t="n">
        <x:v>0.052527264737031176</x:v>
      </x:c>
      <x:c r="J165" s="29" t="n">
        <x:f>ROUND(E165-F165,1)</x:f>
        <x:v>531.8</x:v>
      </x:c>
      <x:c r="K165" s="23" t="str">
        <x:v>中证500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4464.7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297.6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3791.662</x:v>
      </x:c>
      <x:c r="E164" s="24" t="n">
        <x:v>3831.659</x:v>
      </x:c>
      <x:c r="F164" s="24" t="n">
        <x:v>3741.11</x:v>
      </x:c>
      <x:c r="G164" s="24" t="n">
        <x:v>3796.281</x:v>
      </x:c>
      <x:c r="H164" s="24" t="n">
        <x:v>32.1</x:v>
      </x:c>
      <x:c r="I164" s="25" t="n">
        <x:v>0.008534717619226528</x:v>
      </x:c>
      <x:c r="J164" s="29" t="n">
        <x:f>ROUND(E164-F164,1)</x:f>
        <x:v>90.5</x:v>
      </x:c>
      <x:c r="K164" s="23" t="str">
        <x:v>上证指数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3812.162</x:v>
      </x:c>
      <x:c r="E165" s="24" t="n">
        <x:v>3864.6</x:v>
      </x:c>
      <x:c r="F165" s="24" t="n">
        <x:v>3743.36</x:v>
      </x:c>
      <x:c r="G165" s="24" t="n">
        <x:v>3864.367</x:v>
      </x:c>
      <x:c r="H165" s="24" t="n">
        <x:v>68.1</x:v>
      </x:c>
      <x:c r="I165" s="25" t="n">
        <x:v>0.01793492104509653</x:v>
      </x:c>
      <x:c r="J165" s="29" t="n">
        <x:f>ROUND(E165-F165,1)</x:f>
        <x:v>121.2</x:v>
      </x:c>
      <x:c r="K165" s="23" t="str">
        <x:v>上证指数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1143.9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76.3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7165.2</x:v>
      </x:c>
      <x:c r="E164" s="24" t="n">
        <x:v>7237</x:v>
      </x:c>
      <x:c r="F164" s="24" t="n">
        <x:v>6652.2</x:v>
      </x:c>
      <x:c r="G164" s="24" t="n">
        <x:v>6849.8</x:v>
      </x:c>
      <x:c r="H164" s="27" t="n">
        <x:v>-215.4</x:v>
      </x:c>
      <x:c r="I164" s="25" t="n">
        <x:v>-0.030487459661439065</x:v>
      </x:c>
      <x:c r="J164" s="29" t="n">
        <x:f>ROUND(E164-F164,1)</x:f>
        <x:v>584.8</x:v>
      </x:c>
      <x:c r="K164" s="23" t="str">
        <x:v>IM2609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6920</x:v>
      </x:c>
      <x:c r="E165" s="24" t="n">
        <x:v>7175.8</x:v>
      </x:c>
      <x:c r="F165" s="24" t="n">
        <x:v>6641.8</x:v>
      </x:c>
      <x:c r="G165" s="24" t="n">
        <x:v>7164.4</x:v>
      </x:c>
      <x:c r="H165" s="27" t="n">
        <x:v>314.6</x:v>
      </x:c>
      <x:c r="I165" s="25" t="n">
        <x:v>0.04592834827294223</x:v>
      </x:c>
      <x:c r="J165" s="29" t="n">
        <x:f>ROUND(E165-F165,1)</x:f>
        <x:v>534</x:v>
      </x:c>
      <x:c r="K165" s="23" t="str">
        <x:v>IM2609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4263.8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284.3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7490</x:v>
      </x:c>
      <x:c r="E164" s="24" t="n">
        <x:v>7561.8</x:v>
      </x:c>
      <x:c r="F164" s="24" t="n">
        <x:v>7092</x:v>
      </x:c>
      <x:c r="G164" s="24" t="n">
        <x:v>7302.2</x:v>
      </x:c>
      <x:c r="H164" s="24" t="n">
        <x:v>-86.8</x:v>
      </x:c>
      <x:c r="I164" s="25" t="n">
        <x:v>-0.011747191771552368</x:v>
      </x:c>
      <x:c r="J164" s="29" t="n">
        <x:f>ROUND(E164-F164,1)</x:f>
        <x:v>469.8</x:v>
      </x:c>
      <x:c r="K164" s="23" t="str">
        <x:v>IC2609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7385</x:v>
      </x:c>
      <x:c r="E165" s="24" t="n">
        <x:v>7700.6</x:v>
      </x:c>
      <x:c r="F165" s="24" t="n">
        <x:v>7201.2</x:v>
      </x:c>
      <x:c r="G165" s="24" t="n">
        <x:v>7685.8</x:v>
      </x:c>
      <x:c r="H165" s="27" t="n">
        <x:v>383.6</x:v>
      </x:c>
      <x:c r="I165" s="25" t="n">
        <x:v>0.052532113609597086</x:v>
      </x:c>
      <x:c r="J165" s="29" t="n">
        <x:f>ROUND(E165-F165,1)</x:f>
        <x:v>499.4</x:v>
      </x:c>
      <x:c r="K165" s="23" t="str">
        <x:v>IC2609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4361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290.7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4530</x:v>
      </x:c>
      <x:c r="E164" s="24" t="n">
        <x:v>4590</x:v>
      </x:c>
      <x:c r="F164" s="24" t="n">
        <x:v>4465</x:v>
      </x:c>
      <x:c r="G164" s="24" t="n">
        <x:v>4545.8</x:v>
      </x:c>
      <x:c r="H164" s="24" t="n">
        <x:v>72</x:v>
      </x:c>
      <x:c r="I164" s="25" t="n">
        <x:v>0.016093701104206604</x:v>
      </x:c>
      <x:c r="J164" s="29" t="n">
        <x:f>ROUND(E164-F164,1)</x:f>
        <x:v>125</x:v>
      </x:c>
      <x:c r="K164" s="23" t="str">
        <x:v>IF2609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4563.8</x:v>
      </x:c>
      <x:c r="E165" s="24" t="n">
        <x:v>4673.8</x:v>
      </x:c>
      <x:c r="F165" s="24" t="n">
        <x:v>4524.4</x:v>
      </x:c>
      <x:c r="G165" s="24" t="n">
        <x:v>4662.4</x:v>
      </x:c>
      <x:c r="H165" s="24" t="n">
        <x:v>116.6</x:v>
      </x:c>
      <x:c r="I165" s="25" t="n">
        <x:v>0.02565005059615455</x:v>
      </x:c>
      <x:c r="J165" s="29" t="n">
        <x:f>ROUND(E165-F165,1)</x:f>
        <x:v>149.4</x:v>
      </x:c>
      <x:c r="K165" s="23" t="str">
        <x:v>IF2609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1600.6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106.7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2820</x:v>
      </x:c>
      <x:c r="E164" s="24" t="n">
        <x:v>2884.6</x:v>
      </x:c>
      <x:c r="F164" s="24" t="n">
        <x:v>2820</x:v>
      </x:c>
      <x:c r="G164" s="24" t="n">
        <x:v>2874</x:v>
      </x:c>
      <x:c r="H164" s="24" t="n">
        <x:v>77.6</x:v>
      </x:c>
      <x:c r="I164" s="25" t="n">
        <x:v>0.027749964239736746</x:v>
      </x:c>
      <x:c r="J164" s="29" t="n">
        <x:f>ROUND(E164-F164,1)</x:f>
        <x:v>64.6</x:v>
      </x:c>
      <x:c r="K164" s="23" t="str">
        <x:v>IH2609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2896</x:v>
      </x:c>
      <x:c r="E165" s="24" t="n">
        <x:v>2933</x:v>
      </x:c>
      <x:c r="F165" s="24" t="n">
        <x:v>2875.2</x:v>
      </x:c>
      <x:c r="G165" s="24" t="n">
        <x:v>2923.6</x:v>
      </x:c>
      <x:c r="H165" s="24" t="n">
        <x:v>49.6</x:v>
      </x:c>
      <x:c r="I165" s="25" t="n">
        <x:v>0.017258176757132926</x:v>
      </x:c>
      <x:c r="J165" s="24" t="n">
        <x:f>ROUND(E165-F165,1)</x:f>
        <x:v>57.8</x:v>
      </x:c>
      <x:c r="K165" s="23" t="str">
        <x:v>IH2609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853.6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56.9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