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a244f1e0a04f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adefb36613f46a6"/>
    <x:sheet xmlns:r="http://schemas.openxmlformats.org/officeDocument/2006/relationships" name="周振幅统计" sheetId="2" r:id="R26c517efa5a540e3"/>
    <x:sheet xmlns:r="http://schemas.openxmlformats.org/officeDocument/2006/relationships" name="中证1000" sheetId="3" r:id="Raac4976054de4fe3"/>
    <x:sheet xmlns:r="http://schemas.openxmlformats.org/officeDocument/2006/relationships" name="中证500" sheetId="4" r:id="R9f623a7cc8cd4237"/>
    <x:sheet xmlns:r="http://schemas.openxmlformats.org/officeDocument/2006/relationships" name="上证指数" sheetId="5" r:id="R244f9c9bbcdc44e6"/>
    <x:sheet xmlns:r="http://schemas.openxmlformats.org/officeDocument/2006/relationships" name="IM主力" sheetId="6" r:id="R1c0682b2afc4484d"/>
    <x:sheet xmlns:r="http://schemas.openxmlformats.org/officeDocument/2006/relationships" name="IC主力" sheetId="7" r:id="R7d8e424a87f04370"/>
    <x:sheet xmlns:r="http://schemas.openxmlformats.org/officeDocument/2006/relationships" name="IF主力" sheetId="8" r:id="Rc112fb11d53f4b28"/>
    <x:sheet xmlns:r="http://schemas.openxmlformats.org/officeDocument/2006/relationships" name="IH主力" sheetId="9" r:id="R7a7545a982c947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83c165993740a7" /><Relationship Type="http://schemas.openxmlformats.org/officeDocument/2006/relationships/theme" Target="/xl/theme/theme1.xml" Id="R1861e7b817084cfb" /><Relationship Type="http://schemas.openxmlformats.org/officeDocument/2006/relationships/sharedStrings" Target="/xl/sharedStrings.xml" Id="Raf734e9823eb4cb7" /><Relationship Type="http://schemas.openxmlformats.org/officeDocument/2006/relationships/worksheet" Target="/xl/worksheets/sheet1.xml" Id="Rbadefb36613f46a6" /><Relationship Type="http://schemas.openxmlformats.org/officeDocument/2006/relationships/worksheet" Target="/xl/worksheets/sheet2.xml" Id="R26c517efa5a540e3" /><Relationship Type="http://schemas.openxmlformats.org/officeDocument/2006/relationships/worksheet" Target="/xl/worksheets/sheet3.xml" Id="Raac4976054de4fe3" /><Relationship Type="http://schemas.openxmlformats.org/officeDocument/2006/relationships/worksheet" Target="/xl/worksheets/sheet4.xml" Id="R9f623a7cc8cd4237" /><Relationship Type="http://schemas.openxmlformats.org/officeDocument/2006/relationships/worksheet" Target="/xl/worksheets/sheet5.xml" Id="R244f9c9bbcdc44e6" /><Relationship Type="http://schemas.openxmlformats.org/officeDocument/2006/relationships/worksheet" Target="/xl/worksheets/sheet6.xml" Id="R1c0682b2afc4484d" /><Relationship Type="http://schemas.openxmlformats.org/officeDocument/2006/relationships/worksheet" Target="/xl/worksheets/sheet7.xml" Id="R7d8e424a87f04370" /><Relationship Type="http://schemas.openxmlformats.org/officeDocument/2006/relationships/worksheet" Target="/xl/worksheets/sheet8.xml" Id="Rc112fb11d53f4b28" /><Relationship Type="http://schemas.openxmlformats.org/officeDocument/2006/relationships/worksheet" Target="/xl/worksheets/sheet9.xml" Id="R7a7545a982c947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2026-07-31</x:v>
      </x:c>
      <x:c r="C4" s="10" t="n">
        <x:v>7218.06</x:v>
      </x:c>
      <x:c r="D4" s="10" t="n">
        <x:v>7071.05</x:v>
      </x:c>
      <x:c r="E4" s="12" t="n">
        <x:v>147</x:v>
      </x:c>
      <x:c r="F4" s="9" t="n">
        <x:v>139</x:v>
      </x:c>
      <x:c r="G4" s="10" t="n">
        <x:v>25115.9</x:v>
      </x:c>
      <x:c r="H4" s="10" t="n">
        <x:v>180.7</x:v>
      </x:c>
      <x:c r="I4" s="10" t="n">
        <x:v>180</x:v>
      </x:c>
    </x:row>
    <x:row r="5">
      <x:c r="A5" s="9" t="str">
        <x:v>中证500</x:v>
      </x:c>
      <x:c r="B5" s="9" t="str">
        <x:v>2026-07-31</x:v>
      </x:c>
      <x:c r="C5" s="10" t="n">
        <x:v>7638.78</x:v>
      </x:c>
      <x:c r="D5" s="10" t="n">
        <x:v>7487.43</x:v>
      </x:c>
      <x:c r="E5" s="12" t="n">
        <x:v>151.3</x:v>
      </x:c>
      <x:c r="F5" s="9" t="n">
        <x:v>139</x:v>
      </x:c>
      <x:c r="G5" s="10" t="n">
        <x:v>25296</x:v>
      </x:c>
      <x:c r="H5" s="10" t="n">
        <x:v>182</x:v>
      </x:c>
      <x:c r="I5" s="10" t="n">
        <x:v>160</x:v>
      </x:c>
    </x:row>
    <x:row r="6">
      <x:c r="A6" s="9" t="str">
        <x:v>上证指数</x:v>
      </x:c>
      <x:c r="B6" s="9" t="str">
        <x:v>2026-07-31</x:v>
      </x:c>
      <x:c r="C6" s="10" t="n">
        <x:v>3847.09</x:v>
      </x:c>
      <x:c r="D6" s="10" t="n">
        <x:v>3822.37</x:v>
      </x:c>
      <x:c r="E6" s="12" t="n">
        <x:v>24.7</x:v>
      </x:c>
      <x:c r="F6" s="9" t="n">
        <x:v>139</x:v>
      </x:c>
      <x:c r="G6" s="10" t="n">
        <x:v>6975.3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139</x:v>
      </x:c>
      <x:c r="G7" s="10" t="n">
        <x:v>26827.8</x:v>
      </x:c>
      <x:c r="H7" s="10" t="n">
        <x:v>193</x:v>
      </x:c>
      <x:c r="I7" s="10" t="n">
        <x:v>190</x:v>
      </x:c>
    </x:row>
    <x:row r="8">
      <x:c r="A8" s="9" t="str">
        <x:v>IC主力</x:v>
      </x:c>
      <x:c r="B8" s="9" t="str">
        <x:v>2026-07-31</x:v>
      </x:c>
      <x:c r="C8" s="10" t="n">
        <x:v>7611.8</x:v>
      </x:c>
      <x:c r="D8" s="10" t="n">
        <x:v>7389.6</x:v>
      </x:c>
      <x:c r="E8" s="12" t="n">
        <x:v>222.2</x:v>
      </x:c>
      <x:c r="F8" s="9" t="n">
        <x:v>139</x:v>
      </x:c>
      <x:c r="G8" s="10" t="n">
        <x:v>28172.6</x:v>
      </x:c>
      <x:c r="H8" s="10" t="n">
        <x:v>202.7</x:v>
      </x:c>
      <x:c r="I8" s="10" t="n">
        <x:v>150</x:v>
      </x:c>
    </x:row>
    <x:row r="9">
      <x:c r="A9" s="9" t="str">
        <x:v>IF主力</x:v>
      </x:c>
      <x:c r="B9" s="9" t="str">
        <x:v>2026-07-31</x:v>
      </x:c>
      <x:c r="C9" s="10" t="n">
        <x:v>4619.4</x:v>
      </x:c>
      <x:c r="D9" s="10" t="n">
        <x:v>4532.2</x:v>
      </x:c>
      <x:c r="E9" s="12" t="n">
        <x:v>87.2</x:v>
      </x:c>
      <x:c r="F9" s="9" t="n">
        <x:v>139</x:v>
      </x:c>
      <x:c r="G9" s="10" t="n">
        <x:v>10559.6</x:v>
      </x:c>
      <x:c r="H9" s="10" t="n">
        <x:v>76</x:v>
      </x:c>
      <x:c r="I9" s="10" t="n">
        <x:v>90</x:v>
      </x:c>
    </x:row>
    <x:row r="10">
      <x:c r="A10" s="9" t="str">
        <x:v>IH主力</x:v>
      </x:c>
      <x:c r="B10" s="9" t="str">
        <x:v>2026-07-31</x:v>
      </x:c>
      <x:c r="C10" s="10" t="n">
        <x:v>2927</x:v>
      </x:c>
      <x:c r="D10" s="10" t="n">
        <x:v>2886.4</x:v>
      </x:c>
      <x:c r="E10" s="12" t="n">
        <x:v>40.6</x:v>
      </x:c>
      <x:c r="F10" s="9" t="n">
        <x:v>139</x:v>
      </x:c>
      <x:c r="G10" s="10" t="n">
        <x:v>5877.8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周期</x:v>
      </x:c>
      <x:c r="C4" s="20" t="str">
        <x:v>周起始日</x:v>
      </x:c>
      <x:c r="D4" s="20" t="str">
        <x:v>周最高</x:v>
      </x:c>
      <x:c r="E4" s="20" t="str">
        <x:v>周最低</x:v>
      </x:c>
      <x:c r="F4" s="20" t="str">
        <x:v>周振幅</x:v>
      </x:c>
      <x:c r="G4" s="20" t="str">
        <x:v>交易日</x:v>
      </x:c>
    </x:row>
    <x:row r="5">
      <x:c r="A5" s="22" t="n">
        <x:v>1</x:v>
      </x:c>
      <x:c r="B5" s="22" t="str">
        <x:v>1月5日-1月9日</x:v>
      </x:c>
      <x:c r="C5" s="22" t="str">
        <x:v>2026-01-05</x:v>
      </x:c>
      <x:c r="D5" s="23" t="n">
        <x:v>8131.49</x:v>
      </x:c>
      <x:c r="E5" s="23" t="n">
        <x:v>7623.75</x:v>
      </x:c>
      <x:c r="F5" s="23" t="n">
        <x:f>ROUND(D5-E5,1)</x:f>
        <x:v>507.7</x:v>
      </x:c>
      <x:c r="G5" s="22" t="n">
        <x:v>5</x:v>
      </x:c>
    </x:row>
    <x:row r="6">
      <x:c r="A6" s="22" t="n">
        <x:v>2</x:v>
      </x:c>
      <x:c r="B6" s="22" t="str">
        <x:v>1月12日-1月16日</x:v>
      </x:c>
      <x:c r="C6" s="22" t="str">
        <x:v>2026-01-12</x:v>
      </x:c>
      <x:c r="D6" s="23" t="n">
        <x:v>8415.1</x:v>
      </x:c>
      <x:c r="E6" s="23" t="n">
        <x:v>8151.11</x:v>
      </x:c>
      <x:c r="F6" s="23" t="n">
        <x:f>ROUND(D6-E6,1)</x:f>
        <x:v>264</x:v>
      </x:c>
      <x:c r="G6" s="22" t="n">
        <x:v>5</x:v>
      </x:c>
    </x:row>
    <x:row r="7">
      <x:c r="A7" s="22" t="n">
        <x:v>3</x:v>
      </x:c>
      <x:c r="B7" s="22" t="str">
        <x:v>1月19日-1月23日</x:v>
      </x:c>
      <x:c r="C7" s="22" t="str">
        <x:v>2026-01-19</x:v>
      </x:c>
      <x:c r="D7" s="23" t="n">
        <x:v>8478.56</x:v>
      </x:c>
      <x:c r="E7" s="23" t="n">
        <x:v>8104.92</x:v>
      </x:c>
      <x:c r="F7" s="23" t="n">
        <x:f>ROUND(D7-E7,1)</x:f>
        <x:v>373.6</x:v>
      </x:c>
      <x:c r="G7" s="22" t="n">
        <x:v>5</x:v>
      </x:c>
    </x:row>
    <x:row r="8">
      <x:c r="A8" s="22" t="n">
        <x:v>4</x:v>
      </x:c>
      <x:c r="B8" s="22" t="str">
        <x:v>1月26日-1月30日</x:v>
      </x:c>
      <x:c r="C8" s="22" t="str">
        <x:v>2026-01-26</x:v>
      </x:c>
      <x:c r="D8" s="23" t="n">
        <x:v>8530.42</x:v>
      </x:c>
      <x:c r="E8" s="23" t="n">
        <x:v>8083.97</x:v>
      </x:c>
      <x:c r="F8" s="23" t="n">
        <x:f>ROUND(D8-E8,1)</x:f>
        <x:v>446.4</x:v>
      </x:c>
      <x:c r="G8" s="22" t="n">
        <x:v>5</x:v>
      </x:c>
    </x:row>
    <x:row r="9">
      <x:c r="A9" s="22" t="n">
        <x:v>5</x:v>
      </x:c>
      <x:c r="B9" s="22" t="str">
        <x:v>2月2日-2月6日</x:v>
      </x:c>
      <x:c r="C9" s="22" t="str">
        <x:v>2026-02-02</x:v>
      </x:c>
      <x:c r="D9" s="23" t="n">
        <x:v>8221.58</x:v>
      </x:c>
      <x:c r="E9" s="23" t="n">
        <x:v>7950.01</x:v>
      </x:c>
      <x:c r="F9" s="23" t="n">
        <x:f>ROUND(D9-E9,1)</x:f>
        <x:v>271.6</x:v>
      </x:c>
      <x:c r="G9" s="22" t="n">
        <x:v>5</x:v>
      </x:c>
    </x:row>
    <x:row r="10">
      <x:c r="A10" s="22" t="n">
        <x:v>6</x:v>
      </x:c>
      <x:c r="B10" s="22" t="str">
        <x:v>2月9日-2月13日</x:v>
      </x:c>
      <x:c r="C10" s="22" t="str">
        <x:v>2026-02-09</x:v>
      </x:c>
      <x:c r="D10" s="23" t="n">
        <x:v>8337.37</x:v>
      </x:c>
      <x:c r="E10" s="23" t="n">
        <x:v>8149.65</x:v>
      </x:c>
      <x:c r="F10" s="23" t="n">
        <x:f>ROUND(D10-E10,1)</x:f>
        <x:v>187.7</x:v>
      </x:c>
      <x:c r="G10" s="22" t="n">
        <x:v>5</x:v>
      </x:c>
    </x:row>
    <x:row r="11">
      <x:c r="A11" s="22" t="n">
        <x:v>7</x:v>
      </x:c>
      <x:c r="B11" s="22" t="str">
        <x:v>2月24日-2月27日</x:v>
      </x:c>
      <x:c r="C11" s="22" t="str">
        <x:v>2026-02-23</x:v>
      </x:c>
      <x:c r="D11" s="23" t="n">
        <x:v>8561.3</x:v>
      </x:c>
      <x:c r="E11" s="23" t="n">
        <x:v>8236.71</x:v>
      </x:c>
      <x:c r="F11" s="23" t="n">
        <x:f>ROUND(D11-E11,1)</x:f>
        <x:v>324.6</x:v>
      </x:c>
      <x:c r="G11" s="22" t="n">
        <x:v>4</x:v>
      </x:c>
    </x:row>
    <x:row r="12">
      <x:c r="A12" s="22" t="n">
        <x:v>8</x:v>
      </x:c>
      <x:c r="B12" s="22" t="str">
        <x:v>3月2日-3月6日</x:v>
      </x:c>
      <x:c r="C12" s="22" t="str">
        <x:v>2026-03-02</x:v>
      </x:c>
      <x:c r="D12" s="23" t="n">
        <x:v>8535.81</x:v>
      </x:c>
      <x:c r="E12" s="23" t="n">
        <x:v>8039.59</x:v>
      </x:c>
      <x:c r="F12" s="23" t="n">
        <x:f>ROUND(D12-E12,1)</x:f>
        <x:v>496.2</x:v>
      </x:c>
      <x:c r="G12" s="22" t="n">
        <x:v>5</x:v>
      </x:c>
    </x:row>
    <x:row r="13">
      <x:c r="A13" s="22" t="n">
        <x:v>9</x:v>
      </x:c>
      <x:c r="B13" s="22" t="str">
        <x:v>3月9日-3月13日</x:v>
      </x:c>
      <x:c r="C13" s="22" t="str">
        <x:v>2026-03-09</x:v>
      </x:c>
      <x:c r="D13" s="23" t="n">
        <x:v>8394.12</x:v>
      </x:c>
      <x:c r="E13" s="23" t="n">
        <x:v>7983.57</x:v>
      </x:c>
      <x:c r="F13" s="23" t="n">
        <x:f>ROUND(D13-E13,1)</x:f>
        <x:v>410.6</x:v>
      </x:c>
      <x:c r="G13" s="22" t="n">
        <x:v>5</x:v>
      </x:c>
    </x:row>
    <x:row r="14">
      <x:c r="A14" s="22" t="n">
        <x:v>10</x:v>
      </x:c>
      <x:c r="B14" s="22" t="str">
        <x:v>3月16日-3月20日</x:v>
      </x:c>
      <x:c r="C14" s="22" t="str">
        <x:v>2026-03-16</x:v>
      </x:c>
      <x:c r="D14" s="23" t="n">
        <x:v>8226.03</x:v>
      </x:c>
      <x:c r="E14" s="23" t="n">
        <x:v>7781.58</x:v>
      </x:c>
      <x:c r="F14" s="23" t="n">
        <x:f>ROUND(D14-E14,1)</x:f>
        <x:v>444.5</x:v>
      </x:c>
      <x:c r="G14" s="22" t="n">
        <x:v>5</x:v>
      </x:c>
    </x:row>
    <x:row r="15">
      <x:c r="A15" s="22" t="n">
        <x:v>11</x:v>
      </x:c>
      <x:c r="B15" s="22" t="str">
        <x:v>3月23日-3月27日</x:v>
      </x:c>
      <x:c r="C15" s="22" t="str">
        <x:v>2026-03-23</x:v>
      </x:c>
      <x:c r="D15" s="23" t="n">
        <x:v>7784.55</x:v>
      </x:c>
      <x:c r="E15" s="23" t="n">
        <x:v>7357.7</x:v>
      </x:c>
      <x:c r="F15" s="23" t="n">
        <x:f>ROUND(D15-E15,1)</x:f>
        <x:v>426.9</x:v>
      </x:c>
      <x:c r="G15" s="22" t="n">
        <x:v>5</x:v>
      </x:c>
    </x:row>
    <x:row r="16">
      <x:c r="A16" s="22" t="n">
        <x:v>12</x:v>
      </x:c>
      <x:c r="B16" s="22" t="str">
        <x:v>3月30日-4月3日</x:v>
      </x:c>
      <x:c r="C16" s="22" t="str">
        <x:v>2026-03-30</x:v>
      </x:c>
      <x:c r="D16" s="23" t="n">
        <x:v>7789.24</x:v>
      </x:c>
      <x:c r="E16" s="23" t="n">
        <x:v>7521.94</x:v>
      </x:c>
      <x:c r="F16" s="23" t="n">
        <x:f>ROUND(D16-E16,1)</x:f>
        <x:v>267.3</x:v>
      </x:c>
      <x:c r="G16" s="22" t="n">
        <x:v>5</x:v>
      </x:c>
    </x:row>
    <x:row r="17">
      <x:c r="A17" s="22" t="n">
        <x:v>13</x:v>
      </x:c>
      <x:c r="B17" s="22" t="str">
        <x:v>4月7日-4月10日</x:v>
      </x:c>
      <x:c r="C17" s="22" t="str">
        <x:v>2026-04-06</x:v>
      </x:c>
      <x:c r="D17" s="23" t="n">
        <x:v>8059.76</x:v>
      </x:c>
      <x:c r="E17" s="23" t="n">
        <x:v>7554.41</x:v>
      </x:c>
      <x:c r="F17" s="23" t="n">
        <x:f>ROUND(D17-E17,1)</x:f>
        <x:v>505.4</x:v>
      </x:c>
      <x:c r="G17" s="22" t="n">
        <x:v>4</x:v>
      </x:c>
    </x:row>
    <x:row r="18">
      <x:c r="A18" s="22" t="n">
        <x:v>14</x:v>
      </x:c>
      <x:c r="B18" s="22" t="str">
        <x:v>4月13日-4月17日</x:v>
      </x:c>
      <x:c r="C18" s="22" t="str">
        <x:v>2026-04-13</x:v>
      </x:c>
      <x:c r="D18" s="23" t="n">
        <x:v>8333.22</x:v>
      </x:c>
      <x:c r="E18" s="23" t="n">
        <x:v>7947.22</x:v>
      </x:c>
      <x:c r="F18" s="23" t="n">
        <x:f>ROUND(D18-E18,1)</x:f>
        <x:v>386</x:v>
      </x:c>
      <x:c r="G18" s="22" t="n">
        <x:v>5</x:v>
      </x:c>
    </x:row>
    <x:row r="19">
      <x:c r="A19" s="22" t="n">
        <x:v>15</x:v>
      </x:c>
      <x:c r="B19" s="22" t="str">
        <x:v>4月20日-4月24日</x:v>
      </x:c>
      <x:c r="C19" s="22" t="str">
        <x:v>2026-04-20</x:v>
      </x:c>
      <x:c r="D19" s="23" t="n">
        <x:v>8500.44</x:v>
      </x:c>
      <x:c r="E19" s="23" t="n">
        <x:v>8254.43</x:v>
      </x:c>
      <x:c r="F19" s="23" t="n">
        <x:f>ROUND(D19-E19,1)</x:f>
        <x:v>246</x:v>
      </x:c>
      <x:c r="G19" s="22" t="n">
        <x:v>5</x:v>
      </x:c>
    </x:row>
    <x:row r="20">
      <x:c r="A20" s="22" t="n">
        <x:v>16</x:v>
      </x:c>
      <x:c r="B20" s="22" t="str">
        <x:v>4月27日-4月30日</x:v>
      </x:c>
      <x:c r="C20" s="22" t="str">
        <x:v>2026-04-27</x:v>
      </x:c>
      <x:c r="D20" s="23" t="n">
        <x:v>8402.36</x:v>
      </x:c>
      <x:c r="E20" s="23" t="n">
        <x:v>8163.35</x:v>
      </x:c>
      <x:c r="F20" s="23" t="n">
        <x:f>ROUND(D20-E20,1)</x:f>
        <x:v>239</x:v>
      </x:c>
      <x:c r="G20" s="22" t="n">
        <x:v>4</x:v>
      </x:c>
    </x:row>
    <x:row r="21">
      <x:c r="A21" s="22" t="n">
        <x:v>17</x:v>
      </x:c>
      <x:c r="B21" s="22" t="str">
        <x:v>5月6日-5月8日</x:v>
      </x:c>
      <x:c r="C21" s="22" t="str">
        <x:v>2026-05-04</x:v>
      </x:c>
      <x:c r="D21" s="23" t="n">
        <x:v>8760.19</x:v>
      </x:c>
      <x:c r="E21" s="23" t="n">
        <x:v>8462.02</x:v>
      </x:c>
      <x:c r="F21" s="23" t="n">
        <x:f>ROUND(D21-E21,1)</x:f>
        <x:v>298.2</x:v>
      </x:c>
      <x:c r="G21" s="22" t="n">
        <x:v>3</x:v>
      </x:c>
    </x:row>
    <x:row r="22">
      <x:c r="A22" s="22" t="n">
        <x:v>18</x:v>
      </x:c>
      <x:c r="B22" s="22" t="str">
        <x:v>5月11日-5月15日</x:v>
      </x:c>
      <x:c r="C22" s="22" t="str">
        <x:v>2026-05-11</x:v>
      </x:c>
      <x:c r="D22" s="23" t="n">
        <x:v>8991.85</x:v>
      </x:c>
      <x:c r="E22" s="23" t="n">
        <x:v>8616.06</x:v>
      </x:c>
      <x:c r="F22" s="23" t="n">
        <x:f>ROUND(D22-E22,1)</x:f>
        <x:v>375.8</x:v>
      </x:c>
      <x:c r="G22" s="22" t="n">
        <x:v>5</x:v>
      </x:c>
    </x:row>
    <x:row r="23">
      <x:c r="A23" s="22" t="n">
        <x:v>19</x:v>
      </x:c>
      <x:c r="B23" s="22" t="str">
        <x:v>5月18日-5月22日</x:v>
      </x:c>
      <x:c r="C23" s="22" t="str">
        <x:v>2026-05-18</x:v>
      </x:c>
      <x:c r="D23" s="23" t="n">
        <x:v>8896.6</x:v>
      </x:c>
      <x:c r="E23" s="23" t="n">
        <x:v>8500.92</x:v>
      </x:c>
      <x:c r="F23" s="23" t="n">
        <x:f>ROUND(D23-E23,1)</x:f>
        <x:v>395.7</x:v>
      </x:c>
      <x:c r="G23" s="22" t="n">
        <x:v>5</x:v>
      </x:c>
    </x:row>
    <x:row r="24">
      <x:c r="A24" s="22" t="n">
        <x:v>20</x:v>
      </x:c>
      <x:c r="B24" s="22" t="str">
        <x:v>5月25日-5月29日</x:v>
      </x:c>
      <x:c r="C24" s="22" t="str">
        <x:v>2026-05-25</x:v>
      </x:c>
      <x:c r="D24" s="23" t="n">
        <x:v>8802.95</x:v>
      </x:c>
      <x:c r="E24" s="23" t="n">
        <x:v>8357.8</x:v>
      </x:c>
      <x:c r="F24" s="23" t="n">
        <x:f>ROUND(D24-E24,1)</x:f>
        <x:v>445.2</x:v>
      </x:c>
      <x:c r="G24" s="22" t="n">
        <x:v>5</x:v>
      </x:c>
    </x:row>
    <x:row r="25">
      <x:c r="A25" s="22" t="n">
        <x:v>21</x:v>
      </x:c>
      <x:c r="B25" s="22" t="str">
        <x:v>6月1日-6月5日</x:v>
      </x:c>
      <x:c r="C25" s="22" t="str">
        <x:v>2026-06-01</x:v>
      </x:c>
      <x:c r="D25" s="23" t="n">
        <x:v>8549.25</x:v>
      </x:c>
      <x:c r="E25" s="23" t="n">
        <x:v>8219.15</x:v>
      </x:c>
      <x:c r="F25" s="23" t="n">
        <x:f>ROUND(D25-E25,1)</x:f>
        <x:v>330.1</x:v>
      </x:c>
      <x:c r="G25" s="22" t="n">
        <x:v>5</x:v>
      </x:c>
    </x:row>
    <x:row r="26">
      <x:c r="A26" s="22" t="n">
        <x:v>22</x:v>
      </x:c>
      <x:c r="B26" s="22" t="str">
        <x:v>6月8日-6月12日</x:v>
      </x:c>
      <x:c r="C26" s="22" t="str">
        <x:v>2026-06-08</x:v>
      </x:c>
      <x:c r="D26" s="23" t="n">
        <x:v>8348.79</x:v>
      </x:c>
      <x:c r="E26" s="23" t="n">
        <x:v>7987.4</x:v>
      </x:c>
      <x:c r="F26" s="23" t="n">
        <x:f>ROUND(D26-E26,1)</x:f>
        <x:v>361.4</x:v>
      </x:c>
      <x:c r="G26" s="22" t="n">
        <x:v>5</x:v>
      </x:c>
    </x:row>
    <x:row r="27">
      <x:c r="A27" s="22" t="n">
        <x:v>23</x:v>
      </x:c>
      <x:c r="B27" s="22" t="str">
        <x:v>6月15日-6月18日</x:v>
      </x:c>
      <x:c r="C27" s="22" t="str">
        <x:v>2026-06-15</x:v>
      </x:c>
      <x:c r="D27" s="23" t="n">
        <x:v>8796.48</x:v>
      </x:c>
      <x:c r="E27" s="23" t="n">
        <x:v>8269.4</x:v>
      </x:c>
      <x:c r="F27" s="23" t="n">
        <x:f>ROUND(D27-E27,1)</x:f>
        <x:v>527.1</x:v>
      </x:c>
      <x:c r="G27" s="22" t="n">
        <x:v>4</x:v>
      </x:c>
    </x:row>
    <x:row r="28">
      <x:c r="A28" s="22" t="n">
        <x:v>24</x:v>
      </x:c>
      <x:c r="B28" s="22" t="str">
        <x:v>6月22日-6月26日</x:v>
      </x:c>
      <x:c r="C28" s="22" t="str">
        <x:v>2026-06-22</x:v>
      </x:c>
      <x:c r="D28" s="23" t="n">
        <x:v>8872.12</x:v>
      </x:c>
      <x:c r="E28" s="23" t="n">
        <x:v>8563.7</x:v>
      </x:c>
      <x:c r="F28" s="23" t="n">
        <x:f>ROUND(D28-E28,1)</x:f>
        <x:v>308.4</x:v>
      </x:c>
      <x:c r="G28" s="22" t="n">
        <x:v>5</x:v>
      </x:c>
    </x:row>
    <x:row r="29">
      <x:c r="A29" s="22" t="n">
        <x:v>25</x:v>
      </x:c>
      <x:c r="B29" s="22" t="str">
        <x:v>6月29日-7月3日</x:v>
      </x:c>
      <x:c r="C29" s="22" t="str">
        <x:v>2026-06-29</x:v>
      </x:c>
      <x:c r="D29" s="23" t="n">
        <x:v>8944.19</x:v>
      </x:c>
      <x:c r="E29" s="23" t="n">
        <x:v>8413.86</x:v>
      </x:c>
      <x:c r="F29" s="23" t="n">
        <x:f>ROUND(D29-E29,1)</x:f>
        <x:v>530.3</x:v>
      </x:c>
      <x:c r="G29" s="22" t="n">
        <x:v>5</x:v>
      </x:c>
    </x:row>
    <x:row r="30">
      <x:c r="A30" s="22" t="n">
        <x:v>26</x:v>
      </x:c>
      <x:c r="B30" s="22" t="str">
        <x:v>7月6日-7月10日</x:v>
      </x:c>
      <x:c r="C30" s="22" t="str">
        <x:v>2026-07-06</x:v>
      </x:c>
      <x:c r="D30" s="23" t="n">
        <x:v>8694.8</x:v>
      </x:c>
      <x:c r="E30" s="23" t="n">
        <x:v>7978.81</x:v>
      </x:c>
      <x:c r="F30" s="23" t="n">
        <x:f>ROUND(D30-E30,1)</x:f>
        <x:v>716</x:v>
      </x:c>
      <x:c r="G30" s="22" t="n">
        <x:v>5</x:v>
      </x:c>
    </x:row>
    <x:row r="31">
      <x:c r="A31" s="22" t="n">
        <x:v>27</x:v>
      </x:c>
      <x:c r="B31" s="22" t="str">
        <x:v>7月13日-7月17日</x:v>
      </x:c>
      <x:c r="C31" s="22" t="str">
        <x:v>2026-07-13</x:v>
      </x:c>
      <x:c r="D31" s="23" t="n">
        <x:v>8171.5</x:v>
      </x:c>
      <x:c r="E31" s="23" t="n">
        <x:v>7163.31</x:v>
      </x:c>
      <x:c r="F31" s="23" t="n">
        <x:f>ROUND(D31-E31,1)</x:f>
        <x:v>1008.2</x:v>
      </x:c>
      <x:c r="G31" s="22" t="n">
        <x:v>5</x:v>
      </x:c>
    </x:row>
    <x:row r="32">
      <x:c r="A32" s="22" t="n">
        <x:v>28</x:v>
      </x:c>
      <x:c r="B32" s="22" t="str">
        <x:v>7月20日-7月24日</x:v>
      </x:c>
      <x:c r="C32" s="22" t="str">
        <x:v>2026-07-20</x:v>
      </x:c>
      <x:c r="D32" s="23" t="n">
        <x:v>7302.45</x:v>
      </x:c>
      <x:c r="E32" s="23" t="n">
        <x:v>6714.19</x:v>
      </x:c>
      <x:c r="F32" s="23" t="n">
        <x:f>ROUND(D32-E32,1)</x:f>
        <x:v>588.3</x:v>
      </x:c>
      <x:c r="G32" s="22" t="n">
        <x:v>5</x:v>
      </x:c>
    </x:row>
    <x:row r="33">
      <x:c r="A33" s="22" t="n">
        <x:v>29</x:v>
      </x:c>
      <x:c r="B33" s="22" t="str">
        <x:v>7月27日-7月31日</x:v>
      </x:c>
      <x:c r="C33" s="22" t="str">
        <x:v>2026-07-27</x:v>
      </x:c>
      <x:c r="D33" s="23" t="n">
        <x:v>7228.78</x:v>
      </x:c>
      <x:c r="E33" s="23" t="n">
        <x:v>6841.75</x:v>
      </x:c>
      <x:c r="F33" s="23" t="n">
        <x:f>ROUND(D33-E33,1)</x:f>
        <x:v>387</x:v>
      </x:c>
      <x:c r="G33" s="22" t="n">
        <x:v>5</x:v>
      </x:c>
    </x:row>
    <x:row r="34">
      <x:c r="A34" s="26" t="str">
        <x:v>合计</x:v>
      </x:c>
      <x:c r="B34" s="25" t="n">
        <x:v>29</x:v>
      </x:c>
      <x:c r="C34" s="25"/>
      <x:c r="D34" s="25"/>
      <x:c r="E34" s="25"/>
      <x:c r="F34" s="27" t="n">
        <x:f>ROUND(SUM(F5:F33),1)</x:f>
        <x:v>12069.2</x:v>
      </x:c>
      <x:c r="G34" s="25"/>
    </x:row>
    <x:row r="35">
      <x:c r="A35" s="26" t="str">
        <x:v>均值</x:v>
      </x:c>
      <x:c r="B35" s="25"/>
      <x:c r="C35" s="25"/>
      <x:c r="D35" s="25"/>
      <x:c r="E35" s="25"/>
      <x:c r="F35" s="29" t="n">
        <x:f>ROUND(IFERROR(AVERAGE(F5:F33),0),1)</x:f>
        <x:v>416.2</x:v>
      </x:c>
      <x:c r="G35" s="25"/>
    </x:row>
    <x:row r="37">
      <x:c r="A37" s="17" t="str">
        <x:v>中证500</x:v>
      </x:c>
      <x:c r="B37" s="17"/>
      <x:c r="C37" s="17"/>
      <x:c r="D37" s="17"/>
      <x:c r="E37" s="17"/>
      <x:c r="F37" s="17"/>
      <x:c r="G37" s="17"/>
    </x:row>
    <x:row r="38">
      <x:c r="A38" s="20" t="str">
        <x:v>序号</x:v>
      </x:c>
      <x:c r="B38" s="20" t="str">
        <x:v>周期</x:v>
      </x:c>
      <x:c r="C38" s="20" t="str">
        <x:v>周起始日</x:v>
      </x:c>
      <x:c r="D38" s="20" t="str">
        <x:v>周最高</x:v>
      </x:c>
      <x:c r="E38" s="20" t="str">
        <x:v>周最低</x:v>
      </x:c>
      <x:c r="F38" s="20" t="str">
        <x:v>周振幅</x:v>
      </x:c>
      <x:c r="G38" s="20" t="str">
        <x:v>交易日</x:v>
      </x:c>
    </x:row>
    <x:row r="39">
      <x:c r="A39" s="22" t="n">
        <x:v>1</x:v>
      </x:c>
      <x:c r="B39" s="22" t="str">
        <x:v>1月5日-1月9日</x:v>
      </x:c>
      <x:c r="C39" s="22" t="str">
        <x:v>2026-01-05</x:v>
      </x:c>
      <x:c r="D39" s="23" t="n">
        <x:v>8064.76</x:v>
      </x:c>
      <x:c r="E39" s="23" t="n">
        <x:v>7523.25</x:v>
      </x:c>
      <x:c r="F39" s="23" t="n">
        <x:f>ROUND(D39-E39,1)</x:f>
        <x:v>541.5</x:v>
      </x:c>
      <x:c r="G39" s="22" t="n">
        <x:v>5</x:v>
      </x:c>
    </x:row>
    <x:row r="40">
      <x:c r="A40" s="22" t="n">
        <x:v>2</x:v>
      </x:c>
      <x:c r="B40" s="22" t="str">
        <x:v>1月12日-1月16日</x:v>
      </x:c>
      <x:c r="C40" s="22" t="str">
        <x:v>2026-01-12</x:v>
      </x:c>
      <x:c r="D40" s="23" t="n">
        <x:v>8368.22</x:v>
      </x:c>
      <x:c r="E40" s="23" t="n">
        <x:v>8103.24</x:v>
      </x:c>
      <x:c r="F40" s="23" t="n">
        <x:f>ROUND(D40-E40,1)</x:f>
        <x:v>265</x:v>
      </x:c>
      <x:c r="G40" s="22" t="n">
        <x:v>5</x:v>
      </x:c>
    </x:row>
    <x:row r="41">
      <x:c r="A41" s="22" t="n">
        <x:v>3</x:v>
      </x:c>
      <x:c r="B41" s="22" t="str">
        <x:v>1月19日-1月23日</x:v>
      </x:c>
      <x:c r="C41" s="22" t="str">
        <x:v>2026-01-19</x:v>
      </x:c>
      <x:c r="D41" s="23" t="n">
        <x:v>8590.17</x:v>
      </x:c>
      <x:c r="E41" s="23" t="n">
        <x:v>8142.14</x:v>
      </x:c>
      <x:c r="F41" s="23" t="n">
        <x:f>ROUND(D41-E41,1)</x:f>
        <x:v>448</x:v>
      </x:c>
      <x:c r="G41" s="22" t="n">
        <x:v>5</x:v>
      </x:c>
    </x:row>
    <x:row r="42">
      <x:c r="A42" s="22" t="n">
        <x:v>4</x:v>
      </x:c>
      <x:c r="B42" s="22" t="str">
        <x:v>1月26日-1月30日</x:v>
      </x:c>
      <x:c r="C42" s="22" t="str">
        <x:v>2026-01-26</x:v>
      </x:c>
      <x:c r="D42" s="23" t="n">
        <x:v>8671.35</x:v>
      </x:c>
      <x:c r="E42" s="23" t="n">
        <x:v>8194.58</x:v>
      </x:c>
      <x:c r="F42" s="23" t="n">
        <x:f>ROUND(D42-E42,1)</x:f>
        <x:v>476.8</x:v>
      </x:c>
      <x:c r="G42" s="22" t="n">
        <x:v>5</x:v>
      </x:c>
    </x:row>
    <x:row r="43">
      <x:c r="A43" s="22" t="n">
        <x:v>5</x:v>
      </x:c>
      <x:c r="B43" s="22" t="str">
        <x:v>2月2日-2月6日</x:v>
      </x:c>
      <x:c r="C43" s="22" t="str">
        <x:v>2026-02-02</x:v>
      </x:c>
      <x:c r="D43" s="23" t="n">
        <x:v>8324.43</x:v>
      </x:c>
      <x:c r="E43" s="23" t="n">
        <x:v>8014.66</x:v>
      </x:c>
      <x:c r="F43" s="23" t="n">
        <x:f>ROUND(D43-E43,1)</x:f>
        <x:v>309.8</x:v>
      </x:c>
      <x:c r="G43" s="22" t="n">
        <x:v>5</x:v>
      </x:c>
    </x:row>
    <x:row r="44">
      <x:c r="A44" s="22" t="n">
        <x:v>6</x:v>
      </x:c>
      <x:c r="B44" s="22" t="str">
        <x:v>2月9日-2月13日</x:v>
      </x:c>
      <x:c r="C44" s="22" t="str">
        <x:v>2026-02-09</x:v>
      </x:c>
      <x:c r="D44" s="23" t="n">
        <x:v>8437.42</x:v>
      </x:c>
      <x:c r="E44" s="23" t="n">
        <x:v>8229</x:v>
      </x:c>
      <x:c r="F44" s="23" t="n">
        <x:f>ROUND(D44-E44,1)</x:f>
        <x:v>208.4</x:v>
      </x:c>
      <x:c r="G44" s="22" t="n">
        <x:v>5</x:v>
      </x:c>
    </x:row>
    <x:row r="45">
      <x:c r="A45" s="22" t="n">
        <x:v>7</x:v>
      </x:c>
      <x:c r="B45" s="22" t="str">
        <x:v>2月24日-2月27日</x:v>
      </x:c>
      <x:c r="C45" s="22" t="str">
        <x:v>2026-02-23</x:v>
      </x:c>
      <x:c r="D45" s="23" t="n">
        <x:v>8658.45</x:v>
      </x:c>
      <x:c r="E45" s="23" t="n">
        <x:v>8328.57</x:v>
      </x:c>
      <x:c r="F45" s="23" t="n">
        <x:f>ROUND(D45-E45,1)</x:f>
        <x:v>329.9</x:v>
      </x:c>
      <x:c r="G45" s="22" t="n">
        <x:v>4</x:v>
      </x:c>
    </x:row>
    <x:row r="46">
      <x:c r="A46" s="22" t="n">
        <x:v>8</x:v>
      </x:c>
      <x:c r="B46" s="22" t="str">
        <x:v>3月2日-3月6日</x:v>
      </x:c>
      <x:c r="C46" s="22" t="str">
        <x:v>2026-03-02</x:v>
      </x:c>
      <x:c r="D46" s="23" t="n">
        <x:v>8683.98</x:v>
      </x:c>
      <x:c r="E46" s="23" t="n">
        <x:v>8167.98</x:v>
      </x:c>
      <x:c r="F46" s="23" t="n">
        <x:f>ROUND(D46-E46,1)</x:f>
        <x:v>516</x:v>
      </x:c>
      <x:c r="G46" s="22" t="n">
        <x:v>5</x:v>
      </x:c>
    </x:row>
    <x:row r="47">
      <x:c r="A47" s="22" t="n">
        <x:v>9</x:v>
      </x:c>
      <x:c r="B47" s="22" t="str">
        <x:v>3月9日-3月13日</x:v>
      </x:c>
      <x:c r="C47" s="22" t="str">
        <x:v>2026-03-09</x:v>
      </x:c>
      <x:c r="D47" s="23" t="n">
        <x:v>8439.62</x:v>
      </x:c>
      <x:c r="E47" s="23" t="n">
        <x:v>8066.14</x:v>
      </x:c>
      <x:c r="F47" s="23" t="n">
        <x:f>ROUND(D47-E47,1)</x:f>
        <x:v>373.5</x:v>
      </x:c>
      <x:c r="G47" s="22" t="n">
        <x:v>5</x:v>
      </x:c>
    </x:row>
    <x:row r="48">
      <x:c r="A48" s="22" t="n">
        <x:v>10</x:v>
      </x:c>
      <x:c r="B48" s="22" t="str">
        <x:v>3月16日-3月20日</x:v>
      </x:c>
      <x:c r="C48" s="22" t="str">
        <x:v>2026-03-16</x:v>
      </x:c>
      <x:c r="D48" s="23" t="n">
        <x:v>8233.66</x:v>
      </x:c>
      <x:c r="E48" s="23" t="n">
        <x:v>7757.83</x:v>
      </x:c>
      <x:c r="F48" s="23" t="n">
        <x:f>ROUND(D48-E48,1)</x:f>
        <x:v>475.8</x:v>
      </x:c>
      <x:c r="G48" s="22" t="n">
        <x:v>5</x:v>
      </x:c>
    </x:row>
    <x:row r="49">
      <x:c r="A49" s="22" t="n">
        <x:v>11</x:v>
      </x:c>
      <x:c r="B49" s="22" t="str">
        <x:v>3月23日-3月27日</x:v>
      </x:c>
      <x:c r="C49" s="22" t="str">
        <x:v>2026-03-23</x:v>
      </x:c>
      <x:c r="D49" s="23" t="n">
        <x:v>7806.91</x:v>
      </x:c>
      <x:c r="E49" s="23" t="n">
        <x:v>7379.86</x:v>
      </x:c>
      <x:c r="F49" s="23" t="n">
        <x:f>ROUND(D49-E49,1)</x:f>
        <x:v>427.1</x:v>
      </x:c>
      <x:c r="G49" s="22" t="n">
        <x:v>5</x:v>
      </x:c>
    </x:row>
    <x:row r="50">
      <x:c r="A50" s="22" t="n">
        <x:v>12</x:v>
      </x:c>
      <x:c r="B50" s="22" t="str">
        <x:v>3月30日-4月3日</x:v>
      </x:c>
      <x:c r="C50" s="22" t="str">
        <x:v>2026-03-30</x:v>
      </x:c>
      <x:c r="D50" s="23" t="n">
        <x:v>7788.89</x:v>
      </x:c>
      <x:c r="E50" s="23" t="n">
        <x:v>7518.35</x:v>
      </x:c>
      <x:c r="F50" s="23" t="n">
        <x:f>ROUND(D50-E50,1)</x:f>
        <x:v>270.5</x:v>
      </x:c>
      <x:c r="G50" s="22" t="n">
        <x:v>5</x:v>
      </x:c>
    </x:row>
    <x:row r="51">
      <x:c r="A51" s="22" t="n">
        <x:v>13</x:v>
      </x:c>
      <x:c r="B51" s="22" t="str">
        <x:v>4月7日-4月10日</x:v>
      </x:c>
      <x:c r="C51" s="22" t="str">
        <x:v>2026-04-06</x:v>
      </x:c>
      <x:c r="D51" s="23" t="n">
        <x:v>8070.65</x:v>
      </x:c>
      <x:c r="E51" s="23" t="n">
        <x:v>7529.4</x:v>
      </x:c>
      <x:c r="F51" s="23" t="n">
        <x:f>ROUND(D51-E51,1)</x:f>
        <x:v>541.3</x:v>
      </x:c>
      <x:c r="G51" s="22" t="n">
        <x:v>4</x:v>
      </x:c>
    </x:row>
    <x:row r="52">
      <x:c r="A52" s="22" t="n">
        <x:v>14</x:v>
      </x:c>
      <x:c r="B52" s="22" t="str">
        <x:v>4月13日-4月17日</x:v>
      </x:c>
      <x:c r="C52" s="22" t="str">
        <x:v>2026-04-13</x:v>
      </x:c>
      <x:c r="D52" s="23" t="n">
        <x:v>8230.11</x:v>
      </x:c>
      <x:c r="E52" s="23" t="n">
        <x:v>7917.92</x:v>
      </x:c>
      <x:c r="F52" s="23" t="n">
        <x:f>ROUND(D52-E52,1)</x:f>
        <x:v>312.2</x:v>
      </x:c>
      <x:c r="G52" s="22" t="n">
        <x:v>5</x:v>
      </x:c>
    </x:row>
    <x:row r="53">
      <x:c r="A53" s="22" t="n">
        <x:v>15</x:v>
      </x:c>
      <x:c r="B53" s="22" t="str">
        <x:v>4月20日-4月24日</x:v>
      </x:c>
      <x:c r="C53" s="22" t="str">
        <x:v>2026-04-20</x:v>
      </x:c>
      <x:c r="D53" s="23" t="n">
        <x:v>8401.5</x:v>
      </x:c>
      <x:c r="E53" s="23" t="n">
        <x:v>8165.8</x:v>
      </x:c>
      <x:c r="F53" s="23" t="n">
        <x:f>ROUND(D53-E53,1)</x:f>
        <x:v>235.7</x:v>
      </x:c>
      <x:c r="G53" s="22" t="n">
        <x:v>5</x:v>
      </x:c>
    </x:row>
    <x:row r="54">
      <x:c r="A54" s="22" t="n">
        <x:v>16</x:v>
      </x:c>
      <x:c r="B54" s="22" t="str">
        <x:v>4月27日-4月30日</x:v>
      </x:c>
      <x:c r="C54" s="22" t="str">
        <x:v>2026-04-27</x:v>
      </x:c>
      <x:c r="D54" s="23" t="n">
        <x:v>8375.19</x:v>
      </x:c>
      <x:c r="E54" s="23" t="n">
        <x:v>8157.35</x:v>
      </x:c>
      <x:c r="F54" s="23" t="n">
        <x:f>ROUND(D54-E54,1)</x:f>
        <x:v>217.8</x:v>
      </x:c>
      <x:c r="G54" s="22" t="n">
        <x:v>4</x:v>
      </x:c>
    </x:row>
    <x:row r="55">
      <x:c r="A55" s="22" t="n">
        <x:v>17</x:v>
      </x:c>
      <x:c r="B55" s="22" t="str">
        <x:v>5月6日-5月8日</x:v>
      </x:c>
      <x:c r="C55" s="22" t="str">
        <x:v>2026-05-04</x:v>
      </x:c>
      <x:c r="D55" s="23" t="n">
        <x:v>8706.33</x:v>
      </x:c>
      <x:c r="E55" s="23" t="n">
        <x:v>8441.34</x:v>
      </x:c>
      <x:c r="F55" s="23" t="n">
        <x:f>ROUND(D55-E55,1)</x:f>
        <x:v>265</x:v>
      </x:c>
      <x:c r="G55" s="22" t="n">
        <x:v>3</x:v>
      </x:c>
    </x:row>
    <x:row r="56">
      <x:c r="A56" s="22" t="n">
        <x:v>18</x:v>
      </x:c>
      <x:c r="B56" s="22" t="str">
        <x:v>5月11日-5月15日</x:v>
      </x:c>
      <x:c r="C56" s="22" t="str">
        <x:v>2026-05-11</x:v>
      </x:c>
      <x:c r="D56" s="23" t="n">
        <x:v>8956.66</x:v>
      </x:c>
      <x:c r="E56" s="23" t="n">
        <x:v>8473.04</x:v>
      </x:c>
      <x:c r="F56" s="23" t="n">
        <x:f>ROUND(D56-E56,1)</x:f>
        <x:v>483.6</x:v>
      </x:c>
      <x:c r="G56" s="22" t="n">
        <x:v>5</x:v>
      </x:c>
    </x:row>
    <x:row r="57">
      <x:c r="A57" s="22" t="n">
        <x:v>19</x:v>
      </x:c>
      <x:c r="B57" s="22" t="str">
        <x:v>5月18日-5月22日</x:v>
      </x:c>
      <x:c r="C57" s="22" t="str">
        <x:v>2026-05-18</x:v>
      </x:c>
      <x:c r="D57" s="23" t="n">
        <x:v>8790.38</x:v>
      </x:c>
      <x:c r="E57" s="23" t="n">
        <x:v>8406.29</x:v>
      </x:c>
      <x:c r="F57" s="23" t="n">
        <x:f>ROUND(D57-E57,1)</x:f>
        <x:v>384.1</x:v>
      </x:c>
      <x:c r="G57" s="22" t="n">
        <x:v>5</x:v>
      </x:c>
    </x:row>
    <x:row r="58">
      <x:c r="A58" s="22" t="n">
        <x:v>20</x:v>
      </x:c>
      <x:c r="B58" s="22" t="str">
        <x:v>5月25日-5月29日</x:v>
      </x:c>
      <x:c r="C58" s="22" t="str">
        <x:v>2026-05-25</x:v>
      </x:c>
      <x:c r="D58" s="23" t="n">
        <x:v>8722.58</x:v>
      </x:c>
      <x:c r="E58" s="23" t="n">
        <x:v>8296.24</x:v>
      </x:c>
      <x:c r="F58" s="23" t="n">
        <x:f>ROUND(D58-E58,1)</x:f>
        <x:v>426.3</x:v>
      </x:c>
      <x:c r="G58" s="22" t="n">
        <x:v>5</x:v>
      </x:c>
    </x:row>
    <x:row r="59">
      <x:c r="A59" s="22" t="n">
        <x:v>21</x:v>
      </x:c>
      <x:c r="B59" s="22" t="str">
        <x:v>6月1日-6月5日</x:v>
      </x:c>
      <x:c r="C59" s="22" t="str">
        <x:v>2026-06-01</x:v>
      </x:c>
      <x:c r="D59" s="23" t="n">
        <x:v>8462.67</x:v>
      </x:c>
      <x:c r="E59" s="23" t="n">
        <x:v>8142.51</x:v>
      </x:c>
      <x:c r="F59" s="23" t="n">
        <x:f>ROUND(D59-E59,1)</x:f>
        <x:v>320.2</x:v>
      </x:c>
      <x:c r="G59" s="22" t="n">
        <x:v>5</x:v>
      </x:c>
    </x:row>
    <x:row r="60">
      <x:c r="A60" s="22" t="n">
        <x:v>22</x:v>
      </x:c>
      <x:c r="B60" s="22" t="str">
        <x:v>6月8日-6月12日</x:v>
      </x:c>
      <x:c r="C60" s="22" t="str">
        <x:v>2026-06-08</x:v>
      </x:c>
      <x:c r="D60" s="23" t="n">
        <x:v>8258.91</x:v>
      </x:c>
      <x:c r="E60" s="23" t="n">
        <x:v>7889.4</x:v>
      </x:c>
      <x:c r="F60" s="23" t="n">
        <x:f>ROUND(D60-E60,1)</x:f>
        <x:v>369.5</x:v>
      </x:c>
      <x:c r="G60" s="22" t="n">
        <x:v>5</x:v>
      </x:c>
    </x:row>
    <x:row r="61">
      <x:c r="A61" s="22" t="n">
        <x:v>23</x:v>
      </x:c>
      <x:c r="B61" s="22" t="str">
        <x:v>6月15日-6月18日</x:v>
      </x:c>
      <x:c r="C61" s="22" t="str">
        <x:v>2026-06-15</x:v>
      </x:c>
      <x:c r="D61" s="23" t="n">
        <x:v>8716.34</x:v>
      </x:c>
      <x:c r="E61" s="23" t="n">
        <x:v>8174.59</x:v>
      </x:c>
      <x:c r="F61" s="23" t="n">
        <x:f>ROUND(D61-E61,1)</x:f>
        <x:v>541.8</x:v>
      </x:c>
      <x:c r="G61" s="22" t="n">
        <x:v>4</x:v>
      </x:c>
    </x:row>
    <x:row r="62">
      <x:c r="A62" s="22" t="n">
        <x:v>24</x:v>
      </x:c>
      <x:c r="B62" s="22" t="str">
        <x:v>6月22日-6月26日</x:v>
      </x:c>
      <x:c r="C62" s="22" t="str">
        <x:v>2026-06-22</x:v>
      </x:c>
      <x:c r="D62" s="23" t="n">
        <x:v>8940.96</x:v>
      </x:c>
      <x:c r="E62" s="23" t="n">
        <x:v>8605.22</x:v>
      </x:c>
      <x:c r="F62" s="23" t="n">
        <x:f>ROUND(D62-E62,1)</x:f>
        <x:v>335.7</x:v>
      </x:c>
      <x:c r="G62" s="22" t="n">
        <x:v>5</x:v>
      </x:c>
    </x:row>
    <x:row r="63">
      <x:c r="A63" s="22" t="n">
        <x:v>25</x:v>
      </x:c>
      <x:c r="B63" s="22" t="str">
        <x:v>6月29日-7月3日</x:v>
      </x:c>
      <x:c r="C63" s="22" t="str">
        <x:v>2026-06-29</x:v>
      </x:c>
      <x:c r="D63" s="23" t="n">
        <x:v>9147.56</x:v>
      </x:c>
      <x:c r="E63" s="23" t="n">
        <x:v>8587.88</x:v>
      </x:c>
      <x:c r="F63" s="23" t="n">
        <x:f>ROUND(D63-E63,1)</x:f>
        <x:v>559.7</x:v>
      </x:c>
      <x:c r="G63" s="22" t="n">
        <x:v>5</x:v>
      </x:c>
    </x:row>
    <x:row r="64">
      <x:c r="A64" s="22" t="n">
        <x:v>26</x:v>
      </x:c>
      <x:c r="B64" s="22" t="str">
        <x:v>7月6日-7月10日</x:v>
      </x:c>
      <x:c r="C64" s="22" t="str">
        <x:v>2026-07-06</x:v>
      </x:c>
      <x:c r="D64" s="23" t="n">
        <x:v>8823.05</x:v>
      </x:c>
      <x:c r="E64" s="23" t="n">
        <x:v>8281.95</x:v>
      </x:c>
      <x:c r="F64" s="23" t="n">
        <x:f>ROUND(D64-E64,1)</x:f>
        <x:v>541.1</x:v>
      </x:c>
      <x:c r="G64" s="22" t="n">
        <x:v>5</x:v>
      </x:c>
    </x:row>
    <x:row r="65">
      <x:c r="A65" s="22" t="n">
        <x:v>27</x:v>
      </x:c>
      <x:c r="B65" s="22" t="str">
        <x:v>7月13日-7月17日</x:v>
      </x:c>
      <x:c r="C65" s="22" t="str">
        <x:v>2026-07-13</x:v>
      </x:c>
      <x:c r="D65" s="23" t="n">
        <x:v>8457.69</x:v>
      </x:c>
      <x:c r="E65" s="23" t="n">
        <x:v>7474.15</x:v>
      </x:c>
      <x:c r="F65" s="23" t="n">
        <x:f>ROUND(D65-E65,1)</x:f>
        <x:v>983.5</x:v>
      </x:c>
      <x:c r="G65" s="22" t="n">
        <x:v>5</x:v>
      </x:c>
    </x:row>
    <x:row r="66">
      <x:c r="A66" s="22" t="n">
        <x:v>28</x:v>
      </x:c>
      <x:c r="B66" s="22" t="str">
        <x:v>7月20日-7月24日</x:v>
      </x:c>
      <x:c r="C66" s="22" t="str">
        <x:v>2026-07-20</x:v>
      </x:c>
      <x:c r="D66" s="23" t="n">
        <x:v>7889.45</x:v>
      </x:c>
      <x:c r="E66" s="23" t="n">
        <x:v>7253.52</x:v>
      </x:c>
      <x:c r="F66" s="23" t="n">
        <x:f>ROUND(D66-E66,1)</x:f>
        <x:v>635.9</x:v>
      </x:c>
      <x:c r="G66" s="22" t="n">
        <x:v>5</x:v>
      </x:c>
    </x:row>
    <x:row r="67">
      <x:c r="A67" s="22" t="n">
        <x:v>29</x:v>
      </x:c>
      <x:c r="B67" s="22" t="str">
        <x:v>7月27日-7月31日</x:v>
      </x:c>
      <x:c r="C67" s="22" t="str">
        <x:v>2026-07-27</x:v>
      </x:c>
      <x:c r="D67" s="23" t="n">
        <x:v>7721.4</x:v>
      </x:c>
      <x:c r="E67" s="23" t="n">
        <x:v>7221.95</x:v>
      </x:c>
      <x:c r="F67" s="23" t="n">
        <x:f>ROUND(D67-E67,1)</x:f>
        <x:v>499.4</x:v>
      </x:c>
      <x:c r="G67" s="22" t="n">
        <x:v>5</x:v>
      </x:c>
    </x:row>
    <x:row r="68">
      <x:c r="A68" s="26" t="str">
        <x:v>合计</x:v>
      </x:c>
      <x:c r="B68" s="25" t="n">
        <x:v>29</x:v>
      </x:c>
      <x:c r="C68" s="25"/>
      <x:c r="D68" s="25"/>
      <x:c r="E68" s="25"/>
      <x:c r="F68" s="27" t="n">
        <x:f>ROUND(SUM(F39:F67),1)</x:f>
        <x:v>12295.1</x:v>
      </x:c>
      <x:c r="G68" s="25"/>
    </x:row>
    <x:row r="69">
      <x:c r="A69" s="26" t="str">
        <x:v>均值</x:v>
      </x:c>
      <x:c r="B69" s="25"/>
      <x:c r="C69" s="25"/>
      <x:c r="D69" s="25"/>
      <x:c r="E69" s="25"/>
      <x:c r="F69" s="29" t="n">
        <x:f>ROUND(IFERROR(AVERAGE(F39:F67),0),1)</x:f>
        <x:v>424</x:v>
      </x:c>
      <x:c r="G69" s="25"/>
    </x:row>
    <x:row r="71">
      <x:c r="A71" s="17" t="str">
        <x:v>上证指数</x:v>
      </x:c>
      <x:c r="B71" s="17"/>
      <x:c r="C71" s="17"/>
      <x:c r="D71" s="17"/>
      <x:c r="E71" s="17"/>
      <x:c r="F71" s="17"/>
      <x:c r="G71" s="17"/>
    </x:row>
    <x:row r="72">
      <x:c r="A72" s="20" t="str">
        <x:v>序号</x:v>
      </x:c>
      <x:c r="B72" s="20" t="str">
        <x:v>周期</x:v>
      </x:c>
      <x:c r="C72" s="20" t="str">
        <x:v>周起始日</x:v>
      </x:c>
      <x:c r="D72" s="20" t="str">
        <x:v>周最高</x:v>
      </x:c>
      <x:c r="E72" s="20" t="str">
        <x:v>周最低</x:v>
      </x:c>
      <x:c r="F72" s="20" t="str">
        <x:v>周振幅</x:v>
      </x:c>
      <x:c r="G72" s="20" t="str">
        <x:v>交易日</x:v>
      </x:c>
    </x:row>
    <x:row r="73">
      <x:c r="A73" s="22" t="n">
        <x:v>1</x:v>
      </x:c>
      <x:c r="B73" s="22" t="str">
        <x:v>1月5日-1月9日</x:v>
      </x:c>
      <x:c r="C73" s="22" t="str">
        <x:v>2026-01-05</x:v>
      </x:c>
      <x:c r="D73" s="23" t="n">
        <x:v>4121.72</x:v>
      </x:c>
      <x:c r="E73" s="23" t="n">
        <x:v>3983.58</x:v>
      </x:c>
      <x:c r="F73" s="23" t="n">
        <x:f>ROUND(D73-E73,1)</x:f>
        <x:v>138.1</x:v>
      </x:c>
      <x:c r="G73" s="22" t="n">
        <x:v>5</x:v>
      </x:c>
    </x:row>
    <x:row r="74">
      <x:c r="A74" s="22" t="n">
        <x:v>2</x:v>
      </x:c>
      <x:c r="B74" s="22" t="str">
        <x:v>1月12日-1月16日</x:v>
      </x:c>
      <x:c r="C74" s="22" t="str">
        <x:v>2026-01-12</x:v>
      </x:c>
      <x:c r="D74" s="23" t="n">
        <x:v>4190.87</x:v>
      </x:c>
      <x:c r="E74" s="23" t="n">
        <x:v>4091.81</x:v>
      </x:c>
      <x:c r="F74" s="23" t="n">
        <x:f>ROUND(D74-E74,1)</x:f>
        <x:v>99.1</x:v>
      </x:c>
      <x:c r="G74" s="22" t="n">
        <x:v>5</x:v>
      </x:c>
    </x:row>
    <x:row r="75">
      <x:c r="A75" s="22" t="n">
        <x:v>3</x:v>
      </x:c>
      <x:c r="B75" s="22" t="str">
        <x:v>1月19日-1月23日</x:v>
      </x:c>
      <x:c r="C75" s="22" t="str">
        <x:v>2026-01-19</x:v>
      </x:c>
      <x:c r="D75" s="23" t="n">
        <x:v>4143.75</x:v>
      </x:c>
      <x:c r="E75" s="23" t="n">
        <x:v>4080.29</x:v>
      </x:c>
      <x:c r="F75" s="23" t="n">
        <x:f>ROUND(D75-E75,1)</x:f>
        <x:v>63.5</x:v>
      </x:c>
      <x:c r="G75" s="22" t="n">
        <x:v>5</x:v>
      </x:c>
    </x:row>
    <x:row r="76">
      <x:c r="A76" s="22" t="n">
        <x:v>4</x:v>
      </x:c>
      <x:c r="B76" s="22" t="str">
        <x:v>1月26日-1月30日</x:v>
      </x:c>
      <x:c r="C76" s="22" t="str">
        <x:v>2026-01-26</x:v>
      </x:c>
      <x:c r="D76" s="23" t="n">
        <x:v>4170.21</x:v>
      </x:c>
      <x:c r="E76" s="23" t="n">
        <x:v>4064.78</x:v>
      </x:c>
      <x:c r="F76" s="23" t="n">
        <x:f>ROUND(D76-E76,1)</x:f>
        <x:v>105.4</x:v>
      </x:c>
      <x:c r="G76" s="22" t="n">
        <x:v>5</x:v>
      </x:c>
    </x:row>
    <x:row r="77">
      <x:c r="A77" s="22" t="n">
        <x:v>5</x:v>
      </x:c>
      <x:c r="B77" s="22" t="str">
        <x:v>2月2日-2月6日</x:v>
      </x:c>
      <x:c r="C77" s="22" t="str">
        <x:v>2026-02-02</x:v>
      </x:c>
      <x:c r="D77" s="23" t="n">
        <x:v>4104.62</x:v>
      </x:c>
      <x:c r="E77" s="23" t="n">
        <x:v>4002.78</x:v>
      </x:c>
      <x:c r="F77" s="23" t="n">
        <x:f>ROUND(D77-E77,1)</x:f>
        <x:v>101.8</x:v>
      </x:c>
      <x:c r="G77" s="22" t="n">
        <x:v>5</x:v>
      </x:c>
    </x:row>
    <x:row r="78">
      <x:c r="A78" s="22" t="n">
        <x:v>6</x:v>
      </x:c>
      <x:c r="B78" s="22" t="str">
        <x:v>2月9日-2月13日</x:v>
      </x:c>
      <x:c r="C78" s="22" t="str">
        <x:v>2026-02-09</x:v>
      </x:c>
      <x:c r="D78" s="23" t="n">
        <x:v>4142.56</x:v>
      </x:c>
      <x:c r="E78" s="23" t="n">
        <x:v>4079.77</x:v>
      </x:c>
      <x:c r="F78" s="23" t="n">
        <x:f>ROUND(D78-E78,1)</x:f>
        <x:v>62.8</x:v>
      </x:c>
      <x:c r="G78" s="22" t="n">
        <x:v>5</x:v>
      </x:c>
    </x:row>
    <x:row r="79">
      <x:c r="A79" s="22" t="n">
        <x:v>7</x:v>
      </x:c>
      <x:c r="B79" s="22" t="str">
        <x:v>2月24日-2月27日</x:v>
      </x:c>
      <x:c r="C79" s="22" t="str">
        <x:v>2026-02-23</x:v>
      </x:c>
      <x:c r="D79" s="23" t="n">
        <x:v>4167.84</x:v>
      </x:c>
      <x:c r="E79" s="23" t="n">
        <x:v>4105.94</x:v>
      </x:c>
      <x:c r="F79" s="23" t="n">
        <x:f>ROUND(D79-E79,1)</x:f>
        <x:v>61.9</x:v>
      </x:c>
      <x:c r="G79" s="22" t="n">
        <x:v>4</x:v>
      </x:c>
    </x:row>
    <x:row r="80">
      <x:c r="A80" s="22" t="n">
        <x:v>8</x:v>
      </x:c>
      <x:c r="B80" s="22" t="str">
        <x:v>3月2日-3月6日</x:v>
      </x:c>
      <x:c r="C80" s="22" t="str">
        <x:v>2026-03-02</x:v>
      </x:c>
      <x:c r="D80" s="23" t="n">
        <x:v>4197.23</x:v>
      </x:c>
      <x:c r="E80" s="23" t="n">
        <x:v>4055.41</x:v>
      </x:c>
      <x:c r="F80" s="23" t="n">
        <x:f>ROUND(D80-E80,1)</x:f>
        <x:v>141.8</x:v>
      </x:c>
      <x:c r="G80" s="22" t="n">
        <x:v>5</x:v>
      </x:c>
    </x:row>
    <x:row r="81">
      <x:c r="A81" s="22" t="n">
        <x:v>9</x:v>
      </x:c>
      <x:c r="B81" s="22" t="str">
        <x:v>3月9日-3月13日</x:v>
      </x:c>
      <x:c r="C81" s="22" t="str">
        <x:v>2026-03-09</x:v>
      </x:c>
      <x:c r="D81" s="23" t="n">
        <x:v>4141.65</x:v>
      </x:c>
      <x:c r="E81" s="23" t="n">
        <x:v>4052.55</x:v>
      </x:c>
      <x:c r="F81" s="23" t="n">
        <x:f>ROUND(D81-E81,1)</x:f>
        <x:v>89.1</x:v>
      </x:c>
      <x:c r="G81" s="22" t="n">
        <x:v>5</x:v>
      </x:c>
    </x:row>
    <x:row r="82">
      <x:c r="A82" s="22" t="n">
        <x:v>10</x:v>
      </x:c>
      <x:c r="B82" s="22" t="str">
        <x:v>3月16日-3月20日</x:v>
      </x:c>
      <x:c r="C82" s="22" t="str">
        <x:v>2026-03-16</x:v>
      </x:c>
      <x:c r="D82" s="23" t="n">
        <x:v>4108.4</x:v>
      </x:c>
      <x:c r="E82" s="23" t="n">
        <x:v>3955.71</x:v>
      </x:c>
      <x:c r="F82" s="23" t="n">
        <x:f>ROUND(D82-E82,1)</x:f>
        <x:v>152.7</x:v>
      </x:c>
      <x:c r="G82" s="22" t="n">
        <x:v>5</x:v>
      </x:c>
    </x:row>
    <x:row r="83">
      <x:c r="A83" s="22" t="n">
        <x:v>11</x:v>
      </x:c>
      <x:c r="B83" s="22" t="str">
        <x:v>3月23日-3月27日</x:v>
      </x:c>
      <x:c r="C83" s="22" t="str">
        <x:v>2026-03-23</x:v>
      </x:c>
      <x:c r="D83" s="23" t="n">
        <x:v>3937.1</x:v>
      </x:c>
      <x:c r="E83" s="23" t="n">
        <x:v>3794.68</x:v>
      </x:c>
      <x:c r="F83" s="23" t="n">
        <x:f>ROUND(D83-E83,1)</x:f>
        <x:v>142.4</x:v>
      </x:c>
      <x:c r="G83" s="22" t="n">
        <x:v>5</x:v>
      </x:c>
    </x:row>
    <x:row r="84">
      <x:c r="A84" s="22" t="n">
        <x:v>12</x:v>
      </x:c>
      <x:c r="B84" s="22" t="str">
        <x:v>3月30日-4月3日</x:v>
      </x:c>
      <x:c r="C84" s="22" t="str">
        <x:v>2026-03-30</x:v>
      </x:c>
      <x:c r="D84" s="23" t="n">
        <x:v>3955.94</x:v>
      </x:c>
      <x:c r="E84" s="23" t="n">
        <x:v>3871.3</x:v>
      </x:c>
      <x:c r="F84" s="23" t="n">
        <x:f>ROUND(D84-E84,1)</x:f>
        <x:v>84.6</x:v>
      </x:c>
      <x:c r="G84" s="22" t="n">
        <x:v>5</x:v>
      </x:c>
    </x:row>
    <x:row r="85">
      <x:c r="A85" s="22" t="n">
        <x:v>13</x:v>
      </x:c>
      <x:c r="B85" s="22" t="str">
        <x:v>4月7日-4月10日</x:v>
      </x:c>
      <x:c r="C85" s="22" t="str">
        <x:v>2026-04-06</x:v>
      </x:c>
      <x:c r="D85" s="23" t="n">
        <x:v>4011.02</x:v>
      </x:c>
      <x:c r="E85" s="23" t="n">
        <x:v>3875.68</x:v>
      </x:c>
      <x:c r="F85" s="23" t="n">
        <x:f>ROUND(D85-E85,1)</x:f>
        <x:v>135.3</x:v>
      </x:c>
      <x:c r="G85" s="22" t="n">
        <x:v>4</x:v>
      </x:c>
    </x:row>
    <x:row r="86">
      <x:c r="A86" s="22" t="n">
        <x:v>14</x:v>
      </x:c>
      <x:c r="B86" s="22" t="str">
        <x:v>4月13日-4月17日</x:v>
      </x:c>
      <x:c r="C86" s="22" t="str">
        <x:v>2026-04-13</x:v>
      </x:c>
      <x:c r="D86" s="23" t="n">
        <x:v>4058.6</x:v>
      </x:c>
      <x:c r="E86" s="23" t="n">
        <x:v>3966.2</x:v>
      </x:c>
      <x:c r="F86" s="23" t="n">
        <x:f>ROUND(D86-E86,1)</x:f>
        <x:v>92.4</x:v>
      </x:c>
      <x:c r="G86" s="22" t="n">
        <x:v>5</x:v>
      </x:c>
    </x:row>
    <x:row r="87">
      <x:c r="A87" s="22" t="n">
        <x:v>15</x:v>
      </x:c>
      <x:c r="B87" s="22" t="str">
        <x:v>4月20日-4月24日</x:v>
      </x:c>
      <x:c r="C87" s="22" t="str">
        <x:v>2026-04-20</x:v>
      </x:c>
      <x:c r="D87" s="23" t="n">
        <x:v>4114.84</x:v>
      </x:c>
      <x:c r="E87" s="23" t="n">
        <x:v>4051.69</x:v>
      </x:c>
      <x:c r="F87" s="23" t="n">
        <x:f>ROUND(D87-E87,1)</x:f>
        <x:v>63.2</x:v>
      </x:c>
      <x:c r="G87" s="22" t="n">
        <x:v>5</x:v>
      </x:c>
    </x:row>
    <x:row r="88">
      <x:c r="A88" s="22" t="n">
        <x:v>16</x:v>
      </x:c>
      <x:c r="B88" s="22" t="str">
        <x:v>4月27日-4月30日</x:v>
      </x:c>
      <x:c r="C88" s="22" t="str">
        <x:v>2026-04-27</x:v>
      </x:c>
      <x:c r="D88" s="23" t="n">
        <x:v>4118.76</x:v>
      </x:c>
      <x:c r="E88" s="23" t="n">
        <x:v>4061.82</x:v>
      </x:c>
      <x:c r="F88" s="23" t="n">
        <x:f>ROUND(D88-E88,1)</x:f>
        <x:v>56.9</x:v>
      </x:c>
      <x:c r="G88" s="22" t="n">
        <x:v>4</x:v>
      </x:c>
    </x:row>
    <x:row r="89">
      <x:c r="A89" s="22" t="n">
        <x:v>17</x:v>
      </x:c>
      <x:c r="B89" s="22" t="str">
        <x:v>5月6日-5月8日</x:v>
      </x:c>
      <x:c r="C89" s="22" t="str">
        <x:v>2026-05-04</x:v>
      </x:c>
      <x:c r="D89" s="23" t="n">
        <x:v>4183.06</x:v>
      </x:c>
      <x:c r="E89" s="23" t="n">
        <x:v>4129.91</x:v>
      </x:c>
      <x:c r="F89" s="23" t="n">
        <x:f>ROUND(D89-E89,1)</x:f>
        <x:v>53.2</x:v>
      </x:c>
      <x:c r="G89" s="22" t="n">
        <x:v>3</x:v>
      </x:c>
    </x:row>
    <x:row r="90">
      <x:c r="A90" s="22" t="n">
        <x:v>18</x:v>
      </x:c>
      <x:c r="B90" s="22" t="str">
        <x:v>5月11日-5月15日</x:v>
      </x:c>
      <x:c r="C90" s="22" t="str">
        <x:v>2026-05-11</x:v>
      </x:c>
      <x:c r="D90" s="23" t="n">
        <x:v>4258.86</x:v>
      </x:c>
      <x:c r="E90" s="23" t="n">
        <x:v>4114.09</x:v>
      </x:c>
      <x:c r="F90" s="23" t="n">
        <x:f>ROUND(D90-E90,1)</x:f>
        <x:v>144.8</x:v>
      </x:c>
      <x:c r="G90" s="22" t="n">
        <x:v>5</x:v>
      </x:c>
    </x:row>
    <x:row r="91">
      <x:c r="A91" s="22" t="n">
        <x:v>19</x:v>
      </x:c>
      <x:c r="B91" s="22" t="str">
        <x:v>5月18日-5月22日</x:v>
      </x:c>
      <x:c r="C91" s="22" t="str">
        <x:v>2026-05-18</x:v>
      </x:c>
      <x:c r="D91" s="23" t="n">
        <x:v>4199.53</x:v>
      </x:c>
      <x:c r="E91" s="23" t="n">
        <x:v>4067.75</x:v>
      </x:c>
      <x:c r="F91" s="23" t="n">
        <x:f>ROUND(D91-E91,1)</x:f>
        <x:v>131.8</x:v>
      </x:c>
      <x:c r="G91" s="22" t="n">
        <x:v>5</x:v>
      </x:c>
    </x:row>
    <x:row r="92">
      <x:c r="A92" s="22" t="n">
        <x:v>20</x:v>
      </x:c>
      <x:c r="B92" s="22" t="str">
        <x:v>5月25日-5月29日</x:v>
      </x:c>
      <x:c r="C92" s="22" t="str">
        <x:v>2026-05-25</x:v>
      </x:c>
      <x:c r="D92" s="23" t="n">
        <x:v>4153.88</x:v>
      </x:c>
      <x:c r="E92" s="23" t="n">
        <x:v>4055.83</x:v>
      </x:c>
      <x:c r="F92" s="23" t="n">
        <x:f>ROUND(D92-E92,1)</x:f>
        <x:v>98.1</x:v>
      </x:c>
      <x:c r="G92" s="22" t="n">
        <x:v>5</x:v>
      </x:c>
    </x:row>
    <x:row r="93">
      <x:c r="A93" s="22" t="n">
        <x:v>21</x:v>
      </x:c>
      <x:c r="B93" s="22" t="str">
        <x:v>6月1日-6月5日</x:v>
      </x:c>
      <x:c r="C93" s="22" t="str">
        <x:v>2026-06-01</x:v>
      </x:c>
      <x:c r="D93" s="23" t="n">
        <x:v>4107.05</x:v>
      </x:c>
      <x:c r="E93" s="23" t="n">
        <x:v>4015.06</x:v>
      </x:c>
      <x:c r="F93" s="23" t="n">
        <x:f>ROUND(D93-E93,1)</x:f>
        <x:v>92</x:v>
      </x:c>
      <x:c r="G93" s="22" t="n">
        <x:v>5</x:v>
      </x:c>
    </x:row>
    <x:row r="94">
      <x:c r="A94" s="22" t="n">
        <x:v>22</x:v>
      </x:c>
      <x:c r="B94" s="22" t="str">
        <x:v>6月8日-6月12日</x:v>
      </x:c>
      <x:c r="C94" s="22" t="str">
        <x:v>2026-06-08</x:v>
      </x:c>
      <x:c r="D94" s="23" t="n">
        <x:v>4060.27</x:v>
      </x:c>
      <x:c r="E94" s="23" t="n">
        <x:v>3927.85</x:v>
      </x:c>
      <x:c r="F94" s="23" t="n">
        <x:f>ROUND(D94-E94,1)</x:f>
        <x:v>132.4</x:v>
      </x:c>
      <x:c r="G94" s="22" t="n">
        <x:v>5</x:v>
      </x:c>
    </x:row>
    <x:row r="95">
      <x:c r="A95" s="22" t="n">
        <x:v>23</x:v>
      </x:c>
      <x:c r="B95" s="22" t="str">
        <x:v>6月15日-6月18日</x:v>
      </x:c>
      <x:c r="C95" s="22" t="str">
        <x:v>2026-06-15</x:v>
      </x:c>
      <x:c r="D95" s="23" t="n">
        <x:v>4117.45</x:v>
      </x:c>
      <x:c r="E95" s="23" t="n">
        <x:v>4051.07</x:v>
      </x:c>
      <x:c r="F95" s="23" t="n">
        <x:f>ROUND(D95-E95,1)</x:f>
        <x:v>66.4</x:v>
      </x:c>
      <x:c r="G95" s="22" t="n">
        <x:v>4</x:v>
      </x:c>
    </x:row>
    <x:row r="96">
      <x:c r="A96" s="22" t="n">
        <x:v>24</x:v>
      </x:c>
      <x:c r="B96" s="22" t="str">
        <x:v>6月22日-6月26日</x:v>
      </x:c>
      <x:c r="C96" s="22" t="str">
        <x:v>2026-06-22</x:v>
      </x:c>
      <x:c r="D96" s="23" t="n">
        <x:v>4175.35</x:v>
      </x:c>
      <x:c r="E96" s="23" t="n">
        <x:v>4007.86</x:v>
      </x:c>
      <x:c r="F96" s="23" t="n">
        <x:f>ROUND(D96-E96,1)</x:f>
        <x:v>167.5</x:v>
      </x:c>
      <x:c r="G96" s="22" t="n">
        <x:v>5</x:v>
      </x:c>
    </x:row>
    <x:row r="97">
      <x:c r="A97" s="22" t="n">
        <x:v>25</x:v>
      </x:c>
      <x:c r="B97" s="22" t="str">
        <x:v>6月29日-7月3日</x:v>
      </x:c>
      <x:c r="C97" s="22" t="str">
        <x:v>2026-06-29</x:v>
      </x:c>
      <x:c r="D97" s="23" t="n">
        <x:v>4143.31</x:v>
      </x:c>
      <x:c r="E97" s="23" t="n">
        <x:v>3992.55</x:v>
      </x:c>
      <x:c r="F97" s="23" t="n">
        <x:f>ROUND(D97-E97,1)</x:f>
        <x:v>150.8</x:v>
      </x:c>
      <x:c r="G97" s="22" t="n">
        <x:v>5</x:v>
      </x:c>
    </x:row>
    <x:row r="98">
      <x:c r="A98" s="22" t="n">
        <x:v>26</x:v>
      </x:c>
      <x:c r="B98" s="22" t="str">
        <x:v>7月6日-7月10日</x:v>
      </x:c>
      <x:c r="C98" s="22" t="str">
        <x:v>2026-07-06</x:v>
      </x:c>
      <x:c r="D98" s="23" t="n">
        <x:v>4074.83</x:v>
      </x:c>
      <x:c r="E98" s="23" t="n">
        <x:v>3938.88</x:v>
      </x:c>
      <x:c r="F98" s="23" t="n">
        <x:f>ROUND(D98-E98,1)</x:f>
        <x:v>135.9</x:v>
      </x:c>
      <x:c r="G98" s="22" t="n">
        <x:v>5</x:v>
      </x:c>
    </x:row>
    <x:row r="99">
      <x:c r="A99" s="22" t="n">
        <x:v>27</x:v>
      </x:c>
      <x:c r="B99" s="22" t="str">
        <x:v>7月13日-7月17日</x:v>
      </x:c>
      <x:c r="C99" s="22" t="str">
        <x:v>2026-07-13</x:v>
      </x:c>
      <x:c r="D99" s="23" t="n">
        <x:v>3983.05</x:v>
      </x:c>
      <x:c r="E99" s="23" t="n">
        <x:v>3745.17</x:v>
      </x:c>
      <x:c r="F99" s="23" t="n">
        <x:f>ROUND(D99-E99,1)</x:f>
        <x:v>237.9</x:v>
      </x:c>
      <x:c r="G99" s="22" t="n">
        <x:v>5</x:v>
      </x:c>
    </x:row>
    <x:row r="100">
      <x:c r="A100" s="22" t="n">
        <x:v>28</x:v>
      </x:c>
      <x:c r="B100" s="22" t="str">
        <x:v>7月20日-7月24日</x:v>
      </x:c>
      <x:c r="C100" s="22" t="str">
        <x:v>2026-07-20</x:v>
      </x:c>
      <x:c r="D100" s="23" t="n">
        <x:v>3884.44</x:v>
      </x:c>
      <x:c r="E100" s="23" t="n">
        <x:v>3741.11</x:v>
      </x:c>
      <x:c r="F100" s="23" t="n">
        <x:f>ROUND(D100-E100,1)</x:f>
        <x:v>143.3</x:v>
      </x:c>
      <x:c r="G100" s="22" t="n">
        <x:v>5</x:v>
      </x:c>
    </x:row>
    <x:row r="101">
      <x:c r="A101" s="22" t="n">
        <x:v>29</x:v>
      </x:c>
      <x:c r="B101" s="22" t="str">
        <x:v>7月27日-7月31日</x:v>
      </x:c>
      <x:c r="C101" s="22" t="str">
        <x:v>2026-07-27</x:v>
      </x:c>
      <x:c r="D101" s="23" t="n">
        <x:v>3858.31</x:v>
      </x:c>
      <x:c r="E101" s="23" t="n">
        <x:v>3767.5</x:v>
      </x:c>
      <x:c r="F101" s="23" t="n">
        <x:f>ROUND(D101-E101,1)</x:f>
        <x:v>90.8</x:v>
      </x:c>
      <x:c r="G101" s="22" t="n">
        <x:v>5</x:v>
      </x:c>
    </x:row>
    <x:row r="102">
      <x:c r="A102" s="26" t="str">
        <x:v>合计</x:v>
      </x:c>
      <x:c r="B102" s="25" t="n">
        <x:v>29</x:v>
      </x:c>
      <x:c r="C102" s="25"/>
      <x:c r="D102" s="25"/>
      <x:c r="E102" s="25"/>
      <x:c r="F102" s="27" t="n">
        <x:f>ROUND(SUM(F73:F101),1)</x:f>
        <x:v>3235.9</x:v>
      </x:c>
      <x:c r="G102" s="25"/>
    </x:row>
    <x:row r="103">
      <x:c r="A103" s="26" t="str">
        <x:v>均值</x:v>
      </x:c>
      <x:c r="B103" s="25"/>
      <x:c r="C103" s="25"/>
      <x:c r="D103" s="25"/>
      <x:c r="E103" s="25"/>
      <x:c r="F103" s="29" t="n">
        <x:f>ROUND(IFERROR(AVERAGE(F73:F101),0),1)</x:f>
        <x:v>111.6</x:v>
      </x:c>
      <x:c r="G103" s="25"/>
    </x:row>
    <x:row r="105">
      <x:c r="A105" s="17" t="str">
        <x:v>IM主力</x:v>
      </x:c>
      <x:c r="B105" s="17"/>
      <x:c r="C105" s="17"/>
      <x:c r="D105" s="17"/>
      <x:c r="E105" s="17"/>
      <x:c r="F105" s="17"/>
      <x:c r="G105" s="17"/>
    </x:row>
    <x:row r="106">
      <x:c r="A106" s="20" t="str">
        <x:v>序号</x:v>
      </x:c>
      <x:c r="B106" s="20" t="str">
        <x:v>周期</x:v>
      </x:c>
      <x:c r="C106" s="20" t="str">
        <x:v>周起始日</x:v>
      </x:c>
      <x:c r="D106" s="20" t="str">
        <x:v>周最高</x:v>
      </x:c>
      <x:c r="E106" s="20" t="str">
        <x:v>周最低</x:v>
      </x:c>
      <x:c r="F106" s="20" t="str">
        <x:v>周振幅</x:v>
      </x:c>
      <x:c r="G106" s="20" t="str">
        <x:v>交易日</x:v>
      </x:c>
    </x:row>
    <x:row r="107">
      <x:c r="A107" s="22" t="n">
        <x:v>1</x:v>
      </x:c>
      <x:c r="B107" s="22" t="str">
        <x:v>1月5日-1月9日</x:v>
      </x:c>
      <x:c r="C107" s="22" t="str">
        <x:v>2026-01-05</x:v>
      </x:c>
      <x:c r="D107" s="23" t="n">
        <x:v>8049.4</x:v>
      </x:c>
      <x:c r="E107" s="23" t="n">
        <x:v>7462.2</x:v>
      </x:c>
      <x:c r="F107" s="23" t="n">
        <x:f>ROUND(D107-E107,1)</x:f>
        <x:v>587.2</x:v>
      </x:c>
      <x:c r="G107" s="22" t="n">
        <x:v>5</x:v>
      </x:c>
    </x:row>
    <x:row r="108">
      <x:c r="A108" s="22" t="n">
        <x:v>2</x:v>
      </x:c>
      <x:c r="B108" s="22" t="str">
        <x:v>1月12日-1月16日</x:v>
      </x:c>
      <x:c r="C108" s="22" t="str">
        <x:v>2026-01-12</x:v>
      </x:c>
      <x:c r="D108" s="23" t="n">
        <x:v>8419</x:v>
      </x:c>
      <x:c r="E108" s="23" t="n">
        <x:v>8056.2</x:v>
      </x:c>
      <x:c r="F108" s="23" t="n">
        <x:f>ROUND(D108-E108,1)</x:f>
        <x:v>362.8</x:v>
      </x:c>
      <x:c r="G108" s="22" t="n">
        <x:v>5</x:v>
      </x:c>
    </x:row>
    <x:row r="109">
      <x:c r="A109" s="22" t="n">
        <x:v>3</x:v>
      </x:c>
      <x:c r="B109" s="22" t="str">
        <x:v>1月19日-1月23日</x:v>
      </x:c>
      <x:c r="C109" s="22" t="str">
        <x:v>2026-01-19</x:v>
      </x:c>
      <x:c r="D109" s="23" t="n">
        <x:v>8518.2</x:v>
      </x:c>
      <x:c r="E109" s="23" t="n">
        <x:v>8016.8</x:v>
      </x:c>
      <x:c r="F109" s="23" t="n">
        <x:f>ROUND(D109-E109,1)</x:f>
        <x:v>501.4</x:v>
      </x:c>
      <x:c r="G109" s="22" t="n">
        <x:v>5</x:v>
      </x:c>
    </x:row>
    <x:row r="110">
      <x:c r="A110" s="22" t="n">
        <x:v>4</x:v>
      </x:c>
      <x:c r="B110" s="22" t="str">
        <x:v>1月26日-1月30日</x:v>
      </x:c>
      <x:c r="C110" s="22" t="str">
        <x:v>2026-01-26</x:v>
      </x:c>
      <x:c r="D110" s="23" t="n">
        <x:v>8568</x:v>
      </x:c>
      <x:c r="E110" s="23" t="n">
        <x:v>8050</x:v>
      </x:c>
      <x:c r="F110" s="23" t="n">
        <x:f>ROUND(D110-E110,1)</x:f>
        <x:v>518</x:v>
      </x:c>
      <x:c r="G110" s="22" t="n">
        <x:v>5</x:v>
      </x:c>
    </x:row>
    <x:row r="111">
      <x:c r="A111" s="22" t="n">
        <x:v>5</x:v>
      </x:c>
      <x:c r="B111" s="22" t="str">
        <x:v>2月2日-2月6日</x:v>
      </x:c>
      <x:c r="C111" s="22" t="str">
        <x:v>2026-02-02</x:v>
      </x:c>
      <x:c r="D111" s="23" t="n">
        <x:v>8240</x:v>
      </x:c>
      <x:c r="E111" s="23" t="n">
        <x:v>7840</x:v>
      </x:c>
      <x:c r="F111" s="23" t="n">
        <x:f>ROUND(D111-E111,1)</x:f>
        <x:v>400</x:v>
      </x:c>
      <x:c r="G111" s="22" t="n">
        <x:v>5</x:v>
      </x:c>
    </x:row>
    <x:row r="112">
      <x:c r="A112" s="22" t="n">
        <x:v>6</x:v>
      </x:c>
      <x:c r="B112" s="22" t="str">
        <x:v>2月9日-2月13日</x:v>
      </x:c>
      <x:c r="C112" s="22" t="str">
        <x:v>2026-02-09</x:v>
      </x:c>
      <x:c r="D112" s="23" t="n">
        <x:v>8351.8</x:v>
      </x:c>
      <x:c r="E112" s="23" t="n">
        <x:v>8120.4</x:v>
      </x:c>
      <x:c r="F112" s="23" t="n">
        <x:f>ROUND(D112-E112,1)</x:f>
        <x:v>231.4</x:v>
      </x:c>
      <x:c r="G112" s="22" t="n">
        <x:v>5</x:v>
      </x:c>
    </x:row>
    <x:row r="113">
      <x:c r="A113" s="22" t="n">
        <x:v>7</x:v>
      </x:c>
      <x:c r="B113" s="22" t="str">
        <x:v>2月24日-2月27日</x:v>
      </x:c>
      <x:c r="C113" s="22" t="str">
        <x:v>2026-02-23</x:v>
      </x:c>
      <x:c r="D113" s="23" t="n">
        <x:v>8538.8</x:v>
      </x:c>
      <x:c r="E113" s="23" t="n">
        <x:v>8227.2</x:v>
      </x:c>
      <x:c r="F113" s="23" t="n">
        <x:f>ROUND(D113-E113,1)</x:f>
        <x:v>311.6</x:v>
      </x:c>
      <x:c r="G113" s="22" t="n">
        <x:v>4</x:v>
      </x:c>
    </x:row>
    <x:row r="114">
      <x:c r="A114" s="22" t="n">
        <x:v>8</x:v>
      </x:c>
      <x:c r="B114" s="22" t="str">
        <x:v>3月2日-3月6日</x:v>
      </x:c>
      <x:c r="C114" s="22" t="str">
        <x:v>2026-03-02</x:v>
      </x:c>
      <x:c r="D114" s="23" t="n">
        <x:v>8514.6</x:v>
      </x:c>
      <x:c r="E114" s="23" t="n">
        <x:v>8037.2</x:v>
      </x:c>
      <x:c r="F114" s="23" t="n">
        <x:f>ROUND(D114-E114,1)</x:f>
        <x:v>477.4</x:v>
      </x:c>
      <x:c r="G114" s="22" t="n">
        <x:v>5</x:v>
      </x:c>
    </x:row>
    <x:row r="115">
      <x:c r="A115" s="22" t="n">
        <x:v>9</x:v>
      </x:c>
      <x:c r="B115" s="22" t="str">
        <x:v>3月9日-3月13日</x:v>
      </x:c>
      <x:c r="C115" s="22" t="str">
        <x:v>2026-03-09</x:v>
      </x:c>
      <x:c r="D115" s="23" t="n">
        <x:v>8368</x:v>
      </x:c>
      <x:c r="E115" s="23" t="n">
        <x:v>7850</x:v>
      </x:c>
      <x:c r="F115" s="23" t="n">
        <x:f>ROUND(D115-E115,1)</x:f>
        <x:v>518</x:v>
      </x:c>
      <x:c r="G115" s="22" t="n">
        <x:v>5</x:v>
      </x:c>
    </x:row>
    <x:row r="116">
      <x:c r="A116" s="22" t="n">
        <x:v>10</x:v>
      </x:c>
      <x:c r="B116" s="22" t="str">
        <x:v>3月16日-3月20日</x:v>
      </x:c>
      <x:c r="C116" s="22" t="str">
        <x:v>2026-03-16</x:v>
      </x:c>
      <x:c r="D116" s="23" t="n">
        <x:v>8220</x:v>
      </x:c>
      <x:c r="E116" s="23" t="n">
        <x:v>7866</x:v>
      </x:c>
      <x:c r="F116" s="23" t="n">
        <x:f>ROUND(D116-E116,1)</x:f>
        <x:v>354</x:v>
      </x:c>
      <x:c r="G116" s="22" t="n">
        <x:v>5</x:v>
      </x:c>
    </x:row>
    <x:row r="117">
      <x:c r="A117" s="22" t="n">
        <x:v>11</x:v>
      </x:c>
      <x:c r="B117" s="22" t="str">
        <x:v>3月23日-3月27日</x:v>
      </x:c>
      <x:c r="C117" s="22" t="str">
        <x:v>2026-03-23</x:v>
      </x:c>
      <x:c r="D117" s="23" t="n">
        <x:v>7589</x:v>
      </x:c>
      <x:c r="E117" s="23" t="n">
        <x:v>7120.2</x:v>
      </x:c>
      <x:c r="F117" s="23" t="n">
        <x:f>ROUND(D117-E117,1)</x:f>
        <x:v>468.8</x:v>
      </x:c>
      <x:c r="G117" s="22" t="n">
        <x:v>5</x:v>
      </x:c>
    </x:row>
    <x:row r="118">
      <x:c r="A118" s="22" t="n">
        <x:v>12</x:v>
      </x:c>
      <x:c r="B118" s="22" t="str">
        <x:v>3月30日-4月3日</x:v>
      </x:c>
      <x:c r="C118" s="22" t="str">
        <x:v>2026-03-30</x:v>
      </x:c>
      <x:c r="D118" s="23" t="n">
        <x:v>7567.6</x:v>
      </x:c>
      <x:c r="E118" s="23" t="n">
        <x:v>7280.2</x:v>
      </x:c>
      <x:c r="F118" s="23" t="n">
        <x:f>ROUND(D118-E118,1)</x:f>
        <x:v>287.4</x:v>
      </x:c>
      <x:c r="G118" s="22" t="n">
        <x:v>5</x:v>
      </x:c>
    </x:row>
    <x:row r="119">
      <x:c r="A119" s="22" t="n">
        <x:v>13</x:v>
      </x:c>
      <x:c r="B119" s="22" t="str">
        <x:v>4月7日-4月10日</x:v>
      </x:c>
      <x:c r="C119" s="22" t="str">
        <x:v>2026-04-06</x:v>
      </x:c>
      <x:c r="D119" s="23" t="n">
        <x:v>7869.6</x:v>
      </x:c>
      <x:c r="E119" s="23" t="n">
        <x:v>7332.8</x:v>
      </x:c>
      <x:c r="F119" s="23" t="n">
        <x:f>ROUND(D119-E119,1)</x:f>
        <x:v>536.8</x:v>
      </x:c>
      <x:c r="G119" s="22" t="n">
        <x:v>4</x:v>
      </x:c>
    </x:row>
    <x:row r="120">
      <x:c r="A120" s="22" t="n">
        <x:v>14</x:v>
      </x:c>
      <x:c r="B120" s="22" t="str">
        <x:v>4月13日-4月17日</x:v>
      </x:c>
      <x:c r="C120" s="22" t="str">
        <x:v>2026-04-13</x:v>
      </x:c>
      <x:c r="D120" s="23" t="n">
        <x:v>8165.8</x:v>
      </x:c>
      <x:c r="E120" s="23" t="n">
        <x:v>7751</x:v>
      </x:c>
      <x:c r="F120" s="23" t="n">
        <x:f>ROUND(D120-E120,1)</x:f>
        <x:v>414.8</x:v>
      </x:c>
      <x:c r="G120" s="22" t="n">
        <x:v>5</x:v>
      </x:c>
    </x:row>
    <x:row r="121">
      <x:c r="A121" s="22" t="n">
        <x:v>15</x:v>
      </x:c>
      <x:c r="B121" s="22" t="str">
        <x:v>4月20日-4月24日</x:v>
      </x:c>
      <x:c r="C121" s="22" t="str">
        <x:v>2026-04-20</x:v>
      </x:c>
      <x:c r="D121" s="23" t="n">
        <x:v>8337</x:v>
      </x:c>
      <x:c r="E121" s="23" t="n">
        <x:v>8092</x:v>
      </x:c>
      <x:c r="F121" s="23" t="n">
        <x:f>ROUND(D121-E121,1)</x:f>
        <x:v>245</x:v>
      </x:c>
      <x:c r="G121" s="22" t="n">
        <x:v>5</x:v>
      </x:c>
    </x:row>
    <x:row r="122">
      <x:c r="A122" s="22" t="n">
        <x:v>16</x:v>
      </x:c>
      <x:c r="B122" s="22" t="str">
        <x:v>4月27日-4月30日</x:v>
      </x:c>
      <x:c r="C122" s="22" t="str">
        <x:v>2026-04-27</x:v>
      </x:c>
      <x:c r="D122" s="23" t="n">
        <x:v>8292</x:v>
      </x:c>
      <x:c r="E122" s="23" t="n">
        <x:v>8056</x:v>
      </x:c>
      <x:c r="F122" s="23" t="n">
        <x:f>ROUND(D122-E122,1)</x:f>
        <x:v>236</x:v>
      </x:c>
      <x:c r="G122" s="22" t="n">
        <x:v>4</x:v>
      </x:c>
    </x:row>
    <x:row r="123">
      <x:c r="A123" s="22" t="n">
        <x:v>17</x:v>
      </x:c>
      <x:c r="B123" s="22" t="str">
        <x:v>5月6日-5月8日</x:v>
      </x:c>
      <x:c r="C123" s="22" t="str">
        <x:v>2026-05-04</x:v>
      </x:c>
      <x:c r="D123" s="23" t="n">
        <x:v>8670</x:v>
      </x:c>
      <x:c r="E123" s="23" t="n">
        <x:v>8381</x:v>
      </x:c>
      <x:c r="F123" s="23" t="n">
        <x:f>ROUND(D123-E123,1)</x:f>
        <x:v>289</x:v>
      </x:c>
      <x:c r="G123" s="22" t="n">
        <x:v>3</x:v>
      </x:c>
    </x:row>
    <x:row r="124">
      <x:c r="A124" s="22" t="n">
        <x:v>18</x:v>
      </x:c>
      <x:c r="B124" s="22" t="str">
        <x:v>5月11日-5月15日</x:v>
      </x:c>
      <x:c r="C124" s="22" t="str">
        <x:v>2026-05-11</x:v>
      </x:c>
      <x:c r="D124" s="23" t="n">
        <x:v>8908.8</x:v>
      </x:c>
      <x:c r="E124" s="23" t="n">
        <x:v>8505.6</x:v>
      </x:c>
      <x:c r="F124" s="23" t="n">
        <x:f>ROUND(D124-E124,1)</x:f>
        <x:v>403.2</x:v>
      </x:c>
      <x:c r="G124" s="22" t="n">
        <x:v>5</x:v>
      </x:c>
    </x:row>
    <x:row r="125">
      <x:c r="A125" s="22" t="n">
        <x:v>19</x:v>
      </x:c>
      <x:c r="B125" s="22" t="str">
        <x:v>5月18日-5月22日</x:v>
      </x:c>
      <x:c r="C125" s="22" t="str">
        <x:v>2026-05-18</x:v>
      </x:c>
      <x:c r="D125" s="23" t="n">
        <x:v>8814.2</x:v>
      </x:c>
      <x:c r="E125" s="23" t="n">
        <x:v>8426.2</x:v>
      </x:c>
      <x:c r="F125" s="23" t="n">
        <x:f>ROUND(D125-E125,1)</x:f>
        <x:v>388</x:v>
      </x:c>
      <x:c r="G125" s="22" t="n">
        <x:v>5</x:v>
      </x:c>
    </x:row>
    <x:row r="126">
      <x:c r="A126" s="22" t="n">
        <x:v>20</x:v>
      </x:c>
      <x:c r="B126" s="22" t="str">
        <x:v>5月25日-5月29日</x:v>
      </x:c>
      <x:c r="C126" s="22" t="str">
        <x:v>2026-05-25</x:v>
      </x:c>
      <x:c r="D126" s="23" t="n">
        <x:v>8691.4</x:v>
      </x:c>
      <x:c r="E126" s="23" t="n">
        <x:v>8291.6</x:v>
      </x:c>
      <x:c r="F126" s="23" t="n">
        <x:f>ROUND(D126-E126,1)</x:f>
        <x:v>399.8</x:v>
      </x:c>
      <x:c r="G126" s="22" t="n">
        <x:v>5</x:v>
      </x:c>
    </x:row>
    <x:row r="127">
      <x:c r="A127" s="22" t="n">
        <x:v>21</x:v>
      </x:c>
      <x:c r="B127" s="22" t="str">
        <x:v>6月1日-6月5日</x:v>
      </x:c>
      <x:c r="C127" s="22" t="str">
        <x:v>2026-06-01</x:v>
      </x:c>
      <x:c r="D127" s="23" t="n">
        <x:v>8493.4</x:v>
      </x:c>
      <x:c r="E127" s="23" t="n">
        <x:v>8190</x:v>
      </x:c>
      <x:c r="F127" s="23" t="n">
        <x:f>ROUND(D127-E127,1)</x:f>
        <x:v>303.4</x:v>
      </x:c>
      <x:c r="G127" s="22" t="n">
        <x:v>5</x:v>
      </x:c>
    </x:row>
    <x:row r="128">
      <x:c r="A128" s="22" t="n">
        <x:v>22</x:v>
      </x:c>
      <x:c r="B128" s="22" t="str">
        <x:v>6月8日-6月12日</x:v>
      </x:c>
      <x:c r="C128" s="22" t="str">
        <x:v>2026-06-08</x:v>
      </x:c>
      <x:c r="D128" s="23" t="n">
        <x:v>8323.8</x:v>
      </x:c>
      <x:c r="E128" s="23" t="n">
        <x:v>7962</x:v>
      </x:c>
      <x:c r="F128" s="23" t="n">
        <x:f>ROUND(D128-E128,1)</x:f>
        <x:v>361.8</x:v>
      </x:c>
      <x:c r="G128" s="22" t="n">
        <x:v>5</x:v>
      </x:c>
    </x:row>
    <x:row r="129">
      <x:c r="A129" s="22" t="n">
        <x:v>23</x:v>
      </x:c>
      <x:c r="B129" s="22" t="str">
        <x:v>6月15日-6月18日</x:v>
      </x:c>
      <x:c r="C129" s="22" t="str">
        <x:v>2026-06-15</x:v>
      </x:c>
      <x:c r="D129" s="23" t="n">
        <x:v>8788</x:v>
      </x:c>
      <x:c r="E129" s="23" t="n">
        <x:v>8285</x:v>
      </x:c>
      <x:c r="F129" s="23" t="n">
        <x:f>ROUND(D129-E129,1)</x:f>
        <x:v>503</x:v>
      </x:c>
      <x:c r="G129" s="22" t="n">
        <x:v>4</x:v>
      </x:c>
    </x:row>
    <x:row r="130">
      <x:c r="A130" s="22" t="n">
        <x:v>24</x:v>
      </x:c>
      <x:c r="B130" s="22" t="str">
        <x:v>6月22日-6月26日</x:v>
      </x:c>
      <x:c r="C130" s="22" t="str">
        <x:v>2026-06-22</x:v>
      </x:c>
      <x:c r="D130" s="23" t="n">
        <x:v>8802.4</x:v>
      </x:c>
      <x:c r="E130" s="23" t="n">
        <x:v>8260.2</x:v>
      </x:c>
      <x:c r="F130" s="23" t="n">
        <x:f>ROUND(D130-E130,1)</x:f>
        <x:v>542.2</x:v>
      </x:c>
      <x:c r="G130" s="22" t="n">
        <x:v>5</x:v>
      </x:c>
    </x:row>
    <x:row r="131">
      <x:c r="A131" s="22" t="n">
        <x:v>25</x:v>
      </x:c>
      <x:c r="B131" s="22" t="str">
        <x:v>6月29日-7月3日</x:v>
      </x:c>
      <x:c r="C131" s="22" t="str">
        <x:v>2026-06-29</x:v>
      </x:c>
      <x:c r="D131" s="23" t="n">
        <x:v>8629</x:v>
      </x:c>
      <x:c r="E131" s="23" t="n">
        <x:v>8145.2</x:v>
      </x:c>
      <x:c r="F131" s="23" t="n">
        <x:f>ROUND(D131-E131,1)</x:f>
        <x:v>483.8</x:v>
      </x:c>
      <x:c r="G131" s="22" t="n">
        <x:v>5</x:v>
      </x:c>
    </x:row>
    <x:row r="132">
      <x:c r="A132" s="22" t="n">
        <x:v>26</x:v>
      </x:c>
      <x:c r="B132" s="22" t="str">
        <x:v>7月6日-7月10日</x:v>
      </x:c>
      <x:c r="C132" s="22" t="str">
        <x:v>2026-07-06</x:v>
      </x:c>
      <x:c r="D132" s="23" t="n">
        <x:v>8419.8</x:v>
      </x:c>
      <x:c r="E132" s="23" t="n">
        <x:v>7868.2</x:v>
      </x:c>
      <x:c r="F132" s="23" t="n">
        <x:f>ROUND(D132-E132,1)</x:f>
        <x:v>551.6</x:v>
      </x:c>
      <x:c r="G132" s="22" t="n">
        <x:v>5</x:v>
      </x:c>
    </x:row>
    <x:row r="133">
      <x:c r="A133" s="22" t="n">
        <x:v>27</x:v>
      </x:c>
      <x:c r="B133" s="22" t="str">
        <x:v>7月13日-7月17日</x:v>
      </x:c>
      <x:c r="C133" s="22" t="str">
        <x:v>2026-07-13</x:v>
      </x:c>
      <x:c r="D133" s="23" t="n">
        <x:v>8029.8</x:v>
      </x:c>
      <x:c r="E133" s="23" t="n">
        <x:v>7018.8</x:v>
      </x:c>
      <x:c r="F133" s="23" t="n">
        <x:f>ROUND(D133-E133,1)</x:f>
        <x:v>1011</x:v>
      </x:c>
      <x:c r="G133" s="22" t="n">
        <x:v>5</x:v>
      </x:c>
    </x:row>
    <x:row r="134">
      <x:c r="A134" s="22" t="n">
        <x:v>28</x:v>
      </x:c>
      <x:c r="B134" s="22" t="str">
        <x:v>7月20日-7月24日</x:v>
      </x:c>
      <x:c r="C134" s="22" t="str">
        <x:v>2026-07-20</x:v>
      </x:c>
      <x:c r="D134" s="23" t="n">
        <x:v>7237</x:v>
      </x:c>
      <x:c r="E134" s="23" t="n">
        <x:v>6641.8</x:v>
      </x:c>
      <x:c r="F134" s="23" t="n">
        <x:f>ROUND(D134-E134,1)</x:f>
        <x:v>595.2</x:v>
      </x:c>
      <x:c r="G134" s="22" t="n">
        <x:v>5</x:v>
      </x:c>
    </x:row>
    <x:row r="135">
      <x:c r="A135" s="22" t="n">
        <x:v>29</x:v>
      </x:c>
      <x:c r="B135" s="22" t="str">
        <x:v>7月27日-7月31日</x:v>
      </x:c>
      <x:c r="C135" s="22" t="str">
        <x:v>2026-07-27</x:v>
      </x:c>
      <x:c r="D135" s="23" t="n">
        <x:v>7205</x:v>
      </x:c>
      <x:c r="E135" s="23" t="n">
        <x:v>6757.6</x:v>
      </x:c>
      <x:c r="F135" s="23" t="n">
        <x:f>ROUND(D135-E135,1)</x:f>
        <x:v>447.4</x:v>
      </x:c>
      <x:c r="G135" s="22" t="n">
        <x:v>5</x:v>
      </x:c>
    </x:row>
    <x:row r="136">
      <x:c r="A136" s="26" t="str">
        <x:v>合计</x:v>
      </x:c>
      <x:c r="B136" s="25" t="n">
        <x:v>29</x:v>
      </x:c>
      <x:c r="C136" s="25"/>
      <x:c r="D136" s="25"/>
      <x:c r="E136" s="25"/>
      <x:c r="F136" s="27" t="n">
        <x:f>ROUND(SUM(F107:F135),1)</x:f>
        <x:v>12730</x:v>
      </x:c>
      <x:c r="G136" s="25"/>
    </x:row>
    <x:row r="137">
      <x:c r="A137" s="26" t="str">
        <x:v>均值</x:v>
      </x:c>
      <x:c r="B137" s="25"/>
      <x:c r="C137" s="25"/>
      <x:c r="D137" s="25"/>
      <x:c r="E137" s="25"/>
      <x:c r="F137" s="29" t="n">
        <x:f>ROUND(IFERROR(AVERAGE(F107:F135),0),1)</x:f>
        <x:v>439</x:v>
      </x:c>
      <x:c r="G137" s="25"/>
    </x:row>
    <x:row r="139">
      <x:c r="A139" s="17" t="str">
        <x:v>IC主力</x:v>
      </x:c>
      <x:c r="B139" s="17"/>
      <x:c r="C139" s="17"/>
      <x:c r="D139" s="17"/>
      <x:c r="E139" s="17"/>
      <x:c r="F139" s="17"/>
      <x:c r="G139" s="17"/>
    </x:row>
    <x:row r="140">
      <x:c r="A140" s="20" t="str">
        <x:v>序号</x:v>
      </x:c>
      <x:c r="B140" s="20" t="str">
        <x:v>周期</x:v>
      </x:c>
      <x:c r="C140" s="20" t="str">
        <x:v>周起始日</x:v>
      </x:c>
      <x:c r="D140" s="20" t="str">
        <x:v>周最高</x:v>
      </x:c>
      <x:c r="E140" s="20" t="str">
        <x:v>周最低</x:v>
      </x:c>
      <x:c r="F140" s="20" t="str">
        <x:v>周振幅</x:v>
      </x:c>
      <x:c r="G140" s="20" t="str">
        <x:v>交易日</x:v>
      </x:c>
    </x:row>
    <x:row r="141">
      <x:c r="A141" s="22" t="n">
        <x:v>1</x:v>
      </x:c>
      <x:c r="B141" s="22" t="str">
        <x:v>1月5日-1月9日</x:v>
      </x:c>
      <x:c r="C141" s="22" t="str">
        <x:v>2026-01-05</x:v>
      </x:c>
      <x:c r="D141" s="23" t="n">
        <x:v>8037.8</x:v>
      </x:c>
      <x:c r="E141" s="23" t="n">
        <x:v>7422</x:v>
      </x:c>
      <x:c r="F141" s="23" t="n">
        <x:f>ROUND(D141-E141,1)</x:f>
        <x:v>615.8</x:v>
      </x:c>
      <x:c r="G141" s="22" t="n">
        <x:v>5</x:v>
      </x:c>
    </x:row>
    <x:row r="142">
      <x:c r="A142" s="22" t="n">
        <x:v>2</x:v>
      </x:c>
      <x:c r="B142" s="22" t="str">
        <x:v>1月12日-1月16日</x:v>
      </x:c>
      <x:c r="C142" s="22" t="str">
        <x:v>2026-01-12</x:v>
      </x:c>
      <x:c r="D142" s="23" t="n">
        <x:v>8388.6</x:v>
      </x:c>
      <x:c r="E142" s="23" t="n">
        <x:v>8044</x:v>
      </x:c>
      <x:c r="F142" s="23" t="n">
        <x:f>ROUND(D142-E142,1)</x:f>
        <x:v>344.6</x:v>
      </x:c>
      <x:c r="G142" s="22" t="n">
        <x:v>5</x:v>
      </x:c>
    </x:row>
    <x:row r="143">
      <x:c r="A143" s="22" t="n">
        <x:v>3</x:v>
      </x:c>
      <x:c r="B143" s="22" t="str">
        <x:v>1月19日-1月23日</x:v>
      </x:c>
      <x:c r="C143" s="22" t="str">
        <x:v>2026-01-19</x:v>
      </x:c>
      <x:c r="D143" s="23" t="n">
        <x:v>8660</x:v>
      </x:c>
      <x:c r="E143" s="23" t="n">
        <x:v>8112</x:v>
      </x:c>
      <x:c r="F143" s="23" t="n">
        <x:f>ROUND(D143-E143,1)</x:f>
        <x:v>548</x:v>
      </x:c>
      <x:c r="G143" s="22" t="n">
        <x:v>5</x:v>
      </x:c>
    </x:row>
    <x:row r="144">
      <x:c r="A144" s="22" t="n">
        <x:v>4</x:v>
      </x:c>
      <x:c r="B144" s="22" t="str">
        <x:v>1月26日-1月30日</x:v>
      </x:c>
      <x:c r="C144" s="22" t="str">
        <x:v>2026-01-26</x:v>
      </x:c>
      <x:c r="D144" s="23" t="n">
        <x:v>8728.2</x:v>
      </x:c>
      <x:c r="E144" s="23" t="n">
        <x:v>8135</x:v>
      </x:c>
      <x:c r="F144" s="23" t="n">
        <x:f>ROUND(D144-E144,1)</x:f>
        <x:v>593.2</x:v>
      </x:c>
      <x:c r="G144" s="22" t="n">
        <x:v>5</x:v>
      </x:c>
    </x:row>
    <x:row r="145">
      <x:c r="A145" s="22" t="n">
        <x:v>5</x:v>
      </x:c>
      <x:c r="B145" s="22" t="str">
        <x:v>2月2日-2月6日</x:v>
      </x:c>
      <x:c r="C145" s="22" t="str">
        <x:v>2026-02-02</x:v>
      </x:c>
      <x:c r="D145" s="23" t="n">
        <x:v>8334.4</x:v>
      </x:c>
      <x:c r="E145" s="23" t="n">
        <x:v>7832</x:v>
      </x:c>
      <x:c r="F145" s="23" t="n">
        <x:f>ROUND(D145-E145,1)</x:f>
        <x:v>502.4</x:v>
      </x:c>
      <x:c r="G145" s="22" t="n">
        <x:v>5</x:v>
      </x:c>
    </x:row>
    <x:row r="146">
      <x:c r="A146" s="22" t="n">
        <x:v>6</x:v>
      </x:c>
      <x:c r="B146" s="22" t="str">
        <x:v>2月9日-2月13日</x:v>
      </x:c>
      <x:c r="C146" s="22" t="str">
        <x:v>2026-02-09</x:v>
      </x:c>
      <x:c r="D146" s="23" t="n">
        <x:v>8458.8</x:v>
      </x:c>
      <x:c r="E146" s="23" t="n">
        <x:v>8220</x:v>
      </x:c>
      <x:c r="F146" s="23" t="n">
        <x:f>ROUND(D146-E146,1)</x:f>
        <x:v>238.8</x:v>
      </x:c>
      <x:c r="G146" s="22" t="n">
        <x:v>5</x:v>
      </x:c>
    </x:row>
    <x:row r="147">
      <x:c r="A147" s="22" t="n">
        <x:v>7</x:v>
      </x:c>
      <x:c r="B147" s="22" t="str">
        <x:v>2月24日-2月27日</x:v>
      </x:c>
      <x:c r="C147" s="22" t="str">
        <x:v>2026-02-23</x:v>
      </x:c>
      <x:c r="D147" s="23" t="n">
        <x:v>8650</x:v>
      </x:c>
      <x:c r="E147" s="23" t="n">
        <x:v>8314</x:v>
      </x:c>
      <x:c r="F147" s="23" t="n">
        <x:f>ROUND(D147-E147,1)</x:f>
        <x:v>336</x:v>
      </x:c>
      <x:c r="G147" s="22" t="n">
        <x:v>4</x:v>
      </x:c>
    </x:row>
    <x:row r="148">
      <x:c r="A148" s="22" t="n">
        <x:v>8</x:v>
      </x:c>
      <x:c r="B148" s="22" t="str">
        <x:v>3月2日-3月6日</x:v>
      </x:c>
      <x:c r="C148" s="22" t="str">
        <x:v>2026-03-02</x:v>
      </x:c>
      <x:c r="D148" s="23" t="n">
        <x:v>8686</x:v>
      </x:c>
      <x:c r="E148" s="23" t="n">
        <x:v>8180.6</x:v>
      </x:c>
      <x:c r="F148" s="23" t="n">
        <x:f>ROUND(D148-E148,1)</x:f>
        <x:v>505.4</x:v>
      </x:c>
      <x:c r="G148" s="22" t="n">
        <x:v>5</x:v>
      </x:c>
    </x:row>
    <x:row r="149">
      <x:c r="A149" s="22" t="n">
        <x:v>9</x:v>
      </x:c>
      <x:c r="B149" s="22" t="str">
        <x:v>3月9日-3月13日</x:v>
      </x:c>
      <x:c r="C149" s="22" t="str">
        <x:v>2026-03-09</x:v>
      </x:c>
      <x:c r="D149" s="23" t="n">
        <x:v>8434.4</x:v>
      </x:c>
      <x:c r="E149" s="23" t="n">
        <x:v>7710</x:v>
      </x:c>
      <x:c r="F149" s="23" t="n">
        <x:f>ROUND(D149-E149,1)</x:f>
        <x:v>724.4</x:v>
      </x:c>
      <x:c r="G149" s="22" t="n">
        <x:v>5</x:v>
      </x:c>
    </x:row>
    <x:row r="150">
      <x:c r="A150" s="22" t="n">
        <x:v>10</x:v>
      </x:c>
      <x:c r="B150" s="22" t="str">
        <x:v>3月16日-3月20日</x:v>
      </x:c>
      <x:c r="C150" s="22" t="str">
        <x:v>2026-03-16</x:v>
      </x:c>
      <x:c r="D150" s="23" t="n">
        <x:v>8229.6</x:v>
      </x:c>
      <x:c r="E150" s="23" t="n">
        <x:v>7827.8</x:v>
      </x:c>
      <x:c r="F150" s="23" t="n">
        <x:f>ROUND(D150-E150,1)</x:f>
        <x:v>401.8</x:v>
      </x:c>
      <x:c r="G150" s="22" t="n">
        <x:v>5</x:v>
      </x:c>
    </x:row>
    <x:row r="151">
      <x:c r="A151" s="22" t="n">
        <x:v>11</x:v>
      </x:c>
      <x:c r="B151" s="22" t="str">
        <x:v>3月23日-3月27日</x:v>
      </x:c>
      <x:c r="C151" s="22" t="str">
        <x:v>2026-03-23</x:v>
      </x:c>
      <x:c r="D151" s="23" t="n">
        <x:v>7652</x:v>
      </x:c>
      <x:c r="E151" s="23" t="n">
        <x:v>7171</x:v>
      </x:c>
      <x:c r="F151" s="23" t="n">
        <x:f>ROUND(D151-E151,1)</x:f>
        <x:v>481</x:v>
      </x:c>
      <x:c r="G151" s="22" t="n">
        <x:v>5</x:v>
      </x:c>
    </x:row>
    <x:row r="152">
      <x:c r="A152" s="22" t="n">
        <x:v>12</x:v>
      </x:c>
      <x:c r="B152" s="22" t="str">
        <x:v>3月30日-4月3日</x:v>
      </x:c>
      <x:c r="C152" s="22" t="str">
        <x:v>2026-03-30</x:v>
      </x:c>
      <x:c r="D152" s="23" t="n">
        <x:v>7619</x:v>
      </x:c>
      <x:c r="E152" s="23" t="n">
        <x:v>7325.2</x:v>
      </x:c>
      <x:c r="F152" s="23" t="n">
        <x:f>ROUND(D152-E152,1)</x:f>
        <x:v>293.8</x:v>
      </x:c>
      <x:c r="G152" s="22" t="n">
        <x:v>5</x:v>
      </x:c>
    </x:row>
    <x:row r="153">
      <x:c r="A153" s="22" t="n">
        <x:v>13</x:v>
      </x:c>
      <x:c r="B153" s="22" t="str">
        <x:v>4月7日-4月10日</x:v>
      </x:c>
      <x:c r="C153" s="22" t="str">
        <x:v>2026-04-06</x:v>
      </x:c>
      <x:c r="D153" s="23" t="n">
        <x:v>7945.4</x:v>
      </x:c>
      <x:c r="E153" s="23" t="n">
        <x:v>7355.6</x:v>
      </x:c>
      <x:c r="F153" s="23" t="n">
        <x:f>ROUND(D153-E153,1)</x:f>
        <x:v>589.8</x:v>
      </x:c>
      <x:c r="G153" s="22" t="n">
        <x:v>4</x:v>
      </x:c>
    </x:row>
    <x:row r="154">
      <x:c r="A154" s="22" t="n">
        <x:v>14</x:v>
      </x:c>
      <x:c r="B154" s="22" t="str">
        <x:v>4月13日-4月17日</x:v>
      </x:c>
      <x:c r="C154" s="22" t="str">
        <x:v>2026-04-13</x:v>
      </x:c>
      <x:c r="D154" s="23" t="n">
        <x:v>8119.6</x:v>
      </x:c>
      <x:c r="E154" s="23" t="n">
        <x:v>7792</x:v>
      </x:c>
      <x:c r="F154" s="23" t="n">
        <x:f>ROUND(D154-E154,1)</x:f>
        <x:v>327.6</x:v>
      </x:c>
      <x:c r="G154" s="22" t="n">
        <x:v>5</x:v>
      </x:c>
    </x:row>
    <x:row r="155">
      <x:c r="A155" s="22" t="n">
        <x:v>15</x:v>
      </x:c>
      <x:c r="B155" s="22" t="str">
        <x:v>4月20日-4月24日</x:v>
      </x:c>
      <x:c r="C155" s="22" t="str">
        <x:v>2026-04-20</x:v>
      </x:c>
      <x:c r="D155" s="23" t="n">
        <x:v>8288.2</x:v>
      </x:c>
      <x:c r="E155" s="23" t="n">
        <x:v>8042</x:v>
      </x:c>
      <x:c r="F155" s="23" t="n">
        <x:f>ROUND(D155-E155,1)</x:f>
        <x:v>246.2</x:v>
      </x:c>
      <x:c r="G155" s="22" t="n">
        <x:v>5</x:v>
      </x:c>
    </x:row>
    <x:row r="156">
      <x:c r="A156" s="22" t="n">
        <x:v>16</x:v>
      </x:c>
      <x:c r="B156" s="22" t="str">
        <x:v>4月27日-4月30日</x:v>
      </x:c>
      <x:c r="C156" s="22" t="str">
        <x:v>2026-04-27</x:v>
      </x:c>
      <x:c r="D156" s="23" t="n">
        <x:v>8287.8</x:v>
      </x:c>
      <x:c r="E156" s="23" t="n">
        <x:v>8056.2</x:v>
      </x:c>
      <x:c r="F156" s="23" t="n">
        <x:f>ROUND(D156-E156,1)</x:f>
        <x:v>231.6</x:v>
      </x:c>
      <x:c r="G156" s="22" t="n">
        <x:v>4</x:v>
      </x:c>
    </x:row>
    <x:row r="157">
      <x:c r="A157" s="22" t="n">
        <x:v>17</x:v>
      </x:c>
      <x:c r="B157" s="22" t="str">
        <x:v>5月6日-5月8日</x:v>
      </x:c>
      <x:c r="C157" s="22" t="str">
        <x:v>2026-05-04</x:v>
      </x:c>
      <x:c r="D157" s="23" t="n">
        <x:v>8648</x:v>
      </x:c>
      <x:c r="E157" s="23" t="n">
        <x:v>8375.4</x:v>
      </x:c>
      <x:c r="F157" s="23" t="n">
        <x:f>ROUND(D157-E157,1)</x:f>
        <x:v>272.6</x:v>
      </x:c>
      <x:c r="G157" s="22" t="n">
        <x:v>3</x:v>
      </x:c>
    </x:row>
    <x:row r="158">
      <x:c r="A158" s="22" t="n">
        <x:v>18</x:v>
      </x:c>
      <x:c r="B158" s="22" t="str">
        <x:v>5月11日-5月15日</x:v>
      </x:c>
      <x:c r="C158" s="22" t="str">
        <x:v>2026-05-11</x:v>
      </x:c>
      <x:c r="D158" s="23" t="n">
        <x:v>8886.8</x:v>
      </x:c>
      <x:c r="E158" s="23" t="n">
        <x:v>8378.2</x:v>
      </x:c>
      <x:c r="F158" s="23" t="n">
        <x:f>ROUND(D158-E158,1)</x:f>
        <x:v>508.6</x:v>
      </x:c>
      <x:c r="G158" s="22" t="n">
        <x:v>5</x:v>
      </x:c>
    </x:row>
    <x:row r="159">
      <x:c r="A159" s="22" t="n">
        <x:v>19</x:v>
      </x:c>
      <x:c r="B159" s="22" t="str">
        <x:v>5月18日-5月22日</x:v>
      </x:c>
      <x:c r="C159" s="22" t="str">
        <x:v>2026-05-18</x:v>
      </x:c>
      <x:c r="D159" s="23" t="n">
        <x:v>8728</x:v>
      </x:c>
      <x:c r="E159" s="23" t="n">
        <x:v>8310</x:v>
      </x:c>
      <x:c r="F159" s="23" t="n">
        <x:f>ROUND(D159-E159,1)</x:f>
        <x:v>418</x:v>
      </x:c>
      <x:c r="G159" s="22" t="n">
        <x:v>5</x:v>
      </x:c>
    </x:row>
    <x:row r="160">
      <x:c r="A160" s="22" t="n">
        <x:v>20</x:v>
      </x:c>
      <x:c r="B160" s="22" t="str">
        <x:v>5月25日-5月29日</x:v>
      </x:c>
      <x:c r="C160" s="22" t="str">
        <x:v>2026-05-25</x:v>
      </x:c>
      <x:c r="D160" s="23" t="n">
        <x:v>8658.2</x:v>
      </x:c>
      <x:c r="E160" s="23" t="n">
        <x:v>8218.2</x:v>
      </x:c>
      <x:c r="F160" s="23" t="n">
        <x:f>ROUND(D160-E160,1)</x:f>
        <x:v>440</x:v>
      </x:c>
      <x:c r="G160" s="22" t="n">
        <x:v>5</x:v>
      </x:c>
    </x:row>
    <x:row r="161">
      <x:c r="A161" s="22" t="n">
        <x:v>21</x:v>
      </x:c>
      <x:c r="B161" s="22" t="str">
        <x:v>6月1日-6月5日</x:v>
      </x:c>
      <x:c r="C161" s="22" t="str">
        <x:v>2026-06-01</x:v>
      </x:c>
      <x:c r="D161" s="23" t="n">
        <x:v>8425</x:v>
      </x:c>
      <x:c r="E161" s="23" t="n">
        <x:v>8101.6</x:v>
      </x:c>
      <x:c r="F161" s="23" t="n">
        <x:f>ROUND(D161-E161,1)</x:f>
        <x:v>323.4</x:v>
      </x:c>
      <x:c r="G161" s="22" t="n">
        <x:v>5</x:v>
      </x:c>
    </x:row>
    <x:row r="162">
      <x:c r="A162" s="22" t="n">
        <x:v>22</x:v>
      </x:c>
      <x:c r="B162" s="22" t="str">
        <x:v>6月8日-6月12日</x:v>
      </x:c>
      <x:c r="C162" s="22" t="str">
        <x:v>2026-06-08</x:v>
      </x:c>
      <x:c r="D162" s="23" t="n">
        <x:v>8237.6</x:v>
      </x:c>
      <x:c r="E162" s="23" t="n">
        <x:v>7838</x:v>
      </x:c>
      <x:c r="F162" s="23" t="n">
        <x:f>ROUND(D162-E162,1)</x:f>
        <x:v>399.6</x:v>
      </x:c>
      <x:c r="G162" s="22" t="n">
        <x:v>5</x:v>
      </x:c>
    </x:row>
    <x:row r="163">
      <x:c r="A163" s="22" t="n">
        <x:v>23</x:v>
      </x:c>
      <x:c r="B163" s="22" t="str">
        <x:v>6月15日-6月18日</x:v>
      </x:c>
      <x:c r="C163" s="22" t="str">
        <x:v>2026-06-15</x:v>
      </x:c>
      <x:c r="D163" s="23" t="n">
        <x:v>8718</x:v>
      </x:c>
      <x:c r="E163" s="23" t="n">
        <x:v>8181.2</x:v>
      </x:c>
      <x:c r="F163" s="23" t="n">
        <x:f>ROUND(D163-E163,1)</x:f>
        <x:v>536.8</x:v>
      </x:c>
      <x:c r="G163" s="22" t="n">
        <x:v>4</x:v>
      </x:c>
    </x:row>
    <x:row r="164">
      <x:c r="A164" s="22" t="n">
        <x:v>24</x:v>
      </x:c>
      <x:c r="B164" s="22" t="str">
        <x:v>6月22日-6月26日</x:v>
      </x:c>
      <x:c r="C164" s="22" t="str">
        <x:v>2026-06-22</x:v>
      </x:c>
      <x:c r="D164" s="23" t="n">
        <x:v>8778.8</x:v>
      </x:c>
      <x:c r="E164" s="23" t="n">
        <x:v>8377</x:v>
      </x:c>
      <x:c r="F164" s="23" t="n">
        <x:f>ROUND(D164-E164,1)</x:f>
        <x:v>401.8</x:v>
      </x:c>
      <x:c r="G164" s="22" t="n">
        <x:v>5</x:v>
      </x:c>
    </x:row>
    <x:row r="165">
      <x:c r="A165" s="22" t="n">
        <x:v>25</x:v>
      </x:c>
      <x:c r="B165" s="22" t="str">
        <x:v>6月29日-7月3日</x:v>
      </x:c>
      <x:c r="C165" s="22" t="str">
        <x:v>2026-06-29</x:v>
      </x:c>
      <x:c r="D165" s="23" t="n">
        <x:v>8873.8</x:v>
      </x:c>
      <x:c r="E165" s="23" t="n">
        <x:v>8350.4</x:v>
      </x:c>
      <x:c r="F165" s="23" t="n">
        <x:f>ROUND(D165-E165,1)</x:f>
        <x:v>523.4</x:v>
      </x:c>
      <x:c r="G165" s="22" t="n">
        <x:v>5</x:v>
      </x:c>
    </x:row>
    <x:row r="166">
      <x:c r="A166" s="22" t="n">
        <x:v>26</x:v>
      </x:c>
      <x:c r="B166" s="22" t="str">
        <x:v>7月6日-7月10日</x:v>
      </x:c>
      <x:c r="C166" s="22" t="str">
        <x:v>2026-07-06</x:v>
      </x:c>
      <x:c r="D166" s="23" t="n">
        <x:v>8618</x:v>
      </x:c>
      <x:c r="E166" s="23" t="n">
        <x:v>8173</x:v>
      </x:c>
      <x:c r="F166" s="23" t="n">
        <x:f>ROUND(D166-E166,1)</x:f>
        <x:v>445</x:v>
      </x:c>
      <x:c r="G166" s="22" t="n">
        <x:v>5</x:v>
      </x:c>
    </x:row>
    <x:row r="167">
      <x:c r="A167" s="22" t="n">
        <x:v>27</x:v>
      </x:c>
      <x:c r="B167" s="22" t="str">
        <x:v>7月13日-7月17日</x:v>
      </x:c>
      <x:c r="C167" s="22" t="str">
        <x:v>2026-07-13</x:v>
      </x:c>
      <x:c r="D167" s="23" t="n">
        <x:v>8328</x:v>
      </x:c>
      <x:c r="E167" s="23" t="n">
        <x:v>7362.8</x:v>
      </x:c>
      <x:c r="F167" s="23" t="n">
        <x:f>ROUND(D167-E167,1)</x:f>
        <x:v>965.2</x:v>
      </x:c>
      <x:c r="G167" s="22" t="n">
        <x:v>5</x:v>
      </x:c>
    </x:row>
    <x:row r="168">
      <x:c r="A168" s="22" t="n">
        <x:v>28</x:v>
      </x:c>
      <x:c r="B168" s="22" t="str">
        <x:v>7月20日-7月24日</x:v>
      </x:c>
      <x:c r="C168" s="22" t="str">
        <x:v>2026-07-20</x:v>
      </x:c>
      <x:c r="D168" s="23" t="n">
        <x:v>7765.6</x:v>
      </x:c>
      <x:c r="E168" s="23" t="n">
        <x:v>7092</x:v>
      </x:c>
      <x:c r="F168" s="23" t="n">
        <x:f>ROUND(D168-E168,1)</x:f>
        <x:v>673.6</x:v>
      </x:c>
      <x:c r="G168" s="22" t="n">
        <x:v>5</x:v>
      </x:c>
    </x:row>
    <x:row r="169">
      <x:c r="A169" s="22" t="n">
        <x:v>29</x:v>
      </x:c>
      <x:c r="B169" s="22" t="str">
        <x:v>7月27日-7月31日</x:v>
      </x:c>
      <x:c r="C169" s="22" t="str">
        <x:v>2026-07-27</x:v>
      </x:c>
      <x:c r="D169" s="23" t="n">
        <x:v>7666.6</x:v>
      </x:c>
      <x:c r="E169" s="23" t="n">
        <x:v>7106</x:v>
      </x:c>
      <x:c r="F169" s="23" t="n">
        <x:f>ROUND(D169-E169,1)</x:f>
        <x:v>560.6</x:v>
      </x:c>
      <x:c r="G169" s="22" t="n">
        <x:v>5</x:v>
      </x:c>
    </x:row>
    <x:row r="170">
      <x:c r="A170" s="26" t="str">
        <x:v>合计</x:v>
      </x:c>
      <x:c r="B170" s="25" t="n">
        <x:v>29</x:v>
      </x:c>
      <x:c r="C170" s="25"/>
      <x:c r="D170" s="25"/>
      <x:c r="E170" s="25"/>
      <x:c r="F170" s="27" t="n">
        <x:f>ROUND(SUM(F141:F169),1)</x:f>
        <x:v>13449</x:v>
      </x:c>
      <x:c r="G170" s="25"/>
    </x:row>
    <x:row r="171">
      <x:c r="A171" s="26" t="str">
        <x:v>均值</x:v>
      </x:c>
      <x:c r="B171" s="25"/>
      <x:c r="C171" s="25"/>
      <x:c r="D171" s="25"/>
      <x:c r="E171" s="25"/>
      <x:c r="F171" s="29" t="n">
        <x:f>ROUND(IFERROR(AVERAGE(F141:F169),0),1)</x:f>
        <x:v>463.8</x:v>
      </x:c>
      <x:c r="G171" s="25"/>
    </x:row>
    <x:row r="173">
      <x:c r="A173" s="17" t="str">
        <x:v>IF主力</x:v>
      </x:c>
      <x:c r="B173" s="17"/>
      <x:c r="C173" s="17"/>
      <x:c r="D173" s="17"/>
      <x:c r="E173" s="17"/>
      <x:c r="F173" s="17"/>
      <x:c r="G173" s="17"/>
    </x:row>
    <x:row r="174">
      <x:c r="A174" s="20" t="str">
        <x:v>序号</x:v>
      </x:c>
      <x:c r="B174" s="20" t="str">
        <x:v>周期</x:v>
      </x:c>
      <x:c r="C174" s="20" t="str">
        <x:v>周起始日</x:v>
      </x:c>
      <x:c r="D174" s="20" t="str">
        <x:v>周最高</x:v>
      </x:c>
      <x:c r="E174" s="20" t="str">
        <x:v>周最低</x:v>
      </x:c>
      <x:c r="F174" s="20" t="str">
        <x:v>周振幅</x:v>
      </x:c>
      <x:c r="G174" s="20" t="str">
        <x:v>交易日</x:v>
      </x:c>
    </x:row>
    <x:row r="175">
      <x:c r="A175" s="22" t="n">
        <x:v>1</x:v>
      </x:c>
      <x:c r="B175" s="22" t="str">
        <x:v>1月5日-1月9日</x:v>
      </x:c>
      <x:c r="C175" s="22" t="str">
        <x:v>2026-01-05</x:v>
      </x:c>
      <x:c r="D175" s="23" t="n">
        <x:v>4785.8</x:v>
      </x:c>
      <x:c r="E175" s="23" t="n">
        <x:v>4627</x:v>
      </x:c>
      <x:c r="F175" s="23" t="n">
        <x:f>ROUND(D175-E175,1)</x:f>
        <x:v>158.8</x:v>
      </x:c>
      <x:c r="G175" s="22" t="n">
        <x:v>5</x:v>
      </x:c>
    </x:row>
    <x:row r="176">
      <x:c r="A176" s="22" t="n">
        <x:v>2</x:v>
      </x:c>
      <x:c r="B176" s="22" t="str">
        <x:v>1月12日-1月16日</x:v>
      </x:c>
      <x:c r="C176" s="22" t="str">
        <x:v>2026-01-12</x:v>
      </x:c>
      <x:c r="D176" s="23" t="n">
        <x:v>4833.2</x:v>
      </x:c>
      <x:c r="E176" s="23" t="n">
        <x:v>4707</x:v>
      </x:c>
      <x:c r="F176" s="23" t="n">
        <x:f>ROUND(D176-E176,1)</x:f>
        <x:v>126.2</x:v>
      </x:c>
      <x:c r="G176" s="22" t="n">
        <x:v>5</x:v>
      </x:c>
    </x:row>
    <x:row r="177">
      <x:c r="A177" s="22" t="n">
        <x:v>3</x:v>
      </x:c>
      <x:c r="B177" s="22" t="str">
        <x:v>1月19日-1月23日</x:v>
      </x:c>
      <x:c r="C177" s="22" t="str">
        <x:v>2026-01-19</x:v>
      </x:c>
      <x:c r="D177" s="23" t="n">
        <x:v>4763</x:v>
      </x:c>
      <x:c r="E177" s="23" t="n">
        <x:v>4672.8</x:v>
      </x:c>
      <x:c r="F177" s="23" t="n">
        <x:f>ROUND(D177-E177,1)</x:f>
        <x:v>90.2</x:v>
      </x:c>
      <x:c r="G177" s="22" t="n">
        <x:v>5</x:v>
      </x:c>
    </x:row>
    <x:row r="178">
      <x:c r="A178" s="22" t="n">
        <x:v>4</x:v>
      </x:c>
      <x:c r="B178" s="22" t="str">
        <x:v>1月26日-1月30日</x:v>
      </x:c>
      <x:c r="C178" s="22" t="str">
        <x:v>2026-01-26</x:v>
      </x:c>
      <x:c r="D178" s="23" t="n">
        <x:v>4793</x:v>
      </x:c>
      <x:c r="E178" s="23" t="n">
        <x:v>4640</x:v>
      </x:c>
      <x:c r="F178" s="23" t="n">
        <x:f>ROUND(D178-E178,1)</x:f>
        <x:v>153</x:v>
      </x:c>
      <x:c r="G178" s="22" t="n">
        <x:v>5</x:v>
      </x:c>
    </x:row>
    <x:row r="179">
      <x:c r="A179" s="22" t="n">
        <x:v>5</x:v>
      </x:c>
      <x:c r="B179" s="22" t="str">
        <x:v>2月2日-2月6日</x:v>
      </x:c>
      <x:c r="C179" s="22" t="str">
        <x:v>2026-02-02</x:v>
      </x:c>
      <x:c r="D179" s="23" t="n">
        <x:v>4724</x:v>
      </x:c>
      <x:c r="E179" s="23" t="n">
        <x:v>4555.6</x:v>
      </x:c>
      <x:c r="F179" s="23" t="n">
        <x:f>ROUND(D179-E179,1)</x:f>
        <x:v>168.4</x:v>
      </x:c>
      <x:c r="G179" s="22" t="n">
        <x:v>5</x:v>
      </x:c>
    </x:row>
    <x:row r="180">
      <x:c r="A180" s="22" t="n">
        <x:v>6</x:v>
      </x:c>
      <x:c r="B180" s="22" t="str">
        <x:v>2月9日-2月13日</x:v>
      </x:c>
      <x:c r="C180" s="22" t="str">
        <x:v>2026-02-09</x:v>
      </x:c>
      <x:c r="D180" s="23" t="n">
        <x:v>4733.8</x:v>
      </x:c>
      <x:c r="E180" s="23" t="n">
        <x:v>4624</x:v>
      </x:c>
      <x:c r="F180" s="23" t="n">
        <x:f>ROUND(D180-E180,1)</x:f>
        <x:v>109.8</x:v>
      </x:c>
      <x:c r="G180" s="22" t="n">
        <x:v>5</x:v>
      </x:c>
    </x:row>
    <x:row r="181">
      <x:c r="A181" s="22" t="n">
        <x:v>7</x:v>
      </x:c>
      <x:c r="B181" s="22" t="str">
        <x:v>2月24日-2月27日</x:v>
      </x:c>
      <x:c r="C181" s="22" t="str">
        <x:v>2026-02-23</x:v>
      </x:c>
      <x:c r="D181" s="23" t="n">
        <x:v>4768</x:v>
      </x:c>
      <x:c r="E181" s="23" t="n">
        <x:v>4671.2</x:v>
      </x:c>
      <x:c r="F181" s="23" t="n">
        <x:f>ROUND(D181-E181,1)</x:f>
        <x:v>96.8</x:v>
      </x:c>
      <x:c r="G181" s="22" t="n">
        <x:v>4</x:v>
      </x:c>
    </x:row>
    <x:row r="182">
      <x:c r="A182" s="22" t="n">
        <x:v>8</x:v>
      </x:c>
      <x:c r="B182" s="22" t="str">
        <x:v>3月2日-3月6日</x:v>
      </x:c>
      <x:c r="C182" s="22" t="str">
        <x:v>2026-03-02</x:v>
      </x:c>
      <x:c r="D182" s="23" t="n">
        <x:v>4725</x:v>
      </x:c>
      <x:c r="E182" s="23" t="n">
        <x:v>4560.2</x:v>
      </x:c>
      <x:c r="F182" s="23" t="n">
        <x:f>ROUND(D182-E182,1)</x:f>
        <x:v>164.8</x:v>
      </x:c>
      <x:c r="G182" s="22" t="n">
        <x:v>5</x:v>
      </x:c>
    </x:row>
    <x:row r="183">
      <x:c r="A183" s="22" t="n">
        <x:v>9</x:v>
      </x:c>
      <x:c r="B183" s="22" t="str">
        <x:v>3月9日-3月13日</x:v>
      </x:c>
      <x:c r="C183" s="22" t="str">
        <x:v>2026-03-09</x:v>
      </x:c>
      <x:c r="D183" s="23" t="n">
        <x:v>4699</x:v>
      </x:c>
      <x:c r="E183" s="23" t="n">
        <x:v>4500</x:v>
      </x:c>
      <x:c r="F183" s="23" t="n">
        <x:f>ROUND(D183-E183,1)</x:f>
        <x:v>199</x:v>
      </x:c>
      <x:c r="G183" s="22" t="n">
        <x:v>5</x:v>
      </x:c>
    </x:row>
    <x:row r="184">
      <x:c r="A184" s="22" t="n">
        <x:v>10</x:v>
      </x:c>
      <x:c r="B184" s="22" t="str">
        <x:v>3月16日-3月20日</x:v>
      </x:c>
      <x:c r="C184" s="22" t="str">
        <x:v>2026-03-16</x:v>
      </x:c>
      <x:c r="D184" s="23" t="n">
        <x:v>4718.4</x:v>
      </x:c>
      <x:c r="E184" s="23" t="n">
        <x:v>4570</x:v>
      </x:c>
      <x:c r="F184" s="23" t="n">
        <x:f>ROUND(D184-E184,1)</x:f>
        <x:v>148.4</x:v>
      </x:c>
      <x:c r="G184" s="22" t="n">
        <x:v>5</x:v>
      </x:c>
    </x:row>
    <x:row r="185">
      <x:c r="A185" s="22" t="n">
        <x:v>11</x:v>
      </x:c>
      <x:c r="B185" s="22" t="str">
        <x:v>3月23日-3月27日</x:v>
      </x:c>
      <x:c r="C185" s="22" t="str">
        <x:v>2026-03-23</x:v>
      </x:c>
      <x:c r="D185" s="23" t="n">
        <x:v>4466.2</x:v>
      </x:c>
      <x:c r="E185" s="23" t="n">
        <x:v>4307.2</x:v>
      </x:c>
      <x:c r="F185" s="23" t="n">
        <x:f>ROUND(D185-E185,1)</x:f>
        <x:v>159</x:v>
      </x:c>
      <x:c r="G185" s="22" t="n">
        <x:v>5</x:v>
      </x:c>
    </x:row>
    <x:row r="186">
      <x:c r="A186" s="22" t="n">
        <x:v>12</x:v>
      </x:c>
      <x:c r="B186" s="22" t="str">
        <x:v>3月30日-4月3日</x:v>
      </x:c>
      <x:c r="C186" s="22" t="str">
        <x:v>2026-03-30</x:v>
      </x:c>
      <x:c r="D186" s="23" t="n">
        <x:v>4459.8</x:v>
      </x:c>
      <x:c r="E186" s="23" t="n">
        <x:v>4346</x:v>
      </x:c>
      <x:c r="F186" s="23" t="n">
        <x:f>ROUND(D186-E186,1)</x:f>
        <x:v>113.8</x:v>
      </x:c>
      <x:c r="G186" s="22" t="n">
        <x:v>5</x:v>
      </x:c>
    </x:row>
    <x:row r="187">
      <x:c r="A187" s="22" t="n">
        <x:v>13</x:v>
      </x:c>
      <x:c r="B187" s="22" t="str">
        <x:v>4月7日-4月10日</x:v>
      </x:c>
      <x:c r="C187" s="22" t="str">
        <x:v>2026-04-06</x:v>
      </x:c>
      <x:c r="D187" s="23" t="n">
        <x:v>4591.8</x:v>
      </x:c>
      <x:c r="E187" s="23" t="n">
        <x:v>4347</x:v>
      </x:c>
      <x:c r="F187" s="23" t="n">
        <x:f>ROUND(D187-E187,1)</x:f>
        <x:v>244.8</x:v>
      </x:c>
      <x:c r="G187" s="22" t="n">
        <x:v>4</x:v>
      </x:c>
    </x:row>
    <x:row r="188">
      <x:c r="A188" s="22" t="n">
        <x:v>14</x:v>
      </x:c>
      <x:c r="B188" s="22" t="str">
        <x:v>4月13日-4月17日</x:v>
      </x:c>
      <x:c r="C188" s="22" t="str">
        <x:v>2026-04-13</x:v>
      </x:c>
      <x:c r="D188" s="23" t="n">
        <x:v>4685</x:v>
      </x:c>
      <x:c r="E188" s="23" t="n">
        <x:v>4541.6</x:v>
      </x:c>
      <x:c r="F188" s="23" t="n">
        <x:f>ROUND(D188-E188,1)</x:f>
        <x:v>143.4</x:v>
      </x:c>
      <x:c r="G188" s="22" t="n">
        <x:v>5</x:v>
      </x:c>
    </x:row>
    <x:row r="189">
      <x:c r="A189" s="22" t="n">
        <x:v>15</x:v>
      </x:c>
      <x:c r="B189" s="22" t="str">
        <x:v>4月20日-4月24日</x:v>
      </x:c>
      <x:c r="C189" s="22" t="str">
        <x:v>2026-04-20</x:v>
      </x:c>
      <x:c r="D189" s="23" t="n">
        <x:v>4763</x:v>
      </x:c>
      <x:c r="E189" s="23" t="n">
        <x:v>4656.8</x:v>
      </x:c>
      <x:c r="F189" s="23" t="n">
        <x:f>ROUND(D189-E189,1)</x:f>
        <x:v>106.2</x:v>
      </x:c>
      <x:c r="G189" s="22" t="n">
        <x:v>5</x:v>
      </x:c>
    </x:row>
    <x:row r="190">
      <x:c r="A190" s="22" t="n">
        <x:v>16</x:v>
      </x:c>
      <x:c r="B190" s="22" t="str">
        <x:v>4月27日-4月30日</x:v>
      </x:c>
      <x:c r="C190" s="22" t="str">
        <x:v>2026-04-27</x:v>
      </x:c>
      <x:c r="D190" s="23" t="n">
        <x:v>4776.6</x:v>
      </x:c>
      <x:c r="E190" s="23" t="n">
        <x:v>4687.2</x:v>
      </x:c>
      <x:c r="F190" s="23" t="n">
        <x:f>ROUND(D190-E190,1)</x:f>
        <x:v>89.4</x:v>
      </x:c>
      <x:c r="G190" s="22" t="n">
        <x:v>4</x:v>
      </x:c>
    </x:row>
    <x:row r="191">
      <x:c r="A191" s="22" t="n">
        <x:v>17</x:v>
      </x:c>
      <x:c r="B191" s="22" t="str">
        <x:v>5月6日-5月8日</x:v>
      </x:c>
      <x:c r="C191" s="22" t="str">
        <x:v>2026-05-04</x:v>
      </x:c>
      <x:c r="D191" s="23" t="n">
        <x:v>4869</x:v>
      </x:c>
      <x:c r="E191" s="23" t="n">
        <x:v>4797</x:v>
      </x:c>
      <x:c r="F191" s="23" t="n">
        <x:f>ROUND(D191-E191,1)</x:f>
        <x:v>72</x:v>
      </x:c>
      <x:c r="G191" s="22" t="n">
        <x:v>3</x:v>
      </x:c>
    </x:row>
    <x:row r="192">
      <x:c r="A192" s="22" t="n">
        <x:v>18</x:v>
      </x:c>
      <x:c r="B192" s="22" t="str">
        <x:v>5月11日-5月15日</x:v>
      </x:c>
      <x:c r="C192" s="22" t="str">
        <x:v>2026-05-11</x:v>
      </x:c>
      <x:c r="D192" s="23" t="n">
        <x:v>4995</x:v>
      </x:c>
      <x:c r="E192" s="23" t="n">
        <x:v>4794</x:v>
      </x:c>
      <x:c r="F192" s="23" t="n">
        <x:f>ROUND(D192-E192,1)</x:f>
        <x:v>201</x:v>
      </x:c>
      <x:c r="G192" s="22" t="n">
        <x:v>5</x:v>
      </x:c>
    </x:row>
    <x:row r="193">
      <x:c r="A193" s="22" t="n">
        <x:v>19</x:v>
      </x:c>
      <x:c r="B193" s="22" t="str">
        <x:v>5月18日-5月22日</x:v>
      </x:c>
      <x:c r="C193" s="22" t="str">
        <x:v>2026-05-18</x:v>
      </x:c>
      <x:c r="D193" s="23" t="n">
        <x:v>4900.8</x:v>
      </x:c>
      <x:c r="E193" s="23" t="n">
        <x:v>4735</x:v>
      </x:c>
      <x:c r="F193" s="23" t="n">
        <x:f>ROUND(D193-E193,1)</x:f>
        <x:v>165.8</x:v>
      </x:c>
      <x:c r="G193" s="22" t="n">
        <x:v>5</x:v>
      </x:c>
    </x:row>
    <x:row r="194">
      <x:c r="A194" s="22" t="n">
        <x:v>20</x:v>
      </x:c>
      <x:c r="B194" s="22" t="str">
        <x:v>5月25日-5月29日</x:v>
      </x:c>
      <x:c r="C194" s="22" t="str">
        <x:v>2026-05-25</x:v>
      </x:c>
      <x:c r="D194" s="23" t="n">
        <x:v>4928.4</x:v>
      </x:c>
      <x:c r="E194" s="23" t="n">
        <x:v>4793.2</x:v>
      </x:c>
      <x:c r="F194" s="23" t="n">
        <x:f>ROUND(D194-E194,1)</x:f>
        <x:v>135.2</x:v>
      </x:c>
      <x:c r="G194" s="22" t="n">
        <x:v>5</x:v>
      </x:c>
    </x:row>
    <x:row r="195">
      <x:c r="A195" s="22" t="n">
        <x:v>21</x:v>
      </x:c>
      <x:c r="B195" s="22" t="str">
        <x:v>6月1日-6月5日</x:v>
      </x:c>
      <x:c r="C195" s="22" t="str">
        <x:v>2026-06-01</x:v>
      </x:c>
      <x:c r="D195" s="23" t="n">
        <x:v>4964.6</x:v>
      </x:c>
      <x:c r="E195" s="23" t="n">
        <x:v>4762.2</x:v>
      </x:c>
      <x:c r="F195" s="23" t="n">
        <x:f>ROUND(D195-E195,1)</x:f>
        <x:v>202.4</x:v>
      </x:c>
      <x:c r="G195" s="22" t="n">
        <x:v>5</x:v>
      </x:c>
    </x:row>
    <x:row r="196">
      <x:c r="A196" s="22" t="n">
        <x:v>22</x:v>
      </x:c>
      <x:c r="B196" s="22" t="str">
        <x:v>6月8日-6月12日</x:v>
      </x:c>
      <x:c r="C196" s="22" t="str">
        <x:v>2026-06-08</x:v>
      </x:c>
      <x:c r="D196" s="23" t="n">
        <x:v>4793</x:v>
      </x:c>
      <x:c r="E196" s="23" t="n">
        <x:v>4640.2</x:v>
      </x:c>
      <x:c r="F196" s="23" t="n">
        <x:f>ROUND(D196-E196,1)</x:f>
        <x:v>152.8</x:v>
      </x:c>
      <x:c r="G196" s="22" t="n">
        <x:v>5</x:v>
      </x:c>
    </x:row>
    <x:row r="197">
      <x:c r="A197" s="22" t="n">
        <x:v>23</x:v>
      </x:c>
      <x:c r="B197" s="22" t="str">
        <x:v>6月15日-6月18日</x:v>
      </x:c>
      <x:c r="C197" s="22" t="str">
        <x:v>2026-06-15</x:v>
      </x:c>
      <x:c r="D197" s="23" t="n">
        <x:v>4971</x:v>
      </x:c>
      <x:c r="E197" s="23" t="n">
        <x:v>4804.8</x:v>
      </x:c>
      <x:c r="F197" s="23" t="n">
        <x:f>ROUND(D197-E197,1)</x:f>
        <x:v>166.2</x:v>
      </x:c>
      <x:c r="G197" s="22" t="n">
        <x:v>4</x:v>
      </x:c>
    </x:row>
    <x:row r="198">
      <x:c r="A198" s="22" t="n">
        <x:v>24</x:v>
      </x:c>
      <x:c r="B198" s="22" t="str">
        <x:v>6月22日-6月26日</x:v>
      </x:c>
      <x:c r="C198" s="22" t="str">
        <x:v>2026-06-22</x:v>
      </x:c>
      <x:c r="D198" s="23" t="n">
        <x:v>5030.2</x:v>
      </x:c>
      <x:c r="E198" s="23" t="n">
        <x:v>4717</x:v>
      </x:c>
      <x:c r="F198" s="23" t="n">
        <x:f>ROUND(D198-E198,1)</x:f>
        <x:v>313.2</x:v>
      </x:c>
      <x:c r="G198" s="22" t="n">
        <x:v>5</x:v>
      </x:c>
    </x:row>
    <x:row r="199">
      <x:c r="A199" s="22" t="n">
        <x:v>25</x:v>
      </x:c>
      <x:c r="B199" s="22" t="str">
        <x:v>6月29日-7月3日</x:v>
      </x:c>
      <x:c r="C199" s="22" t="str">
        <x:v>2026-06-29</x:v>
      </x:c>
      <x:c r="D199" s="23" t="n">
        <x:v>4899.6</x:v>
      </x:c>
      <x:c r="E199" s="23" t="n">
        <x:v>4705</x:v>
      </x:c>
      <x:c r="F199" s="23" t="n">
        <x:f>ROUND(D199-E199,1)</x:f>
        <x:v>194.6</x:v>
      </x:c>
      <x:c r="G199" s="22" t="n">
        <x:v>5</x:v>
      </x:c>
    </x:row>
    <x:row r="200">
      <x:c r="A200" s="22" t="n">
        <x:v>26</x:v>
      </x:c>
      <x:c r="B200" s="22" t="str">
        <x:v>7月6日-7月10日</x:v>
      </x:c>
      <x:c r="C200" s="22" t="str">
        <x:v>2026-07-06</x:v>
      </x:c>
      <x:c r="D200" s="23" t="n">
        <x:v>4822.2</x:v>
      </x:c>
      <x:c r="E200" s="23" t="n">
        <x:v>4665.2</x:v>
      </x:c>
      <x:c r="F200" s="23" t="n">
        <x:f>ROUND(D200-E200,1)</x:f>
        <x:v>157</x:v>
      </x:c>
      <x:c r="G200" s="22" t="n">
        <x:v>5</x:v>
      </x:c>
    </x:row>
    <x:row r="201">
      <x:c r="A201" s="22" t="n">
        <x:v>27</x:v>
      </x:c>
      <x:c r="B201" s="22" t="str">
        <x:v>7月13日-7月17日</x:v>
      </x:c>
      <x:c r="C201" s="22" t="str">
        <x:v>2026-07-13</x:v>
      </x:c>
      <x:c r="D201" s="23" t="n">
        <x:v>4739.4</x:v>
      </x:c>
      <x:c r="E201" s="23" t="n">
        <x:v>4441.4</x:v>
      </x:c>
      <x:c r="F201" s="23" t="n">
        <x:f>ROUND(D201-E201,1)</x:f>
        <x:v>298</x:v>
      </x:c>
      <x:c r="G201" s="22" t="n">
        <x:v>5</x:v>
      </x:c>
    </x:row>
    <x:row r="202">
      <x:c r="A202" s="22" t="n">
        <x:v>28</x:v>
      </x:c>
      <x:c r="B202" s="22" t="str">
        <x:v>7月20日-7月24日</x:v>
      </x:c>
      <x:c r="C202" s="22" t="str">
        <x:v>2026-07-20</x:v>
      </x:c>
      <x:c r="D202" s="23" t="n">
        <x:v>4707.8</x:v>
      </x:c>
      <x:c r="E202" s="23" t="n">
        <x:v>4465</x:v>
      </x:c>
      <x:c r="F202" s="23" t="n">
        <x:f>ROUND(D202-E202,1)</x:f>
        <x:v>242.8</x:v>
      </x:c>
      <x:c r="G202" s="22" t="n">
        <x:v>5</x:v>
      </x:c>
    </x:row>
    <x:row r="203">
      <x:c r="A203" s="22" t="n">
        <x:v>29</x:v>
      </x:c>
      <x:c r="B203" s="22" t="str">
        <x:v>7月27日-7月31日</x:v>
      </x:c>
      <x:c r="C203" s="22" t="str">
        <x:v>2026-07-27</x:v>
      </x:c>
      <x:c r="D203" s="23" t="n">
        <x:v>4652.2</x:v>
      </x:c>
      <x:c r="E203" s="23" t="n">
        <x:v>4420</x:v>
      </x:c>
      <x:c r="F203" s="23" t="n">
        <x:f>ROUND(D203-E203,1)</x:f>
        <x:v>232.2</x:v>
      </x:c>
      <x:c r="G203" s="22" t="n">
        <x:v>5</x:v>
      </x:c>
    </x:row>
    <x:row r="204">
      <x:c r="A204" s="26" t="str">
        <x:v>合计</x:v>
      </x:c>
      <x:c r="B204" s="25" t="n">
        <x:v>29</x:v>
      </x:c>
      <x:c r="C204" s="25"/>
      <x:c r="D204" s="25"/>
      <x:c r="E204" s="25"/>
      <x:c r="F204" s="27" t="n">
        <x:f>ROUND(SUM(F175:F203),1)</x:f>
        <x:v>4805.2</x:v>
      </x:c>
      <x:c r="G204" s="25"/>
    </x:row>
    <x:row r="205">
      <x:c r="A205" s="26" t="str">
        <x:v>均值</x:v>
      </x:c>
      <x:c r="B205" s="25"/>
      <x:c r="C205" s="25"/>
      <x:c r="D205" s="25"/>
      <x:c r="E205" s="25"/>
      <x:c r="F205" s="29" t="n">
        <x:f>ROUND(IFERROR(AVERAGE(F175:F203),0),1)</x:f>
        <x:v>165.7</x:v>
      </x:c>
      <x:c r="G205" s="25"/>
    </x:row>
    <x:row r="207">
      <x:c r="A207" s="17" t="str">
        <x:v>IH主力</x:v>
      </x:c>
      <x:c r="B207" s="17"/>
      <x:c r="C207" s="17"/>
      <x:c r="D207" s="17"/>
      <x:c r="E207" s="17"/>
      <x:c r="F207" s="17"/>
      <x:c r="G207" s="17"/>
    </x:row>
    <x:row r="208">
      <x:c r="A208" s="20" t="str">
        <x:v>序号</x:v>
      </x:c>
      <x:c r="B208" s="20" t="str">
        <x:v>周期</x:v>
      </x:c>
      <x:c r="C208" s="20" t="str">
        <x:v>周起始日</x:v>
      </x:c>
      <x:c r="D208" s="20" t="str">
        <x:v>周最高</x:v>
      </x:c>
      <x:c r="E208" s="20" t="str">
        <x:v>周最低</x:v>
      </x:c>
      <x:c r="F208" s="20" t="str">
        <x:v>周振幅</x:v>
      </x:c>
      <x:c r="G208" s="20" t="str">
        <x:v>交易日</x:v>
      </x:c>
    </x:row>
    <x:row r="209">
      <x:c r="A209" s="22" t="n">
        <x:v>1</x:v>
      </x:c>
      <x:c r="B209" s="22" t="str">
        <x:v>1月5日-1月9日</x:v>
      </x:c>
      <x:c r="C209" s="22" t="str">
        <x:v>2026-01-05</x:v>
      </x:c>
      <x:c r="D209" s="23" t="n">
        <x:v>3165.6</x:v>
      </x:c>
      <x:c r="E209" s="23" t="n">
        <x:v>3040.8</x:v>
      </x:c>
      <x:c r="F209" s="23" t="n">
        <x:f>ROUND(D209-E209,1)</x:f>
        <x:v>124.8</x:v>
      </x:c>
      <x:c r="G209" s="22" t="n">
        <x:v>5</x:v>
      </x:c>
    </x:row>
    <x:row r="210">
      <x:c r="A210" s="22" t="n">
        <x:v>2</x:v>
      </x:c>
      <x:c r="B210" s="22" t="str">
        <x:v>1月12日-1月16日</x:v>
      </x:c>
      <x:c r="C210" s="22" t="str">
        <x:v>2026-01-12</x:v>
      </x:c>
      <x:c r="D210" s="23" t="n">
        <x:v>3181.2</x:v>
      </x:c>
      <x:c r="E210" s="23" t="n">
        <x:v>3074.4</x:v>
      </x:c>
      <x:c r="F210" s="23" t="n">
        <x:f>ROUND(D210-E210,1)</x:f>
        <x:v>106.8</x:v>
      </x:c>
      <x:c r="G210" s="22" t="n">
        <x:v>5</x:v>
      </x:c>
    </x:row>
    <x:row r="211">
      <x:c r="A211" s="22" t="n">
        <x:v>3</x:v>
      </x:c>
      <x:c r="B211" s="22" t="str">
        <x:v>1月19日-1月23日</x:v>
      </x:c>
      <x:c r="C211" s="22" t="str">
        <x:v>2026-01-19</x:v>
      </x:c>
      <x:c r="D211" s="23" t="n">
        <x:v>3102.6</x:v>
      </x:c>
      <x:c r="E211" s="23" t="n">
        <x:v>3036.2</x:v>
      </x:c>
      <x:c r="F211" s="23" t="n">
        <x:f>ROUND(D211-E211,1)</x:f>
        <x:v>66.4</x:v>
      </x:c>
      <x:c r="G211" s="22" t="n">
        <x:v>5</x:v>
      </x:c>
    </x:row>
    <x:row r="212">
      <x:c r="A212" s="22" t="n">
        <x:v>4</x:v>
      </x:c>
      <x:c r="B212" s="22" t="str">
        <x:v>1月26日-1月30日</x:v>
      </x:c>
      <x:c r="C212" s="22" t="str">
        <x:v>2026-01-26</x:v>
      </x:c>
      <x:c r="D212" s="23" t="n">
        <x:v>3136.6</x:v>
      </x:c>
      <x:c r="E212" s="23" t="n">
        <x:v>3044</x:v>
      </x:c>
      <x:c r="F212" s="23" t="n">
        <x:f>ROUND(D212-E212,1)</x:f>
        <x:v>92.6</x:v>
      </x:c>
      <x:c r="G212" s="22" t="n">
        <x:v>5</x:v>
      </x:c>
    </x:row>
    <x:row r="213">
      <x:c r="A213" s="22" t="n">
        <x:v>5</x:v>
      </x:c>
      <x:c r="B213" s="22" t="str">
        <x:v>2月2日-2月6日</x:v>
      </x:c>
      <x:c r="C213" s="22" t="str">
        <x:v>2026-02-02</x:v>
      </x:c>
      <x:c r="D213" s="23" t="n">
        <x:v>3081</x:v>
      </x:c>
      <x:c r="E213" s="23" t="n">
        <x:v>2984</x:v>
      </x:c>
      <x:c r="F213" s="23" t="n">
        <x:f>ROUND(D213-E213,1)</x:f>
        <x:v>97</x:v>
      </x:c>
      <x:c r="G213" s="22" t="n">
        <x:v>5</x:v>
      </x:c>
    </x:row>
    <x:row r="214">
      <x:c r="A214" s="22" t="n">
        <x:v>6</x:v>
      </x:c>
      <x:c r="B214" s="22" t="str">
        <x:v>2月9日-2月13日</x:v>
      </x:c>
      <x:c r="C214" s="22" t="str">
        <x:v>2026-02-09</x:v>
      </x:c>
      <x:c r="D214" s="23" t="n">
        <x:v>3098</x:v>
      </x:c>
      <x:c r="E214" s="23" t="n">
        <x:v>3020</x:v>
      </x:c>
      <x:c r="F214" s="23" t="n">
        <x:f>ROUND(D214-E214,1)</x:f>
        <x:v>78</x:v>
      </x:c>
      <x:c r="G214" s="22" t="n">
        <x:v>5</x:v>
      </x:c>
    </x:row>
    <x:row r="215">
      <x:c r="A215" s="22" t="n">
        <x:v>7</x:v>
      </x:c>
      <x:c r="B215" s="22" t="str">
        <x:v>2月24日-2月27日</x:v>
      </x:c>
      <x:c r="C215" s="22" t="str">
        <x:v>2026-02-23</x:v>
      </x:c>
      <x:c r="D215" s="23" t="n">
        <x:v>3086.4</x:v>
      </x:c>
      <x:c r="E215" s="23" t="n">
        <x:v>3022</x:v>
      </x:c>
      <x:c r="F215" s="23" t="n">
        <x:f>ROUND(D215-E215,1)</x:f>
        <x:v>64.4</x:v>
      </x:c>
      <x:c r="G215" s="22" t="n">
        <x:v>4</x:v>
      </x:c>
    </x:row>
    <x:row r="216">
      <x:c r="A216" s="22" t="n">
        <x:v>8</x:v>
      </x:c>
      <x:c r="B216" s="22" t="str">
        <x:v>3月2日-3月6日</x:v>
      </x:c>
      <x:c r="C216" s="22" t="str">
        <x:v>2026-03-02</x:v>
      </x:c>
      <x:c r="D216" s="23" t="n">
        <x:v>3056</x:v>
      </x:c>
      <x:c r="E216" s="23" t="n">
        <x:v>2950</x:v>
      </x:c>
      <x:c r="F216" s="23" t="n">
        <x:f>ROUND(D216-E216,1)</x:f>
        <x:v>106</x:v>
      </x:c>
      <x:c r="G216" s="22" t="n">
        <x:v>5</x:v>
      </x:c>
    </x:row>
    <x:row r="217">
      <x:c r="A217" s="22" t="n">
        <x:v>9</x:v>
      </x:c>
      <x:c r="B217" s="22" t="str">
        <x:v>3月9日-3月13日</x:v>
      </x:c>
      <x:c r="C217" s="22" t="str">
        <x:v>2026-03-09</x:v>
      </x:c>
      <x:c r="D217" s="23" t="n">
        <x:v>2989</x:v>
      </x:c>
      <x:c r="E217" s="23" t="n">
        <x:v>2912.6</x:v>
      </x:c>
      <x:c r="F217" s="23" t="n">
        <x:f>ROUND(D217-E217,1)</x:f>
        <x:v>76.4</x:v>
      </x:c>
      <x:c r="G217" s="22" t="n">
        <x:v>5</x:v>
      </x:c>
    </x:row>
    <x:row r="218">
      <x:c r="A218" s="22" t="n">
        <x:v>10</x:v>
      </x:c>
      <x:c r="B218" s="22" t="str">
        <x:v>3月16日-3月20日</x:v>
      </x:c>
      <x:c r="C218" s="22" t="str">
        <x:v>2026-03-16</x:v>
      </x:c>
      <x:c r="D218" s="23" t="n">
        <x:v>2996.6</x:v>
      </x:c>
      <x:c r="E218" s="23" t="n">
        <x:v>2896</x:v>
      </x:c>
      <x:c r="F218" s="23" t="n">
        <x:f>ROUND(D218-E218,1)</x:f>
        <x:v>100.6</x:v>
      </x:c>
      <x:c r="G218" s="22" t="n">
        <x:v>5</x:v>
      </x:c>
    </x:row>
    <x:row r="219">
      <x:c r="A219" s="22" t="n">
        <x:v>11</x:v>
      </x:c>
      <x:c r="B219" s="22" t="str">
        <x:v>3月23日-3月27日</x:v>
      </x:c>
      <x:c r="C219" s="22" t="str">
        <x:v>2026-03-23</x:v>
      </x:c>
      <x:c r="D219" s="23" t="n">
        <x:v>2847.6</x:v>
      </x:c>
      <x:c r="E219" s="23" t="n">
        <x:v>2750.8</x:v>
      </x:c>
      <x:c r="F219" s="23" t="n">
        <x:f>ROUND(D219-E219,1)</x:f>
        <x:v>96.8</x:v>
      </x:c>
      <x:c r="G219" s="22" t="n">
        <x:v>5</x:v>
      </x:c>
    </x:row>
    <x:row r="220">
      <x:c r="A220" s="22" t="n">
        <x:v>12</x:v>
      </x:c>
      <x:c r="B220" s="22" t="str">
        <x:v>3月30日-4月3日</x:v>
      </x:c>
      <x:c r="C220" s="22" t="str">
        <x:v>2026-03-30</x:v>
      </x:c>
      <x:c r="D220" s="23" t="n">
        <x:v>2865.4</x:v>
      </x:c>
      <x:c r="E220" s="23" t="n">
        <x:v>2780.4</x:v>
      </x:c>
      <x:c r="F220" s="23" t="n">
        <x:f>ROUND(D220-E220,1)</x:f>
        <x:v>85</x:v>
      </x:c>
      <x:c r="G220" s="22" t="n">
        <x:v>5</x:v>
      </x:c>
    </x:row>
    <x:row r="221">
      <x:c r="A221" s="22" t="n">
        <x:v>13</x:v>
      </x:c>
      <x:c r="B221" s="22" t="str">
        <x:v>4月7日-4月10日</x:v>
      </x:c>
      <x:c r="C221" s="22" t="str">
        <x:v>2026-04-06</x:v>
      </x:c>
      <x:c r="D221" s="23" t="n">
        <x:v>2896</x:v>
      </x:c>
      <x:c r="E221" s="23" t="n">
        <x:v>2797.2</x:v>
      </x:c>
      <x:c r="F221" s="23" t="n">
        <x:f>ROUND(D221-E221,1)</x:f>
        <x:v>98.8</x:v>
      </x:c>
      <x:c r="G221" s="22" t="n">
        <x:v>4</x:v>
      </x:c>
    </x:row>
    <x:row r="222">
      <x:c r="A222" s="22" t="n">
        <x:v>14</x:v>
      </x:c>
      <x:c r="B222" s="22" t="str">
        <x:v>4月13日-4月17日</x:v>
      </x:c>
      <x:c r="C222" s="22" t="str">
        <x:v>2026-04-13</x:v>
      </x:c>
      <x:c r="D222" s="23" t="n">
        <x:v>2930.8</x:v>
      </x:c>
      <x:c r="E222" s="23" t="n">
        <x:v>2860</x:v>
      </x:c>
      <x:c r="F222" s="23" t="n">
        <x:f>ROUND(D222-E222,1)</x:f>
        <x:v>70.8</x:v>
      </x:c>
      <x:c r="G222" s="22" t="n">
        <x:v>5</x:v>
      </x:c>
    </x:row>
    <x:row r="223">
      <x:c r="A223" s="22" t="n">
        <x:v>15</x:v>
      </x:c>
      <x:c r="B223" s="22" t="str">
        <x:v>4月20日-4月24日</x:v>
      </x:c>
      <x:c r="C223" s="22" t="str">
        <x:v>2026-04-20</x:v>
      </x:c>
      <x:c r="D223" s="23" t="n">
        <x:v>2934.2</x:v>
      </x:c>
      <x:c r="E223" s="23" t="n">
        <x:v>2891</x:v>
      </x:c>
      <x:c r="F223" s="23" t="n">
        <x:f>ROUND(D223-E223,1)</x:f>
        <x:v>43.2</x:v>
      </x:c>
      <x:c r="G223" s="22" t="n">
        <x:v>5</x:v>
      </x:c>
    </x:row>
    <x:row r="224">
      <x:c r="A224" s="22" t="n">
        <x:v>16</x:v>
      </x:c>
      <x:c r="B224" s="22" t="str">
        <x:v>4月27日-4月30日</x:v>
      </x:c>
      <x:c r="C224" s="22" t="str">
        <x:v>2026-04-27</x:v>
      </x:c>
      <x:c r="D224" s="23" t="n">
        <x:v>2970</x:v>
      </x:c>
      <x:c r="E224" s="23" t="n">
        <x:v>2917</x:v>
      </x:c>
      <x:c r="F224" s="23" t="n">
        <x:f>ROUND(D224-E224,1)</x:f>
        <x:v>53</x:v>
      </x:c>
      <x:c r="G224" s="22" t="n">
        <x:v>4</x:v>
      </x:c>
    </x:row>
    <x:row r="225">
      <x:c r="A225" s="22" t="n">
        <x:v>17</x:v>
      </x:c>
      <x:c r="B225" s="22" t="str">
        <x:v>5月6日-5月8日</x:v>
      </x:c>
      <x:c r="C225" s="22" t="str">
        <x:v>2026-05-04</x:v>
      </x:c>
      <x:c r="D225" s="23" t="n">
        <x:v>3024.8</x:v>
      </x:c>
      <x:c r="E225" s="23" t="n">
        <x:v>2969.2</x:v>
      </x:c>
      <x:c r="F225" s="23" t="n">
        <x:f>ROUND(D225-E225,1)</x:f>
        <x:v>55.6</x:v>
      </x:c>
      <x:c r="G225" s="22" t="n">
        <x:v>3</x:v>
      </x:c>
    </x:row>
    <x:row r="226">
      <x:c r="A226" s="22" t="n">
        <x:v>18</x:v>
      </x:c>
      <x:c r="B226" s="22" t="str">
        <x:v>5月11日-5月15日</x:v>
      </x:c>
      <x:c r="C226" s="22" t="str">
        <x:v>2026-05-11</x:v>
      </x:c>
      <x:c r="D226" s="23" t="n">
        <x:v>3041.8</x:v>
      </x:c>
      <x:c r="E226" s="23" t="n">
        <x:v>2927</x:v>
      </x:c>
      <x:c r="F226" s="23" t="n">
        <x:f>ROUND(D226-E226,1)</x:f>
        <x:v>114.8</x:v>
      </x:c>
      <x:c r="G226" s="22" t="n">
        <x:v>5</x:v>
      </x:c>
    </x:row>
    <x:row r="227">
      <x:c r="A227" s="22" t="n">
        <x:v>19</x:v>
      </x:c>
      <x:c r="B227" s="22" t="str">
        <x:v>5月18日-5月22日</x:v>
      </x:c>
      <x:c r="C227" s="22" t="str">
        <x:v>2026-05-18</x:v>
      </x:c>
      <x:c r="D227" s="23" t="n">
        <x:v>2981.8</x:v>
      </x:c>
      <x:c r="E227" s="23" t="n">
        <x:v>2893.2</x:v>
      </x:c>
      <x:c r="F227" s="23" t="n">
        <x:f>ROUND(D227-E227,1)</x:f>
        <x:v>88.6</x:v>
      </x:c>
      <x:c r="G227" s="22" t="n">
        <x:v>5</x:v>
      </x:c>
    </x:row>
    <x:row r="228">
      <x:c r="A228" s="22" t="n">
        <x:v>20</x:v>
      </x:c>
      <x:c r="B228" s="22" t="str">
        <x:v>5月25日-5月29日</x:v>
      </x:c>
      <x:c r="C228" s="22" t="str">
        <x:v>2026-05-25</x:v>
      </x:c>
      <x:c r="D228" s="23" t="n">
        <x:v>2960</x:v>
      </x:c>
      <x:c r="E228" s="23" t="n">
        <x:v>2871</x:v>
      </x:c>
      <x:c r="F228" s="23" t="n">
        <x:f>ROUND(D228-E228,1)</x:f>
        <x:v>89</x:v>
      </x:c>
      <x:c r="G228" s="22" t="n">
        <x:v>5</x:v>
      </x:c>
    </x:row>
    <x:row r="229">
      <x:c r="A229" s="22" t="n">
        <x:v>21</x:v>
      </x:c>
      <x:c r="B229" s="22" t="str">
        <x:v>6月1日-6月5日</x:v>
      </x:c>
      <x:c r="C229" s="22" t="str">
        <x:v>2026-06-01</x:v>
      </x:c>
      <x:c r="D229" s="23" t="n">
        <x:v>2924.2</x:v>
      </x:c>
      <x:c r="E229" s="23" t="n">
        <x:v>2841.6</x:v>
      </x:c>
      <x:c r="F229" s="23" t="n">
        <x:f>ROUND(D229-E229,1)</x:f>
        <x:v>82.6</x:v>
      </x:c>
      <x:c r="G229" s="22" t="n">
        <x:v>5</x:v>
      </x:c>
    </x:row>
    <x:row r="230">
      <x:c r="A230" s="22" t="n">
        <x:v>22</x:v>
      </x:c>
      <x:c r="B230" s="22" t="str">
        <x:v>6月8日-6月12日</x:v>
      </x:c>
      <x:c r="C230" s="22" t="str">
        <x:v>2026-06-08</x:v>
      </x:c>
      <x:c r="D230" s="23" t="n">
        <x:v>2902.6</x:v>
      </x:c>
      <x:c r="E230" s="23" t="n">
        <x:v>2791.2</x:v>
      </x:c>
      <x:c r="F230" s="23" t="n">
        <x:f>ROUND(D230-E230,1)</x:f>
        <x:v>111.4</x:v>
      </x:c>
      <x:c r="G230" s="22" t="n">
        <x:v>5</x:v>
      </x:c>
    </x:row>
    <x:row r="231">
      <x:c r="A231" s="22" t="n">
        <x:v>23</x:v>
      </x:c>
      <x:c r="B231" s="22" t="str">
        <x:v>6月15日-6月18日</x:v>
      </x:c>
      <x:c r="C231" s="22" t="str">
        <x:v>2026-06-15</x:v>
      </x:c>
      <x:c r="D231" s="23" t="n">
        <x:v>2954.6</x:v>
      </x:c>
      <x:c r="E231" s="23" t="n">
        <x:v>2903.4</x:v>
      </x:c>
      <x:c r="F231" s="23" t="n">
        <x:f>ROUND(D231-E231,1)</x:f>
        <x:v>51.2</x:v>
      </x:c>
      <x:c r="G231" s="22" t="n">
        <x:v>4</x:v>
      </x:c>
    </x:row>
    <x:row r="232">
      <x:c r="A232" s="22" t="n">
        <x:v>24</x:v>
      </x:c>
      <x:c r="B232" s="22" t="str">
        <x:v>6月22日-6月26日</x:v>
      </x:c>
      <x:c r="C232" s="22" t="str">
        <x:v>2026-06-22</x:v>
      </x:c>
      <x:c r="D232" s="23" t="n">
        <x:v>2996</x:v>
      </x:c>
      <x:c r="E232" s="23" t="n">
        <x:v>2834.8</x:v>
      </x:c>
      <x:c r="F232" s="23" t="n">
        <x:f>ROUND(D232-E232,1)</x:f>
        <x:v>161.2</x:v>
      </x:c>
      <x:c r="G232" s="22" t="n">
        <x:v>5</x:v>
      </x:c>
    </x:row>
    <x:row r="233">
      <x:c r="A233" s="22" t="n">
        <x:v>25</x:v>
      </x:c>
      <x:c r="B233" s="22" t="str">
        <x:v>6月29日-7月3日</x:v>
      </x:c>
      <x:c r="C233" s="22" t="str">
        <x:v>2026-06-29</x:v>
      </x:c>
      <x:c r="D233" s="23" t="n">
        <x:v>2976</x:v>
      </x:c>
      <x:c r="E233" s="23" t="n">
        <x:v>2861.8</x:v>
      </x:c>
      <x:c r="F233" s="23" t="n">
        <x:f>ROUND(D233-E233,1)</x:f>
        <x:v>114.2</x:v>
      </x:c>
      <x:c r="G233" s="22" t="n">
        <x:v>5</x:v>
      </x:c>
    </x:row>
    <x:row r="234">
      <x:c r="A234" s="22" t="n">
        <x:v>26</x:v>
      </x:c>
      <x:c r="B234" s="22" t="str">
        <x:v>7月6日-7月10日</x:v>
      </x:c>
      <x:c r="C234" s="22" t="str">
        <x:v>2026-07-06</x:v>
      </x:c>
      <x:c r="D234" s="23" t="n">
        <x:v>2983.8</x:v>
      </x:c>
      <x:c r="E234" s="23" t="n">
        <x:v>2862.4</x:v>
      </x:c>
      <x:c r="F234" s="23" t="n">
        <x:f>ROUND(D234-E234,1)</x:f>
        <x:v>121.4</x:v>
      </x:c>
      <x:c r="G234" s="22" t="n">
        <x:v>5</x:v>
      </x:c>
    </x:row>
    <x:row r="235">
      <x:c r="A235" s="22" t="n">
        <x:v>27</x:v>
      </x:c>
      <x:c r="B235" s="22" t="str">
        <x:v>7月13日-7月17日</x:v>
      </x:c>
      <x:c r="C235" s="22" t="str">
        <x:v>2026-07-13</x:v>
      </x:c>
      <x:c r="D235" s="23" t="n">
        <x:v>2924</x:v>
      </x:c>
      <x:c r="E235" s="23" t="n">
        <x:v>2782.6</x:v>
      </x:c>
      <x:c r="F235" s="23" t="n">
        <x:f>ROUND(D235-E235,1)</x:f>
        <x:v>141.4</x:v>
      </x:c>
      <x:c r="G235" s="22" t="n">
        <x:v>5</x:v>
      </x:c>
    </x:row>
    <x:row r="236">
      <x:c r="A236" s="22" t="n">
        <x:v>28</x:v>
      </x:c>
      <x:c r="B236" s="22" t="str">
        <x:v>7月20日-7月24日</x:v>
      </x:c>
      <x:c r="C236" s="22" t="str">
        <x:v>2026-07-20</x:v>
      </x:c>
      <x:c r="D236" s="23" t="n">
        <x:v>2978</x:v>
      </x:c>
      <x:c r="E236" s="23" t="n">
        <x:v>2820</x:v>
      </x:c>
      <x:c r="F236" s="23" t="n">
        <x:f>ROUND(D236-E236,1)</x:f>
        <x:v>158</x:v>
      </x:c>
      <x:c r="G236" s="22" t="n">
        <x:v>5</x:v>
      </x:c>
    </x:row>
    <x:row r="237">
      <x:c r="A237" s="22" t="n">
        <x:v>29</x:v>
      </x:c>
      <x:c r="B237" s="22" t="str">
        <x:v>7月27日-7月31日</x:v>
      </x:c>
      <x:c r="C237" s="22" t="str">
        <x:v>2026-07-27</x:v>
      </x:c>
      <x:c r="D237" s="23" t="n">
        <x:v>2930</x:v>
      </x:c>
      <x:c r="E237" s="23" t="n">
        <x:v>2847.2</x:v>
      </x:c>
      <x:c r="F237" s="23" t="n">
        <x:f>ROUND(D237-E237,1)</x:f>
        <x:v>82.8</x:v>
      </x:c>
      <x:c r="G237" s="22" t="n">
        <x:v>5</x:v>
      </x:c>
    </x:row>
    <x:row r="238">
      <x:c r="A238" s="26" t="str">
        <x:v>合计</x:v>
      </x:c>
      <x:c r="B238" s="25" t="n">
        <x:v>29</x:v>
      </x:c>
      <x:c r="C238" s="25"/>
      <x:c r="D238" s="25"/>
      <x:c r="E238" s="25"/>
      <x:c r="F238" s="27" t="n">
        <x:f>ROUND(SUM(F209:F237),1)</x:f>
        <x:v>2732.8</x:v>
      </x:c>
      <x:c r="G238" s="25"/>
    </x:row>
    <x:row r="239">
      <x:c r="A239" s="26" t="str">
        <x:v>均值</x:v>
      </x:c>
      <x:c r="B239" s="25"/>
      <x:c r="C239" s="25"/>
      <x:c r="D239" s="25"/>
      <x:c r="E239" s="25"/>
      <x:c r="F239" s="29" t="n">
        <x:f>ROUND(IFERROR(AVERAGE(F209:F237),0),1)</x:f>
        <x:v>94.2</x:v>
      </x:c>
      <x:c r="G239" s="25"/>
    </x:row>
  </x:sheetData>
  <x:mergeCells>
    <x:mergeCell ref="A1:G1"/>
    <x:mergeCell ref="A3:G3"/>
    <x:mergeCell ref="A37:G37"/>
    <x:mergeCell ref="A71:G71"/>
    <x:mergeCell ref="A105:G105"/>
    <x:mergeCell ref="A139:G139"/>
    <x:mergeCell ref="A173:G173"/>
    <x:mergeCell ref="A207:G20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35" t="n">
        <x:v>158.6</x:v>
      </x:c>
      <x:c r="I5" s="33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33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33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33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35" t="n">
        <x:v>157.6</x:v>
      </x:c>
      <x:c r="I9" s="33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35" t="n">
        <x:v>227.8</x:v>
      </x:c>
      <x:c r="I10" s="33" t="n">
        <x:v>0.028026196984197727</x:v>
      </x:c>
      <x:c r="J10" s="37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35" t="n">
        <x:v>-153.9</x:v>
      </x:c>
      <x:c r="I11" s="33" t="n">
        <x:v>-0.018413284176996392</x:v>
      </x:c>
      <x:c r="J11" s="37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33" t="n">
        <x:v>0.006587729317955482</x:v>
      </x:c>
      <x:c r="J12" s="37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33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33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33" t="n">
        <x:v>-0.01002945926817611</x:v>
      </x:c>
      <x:c r="J16" s="37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33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33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35" t="n">
        <x:v>161.4</x:v>
      </x:c>
      <x:c r="I19" s="33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33" t="n">
        <x:v>-0.012432207811832185</x:v>
      </x:c>
      <x:c r="J20" s="37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33" t="n">
        <x:v>0.001998701800146385</x:v>
      </x:c>
      <x:c r="J21" s="37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33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33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33" t="n">
        <x:v>-0.00928325138228614</x:v>
      </x:c>
      <x:c r="J24" s="37" t="n">
        <x:f>ROUND(E24-F24,1)</x:f>
        <x:v>229.3</x:v>
      </x:c>
      <x:c r="K24" s="22" t="str">
        <x:v>中证1000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3095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154.8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35" t="n">
        <x:v>-279.4</x:v>
      </x:c>
      <x:c r="I30" s="33" t="n">
        <x:v>-0.03385036208972658</x:v>
      </x:c>
      <x:c r="J30" s="37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35" t="n">
        <x:v>233.7</x:v>
      </x:c>
      <x:c r="I31" s="33" t="n">
        <x:v>0.029298733735986682</x:v>
      </x:c>
      <x:c r="J31" s="37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33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33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33" t="n">
        <x:v>-0.002046335683334899</x:v>
      </x:c>
      <x:c r="J34" s="37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35" t="n">
        <x:v>182.2</x:v>
      </x:c>
      <x:c r="I35" s="33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33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33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33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33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33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33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33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1824.6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130.3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33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35" t="n">
        <x:v>-334.5</x:v>
      </x:c>
      <x:c r="I50" s="33" t="n">
        <x:v>-0.039462213503173804</x:v>
      </x:c>
      <x:c r="J50" s="37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33" t="n">
        <x:v>-0.005886434672610741</x:v>
      </x:c>
      <x:c r="J51" s="37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33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33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33" t="n">
        <x:v>-0.00545408698898997</x:v>
      </x:c>
      <x:c r="J54" s="37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33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33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33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33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33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35" t="n">
        <x:v>-191.5</x:v>
      </x:c>
      <x:c r="I60" s="33" t="n">
        <x:v>-0.023320160509538668</x:v>
      </x:c>
      <x:c r="J60" s="37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33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35" t="n">
        <x:v>-187.4</x:v>
      </x:c>
      <x:c r="I62" s="33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37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35" t="n">
        <x:v>-374.3</x:v>
      </x:c>
      <x:c r="I64" s="33" t="n">
        <x:v>-0.0480919080662382</x:v>
      </x:c>
      <x:c r="J64" s="37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35" t="n">
        <x:v>191.8</x:v>
      </x:c>
      <x:c r="I65" s="33" t="n">
        <x:v>0.02588030141272024</x:v>
      </x:c>
      <x:c r="J65" s="37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35" t="n">
        <x:v>150.3</x:v>
      </x:c>
      <x:c r="I66" s="33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33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33" t="n">
        <x:v>0.013997209197605054</x:v>
      </x:c>
      <x:c r="J68" s="37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33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33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3949.7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179.5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33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33" t="n">
        <x:v>-0.018125615811131923</x:v>
      </x:c>
      <x:c r="J77" s="37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33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33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35" t="n">
        <x:v>349.8</x:v>
      </x:c>
      <x:c r="I80" s="33" t="n">
        <x:v>0.045983313217688115</x:v>
      </x:c>
      <x:c r="J80" s="37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33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33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33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33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33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33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33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33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33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33" t="n">
        <x:v>-0.013972013526323934</x:v>
      </x:c>
      <x:c r="J91" s="37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33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33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33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33" t="n">
        <x:v>0.014146637347462798</x:v>
      </x:c>
      <x:c r="J95" s="37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33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2543.1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121.1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35" t="n">
        <x:v>192.6</x:v>
      </x:c>
      <x:c r="I102" s="33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33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33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33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33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33" t="n">
        <x:v>0.01513961294008448</x:v>
      </x:c>
      <x:c r="J107" s="37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35" t="n">
        <x:v>-176.7</x:v>
      </x:c>
      <x:c r="I108" s="33" t="n">
        <x:v>-0.01973546834609108</x:v>
      </x:c>
      <x:c r="J108" s="37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37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33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33" t="n">
        <x:v>0.010140810829097013</x:v>
      </x:c>
      <x:c r="J111" s="37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33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35" t="n">
        <x:v>-298.4</x:v>
      </x:c>
      <x:c r="I113" s="33" t="n">
        <x:v>-0.033875927895732794</x:v>
      </x:c>
      <x:c r="J113" s="37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35" t="n">
        <x:v>182.2</x:v>
      </x:c>
      <x:c r="I114" s="33" t="n">
        <x:v>0.0214053228364961</x:v>
      </x:c>
      <x:c r="J114" s="37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33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33" t="n">
        <x:v>-0.012735089455877757</x:v>
      </x:c>
      <x:c r="J116" s="37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33" t="n">
        <x:v>-0.016200753978531712</x:v>
      </x:c>
      <x:c r="J117" s="37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33" t="n">
        <x:v>0.010674532645489121</x:v>
      </x:c>
      <x:c r="J118" s="37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35" t="n">
        <x:v>-229</x:v>
      </x:c>
      <x:c r="I119" s="33" t="n">
        <x:v>-0.026511564367531326</x:v>
      </x:c>
      <x:c r="J119" s="37" t="n">
        <x:f>ROUND(E119-F119,1)</x:f>
        <x:v>322.5</x:v>
      </x:c>
      <x:c r="K119" s="22" t="str">
        <x:v>中证1000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3476.7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193.1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33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33" t="n">
        <x:v>0.004751274096389313</x:v>
      </x:c>
      <x:c r="J126" s="37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33" t="n">
        <x:v>0.005712731878475097</x:v>
      </x:c>
      <x:c r="J127" s="37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33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33" t="n">
        <x:v>-0.009397761781643754</x:v>
      </x:c>
      <x:c r="J129" s="37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35" t="n">
        <x:v>-259.7</x:v>
      </x:c>
      <x:c r="I130" s="33" t="n">
        <x:v>-0.031135504786019674</x:v>
      </x:c>
      <x:c r="J130" s="37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35" t="n">
        <x:v>237.4</x:v>
      </x:c>
      <x:c r="I131" s="33" t="n">
        <x:v>0.029381556836433953</x:v>
      </x:c>
      <x:c r="J131" s="37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33" t="n">
        <x:v>-0.014422926659213742</x:v>
      </x:c>
      <x:c r="J132" s="37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33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33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35" t="n">
        <x:v>318.4</x:v>
      </x:c>
      <x:c r="I135" s="33" t="n">
        <x:v>0.03881967133174036</x:v>
      </x:c>
      <x:c r="J135" s="37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33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33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33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37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35" t="n">
        <x:v>-185.6</x:v>
      </x:c>
      <x:c r="I140" s="33" t="n">
        <x:v>-0.02093917217855812</x:v>
      </x:c>
      <x:c r="J140" s="37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33" t="n">
        <x:v>0.013070216266284351</x:v>
      </x:c>
      <x:c r="J141" s="37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33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35" t="n">
        <x:v>-224.5</x:v>
      </x:c>
      <x:c r="I143" s="33" t="n">
        <x:v>-0.025437574779739736</x:v>
      </x:c>
      <x:c r="J143" s="37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33" t="n">
        <x:v>-0.0004092352300378854</x:v>
      </x:c>
      <x:c r="J144" s="37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35" t="n">
        <x:v>211.9</x:v>
      </x:c>
      <x:c r="I145" s="33" t="n">
        <x:v>0.02464558164852093</x:v>
      </x:c>
      <x:c r="J145" s="37" t="n">
        <x:f>ROUND(E145-F145,1)</x:f>
        <x:v>267.8</x:v>
      </x:c>
      <x:c r="K145" s="22" t="str">
        <x:v>中证1000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4169.2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198.5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33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35" t="n">
        <x:v>-251.3</x:v>
      </x:c>
      <x:c r="I152" s="33" t="n">
        <x:v>-0.028310293433431277</x:v>
      </x:c>
      <x:c r="J152" s="37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33" t="n">
        <x:v>-0.0005263566727300439</x:v>
      </x:c>
      <x:c r="J153" s="37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33" t="n">
        <x:v>-0.01718983991026346</x:v>
      </x:c>
      <x:c r="J154" s="37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35" t="n">
        <x:v>-170.8</x:v>
      </x:c>
      <x:c r="I155" s="33" t="n">
        <x:v>-0.020159101102377175</x:v>
      </x:c>
      <x:c r="J155" s="37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35" t="n">
        <x:v>-183.9</x:v>
      </x:c>
      <x:c r="I156" s="33" t="n">
        <x:v>-0.02215664072851664</x:v>
      </x:c>
      <x:c r="J156" s="37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35" t="n">
        <x:v>182.2</x:v>
      </x:c>
      <x:c r="I157" s="33" t="n">
        <x:v>0.022446802482427586</x:v>
      </x:c>
      <x:c r="J157" s="37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33" t="n">
        <x:v>-0.012261327601661764</x:v>
      </x:c>
      <x:c r="J158" s="37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35" t="n">
        <x:v>-410.5</x:v>
      </x:c>
      <x:c r="I159" s="33" t="n">
        <x:v>-0.050066416127226065</x:v>
      </x:c>
      <x:c r="J159" s="37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33" t="n">
        <x:v>0.017626174104534487</x:v>
      </x:c>
      <x:c r="J160" s="37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33" t="n">
        <x:v>-0.013537965355729598</x:v>
      </x:c>
      <x:c r="J161" s="37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35" t="n">
        <x:v>-186.1</x:v>
      </x:c>
      <x:c r="I162" s="33" t="n">
        <x:v>-0.023800722195289503</x:v>
      </x:c>
      <x:c r="J162" s="37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35" t="n">
        <x:v>-463.8</x:v>
      </x:c>
      <x:c r="I163" s="43" t="n">
        <x:v>-0.06076711007683677</x:v>
      </x:c>
      <x:c r="J163" s="37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35" t="n">
        <x:v>-202.6</x:v>
      </x:c>
      <x:c r="I164" s="33" t="n">
        <x:v>-0.028267299107142874</x:v>
      </x:c>
      <x:c r="J164" s="37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35" t="n">
        <x:v>294.5</x:v>
      </x:c>
      <x:c r="I165" s="33" t="n">
        <x:v>0.042277664678739724</x:v>
      </x:c>
      <x:c r="J165" s="37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33" t="n">
        <x:v>-0.013925888378012674</x:v>
      </x:c>
      <x:c r="J166" s="37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33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35" t="n">
        <x:v>-199.8</x:v>
      </x:c>
      <x:c r="I168" s="33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35" t="n">
        <x:v>233.1</x:v>
      </x:c>
      <x:c r="I169" s="33" t="n">
        <x:v>0.03331908646609549</x:v>
      </x:c>
      <x:c r="J169" s="37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35" t="n">
        <x:v>-202.5</x:v>
      </x:c>
      <x:c r="I170" s="33" t="n">
        <x:v>-0.028013025711115858</x:v>
      </x:c>
      <x:c r="J170" s="37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33" t="n">
        <x:v>0.009807465685967465</x:v>
      </x:c>
      <x:c r="J171" s="37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35" t="n">
        <x:v>-194.5</x:v>
      </x:c>
      <x:c r="I172" s="33" t="n">
        <x:v>-0.027417165713673586</x:v>
      </x:c>
      <x:c r="J172" s="37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35" t="n">
        <x:v>174.9</x:v>
      </x:c>
      <x:c r="I173" s="33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6057.6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263.4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35" t="n">
        <x:v>185.6</x:v>
      </x:c>
      <x:c r="I5" s="33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35" t="n">
        <x:v>162.9</x:v>
      </x:c>
      <x:c r="I6" s="33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33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33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35" t="n">
        <x:v>162.1</x:v>
      </x:c>
      <x:c r="I9" s="33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35" t="n">
        <x:v>192.4</x:v>
      </x:c>
      <x:c r="I10" s="33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33" t="n">
        <x:v>-0.012831656186773621</x:v>
      </x:c>
      <x:c r="J11" s="37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33" t="n">
        <x:v>0.01036683007338568</x:v>
      </x:c>
      <x:c r="J12" s="37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33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33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33" t="n">
        <x:v>-0.004844382507134037</x:v>
      </x:c>
      <x:c r="J16" s="37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33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33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35" t="n">
        <x:v>202.6</x:v>
      </x:c>
      <x:c r="I19" s="33" t="n">
        <x:v>0.024152348886867347</x:v>
      </x:c>
      <x:c r="J19" s="37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33" t="n">
        <x:v>-0.009718084741046962</x:v>
      </x:c>
      <x:c r="J20" s="37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33" t="n">
        <x:v>0.004965503621267464</x:v>
      </x:c>
      <x:c r="J21" s="37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33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33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33" t="n">
        <x:v>-0.01729546457787412</x:v>
      </x:c>
      <x:c r="J24" s="37" t="n">
        <x:f>ROUND(E24-F24,1)</x:f>
        <x:v>301.8</x:v>
      </x:c>
      <x:c r="K24" s="22" t="str">
        <x:v>中证500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3067.1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153.4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35" t="n">
        <x:v>-333.5</x:v>
      </x:c>
      <x:c r="I30" s="33" t="n">
        <x:v>-0.03983862412371042</x:v>
      </x:c>
      <x:c r="J30" s="37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35" t="n">
        <x:v>249.7</x:v>
      </x:c>
      <x:c r="I31" s="33" t="n">
        <x:v>0.031062392295680752</x:v>
      </x:c>
      <x:c r="J31" s="37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33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35" t="n">
        <x:v>-152.9</x:v>
      </x:c>
      <x:c r="I33" s="33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33" t="n">
        <x:v>0.000036827393688598775</x:v>
      </x:c>
      <x:c r="J34" s="37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35" t="n">
        <x:v>164.9</x:v>
      </x:c>
      <x:c r="I35" s="33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33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33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33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33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33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33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33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1987.1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141.9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33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35" t="n">
        <x:v>-376.7</x:v>
      </x:c>
      <x:c r="I50" s="33" t="n">
        <x:v>-0.04350954514323191</x:v>
      </x:c>
      <x:c r="J50" s="37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33" t="n">
        <x:v>-0.003943677618240882</x:v>
      </x:c>
      <x:c r="J51" s="37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33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33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33" t="n">
        <x:v>-0.009670670894569966</x:v>
      </x:c>
      <x:c r="J54" s="37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33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33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33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33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33" t="n">
        <x:v>-0.006632442535012939</x:v>
      </x:c>
      <x:c r="J59" s="37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35" t="n">
        <x:v>-169.1</x:v>
      </x:c>
      <x:c r="I60" s="33" t="n">
        <x:v>-0.0206618082747414</x:v>
      </x:c>
      <x:c r="J60" s="37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33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35" t="n">
        <x:v>-219.3</x:v>
      </x:c>
      <x:c r="I62" s="33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37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35" t="n">
        <x:v>-319.3</x:v>
      </x:c>
      <x:c r="I64" s="33" t="n">
        <x:v>-0.04114540646697695</x:v>
      </x:c>
      <x:c r="J64" s="37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35" t="n">
        <x:v>156.6</x:v>
      </x:c>
      <x:c r="I65" s="33" t="n">
        <x:v>0.02104895339851498</x:v>
      </x:c>
      <x:c r="J65" s="37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35" t="n">
        <x:v>170.3</x:v>
      </x:c>
      <x:c r="I66" s="33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33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33" t="n">
        <x:v>0.012493898952255389</x:v>
      </x:c>
      <x:c r="J68" s="37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33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33" t="n">
        <x:v>-0.017590266349571615</x:v>
      </x:c>
      <x:c r="J70" s="37" t="n">
        <x:f>ROUND(E70-F70,1)</x:f>
        <x:v>171.6</x:v>
      </x:c>
      <x:c r="K70" s="22" t="str">
        <x:v>中证500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3938.8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179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33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33" t="n">
        <x:v>-0.01868365399627625</x:v>
      </x:c>
      <x:c r="J77" s="37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33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33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35" t="n">
        <x:v>374</x:v>
      </x:c>
      <x:c r="I80" s="33" t="n">
        <x:v>0.04940358811323575</x:v>
      </x:c>
      <x:c r="J80" s="37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33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33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33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33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33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33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33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33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33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33" t="n">
        <x:v>-0.009666697707069516</x:v>
      </x:c>
      <x:c r="J91" s="37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33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33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33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33" t="n">
        <x:v>0.0168772153935417</x:v>
      </x:c>
      <x:c r="J95" s="37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33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2549.8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121.4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35" t="n">
        <x:v>238.9</x:v>
      </x:c>
      <x:c r="I102" s="33" t="n">
        <x:v>0.02861605052272531</x:v>
      </x:c>
      <x:c r="J102" s="37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33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33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33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33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33" t="n">
        <x:v>0.015053528462391164</x:v>
      </x:c>
      <x:c r="J107" s="37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35" t="n">
        <x:v>-248.1</x:v>
      </x:c>
      <x:c r="I108" s="33" t="n">
        <x:v>-0.0278171477780369</x:v>
      </x:c>
      <x:c r="J108" s="37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37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33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33" t="n">
        <x:v>0.008616779515187911</x:v>
      </x:c>
      <x:c r="J111" s="37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33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35" t="n">
        <x:v>-236.5</x:v>
      </x:c>
      <x:c r="I113" s="33" t="n">
        <x:v>-0.0273176445852793</x:v>
      </x:c>
      <x:c r="J113" s="37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35" t="n">
        <x:v>157.1</x:v>
      </x:c>
      <x:c r="I114" s="33" t="n">
        <x:v>0.018658311796898808</x:v>
      </x:c>
      <x:c r="J114" s="37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33" t="n">
        <x:v>0.014801316087089234</x:v>
      </x:c>
      <x:c r="J115" s="37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33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33" t="n">
        <x:v>-0.014741379111221087</x:v>
      </x:c>
      <x:c r="J117" s="37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33" t="n">
        <x:v>0.003779167223460833</x:v>
      </x:c>
      <x:c r="J118" s="37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35" t="n">
        <x:v>-203.7</x:v>
      </x:c>
      <x:c r="I119" s="33" t="n">
        <x:v>-0.023783109624650578</x:v>
      </x:c>
      <x:c r="J119" s="37" t="n">
        <x:f>ROUND(E119-F119,1)</x:f>
        <x:v>301.7</x:v>
      </x:c>
      <x:c r="K119" s="22" t="str">
        <x:v>中证500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3414.2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189.7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33" t="n">
        <x:v>-0.010209867504988313</x:v>
      </x:c>
      <x:c r="J125" s="37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33" t="n">
        <x:v>0.005706889237764301</x:v>
      </x:c>
      <x:c r="J126" s="37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33" t="n">
        <x:v>0.00489459143440496</x:v>
      </x:c>
      <x:c r="J127" s="37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33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33" t="n">
        <x:v>-0.01263650658031723</x:v>
      </x:c>
      <x:c r="J129" s="37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35" t="n">
        <x:v>-287.7</x:v>
      </x:c>
      <x:c r="I130" s="33" t="n">
        <x:v>-0.03486669720790092</x:v>
      </x:c>
      <x:c r="J130" s="37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35" t="n">
        <x:v>212.7</x:v>
      </x:c>
      <x:c r="I131" s="33" t="n">
        <x:v>0.026713296372803397</x:v>
      </x:c>
      <x:c r="J131" s="37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33" t="n">
        <x:v>-0.013737466640900808</x:v>
      </x:c>
      <x:c r="J132" s="37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33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33" t="n">
        <x:v>0.00876330611340781</x:v>
      </x:c>
      <x:c r="J134" s="37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35" t="n">
        <x:v>300.6</x:v>
      </x:c>
      <x:c r="I135" s="33" t="n">
        <x:v>0.03707655868347692</x:v>
      </x:c>
      <x:c r="J135" s="37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33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33" t="n">
        <x:v>0.013999797836854455</x:v>
      </x:c>
      <x:c r="J137" s="37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33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35" t="n">
        <x:v>195.7</x:v>
      </x:c>
      <x:c r="I139" s="43" t="n">
        <x:v>0.02256289280982915</x:v>
      </x:c>
      <x:c r="J139" s="37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35" t="n">
        <x:v>-180.2</x:v>
      </x:c>
      <x:c r="I140" s="33" t="n">
        <x:v>-0.020317337897658994</x:v>
      </x:c>
      <x:c r="J140" s="37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35" t="n">
        <x:v>154.4</x:v>
      </x:c>
      <x:c r="I141" s="33" t="n">
        <x:v>0.017764677582899013</x:v>
      </x:c>
      <x:c r="J141" s="37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33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35" t="n">
        <x:v>-234.4</x:v>
      </x:c>
      <x:c r="I143" s="33" t="n">
        <x:v>-0.02622955221576173</x:v>
      </x:c>
      <x:c r="J143" s="37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33" t="n">
        <x:v>0.0135025052938047</x:v>
      </x:c>
      <x:c r="J144" s="37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35" t="n">
        <x:v>210.3</x:v>
      </x:c>
      <x:c r="I145" s="33" t="n">
        <x:v>0.023839457482011772</x:v>
      </x:c>
      <x:c r="J145" s="37" t="n">
        <x:f>ROUND(E145-F145,1)</x:f>
        <x:v>268.5</x:v>
      </x:c>
      <x:c r="K145" s="22" t="str">
        <x:v>中证500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4177.3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198.9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33" t="n">
        <x:v>-0.000271276371938578</x:v>
      </x:c>
      <x:c r="J151" s="37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35" t="n">
        <x:v>-334.7</x:v>
      </x:c>
      <x:c r="I152" s="33" t="n">
        <x:v>-0.037075268055018706</x:v>
      </x:c>
      <x:c r="J152" s="37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33" t="n">
        <x:v>0.005875194670457606</x:v>
      </x:c>
      <x:c r="J153" s="37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33" t="n">
        <x:v>-0.010763545051833856</x:v>
      </x:c>
      <x:c r="J154" s="37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33" t="n">
        <x:v>-0.016453341933365784</x:v>
      </x:c>
      <x:c r="J155" s="37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33" t="n">
        <x:v>-0.013958506438635832</x:v>
      </x:c>
      <x:c r="J156" s="37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35" t="n">
        <x:v>262.8</x:v>
      </x:c>
      <x:c r="I157" s="33" t="n">
        <x:v>0.03131935323157764</x:v>
      </x:c>
      <x:c r="J157" s="37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33" t="n">
        <x:v>-0.01719907682955457</x:v>
      </x:c>
      <x:c r="J158" s="37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35" t="n">
        <x:v>-365.8</x:v>
      </x:c>
      <x:c r="I159" s="33" t="n">
        <x:v>-0.04301873125140365</x:v>
      </x:c>
      <x:c r="J159" s="37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33" t="n">
        <x:v>0.016932616052316662</x:v>
      </x:c>
      <x:c r="J160" s="37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33" t="n">
        <x:v>-0.015510020613972664</x:v>
      </x:c>
      <x:c r="J161" s="37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35" t="n">
        <x:v>-191.9</x:v>
      </x:c>
      <x:c r="I162" s="33" t="n">
        <x:v>-0.02355546063984648</x:v>
      </x:c>
      <x:c r="J162" s="37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35" t="n">
        <x:v>-441.9</x:v>
      </x:c>
      <x:c r="I163" s="43" t="n">
        <x:v>-0.05554536015867939</x:v>
      </x:c>
      <x:c r="J163" s="37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33" t="n">
        <x:v>-0.013634984348714907</x:v>
      </x:c>
      <x:c r="J164" s="37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35" t="n">
        <x:v>389.3</x:v>
      </x:c>
      <x:c r="I165" s="33" t="n">
        <x:v>0.0525278257150219</x:v>
      </x:c>
      <x:c r="J165" s="37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33" t="n">
        <x:v>-0.006275150276709107</x:v>
      </x:c>
      <x:c r="J166" s="37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33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35" t="n">
        <x:v>-201.6</x:v>
      </x:c>
      <x:c r="I168" s="33" t="n">
        <x:v>-0.026066966542587555</x:v>
      </x:c>
      <x:c r="J168" s="37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35" t="n">
        <x:v>187.9</x:v>
      </x:c>
      <x:c r="I169" s="33" t="n">
        <x:v>0.024944574986392798</x:v>
      </x:c>
      <x:c r="J169" s="37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35" t="n">
        <x:v>-277.2</x:v>
      </x:c>
      <x:c r="I170" s="33" t="n">
        <x:v>-0.03590005958086162</x:v>
      </x:c>
      <x:c r="J170" s="37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33" t="n">
        <x:v>0.010892827634571667</x:v>
      </x:c>
      <x:c r="J171" s="37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35" t="n">
        <x:v>-214.9</x:v>
      </x:c>
      <x:c r="I172" s="33" t="n">
        <x:v>-0.028563986226345706</x:v>
      </x:c>
      <x:c r="J172" s="37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35" t="n">
        <x:v>184.4</x:v>
      </x:c>
      <x:c r="I173" s="33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6161.7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267.9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33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33" t="n">
        <x:v>0.014974822414761668</x:v>
      </x:c>
      <x:c r="J6" s="37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33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33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33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33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33" t="n">
        <x:v>-0.006369304418179733</x:v>
      </x:c>
      <x:c r="J11" s="37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33" t="n">
        <x:v>-0.003061303385555103</x:v>
      </x:c>
      <x:c r="J12" s="37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33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33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33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33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33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33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33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33" t="n">
        <x:v>0.001764018380636001</x:v>
      </x:c>
      <x:c r="J21" s="37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33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33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33" t="n">
        <x:v>-0.009627270934444043</x:v>
      </x:c>
      <x:c r="J24" s="37" t="n">
        <x:f>ROUND(E24-F24,1)</x:f>
        <x:v>88.1</x:v>
      </x:c>
      <x:c r="K24" s="22" t="str">
        <x:v>上证指数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885.8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44.3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33" t="n">
        <x:v>-0.024818174091477463</x:v>
      </x:c>
      <x:c r="J30" s="37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33" t="n">
        <x:v>0.01294652306542976</x:v>
      </x:c>
      <x:c r="J31" s="37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33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33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33" t="n">
        <x:v>-0.0025368505760663407</x:v>
      </x:c>
      <x:c r="J34" s="37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33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33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33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33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33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33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33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33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564.6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40.3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33" t="n">
        <x:v>0.0047347028979936034</x:v>
      </x:c>
      <x:c r="J49" s="37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33" t="n">
        <x:v>-0.014323660698275398</x:v>
      </x:c>
      <x:c r="J50" s="37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33" t="n">
        <x:v>-0.009753364316415603</x:v>
      </x:c>
      <x:c r="J51" s="37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33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33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33" t="n">
        <x:v>-0.006689798481641085</x:v>
      </x:c>
      <x:c r="J54" s="37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33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33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33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33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33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33" t="n">
        <x:v>-0.00853899466068031</x:v>
      </x:c>
      <x:c r="J60" s="37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33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33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37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33" t="n">
        <x:v>-0.03633262152360972</x:v>
      </x:c>
      <x:c r="J64" s="37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33" t="n">
        <x:v>0.01783241723660467</x:v>
      </x:c>
      <x:c r="J65" s="37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33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33" t="n">
        <x:v>-0.010875315373972572</x:v>
      </x:c>
      <x:c r="J67" s="37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33" t="n">
        <x:v>0.006335688646157855</x:v>
      </x:c>
      <x:c r="J68" s="37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33" t="n">
        <x:v>0.0024452439111637414</x:v>
      </x:c>
      <x:c r="J69" s="37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33" t="n">
        <x:v>-0.008011133512944468</x:v>
      </x:c>
      <x:c r="J70" s="37" t="n">
        <x:f>ROUND(E70-F70,1)</x:f>
        <x:v>56.9</x:v>
      </x:c>
      <x:c r="K70" s="22" t="str">
        <x:v>上证指数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1183.2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53.8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33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33" t="n">
        <x:v>-0.007410315178989824</x:v>
      </x:c>
      <x:c r="J77" s="37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33" t="n">
        <x:v>-0.009999260070063687</x:v>
      </x:c>
      <x:c r="J78" s="37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33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33" t="n">
        <x:v>0.02695004832706105</x:v>
      </x:c>
      <x:c r="J80" s="37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33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33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33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33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33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33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33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33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33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33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33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33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33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33" t="n">
        <x:v>0.0070783398387699314</x:v>
      </x:c>
      <x:c r="J95" s="37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33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706.9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33.7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33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33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33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33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33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33" t="n">
        <x:v>0.006662727874547025</x:v>
      </x:c>
      <x:c r="J107" s="37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33" t="n">
        <x:v>-0.01523840502337015</x:v>
      </x:c>
      <x:c r="J108" s="37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37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33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33" t="n">
        <x:v>0.00919998160487756</x:v>
      </x:c>
      <x:c r="J111" s="37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33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33" t="n">
        <x:v>-0.02039796452820397</x:v>
      </x:c>
      <x:c r="J113" s="37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33" t="n">
        <x:v>0.00873621630106336</x:v>
      </x:c>
      <x:c r="J114" s="37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33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33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33" t="n">
        <x:v>-0.01245727160663579</x:v>
      </x:c>
      <x:c r="J117" s="37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33" t="n">
        <x:v>0.00119939517261769</x:v>
      </x:c>
      <x:c r="J118" s="37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33" t="n">
        <x:v>-0.007336579938711396</x:v>
      </x:c>
      <x:c r="J119" s="37" t="n">
        <x:f>ROUND(E119-F119,1)</x:f>
        <x:v>57.1</x:v>
      </x:c>
      <x:c r="K119" s="22" t="str">
        <x:v>上证指数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942.5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52.4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33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33" t="n">
        <x:v>0.004278243554293848</x:v>
      </x:c>
      <x:c r="J126" s="37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33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33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33" t="n">
        <x:v>-0.00740306275845426</x:v>
      </x:c>
      <x:c r="J129" s="37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33" t="n">
        <x:v>-0.016982228247106268</x:v>
      </x:c>
      <x:c r="J130" s="37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33" t="n">
        <x:v>0.01280263882364241</x:v>
      </x:c>
      <x:c r="J131" s="37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33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33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33" t="n">
        <x:v>0.01116124614686198</x:v>
      </x:c>
      <x:c r="J134" s="37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33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33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33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33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37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33" t="n">
        <x:v>-0.013655689270015259</x:v>
      </x:c>
      <x:c r="J140" s="37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33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33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33" t="n">
        <x:v>-0.022576135602434655</x:v>
      </x:c>
      <x:c r="J143" s="37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33" t="n">
        <x:v>0.011581074974051697</x:v>
      </x:c>
      <x:c r="J144" s="37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33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1152.8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54.9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33" t="n">
        <x:v>0.004408460336068787</x:v>
      </x:c>
      <x:c r="J151" s="37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33" t="n">
        <x:v>-0.02031635642986529</x:v>
      </x:c>
      <x:c r="J152" s="37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33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33" t="n">
        <x:v>-0.0005935246461109545</x:v>
      </x:c>
      <x:c r="J154" s="37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33" t="n">
        <x:v>-0.012619888944977231</x:v>
      </x:c>
      <x:c r="J155" s="37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33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33" t="n">
        <x:v>0.016547969215891634</x:v>
      </x:c>
      <x:c r="J157" s="37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33" t="n">
        <x:v>-0.010015879740077671</x:v>
      </x:c>
      <x:c r="J158" s="37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33" t="n">
        <x:v>-0.020612287796284434</x:v>
      </x:c>
      <x:c r="J159" s="37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33" t="n">
        <x:v>0.013628733273885363</x:v>
      </x:c>
      <x:c r="J160" s="37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33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33" t="n">
        <x:v>-0.018497919394880213</x:v>
      </x:c>
      <x:c r="J162" s="37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37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33" t="n">
        <x:v>0.008535791612980459</x:v>
      </x:c>
      <x:c r="J164" s="37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33" t="n">
        <x:v>0.017935979432496918</x:v>
      </x:c>
      <x:c r="J165" s="37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33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33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33" t="n">
        <x:v>-0.01614226239301697</x:v>
      </x:c>
      <x:c r="J168" s="37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33" t="n">
        <x:v>0.011548948665513148</x:v>
      </x:c>
      <x:c r="J169" s="37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33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33" t="n">
        <x:v>0.003975548801435025</x:v>
      </x:c>
      <x:c r="J171" s="37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33" t="n">
        <x:v>-0.0062113585844997266</x:v>
      </x:c>
      <x:c r="J172" s="37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33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1539.5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66.9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35" t="n">
        <x:v>202.8</x:v>
      </x:c>
      <x:c r="I5" s="33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33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33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33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35" t="n">
        <x:v>227.8</x:v>
      </x:c>
      <x:c r="I9" s="33" t="n">
        <x:v>0.029128199882361816</x:v>
      </x:c>
      <x:c r="J9" s="37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35" t="n">
        <x:v>263</x:v>
      </x:c>
      <x:c r="I10" s="33" t="n">
        <x:v>0.03267730232095811</x:v>
      </x:c>
      <x:c r="J10" s="37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35" t="n">
        <x:v>-151</x:v>
      </x:c>
      <x:c r="I11" s="33" t="n">
        <x:v>-0.01816781769617637</x:v>
      </x:c>
      <x:c r="J11" s="37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33" t="n">
        <x:v>-0.0005391892554286182</x:v>
      </x:c>
      <x:c r="J12" s="37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33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33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33" t="n">
        <x:v>-0.008037524735543422</x:v>
      </x:c>
      <x:c r="J16" s="37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33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33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35" t="n">
        <x:v>224</x:v>
      </x:c>
      <x:c r="I19" s="33" t="n">
        <x:v>0.027012034826230602</x:v>
      </x:c>
      <x:c r="J19" s="37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35" t="n">
        <x:v>-227.4</x:v>
      </x:c>
      <x:c r="I20" s="33" t="n">
        <x:v>-0.02670079609233722</x:v>
      </x:c>
      <x:c r="J20" s="37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33" t="n">
        <x:v>0.008203445447087843</x:v>
      </x:c>
      <x:c r="J21" s="37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33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33" t="n">
        <x:v>-0.0058249182362910545</x:v>
      </x:c>
      <x:c r="J23" s="37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33" t="n">
        <x:v>-0.008212270380597908</x:v>
      </x:c>
      <x:c r="J24" s="37" t="n">
        <x:f>ROUND(E24-F24,1)</x:f>
        <x:v>294.8</x:v>
      </x:c>
      <x:c r="K24" s="22" t="str">
        <x:v>IM2603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3977.6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198.9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35" t="n">
        <x:v>-388.8</x:v>
      </x:c>
      <x:c r="I30" s="33" t="n">
        <x:v>-0.04706679902186284</x:v>
      </x:c>
      <x:c r="J30" s="37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35" t="n">
        <x:v>311.2</x:v>
      </x:c>
      <x:c r="I31" s="33" t="n">
        <x:v>0.03953352473386018</x:v>
      </x:c>
      <x:c r="J31" s="37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33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35" t="n">
        <x:v>-163.6</x:v>
      </x:c>
      <x:c r="I33" s="33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33" t="n">
        <x:v>-0.006094678972113687</x:v>
      </x:c>
      <x:c r="J34" s="37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35" t="n">
        <x:v>241.8</x:v>
      </x:c>
      <x:c r="I35" s="33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33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33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33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33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33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33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33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2347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167.6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33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35" t="n">
        <x:v>-294.4</x:v>
      </x:c>
      <x:c r="I50" s="33" t="n">
        <x:v>-0.034948598019895916</x:v>
      </x:c>
      <x:c r="J50" s="37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33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33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33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33" t="n">
        <x:v>-0.0025329404028348046</x:v>
      </x:c>
      <x:c r="J54" s="37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33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33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33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33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33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35" t="n">
        <x:v>-173</x:v>
      </x:c>
      <x:c r="I60" s="33" t="n">
        <x:v>-0.02113106143886645</x:v>
      </x:c>
      <x:c r="J60" s="37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33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35" t="n">
        <x:v>-156.6</x:v>
      </x:c>
      <x:c r="I62" s="33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35" t="n">
        <x:v>-686.2</x:v>
      </x:c>
      <x:c r="I64" s="33" t="n">
        <x:v>-0.08712323201543892</x:v>
      </x:c>
      <x:c r="J64" s="37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35" t="n">
        <x:v>197.2</x:v>
      </x:c>
      <x:c r="I65" s="33" t="n">
        <x:v>0.02742698191933246</x:v>
      </x:c>
      <x:c r="J65" s="37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33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33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33" t="n">
        <x:v>0.02009328054666737</x:v>
      </x:c>
      <x:c r="J68" s="37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33" t="n">
        <x:v>-0.0019139264733246675</x:v>
      </x:c>
      <x:c r="J69" s="37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33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4290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195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33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33" t="n">
        <x:v>-0.019551512249620928</x:v>
      </x:c>
      <x:c r="J77" s="37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33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33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35" t="n">
        <x:v>401.4</x:v>
      </x:c>
      <x:c r="I80" s="33" t="n">
        <x:v>0.05441531328796456</x:v>
      </x:c>
      <x:c r="J80" s="37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33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33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33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33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33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33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33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33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35" t="n">
        <x:v>152.8</x:v>
      </x:c>
      <x:c r="I90" s="33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33" t="n">
        <x:v>-0.012447733935694538</x:v>
      </x:c>
      <x:c r="J91" s="37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33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33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33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33" t="n">
        <x:v>0.01757243694160615</x:v>
      </x:c>
      <x:c r="J95" s="37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33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2758.2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131.3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35" t="n">
        <x:v>182.4</x:v>
      </x:c>
      <x:c r="I102" s="33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35" t="n">
        <x:v>166</x:v>
      </x:c>
      <x:c r="I103" s="33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33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33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33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35" t="n">
        <x:v>168.8</x:v>
      </x:c>
      <x:c r="I107" s="33" t="n">
        <x:v>0.019398285412213667</x:v>
      </x:c>
      <x:c r="J107" s="37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35" t="n">
        <x:v>-180.8</x:v>
      </x:c>
      <x:c r="I108" s="33" t="n">
        <x:v>-0.020381935832976428</x:v>
      </x:c>
      <x:c r="J108" s="37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37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33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33" t="n">
        <x:v>0.009962236174501315</x:v>
      </x:c>
      <x:c r="J111" s="37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33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35" t="n">
        <x:v>-266.8</x:v>
      </x:c>
      <x:c r="I113" s="33" t="n">
        <x:v>-0.030649052268810983</x:v>
      </x:c>
      <x:c r="J113" s="37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35" t="n">
        <x:v>151.6</x:v>
      </x:c>
      <x:c r="I114" s="33" t="n">
        <x:v>0.01796591690170879</x:v>
      </x:c>
      <x:c r="J114" s="37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33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33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35" t="n">
        <x:v>-154.8</x:v>
      </x:c>
      <x:c r="I117" s="33" t="n">
        <x:v>-0.01800837598883198</x:v>
      </x:c>
      <x:c r="J117" s="37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33" t="n">
        <x:v>0.009856418518693788</x:v>
      </x:c>
      <x:c r="J118" s="37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35" t="n">
        <x:v>-179.6</x:v>
      </x:c>
      <x:c r="I119" s="33" t="n">
        <x:v>-0.021068931537703617</x:v>
      </x:c>
      <x:c r="J119" s="37" t="n">
        <x:f>ROUND(E119-F119,1)</x:f>
        <x:v>298.2</x:v>
      </x:c>
      <x:c r="K119" s="22" t="str">
        <x:v>IM2606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3519.6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195.5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33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33" t="n">
        <x:v>0.002263478533073515</x:v>
      </x:c>
      <x:c r="J126" s="37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33" t="n">
        <x:v>0.0052615140667418014</x:v>
      </x:c>
      <x:c r="J127" s="37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33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33" t="n">
        <x:v>-0.007540575477569811</x:v>
      </x:c>
      <x:c r="J129" s="37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35" t="n">
        <x:v>-219</x:v>
      </x:c>
      <x:c r="I130" s="33" t="n">
        <x:v>-0.026411635591789384</x:v>
      </x:c>
      <x:c r="J130" s="37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35" t="n">
        <x:v>160.6</x:v>
      </x:c>
      <x:c r="I131" s="33" t="n">
        <x:v>0.019893964919234897</x:v>
      </x:c>
      <x:c r="J131" s="37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33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33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33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35" t="n">
        <x:v>278.4</x:v>
      </x:c>
      <x:c r="I135" s="33" t="n">
        <x:v>0.03396447394105029</x:v>
      </x:c>
      <x:c r="J135" s="37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33" t="n">
        <x:v>0.01500849537474025</x:v>
      </x:c>
      <x:c r="J136" s="37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33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33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35" t="n">
        <x:v>-371.2</x:v>
      </x:c>
      <x:c r="I140" s="33" t="n">
        <x:v>-0.042305851245697745</x:v>
      </x:c>
      <x:c r="J140" s="37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33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33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35" t="n">
        <x:v>-204.6</x:v>
      </x:c>
      <x:c r="I143" s="33" t="n">
        <x:v>-0.024003378774724693</x:v>
      </x:c>
      <x:c r="J143" s="37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33" t="n">
        <x:v>-0.001274160977017047</x:v>
      </x:c>
      <x:c r="J144" s="37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35" t="n">
        <x:v>195.6</x:v>
      </x:c>
      <x:c r="I145" s="33" t="n">
        <x:v>0.02354187227691784</x:v>
      </x:c>
      <x:c r="J145" s="37" t="n">
        <x:f>ROUND(E145-F145,1)</x:f>
        <x:v>248.8</x:v>
      </x:c>
      <x:c r="K145" s="22" t="str">
        <x:v>IM2609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3848.2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183.2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33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33" t="n">
        <x:v>-0.017305344228421116</x:v>
      </x:c>
      <x:c r="J152" s="37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33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33" t="n">
        <x:v>-0.012898602651379432</x:v>
      </x:c>
      <x:c r="J154" s="37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33" t="n">
        <x:v>-0.018124621899576532</x:v>
      </x:c>
      <x:c r="J155" s="37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33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35" t="n">
        <x:v>153.4</x:v>
      </x:c>
      <x:c r="I157" s="33" t="n">
        <x:v>0.019237521946325442</x:v>
      </x:c>
      <x:c r="J157" s="37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33" t="n">
        <x:v>-0.013288382508551355</x:v>
      </x:c>
      <x:c r="J158" s="37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35" t="n">
        <x:v>-335</x:v>
      </x:c>
      <x:c r="I159" s="33" t="n">
        <x:v>-0.04177369878045745</x:v>
      </x:c>
      <x:c r="J159" s="37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33" t="n">
        <x:v>0.013481859351413217</x:v>
      </x:c>
      <x:c r="J160" s="37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33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35" t="n">
        <x:v>-170.6</x:v>
      </x:c>
      <x:c r="I162" s="33" t="n">
        <x:v>-0.022089289413714464</x:v>
      </x:c>
      <x:c r="J162" s="37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35" t="n">
        <x:v>-487.4</x:v>
      </x:c>
      <x:c r="I163" s="43" t="n">
        <x:v>-0.06453406773826242</x:v>
      </x:c>
      <x:c r="J163" s="37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35" t="n">
        <x:v>-215.4</x:v>
      </x:c>
      <x:c r="I164" s="33" t="n">
        <x:v>-0.030487459661439065</x:v>
      </x:c>
      <x:c r="J164" s="37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35" t="n">
        <x:v>314.6</x:v>
      </x:c>
      <x:c r="I165" s="33" t="n">
        <x:v>0.04592834827294223</x:v>
      </x:c>
      <x:c r="J165" s="37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33" t="n">
        <x:v>-0.018926916420076934</x:v>
      </x:c>
      <x:c r="J166" s="37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33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35" t="n">
        <x:v>-191.4</x:v>
      </x:c>
      <x:c r="I168" s="33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35" t="n">
        <x:v>268.6</x:v>
      </x:c>
      <x:c r="I169" s="33" t="n">
        <x:v>0.039039562803407035</x:v>
      </x:c>
      <x:c r="J169" s="37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35" t="n">
        <x:v>-205.6</x:v>
      </x:c>
      <x:c r="I170" s="33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33" t="n">
        <x:v>0.014978684180205093</x:v>
      </x:c>
      <x:c r="J171" s="37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35" t="n">
        <x:v>-202</x:v>
      </x:c>
      <x:c r="I172" s="33" t="n">
        <x:v>-0.028663866500170276</x:v>
      </x:c>
      <x:c r="J172" s="37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33" t="n">
        <x:v>0.020832115935254025</x:v>
      </x:c>
      <x:c r="J173" s="37" t="n">
        <x:f>ROUND(E173-F173,1)</x:f>
        <x:v>219</x:v>
      </x:c>
      <x:c r="K173" s="22" t="str">
        <x:v>IM2609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6087.2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264.7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35" t="n">
        <x:v>233.2</x:v>
      </x:c>
      <x:c r="I5" s="33" t="n">
        <x:v>0.031672733199326286</x:v>
      </x:c>
      <x:c r="J5" s="37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35" t="n">
        <x:v>190.4</x:v>
      </x:c>
      <x:c r="I6" s="33" t="n">
        <x:v>0.02506582411795688</x:v>
      </x:c>
      <x:c r="J6" s="37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33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33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35" t="n">
        <x:v>223.4</x:v>
      </x:c>
      <x:c r="I9" s="33" t="n">
        <x:v>0.028588247338247497</x:v>
      </x:c>
      <x:c r="J9" s="37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35" t="n">
        <x:v>198.8</x:v>
      </x:c>
      <x:c r="I10" s="33" t="n">
        <x:v>0.024733135932717865</x:v>
      </x:c>
      <x:c r="J10" s="37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33" t="n">
        <x:v>-0.012796542262584087</x:v>
      </x:c>
      <x:c r="J11" s="37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33" t="n">
        <x:v>0.008190672963400258</x:v>
      </x:c>
      <x:c r="J12" s="37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33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33" t="n">
        <x:v>0.006771899054857311</x:v>
      </x:c>
      <x:c r="J15" s="37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33" t="n">
        <x:v>-0.002080812968787926</x:v>
      </x:c>
      <x:c r="J16" s="37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33" t="n">
        <x:v>0.014814276015905348</x:v>
      </x:c>
      <x:c r="J17" s="37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33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35" t="n">
        <x:v>258.2</x:v>
      </x:c>
      <x:c r="I19" s="33" t="n">
        <x:v>0.030738095238095342</x:v>
      </x:c>
      <x:c r="J19" s="37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35" t="n">
        <x:v>-188.2</x:v>
      </x:c>
      <x:c r="I20" s="33" t="n">
        <x:v>-0.0217366196207065</x:v>
      </x:c>
      <x:c r="J20" s="37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33" t="n">
        <x:v>0.009161747343565674</x:v>
      </x:c>
      <x:c r="J21" s="37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33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33" t="n">
        <x:v>-0.012108559498956062</x:v>
      </x:c>
      <x:c r="J23" s="37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35" t="n">
        <x:v>-155.2</x:v>
      </x:c>
      <x:c r="I24" s="33" t="n">
        <x:v>-0.01822109514417214</x:v>
      </x:c>
      <x:c r="J24" s="37" t="n">
        <x:f>ROUND(E24-F24,1)</x:f>
        <x:v>400</x:v>
      </x:c>
      <x:c r="K24" s="22" t="str">
        <x:v>IC2603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3932.6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196.6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35" t="n">
        <x:v>-459.2</x:v>
      </x:c>
      <x:c r="I30" s="33" t="n">
        <x:v>-0.0549124653209605</x:v>
      </x:c>
      <x:c r="J30" s="37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35" t="n">
        <x:v>378.8</x:v>
      </x:c>
      <x:c r="I31" s="33" t="n">
        <x:v>0.0479299524243344</x:v>
      </x:c>
      <x:c r="J31" s="37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33" t="n">
        <x:v>0.0038155035015696726</x:v>
      </x:c>
      <x:c r="J32" s="37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35" t="n">
        <x:v>-193.4</x:v>
      </x:c>
      <x:c r="I33" s="33" t="n">
        <x:v>-0.023263086989992354</x:v>
      </x:c>
      <x:c r="J33" s="37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33" t="n">
        <x:v>-0.0003448190931257811</x:v>
      </x:c>
      <x:c r="J34" s="37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35" t="n">
        <x:v>194.2</x:v>
      </x:c>
      <x:c r="I35" s="33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33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33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33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35" t="n">
        <x:v>-174</x:v>
      </x:c>
      <x:c r="I39" s="33" t="n">
        <x:v>-0.020594640659028496</x:v>
      </x:c>
      <x:c r="J39" s="37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35" t="n">
        <x:v>157.4</x:v>
      </x:c>
      <x:c r="I41" s="33" t="n">
        <x:v>0.01880166276458506</x:v>
      </x:c>
      <x:c r="J41" s="37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33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33" t="n">
        <x:v>0.012650221378874171</x:v>
      </x:c>
      <x:c r="J43" s="37" t="n">
        <x:f>ROUND(E43-F43,1)</x:f>
        <x:v>166</x:v>
      </x:c>
      <x:c r="K43" s="22" t="str">
        <x:v>IC2603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2618.4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187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33" t="n">
        <x:v>-0.0021282994424780544</x:v>
      </x:c>
      <x:c r="J49" s="37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35" t="n">
        <x:v>-360.8</x:v>
      </x:c>
      <x:c r="I50" s="33" t="n">
        <x:v>-0.04182218615973099</x:v>
      </x:c>
      <x:c r="J50" s="37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33" t="n">
        <x:v>-0.00566160992959297</x:v>
      </x:c>
      <x:c r="J51" s="37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33" t="n">
        <x:v>0.004404214419544195</x:v>
      </x:c>
      <x:c r="J52" s="37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33" t="n">
        <x:v>0.008115703280197728</x:v>
      </x:c>
      <x:c r="J53" s="37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33" t="n">
        <x:v>-0.006680604618748975</x:v>
      </x:c>
      <x:c r="J54" s="37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33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33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33" t="n">
        <x:v>-0.00705741626794254</x:v>
      </x:c>
      <x:c r="J57" s="37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33" t="n">
        <x:v>-0.01050475846283594</x:v>
      </x:c>
      <x:c r="J58" s="37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33" t="n">
        <x:v>-0.004309820058925218</x:v>
      </x:c>
      <x:c r="J59" s="37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35" t="n">
        <x:v>-178.4</x:v>
      </x:c>
      <x:c r="I60" s="33" t="n">
        <x:v>-0.021813557664090766</x:v>
      </x:c>
      <x:c r="J60" s="37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33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35" t="n">
        <x:v>-199.6</x:v>
      </x:c>
      <x:c r="I62" s="33" t="n">
        <x:v>-0.024684640118723733</x:v>
      </x:c>
      <x:c r="J62" s="37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35" t="n">
        <x:v>-609.4</x:v>
      </x:c>
      <x:c r="I64" s="33" t="n">
        <x:v>-0.07768599255519859</x:v>
      </x:c>
      <x:c r="J64" s="37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35" t="n">
        <x:v>174.6</x:v>
      </x:c>
      <x:c r="I65" s="33" t="n">
        <x:v>0.024132688320663398</x:v>
      </x:c>
      <x:c r="J65" s="37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33" t="n">
        <x:v>0.01624919023968907</x:v>
      </x:c>
      <x:c r="J66" s="37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33" t="n">
        <x:v>-0.015431606905710438</x:v>
      </x:c>
      <x:c r="J67" s="37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33" t="n">
        <x:v>0.01961207477946525</x:v>
      </x:c>
      <x:c r="J68" s="37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33" t="n">
        <x:v>0.00018520478357508807</x:v>
      </x:c>
      <x:c r="J69" s="37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33" t="n">
        <x:v>-0.017935084517101907</x:v>
      </x:c>
      <x:c r="J70" s="37" t="n">
        <x:f>ROUND(E70-F70,1)</x:f>
        <x:v>201.2</x:v>
      </x:c>
      <x:c r="K70" s="22" t="str">
        <x:v>IC2606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4686.2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213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33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35" t="n">
        <x:v>-156.2</x:v>
      </x:c>
      <x:c r="I77" s="33" t="n">
        <x:v>-0.020645536493166583</x:v>
      </x:c>
      <x:c r="J77" s="37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33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33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35" t="n">
        <x:v>443</x:v>
      </x:c>
      <x:c r="I80" s="33" t="n">
        <x:v>0.059955608488523104</x:v>
      </x:c>
      <x:c r="J80" s="37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33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33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33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33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33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35" t="n">
        <x:v>161</x:v>
      </x:c>
      <x:c r="I86" s="33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33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33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33" t="n">
        <x:v>0.017207424548274508</x:v>
      </x:c>
      <x:c r="J90" s="37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33" t="n">
        <x:v>-0.010551535538830259</x:v>
      </x:c>
      <x:c r="J91" s="37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33" t="n">
        <x:v>-0.00540540540540535</x:v>
      </x:c>
      <x:c r="J92" s="37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33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33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35" t="n">
        <x:v>175.4</x:v>
      </x:c>
      <x:c r="I95" s="33" t="n">
        <x:v>0.021668766832209085</x:v>
      </x:c>
      <x:c r="J95" s="37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33" t="n">
        <x:v>0</x:v>
      </x:c>
      <x:c r="J96" s="23" t="n">
        <x:f>ROUND(E96-F96,1)</x:f>
        <x:v>81.8</x:v>
      </x:c>
      <x:c r="K96" s="22" t="str">
        <x:v>IC2606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2892.8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137.8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35" t="n">
        <x:v>227.6</x:v>
      </x:c>
      <x:c r="I102" s="33" t="n">
        <x:v>0.027521160822249202</x:v>
      </x:c>
      <x:c r="J102" s="37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33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33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33" t="n">
        <x:v>0.013664625092798977</x:v>
      </x:c>
      <x:c r="J105" s="37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33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35" t="n">
        <x:v>154.8</x:v>
      </x:c>
      <x:c r="I107" s="33" t="n">
        <x:v>0.017802516272972024</x:v>
      </x:c>
      <x:c r="J107" s="37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35" t="n">
        <x:v>-242.2</x:v>
      </x:c>
      <x:c r="I108" s="33" t="n">
        <x:v>-0.027366613183882893</x:v>
      </x:c>
      <x:c r="J108" s="37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35" t="n">
        <x:v>-159.2</x:v>
      </x:c>
      <x:c r="I109" s="43" t="n">
        <x:v>-0.018494423791821646</x:v>
      </x:c>
      <x:c r="J109" s="37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33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33" t="n">
        <x:v>0.006604396641192611</x:v>
      </x:c>
      <x:c r="J111" s="37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33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35" t="n">
        <x:v>-247</x:v>
      </x:c>
      <x:c r="I113" s="33" t="n">
        <x:v>-0.02880869626070126</x:v>
      </x:c>
      <x:c r="J113" s="37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33" t="n">
        <x:v>0.01710140750348299</x:v>
      </x:c>
      <x:c r="J114" s="37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33" t="n">
        <x:v>0.013413309403485396</x:v>
      </x:c>
      <x:c r="J115" s="37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33" t="n">
        <x:v>-0.0020739152724051912</x:v>
      </x:c>
      <x:c r="J116" s="37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33" t="n">
        <x:v>-0.017419731465265653</x:v>
      </x:c>
      <x:c r="J117" s="37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33" t="n">
        <x:v>0.005014377718101759</x:v>
      </x:c>
      <x:c r="J118" s="37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35" t="n">
        <x:v>-183.4</x:v>
      </x:c>
      <x:c r="I119" s="33" t="n">
        <x:v>-0.02168361314731615</x:v>
      </x:c>
      <x:c r="J119" s="37" t="n">
        <x:f>ROUND(E119-F119,1)</x:f>
        <x:v>299.8</x:v>
      </x:c>
      <x:c r="K119" s="22" t="str">
        <x:v>IC2606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3632.2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201.8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33" t="n">
        <x:v>-0.005970077103424898</x:v>
      </x:c>
      <x:c r="J125" s="37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33" t="n">
        <x:v>0.004279531196809572</x:v>
      </x:c>
      <x:c r="J126" s="37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33" t="n">
        <x:v>0.006513001791681017</x:v>
      </x:c>
      <x:c r="J127" s="37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33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33" t="n">
        <x:v>-0.013204501096359178</x:v>
      </x:c>
      <x:c r="J129" s="37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35" t="n">
        <x:v>-255.6</x:v>
      </x:c>
      <x:c r="I130" s="33" t="n">
        <x:v>-0.031206505017947417</x:v>
      </x:c>
      <x:c r="J130" s="37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35" t="n">
        <x:v>177.4</x:v>
      </x:c>
      <x:c r="I131" s="33" t="n">
        <x:v>0.022356647763075</x:v>
      </x:c>
      <x:c r="J131" s="37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33" t="n">
        <x:v>-0.010872244958335386</x:v>
      </x:c>
      <x:c r="J132" s="37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33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33" t="n">
        <x:v>0.015818190919557384</x:v>
      </x:c>
      <x:c r="J134" s="37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35" t="n">
        <x:v>267.6</x:v>
      </x:c>
      <x:c r="I135" s="33" t="n">
        <x:v>0.03296703296703285</x:v>
      </x:c>
      <x:c r="J135" s="37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33" t="n">
        <x:v>0.010852972044652187</x:v>
      </x:c>
      <x:c r="J136" s="37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33" t="n">
        <x:v>0.01621085915193854</x:v>
      </x:c>
      <x:c r="J137" s="37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33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37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35" t="n">
        <x:v>-323.2</x:v>
      </x:c>
      <x:c r="I140" s="33" t="n">
        <x:v>-0.03681848214896</x:v>
      </x:c>
      <x:c r="J140" s="37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33" t="n">
        <x:v>0.016558249556475557</x:v>
      </x:c>
      <x:c r="J141" s="37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33" t="n">
        <x:v>0.012146596858638725</x:v>
      </x:c>
      <x:c r="J142" s="37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35" t="n">
        <x:v>-252.4</x:v>
      </x:c>
      <x:c r="I143" s="33" t="n">
        <x:v>-0.029013495183575877</x:v>
      </x:c>
      <x:c r="J143" s="37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33" t="n">
        <x:v>0.010725701432461321</x:v>
      </x:c>
      <x:c r="J144" s="37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35" t="n">
        <x:v>245.4</x:v>
      </x:c>
      <x:c r="I145" s="33" t="n">
        <x:v>0.028743440779610108</x:v>
      </x:c>
      <x:c r="J145" s="37" t="n">
        <x:f>ROUND(E145-F145,1)</x:f>
        <x:v>293</x:v>
      </x:c>
      <x:c r="K145" s="22" t="str">
        <x:v>IC2609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4146.2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197.4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33" t="n">
        <x:v>-0.007969941933280156</x:v>
      </x:c>
      <x:c r="J151" s="37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35" t="n">
        <x:v>-225</x:v>
      </x:c>
      <x:c r="I152" s="33" t="n">
        <x:v>-0.025823482153104593</x:v>
      </x:c>
      <x:c r="J152" s="37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33" t="n">
        <x:v>0.005890669180018904</x:v>
      </x:c>
      <x:c r="J153" s="37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33" t="n">
        <x:v>-0.008315764816116178</x:v>
      </x:c>
      <x:c r="J154" s="37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33" t="n">
        <x:v>-0.01705444667532774</x:v>
      </x:c>
      <x:c r="J155" s="37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33" t="n">
        <x:v>-0.008098430778843091</x:v>
      </x:c>
      <x:c r="J156" s="37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35" t="n">
        <x:v>247.2</x:v>
      </x:c>
      <x:c r="I157" s="33" t="n">
        <x:v>0.029944762089349597</x:v>
      </x:c>
      <x:c r="J157" s="37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35" t="n">
        <x:v>-169.4</x:v>
      </x:c>
      <x:c r="I158" s="33" t="n">
        <x:v>-0.019923786225065854</x:v>
      </x:c>
      <x:c r="J158" s="37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35" t="n">
        <x:v>-311.4</x:v>
      </x:c>
      <x:c r="I159" s="33" t="n">
        <x:v>-0.037369494779791124</x:v>
      </x:c>
      <x:c r="J159" s="37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33" t="n">
        <x:v>0.011892889199162315</x:v>
      </x:c>
      <x:c r="J160" s="37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33" t="n">
        <x:v>-0.008697794751755583</x:v>
      </x:c>
      <x:c r="J161" s="37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35" t="n">
        <x:v>-176.8</x:v>
      </x:c>
      <x:c r="I162" s="33" t="n">
        <x:v>-0.021972559156890004</x:v>
      </x:c>
      <x:c r="J162" s="37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35" t="n">
        <x:v>-480.6</x:v>
      </x:c>
      <x:c r="I163" s="43" t="n">
        <x:v>-0.06107044830741082</x:v>
      </x:c>
      <x:c r="J163" s="37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33" t="n">
        <x:v>-0.011747191771552368</x:v>
      </x:c>
      <x:c r="J164" s="37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35" t="n">
        <x:v>383.6</x:v>
      </x:c>
      <x:c r="I165" s="33" t="n">
        <x:v>0.052532113609597086</x:v>
      </x:c>
      <x:c r="J165" s="37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33" t="n">
        <x:v>-0.009732233469515239</x:v>
      </x:c>
      <x:c r="J166" s="37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33" t="n">
        <x:v>-0.0011036657469452038</x:v>
      </x:c>
      <x:c r="J167" s="37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35" t="n">
        <x:v>-186.6</x:v>
      </x:c>
      <x:c r="I168" s="33" t="n">
        <x:v>-0.024544234867019177</x:v>
      </x:c>
      <x:c r="J168" s="37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35" t="n">
        <x:v>231</x:v>
      </x:c>
      <x:c r="I169" s="33" t="n">
        <x:v>0.03114886731391575</x:v>
      </x:c>
      <x:c r="J169" s="37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35" t="n">
        <x:v>-294.6</x:v>
      </x:c>
      <x:c r="I170" s="33" t="n">
        <x:v>-0.03852491173009032</x:v>
      </x:c>
      <x:c r="J170" s="37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33" t="n">
        <x:v>0.013845819052282327</x:v>
      </x:c>
      <x:c r="J171" s="37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35" t="n">
        <x:v>-208.6</x:v>
      </x:c>
      <x:c r="I172" s="33" t="n">
        <x:v>-0.027984223659145102</x:v>
      </x:c>
      <x:c r="J172" s="37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33" t="n">
        <x:v>0.020619410400794846</x:v>
      </x:c>
      <x:c r="J173" s="37" t="n">
        <x:f>ROUND(E173-F173,1)</x:f>
        <x:v>222.2</x:v>
      </x:c>
      <x:c r="K173" s="22" t="str">
        <x:v>IC2609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6264.2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272.4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33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33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33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33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33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33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33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33" t="n">
        <x:v>-0.003908712646576773</x:v>
      </x:c>
      <x:c r="J12" s="37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33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33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33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33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33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33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33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33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33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33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33" t="n">
        <x:v>-0.01525919732441472</x:v>
      </x:c>
      <x:c r="J24" s="37" t="n">
        <x:f>ROUND(E24-F24,1)</x:f>
        <x:v>140</x:v>
      </x:c>
      <x:c r="K24" s="22" t="str">
        <x:v>IF2603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1404.2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70.2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33" t="n">
        <x:v>-0.028359159414137247</x:v>
      </x:c>
      <x:c r="J30" s="37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33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33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33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33" t="n">
        <x:v>-0.005916145074166046</x:v>
      </x:c>
      <x:c r="J34" s="37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33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33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33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33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33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33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33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33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863.8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61.7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33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33" t="n">
        <x:v>-0.012693156732891842</x:v>
      </x:c>
      <x:c r="J50" s="37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33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33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33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33" t="n">
        <x:v>-0.010073181231166628</x:v>
      </x:c>
      <x:c r="J54" s="37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33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33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33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33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33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33" t="n">
        <x:v>-0.007291756026421847</x:v>
      </x:c>
      <x:c r="J60" s="37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33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33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35" t="n">
        <x:v>-252.4</x:v>
      </x:c>
      <x:c r="I64" s="33" t="n">
        <x:v>-0.05490776192133673</x:v>
      </x:c>
      <x:c r="J64" s="37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33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33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33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33" t="n">
        <x:v>0.0071428571428571175</x:v>
      </x:c>
      <x:c r="J68" s="37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33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33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1555.2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70.7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33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33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33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33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35" t="n">
        <x:v>179.6</x:v>
      </x:c>
      <x:c r="I80" s="33" t="n">
        <x:v>0.04119266055045889</x:v>
      </x:c>
      <x:c r="J80" s="37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33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33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33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33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33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33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33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33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33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33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33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33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33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33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33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1171.2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55.8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33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33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33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33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33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33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33" t="n">
        <x:v>-0.016985992593785304</x:v>
      </x:c>
      <x:c r="J108" s="37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37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33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33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33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33" t="n">
        <x:v>-0.013231806266383761</x:v>
      </x:c>
      <x:c r="J113" s="37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33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33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33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33" t="n">
        <x:v>-0.00857282821685168</x:v>
      </x:c>
      <x:c r="J117" s="37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33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33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1375.4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76.4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33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33" t="n">
        <x:v>0.014051132820619427</x:v>
      </x:c>
      <x:c r="J126" s="37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33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33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33" t="n">
        <x:v>-0.01933894477520015</x:v>
      </x:c>
      <x:c r="J129" s="37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33" t="n">
        <x:v>-0.019720314855133148</x:v>
      </x:c>
      <x:c r="J130" s="37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33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33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33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33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33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33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33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33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37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35" t="n">
        <x:v>-216.8</x:v>
      </x:c>
      <x:c r="I140" s="33" t="n">
        <x:v>-0.04310824783265732</x:v>
      </x:c>
      <x:c r="J140" s="37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33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33" t="n">
        <x:v>0.01577378488035097</x:v>
      </x:c>
      <x:c r="J142" s="37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35" t="n">
        <x:v>-158.8</x:v>
      </x:c>
      <x:c r="I143" s="33" t="n">
        <x:v>-0.032361931933971966</x:v>
      </x:c>
      <x:c r="J143" s="37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33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33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1885.4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89.8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33" t="n">
        <x:v>-0.0050661065118003945</x:v>
      </x:c>
      <x:c r="J151" s="37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33" t="n">
        <x:v>-0.02314124855108468</x:v>
      </x:c>
      <x:c r="J152" s="37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33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33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33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33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33" t="n">
        <x:v>0.02416452442159378</x:v>
      </x:c>
      <x:c r="J157" s="37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33" t="n">
        <x:v>-0.015938755020080242</x:v>
      </x:c>
      <x:c r="J158" s="37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33" t="n">
        <x:v>-0.014879054542362824</x:v>
      </x:c>
      <x:c r="J159" s="37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33" t="n">
        <x:v>0.011953566650843683</x:v>
      </x:c>
      <x:c r="J160" s="37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33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33" t="n">
        <x:v>-0.015220248441938256</x:v>
      </x:c>
      <x:c r="J162" s="37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35" t="n">
        <x:v>-171.8</x:v>
      </x:c>
      <x:c r="I163" s="43" t="n">
        <x:v>-0.036981229550542505</x:v>
      </x:c>
      <x:c r="J163" s="37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33" t="n">
        <x:v>0.016093701104206604</x:v>
      </x:c>
      <x:c r="J164" s="37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33" t="n">
        <x:v>0.02565005059615455</x:v>
      </x:c>
      <x:c r="J165" s="37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33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33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33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33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33" t="n">
        <x:v>-0.02811814781374955</x:v>
      </x:c>
      <x:c r="J170" s="37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33" t="n">
        <x:v>0.0052643220526431556</x:v>
      </x:c>
      <x:c r="J171" s="37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33" t="n">
        <x:v>-0.008053159654990427</x:v>
      </x:c>
      <x:c r="J172" s="37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33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2304.4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100.2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33" t="n">
        <x:v>0.024396694214876113</x:v>
      </x:c>
      <x:c r="J5" s="37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33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33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33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33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33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33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33" t="n">
        <x:v>-0.0075216726160122205</x:v>
      </x:c>
      <x:c r="J12" s="37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33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33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33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33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33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33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33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33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33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33" t="n">
        <x:v>0.019740699719851484</x:v>
      </x:c>
      <x:c r="J23" s="37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33" t="n">
        <x:v>-0.01801686685407622</x:v>
      </x:c>
      <x:c r="J24" s="37" t="n">
        <x:f>ROUND(E24-F24,1)</x:f>
        <x:v>84.4</x:v>
      </x:c>
      <x:c r="K24" s="22" t="str">
        <x:v>IH2603</x:v>
      </x:c>
    </x:row>
    <x:row r="25">
      <x:c r="A25" s="26" t="str">
        <x:v>合计</x:v>
      </x:c>
      <x:c r="B25" s="25" t="n">
        <x:v>20</x:v>
      </x:c>
      <x:c r="C25" s="25"/>
      <x:c r="D25" s="25"/>
      <x:c r="E25" s="25"/>
      <x:c r="F25" s="25"/>
      <x:c r="G25" s="25"/>
      <x:c r="H25" s="25"/>
      <x:c r="I25" s="25"/>
      <x:c r="J25" s="27" t="n">
        <x:f>ROUND(SUM(J5:J24),1)</x:f>
        <x:v>933</x:v>
      </x:c>
      <x:c r="K25" s="25"/>
    </x:row>
    <x:row r="26">
      <x:c r="A26" s="26" t="str">
        <x:v>均值</x:v>
      </x:c>
      <x:c r="B26" s="25"/>
      <x:c r="C26" s="25"/>
      <x:c r="D26" s="25"/>
      <x:c r="E26" s="25"/>
      <x:c r="F26" s="25"/>
      <x:c r="G26" s="25"/>
      <x:c r="H26" s="25"/>
      <x:c r="I26" s="25"/>
      <x:c r="J26" s="29" t="n">
        <x:f>ROUND(IFERROR(AVERAGE(J5:J24),0),1)</x:f>
        <x:v>46.7</x:v>
      </x:c>
      <x:c r="K26" s="2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33" t="n">
        <x:v>-0.022706571242680607</x:v>
      </x:c>
      <x:c r="J30" s="37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33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33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33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33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33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33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33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33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33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33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33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33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26" t="str">
        <x:v>合计</x:v>
      </x:c>
      <x:c r="B44" s="25" t="n">
        <x:v>14</x:v>
      </x:c>
      <x:c r="C44" s="25"/>
      <x:c r="D44" s="25"/>
      <x:c r="E44" s="25"/>
      <x:c r="F44" s="25"/>
      <x:c r="G44" s="25"/>
      <x:c r="H44" s="25"/>
      <x:c r="I44" s="25"/>
      <x:c r="J44" s="27" t="n">
        <x:f>ROUND(SUM(J30:J43),1)</x:f>
        <x:v>541.8</x:v>
      </x:c>
      <x:c r="K44" s="25"/>
    </x:row>
    <x:row r="45">
      <x:c r="A45" s="26" t="str">
        <x:v>均值</x:v>
      </x:c>
      <x:c r="B45" s="25"/>
      <x:c r="C45" s="25"/>
      <x:c r="D45" s="25"/>
      <x:c r="E45" s="25"/>
      <x:c r="F45" s="25"/>
      <x:c r="G45" s="25"/>
      <x:c r="H45" s="25"/>
      <x:c r="I45" s="25"/>
      <x:c r="J45" s="29" t="n">
        <x:f>ROUND(IFERROR(AVERAGE(J30:J43),0),1)</x:f>
        <x:v>38.7</x:v>
      </x:c>
      <x:c r="K45" s="2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33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33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33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33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33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33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33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33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33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33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33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33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33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33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33" t="n">
        <x:v>-0.04223019597019051</x:v>
      </x:c>
      <x:c r="J64" s="37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33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33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33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33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33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33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26" t="str">
        <x:v>合计</x:v>
      </x:c>
      <x:c r="B71" s="25" t="n">
        <x:v>22</x:v>
      </x:c>
      <x:c r="C71" s="25"/>
      <x:c r="D71" s="25"/>
      <x:c r="E71" s="25"/>
      <x:c r="F71" s="25"/>
      <x:c r="G71" s="25"/>
      <x:c r="H71" s="25"/>
      <x:c r="I71" s="25"/>
      <x:c r="J71" s="27" t="n">
        <x:f>ROUND(SUM(J49:J70),1)</x:f>
        <x:v>881.6</x:v>
      </x:c>
      <x:c r="K71" s="25"/>
    </x:row>
    <x:row r="72">
      <x:c r="A72" s="26" t="str">
        <x:v>均值</x:v>
      </x:c>
      <x:c r="B72" s="25"/>
      <x:c r="C72" s="25"/>
      <x:c r="D72" s="25"/>
      <x:c r="E72" s="25"/>
      <x:c r="F72" s="25"/>
      <x:c r="G72" s="25"/>
      <x:c r="H72" s="25"/>
      <x:c r="I72" s="25"/>
      <x:c r="J72" s="29" t="n">
        <x:f>ROUND(IFERROR(AVERAGE(J49:J70),0),1)</x:f>
        <x:v>40.1</x:v>
      </x:c>
      <x:c r="K72" s="2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33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33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33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33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33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33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33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33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33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33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33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33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33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33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33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33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33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33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33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33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26" t="str">
        <x:v>合计</x:v>
      </x:c>
      <x:c r="B97" s="25" t="n">
        <x:v>21</x:v>
      </x:c>
      <x:c r="C97" s="25"/>
      <x:c r="D97" s="25"/>
      <x:c r="E97" s="25"/>
      <x:c r="F97" s="25"/>
      <x:c r="G97" s="25"/>
      <x:c r="H97" s="25"/>
      <x:c r="I97" s="25"/>
      <x:c r="J97" s="27" t="n">
        <x:f>ROUND(SUM(J76:J96),1)</x:f>
        <x:v>590</x:v>
      </x:c>
      <x:c r="K97" s="25"/>
    </x:row>
    <x:row r="98">
      <x:c r="A98" s="26" t="str">
        <x:v>均值</x:v>
      </x:c>
      <x:c r="B98" s="25"/>
      <x:c r="C98" s="25"/>
      <x:c r="D98" s="25"/>
      <x:c r="E98" s="25"/>
      <x:c r="F98" s="25"/>
      <x:c r="G98" s="25"/>
      <x:c r="H98" s="25"/>
      <x:c r="I98" s="25"/>
      <x:c r="J98" s="29" t="n">
        <x:f>ROUND(IFERROR(AVERAGE(J76:J96),0),1)</x:f>
        <x:v>28.1</x:v>
      </x:c>
      <x:c r="K98" s="2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33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33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33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33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33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33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33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33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33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33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33" t="n">
        <x:v>-0.010562900367997785</x:v>
      </x:c>
      <x:c r="J113" s="37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33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33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33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33" t="n">
        <x:v>-0.015157666802002923</x:v>
      </x:c>
      <x:c r="J117" s="37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33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33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26" t="str">
        <x:v>合计</x:v>
      </x:c>
      <x:c r="B120" s="25" t="n">
        <x:v>18</x:v>
      </x:c>
      <x:c r="C120" s="25"/>
      <x:c r="D120" s="25"/>
      <x:c r="E120" s="25"/>
      <x:c r="F120" s="25"/>
      <x:c r="G120" s="25"/>
      <x:c r="H120" s="25"/>
      <x:c r="I120" s="25"/>
      <x:c r="J120" s="27" t="n">
        <x:f>ROUND(SUM(J102:J119),1)</x:f>
        <x:v>739.4</x:v>
      </x:c>
      <x:c r="K120" s="25"/>
    </x:row>
    <x:row r="121">
      <x:c r="A121" s="26" t="str">
        <x:v>均值</x:v>
      </x:c>
      <x:c r="B121" s="25"/>
      <x:c r="C121" s="25"/>
      <x:c r="D121" s="25"/>
      <x:c r="E121" s="25"/>
      <x:c r="F121" s="25"/>
      <x:c r="G121" s="25"/>
      <x:c r="H121" s="25"/>
      <x:c r="I121" s="25"/>
      <x:c r="J121" s="29" t="n">
        <x:f>ROUND(IFERROR(AVERAGE(J102:J119),0),1)</x:f>
        <x:v>41.1</x:v>
      </x:c>
      <x:c r="K121" s="2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33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33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33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33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33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33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33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33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33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33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33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33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33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33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37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33" t="n">
        <x:v>-0.037054346374682856</x:v>
      </x:c>
      <x:c r="J140" s="37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33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33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33" t="n">
        <x:v>-0.02249726477024072</x:v>
      </x:c>
      <x:c r="J143" s="37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33" t="n">
        <x:v>0.02413431269674704</x:v>
      </x:c>
      <x:c r="J144" s="37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33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26" t="str">
        <x:v>合计</x:v>
      </x:c>
      <x:c r="B146" s="25" t="n">
        <x:v>21</x:v>
      </x:c>
      <x:c r="C146" s="25"/>
      <x:c r="D146" s="25"/>
      <x:c r="E146" s="25"/>
      <x:c r="F146" s="25"/>
      <x:c r="G146" s="25"/>
      <x:c r="H146" s="25"/>
      <x:c r="I146" s="25"/>
      <x:c r="J146" s="27" t="n">
        <x:f>ROUND(SUM(J125:J145),1)</x:f>
        <x:v>970.4</x:v>
      </x:c>
      <x:c r="K146" s="25"/>
    </x:row>
    <x:row r="147">
      <x:c r="A147" s="26" t="str">
        <x:v>均值</x:v>
      </x:c>
      <x:c r="B147" s="25"/>
      <x:c r="C147" s="25"/>
      <x:c r="D147" s="25"/>
      <x:c r="E147" s="25"/>
      <x:c r="F147" s="25"/>
      <x:c r="G147" s="25"/>
      <x:c r="H147" s="25"/>
      <x:c r="I147" s="25"/>
      <x:c r="J147" s="29" t="n">
        <x:f>ROUND(IFERROR(AVERAGE(J125:J145),0),1)</x:f>
        <x:v>46.2</x:v>
      </x:c>
      <x:c r="K147" s="2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33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33" t="n">
        <x:v>-0.02167245961970965</x:v>
      </x:c>
      <x:c r="J152" s="37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33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33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33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33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33" t="n">
        <x:v>0.025034867503486824</x:v>
      </x:c>
      <x:c r="J157" s="37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33" t="n">
        <x:v>-0.010068712157289772</x:v>
      </x:c>
      <x:c r="J158" s="37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33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33" t="n">
        <x:v>0.006474970410081493</x:v>
      </x:c>
      <x:c r="J160" s="37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33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33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37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33" t="n">
        <x:v>0.027749964239736746</x:v>
      </x:c>
      <x:c r="J164" s="37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33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33" t="n">
        <x:v>0.007730195649199523</x:v>
      </x:c>
      <x:c r="J166" s="37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33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33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33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33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33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33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33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26" t="str">
        <x:v>合计</x:v>
      </x:c>
      <x:c r="B174" s="25" t="n">
        <x:v>23</x:v>
      </x:c>
      <x:c r="C174" s="25"/>
      <x:c r="D174" s="25"/>
      <x:c r="E174" s="25"/>
      <x:c r="F174" s="25"/>
      <x:c r="G174" s="25"/>
      <x:c r="H174" s="25"/>
      <x:c r="I174" s="25"/>
      <x:c r="J174" s="27" t="n">
        <x:f>ROUND(SUM(J151:J173),1)</x:f>
        <x:v>1221.6</x:v>
      </x:c>
      <x:c r="K174" s="25"/>
    </x:row>
    <x:row r="175">
      <x:c r="A175" s="26" t="str">
        <x:v>均值</x:v>
      </x:c>
      <x:c r="B175" s="25"/>
      <x:c r="C175" s="25"/>
      <x:c r="D175" s="25"/>
      <x:c r="E175" s="25"/>
      <x:c r="F175" s="25"/>
      <x:c r="G175" s="25"/>
      <x:c r="H175" s="25"/>
      <x:c r="I175" s="25"/>
      <x:c r="J175" s="29" t="n">
        <x:f>ROUND(IFERROR(AVERAGE(J151:J173),0),1)</x:f>
        <x:v>53.1</x:v>
      </x:c>
      <x:c r="K175" s="25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