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a06c08bcb45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529abfb9c554856"/>
    <x:sheet xmlns:r="http://schemas.openxmlformats.org/officeDocument/2006/relationships" name="周振幅统计" sheetId="2" r:id="R1be3c6fd42c846db"/>
    <x:sheet xmlns:r="http://schemas.openxmlformats.org/officeDocument/2006/relationships" name="中证1000" sheetId="3" r:id="R37c473f79f184a1e"/>
    <x:sheet xmlns:r="http://schemas.openxmlformats.org/officeDocument/2006/relationships" name="中证500" sheetId="4" r:id="Rbdfacc8a999f47cc"/>
    <x:sheet xmlns:r="http://schemas.openxmlformats.org/officeDocument/2006/relationships" name="上证指数" sheetId="5" r:id="R0200242bf6724c76"/>
    <x:sheet xmlns:r="http://schemas.openxmlformats.org/officeDocument/2006/relationships" name="IM主力" sheetId="6" r:id="R85be09c318e34de1"/>
    <x:sheet xmlns:r="http://schemas.openxmlformats.org/officeDocument/2006/relationships" name="IC主力" sheetId="7" r:id="R5de777d2730e4bef"/>
    <x:sheet xmlns:r="http://schemas.openxmlformats.org/officeDocument/2006/relationships" name="IF主力" sheetId="8" r:id="Rfb5a85df3a2b4d20"/>
    <x:sheet xmlns:r="http://schemas.openxmlformats.org/officeDocument/2006/relationships" name="IH主力" sheetId="9" r:id="R2fdb3fef9c1e409b"/>
    <x:sheet xmlns:r="http://schemas.openxmlformats.org/officeDocument/2006/relationships" name="碳酸锂2609" sheetId="10" r:id="R44f189e1561f4e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a4853272e48a8" /><Relationship Type="http://schemas.openxmlformats.org/officeDocument/2006/relationships/theme" Target="/xl/theme/theme1.xml" Id="Rdf187b18134c450e" /><Relationship Type="http://schemas.openxmlformats.org/officeDocument/2006/relationships/sharedStrings" Target="/xl/sharedStrings.xml" Id="R2d4f31dde1f6404f" /><Relationship Type="http://schemas.openxmlformats.org/officeDocument/2006/relationships/worksheet" Target="/xl/worksheets/sheet1.xml" Id="R2529abfb9c554856" /><Relationship Type="http://schemas.openxmlformats.org/officeDocument/2006/relationships/worksheet" Target="/xl/worksheets/sheet2.xml" Id="R1be3c6fd42c846db" /><Relationship Type="http://schemas.openxmlformats.org/officeDocument/2006/relationships/worksheet" Target="/xl/worksheets/sheet3.xml" Id="R37c473f79f184a1e" /><Relationship Type="http://schemas.openxmlformats.org/officeDocument/2006/relationships/worksheet" Target="/xl/worksheets/sheet4.xml" Id="Rbdfacc8a999f47cc" /><Relationship Type="http://schemas.openxmlformats.org/officeDocument/2006/relationships/worksheet" Target="/xl/worksheets/sheet5.xml" Id="R0200242bf6724c76" /><Relationship Type="http://schemas.openxmlformats.org/officeDocument/2006/relationships/worksheet" Target="/xl/worksheets/sheet6.xml" Id="R85be09c318e34de1" /><Relationship Type="http://schemas.openxmlformats.org/officeDocument/2006/relationships/worksheet" Target="/xl/worksheets/sheet7.xml" Id="R5de777d2730e4bef" /><Relationship Type="http://schemas.openxmlformats.org/officeDocument/2006/relationships/worksheet" Target="/xl/worksheets/sheet8.xml" Id="Rfb5a85df3a2b4d20" /><Relationship Type="http://schemas.openxmlformats.org/officeDocument/2006/relationships/worksheet" Target="/xl/worksheets/sheet9.xml" Id="R2fdb3fef9c1e409b" /><Relationship Type="http://schemas.openxmlformats.org/officeDocument/2006/relationships/worksheet" Target="/xl/worksheets/sheet10.xml" Id="R44f189e1561f4e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2026-09-04</x:v>
      </x:c>
      <x:c r="C4" s="10" t="n">
        <x:v>7717.93</x:v>
      </x:c>
      <x:c r="D4" s="10" t="n">
        <x:v>7464.98</x:v>
      </x:c>
      <x:c r="E4" s="12" t="n">
        <x:v>253</x:v>
      </x:c>
      <x:c r="F4" s="9" t="n">
        <x:v>164</x:v>
      </x:c>
      <x:c r="G4" s="10" t="n">
        <x:v>29301.2</x:v>
      </x:c>
      <x:c r="H4" s="10" t="n">
        <x:v>178.7</x:v>
      </x:c>
      <x:c r="I4" s="10" t="n">
        <x:v>180</x:v>
      </x:c>
    </x:row>
    <x:row r="5">
      <x:c r="A5" s="9" t="str">
        <x:v>中证500</x:v>
      </x:c>
      <x:c r="B5" s="9" t="str">
        <x:v>2026-09-04</x:v>
      </x:c>
      <x:c r="C5" s="10" t="n">
        <x:v>7850.4</x:v>
      </x:c>
      <x:c r="D5" s="10" t="n">
        <x:v>7610.58</x:v>
      </x:c>
      <x:c r="E5" s="12" t="n">
        <x:v>239.8</x:v>
      </x:c>
      <x:c r="F5" s="9" t="n">
        <x:v>164</x:v>
      </x:c>
      <x:c r="G5" s="10" t="n">
        <x:v>29330.3</x:v>
      </x:c>
      <x:c r="H5" s="10" t="n">
        <x:v>178.8</x:v>
      </x:c>
      <x:c r="I5" s="10" t="n">
        <x:v>160</x:v>
      </x:c>
    </x:row>
    <x:row r="6">
      <x:c r="A6" s="9" t="str">
        <x:v>上证指数</x:v>
      </x:c>
      <x:c r="B6" s="9" t="str">
        <x:v>2026-09-04</x:v>
      </x:c>
      <x:c r="C6" s="10" t="n">
        <x:v>3980.2</x:v>
      </x:c>
      <x:c r="D6" s="10" t="n">
        <x:v>3915.22</x:v>
      </x:c>
      <x:c r="E6" s="12" t="n">
        <x:v>65</x:v>
      </x:c>
      <x:c r="F6" s="9" t="n">
        <x:v>164</x:v>
      </x:c>
      <x:c r="G6" s="10" t="n">
        <x:v>8036.1</x:v>
      </x:c>
      <x:c r="H6" s="10" t="n">
        <x:v>49</x:v>
      </x:c>
      <x:c r="I6" s="10" t="n">
        <x:v>50</x:v>
      </x:c>
    </x:row>
    <x:row r="7">
      <x:c r="A7" s="9" t="str">
        <x:v>IM主力</x:v>
      </x:c>
      <x:c r="B7" s="9" t="str">
        <x:v>2026-09-03</x:v>
      </x:c>
      <x:c r="C7" s="10" t="n">
        <x:v>7618.6</x:v>
      </x:c>
      <x:c r="D7" s="10" t="n">
        <x:v>7476</x:v>
      </x:c>
      <x:c r="E7" s="12" t="n">
        <x:v>142.6</x:v>
      </x:c>
      <x:c r="F7" s="9" t="n">
        <x:v>163</x:v>
      </x:c>
      <x:c r="G7" s="10" t="n">
        <x:v>30817.8</x:v>
      </x:c>
      <x:c r="H7" s="10" t="n">
        <x:v>189.1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163</x:v>
      </x:c>
      <x:c r="G8" s="10" t="n">
        <x:v>32160.4</x:v>
      </x:c>
      <x:c r="H8" s="10" t="n">
        <x:v>197.3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163</x:v>
      </x:c>
      <x:c r="G9" s="10" t="n">
        <x:v>12048.6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2026-09-04</x:v>
      </x:c>
      <x:c r="C10" s="10" t="n">
        <x:v>2949.4</x:v>
      </x:c>
      <x:c r="D10" s="10" t="n">
        <x:v>2904.8</x:v>
      </x:c>
      <x:c r="E10" s="12" t="n">
        <x:v>44.6</x:v>
      </x:c>
      <x:c r="F10" s="9" t="n">
        <x:v>164</x:v>
      </x:c>
      <x:c r="G10" s="10" t="n">
        <x:v>6709.2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164</x:v>
      </x:c>
      <x:c r="G11" s="10" t="n">
        <x:v>1387980</x:v>
      </x:c>
      <x:c r="H11" s="10" t="n">
        <x:v>8463.3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14256.2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419.3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8月31日-9月4日</x:v>
      </x:c>
      <x:c r="C77" s="23" t="n">
        <x:v>7797.23</x:v>
      </x:c>
      <x:c r="D77" s="23" t="n">
        <x:v>7955.57</x:v>
      </x:c>
      <x:c r="E77" s="23" t="n">
        <x:v>7610.58</x:v>
      </x:c>
      <x:c r="F77" s="23" t="n">
        <x:v>7652.69</x:v>
      </x:c>
      <x:c r="G77" s="28" t="n">
        <x:f>ROUND(F77-F76,1)</x:f>
        <x:v>-242.8</x:v>
      </x:c>
      <x:c r="H77" s="24" t="n">
        <x:f>IFERROR(F77/F76-1,"")</x:f>
        <x:v>-0.03074682253703087</x:v>
      </x:c>
      <x:c r="I77" s="26" t="n">
        <x:f>ROUND(D77-E77,1)</x:f>
        <x:v>345</x:v>
      </x:c>
      <x:c r="J77" s="22" t="str">
        <x:v>中证500</x:v>
      </x:c>
      <x:c r="K77" s="22" t="n">
        <x:v>5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14339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421.7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8月31日-9月4日</x:v>
      </x:c>
      <x:c r="C116" s="23" t="n">
        <x:v>3926.53</x:v>
      </x:c>
      <x:c r="D116" s="23" t="n">
        <x:v>3995.18</x:v>
      </x:c>
      <x:c r="E116" s="23" t="n">
        <x:v>3915.22</x:v>
      </x:c>
      <x:c r="F116" s="23" t="n">
        <x:v>3930.12</x:v>
      </x:c>
      <x:c r="G116" s="23" t="n">
        <x:f>ROUND(F116-F115,1)</x:f>
        <x:v>-22.1</x:v>
      </x:c>
      <x:c r="H116" s="24" t="n">
        <x:f>IFERROR(F116/F115-1,"")</x:f>
        <x:v>-0.00558172957709413</x:v>
      </x:c>
      <x:c r="I116" s="26" t="n">
        <x:f>ROUND(D116-E116,1)</x:f>
        <x:v>80</x:v>
      </x:c>
      <x:c r="J116" s="22" t="str">
        <x:v>上证指数</x:v>
      </x:c>
      <x:c r="K116" s="22" t="n">
        <x:v>5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3758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110.5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8月31日-9月3日</x:v>
      </x:c>
      <x:c r="C155" s="23" t="n">
        <x:v>7582</x:v>
      </x:c>
      <x:c r="D155" s="23" t="n">
        <x:v>7735</x:v>
      </x:c>
      <x:c r="E155" s="23" t="n">
        <x:v>7466.2</x:v>
      </x:c>
      <x:c r="F155" s="23" t="n">
        <x:v>7559.4</x:v>
      </x:c>
      <x:c r="G155" s="23" t="n">
        <x:f>ROUND(F155-F154,1)</x:f>
        <x:v>-107.2</x:v>
      </x:c>
      <x:c r="H155" s="24" t="n">
        <x:f>IFERROR(F155/F154-1,"")</x:f>
        <x:v>-0.013982730284611278</x:v>
      </x:c>
      <x:c r="I155" s="26" t="n">
        <x:f>ROUND(D155-E155,1)</x:f>
        <x:v>268.8</x:v>
      </x:c>
      <x:c r="J155" s="22" t="str">
        <x:v>IM2609</x:v>
      </x:c>
      <x:c r="K155" s="22" t="n">
        <x:v>4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14794.4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435.1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8月31日-9月3日</x:v>
      </x:c>
      <x:c r="C194" s="23" t="n">
        <x:v>7761</x:v>
      </x:c>
      <x:c r="D194" s="23" t="n">
        <x:v>7913</x:v>
      </x:c>
      <x:c r="E194" s="23" t="n">
        <x:v>7593</x:v>
      </x:c>
      <x:c r="F194" s="23" t="n">
        <x:v>7706.2</x:v>
      </x:c>
      <x:c r="G194" s="23" t="n">
        <x:f>ROUND(F194-F193,1)</x:f>
        <x:v>-147.6</x:v>
      </x:c>
      <x:c r="H194" s="24" t="n">
        <x:f>IFERROR(F194/F193-1,"")</x:f>
        <x:v>-0.018793450304311343</x:v>
      </x:c>
      <x:c r="I194" s="26" t="n">
        <x:f>ROUND(D194-E194,1)</x:f>
        <x:v>320</x:v>
      </x:c>
      <x:c r="J194" s="22" t="str">
        <x:v>IC2609</x:v>
      </x:c>
      <x:c r="K194" s="22" t="n">
        <x:v>4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15402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453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8月31日-9月3日</x:v>
      </x:c>
      <x:c r="C233" s="23" t="n">
        <x:v>4553</x:v>
      </x:c>
      <x:c r="D233" s="23" t="n">
        <x:v>4617.8</x:v>
      </x:c>
      <x:c r="E233" s="23" t="n">
        <x:v>4497.6</x:v>
      </x:c>
      <x:c r="F233" s="23" t="n">
        <x:v>4536.8</x:v>
      </x:c>
      <x:c r="G233" s="23" t="n">
        <x:f>ROUND(F233-F232,1)</x:f>
        <x:v>-56.8</x:v>
      </x:c>
      <x:c r="H233" s="24" t="n">
        <x:f>IFERROR(F233/F232-1,"")</x:f>
        <x:v>-0.01236502960640895</x:v>
      </x:c>
      <x:c r="I233" s="26" t="n">
        <x:f>ROUND(D233-E233,1)</x:f>
        <x:v>120.2</x:v>
      </x:c>
      <x:c r="J233" s="22" t="str">
        <x:v>IF2609</x:v>
      </x:c>
      <x:c r="K233" s="22" t="n">
        <x:v>4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5472.8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161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8月31日-9月4日</x:v>
      </x:c>
      <x:c r="C272" s="23" t="n">
        <x:v>2886</x:v>
      </x:c>
      <x:c r="D272" s="23" t="n">
        <x:v>2949.4</x:v>
      </x:c>
      <x:c r="E272" s="23" t="n">
        <x:v>2877.6</x:v>
      </x:c>
      <x:c r="F272" s="23" t="n">
        <x:v>2915.8</x:v>
      </x:c>
      <x:c r="G272" s="23" t="n">
        <x:f>ROUND(F272-F271,1)</x:f>
        <x:v>4.4</x:v>
      </x:c>
      <x:c r="H272" s="24" t="n">
        <x:f>IFERROR(F272/F271-1,"")</x:f>
        <x:v>0.0015113004053033396</x:v>
      </x:c>
      <x:c r="I272" s="26" t="n">
        <x:f>ROUND(D272-E272,1)</x:f>
        <x:v>71.8</x:v>
      </x:c>
      <x:c r="J272" s="22" t="str">
        <x:v>IH2609</x:v>
      </x:c>
      <x:c r="K272" s="22" t="n">
        <x:v>5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3121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91.8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8月31日-9月4日</x:v>
      </x:c>
      <x:c r="C311" s="23" t="n">
        <x:v>158000</x:v>
      </x:c>
      <x:c r="D311" s="23" t="n">
        <x:v>160480</x:v>
      </x:c>
      <x:c r="E311" s="23" t="n">
        <x:v>140940</x:v>
      </x:c>
      <x:c r="F311" s="23" t="n">
        <x:v>140980</x:v>
      </x:c>
      <x:c r="G311" s="28" t="n">
        <x:f>ROUND(F311-F310,1)</x:f>
        <x:v>-16100</x:v>
      </x:c>
      <x:c r="H311" s="24" t="n">
        <x:f>IFERROR(F311/F310-1,"")</x:f>
        <x:v>-0.1024955436720143</x:v>
      </x:c>
      <x:c r="I311" s="26" t="n">
        <x:f>ROUND(D311-E311,1)</x:f>
        <x:v>19540</x:v>
      </x:c>
      <x:c r="J311" s="22" t="str">
        <x:v>LC2609</x:v>
      </x:c>
      <x:c r="K311" s="22" t="n">
        <x:v>5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709220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20859.4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570.4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142.6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546.6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136.7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155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38.8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374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124.7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416.2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138.7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162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54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132.6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33.2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26220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6555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