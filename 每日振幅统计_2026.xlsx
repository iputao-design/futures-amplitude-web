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396c6495d243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edacfb2804444db"/>
    <x:sheet xmlns:r="http://schemas.openxmlformats.org/officeDocument/2006/relationships" name="周振幅统计" sheetId="2" r:id="Rad9da5e5539c49f6"/>
    <x:sheet xmlns:r="http://schemas.openxmlformats.org/officeDocument/2006/relationships" name="中证1000" sheetId="3" r:id="R7146c1a914a844dc"/>
    <x:sheet xmlns:r="http://schemas.openxmlformats.org/officeDocument/2006/relationships" name="中证500" sheetId="4" r:id="Rc07e0eb2baaf4601"/>
    <x:sheet xmlns:r="http://schemas.openxmlformats.org/officeDocument/2006/relationships" name="上证指数" sheetId="5" r:id="R7cc0a2864fb24a26"/>
    <x:sheet xmlns:r="http://schemas.openxmlformats.org/officeDocument/2006/relationships" name="IM主力" sheetId="6" r:id="Rdd3ce0beb3ed4bf6"/>
    <x:sheet xmlns:r="http://schemas.openxmlformats.org/officeDocument/2006/relationships" name="IC主力" sheetId="7" r:id="R13ec6751da9c43e9"/>
    <x:sheet xmlns:r="http://schemas.openxmlformats.org/officeDocument/2006/relationships" name="IF主力" sheetId="8" r:id="R7f4c521287054d4b"/>
    <x:sheet xmlns:r="http://schemas.openxmlformats.org/officeDocument/2006/relationships" name="IH主力" sheetId="9" r:id="R955dde0a0afd4d55"/>
    <x:sheet xmlns:r="http://schemas.openxmlformats.org/officeDocument/2006/relationships" name="碳酸锂2610" sheetId="10" r:id="R3e4353291b7a49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352292068d48f4" /><Relationship Type="http://schemas.openxmlformats.org/officeDocument/2006/relationships/theme" Target="/xl/theme/theme1.xml" Id="R31062dc7dde74f4d" /><Relationship Type="http://schemas.openxmlformats.org/officeDocument/2006/relationships/sharedStrings" Target="/xl/sharedStrings.xml" Id="Rd16413e9849b4b18" /><Relationship Type="http://schemas.openxmlformats.org/officeDocument/2006/relationships/worksheet" Target="/xl/worksheets/sheet1.xml" Id="R3edacfb2804444db" /><Relationship Type="http://schemas.openxmlformats.org/officeDocument/2006/relationships/worksheet" Target="/xl/worksheets/sheet2.xml" Id="Rad9da5e5539c49f6" /><Relationship Type="http://schemas.openxmlformats.org/officeDocument/2006/relationships/worksheet" Target="/xl/worksheets/sheet3.xml" Id="R7146c1a914a844dc" /><Relationship Type="http://schemas.openxmlformats.org/officeDocument/2006/relationships/worksheet" Target="/xl/worksheets/sheet4.xml" Id="Rc07e0eb2baaf4601" /><Relationship Type="http://schemas.openxmlformats.org/officeDocument/2006/relationships/worksheet" Target="/xl/worksheets/sheet5.xml" Id="R7cc0a2864fb24a26" /><Relationship Type="http://schemas.openxmlformats.org/officeDocument/2006/relationships/worksheet" Target="/xl/worksheets/sheet6.xml" Id="Rdd3ce0beb3ed4bf6" /><Relationship Type="http://schemas.openxmlformats.org/officeDocument/2006/relationships/worksheet" Target="/xl/worksheets/sheet7.xml" Id="R13ec6751da9c43e9" /><Relationship Type="http://schemas.openxmlformats.org/officeDocument/2006/relationships/worksheet" Target="/xl/worksheets/sheet8.xml" Id="R7f4c521287054d4b" /><Relationship Type="http://schemas.openxmlformats.org/officeDocument/2006/relationships/worksheet" Target="/xl/worksheets/sheet9.xml" Id="R955dde0a0afd4d55" /><Relationship Type="http://schemas.openxmlformats.org/officeDocument/2006/relationships/worksheet" Target="/xl/worksheets/sheet10.xml" Id="R3e4353291b7a49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2026-09-22</x:v>
      </x:c>
      <x:c r="C4" s="10" t="n">
        <x:v>7852.23</x:v>
      </x:c>
      <x:c r="D4" s="10" t="n">
        <x:v>7734.35</x:v>
      </x:c>
      <x:c r="E4" s="12" t="n">
        <x:v>117.9</x:v>
      </x:c>
      <x:c r="F4" s="9" t="n">
        <x:v>176</x:v>
      </x:c>
      <x:c r="G4" s="10" t="n">
        <x:v>30803.5</x:v>
      </x:c>
      <x:c r="H4" s="10" t="n">
        <x:v>175</x:v>
      </x:c>
      <x:c r="I4" s="10" t="n">
        <x:v>180</x:v>
      </x:c>
    </x:row>
    <x:row r="5">
      <x:c r="A5" s="9" t="str">
        <x:v>中证500</x:v>
      </x:c>
      <x:c r="B5" s="9" t="str">
        <x:v>2026-09-22</x:v>
      </x:c>
      <x:c r="C5" s="10" t="n">
        <x:v>7922.62</x:v>
      </x:c>
      <x:c r="D5" s="10" t="n">
        <x:v>7808.98</x:v>
      </x:c>
      <x:c r="E5" s="12" t="n">
        <x:v>113.6</x:v>
      </x:c>
      <x:c r="F5" s="9" t="n">
        <x:v>176</x:v>
      </x:c>
      <x:c r="G5" s="10" t="n">
        <x:v>30684.4</x:v>
      </x:c>
      <x:c r="H5" s="10" t="n">
        <x:v>174.3</x:v>
      </x:c>
      <x:c r="I5" s="10" t="n">
        <x:v>160</x:v>
      </x:c>
    </x:row>
    <x:row r="6">
      <x:c r="A6" s="9" t="str">
        <x:v>上证指数</x:v>
      </x:c>
      <x:c r="B6" s="9" t="str">
        <x:v>2026-09-22</x:v>
      </x:c>
      <x:c r="C6" s="10" t="n">
        <x:v>3967.68</x:v>
      </x:c>
      <x:c r="D6" s="10" t="n">
        <x:v>3945.42</x:v>
      </x:c>
      <x:c r="E6" s="12" t="n">
        <x:v>22.3</x:v>
      </x:c>
      <x:c r="F6" s="9" t="n">
        <x:v>176</x:v>
      </x:c>
      <x:c r="G6" s="10" t="n">
        <x:v>8432.7</x:v>
      </x:c>
      <x:c r="H6" s="10" t="n">
        <x:v>47.9</x:v>
      </x:c>
      <x:c r="I6" s="10" t="n">
        <x:v>50</x:v>
      </x:c>
    </x:row>
    <x:row r="7">
      <x:c r="A7" s="9" t="str">
        <x:v>IM主力</x:v>
      </x:c>
      <x:c r="B7" s="9" t="str">
        <x:v>2026-09-22</x:v>
      </x:c>
      <x:c r="C7" s="10" t="n">
        <x:v>7687</x:v>
      </x:c>
      <x:c r="D7" s="10" t="n">
        <x:v>7563</x:v>
      </x:c>
      <x:c r="E7" s="12" t="n">
        <x:v>124</x:v>
      </x:c>
      <x:c r="F7" s="9" t="n">
        <x:v>176</x:v>
      </x:c>
      <x:c r="G7" s="10" t="n">
        <x:v>32760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2026-09-21</x:v>
      </x:c>
      <x:c r="C8" s="10" t="n">
        <x:v>7728</x:v>
      </x:c>
      <x:c r="D8" s="10" t="n">
        <x:v>7640</x:v>
      </x:c>
      <x:c r="E8" s="12" t="n">
        <x:v>88</x:v>
      </x:c>
      <x:c r="F8" s="9" t="n">
        <x:v>175</x:v>
      </x:c>
      <x:c r="G8" s="10" t="n">
        <x:v>33854.2</x:v>
      </x:c>
      <x:c r="H8" s="10" t="n">
        <x:v>193.5</x:v>
      </x:c>
      <x:c r="I8" s="10" t="n">
        <x:v>150</x:v>
      </x:c>
    </x:row>
    <x:row r="9">
      <x:c r="A9" s="9" t="str">
        <x:v>IF主力</x:v>
      </x:c>
      <x:c r="B9" s="9" t="str">
        <x:v>2026-09-21</x:v>
      </x:c>
      <x:c r="C9" s="10" t="n">
        <x:v>4474.6</x:v>
      </x:c>
      <x:c r="D9" s="10" t="n">
        <x:v>4434.8</x:v>
      </x:c>
      <x:c r="E9" s="12" t="n">
        <x:v>39.8</x:v>
      </x:c>
      <x:c r="F9" s="9" t="n">
        <x:v>175</x:v>
      </x:c>
      <x:c r="G9" s="10" t="n">
        <x:v>12663.4</x:v>
      </x:c>
      <x:c r="H9" s="10" t="n">
        <x:v>72.4</x:v>
      </x:c>
      <x:c r="I9" s="10" t="n">
        <x:v>90</x:v>
      </x:c>
    </x:row>
    <x:row r="10">
      <x:c r="A10" s="9" t="str">
        <x:v>IH主力</x:v>
      </x:c>
      <x:c r="B10" s="9" t="str">
        <x:v>2026-09-21</x:v>
      </x:c>
      <x:c r="C10" s="10" t="n">
        <x:v>2849.8</x:v>
      </x:c>
      <x:c r="D10" s="10" t="n">
        <x:v>2822</x:v>
      </x:c>
      <x:c r="E10" s="12" t="n">
        <x:v>27.8</x:v>
      </x:c>
      <x:c r="F10" s="9" t="n">
        <x:v>175</x:v>
      </x:c>
      <x:c r="G10" s="10" t="n">
        <x:v>7036.8</x:v>
      </x:c>
      <x:c r="H10" s="10" t="n">
        <x:v>40.2</x:v>
      </x:c>
      <x:c r="I10" s="10" t="n">
        <x:v>60</x:v>
      </x:c>
    </x:row>
    <x:row r="11">
      <x:c r="A11" s="9" t="str">
        <x:v>碳酸锂2610</x:v>
      </x:c>
      <x:c r="B11" s="9" t="str">
        <x:v>2026-09-22</x:v>
      </x:c>
      <x:c r="C11" s="10" t="n">
        <x:v>136560</x:v>
      </x:c>
      <x:c r="D11" s="10" t="n">
        <x:v>131400</x:v>
      </x:c>
      <x:c r="E11" s="12" t="n">
        <x:v>5160</x:v>
      </x:c>
      <x:c r="F11" s="9" t="n">
        <x:v>176</x:v>
      </x:c>
      <x:c r="G11" s="10" t="n">
        <x:v>1413520</x:v>
      </x:c>
      <x:c r="H11" s="10" t="n">
        <x:v>8031.4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9月21日-9月22日</x:v>
      </x:c>
      <x:c r="C41" s="23" t="n">
        <x:v>7723.68</x:v>
      </x:c>
      <x:c r="D41" s="23" t="n">
        <x:v>7852.23</x:v>
      </x:c>
      <x:c r="E41" s="23" t="n">
        <x:v>7723.68</x:v>
      </x:c>
      <x:c r="F41" s="23" t="n">
        <x:v>7759.03</x:v>
      </x:c>
      <x:c r="G41" s="23" t="n">
        <x:f>ROUND(F41-F40,1)</x:f>
        <x:v>71.4</x:v>
      </x:c>
      <x:c r="H41" s="24" t="n">
        <x:f>IFERROR(F41/F40-1,"")</x:f>
        <x:v>0.009292899335162197</x:v>
      </x:c>
      <x:c r="I41" s="23" t="n">
        <x:f>ROUND(D41-E41,1)</x:f>
        <x:v>128.5</x:v>
      </x:c>
      <x:c r="J41" s="22" t="str">
        <x:v>中证1000</x:v>
      </x:c>
      <x:c r="K41" s="22" t="n">
        <x:v>2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15202.4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410.9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9月21日-9月22日</x:v>
      </x:c>
      <x:c r="C83" s="23" t="n">
        <x:v>7829.82</x:v>
      </x:c>
      <x:c r="D83" s="23" t="n">
        <x:v>7922.62</x:v>
      </x:c>
      <x:c r="E83" s="23" t="n">
        <x:v>7808.98</x:v>
      </x:c>
      <x:c r="F83" s="23" t="n">
        <x:v>7828.94</x:v>
      </x:c>
      <x:c r="G83" s="23" t="n">
        <x:f>ROUND(F83-F82,1)</x:f>
        <x:v>29.3</x:v>
      </x:c>
      <x:c r="H83" s="24" t="n">
        <x:f>IFERROR(F83/F82-1,"")</x:f>
        <x:v>0.0037604444324779163</x:v>
      </x:c>
      <x:c r="I83" s="23" t="n">
        <x:f>ROUND(D83-E83,1)</x:f>
        <x:v>113.6</x:v>
      </x:c>
      <x:c r="J83" s="22" t="str">
        <x:v>中证500</x:v>
      </x:c>
      <x:c r="K83" s="22" t="n">
        <x:v>2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15164.1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409.8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9月21日-9月22日</x:v>
      </x:c>
      <x:c r="C125" s="23" t="n">
        <x:v>3920.27</x:v>
      </x:c>
      <x:c r="D125" s="23" t="n">
        <x:v>3967.68</x:v>
      </x:c>
      <x:c r="E125" s="23" t="n">
        <x:v>3918.13</x:v>
      </x:c>
      <x:c r="F125" s="23" t="n">
        <x:v>3952.13</x:v>
      </x:c>
      <x:c r="G125" s="23" t="n">
        <x:f>ROUND(F125-F124,1)</x:f>
        <x:v>40.3</x:v>
      </x:c>
      <x:c r="H125" s="24" t="n">
        <x:f>IFERROR(F125/F124-1,"")</x:f>
        <x:v>0.010291753049053387</x:v>
      </x:c>
      <x:c r="I125" s="23" t="n">
        <x:f>ROUND(D125-E125,1)</x:f>
        <x:v>49.5</x:v>
      </x:c>
      <x:c r="J125" s="22" t="str">
        <x:v>上证指数</x:v>
      </x:c>
      <x:c r="K125" s="22" t="n">
        <x:v>2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3990.6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107.9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9月21日-9月22日</x:v>
      </x:c>
      <x:c r="C167" s="23" t="n">
        <x:v>7549</x:v>
      </x:c>
      <x:c r="D167" s="23" t="n">
        <x:v>7687</x:v>
      </x:c>
      <x:c r="E167" s="23" t="n">
        <x:v>7527</x:v>
      </x:c>
      <x:c r="F167" s="23" t="n">
        <x:v>7580.2</x:v>
      </x:c>
      <x:c r="G167" s="23" t="n">
        <x:f>ROUND(F167-F166,1)</x:f>
        <x:v>-99</x:v>
      </x:c>
      <x:c r="H167" s="24" t="n">
        <x:f>IFERROR(F167/F166-1,"")</x:f>
        <x:v>-0.012891967913324254</x:v>
      </x:c>
      <x:c r="I167" s="23" t="n">
        <x:f>ROUND(D167-E167,1)</x:f>
        <x:v>160</x:v>
      </x:c>
      <x:c r="J167" s="22" t="str">
        <x:v>IM2612</x:v>
      </x:c>
      <x:c r="K167" s="22" t="n">
        <x:v>2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15872.8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429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</x:v>
      </x:c>
      <x:c r="C209" s="23" t="n">
        <x:v>7688</x:v>
      </x:c>
      <x:c r="D209" s="23" t="n">
        <x:v>7728</x:v>
      </x:c>
      <x:c r="E209" s="23" t="n">
        <x:v>7640</x:v>
      </x:c>
      <x:c r="F209" s="23" t="n">
        <x:v>7672.6</x:v>
      </x:c>
      <x:c r="G209" s="23" t="n">
        <x:f>ROUND(F209-F208,1)</x:f>
        <x:v>-117.2</x:v>
      </x:c>
      <x:c r="H209" s="24" t="n">
        <x:f>IFERROR(F209/F208-1,"")</x:f>
        <x:v>-0.015045315669208414</x:v>
      </x:c>
      <x:c r="I209" s="23" t="n">
        <x:f>ROUND(D209-E209,1)</x:f>
        <x:v>88</x:v>
      </x:c>
      <x:c r="J209" s="22" t="str">
        <x:v>IC2612</x:v>
      </x:c>
      <x:c r="K209" s="22" t="n">
        <x:v>1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16281.2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440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</x:v>
      </x:c>
      <x:c r="C251" s="23" t="n">
        <x:v>4451</x:v>
      </x:c>
      <x:c r="D251" s="23" t="n">
        <x:v>4474.6</x:v>
      </x:c>
      <x:c r="E251" s="23" t="n">
        <x:v>4434.8</x:v>
      </x:c>
      <x:c r="F251" s="23" t="n">
        <x:v>4464.8</x:v>
      </x:c>
      <x:c r="G251" s="23" t="n">
        <x:f>ROUND(F251-F250,1)</x:f>
        <x:v>-43.2</x:v>
      </x:c>
      <x:c r="H251" s="24" t="n">
        <x:f>IFERROR(F251/F250-1,"")</x:f>
        <x:v>-0.0095829636202307</x:v>
      </x:c>
      <x:c r="I251" s="23" t="n">
        <x:f>ROUND(D251-E251,1)</x:f>
        <x:v>39.8</x:v>
      </x:c>
      <x:c r="J251" s="22" t="str">
        <x:v>IF2612</x:v>
      </x:c>
      <x:c r="K251" s="22" t="n">
        <x:v>1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5753.4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155.5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</x:v>
      </x:c>
      <x:c r="C293" s="23" t="n">
        <x:v>2830</x:v>
      </x:c>
      <x:c r="D293" s="23" t="n">
        <x:v>2849.8</x:v>
      </x:c>
      <x:c r="E293" s="23" t="n">
        <x:v>2822</x:v>
      </x:c>
      <x:c r="F293" s="23" t="n">
        <x:v>2847.4</x:v>
      </x:c>
      <x:c r="G293" s="23" t="n">
        <x:f>ROUND(F293-F292,1)</x:f>
        <x:v>-14.8</x:v>
      </x:c>
      <x:c r="H293" s="24" t="n">
        <x:f>IFERROR(F293/F292-1,"")</x:f>
        <x:v>-0.005170847599748396</x:v>
      </x:c>
      <x:c r="I293" s="23" t="n">
        <x:f>ROUND(D293-E293,1)</x:f>
        <x:v>27.8</x:v>
      </x:c>
      <x:c r="J293" s="22" t="str">
        <x:v>IH2612</x:v>
      </x:c>
      <x:c r="K293" s="22" t="n">
        <x:v>1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3287.2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88.8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9月21日-9月22日</x:v>
      </x:c>
      <x:c r="C335" s="23" t="n">
        <x:v>128500</x:v>
      </x:c>
      <x:c r="D335" s="23" t="n">
        <x:v>136560</x:v>
      </x:c>
      <x:c r="E335" s="23" t="n">
        <x:v>127100</x:v>
      </x:c>
      <x:c r="F335" s="23" t="n">
        <x:v>135480</x:v>
      </x:c>
      <x:c r="G335" s="28" t="n">
        <x:f>ROUND(F335-F334,1)</x:f>
        <x:v>6900</x:v>
      </x:c>
      <x:c r="H335" s="24" t="n">
        <x:f>IFERROR(F335/F334-1,"")</x:f>
        <x:v>0.05366308912739148</x:v>
      </x:c>
      <x:c r="I335" s="26" t="n">
        <x:f>ROUND(D335-E335,1)</x:f>
        <x:v>9460</x:v>
      </x:c>
      <x:c r="J335" s="22" t="str">
        <x:v>LC2610</x:v>
      </x:c>
      <x:c r="K335" s="22" t="n">
        <x:v>2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750860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20293.5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2072.7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129.5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1900.7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118.8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551.6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34.5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2316.2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144.8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2110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140.7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776.8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51.8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460.2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30.7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95040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5940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