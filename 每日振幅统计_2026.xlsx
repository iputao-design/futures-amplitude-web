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0946af09b143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bdff34cff644087"/>
    <x:sheet xmlns:r="http://schemas.openxmlformats.org/officeDocument/2006/relationships" name="周振幅统计" sheetId="2" r:id="Rf553da57e5694f22"/>
    <x:sheet xmlns:r="http://schemas.openxmlformats.org/officeDocument/2006/relationships" name="中证1000" sheetId="3" r:id="Rf5cf2d6576314cbd"/>
    <x:sheet xmlns:r="http://schemas.openxmlformats.org/officeDocument/2006/relationships" name="中证500" sheetId="4" r:id="R2d906c315a624bc1"/>
    <x:sheet xmlns:r="http://schemas.openxmlformats.org/officeDocument/2006/relationships" name="上证指数" sheetId="5" r:id="R7ac75112fa8940b0"/>
    <x:sheet xmlns:r="http://schemas.openxmlformats.org/officeDocument/2006/relationships" name="IM主力" sheetId="6" r:id="Rdf45d599a3c7436f"/>
    <x:sheet xmlns:r="http://schemas.openxmlformats.org/officeDocument/2006/relationships" name="IC主力" sheetId="7" r:id="R36617edb23dd47e1"/>
    <x:sheet xmlns:r="http://schemas.openxmlformats.org/officeDocument/2006/relationships" name="IF主力" sheetId="8" r:id="R1a0aeacabe9a4137"/>
    <x:sheet xmlns:r="http://schemas.openxmlformats.org/officeDocument/2006/relationships" name="IH主力" sheetId="9" r:id="Ra82508df8ba74f7a"/>
    <x:sheet xmlns:r="http://schemas.openxmlformats.org/officeDocument/2006/relationships" name="碳酸锂2609" sheetId="10" r:id="R7104df33b7c943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d1528d6e144ce9" /><Relationship Type="http://schemas.openxmlformats.org/officeDocument/2006/relationships/theme" Target="/xl/theme/theme1.xml" Id="R3b8c786b52d243fe" /><Relationship Type="http://schemas.openxmlformats.org/officeDocument/2006/relationships/sharedStrings" Target="/xl/sharedStrings.xml" Id="R5ee8195f68d6486d" /><Relationship Type="http://schemas.openxmlformats.org/officeDocument/2006/relationships/worksheet" Target="/xl/worksheets/sheet1.xml" Id="R7bdff34cff644087" /><Relationship Type="http://schemas.openxmlformats.org/officeDocument/2006/relationships/worksheet" Target="/xl/worksheets/sheet2.xml" Id="Rf553da57e5694f22" /><Relationship Type="http://schemas.openxmlformats.org/officeDocument/2006/relationships/worksheet" Target="/xl/worksheets/sheet3.xml" Id="Rf5cf2d6576314cbd" /><Relationship Type="http://schemas.openxmlformats.org/officeDocument/2006/relationships/worksheet" Target="/xl/worksheets/sheet4.xml" Id="R2d906c315a624bc1" /><Relationship Type="http://schemas.openxmlformats.org/officeDocument/2006/relationships/worksheet" Target="/xl/worksheets/sheet5.xml" Id="R7ac75112fa8940b0" /><Relationship Type="http://schemas.openxmlformats.org/officeDocument/2006/relationships/worksheet" Target="/xl/worksheets/sheet6.xml" Id="Rdf45d599a3c7436f" /><Relationship Type="http://schemas.openxmlformats.org/officeDocument/2006/relationships/worksheet" Target="/xl/worksheets/sheet7.xml" Id="R36617edb23dd47e1" /><Relationship Type="http://schemas.openxmlformats.org/officeDocument/2006/relationships/worksheet" Target="/xl/worksheets/sheet8.xml" Id="R1a0aeacabe9a4137" /><Relationship Type="http://schemas.openxmlformats.org/officeDocument/2006/relationships/worksheet" Target="/xl/worksheets/sheet9.xml" Id="Ra82508df8ba74f7a" /><Relationship Type="http://schemas.openxmlformats.org/officeDocument/2006/relationships/worksheet" Target="/xl/worksheets/sheet10.xml" Id="R7104df33b7c943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2026-08-10</x:v>
      </x:c>
      <x:c r="C4" s="10" t="n">
        <x:v>7736.1</x:v>
      </x:c>
      <x:c r="D4" s="10" t="n">
        <x:v>7621.65</x:v>
      </x:c>
      <x:c r="E4" s="12" t="n">
        <x:v>114.5</x:v>
      </x:c>
      <x:c r="F4" s="9" t="n">
        <x:v>145</x:v>
      </x:c>
      <x:c r="G4" s="10" t="n">
        <x:v>26147.9</x:v>
      </x:c>
      <x:c r="H4" s="10" t="n">
        <x:v>180.3</x:v>
      </x:c>
      <x:c r="I4" s="10" t="n">
        <x:v>180</x:v>
      </x:c>
    </x:row>
    <x:row r="5">
      <x:c r="A5" s="9" t="str">
        <x:v>中证500</x:v>
      </x:c>
      <x:c r="B5" s="9" t="str">
        <x:v>2026-08-10</x:v>
      </x:c>
      <x:c r="C5" s="10" t="n">
        <x:v>8031.16</x:v>
      </x:c>
      <x:c r="D5" s="10" t="n">
        <x:v>7910.84</x:v>
      </x:c>
      <x:c r="E5" s="12" t="n">
        <x:v>120.3</x:v>
      </x:c>
      <x:c r="F5" s="9" t="n">
        <x:v>145</x:v>
      </x:c>
      <x:c r="G5" s="10" t="n">
        <x:v>26356.4</x:v>
      </x:c>
      <x:c r="H5" s="10" t="n">
        <x:v>181.8</x:v>
      </x:c>
      <x:c r="I5" s="10" t="n">
        <x:v>160</x:v>
      </x:c>
    </x:row>
    <x:row r="6">
      <x:c r="A6" s="9" t="str">
        <x:v>上证指数</x:v>
      </x:c>
      <x:c r="B6" s="9" t="str">
        <x:v>2026-08-10</x:v>
      </x:c>
      <x:c r="C6" s="10" t="n">
        <x:v>3967.59</x:v>
      </x:c>
      <x:c r="D6" s="10" t="n">
        <x:v>3938.63</x:v>
      </x:c>
      <x:c r="E6" s="12" t="n">
        <x:v>29</x:v>
      </x:c>
      <x:c r="F6" s="9" t="n">
        <x:v>145</x:v>
      </x:c>
      <x:c r="G6" s="10" t="n">
        <x:v>7229.1</x:v>
      </x:c>
      <x:c r="H6" s="10" t="n">
        <x:v>49.9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145</x:v>
      </x:c>
      <x:c r="G7" s="10" t="n">
        <x:v>27848.8</x:v>
      </x:c>
      <x:c r="H7" s="10" t="n">
        <x:v>192.1</x:v>
      </x:c>
      <x:c r="I7" s="10" t="n">
        <x:v>190</x:v>
      </x:c>
    </x:row>
    <x:row r="8">
      <x:c r="A8" s="9" t="str">
        <x:v>IC主力</x:v>
      </x:c>
      <x:c r="B8" s="9" t="str">
        <x:v>2026-08-10</x:v>
      </x:c>
      <x:c r="C8" s="10" t="n">
        <x:v>7918</x:v>
      </x:c>
      <x:c r="D8" s="10" t="n">
        <x:v>7795.8</x:v>
      </x:c>
      <x:c r="E8" s="12" t="n">
        <x:v>122.2</x:v>
      </x:c>
      <x:c r="F8" s="9" t="n">
        <x:v>145</x:v>
      </x:c>
      <x:c r="G8" s="10" t="n">
        <x:v>29223.8</x:v>
      </x:c>
      <x:c r="H8" s="10" t="n">
        <x:v>201.5</x:v>
      </x:c>
      <x:c r="I8" s="10" t="n">
        <x:v>150</x:v>
      </x:c>
    </x:row>
    <x:row r="9">
      <x:c r="A9" s="9" t="str">
        <x:v>IF主力</x:v>
      </x:c>
      <x:c r="B9" s="9" t="str">
        <x:v>2026-08-10</x:v>
      </x:c>
      <x:c r="C9" s="10" t="n">
        <x:v>4663</x:v>
      </x:c>
      <x:c r="D9" s="10" t="n">
        <x:v>4611</x:v>
      </x:c>
      <x:c r="E9" s="12" t="n">
        <x:v>52</x:v>
      </x:c>
      <x:c r="F9" s="9" t="n">
        <x:v>145</x:v>
      </x:c>
      <x:c r="G9" s="10" t="n">
        <x:v>10940</x:v>
      </x:c>
      <x:c r="H9" s="10" t="n">
        <x:v>75.4</x:v>
      </x:c>
      <x:c r="I9" s="10" t="n">
        <x:v>90</x:v>
      </x:c>
    </x:row>
    <x:row r="10">
      <x:c r="A10" s="9" t="str">
        <x:v>IH主力</x:v>
      </x:c>
      <x:c r="B10" s="9" t="str">
        <x:v>2026-08-10</x:v>
      </x:c>
      <x:c r="C10" s="10" t="n">
        <x:v>2949.6</x:v>
      </x:c>
      <x:c r="D10" s="10" t="n">
        <x:v>2927.8</x:v>
      </x:c>
      <x:c r="E10" s="12" t="n">
        <x:v>21.8</x:v>
      </x:c>
      <x:c r="F10" s="9" t="n">
        <x:v>145</x:v>
      </x:c>
      <x:c r="G10" s="10" t="n">
        <x:v>6086.4</x:v>
      </x:c>
      <x:c r="H10" s="10" t="n">
        <x:v>42</x:v>
      </x:c>
      <x:c r="I10" s="10" t="n">
        <x:v>60</x:v>
      </x:c>
    </x:row>
    <x:row r="11">
      <x:c r="A11" s="9" t="str">
        <x:v>碳酸锂2609</x:v>
      </x:c>
      <x:c r="B11" s="9" t="str">
        <x:v>2026-08-10</x:v>
      </x:c>
      <x:c r="C11" s="10" t="n">
        <x:v>146380</x:v>
      </x:c>
      <x:c r="D11" s="10" t="n">
        <x:v>139280</x:v>
      </x:c>
      <x:c r="E11" s="12" t="n">
        <x:v>7100</x:v>
      </x:c>
      <x:c r="F11" s="9" t="n">
        <x:v>145</x:v>
      </x:c>
      <x:c r="G11" s="10" t="n">
        <x:v>1283520</x:v>
      </x:c>
      <x:c r="H11" s="10" t="n">
        <x:v>8851.9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</x:v>
      </x:c>
      <x:c r="C35" s="23" t="n">
        <x:v>7723.38</x:v>
      </x:c>
      <x:c r="D35" s="23" t="n">
        <x:v>7736.1</x:v>
      </x:c>
      <x:c r="E35" s="23" t="n">
        <x:v>7621.65</x:v>
      </x:c>
      <x:c r="F35" s="23" t="n">
        <x:v>7733.9</x:v>
      </x:c>
      <x:c r="G35" s="23" t="n">
        <x:f>ROUND(F35-F34,1)</x:f>
        <x:v>54.4</x:v>
      </x:c>
      <x:c r="H35" s="24" t="n">
        <x:f>IFERROR(F35/F34-1,"")</x:f>
        <x:v>0.00707986035603736</x:v>
      </x:c>
      <x:c r="I35" s="23" t="n">
        <x:f>ROUND(D35-E35,1)</x:f>
        <x:v>114.5</x:v>
      </x:c>
      <x:c r="J35" s="22" t="str">
        <x:v>中证1000</x:v>
      </x:c>
      <x:c r="K35" s="22" t="n">
        <x:v>1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12826.4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413.8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</x:v>
      </x:c>
      <x:c r="C71" s="23" t="n">
        <x:v>8003.92</x:v>
      </x:c>
      <x:c r="D71" s="23" t="n">
        <x:v>8031.16</x:v>
      </x:c>
      <x:c r="E71" s="23" t="n">
        <x:v>7910.84</x:v>
      </x:c>
      <x:c r="F71" s="23" t="n">
        <x:v>8030.95</x:v>
      </x:c>
      <x:c r="G71" s="23" t="n">
        <x:f>ROUND(F71-F70,1)</x:f>
        <x:v>50.8</x:v>
      </x:c>
      <x:c r="H71" s="24" t="n">
        <x:f>IFERROR(F71/F70-1,"")</x:f>
        <x:v>0.0063695784023298785</x:v>
      </x:c>
      <x:c r="I71" s="23" t="n">
        <x:f>ROUND(D71-E71,1)</x:f>
        <x:v>120.3</x:v>
      </x:c>
      <x:c r="J71" s="22" t="str">
        <x:v>中证500</x:v>
      </x:c>
      <x:c r="K71" s="22" t="n">
        <x:v>1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13000.6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419.4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</x:v>
      </x:c>
      <x:c r="C107" s="23" t="n">
        <x:v>3943.82</x:v>
      </x:c>
      <x:c r="D107" s="23" t="n">
        <x:v>3967.59</x:v>
      </x:c>
      <x:c r="E107" s="23" t="n">
        <x:v>3938.63</x:v>
      </x:c>
      <x:c r="F107" s="23" t="n">
        <x:v>3966.59</x:v>
      </x:c>
      <x:c r="G107" s="23" t="n">
        <x:f>ROUND(F107-F106,1)</x:f>
        <x:v>26.6</x:v>
      </x:c>
      <x:c r="H107" s="24" t="n">
        <x:f>IFERROR(F107/F106-1,"")</x:f>
        <x:v>0.0067385102689312415</x:v>
      </x:c>
      <x:c r="I107" s="23" t="n">
        <x:f>ROUND(D107-E107,1)</x:f>
        <x:v>29</x:v>
      </x:c>
      <x:c r="J107" s="22" t="str">
        <x:v>上证指数</x:v>
      </x:c>
      <x:c r="K107" s="22" t="n">
        <x:v>1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3408.2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109.9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</x:v>
      </x:c>
      <x:c r="C143" s="23" t="n">
        <x:v>7628.8</x:v>
      </x:c>
      <x:c r="D143" s="23" t="n">
        <x:v>7631.2</x:v>
      </x:c>
      <x:c r="E143" s="23" t="n">
        <x:v>7525</x:v>
      </x:c>
      <x:c r="F143" s="23" t="n">
        <x:v>7607.2</x:v>
      </x:c>
      <x:c r="G143" s="23" t="n">
        <x:f>ROUND(F143-F142,1)</x:f>
        <x:v>16.6</x:v>
      </x:c>
      <x:c r="H143" s="24" t="n">
        <x:f>IFERROR(F143/F142-1,"")</x:f>
        <x:v>0.002186915395357314</x:v>
      </x:c>
      <x:c r="I143" s="23" t="n">
        <x:f>ROUND(D143-E143,1)</x:f>
        <x:v>106.2</x:v>
      </x:c>
      <x:c r="J143" s="22" t="str">
        <x:v>IM2609</x:v>
      </x:c>
      <x:c r="K143" s="22" t="n">
        <x:v>1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13454.4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434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</x:v>
      </x:c>
      <x:c r="C179" s="23" t="n">
        <x:v>7888</x:v>
      </x:c>
      <x:c r="D179" s="23" t="n">
        <x:v>7918</x:v>
      </x:c>
      <x:c r="E179" s="23" t="n">
        <x:v>7795.8</x:v>
      </x:c>
      <x:c r="F179" s="23" t="n">
        <x:v>7881.4</x:v>
      </x:c>
      <x:c r="G179" s="23" t="n">
        <x:f>ROUND(F179-F178,1)</x:f>
        <x:v>3.6</x:v>
      </x:c>
      <x:c r="H179" s="24" t="n">
        <x:f>IFERROR(F179/F178-1,"")</x:f>
        <x:v>0.0004569803752316748</x:v>
      </x:c>
      <x:c r="I179" s="23" t="n">
        <x:f>ROUND(D179-E179,1)</x:f>
        <x:v>122.2</x:v>
      </x:c>
      <x:c r="J179" s="22" t="str">
        <x:v>IC2609</x:v>
      </x:c>
      <x:c r="K179" s="22" t="n">
        <x:v>1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14118.8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455.4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</x:v>
      </x:c>
      <x:c r="C215" s="23" t="n">
        <x:v>4656.8</x:v>
      </x:c>
      <x:c r="D215" s="23" t="n">
        <x:v>4663</x:v>
      </x:c>
      <x:c r="E215" s="23" t="n">
        <x:v>4611</x:v>
      </x:c>
      <x:c r="F215" s="23" t="n">
        <x:v>4644.6</x:v>
      </x:c>
      <x:c r="G215" s="23" t="n">
        <x:f>ROUND(F215-F214,1)</x:f>
        <x:v>-1</x:v>
      </x:c>
      <x:c r="H215" s="24" t="n">
        <x:f>IFERROR(F215/F214-1,"")</x:f>
        <x:v>-0.00021525744790773516</x:v>
      </x:c>
      <x:c r="I215" s="23" t="n">
        <x:f>ROUND(D215-E215,1)</x:f>
        <x:v>52</x:v>
      </x:c>
      <x:c r="J215" s="22" t="str">
        <x:v>IF2609</x:v>
      </x:c>
      <x:c r="K215" s="22" t="n">
        <x:v>1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5019.2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161.9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</x:v>
      </x:c>
      <x:c r="C251" s="23" t="n">
        <x:v>2930</x:v>
      </x:c>
      <x:c r="D251" s="23" t="n">
        <x:v>2949.6</x:v>
      </x:c>
      <x:c r="E251" s="23" t="n">
        <x:v>2927.8</x:v>
      </x:c>
      <x:c r="F251" s="23" t="n">
        <x:v>2936</x:v>
      </x:c>
      <x:c r="G251" s="23" t="n">
        <x:f>ROUND(F251-F250,1)</x:f>
        <x:v>6</x:v>
      </x:c>
      <x:c r="H251" s="24" t="n">
        <x:f>IFERROR(F251/F250-1,"")</x:f>
        <x:v>0.0020477815699657675</x:v>
      </x:c>
      <x:c r="I251" s="23" t="n">
        <x:f>ROUND(D251-E251,1)</x:f>
        <x:v>21.8</x:v>
      </x:c>
      <x:c r="J251" s="22" t="str">
        <x:v>IH2609</x:v>
      </x:c>
      <x:c r="K251" s="22" t="n">
        <x:v>1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2839.4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91.6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</x:v>
      </x:c>
      <x:c r="C287" s="23" t="n">
        <x:v>140500</x:v>
      </x:c>
      <x:c r="D287" s="23" t="n">
        <x:v>146380</x:v>
      </x:c>
      <x:c r="E287" s="23" t="n">
        <x:v>139280</x:v>
      </x:c>
      <x:c r="F287" s="23" t="n">
        <x:v>146360</x:v>
      </x:c>
      <x:c r="G287" s="28" t="n">
        <x:f>ROUND(F287-F286,1)</x:f>
        <x:v>6360</x:v>
      </x:c>
      <x:c r="H287" s="24" t="n">
        <x:f>IFERROR(F287/F286-1,"")</x:f>
        <x:v>0.045428571428571374</x:v>
      </x:c>
      <x:c r="I287" s="26" t="n">
        <x:f>ROUND(D287-E287,1)</x:f>
        <x:v>7100</x:v>
      </x:c>
      <x:c r="J287" s="22" t="str">
        <x:v>LC2609</x:v>
      </x:c>
      <x:c r="K287" s="22" t="n">
        <x:v>1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659960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21289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1032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1060.4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176.7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253.8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42.3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1021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170.2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1051.2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175.2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380.4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63.4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208.6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34.8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32200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5366.7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