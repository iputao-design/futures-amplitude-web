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23544d262744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5d367828cc84194"/>
    <x:sheet xmlns:r="http://schemas.openxmlformats.org/officeDocument/2006/relationships" name="周振幅统计" sheetId="2" r:id="R7d6acf3379734c72"/>
    <x:sheet xmlns:r="http://schemas.openxmlformats.org/officeDocument/2006/relationships" name="中证1000" sheetId="3" r:id="R5d6aa9ba6c7346df"/>
    <x:sheet xmlns:r="http://schemas.openxmlformats.org/officeDocument/2006/relationships" name="中证500" sheetId="4" r:id="R35ba42f6a44242e9"/>
    <x:sheet xmlns:r="http://schemas.openxmlformats.org/officeDocument/2006/relationships" name="上证指数" sheetId="5" r:id="R297b5a2364ef412a"/>
    <x:sheet xmlns:r="http://schemas.openxmlformats.org/officeDocument/2006/relationships" name="IM主力" sheetId="6" r:id="R6aa4affc97464ff2"/>
    <x:sheet xmlns:r="http://schemas.openxmlformats.org/officeDocument/2006/relationships" name="IC主力" sheetId="7" r:id="Rd3310dba433f4fc9"/>
    <x:sheet xmlns:r="http://schemas.openxmlformats.org/officeDocument/2006/relationships" name="IF主力" sheetId="8" r:id="R2a6a16fdc68e4c8a"/>
    <x:sheet xmlns:r="http://schemas.openxmlformats.org/officeDocument/2006/relationships" name="IH主力" sheetId="9" r:id="Refb7d8b9816743d9"/>
    <x:sheet xmlns:r="http://schemas.openxmlformats.org/officeDocument/2006/relationships" name="碳酸锂2610" sheetId="10" r:id="R2a74a498186142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e3c7b09f8f4742" /><Relationship Type="http://schemas.openxmlformats.org/officeDocument/2006/relationships/theme" Target="/xl/theme/theme1.xml" Id="Rf19e148da9094db7" /><Relationship Type="http://schemas.openxmlformats.org/officeDocument/2006/relationships/sharedStrings" Target="/xl/sharedStrings.xml" Id="Rf240f02cf4064a06" /><Relationship Type="http://schemas.openxmlformats.org/officeDocument/2006/relationships/worksheet" Target="/xl/worksheets/sheet1.xml" Id="R05d367828cc84194" /><Relationship Type="http://schemas.openxmlformats.org/officeDocument/2006/relationships/worksheet" Target="/xl/worksheets/sheet2.xml" Id="R7d6acf3379734c72" /><Relationship Type="http://schemas.openxmlformats.org/officeDocument/2006/relationships/worksheet" Target="/xl/worksheets/sheet3.xml" Id="R5d6aa9ba6c7346df" /><Relationship Type="http://schemas.openxmlformats.org/officeDocument/2006/relationships/worksheet" Target="/xl/worksheets/sheet4.xml" Id="R35ba42f6a44242e9" /><Relationship Type="http://schemas.openxmlformats.org/officeDocument/2006/relationships/worksheet" Target="/xl/worksheets/sheet5.xml" Id="R297b5a2364ef412a" /><Relationship Type="http://schemas.openxmlformats.org/officeDocument/2006/relationships/worksheet" Target="/xl/worksheets/sheet6.xml" Id="R6aa4affc97464ff2" /><Relationship Type="http://schemas.openxmlformats.org/officeDocument/2006/relationships/worksheet" Target="/xl/worksheets/sheet7.xml" Id="Rd3310dba433f4fc9" /><Relationship Type="http://schemas.openxmlformats.org/officeDocument/2006/relationships/worksheet" Target="/xl/worksheets/sheet8.xml" Id="R2a6a16fdc68e4c8a" /><Relationship Type="http://schemas.openxmlformats.org/officeDocument/2006/relationships/worksheet" Target="/xl/worksheets/sheet9.xml" Id="Refb7d8b9816743d9" /><Relationship Type="http://schemas.openxmlformats.org/officeDocument/2006/relationships/worksheet" Target="/xl/worksheets/sheet10.xml" Id="R2a74a4981861420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2026-09-30</x:v>
      </x:c>
      <x:c r="C4" s="10" t="n">
        <x:v>7375.44</x:v>
      </x:c>
      <x:c r="D4" s="10" t="n">
        <x:v>7288.98</x:v>
      </x:c>
      <x:c r="E4" s="12" t="n">
        <x:v>86.5</x:v>
      </x:c>
      <x:c r="F4" s="9" t="n">
        <x:v>181</x:v>
      </x:c>
      <x:c r="G4" s="10" t="n">
        <x:v>31491</x:v>
      </x:c>
      <x:c r="H4" s="10" t="n">
        <x:v>174</x:v>
      </x:c>
      <x:c r="I4" s="10" t="n">
        <x:v>180</x:v>
      </x:c>
    </x:row>
    <x:row r="5">
      <x:c r="A5" s="9" t="str">
        <x:v>中证500</x:v>
      </x:c>
      <x:c r="B5" s="9" t="str">
        <x:v>2026-09-30</x:v>
      </x:c>
      <x:c r="C5" s="10" t="n">
        <x:v>7485.11</x:v>
      </x:c>
      <x:c r="D5" s="10" t="n">
        <x:v>7417.49</x:v>
      </x:c>
      <x:c r="E5" s="12" t="n">
        <x:v>67.6</x:v>
      </x:c>
      <x:c r="F5" s="9" t="n">
        <x:v>181</x:v>
      </x:c>
      <x:c r="G5" s="10" t="n">
        <x:v>31285.1</x:v>
      </x:c>
      <x:c r="H5" s="10" t="n">
        <x:v>172.8</x:v>
      </x:c>
      <x:c r="I5" s="10" t="n">
        <x:v>160</x:v>
      </x:c>
    </x:row>
    <x:row r="6">
      <x:c r="A6" s="9" t="str">
        <x:v>上证指数</x:v>
      </x:c>
      <x:c r="B6" s="9" t="str">
        <x:v>2026-09-30</x:v>
      </x:c>
      <x:c r="C6" s="10" t="n">
        <x:v>3851.22</x:v>
      </x:c>
      <x:c r="D6" s="10" t="n">
        <x:v>3833.09</x:v>
      </x:c>
      <x:c r="E6" s="12" t="n">
        <x:v>18.1</x:v>
      </x:c>
      <x:c r="F6" s="9" t="n">
        <x:v>181</x:v>
      </x:c>
      <x:c r="G6" s="10" t="n">
        <x:v>8614.7</x:v>
      </x:c>
      <x:c r="H6" s="10" t="n">
        <x:v>47.6</x:v>
      </x:c>
      <x:c r="I6" s="10" t="n">
        <x:v>50</x:v>
      </x:c>
    </x:row>
    <x:row r="7">
      <x:c r="A7" s="9" t="str">
        <x:v>IM主力</x:v>
      </x:c>
      <x:c r="B7" s="9" t="str">
        <x:v>2026-09-30</x:v>
      </x:c>
      <x:c r="C7" s="10" t="n">
        <x:v>7232</x:v>
      </x:c>
      <x:c r="D7" s="10" t="n">
        <x:v>7153</x:v>
      </x:c>
      <x:c r="E7" s="12" t="n">
        <x:v>79</x:v>
      </x:c>
      <x:c r="F7" s="9" t="n">
        <x:v>181</x:v>
      </x:c>
      <x:c r="G7" s="10" t="n">
        <x:v>33493.4</x:v>
      </x:c>
      <x:c r="H7" s="10" t="n">
        <x:v>185</x:v>
      </x:c>
      <x:c r="I7" s="10" t="n">
        <x:v>190</x:v>
      </x:c>
    </x:row>
    <x:row r="8">
      <x:c r="A8" s="9" t="str">
        <x:v>IC主力</x:v>
      </x:c>
      <x:c r="B8" s="9" t="str">
        <x:v>2026-09-30</x:v>
      </x:c>
      <x:c r="C8" s="10" t="n">
        <x:v>7344</x:v>
      </x:c>
      <x:c r="D8" s="10" t="n">
        <x:v>7282</x:v>
      </x:c>
      <x:c r="E8" s="12" t="n">
        <x:v>62</x:v>
      </x:c>
      <x:c r="F8" s="9" t="n">
        <x:v>181</x:v>
      </x:c>
      <x:c r="G8" s="10" t="n">
        <x:v>34683.2</x:v>
      </x:c>
      <x:c r="H8" s="10" t="n">
        <x:v>191.6</x:v>
      </x:c>
      <x:c r="I8" s="10" t="n">
        <x:v>150</x:v>
      </x:c>
    </x:row>
    <x:row r="9">
      <x:c r="A9" s="9" t="str">
        <x:v>IF主力</x:v>
      </x:c>
      <x:c r="B9" s="9" t="str">
        <x:v>2026-09-30</x:v>
      </x:c>
      <x:c r="C9" s="10" t="n">
        <x:v>4310.4</x:v>
      </x:c>
      <x:c r="D9" s="10" t="n">
        <x:v>4278</x:v>
      </x:c>
      <x:c r="E9" s="12" t="n">
        <x:v>32.4</x:v>
      </x:c>
      <x:c r="F9" s="9" t="n">
        <x:v>181</x:v>
      </x:c>
      <x:c r="G9" s="10" t="n">
        <x:v>13008.6</x:v>
      </x:c>
      <x:c r="H9" s="10" t="n">
        <x:v>71.9</x:v>
      </x:c>
      <x:c r="I9" s="10" t="n">
        <x:v>90</x:v>
      </x:c>
    </x:row>
    <x:row r="10">
      <x:c r="A10" s="9" t="str">
        <x:v>IH主力</x:v>
      </x:c>
      <x:c r="B10" s="9" t="str">
        <x:v>2026-09-30</x:v>
      </x:c>
      <x:c r="C10" s="10" t="n">
        <x:v>2782.2</x:v>
      </x:c>
      <x:c r="D10" s="10" t="n">
        <x:v>2762</x:v>
      </x:c>
      <x:c r="E10" s="12" t="n">
        <x:v>20.2</x:v>
      </x:c>
      <x:c r="F10" s="9" t="n">
        <x:v>181</x:v>
      </x:c>
      <x:c r="G10" s="10" t="n">
        <x:v>7234.4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2026-09-30</x:v>
      </x:c>
      <x:c r="C11" s="10" t="n">
        <x:v>121220</x:v>
      </x:c>
      <x:c r="D11" s="10" t="n">
        <x:v>119100</x:v>
      </x:c>
      <x:c r="E11" s="12" t="n">
        <x:v>2120</x:v>
      </x:c>
      <x:c r="F11" s="9" t="n">
        <x:v>181</x:v>
      </x:c>
      <x:c r="G11" s="10" t="n">
        <x:v>1438440</x:v>
      </x:c>
      <x:c r="H11" s="10" t="n">
        <x:v>7947.2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2026-10-06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9月28日-9月30日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7435.16</x:v>
      </x:c>
      <x:c r="G85" s="28" t="n">
        <x:f>ROUND(F85-F84,1)</x:f>
        <x:v>-188.9</x:v>
      </x:c>
      <x:c r="H85" s="24" t="n">
        <x:f>IFERROR(F85/F84-1,"")</x:f>
        <x:v>-0.02477810408351444</x:v>
      </x:c>
      <x:c r="I85" s="26" t="n">
        <x:f>ROUND(D85-E85,1)</x:f>
        <x:v>236.7</x:v>
      </x:c>
      <x:c r="J85" s="22" t="str">
        <x:v>中证500</x:v>
      </x:c>
      <x:c r="K85" s="22" t="n">
        <x:v>3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9月28日-9月30日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3842.19</x:v>
      </x:c>
      <x:c r="G128" s="23" t="n">
        <x:f>ROUND(F128-F127,1)</x:f>
        <x:v>-46.2</x:v>
      </x:c>
      <x:c r="H128" s="24" t="n">
        <x:f>IFERROR(F128/F127-1,"")</x:f>
        <x:v>-0.011876441799520077</x:v>
      </x:c>
      <x:c r="I128" s="26" t="n">
        <x:f>ROUND(D128-E128,1)</x:f>
        <x:v>71.7</x:v>
      </x:c>
      <x:c r="J128" s="22" t="str">
        <x:v>上证指数</x:v>
      </x:c>
      <x:c r="K128" s="22" t="n">
        <x:v>3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9月28日-9月30日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7168.8</x:v>
      </x:c>
      <x:c r="G171" s="28" t="n">
        <x:f>ROUND(F171-F170,1)</x:f>
        <x:v>-222.2</x:v>
      </x:c>
      <x:c r="H171" s="24" t="n">
        <x:f>IFERROR(F171/F170-1,"")</x:f>
        <x:v>-0.030063590853740996</x:v>
      </x:c>
      <x:c r="I171" s="26" t="n">
        <x:f>ROUND(D171-E171,1)</x:f>
        <x:v>316.8</x:v>
      </x:c>
      <x:c r="J171" s="22" t="str">
        <x:v>IM2612</x:v>
      </x:c>
      <x:c r="K171" s="22" t="n">
        <x:v>3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9月28日-9月30日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7310.2</x:v>
      </x:c>
      <x:c r="G214" s="23" t="n">
        <x:f>ROUND(F214-F213,1)</x:f>
        <x:v>-141.4</x:v>
      </x:c>
      <x:c r="H214" s="24" t="n">
        <x:f>IFERROR(F214/F213-1,"")</x:f>
        <x:v>-0.018975790434269224</x:v>
      </x:c>
      <x:c r="I214" s="26" t="n">
        <x:f>ROUND(D214-E214,1)</x:f>
        <x:v>272.4</x:v>
      </x:c>
      <x:c r="J214" s="22" t="str">
        <x:v>IC2612</x:v>
      </x:c>
      <x:c r="K214" s="22" t="n">
        <x:v>3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22" t="n">
        <x:v>38</x:v>
      </x:c>
      <x:c r="B257" s="22" t="str">
        <x:v>9月28日-9月30日</x:v>
      </x:c>
      <x:c r="C257" s="23" t="n">
        <x:v>4365</x:v>
      </x:c>
      <x:c r="D257" s="23" t="n">
        <x:v>4366.8</x:v>
      </x:c>
      <x:c r="E257" s="23" t="n">
        <x:v>4246</x:v>
      </x:c>
      <x:c r="F257" s="23" t="n">
        <x:v>4300.8</x:v>
      </x:c>
      <x:c r="G257" s="23" t="n">
        <x:f>ROUND(F257-F256,1)</x:f>
        <x:v>-74.2</x:v>
      </x:c>
      <x:c r="H257" s="24" t="n">
        <x:f>IFERROR(F257/F256-1,"")</x:f>
        <x:v>-0.016959999999999975</x:v>
      </x:c>
      <x:c r="I257" s="26" t="n">
        <x:f>ROUND(D257-E257,1)</x:f>
        <x:v>120.8</x:v>
      </x:c>
      <x:c r="J257" s="22" t="str">
        <x:v>IF2612</x:v>
      </x:c>
      <x:c r="K257" s="22" t="n">
        <x:v>3</x:v>
      </x:c>
    </x:row>
    <x:row r="258">
      <x:c r="A258" s="31" t="str">
        <x:v>合计</x:v>
      </x:c>
      <x:c r="B258" s="30" t="n">
        <x:v>38</x:v>
      </x:c>
      <x:c r="C258" s="30"/>
      <x:c r="D258" s="30"/>
      <x:c r="E258" s="30"/>
      <x:c r="F258" s="30"/>
      <x:c r="G258" s="30"/>
      <x:c r="H258" s="30"/>
      <x:c r="I258" s="32" t="n">
        <x:f>ROUND(SUM(I220:I257),1)</x:f>
        <x:v>5987.4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ROUND(IFERROR(AVERAGE(I220:I257),0),1)</x:f>
        <x:v>157.6</x:v>
      </x:c>
      <x:c r="J259" s="30"/>
      <x:c r="K259" s="30"/>
    </x:row>
    <x:row r="261">
      <x:c r="A261" s="17" t="str">
        <x:v>IH主力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3040.8</x:v>
      </x:c>
      <x:c r="D263" s="23" t="n">
        <x:v>3165.6</x:v>
      </x:c>
      <x:c r="E263" s="23" t="n">
        <x:v>3040.8</x:v>
      </x:c>
      <x:c r="F263" s="23" t="n">
        <x:v>3134.8</x:v>
      </x:c>
      <x:c r="G263" s="23"/>
      <x:c r="H263" s="24"/>
      <x:c r="I263" s="26" t="n">
        <x:f>ROUND(D263-E263,1)</x:f>
        <x:v>124.8</x:v>
      </x:c>
      <x:c r="J263" s="22" t="str">
        <x:v>IH2603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3148.4</x:v>
      </x:c>
      <x:c r="D264" s="23" t="n">
        <x:v>3181.2</x:v>
      </x:c>
      <x:c r="E264" s="23" t="n">
        <x:v>3074.4</x:v>
      </x:c>
      <x:c r="F264" s="23" t="n">
        <x:v>3084.4</x:v>
      </x:c>
      <x:c r="G264" s="23" t="n">
        <x:f>ROUND(F264-F263,1)</x:f>
        <x:v>-50.4</x:v>
      </x:c>
      <x:c r="H264" s="24" t="n">
        <x:f>IFERROR(F264/F263-1,"")</x:f>
        <x:v>-0.016077580706903127</x:v>
      </x:c>
      <x:c r="I264" s="26" t="n">
        <x:f>ROUND(D264-E264,1)</x:f>
        <x:v>106.8</x:v>
      </x:c>
      <x:c r="J264" s="22" t="str">
        <x:v>IH2603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3081.2</x:v>
      </x:c>
      <x:c r="D265" s="23" t="n">
        <x:v>3102.6</x:v>
      </x:c>
      <x:c r="E265" s="23" t="n">
        <x:v>3036.2</x:v>
      </x:c>
      <x:c r="F265" s="23" t="n">
        <x:v>3037.8</x:v>
      </x:c>
      <x:c r="G265" s="23" t="n">
        <x:f>ROUND(F265-F264,1)</x:f>
        <x:v>-46.6</x:v>
      </x:c>
      <x:c r="H265" s="24" t="n">
        <x:f>IFERROR(F265/F264-1,"")</x:f>
        <x:v>-0.015108286862923093</x:v>
      </x:c>
      <x:c r="I265" s="26" t="n">
        <x:f>ROUND(D265-E265,1)</x:f>
        <x:v>66.4</x:v>
      </x:c>
      <x:c r="J265" s="22" t="str">
        <x:v>IH2603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3049.8</x:v>
      </x:c>
      <x:c r="D266" s="23" t="n">
        <x:v>3136.6</x:v>
      </x:c>
      <x:c r="E266" s="23" t="n">
        <x:v>3044</x:v>
      </x:c>
      <x:c r="F266" s="23" t="n">
        <x:v>3074</x:v>
      </x:c>
      <x:c r="G266" s="23" t="n">
        <x:f>ROUND(F266-F265,1)</x:f>
        <x:v>36.2</x:v>
      </x:c>
      <x:c r="H266" s="24" t="n">
        <x:f>IFERROR(F266/F265-1,"")</x:f>
        <x:v>0.011916518533148901</x:v>
      </x:c>
      <x:c r="I266" s="26" t="n">
        <x:f>ROUND(D266-E266,1)</x:f>
        <x:v>92.6</x:v>
      </x:c>
      <x:c r="J266" s="22" t="str">
        <x:v>IH2603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3039.4</x:v>
      </x:c>
      <x:c r="D267" s="23" t="n">
        <x:v>3081</x:v>
      </x:c>
      <x:c r="E267" s="23" t="n">
        <x:v>2984</x:v>
      </x:c>
      <x:c r="F267" s="23" t="n">
        <x:v>3036.2</x:v>
      </x:c>
      <x:c r="G267" s="23" t="n">
        <x:f>ROUND(F267-F266,1)</x:f>
        <x:v>-37.8</x:v>
      </x:c>
      <x:c r="H267" s="24" t="n">
        <x:f>IFERROR(F267/F266-1,"")</x:f>
        <x:v>-0.012296681847755453</x:v>
      </x:c>
      <x:c r="I267" s="26" t="n">
        <x:f>ROUND(D267-E267,1)</x:f>
        <x:v>97</x:v>
      </x:c>
      <x:c r="J267" s="22" t="str">
        <x:v>IH2603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3060.6</x:v>
      </x:c>
      <x:c r="D268" s="23" t="n">
        <x:v>3098</x:v>
      </x:c>
      <x:c r="E268" s="23" t="n">
        <x:v>3020</x:v>
      </x:c>
      <x:c r="F268" s="23" t="n">
        <x:v>3020</x:v>
      </x:c>
      <x:c r="G268" s="23" t="n">
        <x:f>ROUND(F268-F267,1)</x:f>
        <x:v>-16.2</x:v>
      </x:c>
      <x:c r="H268" s="24" t="n">
        <x:f>IFERROR(F268/F267-1,"")</x:f>
        <x:v>-0.005335616889532879</x:v>
      </x:c>
      <x:c r="I268" s="26" t="n">
        <x:f>ROUND(D268-E268,1)</x:f>
        <x:v>78</x:v>
      </x:c>
      <x:c r="J268" s="22" t="str">
        <x:v>IH2603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3049.2</x:v>
      </x:c>
      <x:c r="D269" s="23" t="n">
        <x:v>3086.4</x:v>
      </x:c>
      <x:c r="E269" s="23" t="n">
        <x:v>3022</x:v>
      </x:c>
      <x:c r="F269" s="23" t="n">
        <x:v>3045.4</x:v>
      </x:c>
      <x:c r="G269" s="23" t="n">
        <x:f>ROUND(F269-F268,1)</x:f>
        <x:v>25.4</x:v>
      </x:c>
      <x:c r="H269" s="24" t="n">
        <x:f>IFERROR(F269/F268-1,"")</x:f>
        <x:v>0.008410596026490191</x:v>
      </x:c>
      <x:c r="I269" s="26" t="n">
        <x:f>ROUND(D269-E269,1)</x:f>
        <x:v>64.4</x:v>
      </x:c>
      <x:c r="J269" s="22" t="str">
        <x:v>IH2603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3038</x:v>
      </x:c>
      <x:c r="D270" s="23" t="n">
        <x:v>3056</x:v>
      </x:c>
      <x:c r="E270" s="23" t="n">
        <x:v>2950</x:v>
      </x:c>
      <x:c r="F270" s="23" t="n">
        <x:v>2990</x:v>
      </x:c>
      <x:c r="G270" s="23" t="n">
        <x:f>ROUND(F270-F269,1)</x:f>
        <x:v>-55.4</x:v>
      </x:c>
      <x:c r="H270" s="24" t="n">
        <x:f>IFERROR(F270/F269-1,"")</x:f>
        <x:v>-0.018191370591712164</x:v>
      </x:c>
      <x:c r="I270" s="26" t="n">
        <x:f>ROUND(D270-E270,1)</x:f>
        <x:v>106</x:v>
      </x:c>
      <x:c r="J270" s="22" t="str">
        <x:v>IH2603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2965.4</x:v>
      </x:c>
      <x:c r="D271" s="23" t="n">
        <x:v>2989</x:v>
      </x:c>
      <x:c r="E271" s="23" t="n">
        <x:v>2912.6</x:v>
      </x:c>
      <x:c r="F271" s="23" t="n">
        <x:v>2957</x:v>
      </x:c>
      <x:c r="G271" s="23" t="n">
        <x:f>ROUND(F271-F270,1)</x:f>
        <x:v>-33</x:v>
      </x:c>
      <x:c r="H271" s="24" t="n">
        <x:f>IFERROR(F271/F270-1,"")</x:f>
        <x:v>-0.011036789297658833</x:v>
      </x:c>
      <x:c r="I271" s="26" t="n">
        <x:f>ROUND(D271-E271,1)</x:f>
        <x:v>76.4</x:v>
      </x:c>
      <x:c r="J271" s="22" t="str">
        <x:v>IH2603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2953</x:v>
      </x:c>
      <x:c r="D272" s="23" t="n">
        <x:v>2996.6</x:v>
      </x:c>
      <x:c r="E272" s="23" t="n">
        <x:v>2896</x:v>
      </x:c>
      <x:c r="F272" s="23" t="n">
        <x:v>2898.4</x:v>
      </x:c>
      <x:c r="G272" s="23" t="n">
        <x:f>ROUND(F272-F271,1)</x:f>
        <x:v>-58.6</x:v>
      </x:c>
      <x:c r="H272" s="24" t="n">
        <x:f>IFERROR(F272/F271-1,"")</x:f>
        <x:v>-0.019817382482245516</x:v>
      </x:c>
      <x:c r="I272" s="26" t="n">
        <x:f>ROUND(D272-E272,1)</x:f>
        <x:v>100.6</x:v>
      </x:c>
      <x:c r="J272" s="22" t="str">
        <x:v>IH2603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2830</x:v>
      </x:c>
      <x:c r="D273" s="23" t="n">
        <x:v>2847.6</x:v>
      </x:c>
      <x:c r="E273" s="23" t="n">
        <x:v>2750.8</x:v>
      </x:c>
      <x:c r="F273" s="23" t="n">
        <x:v>2814.4</x:v>
      </x:c>
      <x:c r="G273" s="23" t="n">
        <x:f>ROUND(F273-F272,1)</x:f>
        <x:v>-84</x:v>
      </x:c>
      <x:c r="H273" s="24" t="n">
        <x:f>IFERROR(F273/F272-1,"")</x:f>
        <x:v>-0.028981507038365995</x:v>
      </x:c>
      <x:c r="I273" s="26" t="n">
        <x:f>ROUND(D273-E273,1)</x:f>
        <x:v>96.8</x:v>
      </x:c>
      <x:c r="J273" s="22" t="str">
        <x:v>IH2606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2794.8</x:v>
      </x:c>
      <x:c r="D274" s="23" t="n">
        <x:v>2865.4</x:v>
      </x:c>
      <x:c r="E274" s="23" t="n">
        <x:v>2780.4</x:v>
      </x:c>
      <x:c r="F274" s="23" t="n">
        <x:v>2804.4</x:v>
      </x:c>
      <x:c r="G274" s="23" t="n">
        <x:f>ROUND(F274-F273,1)</x:f>
        <x:v>-10</x:v>
      </x:c>
      <x:c r="H274" s="24" t="n">
        <x:f>IFERROR(F274/F273-1,"")</x:f>
        <x:v>-0.0035531552018192025</x:v>
      </x:c>
      <x:c r="I274" s="26" t="n">
        <x:f>ROUND(D274-E274,1)</x:f>
        <x:v>85</x:v>
      </x:c>
      <x:c r="J274" s="22" t="str">
        <x:v>IH2606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2810.4</x:v>
      </x:c>
      <x:c r="D275" s="23" t="n">
        <x:v>2896</x:v>
      </x:c>
      <x:c r="E275" s="23" t="n">
        <x:v>2797.2</x:v>
      </x:c>
      <x:c r="F275" s="23" t="n">
        <x:v>2873.2</x:v>
      </x:c>
      <x:c r="G275" s="23" t="n">
        <x:f>ROUND(F275-F274,1)</x:f>
        <x:v>68.8</x:v>
      </x:c>
      <x:c r="H275" s="24" t="n">
        <x:f>IFERROR(F275/F274-1,"")</x:f>
        <x:v>0.02453287690771644</x:v>
      </x:c>
      <x:c r="I275" s="26" t="n">
        <x:f>ROUND(D275-E275,1)</x:f>
        <x:v>98.8</x:v>
      </x:c>
      <x:c r="J275" s="22" t="str">
        <x:v>IH2606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2864.6</x:v>
      </x:c>
      <x:c r="D276" s="23" t="n">
        <x:v>2930.8</x:v>
      </x:c>
      <x:c r="E276" s="23" t="n">
        <x:v>2860</x:v>
      </x:c>
      <x:c r="F276" s="23" t="n">
        <x:v>2888</x:v>
      </x:c>
      <x:c r="G276" s="23" t="n">
        <x:f>ROUND(F276-F275,1)</x:f>
        <x:v>14.8</x:v>
      </x:c>
      <x:c r="H276" s="24" t="n">
        <x:f>IFERROR(F276/F275-1,"")</x:f>
        <x:v>0.005151051092858294</x:v>
      </x:c>
      <x:c r="I276" s="26" t="n">
        <x:f>ROUND(D276-E276,1)</x:f>
        <x:v>70.8</x:v>
      </x:c>
      <x:c r="J276" s="22" t="str">
        <x:v>IH2606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2900.8</x:v>
      </x:c>
      <x:c r="D277" s="23" t="n">
        <x:v>2934.2</x:v>
      </x:c>
      <x:c r="E277" s="23" t="n">
        <x:v>2891</x:v>
      </x:c>
      <x:c r="F277" s="23" t="n">
        <x:v>2929</x:v>
      </x:c>
      <x:c r="G277" s="23" t="n">
        <x:f>ROUND(F277-F276,1)</x:f>
        <x:v>41</x:v>
      </x:c>
      <x:c r="H277" s="24" t="n">
        <x:f>IFERROR(F277/F276-1,"")</x:f>
        <x:v>0.014196675900276956</x:v>
      </x:c>
      <x:c r="I277" s="23" t="n">
        <x:f>ROUND(D277-E277,1)</x:f>
        <x:v>43.2</x:v>
      </x:c>
      <x:c r="J277" s="22" t="str">
        <x:v>IH2606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2929.2</x:v>
      </x:c>
      <x:c r="D278" s="23" t="n">
        <x:v>2970</x:v>
      </x:c>
      <x:c r="E278" s="23" t="n">
        <x:v>2917</x:v>
      </x:c>
      <x:c r="F278" s="23" t="n">
        <x:v>2968.8</x:v>
      </x:c>
      <x:c r="G278" s="23" t="n">
        <x:f>ROUND(F278-F277,1)</x:f>
        <x:v>39.8</x:v>
      </x:c>
      <x:c r="H278" s="24" t="n">
        <x:f>IFERROR(F278/F277-1,"")</x:f>
        <x:v>0.013588255377261937</x:v>
      </x:c>
      <x:c r="I278" s="23" t="n">
        <x:f>ROUND(D278-E278,1)</x:f>
        <x:v>53</x:v>
      </x:c>
      <x:c r="J278" s="22" t="str">
        <x:v>IH2606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2995.2</x:v>
      </x:c>
      <x:c r="D279" s="23" t="n">
        <x:v>3024.8</x:v>
      </x:c>
      <x:c r="E279" s="23" t="n">
        <x:v>2969.2</x:v>
      </x:c>
      <x:c r="F279" s="23" t="n">
        <x:v>2981.6</x:v>
      </x:c>
      <x:c r="G279" s="23" t="n">
        <x:f>ROUND(F279-F278,1)</x:f>
        <x:v>12.8</x:v>
      </x:c>
      <x:c r="H279" s="24" t="n">
        <x:f>IFERROR(F279/F278-1,"")</x:f>
        <x:v>0.0043115063325247505</x:v>
      </x:c>
      <x:c r="I279" s="23" t="n">
        <x:f>ROUND(D279-E279,1)</x:f>
        <x:v>55.6</x:v>
      </x:c>
      <x:c r="J279" s="22" t="str">
        <x:v>IH2606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2997.6</x:v>
      </x:c>
      <x:c r="D280" s="23" t="n">
        <x:v>3041.8</x:v>
      </x:c>
      <x:c r="E280" s="23" t="n">
        <x:v>2927</x:v>
      </x:c>
      <x:c r="F280" s="23" t="n">
        <x:v>2945</x:v>
      </x:c>
      <x:c r="G280" s="23" t="n">
        <x:f>ROUND(F280-F279,1)</x:f>
        <x:v>-36.6</x:v>
      </x:c>
      <x:c r="H280" s="24" t="n">
        <x:f>IFERROR(F280/F279-1,"")</x:f>
        <x:v>-0.012275288435739218</x:v>
      </x:c>
      <x:c r="I280" s="26" t="n">
        <x:f>ROUND(D280-E280,1)</x:f>
        <x:v>114.8</x:v>
      </x:c>
      <x:c r="J280" s="22" t="str">
        <x:v>IH2606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2936</x:v>
      </x:c>
      <x:c r="D281" s="23" t="n">
        <x:v>2981.8</x:v>
      </x:c>
      <x:c r="E281" s="23" t="n">
        <x:v>2893.2</x:v>
      </x:c>
      <x:c r="F281" s="23" t="n">
        <x:v>2899.2</x:v>
      </x:c>
      <x:c r="G281" s="23" t="n">
        <x:f>ROUND(F281-F280,1)</x:f>
        <x:v>-45.8</x:v>
      </x:c>
      <x:c r="H281" s="24" t="n">
        <x:f>IFERROR(F281/F280-1,"")</x:f>
        <x:v>-0.015551782682512783</x:v>
      </x:c>
      <x:c r="I281" s="26" t="n">
        <x:f>ROUND(D281-E281,1)</x:f>
        <x:v>88.6</x:v>
      </x:c>
      <x:c r="J281" s="22" t="str">
        <x:v>IH2606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2910.8</x:v>
      </x:c>
      <x:c r="D282" s="23" t="n">
        <x:v>2960</x:v>
      </x:c>
      <x:c r="E282" s="23" t="n">
        <x:v>2871</x:v>
      </x:c>
      <x:c r="F282" s="23" t="n">
        <x:v>2900.6</x:v>
      </x:c>
      <x:c r="G282" s="23" t="n">
        <x:f>ROUND(F282-F281,1)</x:f>
        <x:v>1.4</x:v>
      </x:c>
      <x:c r="H282" s="24" t="n">
        <x:f>IFERROR(F282/F281-1,"")</x:f>
        <x:v>0.0004828918322297149</x:v>
      </x:c>
      <x:c r="I282" s="26" t="n">
        <x:f>ROUND(D282-E282,1)</x:f>
        <x:v>89</x:v>
      </x:c>
      <x:c r="J282" s="22" t="str">
        <x:v>IH2606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2901</x:v>
      </x:c>
      <x:c r="D283" s="23" t="n">
        <x:v>2924.2</x:v>
      </x:c>
      <x:c r="E283" s="23" t="n">
        <x:v>2841.6</x:v>
      </x:c>
      <x:c r="F283" s="23" t="n">
        <x:v>2844</x:v>
      </x:c>
      <x:c r="G283" s="23" t="n">
        <x:f>ROUND(F283-F282,1)</x:f>
        <x:v>-56.6</x:v>
      </x:c>
      <x:c r="H283" s="24" t="n">
        <x:f>IFERROR(F283/F282-1,"")</x:f>
        <x:v>-0.019513204164655518</x:v>
      </x:c>
      <x:c r="I283" s="26" t="n">
        <x:f>ROUND(D283-E283,1)</x:f>
        <x:v>82.6</x:v>
      </x:c>
      <x:c r="J283" s="22" t="str">
        <x:v>IH2606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2808.4</x:v>
      </x:c>
      <x:c r="D284" s="23" t="n">
        <x:v>2902.6</x:v>
      </x:c>
      <x:c r="E284" s="23" t="n">
        <x:v>2791.2</x:v>
      </x:c>
      <x:c r="F284" s="23" t="n">
        <x:v>2897.2</x:v>
      </x:c>
      <x:c r="G284" s="23" t="n">
        <x:f>ROUND(F284-F283,1)</x:f>
        <x:v>53.2</x:v>
      </x:c>
      <x:c r="H284" s="24" t="n">
        <x:f>IFERROR(F284/F283-1,"")</x:f>
        <x:v>0.01870604781997187</x:v>
      </x:c>
      <x:c r="I284" s="26" t="n">
        <x:f>ROUND(D284-E284,1)</x:f>
        <x:v>111.4</x:v>
      </x:c>
      <x:c r="J284" s="22" t="str">
        <x:v>IH2606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2926.2</x:v>
      </x:c>
      <x:c r="D285" s="23" t="n">
        <x:v>2954.6</x:v>
      </x:c>
      <x:c r="E285" s="23" t="n">
        <x:v>2903.4</x:v>
      </x:c>
      <x:c r="F285" s="23" t="n">
        <x:v>2941</x:v>
      </x:c>
      <x:c r="G285" s="23" t="n">
        <x:f>ROUND(F285-F284,1)</x:f>
        <x:v>43.8</x:v>
      </x:c>
      <x:c r="H285" s="24" t="n">
        <x:f>IFERROR(F285/F284-1,"")</x:f>
        <x:v>0.01511804500897429</x:v>
      </x:c>
      <x:c r="I285" s="23" t="n">
        <x:f>ROUND(D285-E285,1)</x:f>
        <x:v>51.2</x:v>
      </x:c>
      <x:c r="J285" s="22" t="str">
        <x:v>IH2606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2936</x:v>
      </x:c>
      <x:c r="D286" s="23" t="n">
        <x:v>2996</x:v>
      </x:c>
      <x:c r="E286" s="23" t="n">
        <x:v>2834.8</x:v>
      </x:c>
      <x:c r="F286" s="23" t="n">
        <x:v>2859</x:v>
      </x:c>
      <x:c r="G286" s="23" t="n">
        <x:f>ROUND(F286-F285,1)</x:f>
        <x:v>-82</x:v>
      </x:c>
      <x:c r="H286" s="24" t="n">
        <x:f>IFERROR(F286/F285-1,"")</x:f>
        <x:v>-0.02788167290037402</x:v>
      </x:c>
      <x:c r="I286" s="26" t="n">
        <x:f>ROUND(D286-E286,1)</x:f>
        <x:v>161.2</x:v>
      </x:c>
      <x:c r="J286" s="22" t="str">
        <x:v>IH2606/IH2609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2870</x:v>
      </x:c>
      <x:c r="D287" s="23" t="n">
        <x:v>2976</x:v>
      </x:c>
      <x:c r="E287" s="23" t="n">
        <x:v>2861.8</x:v>
      </x:c>
      <x:c r="F287" s="23" t="n">
        <x:v>2886.6</x:v>
      </x:c>
      <x:c r="G287" s="23" t="n">
        <x:f>ROUND(F287-F286,1)</x:f>
        <x:v>27.6</x:v>
      </x:c>
      <x:c r="H287" s="24" t="n">
        <x:f>IFERROR(F287/F286-1,"")</x:f>
        <x:v>0.009653725078698772</x:v>
      </x:c>
      <x:c r="I287" s="26" t="n">
        <x:f>ROUND(D287-E287,1)</x:f>
        <x:v>114.2</x:v>
      </x:c>
      <x:c r="J287" s="22" t="str">
        <x:v>IH2609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2899</x:v>
      </x:c>
      <x:c r="D288" s="23" t="n">
        <x:v>2983.8</x:v>
      </x:c>
      <x:c r="E288" s="23" t="n">
        <x:v>2862.4</x:v>
      </x:c>
      <x:c r="F288" s="23" t="n">
        <x:v>2910.2</x:v>
      </x:c>
      <x:c r="G288" s="23" t="n">
        <x:f>ROUND(F288-F287,1)</x:f>
        <x:v>23.6</x:v>
      </x:c>
      <x:c r="H288" s="24" t="n">
        <x:f>IFERROR(F288/F287-1,"")</x:f>
        <x:v>0.008175708445922414</x:v>
      </x:c>
      <x:c r="I288" s="26" t="n">
        <x:f>ROUND(D288-E288,1)</x:f>
        <x:v>121.4</x:v>
      </x:c>
      <x:c r="J288" s="22" t="str">
        <x:v>IH2609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2895.8</x:v>
      </x:c>
      <x:c r="D289" s="23" t="n">
        <x:v>2924</x:v>
      </x:c>
      <x:c r="E289" s="23" t="n">
        <x:v>2782.6</x:v>
      </x:c>
      <x:c r="F289" s="23" t="n">
        <x:v>2796.4</x:v>
      </x:c>
      <x:c r="G289" s="23" t="n">
        <x:f>ROUND(F289-F288,1)</x:f>
        <x:v>-113.8</x:v>
      </x:c>
      <x:c r="H289" s="24" t="n">
        <x:f>IFERROR(F289/F288-1,"")</x:f>
        <x:v>-0.039103841660366845</x:v>
      </x:c>
      <x:c r="I289" s="26" t="n">
        <x:f>ROUND(D289-E289,1)</x:f>
        <x:v>141.4</x:v>
      </x:c>
      <x:c r="J289" s="22" t="str">
        <x:v>IH2609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2820</x:v>
      </x:c>
      <x:c r="D290" s="23" t="n">
        <x:v>2978</x:v>
      </x:c>
      <x:c r="E290" s="23" t="n">
        <x:v>2820</x:v>
      </x:c>
      <x:c r="F290" s="23" t="n">
        <x:v>2910</x:v>
      </x:c>
      <x:c r="G290" s="23" t="n">
        <x:f>ROUND(F290-F289,1)</x:f>
        <x:v>113.6</x:v>
      </x:c>
      <x:c r="H290" s="24" t="n">
        <x:f>IFERROR(F290/F289-1,"")</x:f>
        <x:v>0.040623658990130096</x:v>
      </x:c>
      <x:c r="I290" s="26" t="n">
        <x:f>ROUND(D290-E290,1)</x:f>
        <x:v>158</x:v>
      </x:c>
      <x:c r="J290" s="22" t="str">
        <x:v>IH2609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2929.6</x:v>
      </x:c>
      <x:c r="D291" s="23" t="n">
        <x:v>2930</x:v>
      </x:c>
      <x:c r="E291" s="23" t="n">
        <x:v>2847.2</x:v>
      </x:c>
      <x:c r="F291" s="23" t="n">
        <x:v>2891.8</x:v>
      </x:c>
      <x:c r="G291" s="23" t="n">
        <x:f>ROUND(F291-F290,1)</x:f>
        <x:v>-18.2</x:v>
      </x:c>
      <x:c r="H291" s="24" t="n">
        <x:f>IFERROR(F291/F290-1,"")</x:f>
        <x:v>-0.006254295532646004</x:v>
      </x:c>
      <x:c r="I291" s="26" t="n">
        <x:f>ROUND(D291-E291,1)</x:f>
        <x:v>82.8</x:v>
      </x:c>
      <x:c r="J291" s="22" t="str">
        <x:v>IH2609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2882.4</x:v>
      </x:c>
      <x:c r="D292" s="23" t="n">
        <x:v>2930.6</x:v>
      </x:c>
      <x:c r="E292" s="23" t="n">
        <x:v>2845.8</x:v>
      </x:c>
      <x:c r="F292" s="23" t="n">
        <x:v>2930</x:v>
      </x:c>
      <x:c r="G292" s="23" t="n">
        <x:f>ROUND(F292-F291,1)</x:f>
        <x:v>38.2</x:v>
      </x:c>
      <x:c r="H292" s="24" t="n">
        <x:f>IFERROR(F292/F291-1,"")</x:f>
        <x:v>0.013209765543951812</x:v>
      </x:c>
      <x:c r="I292" s="26" t="n">
        <x:f>ROUND(D292-E292,1)</x:f>
        <x:v>84.8</x:v>
      </x:c>
      <x:c r="J292" s="22" t="str">
        <x:v>IH2609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2930</x:v>
      </x:c>
      <x:c r="D293" s="23" t="n">
        <x:v>2949.6</x:v>
      </x:c>
      <x:c r="E293" s="23" t="n">
        <x:v>2877</x:v>
      </x:c>
      <x:c r="F293" s="23" t="n">
        <x:v>2890</x:v>
      </x:c>
      <x:c r="G293" s="23" t="n">
        <x:f>ROUND(F293-F292,1)</x:f>
        <x:v>-40</x:v>
      </x:c>
      <x:c r="H293" s="24" t="n">
        <x:f>IFERROR(F293/F292-1,"")</x:f>
        <x:v>-0.013651877133105783</x:v>
      </x:c>
      <x:c r="I293" s="26" t="n">
        <x:f>ROUND(D293-E293,1)</x:f>
        <x:v>72.6</x:v>
      </x:c>
      <x:c r="J293" s="22" t="str">
        <x:v>IH2609</x:v>
      </x:c>
      <x:c r="K293" s="22" t="n">
        <x:v>5</x:v>
      </x:c>
    </x:row>
    <x:row r="294">
      <x:c r="A294" s="22" t="n">
        <x:v>32</x:v>
      </x:c>
      <x:c r="B294" s="22" t="str">
        <x:v>8月17日-8月21日</x:v>
      </x:c>
      <x:c r="C294" s="23" t="n">
        <x:v>2886</x:v>
      </x:c>
      <x:c r="D294" s="23" t="n">
        <x:v>2921.2</x:v>
      </x:c>
      <x:c r="E294" s="23" t="n">
        <x:v>2843</x:v>
      </x:c>
      <x:c r="F294" s="23" t="n">
        <x:v>2861</x:v>
      </x:c>
      <x:c r="G294" s="23" t="n">
        <x:f>ROUND(F294-F293,1)</x:f>
        <x:v>-29</x:v>
      </x:c>
      <x:c r="H294" s="24" t="n">
        <x:f>IFERROR(F294/F293-1,"")</x:f>
        <x:v>-0.01003460207612461</x:v>
      </x:c>
      <x:c r="I294" s="26" t="n">
        <x:f>ROUND(D294-E294,1)</x:f>
        <x:v>78.2</x:v>
      </x:c>
      <x:c r="J294" s="22" t="str">
        <x:v>IH2609</x:v>
      </x:c>
      <x:c r="K294" s="22" t="n">
        <x:v>5</x:v>
      </x:c>
    </x:row>
    <x:row r="295">
      <x:c r="A295" s="22" t="n">
        <x:v>33</x:v>
      </x:c>
      <x:c r="B295" s="22" t="str">
        <x:v>8月24日-8月28日</x:v>
      </x:c>
      <x:c r="C295" s="23" t="n">
        <x:v>2856.4</x:v>
      </x:c>
      <x:c r="D295" s="23" t="n">
        <x:v>2918.2</x:v>
      </x:c>
      <x:c r="E295" s="23" t="n">
        <x:v>2837.4</x:v>
      </x:c>
      <x:c r="F295" s="23" t="n">
        <x:v>2911.4</x:v>
      </x:c>
      <x:c r="G295" s="23" t="n">
        <x:f>ROUND(F295-F294,1)</x:f>
        <x:v>50.4</x:v>
      </x:c>
      <x:c r="H295" s="24" t="n">
        <x:f>IFERROR(F295/F294-1,"")</x:f>
        <x:v>0.01761621810555747</x:v>
      </x:c>
      <x:c r="I295" s="26" t="n">
        <x:f>ROUND(D295-E295,1)</x:f>
        <x:v>80.8</x:v>
      </x:c>
      <x:c r="J295" s="22" t="str">
        <x:v>IH2609</x:v>
      </x:c>
      <x:c r="K295" s="22" t="n">
        <x:v>5</x:v>
      </x:c>
    </x:row>
    <x:row r="296">
      <x:c r="A296" s="22" t="n">
        <x:v>34</x:v>
      </x:c>
      <x:c r="B296" s="22" t="str">
        <x:v>8月31日-9月4日</x:v>
      </x:c>
      <x:c r="C296" s="23" t="n">
        <x:v>2886</x:v>
      </x:c>
      <x:c r="D296" s="23" t="n">
        <x:v>2949.4</x:v>
      </x:c>
      <x:c r="E296" s="23" t="n">
        <x:v>2877.6</x:v>
      </x:c>
      <x:c r="F296" s="23" t="n">
        <x:v>2915.8</x:v>
      </x:c>
      <x:c r="G296" s="23" t="n">
        <x:f>ROUND(F296-F295,1)</x:f>
        <x:v>4.4</x:v>
      </x:c>
      <x:c r="H296" s="24" t="n">
        <x:f>IFERROR(F296/F295-1,"")</x:f>
        <x:v>0.0015113004053033396</x:v>
      </x:c>
      <x:c r="I296" s="26" t="n">
        <x:f>ROUND(D296-E296,1)</x:f>
        <x:v>71.8</x:v>
      </x:c>
      <x:c r="J296" s="22" t="str">
        <x:v>IH2609</x:v>
      </x:c>
      <x:c r="K296" s="22" t="n">
        <x:v>5</x:v>
      </x:c>
    </x:row>
    <x:row r="297">
      <x:c r="A297" s="22" t="n">
        <x:v>35</x:v>
      </x:c>
      <x:c r="B297" s="22" t="str">
        <x:v>9月7日-9月11日</x:v>
      </x:c>
      <x:c r="C297" s="23" t="n">
        <x:v>2923.2</x:v>
      </x:c>
      <x:c r="D297" s="23" t="n">
        <x:v>2931.4</x:v>
      </x:c>
      <x:c r="E297" s="23" t="n">
        <x:v>2836.8</x:v>
      </x:c>
      <x:c r="F297" s="23" t="n">
        <x:v>2867</x:v>
      </x:c>
      <x:c r="G297" s="23" t="n">
        <x:f>ROUND(F297-F296,1)</x:f>
        <x:v>-48.8</x:v>
      </x:c>
      <x:c r="H297" s="24" t="n">
        <x:f>IFERROR(F297/F296-1,"")</x:f>
        <x:v>-0.01673640167364021</x:v>
      </x:c>
      <x:c r="I297" s="26" t="n">
        <x:f>ROUND(D297-E297,1)</x:f>
        <x:v>94.6</x:v>
      </x:c>
      <x:c r="J297" s="22" t="str">
        <x:v>IH2609</x:v>
      </x:c>
      <x:c r="K297" s="22" t="n">
        <x:v>5</x:v>
      </x:c>
    </x:row>
    <x:row r="298">
      <x:c r="A298" s="22" t="n">
        <x:v>36</x:v>
      </x:c>
      <x:c r="B298" s="22" t="str">
        <x:v>9月14日-9月18日</x:v>
      </x:c>
      <x:c r="C298" s="23" t="n">
        <x:v>2849.2</x:v>
      </x:c>
      <x:c r="D298" s="23" t="n">
        <x:v>2873.2</x:v>
      </x:c>
      <x:c r="E298" s="23" t="n">
        <x:v>2829.4</x:v>
      </x:c>
      <x:c r="F298" s="23" t="n">
        <x:v>2862.2</x:v>
      </x:c>
      <x:c r="G298" s="23" t="n">
        <x:f>ROUND(F298-F297,1)</x:f>
        <x:v>-4.8</x:v>
      </x:c>
      <x:c r="H298" s="24" t="n">
        <x:f>IFERROR(F298/F297-1,"")</x:f>
        <x:v>-0.0016742239274503135</x:v>
      </x:c>
      <x:c r="I298" s="23" t="n">
        <x:f>ROUND(D298-E298,1)</x:f>
        <x:v>43.8</x:v>
      </x:c>
      <x:c r="J298" s="22" t="str">
        <x:v>IH2609</x:v>
      </x:c>
      <x:c r="K298" s="22" t="n">
        <x:v>5</x:v>
      </x:c>
    </x:row>
    <x:row r="299">
      <x:c r="A299" s="22" t="n">
        <x:v>37</x:v>
      </x:c>
      <x:c r="B299" s="22" t="str">
        <x:v>9月21日-9月24日</x:v>
      </x:c>
      <x:c r="C299" s="23" t="n">
        <x:v>2830</x:v>
      </x:c>
      <x:c r="D299" s="23" t="n">
        <x:v>2881.2</x:v>
      </x:c>
      <x:c r="E299" s="23" t="n">
        <x:v>2798</x:v>
      </x:c>
      <x:c r="F299" s="23" t="n">
        <x:v>2804.6</x:v>
      </x:c>
      <x:c r="G299" s="23" t="n">
        <x:f>ROUND(F299-F298,1)</x:f>
        <x:v>-57.6</x:v>
      </x:c>
      <x:c r="H299" s="24" t="n">
        <x:f>IFERROR(F299/F298-1,"")</x:f>
        <x:v>-0.02012437984766957</x:v>
      </x:c>
      <x:c r="I299" s="26" t="n">
        <x:f>ROUND(D299-E299,1)</x:f>
        <x:v>83.2</x:v>
      </x:c>
      <x:c r="J299" s="22" t="str">
        <x:v>IH2612</x:v>
      </x:c>
      <x:c r="K299" s="22" t="n">
        <x:v>4</x:v>
      </x:c>
    </x:row>
    <x:row r="300">
      <x:c r="A300" s="22" t="n">
        <x:v>38</x:v>
      </x:c>
      <x:c r="B300" s="22" t="str">
        <x:v>9月28日-9月30日</x:v>
      </x:c>
      <x:c r="C300" s="23" t="n">
        <x:v>2802</x:v>
      </x:c>
      <x:c r="D300" s="23" t="n">
        <x:v>2803.8</x:v>
      </x:c>
      <x:c r="E300" s="23" t="n">
        <x:v>2746</x:v>
      </x:c>
      <x:c r="F300" s="23" t="n">
        <x:v>2778.8</x:v>
      </x:c>
      <x:c r="G300" s="23" t="n">
        <x:f>ROUND(F300-F299,1)</x:f>
        <x:v>-25.8</x:v>
      </x:c>
      <x:c r="H300" s="24" t="n">
        <x:f>IFERROR(F300/F299-1,"")</x:f>
        <x:v>-0.009199172787563215</x:v>
      </x:c>
      <x:c r="I300" s="23" t="n">
        <x:f>ROUND(D300-E300,1)</x:f>
        <x:v>57.8</x:v>
      </x:c>
      <x:c r="J300" s="22" t="str">
        <x:v>IH2612</x:v>
      </x:c>
      <x:c r="K300" s="22" t="n">
        <x:v>3</x:v>
      </x:c>
    </x:row>
    <x:row r="301">
      <x:c r="A301" s="31" t="str">
        <x:v>合计</x:v>
      </x:c>
      <x:c r="B301" s="30" t="n">
        <x:v>38</x:v>
      </x:c>
      <x:c r="C301" s="30"/>
      <x:c r="D301" s="30"/>
      <x:c r="E301" s="30"/>
      <x:c r="F301" s="30"/>
      <x:c r="G301" s="30"/>
      <x:c r="H301" s="30"/>
      <x:c r="I301" s="32" t="n">
        <x:f>ROUND(SUM(I263:I300),1)</x:f>
        <x:v>3400.4</x:v>
      </x:c>
      <x:c r="J301" s="30"/>
      <x:c r="K301" s="30"/>
    </x:row>
    <x:row r="302">
      <x:c r="A302" s="31" t="str">
        <x:v>均值</x:v>
      </x:c>
      <x:c r="B302" s="30"/>
      <x:c r="C302" s="30"/>
      <x:c r="D302" s="30"/>
      <x:c r="E302" s="30"/>
      <x:c r="F302" s="30"/>
      <x:c r="G302" s="30"/>
      <x:c r="H302" s="30"/>
      <x:c r="I302" s="34" t="n">
        <x:f>ROUND(IFERROR(AVERAGE(I263:I300),0),1)</x:f>
        <x:v>89.5</x:v>
      </x:c>
      <x:c r="J302" s="30"/>
      <x:c r="K302" s="30"/>
    </x:row>
    <x:row r="304">
      <x:c r="A304" s="17" t="str">
        <x:v>碳酸锂2610</x:v>
      </x:c>
      <x:c r="B304" s="17"/>
      <x:c r="C304" s="17"/>
      <x:c r="D304" s="17"/>
      <x:c r="E304" s="17"/>
      <x:c r="F304" s="17"/>
      <x:c r="G304" s="17"/>
      <x:c r="H304" s="17"/>
      <x:c r="I304" s="17"/>
      <x:c r="J304" s="17"/>
      <x:c r="K304" s="17"/>
    </x:row>
    <x:row r="305">
      <x:c r="A305" s="20" t="str">
        <x:v>序号</x:v>
      </x:c>
      <x:c r="B305" s="20" t="str">
        <x:v>周期</x:v>
      </x:c>
      <x:c r="C305" s="20" t="str">
        <x:v>开盘</x:v>
      </x:c>
      <x:c r="D305" s="20" t="str">
        <x:v>高点</x:v>
      </x:c>
      <x:c r="E305" s="20" t="str">
        <x:v>低点</x:v>
      </x:c>
      <x:c r="F305" s="20" t="str">
        <x:v>收盘</x:v>
      </x:c>
      <x:c r="G305" s="20" t="str">
        <x:v>涨跌点数</x:v>
      </x:c>
      <x:c r="H305" s="20" t="str">
        <x:v>涨幅</x:v>
      </x:c>
      <x:c r="I305" s="20" t="str">
        <x:v>振幅</x:v>
      </x:c>
      <x:c r="J305" s="20" t="str">
        <x:v>标的</x:v>
      </x:c>
      <x:c r="K305" s="20" t="str">
        <x:v>交易日</x:v>
      </x:c>
    </x:row>
    <x:row r="306">
      <x:c r="A306" s="22" t="n">
        <x:v>1</x:v>
      </x:c>
      <x:c r="B306" s="22" t="str">
        <x:v>1月5日-1月9日</x:v>
      </x:c>
      <x:c r="C306" s="23" t="n">
        <x:v>132800</x:v>
      </x:c>
      <x:c r="D306" s="23" t="n">
        <x:v>150100</x:v>
      </x:c>
      <x:c r="E306" s="23" t="n">
        <x:v>123500</x:v>
      </x:c>
      <x:c r="F306" s="23" t="n">
        <x:v>145600</x:v>
      </x:c>
      <x:c r="G306" s="23"/>
      <x:c r="H306" s="24"/>
      <x:c r="I306" s="26" t="n">
        <x:f>ROUND(D306-E306,1)</x:f>
        <x:v>26600</x:v>
      </x:c>
      <x:c r="J306" s="22" t="str">
        <x:v>LC2610</x:v>
      </x:c>
      <x:c r="K306" s="22" t="n">
        <x:v>5</x:v>
      </x:c>
    </x:row>
    <x:row r="307">
      <x:c r="A307" s="22" t="n">
        <x:v>2</x:v>
      </x:c>
      <x:c r="B307" s="22" t="str">
        <x:v>1月12日-1月16日</x:v>
      </x:c>
      <x:c r="C307" s="23" t="n">
        <x:v>149180</x:v>
      </x:c>
      <x:c r="D307" s="23" t="n">
        <x:v>175360</x:v>
      </x:c>
      <x:c r="E307" s="23" t="n">
        <x:v>148180</x:v>
      </x:c>
      <x:c r="F307" s="23" t="n">
        <x:v>148180</x:v>
      </x:c>
      <x:c r="G307" s="28" t="n">
        <x:f>ROUND(F307-F306,1)</x:f>
        <x:v>2580</x:v>
      </x:c>
      <x:c r="H307" s="24" t="n">
        <x:f>IFERROR(F307/F306-1,"")</x:f>
        <x:v>0.017719780219780157</x:v>
      </x:c>
      <x:c r="I307" s="26" t="n">
        <x:f>ROUND(D307-E307,1)</x:f>
        <x:v>27180</x:v>
      </x:c>
      <x:c r="J307" s="22" t="str">
        <x:v>LC2610</x:v>
      </x:c>
      <x:c r="K307" s="22" t="n">
        <x:v>5</x:v>
      </x:c>
    </x:row>
    <x:row r="308">
      <x:c r="A308" s="22" t="n">
        <x:v>3</x:v>
      </x:c>
      <x:c r="B308" s="22" t="str">
        <x:v>1月19日-1月23日</x:v>
      </x:c>
      <x:c r="C308" s="23" t="n">
        <x:v>143000</x:v>
      </x:c>
      <x:c r="D308" s="23" t="n">
        <x:v>183460</x:v>
      </x:c>
      <x:c r="E308" s="23" t="n">
        <x:v>143000</x:v>
      </x:c>
      <x:c r="F308" s="23" t="n">
        <x:v>183460</x:v>
      </x:c>
      <x:c r="G308" s="28" t="n">
        <x:f>ROUND(F308-F307,1)</x:f>
        <x:v>35280</x:v>
      </x:c>
      <x:c r="H308" s="24" t="n">
        <x:f>IFERROR(F308/F307-1,"")</x:f>
        <x:v>0.23808881090565537</x:v>
      </x:c>
      <x:c r="I308" s="26" t="n">
        <x:f>ROUND(D308-E308,1)</x:f>
        <x:v>40460</x:v>
      </x:c>
      <x:c r="J308" s="22" t="str">
        <x:v>LC2610</x:v>
      </x:c>
      <x:c r="K308" s="22" t="n">
        <x:v>5</x:v>
      </x:c>
    </x:row>
    <x:row r="309">
      <x:c r="A309" s="22" t="n">
        <x:v>4</x:v>
      </x:c>
      <x:c r="B309" s="22" t="str">
        <x:v>1月26日-1月30日</x:v>
      </x:c>
      <x:c r="C309" s="23" t="n">
        <x:v>189980</x:v>
      </x:c>
      <x:c r="D309" s="23" t="n">
        <x:v>190020</x:v>
      </x:c>
      <x:c r="E309" s="23" t="n">
        <x:v>148520</x:v>
      </x:c>
      <x:c r="F309" s="23" t="n">
        <x:v>148540</x:v>
      </x:c>
      <x:c r="G309" s="28" t="n">
        <x:f>ROUND(F309-F308,1)</x:f>
        <x:v>-34920</x:v>
      </x:c>
      <x:c r="H309" s="24" t="n">
        <x:f>IFERROR(F309/F308-1,"")</x:f>
        <x:v>-0.19034121879428756</x:v>
      </x:c>
      <x:c r="I309" s="26" t="n">
        <x:f>ROUND(D309-E309,1)</x:f>
        <x:v>41500</x:v>
      </x:c>
      <x:c r="J309" s="22" t="str">
        <x:v>LC2610</x:v>
      </x:c>
      <x:c r="K309" s="22" t="n">
        <x:v>5</x:v>
      </x:c>
    </x:row>
    <x:row r="310">
      <x:c r="A310" s="22" t="n">
        <x:v>5</x:v>
      </x:c>
      <x:c r="B310" s="22" t="str">
        <x:v>2月2日-2月6日</x:v>
      </x:c>
      <x:c r="C310" s="23" t="n">
        <x:v>153000</x:v>
      </x:c>
      <x:c r="D310" s="23" t="n">
        <x:v>153000</x:v>
      </x:c>
      <x:c r="E310" s="23" t="n">
        <x:v>124760</x:v>
      </x:c>
      <x:c r="F310" s="23" t="n">
        <x:v>131160</x:v>
      </x:c>
      <x:c r="G310" s="28" t="n">
        <x:f>ROUND(F310-F309,1)</x:f>
        <x:v>-17380</x:v>
      </x:c>
      <x:c r="H310" s="24" t="n">
        <x:f>IFERROR(F310/F309-1,"")</x:f>
        <x:v>-0.11700552039854584</x:v>
      </x:c>
      <x:c r="I310" s="26" t="n">
        <x:f>ROUND(D310-E310,1)</x:f>
        <x:v>28240</x:v>
      </x:c>
      <x:c r="J310" s="22" t="str">
        <x:v>LC2610</x:v>
      </x:c>
      <x:c r="K310" s="22" t="n">
        <x:v>5</x:v>
      </x:c>
    </x:row>
    <x:row r="311">
      <x:c r="A311" s="22" t="n">
        <x:v>6</x:v>
      </x:c>
      <x:c r="B311" s="22" t="str">
        <x:v>2月9日-2月13日</x:v>
      </x:c>
      <x:c r="C311" s="23" t="n">
        <x:v>134660</x:v>
      </x:c>
      <x:c r="D311" s="23" t="n">
        <x:v>152380</x:v>
      </x:c>
      <x:c r="E311" s="23" t="n">
        <x:v>133580</x:v>
      </x:c>
      <x:c r="F311" s="23" t="n">
        <x:v>152380</x:v>
      </x:c>
      <x:c r="G311" s="28" t="n">
        <x:f>ROUND(F311-F310,1)</x:f>
        <x:v>21220</x:v>
      </x:c>
      <x:c r="H311" s="24" t="n">
        <x:f>IFERROR(F311/F310-1,"")</x:f>
        <x:v>0.1617871302226288</x:v>
      </x:c>
      <x:c r="I311" s="26" t="n">
        <x:f>ROUND(D311-E311,1)</x:f>
        <x:v>18800</x:v>
      </x:c>
      <x:c r="J311" s="22" t="str">
        <x:v>LC2610</x:v>
      </x:c>
      <x:c r="K311" s="22" t="n">
        <x:v>5</x:v>
      </x:c>
    </x:row>
    <x:row r="312">
      <x:c r="A312" s="22" t="n">
        <x:v>7</x:v>
      </x:c>
      <x:c r="B312" s="22" t="str">
        <x:v>2月24日-2月27日</x:v>
      </x:c>
      <x:c r="C312" s="23" t="n">
        <x:v>165060</x:v>
      </x:c>
      <x:c r="D312" s="23" t="n">
        <x:v>187920</x:v>
      </x:c>
      <x:c r="E312" s="23" t="n">
        <x:v>155680</x:v>
      </x:c>
      <x:c r="F312" s="23" t="n">
        <x:v>175400</x:v>
      </x:c>
      <x:c r="G312" s="28" t="n">
        <x:f>ROUND(F312-F311,1)</x:f>
        <x:v>23020</x:v>
      </x:c>
      <x:c r="H312" s="24" t="n">
        <x:f>IFERROR(F312/F311-1,"")</x:f>
        <x:v>0.1510696941855887</x:v>
      </x:c>
      <x:c r="I312" s="26" t="n">
        <x:f>ROUND(D312-E312,1)</x:f>
        <x:v>32240</x:v>
      </x:c>
      <x:c r="J312" s="22" t="str">
        <x:v>LC2610</x:v>
      </x:c>
      <x:c r="K312" s="22" t="n">
        <x:v>4</x:v>
      </x:c>
    </x:row>
    <x:row r="313">
      <x:c r="A313" s="22" t="n">
        <x:v>8</x:v>
      </x:c>
      <x:c r="B313" s="22" t="str">
        <x:v>3月2日-3月6日</x:v>
      </x:c>
      <x:c r="C313" s="23" t="n">
        <x:v>175800</x:v>
      </x:c>
      <x:c r="D313" s="23" t="n">
        <x:v>177260</x:v>
      </x:c>
      <x:c r="E313" s="23" t="n">
        <x:v>144980</x:v>
      </x:c>
      <x:c r="F313" s="23" t="n">
        <x:v>156580</x:v>
      </x:c>
      <x:c r="G313" s="28" t="n">
        <x:f>ROUND(F313-F312,1)</x:f>
        <x:v>-18820</x:v>
      </x:c>
      <x:c r="H313" s="24" t="n">
        <x:f>IFERROR(F313/F312-1,"")</x:f>
        <x:v>-0.1072976054732041</x:v>
      </x:c>
      <x:c r="I313" s="26" t="n">
        <x:f>ROUND(D313-E313,1)</x:f>
        <x:v>32280</x:v>
      </x:c>
      <x:c r="J313" s="22" t="str">
        <x:v>LC2610</x:v>
      </x:c>
      <x:c r="K313" s="22" t="n">
        <x:v>5</x:v>
      </x:c>
    </x:row>
    <x:row r="314">
      <x:c r="A314" s="22" t="n">
        <x:v>9</x:v>
      </x:c>
      <x:c r="B314" s="22" t="str">
        <x:v>3月9日-3月13日</x:v>
      </x:c>
      <x:c r="C314" s="23" t="n">
        <x:v>145120</x:v>
      </x:c>
      <x:c r="D314" s="23" t="n">
        <x:v>166800</x:v>
      </x:c>
      <x:c r="E314" s="23" t="n">
        <x:v>139860</x:v>
      </x:c>
      <x:c r="F314" s="23" t="n">
        <x:v>151880</x:v>
      </x:c>
      <x:c r="G314" s="28" t="n">
        <x:f>ROUND(F314-F313,1)</x:f>
        <x:v>-4700</x:v>
      </x:c>
      <x:c r="H314" s="24" t="n">
        <x:f>IFERROR(F314/F313-1,"")</x:f>
        <x:v>-0.030016604930387047</x:v>
      </x:c>
      <x:c r="I314" s="26" t="n">
        <x:f>ROUND(D314-E314,1)</x:f>
        <x:v>26940</x:v>
      </x:c>
      <x:c r="J314" s="22" t="str">
        <x:v>LC2610</x:v>
      </x:c>
      <x:c r="K314" s="22" t="n">
        <x:v>5</x:v>
      </x:c>
    </x:row>
    <x:row r="315">
      <x:c r="A315" s="22" t="n">
        <x:v>10</x:v>
      </x:c>
      <x:c r="B315" s="22" t="str">
        <x:v>3月16日-3月20日</x:v>
      </x:c>
      <x:c r="C315" s="23" t="n">
        <x:v>149140</x:v>
      </x:c>
      <x:c r="D315" s="23" t="n">
        <x:v>159120</x:v>
      </x:c>
      <x:c r="E315" s="23" t="n">
        <x:v>139640</x:v>
      </x:c>
      <x:c r="F315" s="23" t="n">
        <x:v>143900</x:v>
      </x:c>
      <x:c r="G315" s="28" t="n">
        <x:f>ROUND(F315-F314,1)</x:f>
        <x:v>-7980</x:v>
      </x:c>
      <x:c r="H315" s="24" t="n">
        <x:f>IFERROR(F315/F314-1,"")</x:f>
        <x:v>-0.052541480115881</x:v>
      </x:c>
      <x:c r="I315" s="26" t="n">
        <x:f>ROUND(D315-E315,1)</x:f>
        <x:v>19480</x:v>
      </x:c>
      <x:c r="J315" s="22" t="str">
        <x:v>LC2610</x:v>
      </x:c>
      <x:c r="K315" s="22" t="n">
        <x:v>5</x:v>
      </x:c>
    </x:row>
    <x:row r="316">
      <x:c r="A316" s="22" t="n">
        <x:v>11</x:v>
      </x:c>
      <x:c r="B316" s="22" t="str">
        <x:v>3月23日-3月27日</x:v>
      </x:c>
      <x:c r="C316" s="23" t="n">
        <x:v>144460</x:v>
      </x:c>
      <x:c r="D316" s="23" t="n">
        <x:v>170800</x:v>
      </x:c>
      <x:c r="E316" s="23" t="n">
        <x:v>139980</x:v>
      </x:c>
      <x:c r="F316" s="23" t="n">
        <x:v>166540</x:v>
      </x:c>
      <x:c r="G316" s="28" t="n">
        <x:f>ROUND(F316-F315,1)</x:f>
        <x:v>22640</x:v>
      </x:c>
      <x:c r="H316" s="24" t="n">
        <x:f>IFERROR(F316/F315-1,"")</x:f>
        <x:v>0.15733148019457954</x:v>
      </x:c>
      <x:c r="I316" s="26" t="n">
        <x:f>ROUND(D316-E316,1)</x:f>
        <x:v>30820</x:v>
      </x:c>
      <x:c r="J316" s="22" t="str">
        <x:v>LC2610</x:v>
      </x:c>
      <x:c r="K316" s="22" t="n">
        <x:v>5</x:v>
      </x:c>
    </x:row>
    <x:row r="317">
      <x:c r="A317" s="22" t="n">
        <x:v>12</x:v>
      </x:c>
      <x:c r="B317" s="22" t="str">
        <x:v>3月30日-4月3日</x:v>
      </x:c>
      <x:c r="C317" s="23" t="n">
        <x:v>172000</x:v>
      </x:c>
      <x:c r="D317" s="23" t="n">
        <x:v>174540</x:v>
      </x:c>
      <x:c r="E317" s="23" t="n">
        <x:v>153840</x:v>
      </x:c>
      <x:c r="F317" s="23" t="n">
        <x:v>157680</x:v>
      </x:c>
      <x:c r="G317" s="28" t="n">
        <x:f>ROUND(F317-F316,1)</x:f>
        <x:v>-8860</x:v>
      </x:c>
      <x:c r="H317" s="24" t="n">
        <x:f>IFERROR(F317/F316-1,"")</x:f>
        <x:v>-0.05320043232856975</x:v>
      </x:c>
      <x:c r="I317" s="26" t="n">
        <x:f>ROUND(D317-E317,1)</x:f>
        <x:v>20700</x:v>
      </x:c>
      <x:c r="J317" s="22" t="str">
        <x:v>LC2610</x:v>
      </x:c>
      <x:c r="K317" s="22" t="n">
        <x:v>5</x:v>
      </x:c>
    </x:row>
    <x:row r="318">
      <x:c r="A318" s="22" t="n">
        <x:v>13</x:v>
      </x:c>
      <x:c r="B318" s="22" t="str">
        <x:v>4月7日-4月10日</x:v>
      </x:c>
      <x:c r="C318" s="23" t="n">
        <x:v>156200</x:v>
      </x:c>
      <x:c r="D318" s="23" t="n">
        <x:v>164160</x:v>
      </x:c>
      <x:c r="E318" s="23" t="n">
        <x:v>151640</x:v>
      </x:c>
      <x:c r="F318" s="23" t="n">
        <x:v>156500</x:v>
      </x:c>
      <x:c r="G318" s="28" t="n">
        <x:f>ROUND(F318-F317,1)</x:f>
        <x:v>-1180</x:v>
      </x:c>
      <x:c r="H318" s="24" t="n">
        <x:f>IFERROR(F318/F317-1,"")</x:f>
        <x:v>-0.007483510908168456</x:v>
      </x:c>
      <x:c r="I318" s="26" t="n">
        <x:f>ROUND(D318-E318,1)</x:f>
        <x:v>12520</x:v>
      </x:c>
      <x:c r="J318" s="22" t="str">
        <x:v>LC2610</x:v>
      </x:c>
      <x:c r="K318" s="22" t="n">
        <x:v>4</x:v>
      </x:c>
    </x:row>
    <x:row r="319">
      <x:c r="A319" s="22" t="n">
        <x:v>14</x:v>
      </x:c>
      <x:c r="B319" s="22" t="str">
        <x:v>4月13日-4月17日</x:v>
      </x:c>
      <x:c r="C319" s="23" t="n">
        <x:v>156660</x:v>
      </x:c>
      <x:c r="D319" s="23" t="n">
        <x:v>176500</x:v>
      </x:c>
      <x:c r="E319" s="23" t="n">
        <x:v>153040</x:v>
      </x:c>
      <x:c r="F319" s="23" t="n">
        <x:v>176360</x:v>
      </x:c>
      <x:c r="G319" s="28" t="n">
        <x:f>ROUND(F319-F318,1)</x:f>
        <x:v>19860</x:v>
      </x:c>
      <x:c r="H319" s="24" t="n">
        <x:f>IFERROR(F319/F318-1,"")</x:f>
        <x:v>0.12690095846645377</x:v>
      </x:c>
      <x:c r="I319" s="26" t="n">
        <x:f>ROUND(D319-E319,1)</x:f>
        <x:v>23460</x:v>
      </x:c>
      <x:c r="J319" s="22" t="str">
        <x:v>LC2610</x:v>
      </x:c>
      <x:c r="K319" s="22" t="n">
        <x:v>5</x:v>
      </x:c>
    </x:row>
    <x:row r="320">
      <x:c r="A320" s="22" t="n">
        <x:v>15</x:v>
      </x:c>
      <x:c r="B320" s="22" t="str">
        <x:v>4月20日-4月24日</x:v>
      </x:c>
      <x:c r="C320" s="23" t="n">
        <x:v>174080</x:v>
      </x:c>
      <x:c r="D320" s="23" t="n">
        <x:v>180920</x:v>
      </x:c>
      <x:c r="E320" s="23" t="n">
        <x:v>169000</x:v>
      </x:c>
      <x:c r="F320" s="23" t="n">
        <x:v>176960</x:v>
      </x:c>
      <x:c r="G320" s="28" t="n">
        <x:f>ROUND(F320-F319,1)</x:f>
        <x:v>600</x:v>
      </x:c>
      <x:c r="H320" s="24" t="n">
        <x:f>IFERROR(F320/F319-1,"")</x:f>
        <x:v>0.0034021320027217694</x:v>
      </x:c>
      <x:c r="I320" s="26" t="n">
        <x:f>ROUND(D320-E320,1)</x:f>
        <x:v>11920</x:v>
      </x:c>
      <x:c r="J320" s="22" t="str">
        <x:v>LC2610</x:v>
      </x:c>
      <x:c r="K320" s="22" t="n">
        <x:v>5</x:v>
      </x:c>
    </x:row>
    <x:row r="321">
      <x:c r="A321" s="22" t="n">
        <x:v>16</x:v>
      </x:c>
      <x:c r="B321" s="22" t="str">
        <x:v>4月27日-4月30日</x:v>
      </x:c>
      <x:c r="C321" s="23" t="n">
        <x:v>176960</x:v>
      </x:c>
      <x:c r="D321" s="23" t="n">
        <x:v>188840</x:v>
      </x:c>
      <x:c r="E321" s="23" t="n">
        <x:v>172640</x:v>
      </x:c>
      <x:c r="F321" s="23" t="n">
        <x:v>188840</x:v>
      </x:c>
      <x:c r="G321" s="28" t="n">
        <x:f>ROUND(F321-F320,1)</x:f>
        <x:v>11880</x:v>
      </x:c>
      <x:c r="H321" s="24" t="n">
        <x:f>IFERROR(F321/F320-1,"")</x:f>
        <x:v>0.06713381555153708</x:v>
      </x:c>
      <x:c r="I321" s="26" t="n">
        <x:f>ROUND(D321-E321,1)</x:f>
        <x:v>16200</x:v>
      </x:c>
      <x:c r="J321" s="22" t="str">
        <x:v>LC2610</x:v>
      </x:c>
      <x:c r="K321" s="22" t="n">
        <x:v>4</x:v>
      </x:c>
    </x:row>
    <x:row r="322">
      <x:c r="A322" s="22" t="n">
        <x:v>17</x:v>
      </x:c>
      <x:c r="B322" s="22" t="str">
        <x:v>5月6日-5月8日</x:v>
      </x:c>
      <x:c r="C322" s="23" t="n">
        <x:v>191300</x:v>
      </x:c>
      <x:c r="D322" s="23" t="n">
        <x:v>204640</x:v>
      </x:c>
      <x:c r="E322" s="23" t="n">
        <x:v>191300</x:v>
      </x:c>
      <x:c r="F322" s="23" t="n">
        <x:v>196100</x:v>
      </x:c>
      <x:c r="G322" s="28" t="n">
        <x:f>ROUND(F322-F321,1)</x:f>
        <x:v>7260</x:v>
      </x:c>
      <x:c r="H322" s="24" t="n">
        <x:f>IFERROR(F322/F321-1,"")</x:f>
        <x:v>0.038445244651556854</x:v>
      </x:c>
      <x:c r="I322" s="26" t="n">
        <x:f>ROUND(D322-E322,1)</x:f>
        <x:v>13340</x:v>
      </x:c>
      <x:c r="J322" s="22" t="str">
        <x:v>LC2610</x:v>
      </x:c>
      <x:c r="K322" s="22" t="n">
        <x:v>3</x:v>
      </x:c>
    </x:row>
    <x:row r="323">
      <x:c r="A323" s="22" t="n">
        <x:v>18</x:v>
      </x:c>
      <x:c r="B323" s="22" t="str">
        <x:v>5月11日-5月15日</x:v>
      </x:c>
      <x:c r="C323" s="23" t="n">
        <x:v>195080</x:v>
      </x:c>
      <x:c r="D323" s="23" t="n">
        <x:v>209040</x:v>
      </x:c>
      <x:c r="E323" s="23" t="n">
        <x:v>187240</x:v>
      </x:c>
      <x:c r="F323" s="23" t="n">
        <x:v>189440</x:v>
      </x:c>
      <x:c r="G323" s="28" t="n">
        <x:f>ROUND(F323-F322,1)</x:f>
        <x:v>-6660</x:v>
      </x:c>
      <x:c r="H323" s="24" t="n">
        <x:f>IFERROR(F323/F322-1,"")</x:f>
        <x:v>-0.03396226415094339</x:v>
      </x:c>
      <x:c r="I323" s="26" t="n">
        <x:f>ROUND(D323-E323,1)</x:f>
        <x:v>21800</x:v>
      </x:c>
      <x:c r="J323" s="22" t="str">
        <x:v>LC2610</x:v>
      </x:c>
      <x:c r="K323" s="22" t="n">
        <x:v>5</x:v>
      </x:c>
    </x:row>
    <x:row r="324">
      <x:c r="A324" s="22" t="n">
        <x:v>19</x:v>
      </x:c>
      <x:c r="B324" s="22" t="str">
        <x:v>5月18日-5月22日</x:v>
      </x:c>
      <x:c r="C324" s="23" t="n">
        <x:v>190060</x:v>
      </x:c>
      <x:c r="D324" s="23" t="n">
        <x:v>193820</x:v>
      </x:c>
      <x:c r="E324" s="23" t="n">
        <x:v>175520</x:v>
      </x:c>
      <x:c r="F324" s="23" t="n">
        <x:v>185280</x:v>
      </x:c>
      <x:c r="G324" s="28" t="n">
        <x:f>ROUND(F324-F323,1)</x:f>
        <x:v>-4160</x:v>
      </x:c>
      <x:c r="H324" s="24" t="n">
        <x:f>IFERROR(F324/F323-1,"")</x:f>
        <x:v>-0.02195945945945943</x:v>
      </x:c>
      <x:c r="I324" s="26" t="n">
        <x:f>ROUND(D324-E324,1)</x:f>
        <x:v>18300</x:v>
      </x:c>
      <x:c r="J324" s="22" t="str">
        <x:v>LC2610</x:v>
      </x:c>
      <x:c r="K324" s="22" t="n">
        <x:v>5</x:v>
      </x:c>
    </x:row>
    <x:row r="325">
      <x:c r="A325" s="22" t="n">
        <x:v>20</x:v>
      </x:c>
      <x:c r="B325" s="22" t="str">
        <x:v>5月25日-5月29日</x:v>
      </x:c>
      <x:c r="C325" s="23" t="n">
        <x:v>185380</x:v>
      </x:c>
      <x:c r="D325" s="23" t="n">
        <x:v>188320</x:v>
      </x:c>
      <x:c r="E325" s="23" t="n">
        <x:v>172500</x:v>
      </x:c>
      <x:c r="F325" s="23" t="n">
        <x:v>178620</x:v>
      </x:c>
      <x:c r="G325" s="28" t="n">
        <x:f>ROUND(F325-F324,1)</x:f>
        <x:v>-6660</x:v>
      </x:c>
      <x:c r="H325" s="24" t="n">
        <x:f>IFERROR(F325/F324-1,"")</x:f>
        <x:v>-0.035945595854922296</x:v>
      </x:c>
      <x:c r="I325" s="26" t="n">
        <x:f>ROUND(D325-E325,1)</x:f>
        <x:v>15820</x:v>
      </x:c>
      <x:c r="J325" s="22" t="str">
        <x:v>LC2610</x:v>
      </x:c>
      <x:c r="K325" s="22" t="n">
        <x:v>5</x:v>
      </x:c>
    </x:row>
    <x:row r="326">
      <x:c r="A326" s="22" t="n">
        <x:v>21</x:v>
      </x:c>
      <x:c r="B326" s="22" t="str">
        <x:v>6月1日-6月5日</x:v>
      </x:c>
      <x:c r="C326" s="23" t="n">
        <x:v>180920</x:v>
      </x:c>
      <x:c r="D326" s="23" t="n">
        <x:v>182940</x:v>
      </x:c>
      <x:c r="E326" s="23" t="n">
        <x:v>158140</x:v>
      </x:c>
      <x:c r="F326" s="23" t="n">
        <x:v>165460</x:v>
      </x:c>
      <x:c r="G326" s="28" t="n">
        <x:f>ROUND(F326-F325,1)</x:f>
        <x:v>-13160</x:v>
      </x:c>
      <x:c r="H326" s="24" t="n">
        <x:f>IFERROR(F326/F325-1,"")</x:f>
        <x:v>-0.07367596013884226</x:v>
      </x:c>
      <x:c r="I326" s="26" t="n">
        <x:f>ROUND(D326-E326,1)</x:f>
        <x:v>24800</x:v>
      </x:c>
      <x:c r="J326" s="22" t="str">
        <x:v>LC2610</x:v>
      </x:c>
      <x:c r="K326" s="22" t="n">
        <x:v>5</x:v>
      </x:c>
    </x:row>
    <x:row r="327">
      <x:c r="A327" s="22" t="n">
        <x:v>22</x:v>
      </x:c>
      <x:c r="B327" s="22" t="str">
        <x:v>6月8日-6月12日</x:v>
      </x:c>
      <x:c r="C327" s="23" t="n">
        <x:v>162800</x:v>
      </x:c>
      <x:c r="D327" s="23" t="n">
        <x:v>178860</x:v>
      </x:c>
      <x:c r="E327" s="23" t="n">
        <x:v>161280</x:v>
      </x:c>
      <x:c r="F327" s="23" t="n">
        <x:v>175780</x:v>
      </x:c>
      <x:c r="G327" s="28" t="n">
        <x:f>ROUND(F327-F326,1)</x:f>
        <x:v>10320</x:v>
      </x:c>
      <x:c r="H327" s="24" t="n">
        <x:f>IFERROR(F327/F326-1,"")</x:f>
        <x:v>0.06237157016801653</x:v>
      </x:c>
      <x:c r="I327" s="26" t="n">
        <x:f>ROUND(D327-E327,1)</x:f>
        <x:v>17580</x:v>
      </x:c>
      <x:c r="J327" s="22" t="str">
        <x:v>LC2610</x:v>
      </x:c>
      <x:c r="K327" s="22" t="n">
        <x:v>5</x:v>
      </x:c>
    </x:row>
    <x:row r="328">
      <x:c r="A328" s="22" t="n">
        <x:v>23</x:v>
      </x:c>
      <x:c r="B328" s="22" t="str">
        <x:v>6月15日-6月18日</x:v>
      </x:c>
      <x:c r="C328" s="23" t="n">
        <x:v>176460</x:v>
      </x:c>
      <x:c r="D328" s="23" t="n">
        <x:v>178560</x:v>
      </x:c>
      <x:c r="E328" s="23" t="n">
        <x:v>160560</x:v>
      </x:c>
      <x:c r="F328" s="23" t="n">
        <x:v>161400</x:v>
      </x:c>
      <x:c r="G328" s="28" t="n">
        <x:f>ROUND(F328-F327,1)</x:f>
        <x:v>-14380</x:v>
      </x:c>
      <x:c r="H328" s="24" t="n">
        <x:f>IFERROR(F328/F327-1,"")</x:f>
        <x:v>-0.0818068039594948</x:v>
      </x:c>
      <x:c r="I328" s="26" t="n">
        <x:f>ROUND(D328-E328,1)</x:f>
        <x:v>18000</x:v>
      </x:c>
      <x:c r="J328" s="22" t="str">
        <x:v>LC2610</x:v>
      </x:c>
      <x:c r="K328" s="22" t="n">
        <x:v>4</x:v>
      </x:c>
    </x:row>
    <x:row r="329">
      <x:c r="A329" s="22" t="n">
        <x:v>24</x:v>
      </x:c>
      <x:c r="B329" s="22" t="str">
        <x:v>6月22日-6月26日</x:v>
      </x:c>
      <x:c r="C329" s="23" t="n">
        <x:v>161000</x:v>
      </x:c>
      <x:c r="D329" s="23" t="n">
        <x:v>163880</x:v>
      </x:c>
      <x:c r="E329" s="23" t="n">
        <x:v>145360</x:v>
      </x:c>
      <x:c r="F329" s="23" t="n">
        <x:v>151140</x:v>
      </x:c>
      <x:c r="G329" s="28" t="n">
        <x:f>ROUND(F329-F328,1)</x:f>
        <x:v>-10260</x:v>
      </x:c>
      <x:c r="H329" s="24" t="n">
        <x:f>IFERROR(F329/F328-1,"")</x:f>
        <x:v>-0.06356877323420074</x:v>
      </x:c>
      <x:c r="I329" s="26" t="n">
        <x:f>ROUND(D329-E329,1)</x:f>
        <x:v>18520</x:v>
      </x:c>
      <x:c r="J329" s="22" t="str">
        <x:v>LC2610</x:v>
      </x:c>
      <x:c r="K329" s="22" t="n">
        <x:v>5</x:v>
      </x:c>
    </x:row>
    <x:row r="330">
      <x:c r="A330" s="22" t="n">
        <x:v>25</x:v>
      </x:c>
      <x:c r="B330" s="22" t="str">
        <x:v>6月29日-7月3日</x:v>
      </x:c>
      <x:c r="C330" s="23" t="n">
        <x:v>148420</x:v>
      </x:c>
      <x:c r="D330" s="23" t="n">
        <x:v>172120</x:v>
      </x:c>
      <x:c r="E330" s="23" t="n">
        <x:v>146000</x:v>
      </x:c>
      <x:c r="F330" s="23" t="n">
        <x:v>168600</x:v>
      </x:c>
      <x:c r="G330" s="28" t="n">
        <x:f>ROUND(F330-F329,1)</x:f>
        <x:v>17460</x:v>
      </x:c>
      <x:c r="H330" s="24" t="n">
        <x:f>IFERROR(F330/F329-1,"")</x:f>
        <x:v>0.1155220325526003</x:v>
      </x:c>
      <x:c r="I330" s="26" t="n">
        <x:f>ROUND(D330-E330,1)</x:f>
        <x:v>26120</x:v>
      </x:c>
      <x:c r="J330" s="22" t="str">
        <x:v>LC2610</x:v>
      </x:c>
      <x:c r="K330" s="22" t="n">
        <x:v>5</x:v>
      </x:c>
    </x:row>
    <x:row r="331">
      <x:c r="A331" s="22" t="n">
        <x:v>26</x:v>
      </x:c>
      <x:c r="B331" s="22" t="str">
        <x:v>7月6日-7月10日</x:v>
      </x:c>
      <x:c r="C331" s="23" t="n">
        <x:v>174900</x:v>
      </x:c>
      <x:c r="D331" s="23" t="n">
        <x:v>174900</x:v>
      </x:c>
      <x:c r="E331" s="23" t="n">
        <x:v>150860</x:v>
      </x:c>
      <x:c r="F331" s="23" t="n">
        <x:v>151600</x:v>
      </x:c>
      <x:c r="G331" s="28" t="n">
        <x:f>ROUND(F331-F330,1)</x:f>
        <x:v>-17000</x:v>
      </x:c>
      <x:c r="H331" s="24" t="n">
        <x:f>IFERROR(F331/F330-1,"")</x:f>
        <x:v>-0.10083036773428233</x:v>
      </x:c>
      <x:c r="I331" s="26" t="n">
        <x:f>ROUND(D331-E331,1)</x:f>
        <x:v>24040</x:v>
      </x:c>
      <x:c r="J331" s="22" t="str">
        <x:v>LC2610</x:v>
      </x:c>
      <x:c r="K331" s="22" t="n">
        <x:v>5</x:v>
      </x:c>
    </x:row>
    <x:row r="332">
      <x:c r="A332" s="22" t="n">
        <x:v>27</x:v>
      </x:c>
      <x:c r="B332" s="22" t="str">
        <x:v>7月13日-7月17日</x:v>
      </x:c>
      <x:c r="C332" s="23" t="n">
        <x:v>150300</x:v>
      </x:c>
      <x:c r="D332" s="23" t="n">
        <x:v>155660</x:v>
      </x:c>
      <x:c r="E332" s="23" t="n">
        <x:v>145460</x:v>
      </x:c>
      <x:c r="F332" s="23" t="n">
        <x:v>149740</x:v>
      </x:c>
      <x:c r="G332" s="28" t="n">
        <x:f>ROUND(F332-F331,1)</x:f>
        <x:v>-1860</x:v>
      </x:c>
      <x:c r="H332" s="24" t="n">
        <x:f>IFERROR(F332/F331-1,"")</x:f>
        <x:v>-0.012269129287598934</x:v>
      </x:c>
      <x:c r="I332" s="26" t="n">
        <x:f>ROUND(D332-E332,1)</x:f>
        <x:v>10200</x:v>
      </x:c>
      <x:c r="J332" s="22" t="str">
        <x:v>LC2610</x:v>
      </x:c>
      <x:c r="K332" s="22" t="n">
        <x:v>5</x:v>
      </x:c>
    </x:row>
    <x:row r="333">
      <x:c r="A333" s="22" t="n">
        <x:v>28</x:v>
      </x:c>
      <x:c r="B333" s="22" t="str">
        <x:v>7月20日-7月24日</x:v>
      </x:c>
      <x:c r="C333" s="23" t="n">
        <x:v>152520</x:v>
      </x:c>
      <x:c r="D333" s="23" t="n">
        <x:v>153880</x:v>
      </x:c>
      <x:c r="E333" s="23" t="n">
        <x:v>135040</x:v>
      </x:c>
      <x:c r="F333" s="23" t="n">
        <x:v>142920</x:v>
      </x:c>
      <x:c r="G333" s="28" t="n">
        <x:f>ROUND(F333-F332,1)</x:f>
        <x:v>-6820</x:v>
      </x:c>
      <x:c r="H333" s="24" t="n">
        <x:f>IFERROR(F333/F332-1,"")</x:f>
        <x:v>-0.04554561239481769</x:v>
      </x:c>
      <x:c r="I333" s="26" t="n">
        <x:f>ROUND(D333-E333,1)</x:f>
        <x:v>18840</x:v>
      </x:c>
      <x:c r="J333" s="22" t="str">
        <x:v>LC2610</x:v>
      </x:c>
      <x:c r="K333" s="22" t="n">
        <x:v>5</x:v>
      </x:c>
    </x:row>
    <x:row r="334">
      <x:c r="A334" s="22" t="n">
        <x:v>29</x:v>
      </x:c>
      <x:c r="B334" s="22" t="str">
        <x:v>7月27日-7月31日</x:v>
      </x:c>
      <x:c r="C334" s="23" t="n">
        <x:v>144340</x:v>
      </x:c>
      <x:c r="D334" s="23" t="n">
        <x:v>148600</x:v>
      </x:c>
      <x:c r="E334" s="23" t="n">
        <x:v>137000</x:v>
      </x:c>
      <x:c r="F334" s="23" t="n">
        <x:v>137000</x:v>
      </x:c>
      <x:c r="G334" s="28" t="n">
        <x:f>ROUND(F334-F333,1)</x:f>
        <x:v>-5920</x:v>
      </x:c>
      <x:c r="H334" s="24" t="n">
        <x:f>IFERROR(F334/F333-1,"")</x:f>
        <x:v>-0.04142177441925554</x:v>
      </x:c>
      <x:c r="I334" s="26" t="n">
        <x:f>ROUND(D334-E334,1)</x:f>
        <x:v>11600</x:v>
      </x:c>
      <x:c r="J334" s="22" t="str">
        <x:v>LC2610</x:v>
      </x:c>
      <x:c r="K334" s="22" t="n">
        <x:v>5</x:v>
      </x:c>
    </x:row>
    <x:row r="335">
      <x:c r="A335" s="22" t="n">
        <x:v>30</x:v>
      </x:c>
      <x:c r="B335" s="22" t="str">
        <x:v>8月3日-8月7日</x:v>
      </x:c>
      <x:c r="C335" s="23" t="n">
        <x:v>137200</x:v>
      </x:c>
      <x:c r="D335" s="23" t="n">
        <x:v>144100</x:v>
      </x:c>
      <x:c r="E335" s="23" t="n">
        <x:v>135040</x:v>
      </x:c>
      <x:c r="F335" s="23" t="n">
        <x:v>139320</x:v>
      </x:c>
      <x:c r="G335" s="28" t="n">
        <x:f>ROUND(F335-F334,1)</x:f>
        <x:v>2320</x:v>
      </x:c>
      <x:c r="H335" s="24" t="n">
        <x:f>IFERROR(F335/F334-1,"")</x:f>
        <x:v>0.016934306569343027</x:v>
      </x:c>
      <x:c r="I335" s="26" t="n">
        <x:f>ROUND(D335-E335,1)</x:f>
        <x:v>9060</x:v>
      </x:c>
      <x:c r="J335" s="22" t="str">
        <x:v>LC2610</x:v>
      </x:c>
      <x:c r="K335" s="22" t="n">
        <x:v>5</x:v>
      </x:c>
    </x:row>
    <x:row r="336">
      <x:c r="A336" s="22" t="n">
        <x:v>31</x:v>
      </x:c>
      <x:c r="B336" s="22" t="str">
        <x:v>8月10日-8月14日</x:v>
      </x:c>
      <x:c r="C336" s="23" t="n">
        <x:v>139320</x:v>
      </x:c>
      <x:c r="D336" s="23" t="n">
        <x:v>154560</x:v>
      </x:c>
      <x:c r="E336" s="23" t="n">
        <x:v>139300</x:v>
      </x:c>
      <x:c r="F336" s="23" t="n">
        <x:v>153980</x:v>
      </x:c>
      <x:c r="G336" s="28" t="n">
        <x:f>ROUND(F336-F335,1)</x:f>
        <x:v>14660</x:v>
      </x:c>
      <x:c r="H336" s="24" t="n">
        <x:f>IFERROR(F336/F335-1,"")</x:f>
        <x:v>0.10522538041917895</x:v>
      </x:c>
      <x:c r="I336" s="26" t="n">
        <x:f>ROUND(D336-E336,1)</x:f>
        <x:v>15260</x:v>
      </x:c>
      <x:c r="J336" s="22" t="str">
        <x:v>LC2610</x:v>
      </x:c>
      <x:c r="K336" s="22" t="n">
        <x:v>5</x:v>
      </x:c>
    </x:row>
    <x:row r="337">
      <x:c r="A337" s="22" t="n">
        <x:v>32</x:v>
      </x:c>
      <x:c r="B337" s="22" t="str">
        <x:v>8月17日-8月21日</x:v>
      </x:c>
      <x:c r="C337" s="23" t="n">
        <x:v>152940</x:v>
      </x:c>
      <x:c r="D337" s="23" t="n">
        <x:v>157400</x:v>
      </x:c>
      <x:c r="E337" s="23" t="n">
        <x:v>148700</x:v>
      </x:c>
      <x:c r="F337" s="23" t="n">
        <x:v>156380</x:v>
      </x:c>
      <x:c r="G337" s="28" t="n">
        <x:f>ROUND(F337-F336,1)</x:f>
        <x:v>2400</x:v>
      </x:c>
      <x:c r="H337" s="24" t="n">
        <x:f>IFERROR(F337/F336-1,"")</x:f>
        <x:v>0.015586439797376173</x:v>
      </x:c>
      <x:c r="I337" s="26" t="n">
        <x:f>ROUND(D337-E337,1)</x:f>
        <x:v>8700</x:v>
      </x:c>
      <x:c r="J337" s="22" t="str">
        <x:v>LC2610</x:v>
      </x:c>
      <x:c r="K337" s="22" t="n">
        <x:v>5</x:v>
      </x:c>
    </x:row>
    <x:row r="338">
      <x:c r="A338" s="22" t="n">
        <x:v>33</x:v>
      </x:c>
      <x:c r="B338" s="22" t="str">
        <x:v>8月24日-8月28日</x:v>
      </x:c>
      <x:c r="C338" s="23" t="n">
        <x:v>158800</x:v>
      </x:c>
      <x:c r="D338" s="23" t="n">
        <x:v>160500</x:v>
      </x:c>
      <x:c r="E338" s="23" t="n">
        <x:v>147600</x:v>
      </x:c>
      <x:c r="F338" s="23" t="n">
        <x:v>157940</x:v>
      </x:c>
      <x:c r="G338" s="28" t="n">
        <x:f>ROUND(F338-F337,1)</x:f>
        <x:v>1560</x:v>
      </x:c>
      <x:c r="H338" s="24" t="n">
        <x:f>IFERROR(F338/F337-1,"")</x:f>
        <x:v>0.009975700217419003</x:v>
      </x:c>
      <x:c r="I338" s="26" t="n">
        <x:f>ROUND(D338-E338,1)</x:f>
        <x:v>12900</x:v>
      </x:c>
      <x:c r="J338" s="22" t="str">
        <x:v>LC2610</x:v>
      </x:c>
      <x:c r="K338" s="22" t="n">
        <x:v>5</x:v>
      </x:c>
    </x:row>
    <x:row r="339">
      <x:c r="A339" s="22" t="n">
        <x:v>34</x:v>
      </x:c>
      <x:c r="B339" s="22" t="str">
        <x:v>8月31日-9月4日</x:v>
      </x:c>
      <x:c r="C339" s="23" t="n">
        <x:v>157500</x:v>
      </x:c>
      <x:c r="D339" s="23" t="n">
        <x:v>161280</x:v>
      </x:c>
      <x:c r="E339" s="23" t="n">
        <x:v>140220</x:v>
      </x:c>
      <x:c r="F339" s="23" t="n">
        <x:v>142000</x:v>
      </x:c>
      <x:c r="G339" s="28" t="n">
        <x:f>ROUND(F339-F338,1)</x:f>
        <x:v>-15940</x:v>
      </x:c>
      <x:c r="H339" s="24" t="n">
        <x:f>IFERROR(F339/F338-1,"")</x:f>
        <x:v>-0.10092440167152084</x:v>
      </x:c>
      <x:c r="I339" s="26" t="n">
        <x:f>ROUND(D339-E339,1)</x:f>
        <x:v>21060</x:v>
      </x:c>
      <x:c r="J339" s="22" t="str">
        <x:v>LC2610</x:v>
      </x:c>
      <x:c r="K339" s="22" t="n">
        <x:v>5</x:v>
      </x:c>
    </x:row>
    <x:row r="340">
      <x:c r="A340" s="22" t="n">
        <x:v>35</x:v>
      </x:c>
      <x:c r="B340" s="22" t="str">
        <x:v>9月7日-9月11日</x:v>
      </x:c>
      <x:c r="C340" s="23" t="n">
        <x:v>141000</x:v>
      </x:c>
      <x:c r="D340" s="23" t="n">
        <x:v>143540</x:v>
      </x:c>
      <x:c r="E340" s="23" t="n">
        <x:v>127120</x:v>
      </x:c>
      <x:c r="F340" s="23" t="n">
        <x:v>134340</x:v>
      </x:c>
      <x:c r="G340" s="28" t="n">
        <x:f>ROUND(F340-F339,1)</x:f>
        <x:v>-7660</x:v>
      </x:c>
      <x:c r="H340" s="24" t="n">
        <x:f>IFERROR(F340/F339-1,"")</x:f>
        <x:v>-0.05394366197183098</x:v>
      </x:c>
      <x:c r="I340" s="26" t="n">
        <x:f>ROUND(D340-E340,1)</x:f>
        <x:v>16420</x:v>
      </x:c>
      <x:c r="J340" s="22" t="str">
        <x:v>LC2610</x:v>
      </x:c>
      <x:c r="K340" s="22" t="n">
        <x:v>5</x:v>
      </x:c>
    </x:row>
    <x:row r="341">
      <x:c r="A341" s="22" t="n">
        <x:v>36</x:v>
      </x:c>
      <x:c r="B341" s="22" t="str">
        <x:v>9月14日-9月18日</x:v>
      </x:c>
      <x:c r="C341" s="23" t="n">
        <x:v>133600</x:v>
      </x:c>
      <x:c r="D341" s="23" t="n">
        <x:v>135900</x:v>
      </x:c>
      <x:c r="E341" s="23" t="n">
        <x:v>126200</x:v>
      </x:c>
      <x:c r="F341" s="23" t="n">
        <x:v>128580</x:v>
      </x:c>
      <x:c r="G341" s="28" t="n">
        <x:f>ROUND(F341-F340,1)</x:f>
        <x:v>-5760</x:v>
      </x:c>
      <x:c r="H341" s="24" t="n">
        <x:f>IFERROR(F341/F340-1,"")</x:f>
        <x:v>-0.04287628405538191</x:v>
      </x:c>
      <x:c r="I341" s="26" t="n">
        <x:f>ROUND(D341-E341,1)</x:f>
        <x:v>9700</x:v>
      </x:c>
      <x:c r="J341" s="22" t="str">
        <x:v>LC2610</x:v>
      </x:c>
      <x:c r="K341" s="22" t="n">
        <x:v>5</x:v>
      </x:c>
    </x:row>
    <x:row r="342">
      <x:c r="A342" s="22" t="n">
        <x:v>37</x:v>
      </x:c>
      <x:c r="B342" s="22" t="str">
        <x:v>9月21日-9月24日</x:v>
      </x:c>
      <x:c r="C342" s="23" t="n">
        <x:v>128500</x:v>
      </x:c>
      <x:c r="D342" s="23" t="n">
        <x:v>136560</x:v>
      </x:c>
      <x:c r="E342" s="23" t="n">
        <x:v>125000</x:v>
      </x:c>
      <x:c r="F342" s="23" t="n">
        <x:v>125980</x:v>
      </x:c>
      <x:c r="G342" s="28" t="n">
        <x:f>ROUND(F342-F341,1)</x:f>
        <x:v>-2600</x:v>
      </x:c>
      <x:c r="H342" s="24" t="n">
        <x:f>IFERROR(F342/F341-1,"")</x:f>
        <x:v>-0.02022087416394458</x:v>
      </x:c>
      <x:c r="I342" s="26" t="n">
        <x:f>ROUND(D342-E342,1)</x:f>
        <x:v>11560</x:v>
      </x:c>
      <x:c r="J342" s="22" t="str">
        <x:v>LC2610</x:v>
      </x:c>
      <x:c r="K342" s="22" t="n">
        <x:v>4</x:v>
      </x:c>
    </x:row>
    <x:row r="343">
      <x:c r="A343" s="22" t="n">
        <x:v>38</x:v>
      </x:c>
      <x:c r="B343" s="22" t="str">
        <x:v>9月28日-9月30日</x:v>
      </x:c>
      <x:c r="C343" s="23" t="n">
        <x:v>124280</x:v>
      </x:c>
      <x:c r="D343" s="23" t="n">
        <x:v>124660</x:v>
      </x:c>
      <x:c r="E343" s="23" t="n">
        <x:v>118100</x:v>
      </x:c>
      <x:c r="F343" s="23" t="n">
        <x:v>119780</x:v>
      </x:c>
      <x:c r="G343" s="28" t="n">
        <x:f>ROUND(F343-F342,1)</x:f>
        <x:v>-6200</x:v>
      </x:c>
      <x:c r="H343" s="24" t="n">
        <x:f>IFERROR(F343/F342-1,"")</x:f>
        <x:v>-0.049214160977932964</x:v>
      </x:c>
      <x:c r="I343" s="26" t="n">
        <x:f>ROUND(D343-E343,1)</x:f>
        <x:v>6560</x:v>
      </x:c>
      <x:c r="J343" s="22" t="str">
        <x:v>LC2610</x:v>
      </x:c>
      <x:c r="K343" s="22" t="n">
        <x:v>3</x:v>
      </x:c>
    </x:row>
    <x:row r="344">
      <x:c r="A344" s="31" t="str">
        <x:v>合计</x:v>
      </x:c>
      <x:c r="B344" s="30" t="n">
        <x:v>38</x:v>
      </x:c>
      <x:c r="C344" s="30"/>
      <x:c r="D344" s="30"/>
      <x:c r="E344" s="30"/>
      <x:c r="F344" s="30"/>
      <x:c r="G344" s="30"/>
      <x:c r="H344" s="30"/>
      <x:c r="I344" s="32" t="n">
        <x:f>ROUND(SUM(I306:I343),1)</x:f>
        <x:v>759520</x:v>
      </x:c>
      <x:c r="J344" s="30"/>
      <x:c r="K344" s="30"/>
    </x:row>
    <x:row r="345">
      <x:c r="A345" s="31" t="str">
        <x:v>均值</x:v>
      </x:c>
      <x:c r="B345" s="30"/>
      <x:c r="C345" s="30"/>
      <x:c r="D345" s="30"/>
      <x:c r="E345" s="30"/>
      <x:c r="F345" s="30"/>
      <x:c r="G345" s="30"/>
      <x:c r="H345" s="30"/>
      <x:c r="I345" s="34" t="n">
        <x:f>ROUND(IFERROR(AVERAGE(I306:I343),0),1)</x:f>
        <x:v>19987.4</x:v>
      </x:c>
      <x:c r="J345" s="30"/>
      <x:c r="K345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1:K261"/>
    <x:mergeCell ref="A304:K30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