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faa167155a4e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6dbcad5760d4405"/>
    <x:sheet xmlns:r="http://schemas.openxmlformats.org/officeDocument/2006/relationships" name="周振幅统计" sheetId="2" r:id="Raa5d5c7cfbac485a"/>
    <x:sheet xmlns:r="http://schemas.openxmlformats.org/officeDocument/2006/relationships" name="中证1000" sheetId="3" r:id="Rd70388c38d534cdb"/>
    <x:sheet xmlns:r="http://schemas.openxmlformats.org/officeDocument/2006/relationships" name="中证500" sheetId="4" r:id="Rd2c9616a7d234430"/>
    <x:sheet xmlns:r="http://schemas.openxmlformats.org/officeDocument/2006/relationships" name="上证指数" sheetId="5" r:id="Ra0ba04e502e448df"/>
    <x:sheet xmlns:r="http://schemas.openxmlformats.org/officeDocument/2006/relationships" name="IM主力" sheetId="6" r:id="R61a5684a293644fc"/>
    <x:sheet xmlns:r="http://schemas.openxmlformats.org/officeDocument/2006/relationships" name="IC主力" sheetId="7" r:id="R705721fc5cc4431b"/>
    <x:sheet xmlns:r="http://schemas.openxmlformats.org/officeDocument/2006/relationships" name="IF主力" sheetId="8" r:id="R83070ef59c9642c2"/>
    <x:sheet xmlns:r="http://schemas.openxmlformats.org/officeDocument/2006/relationships" name="IH主力" sheetId="9" r:id="Re9e802a2ab3b46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b717d7afeb4f81" /><Relationship Type="http://schemas.openxmlformats.org/officeDocument/2006/relationships/theme" Target="/xl/theme/theme1.xml" Id="R808568bd6cfe4cda" /><Relationship Type="http://schemas.openxmlformats.org/officeDocument/2006/relationships/sharedStrings" Target="/xl/sharedStrings.xml" Id="R2a21ab2cdbcd45d1" /><Relationship Type="http://schemas.openxmlformats.org/officeDocument/2006/relationships/worksheet" Target="/xl/worksheets/sheet1.xml" Id="R16dbcad5760d4405" /><Relationship Type="http://schemas.openxmlformats.org/officeDocument/2006/relationships/worksheet" Target="/xl/worksheets/sheet2.xml" Id="Raa5d5c7cfbac485a" /><Relationship Type="http://schemas.openxmlformats.org/officeDocument/2006/relationships/worksheet" Target="/xl/worksheets/sheet3.xml" Id="Rd70388c38d534cdb" /><Relationship Type="http://schemas.openxmlformats.org/officeDocument/2006/relationships/worksheet" Target="/xl/worksheets/sheet4.xml" Id="Rd2c9616a7d234430" /><Relationship Type="http://schemas.openxmlformats.org/officeDocument/2006/relationships/worksheet" Target="/xl/worksheets/sheet5.xml" Id="Ra0ba04e502e448df" /><Relationship Type="http://schemas.openxmlformats.org/officeDocument/2006/relationships/worksheet" Target="/xl/worksheets/sheet6.xml" Id="R61a5684a293644fc" /><Relationship Type="http://schemas.openxmlformats.org/officeDocument/2006/relationships/worksheet" Target="/xl/worksheets/sheet7.xml" Id="R705721fc5cc4431b" /><Relationship Type="http://schemas.openxmlformats.org/officeDocument/2006/relationships/worksheet" Target="/xl/worksheets/sheet8.xml" Id="R83070ef59c9642c2" /><Relationship Type="http://schemas.openxmlformats.org/officeDocument/2006/relationships/worksheet" Target="/xl/worksheets/sheet9.xml" Id="Re9e802a2ab3b46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142</x:v>
      </x:c>
      <x:c r="G4" s="10" t="n">
        <x:v>25666.1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142</x:v>
      </x:c>
      <x:c r="G5" s="10" t="n">
        <x:v>25870.2</x:v>
      </x:c>
      <x:c r="H5" s="10" t="n">
        <x:v>182.2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142</x:v>
      </x:c>
      <x:c r="G6" s="10" t="n">
        <x:v>7107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142</x:v>
      </x:c>
      <x:c r="G7" s="10" t="n">
        <x:v>27392.4</x:v>
      </x:c>
      <x:c r="H7" s="10" t="n">
        <x:v>192.9</x:v>
      </x:c>
      <x:c r="I7" s="10" t="n">
        <x:v>190</x:v>
      </x:c>
    </x:row>
    <x:row r="8">
      <x:c r="A8" s="9" t="str">
        <x:v>IC主力</x:v>
      </x:c>
      <x:c r="B8" s="9" t="str">
        <x:v>2026-08-05</x:v>
      </x:c>
      <x:c r="C8" s="10" t="n">
        <x:v>7775.6</x:v>
      </x:c>
      <x:c r="D8" s="10" t="n">
        <x:v>7501</x:v>
      </x:c>
      <x:c r="E8" s="12" t="n">
        <x:v>274.6</x:v>
      </x:c>
      <x:c r="F8" s="9" t="n">
        <x:v>142</x:v>
      </x:c>
      <x:c r="G8" s="10" t="n">
        <x:v>28758.4</x:v>
      </x:c>
      <x:c r="H8" s="10" t="n">
        <x:v>202.5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142</x:v>
      </x:c>
      <x:c r="G9" s="10" t="n">
        <x:v>10781.2</x:v>
      </x:c>
      <x:c r="H9" s="10" t="n">
        <x:v>75.9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142</x:v>
      </x:c>
      <x:c r="G10" s="10" t="n">
        <x:v>6000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2026-08-05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8月3日-8月5日</x:v>
      </x:c>
      <x:c r="C34" s="23" t="n">
        <x:v>7055.27</x:v>
      </x:c>
      <x:c r="D34" s="23" t="n">
        <x:v>7523.5</x:v>
      </x:c>
      <x:c r="E34" s="23" t="n">
        <x:v>7042.89</x:v>
      </x:c>
      <x:c r="F34" s="23" t="n">
        <x:v>7493.05</x:v>
      </x:c>
      <x:c r="G34" s="28" t="n">
        <x:f>ROUND(F34-F33,1)</x:f>
        <x:v>417.5</x:v>
      </x:c>
      <x:c r="H34" s="24" t="n">
        <x:f>IFERROR(F34/F33-1,"")</x:f>
        <x:v>0.0590120005483703</x:v>
      </x:c>
      <x:c r="I34" s="26" t="n">
        <x:f>ROUND(D34-E34,1)</x:f>
        <x:v>480.6</x:v>
      </x:c>
      <x:c r="J34" s="22" t="str">
        <x:v>中证1000</x:v>
      </x:c>
      <x:c r="K34" s="22" t="n">
        <x:v>3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12549.8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418.3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8月3日-8月5日</x:v>
      </x:c>
      <x:c r="C69" s="23" t="n">
        <x:v>7457.12</x:v>
      </x:c>
      <x:c r="D69" s="23" t="n">
        <x:v>7845.39</x:v>
      </x:c>
      <x:c r="E69" s="23" t="n">
        <x:v>7397.94</x:v>
      </x:c>
      <x:c r="F69" s="23" t="n">
        <x:v>7809.21</x:v>
      </x:c>
      <x:c r="G69" s="28" t="n">
        <x:f>ROUND(F69-F68,1)</x:f>
        <x:v>315.2</x:v>
      </x:c>
      <x:c r="H69" s="24" t="n">
        <x:f>IFERROR(F69/F68-1,"")</x:f>
        <x:v>0.04206303984926585</x:v>
      </x:c>
      <x:c r="I69" s="26" t="n">
        <x:f>ROUND(D69-E69,1)</x:f>
        <x:v>447.5</x:v>
      </x:c>
      <x:c r="J69" s="22" t="str">
        <x:v>中证500</x:v>
      </x:c>
      <x:c r="K69" s="22" t="n">
        <x:v>3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12742.6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424.8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8月3日-8月5日</x:v>
      </x:c>
      <x:c r="C104" s="23" t="n">
        <x:v>3812.61</x:v>
      </x:c>
      <x:c r="D104" s="23" t="n">
        <x:v>3884.4</x:v>
      </x:c>
      <x:c r="E104" s="23" t="n">
        <x:v>3797.64</x:v>
      </x:c>
      <x:c r="F104" s="23" t="n">
        <x:v>3878.43</x:v>
      </x:c>
      <x:c r="G104" s="23" t="n">
        <x:f>ROUND(F104-F103,1)</x:f>
        <x:v>46.2</x:v>
      </x:c>
      <x:c r="H104" s="24" t="n">
        <x:f>IFERROR(F104/F103-1,"")</x:f>
        <x:v>0.012047721188019445</x:v>
      </x:c>
      <x:c r="I104" s="26" t="n">
        <x:f>ROUND(D104-E104,1)</x:f>
        <x:v>86.8</x:v>
      </x:c>
      <x:c r="J104" s="22" t="str">
        <x:v>上证指数</x:v>
      </x:c>
      <x:c r="K104" s="22" t="n">
        <x:v>3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3322.7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110.8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8月3日-8月5日</x:v>
      </x:c>
      <x:c r="C139" s="23" t="n">
        <x:v>7000</x:v>
      </x:c>
      <x:c r="D139" s="23" t="n">
        <x:v>7466</x:v>
      </x:c>
      <x:c r="E139" s="23" t="n">
        <x:v>6976</x:v>
      </x:c>
      <x:c r="F139" s="23" t="n">
        <x:v>7433.8</x:v>
      </x:c>
      <x:c r="G139" s="28" t="n">
        <x:f>ROUND(F139-F138,1)</x:f>
        <x:v>446</x:v>
      </x:c>
      <x:c r="H139" s="24" t="n">
        <x:f>IFERROR(F139/F138-1,"")</x:f>
        <x:v>0.06382552448553191</x:v>
      </x:c>
      <x:c r="I139" s="26" t="n">
        <x:f>ROUND(D139-E139,1)</x:f>
        <x:v>490</x:v>
      </x:c>
      <x:c r="J139" s="22" t="str">
        <x:v>IM2609</x:v>
      </x:c>
      <x:c r="K139" s="22" t="n">
        <x:v>3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13220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440.7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8月3日-8月5日</x:v>
      </x:c>
      <x:c r="C174" s="23" t="n">
        <x:v>7391</x:v>
      </x:c>
      <x:c r="D174" s="23" t="n">
        <x:v>7775.6</x:v>
      </x:c>
      <x:c r="E174" s="23" t="n">
        <x:v>7335</x:v>
      </x:c>
      <x:c r="F174" s="23" t="n">
        <x:v>7744.4</x:v>
      </x:c>
      <x:c r="G174" s="28" t="n">
        <x:f>ROUND(F174-F173,1)</x:f>
        <x:v>349.4</x:v>
      </x:c>
      <x:c r="H174" s="24" t="n">
        <x:f>IFERROR(F174/F173-1,"")</x:f>
        <x:v>0.047248140635564484</x:v>
      </x:c>
      <x:c r="I174" s="26" t="n">
        <x:f>ROUND(D174-E174,1)</x:f>
        <x:v>440.6</x:v>
      </x:c>
      <x:c r="J174" s="22" t="str">
        <x:v>IC2609</x:v>
      </x:c>
      <x:c r="K174" s="22" t="n">
        <x:v>3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13889.6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463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8月3日-8月5日</x:v>
      </x:c>
      <x:c r="C209" s="23" t="n">
        <x:v>4526.4</x:v>
      </x:c>
      <x:c r="D209" s="23" t="n">
        <x:v>4641.2</x:v>
      </x:c>
      <x:c r="E209" s="23" t="n">
        <x:v>4494.2</x:v>
      </x:c>
      <x:c r="F209" s="23" t="n">
        <x:v>4621</x:v>
      </x:c>
      <x:c r="G209" s="23" t="n">
        <x:f>ROUND(F209-F208,1)</x:f>
        <x:v>83</x:v>
      </x:c>
      <x:c r="H209" s="24" t="n">
        <x:f>IFERROR(F209/F208-1,"")</x:f>
        <x:v>0.018289995592772224</x:v>
      </x:c>
      <x:c r="I209" s="26" t="n">
        <x:f>ROUND(D209-E209,1)</x:f>
        <x:v>147</x:v>
      </x:c>
      <x:c r="J209" s="22" t="str">
        <x:v>IF2609</x:v>
      </x:c>
      <x:c r="K209" s="22" t="n">
        <x:v>3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4952.2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8月3日-8月5日</x:v>
      </x:c>
      <x:c r="C244" s="23" t="n">
        <x:v>2882.4</x:v>
      </x:c>
      <x:c r="D244" s="23" t="n">
        <x:v>2907.6</x:v>
      </x:c>
      <x:c r="E244" s="23" t="n">
        <x:v>2845.8</x:v>
      </x:c>
      <x:c r="F244" s="23" t="n">
        <x:v>2893.4</x:v>
      </x:c>
      <x:c r="G244" s="23" t="n">
        <x:f>ROUND(F244-F243,1)</x:f>
        <x:v>1.6</x:v>
      </x:c>
      <x:c r="H244" s="24" t="n">
        <x:f>IFERROR(F244/F243-1,"")</x:f>
        <x:v>0.00055328860917081</x:v>
      </x:c>
      <x:c r="I244" s="26" t="n">
        <x:f>ROUND(D244-E244,1)</x:f>
        <x:v>61.8</x:v>
      </x:c>
      <x:c r="J244" s="22" t="str">
        <x:v>IH2609</x:v>
      </x:c>
      <x:c r="K244" s="22" t="n">
        <x:v>3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2794.6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93.2</x:v>
      </x:c>
      <x:c r="J246" s="30"/>
      <x:c r="K246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550.2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183.4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574.2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191.4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131.7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564.6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188.2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585.8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195.3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221.6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73.9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122.2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40.7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