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51a3b6d36047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c76af5be27f456b"/>
    <x:sheet xmlns:r="http://schemas.openxmlformats.org/officeDocument/2006/relationships" name="周振幅统计" sheetId="2" r:id="Rc4a8e3d51e2944f6"/>
    <x:sheet xmlns:r="http://schemas.openxmlformats.org/officeDocument/2006/relationships" name="中证1000" sheetId="3" r:id="R9870538d70f44d9f"/>
    <x:sheet xmlns:r="http://schemas.openxmlformats.org/officeDocument/2006/relationships" name="中证500" sheetId="4" r:id="R6a8c5808b25141b3"/>
    <x:sheet xmlns:r="http://schemas.openxmlformats.org/officeDocument/2006/relationships" name="上证指数" sheetId="5" r:id="Rea540e34b15141f8"/>
    <x:sheet xmlns:r="http://schemas.openxmlformats.org/officeDocument/2006/relationships" name="IM主力" sheetId="6" r:id="R1037534745374705"/>
    <x:sheet xmlns:r="http://schemas.openxmlformats.org/officeDocument/2006/relationships" name="IC主力" sheetId="7" r:id="Rda20f8ee16fb4da3"/>
    <x:sheet xmlns:r="http://schemas.openxmlformats.org/officeDocument/2006/relationships" name="IF主力" sheetId="8" r:id="Rfe1a445e33864f01"/>
    <x:sheet xmlns:r="http://schemas.openxmlformats.org/officeDocument/2006/relationships" name="IH主力" sheetId="9" r:id="Rf6c44ae124754c5c"/>
    <x:sheet xmlns:r="http://schemas.openxmlformats.org/officeDocument/2006/relationships" name="碳酸锂2610" sheetId="10" r:id="R797ba531aded40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7f597be8c34f74" /><Relationship Type="http://schemas.openxmlformats.org/officeDocument/2006/relationships/theme" Target="/xl/theme/theme1.xml" Id="R50c6fdc08a234ace" /><Relationship Type="http://schemas.openxmlformats.org/officeDocument/2006/relationships/sharedStrings" Target="/xl/sharedStrings.xml" Id="R341e9dc369864fd6" /><Relationship Type="http://schemas.openxmlformats.org/officeDocument/2006/relationships/worksheet" Target="/xl/worksheets/sheet1.xml" Id="Rac76af5be27f456b" /><Relationship Type="http://schemas.openxmlformats.org/officeDocument/2006/relationships/worksheet" Target="/xl/worksheets/sheet2.xml" Id="Rc4a8e3d51e2944f6" /><Relationship Type="http://schemas.openxmlformats.org/officeDocument/2006/relationships/worksheet" Target="/xl/worksheets/sheet3.xml" Id="R9870538d70f44d9f" /><Relationship Type="http://schemas.openxmlformats.org/officeDocument/2006/relationships/worksheet" Target="/xl/worksheets/sheet4.xml" Id="R6a8c5808b25141b3" /><Relationship Type="http://schemas.openxmlformats.org/officeDocument/2006/relationships/worksheet" Target="/xl/worksheets/sheet5.xml" Id="Rea540e34b15141f8" /><Relationship Type="http://schemas.openxmlformats.org/officeDocument/2006/relationships/worksheet" Target="/xl/worksheets/sheet6.xml" Id="R1037534745374705" /><Relationship Type="http://schemas.openxmlformats.org/officeDocument/2006/relationships/worksheet" Target="/xl/worksheets/sheet7.xml" Id="Rda20f8ee16fb4da3" /><Relationship Type="http://schemas.openxmlformats.org/officeDocument/2006/relationships/worksheet" Target="/xl/worksheets/sheet8.xml" Id="Rfe1a445e33864f01" /><Relationship Type="http://schemas.openxmlformats.org/officeDocument/2006/relationships/worksheet" Target="/xl/worksheets/sheet9.xml" Id="Rf6c44ae124754c5c" /><Relationship Type="http://schemas.openxmlformats.org/officeDocument/2006/relationships/worksheet" Target="/xl/worksheets/sheet10.xml" Id="R797ba531aded40f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2026-09-18</x:v>
      </x:c>
      <x:c r="C4" s="10" t="n">
        <x:v>7706.9</x:v>
      </x:c>
      <x:c r="D4" s="10" t="n">
        <x:v>7603.37</x:v>
      </x:c>
      <x:c r="E4" s="12" t="n">
        <x:v>103.5</x:v>
      </x:c>
      <x:c r="F4" s="9" t="n">
        <x:v>174</x:v>
      </x:c>
      <x:c r="G4" s="10" t="n">
        <x:v>30631.4</x:v>
      </x:c>
      <x:c r="H4" s="10" t="n">
        <x:v>176</x:v>
      </x:c>
      <x:c r="I4" s="10" t="n">
        <x:v>180</x:v>
      </x:c>
    </x:row>
    <x:row r="5">
      <x:c r="A5" s="9" t="str">
        <x:v>中证500</x:v>
      </x:c>
      <x:c r="B5" s="9" t="str">
        <x:v>2026-09-18</x:v>
      </x:c>
      <x:c r="C5" s="10" t="n">
        <x:v>7819.98</x:v>
      </x:c>
      <x:c r="D5" s="10" t="n">
        <x:v>7710.24</x:v>
      </x:c>
      <x:c r="E5" s="12" t="n">
        <x:v>109.7</x:v>
      </x:c>
      <x:c r="F5" s="9" t="n">
        <x:v>174</x:v>
      </x:c>
      <x:c r="G5" s="10" t="n">
        <x:v>30511</x:v>
      </x:c>
      <x:c r="H5" s="10" t="n">
        <x:v>175.4</x:v>
      </x:c>
      <x:c r="I5" s="10" t="n">
        <x:v>160</x:v>
      </x:c>
    </x:row>
    <x:row r="6">
      <x:c r="A6" s="9" t="str">
        <x:v>上证指数</x:v>
      </x:c>
      <x:c r="B6" s="9" t="str">
        <x:v>2026-09-18</x:v>
      </x:c>
      <x:c r="C6" s="10" t="n">
        <x:v>3919.67</x:v>
      </x:c>
      <x:c r="D6" s="10" t="n">
        <x:v>3888.5</x:v>
      </x:c>
      <x:c r="E6" s="12" t="n">
        <x:v>31.2</x:v>
      </x:c>
      <x:c r="F6" s="9" t="n">
        <x:v>174</x:v>
      </x:c>
      <x:c r="G6" s="10" t="n">
        <x:v>8377.6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2026-09-18</x:v>
      </x:c>
      <x:c r="C7" s="10" t="n">
        <x:v>7712.4</x:v>
      </x:c>
      <x:c r="D7" s="10" t="n">
        <x:v>7606.6</x:v>
      </x:c>
      <x:c r="E7" s="12" t="n">
        <x:v>105.8</x:v>
      </x:c>
      <x:c r="F7" s="9" t="n">
        <x:v>174</x:v>
      </x:c>
      <x:c r="G7" s="10" t="n">
        <x:v>32564</x:v>
      </x:c>
      <x:c r="H7" s="10" t="n">
        <x:v>187.1</x:v>
      </x:c>
      <x:c r="I7" s="10" t="n">
        <x:v>190</x:v>
      </x:c>
    </x:row>
    <x:row r="8">
      <x:c r="A8" s="9" t="str">
        <x:v>IC主力</x:v>
      </x:c>
      <x:c r="B8" s="9" t="str">
        <x:v>2026-09-18</x:v>
      </x:c>
      <x:c r="C8" s="10" t="n">
        <x:v>7820</x:v>
      </x:c>
      <x:c r="D8" s="10" t="n">
        <x:v>7709.2</x:v>
      </x:c>
      <x:c r="E8" s="12" t="n">
        <x:v>110.8</x:v>
      </x:c>
      <x:c r="F8" s="9" t="n">
        <x:v>174</x:v>
      </x:c>
      <x:c r="G8" s="10" t="n">
        <x:v>33766.2</x:v>
      </x:c>
      <x:c r="H8" s="10" t="n">
        <x:v>194.1</x:v>
      </x:c>
      <x:c r="I8" s="10" t="n">
        <x:v>150</x:v>
      </x:c>
    </x:row>
    <x:row r="9">
      <x:c r="A9" s="9" t="str">
        <x:v>IF主力</x:v>
      </x:c>
      <x:c r="B9" s="9" t="str">
        <x:v>2026-09-17</x:v>
      </x:c>
      <x:c r="C9" s="10" t="n">
        <x:v>4500.6</x:v>
      </x:c>
      <x:c r="D9" s="10" t="n">
        <x:v>4452.2</x:v>
      </x:c>
      <x:c r="E9" s="12" t="n">
        <x:v>48.4</x:v>
      </x:c>
      <x:c r="F9" s="9" t="n">
        <x:v>173</x:v>
      </x:c>
      <x:c r="G9" s="10" t="n">
        <x:v>12584</x:v>
      </x:c>
      <x:c r="H9" s="10" t="n">
        <x:v>72.7</x:v>
      </x:c>
      <x:c r="I9" s="10" t="n">
        <x:v>90</x:v>
      </x:c>
    </x:row>
    <x:row r="10">
      <x:c r="A10" s="9" t="str">
        <x:v>IH主力</x:v>
      </x:c>
      <x:c r="B10" s="9" t="str">
        <x:v>2026-09-17</x:v>
      </x:c>
      <x:c r="C10" s="10" t="n">
        <x:v>2872.4</x:v>
      </x:c>
      <x:c r="D10" s="10" t="n">
        <x:v>2838.4</x:v>
      </x:c>
      <x:c r="E10" s="12" t="n">
        <x:v>34</x:v>
      </x:c>
      <x:c r="F10" s="9" t="n">
        <x:v>173</x:v>
      </x:c>
      <x:c r="G10" s="10" t="n">
        <x:v>6991.6</x:v>
      </x:c>
      <x:c r="H10" s="10" t="n">
        <x:v>40.4</x:v>
      </x:c>
      <x:c r="I10" s="10" t="n">
        <x:v>60</x:v>
      </x:c>
    </x:row>
    <x:row r="11">
      <x:c r="A11" s="9" t="str">
        <x:v>碳酸锂2610</x:v>
      </x:c>
      <x:c r="B11" s="9" t="str">
        <x:v>2026-09-17</x:v>
      </x:c>
      <x:c r="C11" s="10" t="n">
        <x:v>133760</x:v>
      </x:c>
      <x:c r="D11" s="10" t="n">
        <x:v>127900</x:v>
      </x:c>
      <x:c r="E11" s="12" t="n">
        <x:v>5860</x:v>
      </x:c>
      <x:c r="F11" s="9" t="n">
        <x:v>173</x:v>
      </x:c>
      <x:c r="G11" s="10" t="n">
        <x:v>1391700</x:v>
      </x:c>
      <x:c r="H11" s="10" t="n">
        <x:v>8044.5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15073.9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418.7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9月14日-9月18日</x:v>
      </x:c>
      <x:c r="C81" s="23" t="n">
        <x:v>7511.04</x:v>
      </x:c>
      <x:c r="D81" s="23" t="n">
        <x:v>7819.98</x:v>
      </x:c>
      <x:c r="E81" s="23" t="n">
        <x:v>7487.46</x:v>
      </x:c>
      <x:c r="F81" s="23" t="n">
        <x:v>7799.61</x:v>
      </x:c>
      <x:c r="G81" s="28" t="n">
        <x:f>ROUND(F81-F80,1)</x:f>
        <x:v>219.1</x:v>
      </x:c>
      <x:c r="H81" s="24" t="n">
        <x:f>IFERROR(F81/F80-1,"")</x:f>
        <x:v>0.028898996641400165</x:v>
      </x:c>
      <x:c r="I81" s="26" t="n">
        <x:f>ROUND(D81-E81,1)</x:f>
        <x:v>332.5</x:v>
      </x:c>
      <x:c r="J81" s="22" t="str">
        <x:v>中证500</x:v>
      </x:c>
      <x:c r="K81" s="22" t="n">
        <x:v>5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15050.5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418.1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9月14日-9月18日</x:v>
      </x:c>
      <x:c r="C122" s="23" t="n">
        <x:v>3867.02</x:v>
      </x:c>
      <x:c r="D122" s="23" t="n">
        <x:v>3919.67</x:v>
      </x:c>
      <x:c r="E122" s="23" t="n">
        <x:v>3842.72</x:v>
      </x:c>
      <x:c r="F122" s="23" t="n">
        <x:v>3911.87</x:v>
      </x:c>
      <x:c r="G122" s="23" t="n">
        <x:f>ROUND(F122-F121,1)</x:f>
        <x:v>23.8</x:v>
      </x:c>
      <x:c r="H122" s="24" t="n">
        <x:f>IFERROR(F122/F121-1,"")</x:f>
        <x:v>0.0061109382193405</x:v>
      </x:c>
      <x:c r="I122" s="26" t="n">
        <x:f>ROUND(D122-E122,1)</x:f>
        <x:v>77</x:v>
      </x:c>
      <x:c r="J122" s="22" t="str">
        <x:v>上证指数</x:v>
      </x:c>
      <x:c r="K122" s="22" t="n">
        <x:v>5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3941.1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109.5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9月14日-9月18日</x:v>
      </x:c>
      <x:c r="C163" s="23" t="n">
        <x:v>7312</x:v>
      </x:c>
      <x:c r="D163" s="23" t="n">
        <x:v>7712.4</x:v>
      </x:c>
      <x:c r="E163" s="23" t="n">
        <x:v>7283.4</x:v>
      </x:c>
      <x:c r="F163" s="23" t="n">
        <x:v>7679.2</x:v>
      </x:c>
      <x:c r="G163" s="28" t="n">
        <x:f>ROUND(F163-F162,1)</x:f>
        <x:v>264</x:v>
      </x:c>
      <x:c r="H163" s="24" t="n">
        <x:f>IFERROR(F163/F162-1,"")</x:f>
        <x:v>0.03560254612148017</x:v>
      </x:c>
      <x:c r="I163" s="26" t="n">
        <x:f>ROUND(D163-E163,1)</x:f>
        <x:v>429</x:v>
      </x:c>
      <x:c r="J163" s="22" t="str">
        <x:v>IM2609</x:v>
      </x:c>
      <x:c r="K163" s="22" t="n">
        <x:v>5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15712.8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436.5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9月14日-9月18日</x:v>
      </x:c>
      <x:c r="C204" s="23" t="n">
        <x:v>7482.2</x:v>
      </x:c>
      <x:c r="D204" s="23" t="n">
        <x:v>7820</x:v>
      </x:c>
      <x:c r="E204" s="23" t="n">
        <x:v>7452.2</x:v>
      </x:c>
      <x:c r="F204" s="23" t="n">
        <x:v>7789.8</x:v>
      </x:c>
      <x:c r="G204" s="28" t="n">
        <x:f>ROUND(F204-F203,1)</x:f>
        <x:v>220.8</x:v>
      </x:c>
      <x:c r="H204" s="24" t="n">
        <x:f>IFERROR(F204/F203-1,"")</x:f>
        <x:v>0.02917162108600868</x:v>
      </x:c>
      <x:c r="I204" s="26" t="n">
        <x:f>ROUND(D204-E204,1)</x:f>
        <x:v>367.8</x:v>
      </x:c>
      <x:c r="J204" s="22" t="str">
        <x:v>IC2609</x:v>
      </x:c>
      <x:c r="K204" s="22" t="n">
        <x:v>5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16193.2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449.8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9月14日-9月17日</x:v>
      </x:c>
      <x:c r="C245" s="23" t="n">
        <x:v>4468</x:v>
      </x:c>
      <x:c r="D245" s="23" t="n">
        <x:v>4500.6</x:v>
      </x:c>
      <x:c r="E245" s="23" t="n">
        <x:v>4412.2</x:v>
      </x:c>
      <x:c r="F245" s="23" t="n">
        <x:v>4460.2</x:v>
      </x:c>
      <x:c r="G245" s="23" t="n">
        <x:f>ROUND(F245-F244,1)</x:f>
        <x:v>-43.2</x:v>
      </x:c>
      <x:c r="H245" s="24" t="n">
        <x:f>IFERROR(F245/F244-1,"")</x:f>
        <x:v>-0.0095927521428254</x:v>
      </x:c>
      <x:c r="I245" s="23" t="n">
        <x:f>ROUND(D245-E245,1)</x:f>
        <x:v>88.4</x:v>
      </x:c>
      <x:c r="J245" s="22" t="str">
        <x:v>IF2609</x:v>
      </x:c>
      <x:c r="K245" s="22" t="n">
        <x:v>4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5693.6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158.2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9月14日-9月17日</x:v>
      </x:c>
      <x:c r="C286" s="23" t="n">
        <x:v>2849.2</x:v>
      </x:c>
      <x:c r="D286" s="23" t="n">
        <x:v>2873.2</x:v>
      </x:c>
      <x:c r="E286" s="23" t="n">
        <x:v>2829.4</x:v>
      </x:c>
      <x:c r="F286" s="23" t="n">
        <x:v>2845.8</x:v>
      </x:c>
      <x:c r="G286" s="23" t="n">
        <x:f>ROUND(F286-F285,1)</x:f>
        <x:v>-21.2</x:v>
      </x:c>
      <x:c r="H286" s="24" t="n">
        <x:f>IFERROR(F286/F285-1,"")</x:f>
        <x:v>-0.007394489012905403</x:v>
      </x:c>
      <x:c r="I286" s="23" t="n">
        <x:f>ROUND(D286-E286,1)</x:f>
        <x:v>43.8</x:v>
      </x:c>
      <x:c r="J286" s="22" t="str">
        <x:v>IH2609</x:v>
      </x:c>
      <x:c r="K286" s="22" t="n">
        <x:v>4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3259.4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90.5</x:v>
      </x:c>
      <x:c r="J288" s="30"/>
      <x:c r="K288" s="30"/>
    </x:row>
    <x:row r="290">
      <x:c r="A290" s="17" t="str">
        <x:v>碳酸锂2610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132800</x:v>
      </x:c>
      <x:c r="D292" s="23" t="n">
        <x:v>150100</x:v>
      </x:c>
      <x:c r="E292" s="23" t="n">
        <x:v>123500</x:v>
      </x:c>
      <x:c r="F292" s="23" t="n">
        <x:v>145600</x:v>
      </x:c>
      <x:c r="G292" s="23"/>
      <x:c r="H292" s="24"/>
      <x:c r="I292" s="26" t="n">
        <x:f>ROUND(D292-E292,1)</x:f>
        <x:v>26600</x:v>
      </x:c>
      <x:c r="J292" s="22" t="str">
        <x:v>LC2610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149180</x:v>
      </x:c>
      <x:c r="D293" s="23" t="n">
        <x:v>175360</x:v>
      </x:c>
      <x:c r="E293" s="23" t="n">
        <x:v>148180</x:v>
      </x:c>
      <x:c r="F293" s="23" t="n">
        <x:v>148180</x:v>
      </x:c>
      <x:c r="G293" s="28" t="n">
        <x:f>ROUND(F293-F292,1)</x:f>
        <x:v>2580</x:v>
      </x:c>
      <x:c r="H293" s="24" t="n">
        <x:f>IFERROR(F293/F292-1,"")</x:f>
        <x:v>0.017719780219780157</x:v>
      </x:c>
      <x:c r="I293" s="26" t="n">
        <x:f>ROUND(D293-E293,1)</x:f>
        <x:v>27180</x:v>
      </x:c>
      <x:c r="J293" s="22" t="str">
        <x:v>LC2610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143000</x:v>
      </x:c>
      <x:c r="D294" s="23" t="n">
        <x:v>183460</x:v>
      </x:c>
      <x:c r="E294" s="23" t="n">
        <x:v>143000</x:v>
      </x:c>
      <x:c r="F294" s="23" t="n">
        <x:v>183460</x:v>
      </x:c>
      <x:c r="G294" s="28" t="n">
        <x:f>ROUND(F294-F293,1)</x:f>
        <x:v>35280</x:v>
      </x:c>
      <x:c r="H294" s="24" t="n">
        <x:f>IFERROR(F294/F293-1,"")</x:f>
        <x:v>0.23808881090565537</x:v>
      </x:c>
      <x:c r="I294" s="26" t="n">
        <x:f>ROUND(D294-E294,1)</x:f>
        <x:v>40460</x:v>
      </x:c>
      <x:c r="J294" s="22" t="str">
        <x:v>LC2610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189980</x:v>
      </x:c>
      <x:c r="D295" s="23" t="n">
        <x:v>190020</x:v>
      </x:c>
      <x:c r="E295" s="23" t="n">
        <x:v>148520</x:v>
      </x:c>
      <x:c r="F295" s="23" t="n">
        <x:v>148540</x:v>
      </x:c>
      <x:c r="G295" s="28" t="n">
        <x:f>ROUND(F295-F294,1)</x:f>
        <x:v>-34920</x:v>
      </x:c>
      <x:c r="H295" s="24" t="n">
        <x:f>IFERROR(F295/F294-1,"")</x:f>
        <x:v>-0.19034121879428756</x:v>
      </x:c>
      <x:c r="I295" s="26" t="n">
        <x:f>ROUND(D295-E295,1)</x:f>
        <x:v>41500</x:v>
      </x:c>
      <x:c r="J295" s="22" t="str">
        <x:v>LC2610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153000</x:v>
      </x:c>
      <x:c r="D296" s="23" t="n">
        <x:v>153000</x:v>
      </x:c>
      <x:c r="E296" s="23" t="n">
        <x:v>124760</x:v>
      </x:c>
      <x:c r="F296" s="23" t="n">
        <x:v>131160</x:v>
      </x:c>
      <x:c r="G296" s="28" t="n">
        <x:f>ROUND(F296-F295,1)</x:f>
        <x:v>-17380</x:v>
      </x:c>
      <x:c r="H296" s="24" t="n">
        <x:f>IFERROR(F296/F295-1,"")</x:f>
        <x:v>-0.11700552039854584</x:v>
      </x:c>
      <x:c r="I296" s="26" t="n">
        <x:f>ROUND(D296-E296,1)</x:f>
        <x:v>28240</x:v>
      </x:c>
      <x:c r="J296" s="22" t="str">
        <x:v>LC2610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134660</x:v>
      </x:c>
      <x:c r="D297" s="23" t="n">
        <x:v>152380</x:v>
      </x:c>
      <x:c r="E297" s="23" t="n">
        <x:v>133580</x:v>
      </x:c>
      <x:c r="F297" s="23" t="n">
        <x:v>152380</x:v>
      </x:c>
      <x:c r="G297" s="28" t="n">
        <x:f>ROUND(F297-F296,1)</x:f>
        <x:v>21220</x:v>
      </x:c>
      <x:c r="H297" s="24" t="n">
        <x:f>IFERROR(F297/F296-1,"")</x:f>
        <x:v>0.1617871302226288</x:v>
      </x:c>
      <x:c r="I297" s="26" t="n">
        <x:f>ROUND(D297-E297,1)</x:f>
        <x:v>18800</x:v>
      </x:c>
      <x:c r="J297" s="22" t="str">
        <x:v>LC2610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165060</x:v>
      </x:c>
      <x:c r="D298" s="23" t="n">
        <x:v>187920</x:v>
      </x:c>
      <x:c r="E298" s="23" t="n">
        <x:v>155680</x:v>
      </x:c>
      <x:c r="F298" s="23" t="n">
        <x:v>175400</x:v>
      </x:c>
      <x:c r="G298" s="28" t="n">
        <x:f>ROUND(F298-F297,1)</x:f>
        <x:v>23020</x:v>
      </x:c>
      <x:c r="H298" s="24" t="n">
        <x:f>IFERROR(F298/F297-1,"")</x:f>
        <x:v>0.1510696941855887</x:v>
      </x:c>
      <x:c r="I298" s="26" t="n">
        <x:f>ROUND(D298-E298,1)</x:f>
        <x:v>32240</x:v>
      </x:c>
      <x:c r="J298" s="22" t="str">
        <x:v>LC2610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175800</x:v>
      </x:c>
      <x:c r="D299" s="23" t="n">
        <x:v>177260</x:v>
      </x:c>
      <x:c r="E299" s="23" t="n">
        <x:v>144980</x:v>
      </x:c>
      <x:c r="F299" s="23" t="n">
        <x:v>156580</x:v>
      </x:c>
      <x:c r="G299" s="28" t="n">
        <x:f>ROUND(F299-F298,1)</x:f>
        <x:v>-18820</x:v>
      </x:c>
      <x:c r="H299" s="24" t="n">
        <x:f>IFERROR(F299/F298-1,"")</x:f>
        <x:v>-0.1072976054732041</x:v>
      </x:c>
      <x:c r="I299" s="26" t="n">
        <x:f>ROUND(D299-E299,1)</x:f>
        <x:v>32280</x:v>
      </x:c>
      <x:c r="J299" s="22" t="str">
        <x:v>LC2610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145120</x:v>
      </x:c>
      <x:c r="D300" s="23" t="n">
        <x:v>166800</x:v>
      </x:c>
      <x:c r="E300" s="23" t="n">
        <x:v>139860</x:v>
      </x:c>
      <x:c r="F300" s="23" t="n">
        <x:v>151880</x:v>
      </x:c>
      <x:c r="G300" s="28" t="n">
        <x:f>ROUND(F300-F299,1)</x:f>
        <x:v>-4700</x:v>
      </x:c>
      <x:c r="H300" s="24" t="n">
        <x:f>IFERROR(F300/F299-1,"")</x:f>
        <x:v>-0.030016604930387047</x:v>
      </x:c>
      <x:c r="I300" s="26" t="n">
        <x:f>ROUND(D300-E300,1)</x:f>
        <x:v>26940</x:v>
      </x:c>
      <x:c r="J300" s="22" t="str">
        <x:v>LC2610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149140</x:v>
      </x:c>
      <x:c r="D301" s="23" t="n">
        <x:v>159120</x:v>
      </x:c>
      <x:c r="E301" s="23" t="n">
        <x:v>139640</x:v>
      </x:c>
      <x:c r="F301" s="23" t="n">
        <x:v>143900</x:v>
      </x:c>
      <x:c r="G301" s="28" t="n">
        <x:f>ROUND(F301-F300,1)</x:f>
        <x:v>-7980</x:v>
      </x:c>
      <x:c r="H301" s="24" t="n">
        <x:f>IFERROR(F301/F300-1,"")</x:f>
        <x:v>-0.052541480115881</x:v>
      </x:c>
      <x:c r="I301" s="26" t="n">
        <x:f>ROUND(D301-E301,1)</x:f>
        <x:v>19480</x:v>
      </x:c>
      <x:c r="J301" s="22" t="str">
        <x:v>LC2610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144460</x:v>
      </x:c>
      <x:c r="D302" s="23" t="n">
        <x:v>170800</x:v>
      </x:c>
      <x:c r="E302" s="23" t="n">
        <x:v>139980</x:v>
      </x:c>
      <x:c r="F302" s="23" t="n">
        <x:v>166540</x:v>
      </x:c>
      <x:c r="G302" s="28" t="n">
        <x:f>ROUND(F302-F301,1)</x:f>
        <x:v>22640</x:v>
      </x:c>
      <x:c r="H302" s="24" t="n">
        <x:f>IFERROR(F302/F301-1,"")</x:f>
        <x:v>0.15733148019457954</x:v>
      </x:c>
      <x:c r="I302" s="26" t="n">
        <x:f>ROUND(D302-E302,1)</x:f>
        <x:v>30820</x:v>
      </x:c>
      <x:c r="J302" s="22" t="str">
        <x:v>LC2610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172000</x:v>
      </x:c>
      <x:c r="D303" s="23" t="n">
        <x:v>174540</x:v>
      </x:c>
      <x:c r="E303" s="23" t="n">
        <x:v>153840</x:v>
      </x:c>
      <x:c r="F303" s="23" t="n">
        <x:v>157680</x:v>
      </x:c>
      <x:c r="G303" s="28" t="n">
        <x:f>ROUND(F303-F302,1)</x:f>
        <x:v>-8860</x:v>
      </x:c>
      <x:c r="H303" s="24" t="n">
        <x:f>IFERROR(F303/F302-1,"")</x:f>
        <x:v>-0.05320043232856975</x:v>
      </x:c>
      <x:c r="I303" s="26" t="n">
        <x:f>ROUND(D303-E303,1)</x:f>
        <x:v>20700</x:v>
      </x:c>
      <x:c r="J303" s="22" t="str">
        <x:v>LC2610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156200</x:v>
      </x:c>
      <x:c r="D304" s="23" t="n">
        <x:v>164160</x:v>
      </x:c>
      <x:c r="E304" s="23" t="n">
        <x:v>151640</x:v>
      </x:c>
      <x:c r="F304" s="23" t="n">
        <x:v>156500</x:v>
      </x:c>
      <x:c r="G304" s="28" t="n">
        <x:f>ROUND(F304-F303,1)</x:f>
        <x:v>-1180</x:v>
      </x:c>
      <x:c r="H304" s="24" t="n">
        <x:f>IFERROR(F304/F303-1,"")</x:f>
        <x:v>-0.007483510908168456</x:v>
      </x:c>
      <x:c r="I304" s="26" t="n">
        <x:f>ROUND(D304-E304,1)</x:f>
        <x:v>12520</x:v>
      </x:c>
      <x:c r="J304" s="22" t="str">
        <x:v>LC2610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156660</x:v>
      </x:c>
      <x:c r="D305" s="23" t="n">
        <x:v>176500</x:v>
      </x:c>
      <x:c r="E305" s="23" t="n">
        <x:v>153040</x:v>
      </x:c>
      <x:c r="F305" s="23" t="n">
        <x:v>176360</x:v>
      </x:c>
      <x:c r="G305" s="28" t="n">
        <x:f>ROUND(F305-F304,1)</x:f>
        <x:v>19860</x:v>
      </x:c>
      <x:c r="H305" s="24" t="n">
        <x:f>IFERROR(F305/F304-1,"")</x:f>
        <x:v>0.12690095846645377</x:v>
      </x:c>
      <x:c r="I305" s="26" t="n">
        <x:f>ROUND(D305-E305,1)</x:f>
        <x:v>23460</x:v>
      </x:c>
      <x:c r="J305" s="22" t="str">
        <x:v>LC2610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174080</x:v>
      </x:c>
      <x:c r="D306" s="23" t="n">
        <x:v>180920</x:v>
      </x:c>
      <x:c r="E306" s="23" t="n">
        <x:v>169000</x:v>
      </x:c>
      <x:c r="F306" s="23" t="n">
        <x:v>176960</x:v>
      </x:c>
      <x:c r="G306" s="28" t="n">
        <x:f>ROUND(F306-F305,1)</x:f>
        <x:v>600</x:v>
      </x:c>
      <x:c r="H306" s="24" t="n">
        <x:f>IFERROR(F306/F305-1,"")</x:f>
        <x:v>0.0034021320027217694</x:v>
      </x:c>
      <x:c r="I306" s="26" t="n">
        <x:f>ROUND(D306-E306,1)</x:f>
        <x:v>11920</x:v>
      </x:c>
      <x:c r="J306" s="22" t="str">
        <x:v>LC2610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176960</x:v>
      </x:c>
      <x:c r="D307" s="23" t="n">
        <x:v>188840</x:v>
      </x:c>
      <x:c r="E307" s="23" t="n">
        <x:v>172640</x:v>
      </x:c>
      <x:c r="F307" s="23" t="n">
        <x:v>188840</x:v>
      </x:c>
      <x:c r="G307" s="28" t="n">
        <x:f>ROUND(F307-F306,1)</x:f>
        <x:v>11880</x:v>
      </x:c>
      <x:c r="H307" s="24" t="n">
        <x:f>IFERROR(F307/F306-1,"")</x:f>
        <x:v>0.06713381555153708</x:v>
      </x:c>
      <x:c r="I307" s="26" t="n">
        <x:f>ROUND(D307-E307,1)</x:f>
        <x:v>16200</x:v>
      </x:c>
      <x:c r="J307" s="22" t="str">
        <x:v>LC2610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191300</x:v>
      </x:c>
      <x:c r="D308" s="23" t="n">
        <x:v>204640</x:v>
      </x:c>
      <x:c r="E308" s="23" t="n">
        <x:v>191300</x:v>
      </x:c>
      <x:c r="F308" s="23" t="n">
        <x:v>196100</x:v>
      </x:c>
      <x:c r="G308" s="28" t="n">
        <x:f>ROUND(F308-F307,1)</x:f>
        <x:v>7260</x:v>
      </x:c>
      <x:c r="H308" s="24" t="n">
        <x:f>IFERROR(F308/F307-1,"")</x:f>
        <x:v>0.038445244651556854</x:v>
      </x:c>
      <x:c r="I308" s="26" t="n">
        <x:f>ROUND(D308-E308,1)</x:f>
        <x:v>13340</x:v>
      </x:c>
      <x:c r="J308" s="22" t="str">
        <x:v>LC2610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195080</x:v>
      </x:c>
      <x:c r="D309" s="23" t="n">
        <x:v>209040</x:v>
      </x:c>
      <x:c r="E309" s="23" t="n">
        <x:v>187240</x:v>
      </x:c>
      <x:c r="F309" s="23" t="n">
        <x:v>189440</x:v>
      </x:c>
      <x:c r="G309" s="28" t="n">
        <x:f>ROUND(F309-F308,1)</x:f>
        <x:v>-6660</x:v>
      </x:c>
      <x:c r="H309" s="24" t="n">
        <x:f>IFERROR(F309/F308-1,"")</x:f>
        <x:v>-0.03396226415094339</x:v>
      </x:c>
      <x:c r="I309" s="26" t="n">
        <x:f>ROUND(D309-E309,1)</x:f>
        <x:v>21800</x:v>
      </x:c>
      <x:c r="J309" s="22" t="str">
        <x:v>LC2610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190060</x:v>
      </x:c>
      <x:c r="D310" s="23" t="n">
        <x:v>193820</x:v>
      </x:c>
      <x:c r="E310" s="23" t="n">
        <x:v>175520</x:v>
      </x:c>
      <x:c r="F310" s="23" t="n">
        <x:v>185280</x:v>
      </x:c>
      <x:c r="G310" s="28" t="n">
        <x:f>ROUND(F310-F309,1)</x:f>
        <x:v>-4160</x:v>
      </x:c>
      <x:c r="H310" s="24" t="n">
        <x:f>IFERROR(F310/F309-1,"")</x:f>
        <x:v>-0.02195945945945943</x:v>
      </x:c>
      <x:c r="I310" s="26" t="n">
        <x:f>ROUND(D310-E310,1)</x:f>
        <x:v>18300</x:v>
      </x:c>
      <x:c r="J310" s="22" t="str">
        <x:v>LC2610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185380</x:v>
      </x:c>
      <x:c r="D311" s="23" t="n">
        <x:v>188320</x:v>
      </x:c>
      <x:c r="E311" s="23" t="n">
        <x:v>172500</x:v>
      </x:c>
      <x:c r="F311" s="23" t="n">
        <x:v>178620</x:v>
      </x:c>
      <x:c r="G311" s="28" t="n">
        <x:f>ROUND(F311-F310,1)</x:f>
        <x:v>-6660</x:v>
      </x:c>
      <x:c r="H311" s="24" t="n">
        <x:f>IFERROR(F311/F310-1,"")</x:f>
        <x:v>-0.035945595854922296</x:v>
      </x:c>
      <x:c r="I311" s="26" t="n">
        <x:f>ROUND(D311-E311,1)</x:f>
        <x:v>15820</x:v>
      </x:c>
      <x:c r="J311" s="22" t="str">
        <x:v>LC2610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180920</x:v>
      </x:c>
      <x:c r="D312" s="23" t="n">
        <x:v>182940</x:v>
      </x:c>
      <x:c r="E312" s="23" t="n">
        <x:v>158140</x:v>
      </x:c>
      <x:c r="F312" s="23" t="n">
        <x:v>165460</x:v>
      </x:c>
      <x:c r="G312" s="28" t="n">
        <x:f>ROUND(F312-F311,1)</x:f>
        <x:v>-13160</x:v>
      </x:c>
      <x:c r="H312" s="24" t="n">
        <x:f>IFERROR(F312/F311-1,"")</x:f>
        <x:v>-0.07367596013884226</x:v>
      </x:c>
      <x:c r="I312" s="26" t="n">
        <x:f>ROUND(D312-E312,1)</x:f>
        <x:v>24800</x:v>
      </x:c>
      <x:c r="J312" s="22" t="str">
        <x:v>LC2610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162800</x:v>
      </x:c>
      <x:c r="D313" s="23" t="n">
        <x:v>178860</x:v>
      </x:c>
      <x:c r="E313" s="23" t="n">
        <x:v>161280</x:v>
      </x:c>
      <x:c r="F313" s="23" t="n">
        <x:v>175780</x:v>
      </x:c>
      <x:c r="G313" s="28" t="n">
        <x:f>ROUND(F313-F312,1)</x:f>
        <x:v>10320</x:v>
      </x:c>
      <x:c r="H313" s="24" t="n">
        <x:f>IFERROR(F313/F312-1,"")</x:f>
        <x:v>0.06237157016801653</x:v>
      </x:c>
      <x:c r="I313" s="26" t="n">
        <x:f>ROUND(D313-E313,1)</x:f>
        <x:v>17580</x:v>
      </x:c>
      <x:c r="J313" s="22" t="str">
        <x:v>LC2610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176460</x:v>
      </x:c>
      <x:c r="D314" s="23" t="n">
        <x:v>178560</x:v>
      </x:c>
      <x:c r="E314" s="23" t="n">
        <x:v>160560</x:v>
      </x:c>
      <x:c r="F314" s="23" t="n">
        <x:v>161400</x:v>
      </x:c>
      <x:c r="G314" s="28" t="n">
        <x:f>ROUND(F314-F313,1)</x:f>
        <x:v>-14380</x:v>
      </x:c>
      <x:c r="H314" s="24" t="n">
        <x:f>IFERROR(F314/F313-1,"")</x:f>
        <x:v>-0.0818068039594948</x:v>
      </x:c>
      <x:c r="I314" s="26" t="n">
        <x:f>ROUND(D314-E314,1)</x:f>
        <x:v>18000</x:v>
      </x:c>
      <x:c r="J314" s="22" t="str">
        <x:v>LC2610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161000</x:v>
      </x:c>
      <x:c r="D315" s="23" t="n">
        <x:v>163880</x:v>
      </x:c>
      <x:c r="E315" s="23" t="n">
        <x:v>145360</x:v>
      </x:c>
      <x:c r="F315" s="23" t="n">
        <x:v>151140</x:v>
      </x:c>
      <x:c r="G315" s="28" t="n">
        <x:f>ROUND(F315-F314,1)</x:f>
        <x:v>-10260</x:v>
      </x:c>
      <x:c r="H315" s="24" t="n">
        <x:f>IFERROR(F315/F314-1,"")</x:f>
        <x:v>-0.06356877323420074</x:v>
      </x:c>
      <x:c r="I315" s="26" t="n">
        <x:f>ROUND(D315-E315,1)</x:f>
        <x:v>18520</x:v>
      </x:c>
      <x:c r="J315" s="22" t="str">
        <x:v>LC2610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148420</x:v>
      </x:c>
      <x:c r="D316" s="23" t="n">
        <x:v>172120</x:v>
      </x:c>
      <x:c r="E316" s="23" t="n">
        <x:v>146000</x:v>
      </x:c>
      <x:c r="F316" s="23" t="n">
        <x:v>168600</x:v>
      </x:c>
      <x:c r="G316" s="28" t="n">
        <x:f>ROUND(F316-F315,1)</x:f>
        <x:v>17460</x:v>
      </x:c>
      <x:c r="H316" s="24" t="n">
        <x:f>IFERROR(F316/F315-1,"")</x:f>
        <x:v>0.1155220325526003</x:v>
      </x:c>
      <x:c r="I316" s="26" t="n">
        <x:f>ROUND(D316-E316,1)</x:f>
        <x:v>26120</x:v>
      </x:c>
      <x:c r="J316" s="22" t="str">
        <x:v>LC2610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174900</x:v>
      </x:c>
      <x:c r="D317" s="23" t="n">
        <x:v>174900</x:v>
      </x:c>
      <x:c r="E317" s="23" t="n">
        <x:v>150860</x:v>
      </x:c>
      <x:c r="F317" s="23" t="n">
        <x:v>151600</x:v>
      </x:c>
      <x:c r="G317" s="28" t="n">
        <x:f>ROUND(F317-F316,1)</x:f>
        <x:v>-17000</x:v>
      </x:c>
      <x:c r="H317" s="24" t="n">
        <x:f>IFERROR(F317/F316-1,"")</x:f>
        <x:v>-0.10083036773428233</x:v>
      </x:c>
      <x:c r="I317" s="26" t="n">
        <x:f>ROUND(D317-E317,1)</x:f>
        <x:v>24040</x:v>
      </x:c>
      <x:c r="J317" s="22" t="str">
        <x:v>LC2610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150300</x:v>
      </x:c>
      <x:c r="D318" s="23" t="n">
        <x:v>155660</x:v>
      </x:c>
      <x:c r="E318" s="23" t="n">
        <x:v>145460</x:v>
      </x:c>
      <x:c r="F318" s="23" t="n">
        <x:v>149740</x:v>
      </x:c>
      <x:c r="G318" s="28" t="n">
        <x:f>ROUND(F318-F317,1)</x:f>
        <x:v>-1860</x:v>
      </x:c>
      <x:c r="H318" s="24" t="n">
        <x:f>IFERROR(F318/F317-1,"")</x:f>
        <x:v>-0.012269129287598934</x:v>
      </x:c>
      <x:c r="I318" s="26" t="n">
        <x:f>ROUND(D318-E318,1)</x:f>
        <x:v>10200</x:v>
      </x:c>
      <x:c r="J318" s="22" t="str">
        <x:v>LC2610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152520</x:v>
      </x:c>
      <x:c r="D319" s="23" t="n">
        <x:v>153880</x:v>
      </x:c>
      <x:c r="E319" s="23" t="n">
        <x:v>135040</x:v>
      </x:c>
      <x:c r="F319" s="23" t="n">
        <x:v>142920</x:v>
      </x:c>
      <x:c r="G319" s="28" t="n">
        <x:f>ROUND(F319-F318,1)</x:f>
        <x:v>-6820</x:v>
      </x:c>
      <x:c r="H319" s="24" t="n">
        <x:f>IFERROR(F319/F318-1,"")</x:f>
        <x:v>-0.04554561239481769</x:v>
      </x:c>
      <x:c r="I319" s="26" t="n">
        <x:f>ROUND(D319-E319,1)</x:f>
        <x:v>18840</x:v>
      </x:c>
      <x:c r="J319" s="22" t="str">
        <x:v>LC2610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144340</x:v>
      </x:c>
      <x:c r="D320" s="23" t="n">
        <x:v>148600</x:v>
      </x:c>
      <x:c r="E320" s="23" t="n">
        <x:v>137000</x:v>
      </x:c>
      <x:c r="F320" s="23" t="n">
        <x:v>137000</x:v>
      </x:c>
      <x:c r="G320" s="28" t="n">
        <x:f>ROUND(F320-F319,1)</x:f>
        <x:v>-5920</x:v>
      </x:c>
      <x:c r="H320" s="24" t="n">
        <x:f>IFERROR(F320/F319-1,"")</x:f>
        <x:v>-0.04142177441925554</x:v>
      </x:c>
      <x:c r="I320" s="26" t="n">
        <x:f>ROUND(D320-E320,1)</x:f>
        <x:v>11600</x:v>
      </x:c>
      <x:c r="J320" s="22" t="str">
        <x:v>LC2610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137200</x:v>
      </x:c>
      <x:c r="D321" s="23" t="n">
        <x:v>144100</x:v>
      </x:c>
      <x:c r="E321" s="23" t="n">
        <x:v>135040</x:v>
      </x:c>
      <x:c r="F321" s="23" t="n">
        <x:v>139320</x:v>
      </x:c>
      <x:c r="G321" s="28" t="n">
        <x:f>ROUND(F321-F320,1)</x:f>
        <x:v>2320</x:v>
      </x:c>
      <x:c r="H321" s="24" t="n">
        <x:f>IFERROR(F321/F320-1,"")</x:f>
        <x:v>0.016934306569343027</x:v>
      </x:c>
      <x:c r="I321" s="26" t="n">
        <x:f>ROUND(D321-E321,1)</x:f>
        <x:v>9060</x:v>
      </x:c>
      <x:c r="J321" s="22" t="str">
        <x:v>LC2610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139320</x:v>
      </x:c>
      <x:c r="D322" s="23" t="n">
        <x:v>154560</x:v>
      </x:c>
      <x:c r="E322" s="23" t="n">
        <x:v>139300</x:v>
      </x:c>
      <x:c r="F322" s="23" t="n">
        <x:v>153980</x:v>
      </x:c>
      <x:c r="G322" s="28" t="n">
        <x:f>ROUND(F322-F321,1)</x:f>
        <x:v>14660</x:v>
      </x:c>
      <x:c r="H322" s="24" t="n">
        <x:f>IFERROR(F322/F321-1,"")</x:f>
        <x:v>0.10522538041917895</x:v>
      </x:c>
      <x:c r="I322" s="26" t="n">
        <x:f>ROUND(D322-E322,1)</x:f>
        <x:v>15260</x:v>
      </x:c>
      <x:c r="J322" s="22" t="str">
        <x:v>LC2610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152940</x:v>
      </x:c>
      <x:c r="D323" s="23" t="n">
        <x:v>157400</x:v>
      </x:c>
      <x:c r="E323" s="23" t="n">
        <x:v>148700</x:v>
      </x:c>
      <x:c r="F323" s="23" t="n">
        <x:v>156380</x:v>
      </x:c>
      <x:c r="G323" s="28" t="n">
        <x:f>ROUND(F323-F322,1)</x:f>
        <x:v>2400</x:v>
      </x:c>
      <x:c r="H323" s="24" t="n">
        <x:f>IFERROR(F323/F322-1,"")</x:f>
        <x:v>0.015586439797376173</x:v>
      </x:c>
      <x:c r="I323" s="26" t="n">
        <x:f>ROUND(D323-E323,1)</x:f>
        <x:v>8700</x:v>
      </x:c>
      <x:c r="J323" s="22" t="str">
        <x:v>LC2610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158800</x:v>
      </x:c>
      <x:c r="D324" s="23" t="n">
        <x:v>160500</x:v>
      </x:c>
      <x:c r="E324" s="23" t="n">
        <x:v>147600</x:v>
      </x:c>
      <x:c r="F324" s="23" t="n">
        <x:v>157940</x:v>
      </x:c>
      <x:c r="G324" s="28" t="n">
        <x:f>ROUND(F324-F323,1)</x:f>
        <x:v>1560</x:v>
      </x:c>
      <x:c r="H324" s="24" t="n">
        <x:f>IFERROR(F324/F323-1,"")</x:f>
        <x:v>0.009975700217419003</x:v>
      </x:c>
      <x:c r="I324" s="26" t="n">
        <x:f>ROUND(D324-E324,1)</x:f>
        <x:v>12900</x:v>
      </x:c>
      <x:c r="J324" s="22" t="str">
        <x:v>LC2610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157500</x:v>
      </x:c>
      <x:c r="D325" s="23" t="n">
        <x:v>161280</x:v>
      </x:c>
      <x:c r="E325" s="23" t="n">
        <x:v>140220</x:v>
      </x:c>
      <x:c r="F325" s="23" t="n">
        <x:v>142000</x:v>
      </x:c>
      <x:c r="G325" s="28" t="n">
        <x:f>ROUND(F325-F324,1)</x:f>
        <x:v>-15940</x:v>
      </x:c>
      <x:c r="H325" s="24" t="n">
        <x:f>IFERROR(F325/F324-1,"")</x:f>
        <x:v>-0.10092440167152084</x:v>
      </x:c>
      <x:c r="I325" s="26" t="n">
        <x:f>ROUND(D325-E325,1)</x:f>
        <x:v>21060</x:v>
      </x:c>
      <x:c r="J325" s="22" t="str">
        <x:v>LC2610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141000</x:v>
      </x:c>
      <x:c r="D326" s="23" t="n">
        <x:v>143540</x:v>
      </x:c>
      <x:c r="E326" s="23" t="n">
        <x:v>127120</x:v>
      </x:c>
      <x:c r="F326" s="23" t="n">
        <x:v>134340</x:v>
      </x:c>
      <x:c r="G326" s="28" t="n">
        <x:f>ROUND(F326-F325,1)</x:f>
        <x:v>-7660</x:v>
      </x:c>
      <x:c r="H326" s="24" t="n">
        <x:f>IFERROR(F326/F325-1,"")</x:f>
        <x:v>-0.05394366197183098</x:v>
      </x:c>
      <x:c r="I326" s="26" t="n">
        <x:f>ROUND(D326-E326,1)</x:f>
        <x:v>16420</x:v>
      </x:c>
      <x:c r="J326" s="22" t="str">
        <x:v>LC2610</x:v>
      </x:c>
      <x:c r="K326" s="22" t="n">
        <x:v>5</x:v>
      </x:c>
    </x:row>
    <x:row r="327">
      <x:c r="A327" s="22" t="n">
        <x:v>36</x:v>
      </x:c>
      <x:c r="B327" s="22" t="str">
        <x:v>9月14日-9月17日</x:v>
      </x:c>
      <x:c r="C327" s="23" t="n">
        <x:v>133600</x:v>
      </x:c>
      <x:c r="D327" s="23" t="n">
        <x:v>134840</x:v>
      </x:c>
      <x:c r="E327" s="23" t="n">
        <x:v>126200</x:v>
      </x:c>
      <x:c r="F327" s="23" t="n">
        <x:v>132280</x:v>
      </x:c>
      <x:c r="G327" s="28" t="n">
        <x:f>ROUND(F327-F326,1)</x:f>
        <x:v>-2060</x:v>
      </x:c>
      <x:c r="H327" s="24" t="n">
        <x:f>IFERROR(F327/F326-1,"")</x:f>
        <x:v>-0.015334226589251099</x:v>
      </x:c>
      <x:c r="I327" s="26" t="n">
        <x:f>ROUND(D327-E327,1)</x:f>
        <x:v>8640</x:v>
      </x:c>
      <x:c r="J327" s="22" t="str">
        <x:v>LC2610</x:v>
      </x:c>
      <x:c r="K327" s="22" t="n">
        <x:v>4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740340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20565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31" t="str">
        <x:v>合计</x:v>
      </x:c>
      <x:c r="B219" s="30" t="n">
        <x:v>14</x:v>
      </x:c>
      <x:c r="C219" s="30"/>
      <x:c r="D219" s="30"/>
      <x:c r="E219" s="30"/>
      <x:c r="F219" s="30"/>
      <x:c r="G219" s="30"/>
      <x:c r="H219" s="30"/>
      <x:c r="I219" s="30"/>
      <x:c r="J219" s="32" t="n">
        <x:f>ROUND(SUM(J205:J218),1)</x:f>
        <x:v>1900.6</x:v>
      </x:c>
      <x:c r="K219" s="30"/>
    </x:row>
    <x:row r="220">
      <x:c r="A220" s="31" t="str">
        <x:v>均值</x:v>
      </x:c>
      <x:c r="B220" s="30"/>
      <x:c r="C220" s="30"/>
      <x:c r="D220" s="30"/>
      <x:c r="E220" s="30"/>
      <x:c r="F220" s="30"/>
      <x:c r="G220" s="30"/>
      <x:c r="H220" s="30"/>
      <x:c r="I220" s="30"/>
      <x:c r="J220" s="34" t="n">
        <x:f>ROUND(IFERROR(AVERAGE(J205:J218),0),1)</x:f>
        <x:v>135.8</x:v>
      </x:c>
      <x:c r="K22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31" t="str">
        <x:v>合计</x:v>
      </x:c>
      <x:c r="B219" s="30" t="n">
        <x:v>14</x:v>
      </x:c>
      <x:c r="C219" s="30"/>
      <x:c r="D219" s="30"/>
      <x:c r="E219" s="30"/>
      <x:c r="F219" s="30"/>
      <x:c r="G219" s="30"/>
      <x:c r="H219" s="30"/>
      <x:c r="I219" s="30"/>
      <x:c r="J219" s="32" t="n">
        <x:f>ROUND(SUM(J205:J218),1)</x:f>
        <x:v>1727.3</x:v>
      </x:c>
      <x:c r="K219" s="30"/>
    </x:row>
    <x:row r="220">
      <x:c r="A220" s="31" t="str">
        <x:v>均值</x:v>
      </x:c>
      <x:c r="B220" s="30"/>
      <x:c r="C220" s="30"/>
      <x:c r="D220" s="30"/>
      <x:c r="E220" s="30"/>
      <x:c r="F220" s="30"/>
      <x:c r="G220" s="30"/>
      <x:c r="H220" s="30"/>
      <x:c r="I220" s="30"/>
      <x:c r="J220" s="34" t="n">
        <x:f>ROUND(IFERROR(AVERAGE(J205:J218),0),1)</x:f>
        <x:v>123.4</x:v>
      </x:c>
      <x:c r="K22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31" t="str">
        <x:v>合计</x:v>
      </x:c>
      <x:c r="B219" s="30" t="n">
        <x:v>14</x:v>
      </x:c>
      <x:c r="C219" s="30"/>
      <x:c r="D219" s="30"/>
      <x:c r="E219" s="30"/>
      <x:c r="F219" s="30"/>
      <x:c r="G219" s="30"/>
      <x:c r="H219" s="30"/>
      <x:c r="I219" s="30"/>
      <x:c r="J219" s="32" t="n">
        <x:f>ROUND(SUM(J205:J218),1)</x:f>
        <x:v>496.5</x:v>
      </x:c>
      <x:c r="K219" s="30"/>
    </x:row>
    <x:row r="220">
      <x:c r="A220" s="31" t="str">
        <x:v>均值</x:v>
      </x:c>
      <x:c r="B220" s="30"/>
      <x:c r="C220" s="30"/>
      <x:c r="D220" s="30"/>
      <x:c r="E220" s="30"/>
      <x:c r="F220" s="30"/>
      <x:c r="G220" s="30"/>
      <x:c r="H220" s="30"/>
      <x:c r="I220" s="30"/>
      <x:c r="J220" s="34" t="n">
        <x:f>ROUND(IFERROR(AVERAGE(J205:J218),0),1)</x:f>
        <x:v>35.5</x:v>
      </x:c>
      <x:c r="K22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31" t="str">
        <x:v>合计</x:v>
      </x:c>
      <x:c r="B219" s="30" t="n">
        <x:v>14</x:v>
      </x:c>
      <x:c r="C219" s="30"/>
      <x:c r="D219" s="30"/>
      <x:c r="E219" s="30"/>
      <x:c r="F219" s="30"/>
      <x:c r="G219" s="30"/>
      <x:c r="H219" s="30"/>
      <x:c r="I219" s="30"/>
      <x:c r="J219" s="32" t="n">
        <x:f>ROUND(SUM(J205:J218),1)</x:f>
        <x:v>2120.2</x:v>
      </x:c>
      <x:c r="K219" s="30"/>
    </x:row>
    <x:row r="220">
      <x:c r="A220" s="31" t="str">
        <x:v>均值</x:v>
      </x:c>
      <x:c r="B220" s="30"/>
      <x:c r="C220" s="30"/>
      <x:c r="D220" s="30"/>
      <x:c r="E220" s="30"/>
      <x:c r="F220" s="30"/>
      <x:c r="G220" s="30"/>
      <x:c r="H220" s="30"/>
      <x:c r="I220" s="30"/>
      <x:c r="J220" s="34" t="n">
        <x:f>ROUND(IFERROR(AVERAGE(J205:J218),0),1)</x:f>
        <x:v>151.4</x:v>
      </x:c>
      <x:c r="K22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31" t="str">
        <x:v>合计</x:v>
      </x:c>
      <x:c r="B219" s="30" t="n">
        <x:v>14</x:v>
      </x:c>
      <x:c r="C219" s="30"/>
      <x:c r="D219" s="30"/>
      <x:c r="E219" s="30"/>
      <x:c r="F219" s="30"/>
      <x:c r="G219" s="30"/>
      <x:c r="H219" s="30"/>
      <x:c r="I219" s="30"/>
      <x:c r="J219" s="32" t="n">
        <x:f>ROUND(SUM(J205:J218),1)</x:f>
        <x:v>2022</x:v>
      </x:c>
      <x:c r="K219" s="30"/>
    </x:row>
    <x:row r="220">
      <x:c r="A220" s="31" t="str">
        <x:v>均值</x:v>
      </x:c>
      <x:c r="B220" s="30"/>
      <x:c r="C220" s="30"/>
      <x:c r="D220" s="30"/>
      <x:c r="E220" s="30"/>
      <x:c r="F220" s="30"/>
      <x:c r="G220" s="30"/>
      <x:c r="H220" s="30"/>
      <x:c r="I220" s="30"/>
      <x:c r="J220" s="34" t="n">
        <x:f>ROUND(IFERROR(AVERAGE(J205:J218),0),1)</x:f>
        <x:v>144.4</x:v>
      </x:c>
      <x:c r="K22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697.4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53.6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415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31.9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73220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5632.3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