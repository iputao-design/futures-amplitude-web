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399dba10664b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cb456890ff441af"/>
    <x:sheet xmlns:r="http://schemas.openxmlformats.org/officeDocument/2006/relationships" name="周振幅统计" sheetId="2" r:id="R262eae97e1ac4c95"/>
    <x:sheet xmlns:r="http://schemas.openxmlformats.org/officeDocument/2006/relationships" name="中证1000" sheetId="3" r:id="R4f808407be924a18"/>
    <x:sheet xmlns:r="http://schemas.openxmlformats.org/officeDocument/2006/relationships" name="中证500" sheetId="4" r:id="R6acd1ee9529d4567"/>
    <x:sheet xmlns:r="http://schemas.openxmlformats.org/officeDocument/2006/relationships" name="上证指数" sheetId="5" r:id="R73f7982626d04a50"/>
    <x:sheet xmlns:r="http://schemas.openxmlformats.org/officeDocument/2006/relationships" name="IM主力" sheetId="6" r:id="R659368b71e2c46a2"/>
    <x:sheet xmlns:r="http://schemas.openxmlformats.org/officeDocument/2006/relationships" name="IC主力" sheetId="7" r:id="R680e9c9c12ad4e49"/>
    <x:sheet xmlns:r="http://schemas.openxmlformats.org/officeDocument/2006/relationships" name="IF主力" sheetId="8" r:id="Ra225a27848004376"/>
    <x:sheet xmlns:r="http://schemas.openxmlformats.org/officeDocument/2006/relationships" name="IH主力" sheetId="9" r:id="Raea91dc667c04006"/>
    <x:sheet xmlns:r="http://schemas.openxmlformats.org/officeDocument/2006/relationships" name="碳酸锂2610" sheetId="10" r:id="Rd84e200373394e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57b0d900724e1b" /><Relationship Type="http://schemas.openxmlformats.org/officeDocument/2006/relationships/theme" Target="/xl/theme/theme1.xml" Id="R7bb60c71bf234d63" /><Relationship Type="http://schemas.openxmlformats.org/officeDocument/2006/relationships/sharedStrings" Target="/xl/sharedStrings.xml" Id="Rb81bbad309e04f20" /><Relationship Type="http://schemas.openxmlformats.org/officeDocument/2006/relationships/worksheet" Target="/xl/worksheets/sheet1.xml" Id="Rdcb456890ff441af" /><Relationship Type="http://schemas.openxmlformats.org/officeDocument/2006/relationships/worksheet" Target="/xl/worksheets/sheet2.xml" Id="R262eae97e1ac4c95" /><Relationship Type="http://schemas.openxmlformats.org/officeDocument/2006/relationships/worksheet" Target="/xl/worksheets/sheet3.xml" Id="R4f808407be924a18" /><Relationship Type="http://schemas.openxmlformats.org/officeDocument/2006/relationships/worksheet" Target="/xl/worksheets/sheet4.xml" Id="R6acd1ee9529d4567" /><Relationship Type="http://schemas.openxmlformats.org/officeDocument/2006/relationships/worksheet" Target="/xl/worksheets/sheet5.xml" Id="R73f7982626d04a50" /><Relationship Type="http://schemas.openxmlformats.org/officeDocument/2006/relationships/worksheet" Target="/xl/worksheets/sheet6.xml" Id="R659368b71e2c46a2" /><Relationship Type="http://schemas.openxmlformats.org/officeDocument/2006/relationships/worksheet" Target="/xl/worksheets/sheet7.xml" Id="R680e9c9c12ad4e49" /><Relationship Type="http://schemas.openxmlformats.org/officeDocument/2006/relationships/worksheet" Target="/xl/worksheets/sheet8.xml" Id="Ra225a27848004376" /><Relationship Type="http://schemas.openxmlformats.org/officeDocument/2006/relationships/worksheet" Target="/xl/worksheets/sheet9.xml" Id="Raea91dc667c04006" /><Relationship Type="http://schemas.openxmlformats.org/officeDocument/2006/relationships/worksheet" Target="/xl/worksheets/sheet10.xml" Id="Rd84e200373394e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178</x:v>
      </x:c>
      <x:c r="G4" s="10" t="n">
        <x:v>30999.1</x:v>
      </x:c>
      <x:c r="H4" s="10" t="n">
        <x:v>174.2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178</x:v>
      </x:c>
      <x:c r="G5" s="10" t="n">
        <x:v>30893.2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178</x:v>
      </x:c>
      <x:c r="G6" s="10" t="n">
        <x:v>8491.9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2026-09-24</x:v>
      </x:c>
      <x:c r="C7" s="10" t="n">
        <x:v>7578</x:v>
      </x:c>
      <x:c r="D7" s="10" t="n">
        <x:v>7386</x:v>
      </x:c>
      <x:c r="E7" s="12" t="n">
        <x:v>192</x:v>
      </x:c>
      <x:c r="F7" s="9" t="n">
        <x:v>178</x:v>
      </x:c>
      <x:c r="G7" s="10" t="n">
        <x:v>32994.2</x:v>
      </x:c>
      <x:c r="H7" s="10" t="n">
        <x:v>185.4</x:v>
      </x:c>
      <x:c r="I7" s="10" t="n">
        <x:v>190</x:v>
      </x:c>
    </x:row>
    <x:row r="8">
      <x:c r="A8" s="9" t="str">
        <x:v>IC主力</x:v>
      </x:c>
      <x:c r="B8" s="9" t="str">
        <x:v>2026-09-24</x:v>
      </x:c>
      <x:c r="C8" s="10" t="n">
        <x:v>7639.6</x:v>
      </x:c>
      <x:c r="D8" s="10" t="n">
        <x:v>7450</x:v>
      </x:c>
      <x:c r="E8" s="12" t="n">
        <x:v>189.6</x:v>
      </x:c>
      <x:c r="F8" s="9" t="n">
        <x:v>178</x:v>
      </x:c>
      <x:c r="G8" s="10" t="n">
        <x:v>34234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2026-09-24</x:v>
      </x:c>
      <x:c r="C9" s="10" t="n">
        <x:v>4443.6</x:v>
      </x:c>
      <x:c r="D9" s="10" t="n">
        <x:v>4367</x:v>
      </x:c>
      <x:c r="E9" s="12" t="n">
        <x:v>76.6</x:v>
      </x:c>
      <x:c r="F9" s="9" t="n">
        <x:v>178</x:v>
      </x:c>
      <x:c r="G9" s="10" t="n">
        <x:v>12815.6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178</x:v>
      </x:c>
      <x:c r="G10" s="10" t="n">
        <x:v>7130.6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178</x:v>
      </x:c>
      <x:c r="G11" s="10" t="n">
        <x:v>1426800</x:v>
      </x:c>
      <x:c r="H11" s="10" t="n">
        <x:v>8015.7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15356.6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415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9月21日-9月24日</x:v>
      </x:c>
      <x:c r="C83" s="23" t="n">
        <x:v>7829.82</x:v>
      </x:c>
      <x:c r="D83" s="23" t="n">
        <x:v>7922.62</x:v>
      </x:c>
      <x:c r="E83" s="23" t="n">
        <x:v>7624.07</x:v>
      </x:c>
      <x:c r="F83" s="23" t="n">
        <x:v>7624.07</x:v>
      </x:c>
      <x:c r="G83" s="28" t="n">
        <x:f>ROUND(F83-F82,1)</x:f>
        <x:v>-175.5</x:v>
      </x:c>
      <x:c r="H83" s="24" t="n">
        <x:f>IFERROR(F83/F82-1,"")</x:f>
        <x:v>-0.02250625351780411</x:v>
      </x:c>
      <x:c r="I83" s="26" t="n">
        <x:f>ROUND(D83-E83,1)</x:f>
        <x:v>298.6</x:v>
      </x:c>
      <x:c r="J83" s="22" t="str">
        <x:v>中证500</x:v>
      </x:c>
      <x:c r="K83" s="22" t="n">
        <x:v>4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15349.1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414.8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9月21日-9月24日</x:v>
      </x:c>
      <x:c r="C125" s="23" t="n">
        <x:v>3920.27</x:v>
      </x:c>
      <x:c r="D125" s="23" t="n">
        <x:v>3967.68</x:v>
      </x:c>
      <x:c r="E125" s="23" t="n">
        <x:v>3888.37</x:v>
      </x:c>
      <x:c r="F125" s="23" t="n">
        <x:v>3888.37</x:v>
      </x:c>
      <x:c r="G125" s="23" t="n">
        <x:f>ROUND(F125-F124,1)</x:f>
        <x:v>-23.5</x:v>
      </x:c>
      <x:c r="H125" s="24" t="n">
        <x:f>IFERROR(F125/F124-1,"")</x:f>
        <x:v>-0.00600735709519995</x:v>
      </x:c>
      <x:c r="I125" s="26" t="n">
        <x:f>ROUND(D125-E125,1)</x:f>
        <x:v>79.3</x:v>
      </x:c>
      <x:c r="J125" s="22" t="str">
        <x:v>上证指数</x:v>
      </x:c>
      <x:c r="K125" s="22" t="n">
        <x:v>4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4020.4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108.7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9月21日-9月24日</x:v>
      </x:c>
      <x:c r="C167" s="23" t="n">
        <x:v>7549</x:v>
      </x:c>
      <x:c r="D167" s="23" t="n">
        <x:v>7687</x:v>
      </x:c>
      <x:c r="E167" s="23" t="n">
        <x:v>7386</x:v>
      </x:c>
      <x:c r="F167" s="23" t="n">
        <x:v>7391</x:v>
      </x:c>
      <x:c r="G167" s="28" t="n">
        <x:f>ROUND(F167-F166,1)</x:f>
        <x:v>-288.2</x:v>
      </x:c>
      <x:c r="H167" s="24" t="n">
        <x:f>IFERROR(F167/F166-1,"")</x:f>
        <x:v>-0.03752995103656631</x:v>
      </x:c>
      <x:c r="I167" s="26" t="n">
        <x:f>ROUND(D167-E167,1)</x:f>
        <x:v>301</x:v>
      </x:c>
      <x:c r="J167" s="22" t="str">
        <x:v>IM2612</x:v>
      </x:c>
      <x:c r="K167" s="22" t="n">
        <x:v>4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16013.8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432.8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9月21日-9月24日</x:v>
      </x:c>
      <x:c r="C209" s="23" t="n">
        <x:v>7688</x:v>
      </x:c>
      <x:c r="D209" s="23" t="n">
        <x:v>7780</x:v>
      </x:c>
      <x:c r="E209" s="23" t="n">
        <x:v>7450</x:v>
      </x:c>
      <x:c r="F209" s="23" t="n">
        <x:v>7451.6</x:v>
      </x:c>
      <x:c r="G209" s="28" t="n">
        <x:f>ROUND(F209-F208,1)</x:f>
        <x:v>-338.2</x:v>
      </x:c>
      <x:c r="H209" s="24" t="n">
        <x:f>IFERROR(F209/F208-1,"")</x:f>
        <x:v>-0.04341574879971244</x:v>
      </x:c>
      <x:c r="I209" s="26" t="n">
        <x:f>ROUND(D209-E209,1)</x:f>
        <x:v>330</x:v>
      </x:c>
      <x:c r="J209" s="22" t="str">
        <x:v>IC2612</x:v>
      </x:c>
      <x:c r="K209" s="22" t="n">
        <x:v>4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16523.2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446.6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9月21日-9月24日</x:v>
      </x:c>
      <x:c r="C251" s="23" t="n">
        <x:v>4451</x:v>
      </x:c>
      <x:c r="D251" s="23" t="n">
        <x:v>4520</x:v>
      </x:c>
      <x:c r="E251" s="23" t="n">
        <x:v>4367</x:v>
      </x:c>
      <x:c r="F251" s="23" t="n">
        <x:v>4375</x:v>
      </x:c>
      <x:c r="G251" s="23" t="n">
        <x:f>ROUND(F251-F250,1)</x:f>
        <x:v>-133</x:v>
      </x:c>
      <x:c r="H251" s="24" t="n">
        <x:f>IFERROR(F251/F250-1,"")</x:f>
        <x:v>-0.029503105590062084</x:v>
      </x:c>
      <x:c r="I251" s="26" t="n">
        <x:f>ROUND(D251-E251,1)</x:f>
        <x:v>153</x:v>
      </x:c>
      <x:c r="J251" s="22" t="str">
        <x:v>IF2612</x:v>
      </x:c>
      <x:c r="K251" s="22" t="n">
        <x:v>4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5866.6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158.6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9月21日-9月24日</x:v>
      </x:c>
      <x:c r="C293" s="23" t="n">
        <x:v>2830</x:v>
      </x:c>
      <x:c r="D293" s="23" t="n">
        <x:v>2881.2</x:v>
      </x:c>
      <x:c r="E293" s="23" t="n">
        <x:v>2798</x:v>
      </x:c>
      <x:c r="F293" s="23" t="n">
        <x:v>2804.6</x:v>
      </x:c>
      <x:c r="G293" s="23" t="n">
        <x:f>ROUND(F293-F292,1)</x:f>
        <x:v>-57.6</x:v>
      </x:c>
      <x:c r="H293" s="24" t="n">
        <x:f>IFERROR(F293/F292-1,"")</x:f>
        <x:v>-0.02012437984766957</x:v>
      </x:c>
      <x:c r="I293" s="26" t="n">
        <x:f>ROUND(D293-E293,1)</x:f>
        <x:v>83.2</x:v>
      </x:c>
      <x:c r="J293" s="22" t="str">
        <x:v>IH2612</x:v>
      </x:c>
      <x:c r="K293" s="22" t="n">
        <x:v>4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3342.6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90.3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9月21日-9月24日</x:v>
      </x:c>
      <x:c r="C335" s="23" t="n">
        <x:v>128500</x:v>
      </x:c>
      <x:c r="D335" s="23" t="n">
        <x:v>136560</x:v>
      </x:c>
      <x:c r="E335" s="23" t="n">
        <x:v>125000</x:v>
      </x:c>
      <x:c r="F335" s="23" t="n">
        <x:v>125980</x:v>
      </x:c>
      <x:c r="G335" s="28" t="n">
        <x:f>ROUND(F335-F334,1)</x:f>
        <x:v>-2600</x:v>
      </x:c>
      <x:c r="H335" s="24" t="n">
        <x:f>IFERROR(F335/F334-1,"")</x:f>
        <x:v>-0.02022087416394458</x:v>
      </x:c>
      <x:c r="I335" s="26" t="n">
        <x:f>ROUND(D335-E335,1)</x:f>
        <x:v>11560</x:v>
      </x:c>
      <x:c r="J335" s="22" t="str">
        <x:v>LC2610</x:v>
      </x:c>
      <x:c r="K335" s="22" t="n">
        <x:v>4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752960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20350.3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2268.3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126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2109.5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117.2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610.8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33.9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2550.4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141.7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2489.8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138.3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929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51.6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554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30.8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108320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6017.8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