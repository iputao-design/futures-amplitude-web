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961a9c4d5a47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2def00e36934400"/>
    <x:sheet xmlns:r="http://schemas.openxmlformats.org/officeDocument/2006/relationships" name="周振幅统计" sheetId="2" r:id="Rc3fef61853824c81"/>
    <x:sheet xmlns:r="http://schemas.openxmlformats.org/officeDocument/2006/relationships" name="中证1000" sheetId="3" r:id="Rde92252bc93441dc"/>
    <x:sheet xmlns:r="http://schemas.openxmlformats.org/officeDocument/2006/relationships" name="中证500" sheetId="4" r:id="Rbeb115566d9744eb"/>
    <x:sheet xmlns:r="http://schemas.openxmlformats.org/officeDocument/2006/relationships" name="上证指数" sheetId="5" r:id="R6e480c1f62404cc6"/>
    <x:sheet xmlns:r="http://schemas.openxmlformats.org/officeDocument/2006/relationships" name="IM主力" sheetId="6" r:id="Re5198e21e4604f49"/>
    <x:sheet xmlns:r="http://schemas.openxmlformats.org/officeDocument/2006/relationships" name="IC主力" sheetId="7" r:id="R8bcd09b56c5a421b"/>
    <x:sheet xmlns:r="http://schemas.openxmlformats.org/officeDocument/2006/relationships" name="IF主力" sheetId="8" r:id="R75743e9a8b5649b4"/>
    <x:sheet xmlns:r="http://schemas.openxmlformats.org/officeDocument/2006/relationships" name="IH主力" sheetId="9" r:id="Rd6b8620b86cc4c65"/>
    <x:sheet xmlns:r="http://schemas.openxmlformats.org/officeDocument/2006/relationships" name="碳酸锂2610" sheetId="10" r:id="Rc6b7275670894a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0cdfa2cc864396" /><Relationship Type="http://schemas.openxmlformats.org/officeDocument/2006/relationships/theme" Target="/xl/theme/theme1.xml" Id="Re3e4d9d4e8944110" /><Relationship Type="http://schemas.openxmlformats.org/officeDocument/2006/relationships/sharedStrings" Target="/xl/sharedStrings.xml" Id="R9e31c0741d7149b9" /><Relationship Type="http://schemas.openxmlformats.org/officeDocument/2006/relationships/worksheet" Target="/xl/worksheets/sheet1.xml" Id="R12def00e36934400" /><Relationship Type="http://schemas.openxmlformats.org/officeDocument/2006/relationships/worksheet" Target="/xl/worksheets/sheet2.xml" Id="Rc3fef61853824c81" /><Relationship Type="http://schemas.openxmlformats.org/officeDocument/2006/relationships/worksheet" Target="/xl/worksheets/sheet3.xml" Id="Rde92252bc93441dc" /><Relationship Type="http://schemas.openxmlformats.org/officeDocument/2006/relationships/worksheet" Target="/xl/worksheets/sheet4.xml" Id="Rbeb115566d9744eb" /><Relationship Type="http://schemas.openxmlformats.org/officeDocument/2006/relationships/worksheet" Target="/xl/worksheets/sheet5.xml" Id="R6e480c1f62404cc6" /><Relationship Type="http://schemas.openxmlformats.org/officeDocument/2006/relationships/worksheet" Target="/xl/worksheets/sheet6.xml" Id="Re5198e21e4604f49" /><Relationship Type="http://schemas.openxmlformats.org/officeDocument/2006/relationships/worksheet" Target="/xl/worksheets/sheet7.xml" Id="R8bcd09b56c5a421b" /><Relationship Type="http://schemas.openxmlformats.org/officeDocument/2006/relationships/worksheet" Target="/xl/worksheets/sheet8.xml" Id="R75743e9a8b5649b4" /><Relationship Type="http://schemas.openxmlformats.org/officeDocument/2006/relationships/worksheet" Target="/xl/worksheets/sheet9.xml" Id="Rd6b8620b86cc4c65" /><Relationship Type="http://schemas.openxmlformats.org/officeDocument/2006/relationships/worksheet" Target="/xl/worksheets/sheet10.xml" Id="Rc6b7275670894a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2026-09-29</x:v>
      </x:c>
      <x:c r="C4" s="10" t="n">
        <x:v>7357.03</x:v>
      </x:c>
      <x:c r="D4" s="10" t="n">
        <x:v>7256.25</x:v>
      </x:c>
      <x:c r="E4" s="12" t="n">
        <x:v>100.8</x:v>
      </x:c>
      <x:c r="F4" s="9" t="n">
        <x:v>180</x:v>
      </x:c>
      <x:c r="G4" s="10" t="n">
        <x:v>31404.5</x:v>
      </x:c>
      <x:c r="H4" s="10" t="n">
        <x:v>174.5</x:v>
      </x:c>
      <x:c r="I4" s="10" t="n">
        <x:v>180</x:v>
      </x:c>
    </x:row>
    <x:row r="5">
      <x:c r="A5" s="9" t="str">
        <x:v>中证500</x:v>
      </x:c>
      <x:c r="B5" s="9" t="str">
        <x:v>2026-09-29</x:v>
      </x:c>
      <x:c r="C5" s="10" t="n">
        <x:v>7473.7</x:v>
      </x:c>
      <x:c r="D5" s="10" t="n">
        <x:v>7386.14</x:v>
      </x:c>
      <x:c r="E5" s="12" t="n">
        <x:v>87.6</x:v>
      </x:c>
      <x:c r="F5" s="9" t="n">
        <x:v>180</x:v>
      </x:c>
      <x:c r="G5" s="10" t="n">
        <x:v>31217.5</x:v>
      </x:c>
      <x:c r="H5" s="10" t="n">
        <x:v>173.4</x:v>
      </x:c>
      <x:c r="I5" s="10" t="n">
        <x:v>160</x:v>
      </x:c>
    </x:row>
    <x:row r="6">
      <x:c r="A6" s="9" t="str">
        <x:v>上证指数</x:v>
      </x:c>
      <x:c r="B6" s="9" t="str">
        <x:v>2026-09-29</x:v>
      </x:c>
      <x:c r="C6" s="10" t="n">
        <x:v>3843.84</x:v>
      </x:c>
      <x:c r="D6" s="10" t="n">
        <x:v>3810.81</x:v>
      </x:c>
      <x:c r="E6" s="12" t="n">
        <x:v>33</x:v>
      </x:c>
      <x:c r="F6" s="9" t="n">
        <x:v>180</x:v>
      </x:c>
      <x:c r="G6" s="10" t="n">
        <x:v>8596.6</x:v>
      </x:c>
      <x:c r="H6" s="10" t="n">
        <x:v>47.8</x:v>
      </x:c>
      <x:c r="I6" s="10" t="n">
        <x:v>50</x:v>
      </x:c>
    </x:row>
    <x:row r="7">
      <x:c r="A7" s="9" t="str">
        <x:v>IM主力</x:v>
      </x:c>
      <x:c r="B7" s="9" t="str">
        <x:v>2026-09-29</x:v>
      </x:c>
      <x:c r="C7" s="10" t="n">
        <x:v>7226.4</x:v>
      </x:c>
      <x:c r="D7" s="10" t="n">
        <x:v>7123</x:v>
      </x:c>
      <x:c r="E7" s="12" t="n">
        <x:v>103.4</x:v>
      </x:c>
      <x:c r="F7" s="9" t="n">
        <x:v>180</x:v>
      </x:c>
      <x:c r="G7" s="10" t="n">
        <x:v>33414.4</x:v>
      </x:c>
      <x:c r="H7" s="10" t="n">
        <x:v>185.6</x:v>
      </x:c>
      <x:c r="I7" s="10" t="n">
        <x:v>190</x:v>
      </x:c>
    </x:row>
    <x:row r="8">
      <x:c r="A8" s="9" t="str">
        <x:v>IC主力</x:v>
      </x:c>
      <x:c r="B8" s="9" t="str">
        <x:v>2026-09-29</x:v>
      </x:c>
      <x:c r="C8" s="10" t="n">
        <x:v>7352.8</x:v>
      </x:c>
      <x:c r="D8" s="10" t="n">
        <x:v>7238</x:v>
      </x:c>
      <x:c r="E8" s="12" t="n">
        <x:v>114.8</x:v>
      </x:c>
      <x:c r="F8" s="9" t="n">
        <x:v>180</x:v>
      </x:c>
      <x:c r="G8" s="10" t="n">
        <x:v>34621.2</x:v>
      </x:c>
      <x:c r="H8" s="10" t="n">
        <x:v>192.3</x:v>
      </x:c>
      <x:c r="I8" s="10" t="n">
        <x:v>150</x:v>
      </x:c>
    </x:row>
    <x:row r="9">
      <x:c r="A9" s="9" t="str">
        <x:v>IF主力</x:v>
      </x:c>
      <x:c r="B9" s="9" t="str">
        <x:v>2026-09-29</x:v>
      </x:c>
      <x:c r="C9" s="10" t="n">
        <x:v>4297.4</x:v>
      </x:c>
      <x:c r="D9" s="10" t="n">
        <x:v>4257.6</x:v>
      </x:c>
      <x:c r="E9" s="12" t="n">
        <x:v>39.8</x:v>
      </x:c>
      <x:c r="F9" s="9" t="n">
        <x:v>180</x:v>
      </x:c>
      <x:c r="G9" s="10" t="n">
        <x:v>12976.2</x:v>
      </x:c>
      <x:c r="H9" s="10" t="n">
        <x:v>72.1</x:v>
      </x:c>
      <x:c r="I9" s="10" t="n">
        <x:v>90</x:v>
      </x:c>
    </x:row>
    <x:row r="10">
      <x:c r="A10" s="9" t="str">
        <x:v>IH主力</x:v>
      </x:c>
      <x:c r="B10" s="9" t="str">
        <x:v>2026-09-29</x:v>
      </x:c>
      <x:c r="C10" s="10" t="n">
        <x:v>2777.8</x:v>
      </x:c>
      <x:c r="D10" s="10" t="n">
        <x:v>2752</x:v>
      </x:c>
      <x:c r="E10" s="12" t="n">
        <x:v>25.8</x:v>
      </x:c>
      <x:c r="F10" s="9" t="n">
        <x:v>180</x:v>
      </x:c>
      <x:c r="G10" s="10" t="n">
        <x:v>7214.2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2026-09-29</x:v>
      </x:c>
      <x:c r="C11" s="10" t="n">
        <x:v>122480</x:v>
      </x:c>
      <x:c r="D11" s="10" t="n">
        <x:v>118100</x:v>
      </x:c>
      <x:c r="E11" s="12" t="n">
        <x:v>4380</x:v>
      </x:c>
      <x:c r="F11" s="9" t="n">
        <x:v>180</x:v>
      </x:c>
      <x:c r="G11" s="10" t="n">
        <x:v>1436320</x:v>
      </x:c>
      <x:c r="H11" s="10" t="n">
        <x:v>7979.6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9月28日-9月29日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7325.35</x:v>
      </x:c>
      <x:c r="G42" s="28" t="n">
        <x:f>ROUND(F42-F41,1)</x:f>
        <x:v>-244.8</x:v>
      </x:c>
      <x:c r="H42" s="24" t="n">
        <x:f>IFERROR(F42/F41-1,"")</x:f>
        <x:v>-0.03233625798201878</x:v>
      </x:c>
      <x:c r="I42" s="26" t="n">
        <x:f>ROUND(D42-E42,1)</x:f>
        <x:v>304.6</x:v>
      </x:c>
      <x:c r="J42" s="22" t="str">
        <x:v>中证1000</x:v>
      </x:c>
      <x:c r="K42" s="22" t="n">
        <x:v>2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9月28日-9月29日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7439.63</x:v>
      </x:c>
      <x:c r="G85" s="28" t="n">
        <x:f>ROUND(F85-F84,1)</x:f>
        <x:v>-184.4</x:v>
      </x:c>
      <x:c r="H85" s="24" t="n">
        <x:f>IFERROR(F85/F84-1,"")</x:f>
        <x:v>-0.024191803065816475</x:v>
      </x:c>
      <x:c r="I85" s="26" t="n">
        <x:f>ROUND(D85-E85,1)</x:f>
        <x:v>236.7</x:v>
      </x:c>
      <x:c r="J85" s="22" t="str">
        <x:v>中证500</x:v>
      </x:c>
      <x:c r="K85" s="22" t="n">
        <x:v>2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9月28日-9月29日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3830.45</x:v>
      </x:c>
      <x:c r="G128" s="23" t="n">
        <x:f>ROUND(F128-F127,1)</x:f>
        <x:v>-57.9</x:v>
      </x:c>
      <x:c r="H128" s="24" t="n">
        <x:f>IFERROR(F128/F127-1,"")</x:f>
        <x:v>-0.014895701797925653</x:v>
      </x:c>
      <x:c r="I128" s="26" t="n">
        <x:f>ROUND(D128-E128,1)</x:f>
        <x:v>71.7</x:v>
      </x:c>
      <x:c r="J128" s="22" t="str">
        <x:v>上证指数</x:v>
      </x:c>
      <x:c r="K128" s="22" t="n">
        <x:v>2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9月28日-9月29日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7191.2</x:v>
      </x:c>
      <x:c r="G171" s="28" t="n">
        <x:f>ROUND(F171-F170,1)</x:f>
        <x:v>-199.8</x:v>
      </x:c>
      <x:c r="H171" s="24" t="n">
        <x:f>IFERROR(F171/F170-1,"")</x:f>
        <x:v>-0.02703287782438102</x:v>
      </x:c>
      <x:c r="I171" s="26" t="n">
        <x:f>ROUND(D171-E171,1)</x:f>
        <x:v>316.8</x:v>
      </x:c>
      <x:c r="J171" s="22" t="str">
        <x:v>IM2612</x:v>
      </x:c>
      <x:c r="K171" s="22" t="n">
        <x:v>2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9月28日-9月29日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7309.6</x:v>
      </x:c>
      <x:c r="G214" s="23" t="n">
        <x:f>ROUND(F214-F213,1)</x:f>
        <x:v>-142</x:v>
      </x:c>
      <x:c r="H214" s="24" t="n">
        <x:f>IFERROR(F214/F213-1,"")</x:f>
        <x:v>-0.019056310054216596</x:v>
      </x:c>
      <x:c r="I214" s="26" t="n">
        <x:f>ROUND(D214-E214,1)</x:f>
        <x:v>272.4</x:v>
      </x:c>
      <x:c r="J214" s="22" t="str">
        <x:v>IC2612</x:v>
      </x:c>
      <x:c r="K214" s="22" t="n">
        <x:v>2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9月28日-9月29日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4277.2</x:v>
      </x:c>
      <x:c r="G257" s="23" t="n">
        <x:f>ROUND(F257-F256,1)</x:f>
        <x:v>-97.8</x:v>
      </x:c>
      <x:c r="H257" s="24" t="n">
        <x:f>IFERROR(F257/F256-1,"")</x:f>
        <x:v>-0.02235428571428577</x:v>
      </x:c>
      <x:c r="I257" s="26" t="n">
        <x:f>ROUND(D257-E257,1)</x:f>
        <x:v>120.8</x:v>
      </x:c>
      <x:c r="J257" s="22" t="str">
        <x:v>IF2612</x:v>
      </x:c>
      <x:c r="K257" s="22" t="n">
        <x:v>2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9月28日-9月29日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2763.6</x:v>
      </x:c>
      <x:c r="G300" s="23" t="n">
        <x:f>ROUND(F300-F299,1)</x:f>
        <x:v>-41</x:v>
      </x:c>
      <x:c r="H300" s="24" t="n">
        <x:f>IFERROR(F300/F299-1,"")</x:f>
        <x:v>-0.014618840476360306</x:v>
      </x:c>
      <x:c r="I300" s="23" t="n">
        <x:f>ROUND(D300-E300,1)</x:f>
        <x:v>57.8</x:v>
      </x:c>
      <x:c r="J300" s="22" t="str">
        <x:v>IH2612</x:v>
      </x:c>
      <x:c r="K300" s="22" t="n">
        <x:v>2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9月28日-9月29日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120000</x:v>
      </x:c>
      <x:c r="G343" s="28" t="n">
        <x:f>ROUND(F343-F342,1)</x:f>
        <x:v>-5980</x:v>
      </x:c>
      <x:c r="H343" s="24" t="n">
        <x:f>IFERROR(F343/F342-1,"")</x:f>
        <x:v>-0.047467852040006364</x:v>
      </x:c>
      <x:c r="I343" s="26" t="n">
        <x:f>ROUND(D343-E343,1)</x:f>
        <x:v>6560</x:v>
      </x:c>
      <x:c r="J343" s="22" t="str">
        <x:v>LC2610</x:v>
      </x:c>
      <x:c r="K343" s="22" t="n">
        <x:v>2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2673.7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133.7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2433.8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121.7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715.5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35.8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2970.6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148.5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2877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143.9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1089.6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54.5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637.6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31.9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117840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5892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