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ecb466410a41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710356e4437401f"/>
    <x:sheet xmlns:r="http://schemas.openxmlformats.org/officeDocument/2006/relationships" name="周振幅统计" sheetId="2" r:id="R55f79af1654942ef"/>
    <x:sheet xmlns:r="http://schemas.openxmlformats.org/officeDocument/2006/relationships" name="中证1000" sheetId="3" r:id="R4cf3af400c664dfa"/>
    <x:sheet xmlns:r="http://schemas.openxmlformats.org/officeDocument/2006/relationships" name="中证500" sheetId="4" r:id="R0506a1e8871f433d"/>
    <x:sheet xmlns:r="http://schemas.openxmlformats.org/officeDocument/2006/relationships" name="上证指数" sheetId="5" r:id="Ra696e6eba7fe4639"/>
    <x:sheet xmlns:r="http://schemas.openxmlformats.org/officeDocument/2006/relationships" name="IM主力" sheetId="6" r:id="Re4b2e2ce1a1f43d8"/>
    <x:sheet xmlns:r="http://schemas.openxmlformats.org/officeDocument/2006/relationships" name="IC主力" sheetId="7" r:id="R07211a705e97432e"/>
    <x:sheet xmlns:r="http://schemas.openxmlformats.org/officeDocument/2006/relationships" name="IF主力" sheetId="8" r:id="R1fbc1da3469b4c00"/>
    <x:sheet xmlns:r="http://schemas.openxmlformats.org/officeDocument/2006/relationships" name="IH主力" sheetId="9" r:id="R6878e56b43f546f2"/>
    <x:sheet xmlns:r="http://schemas.openxmlformats.org/officeDocument/2006/relationships" name="碳酸锂2610" sheetId="10" r:id="R36c6b102308342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aa76188f4b46c9" /><Relationship Type="http://schemas.openxmlformats.org/officeDocument/2006/relationships/theme" Target="/xl/theme/theme1.xml" Id="R8c96c72208a24216" /><Relationship Type="http://schemas.openxmlformats.org/officeDocument/2006/relationships/sharedStrings" Target="/xl/sharedStrings.xml" Id="R74d0d1cec13842a9" /><Relationship Type="http://schemas.openxmlformats.org/officeDocument/2006/relationships/worksheet" Target="/xl/worksheets/sheet1.xml" Id="R2710356e4437401f" /><Relationship Type="http://schemas.openxmlformats.org/officeDocument/2006/relationships/worksheet" Target="/xl/worksheets/sheet2.xml" Id="R55f79af1654942ef" /><Relationship Type="http://schemas.openxmlformats.org/officeDocument/2006/relationships/worksheet" Target="/xl/worksheets/sheet3.xml" Id="R4cf3af400c664dfa" /><Relationship Type="http://schemas.openxmlformats.org/officeDocument/2006/relationships/worksheet" Target="/xl/worksheets/sheet4.xml" Id="R0506a1e8871f433d" /><Relationship Type="http://schemas.openxmlformats.org/officeDocument/2006/relationships/worksheet" Target="/xl/worksheets/sheet5.xml" Id="Ra696e6eba7fe4639" /><Relationship Type="http://schemas.openxmlformats.org/officeDocument/2006/relationships/worksheet" Target="/xl/worksheets/sheet6.xml" Id="Re4b2e2ce1a1f43d8" /><Relationship Type="http://schemas.openxmlformats.org/officeDocument/2006/relationships/worksheet" Target="/xl/worksheets/sheet7.xml" Id="R07211a705e97432e" /><Relationship Type="http://schemas.openxmlformats.org/officeDocument/2006/relationships/worksheet" Target="/xl/worksheets/sheet8.xml" Id="R1fbc1da3469b4c00" /><Relationship Type="http://schemas.openxmlformats.org/officeDocument/2006/relationships/worksheet" Target="/xl/worksheets/sheet9.xml" Id="R6878e56b43f546f2" /><Relationship Type="http://schemas.openxmlformats.org/officeDocument/2006/relationships/worksheet" Target="/xl/worksheets/sheet10.xml" Id="R36c6b102308342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2026-09-28</x:v>
      </x:c>
      <x:c r="C4" s="10" t="n">
        <x:v>7551.22</x:v>
      </x:c>
      <x:c r="D4" s="10" t="n">
        <x:v>7246.61</x:v>
      </x:c>
      <x:c r="E4" s="12" t="n">
        <x:v>304.6</x:v>
      </x:c>
      <x:c r="F4" s="9" t="n">
        <x:v>179</x:v>
      </x:c>
      <x:c r="G4" s="10" t="n">
        <x:v>31303.7</x:v>
      </x:c>
      <x:c r="H4" s="10" t="n">
        <x:v>174.9</x:v>
      </x:c>
      <x:c r="I4" s="10" t="n">
        <x:v>180</x:v>
      </x:c>
    </x:row>
    <x:row r="5">
      <x:c r="A5" s="9" t="str">
        <x:v>中证500</x:v>
      </x:c>
      <x:c r="B5" s="9" t="str">
        <x:v>2026-09-28</x:v>
      </x:c>
      <x:c r="C5" s="10" t="n">
        <x:v>7601.09</x:v>
      </x:c>
      <x:c r="D5" s="10" t="n">
        <x:v>7364.43</x:v>
      </x:c>
      <x:c r="E5" s="12" t="n">
        <x:v>236.7</x:v>
      </x:c>
      <x:c r="F5" s="9" t="n">
        <x:v>179</x:v>
      </x:c>
      <x:c r="G5" s="10" t="n">
        <x:v>31129.9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2026-09-28</x:v>
      </x:c>
      <x:c r="C6" s="10" t="n">
        <x:v>3878.41</x:v>
      </x:c>
      <x:c r="D6" s="10" t="n">
        <x:v>3806.67</x:v>
      </x:c>
      <x:c r="E6" s="12" t="n">
        <x:v>71.7</x:v>
      </x:c>
      <x:c r="F6" s="9" t="n">
        <x:v>179</x:v>
      </x:c>
      <x:c r="G6" s="10" t="n">
        <x:v>8563.6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2026-09-28</x:v>
      </x:c>
      <x:c r="C7" s="10" t="n">
        <x:v>7393</x:v>
      </x:c>
      <x:c r="D7" s="10" t="n">
        <x:v>7076.2</x:v>
      </x:c>
      <x:c r="E7" s="12" t="n">
        <x:v>316.8</x:v>
      </x:c>
      <x:c r="F7" s="9" t="n">
        <x:v>179</x:v>
      </x:c>
      <x:c r="G7" s="10" t="n">
        <x:v>33311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179</x:v>
      </x:c>
      <x:c r="G8" s="10" t="n">
        <x:v>34506.4</x:v>
      </x:c>
      <x:c r="H8" s="10" t="n">
        <x:v>192.8</x:v>
      </x:c>
      <x:c r="I8" s="10" t="n">
        <x:v>150</x:v>
      </x:c>
    </x:row>
    <x:row r="9">
      <x:c r="A9" s="9" t="str">
        <x:v>IF主力</x:v>
      </x:c>
      <x:c r="B9" s="9" t="str">
        <x:v>2026-09-28</x:v>
      </x:c>
      <x:c r="C9" s="10" t="n">
        <x:v>4366.8</x:v>
      </x:c>
      <x:c r="D9" s="10" t="n">
        <x:v>4246</x:v>
      </x:c>
      <x:c r="E9" s="12" t="n">
        <x:v>120.8</x:v>
      </x:c>
      <x:c r="F9" s="9" t="n">
        <x:v>179</x:v>
      </x:c>
      <x:c r="G9" s="10" t="n">
        <x:v>12936.4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2026-09-28</x:v>
      </x:c>
      <x:c r="C10" s="10" t="n">
        <x:v>2803.8</x:v>
      </x:c>
      <x:c r="D10" s="10" t="n">
        <x:v>2746</x:v>
      </x:c>
      <x:c r="E10" s="12" t="n">
        <x:v>57.8</x:v>
      </x:c>
      <x:c r="F10" s="9" t="n">
        <x:v>179</x:v>
      </x:c>
      <x:c r="G10" s="10" t="n">
        <x:v>7188.4</x:v>
      </x:c>
      <x:c r="H10" s="10" t="n">
        <x:v>40.2</x:v>
      </x:c>
      <x:c r="I10" s="10" t="n">
        <x:v>60</x:v>
      </x:c>
    </x:row>
    <x:row r="11">
      <x:c r="A11" s="9" t="str">
        <x:v>碳酸锂2610</x:v>
      </x:c>
      <x:c r="B11" s="9" t="str">
        <x:v>2026-09-28</x:v>
      </x:c>
      <x:c r="C11" s="10" t="n">
        <x:v>124660</x:v>
      </x:c>
      <x:c r="D11" s="10" t="n">
        <x:v>119520</x:v>
      </x:c>
      <x:c r="E11" s="12" t="n">
        <x:v>5140</x:v>
      </x:c>
      <x:c r="F11" s="9" t="n">
        <x:v>179</x:v>
      </x:c>
      <x:c r="G11" s="10" t="n">
        <x:v>1431940</x:v>
      </x:c>
      <x:c r="H11" s="10" t="n">
        <x:v>7999.7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7294.17</x:v>
      </x:c>
      <x:c r="G42" s="28" t="n">
        <x:f>ROUND(F42-F41,1)</x:f>
        <x:v>-276</x:v>
      </x:c>
      <x:c r="H42" s="24" t="n">
        <x:f>IFERROR(F42/F41-1,"")</x:f>
        <x:v>-0.0364550721651119</x:v>
      </x:c>
      <x:c r="I42" s="26" t="n">
        <x:f>ROUND(D42-E42,1)</x:f>
        <x:v>304.6</x:v>
      </x:c>
      <x:c r="J42" s="22" t="str">
        <x:v>中证1000</x:v>
      </x:c>
      <x:c r="K42" s="22" t="n">
        <x:v>1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7402.3</x:v>
      </x:c>
      <x:c r="G85" s="28" t="n">
        <x:f>ROUND(F85-F84,1)</x:f>
        <x:v>-221.8</x:v>
      </x:c>
      <x:c r="H85" s="24" t="n">
        <x:f>IFERROR(F85/F84-1,"")</x:f>
        <x:v>-0.029088137963056426</x:v>
      </x:c>
      <x:c r="I85" s="26" t="n">
        <x:f>ROUND(D85-E85,1)</x:f>
        <x:v>236.7</x:v>
      </x:c>
      <x:c r="J85" s="22" t="str">
        <x:v>中证500</x:v>
      </x:c>
      <x:c r="K85" s="22" t="n">
        <x:v>1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3823.62</x:v>
      </x:c>
      <x:c r="G128" s="23" t="n">
        <x:f>ROUND(F128-F127,1)</x:f>
        <x:v>-64.7</x:v>
      </x:c>
      <x:c r="H128" s="24" t="n">
        <x:f>IFERROR(F128/F127-1,"")</x:f>
        <x:v>-0.016652221882176854</x:v>
      </x:c>
      <x:c r="I128" s="26" t="n">
        <x:f>ROUND(D128-E128,1)</x:f>
        <x:v>71.7</x:v>
      </x:c>
      <x:c r="J128" s="22" t="str">
        <x:v>上证指数</x:v>
      </x:c>
      <x:c r="K128" s="22" t="n">
        <x:v>1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7157.2</x:v>
      </x:c>
      <x:c r="G171" s="28" t="n">
        <x:f>ROUND(F171-F170,1)</x:f>
        <x:v>-233.8</x:v>
      </x:c>
      <x:c r="H171" s="24" t="n">
        <x:f>IFERROR(F171/F170-1,"")</x:f>
        <x:v>-0.03163306724394532</x:v>
      </x:c>
      <x:c r="I171" s="26" t="n">
        <x:f>ROUND(D171-E171,1)</x:f>
        <x:v>316.8</x:v>
      </x:c>
      <x:c r="J171" s="22" t="str">
        <x:v>IM2612</x:v>
      </x:c>
      <x:c r="K171" s="22" t="n">
        <x:v>1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7270</x:v>
      </x:c>
      <x:c r="G214" s="28" t="n">
        <x:f>ROUND(F214-F213,1)</x:f>
        <x:v>-181.6</x:v>
      </x:c>
      <x:c r="H214" s="24" t="n">
        <x:f>IFERROR(F214/F213-1,"")</x:f>
        <x:v>-0.024370604970744614</x:v>
      </x:c>
      <x:c r="I214" s="26" t="n">
        <x:f>ROUND(D214-E214,1)</x:f>
        <x:v>272.4</x:v>
      </x:c>
      <x:c r="J214" s="22" t="str">
        <x:v>IC2612</x:v>
      </x:c>
      <x:c r="K214" s="22" t="n">
        <x:v>1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4280.8</x:v>
      </x:c>
      <x:c r="G257" s="23" t="n">
        <x:f>ROUND(F257-F256,1)</x:f>
        <x:v>-94.2</x:v>
      </x:c>
      <x:c r="H257" s="24" t="n">
        <x:f>IFERROR(F257/F256-1,"")</x:f>
        <x:v>-0.021531428571428535</x:v>
      </x:c>
      <x:c r="I257" s="26" t="n">
        <x:f>ROUND(D257-E257,1)</x:f>
        <x:v>120.8</x:v>
      </x:c>
      <x:c r="J257" s="22" t="str">
        <x:v>IF2612</x:v>
      </x:c>
      <x:c r="K257" s="22" t="n">
        <x:v>1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2770.2</x:v>
      </x:c>
      <x:c r="G300" s="23" t="n">
        <x:f>ROUND(F300-F299,1)</x:f>
        <x:v>-34.4</x:v>
      </x:c>
      <x:c r="H300" s="24" t="n">
        <x:f>IFERROR(F300/F299-1,"")</x:f>
        <x:v>-0.012265563716751138</x:v>
      </x:c>
      <x:c r="I300" s="23" t="n">
        <x:f>ROUND(D300-E300,1)</x:f>
        <x:v>57.8</x:v>
      </x:c>
      <x:c r="J300" s="22" t="str">
        <x:v>IH2612</x:v>
      </x:c>
      <x:c r="K300" s="22" t="n">
        <x:v>1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</x:v>
      </x:c>
      <x:c r="C343" s="23" t="n">
        <x:v>124280</x:v>
      </x:c>
      <x:c r="D343" s="23" t="n">
        <x:v>124660</x:v>
      </x:c>
      <x:c r="E343" s="23" t="n">
        <x:v>119520</x:v>
      </x:c>
      <x:c r="F343" s="23" t="n">
        <x:v>119980</x:v>
      </x:c>
      <x:c r="G343" s="28" t="n">
        <x:f>ROUND(F343-F342,1)</x:f>
        <x:v>-6000</x:v>
      </x:c>
      <x:c r="H343" s="24" t="n">
        <x:f>IFERROR(F343/F342-1,"")</x:f>
        <x:v>-0.04762660739799973</x:v>
      </x:c>
      <x:c r="I343" s="23" t="n">
        <x:f>ROUND(D343-E343,1)</x:f>
        <x:v>5140</x:v>
      </x:c>
      <x:c r="J343" s="22" t="str">
        <x:v>LC2610</x:v>
      </x:c>
      <x:c r="K343" s="22" t="n">
        <x:v>1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758100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19950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2572.9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135.4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2346.2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123.5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682.5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35.9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2867.2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150.9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2762.2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145.4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1049.8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55.3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611.8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32.2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113460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5971.6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