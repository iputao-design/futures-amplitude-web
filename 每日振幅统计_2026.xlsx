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1dc9aac0e941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650e05079204ad9"/>
    <x:sheet xmlns:r="http://schemas.openxmlformats.org/officeDocument/2006/relationships" name="周振幅统计" sheetId="2" r:id="R874be54d830c4e7a"/>
    <x:sheet xmlns:r="http://schemas.openxmlformats.org/officeDocument/2006/relationships" name="中证1000" sheetId="3" r:id="Rb129a578ee2e42da"/>
    <x:sheet xmlns:r="http://schemas.openxmlformats.org/officeDocument/2006/relationships" name="中证500" sheetId="4" r:id="R7b1be81a4e444eba"/>
    <x:sheet xmlns:r="http://schemas.openxmlformats.org/officeDocument/2006/relationships" name="上证指数" sheetId="5" r:id="R6215700ee10143cb"/>
    <x:sheet xmlns:r="http://schemas.openxmlformats.org/officeDocument/2006/relationships" name="IM主力" sheetId="6" r:id="R232cb4b144334234"/>
    <x:sheet xmlns:r="http://schemas.openxmlformats.org/officeDocument/2006/relationships" name="IC主力" sheetId="7" r:id="R32a2ae6b60414481"/>
    <x:sheet xmlns:r="http://schemas.openxmlformats.org/officeDocument/2006/relationships" name="IF主力" sheetId="8" r:id="R4291aa1f3c204d0b"/>
    <x:sheet xmlns:r="http://schemas.openxmlformats.org/officeDocument/2006/relationships" name="IH主力" sheetId="9" r:id="Ra747a87a2b584290"/>
    <x:sheet xmlns:r="http://schemas.openxmlformats.org/officeDocument/2006/relationships" name="碳酸锂2610" sheetId="10" r:id="R9e3bebe03b9647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ea665bddf144a7" /><Relationship Type="http://schemas.openxmlformats.org/officeDocument/2006/relationships/theme" Target="/xl/theme/theme1.xml" Id="R0f361641f8e64eea" /><Relationship Type="http://schemas.openxmlformats.org/officeDocument/2006/relationships/sharedStrings" Target="/xl/sharedStrings.xml" Id="Reb026305d510432b" /><Relationship Type="http://schemas.openxmlformats.org/officeDocument/2006/relationships/worksheet" Target="/xl/worksheets/sheet1.xml" Id="Rf650e05079204ad9" /><Relationship Type="http://schemas.openxmlformats.org/officeDocument/2006/relationships/worksheet" Target="/xl/worksheets/sheet2.xml" Id="R874be54d830c4e7a" /><Relationship Type="http://schemas.openxmlformats.org/officeDocument/2006/relationships/worksheet" Target="/xl/worksheets/sheet3.xml" Id="Rb129a578ee2e42da" /><Relationship Type="http://schemas.openxmlformats.org/officeDocument/2006/relationships/worksheet" Target="/xl/worksheets/sheet4.xml" Id="R7b1be81a4e444eba" /><Relationship Type="http://schemas.openxmlformats.org/officeDocument/2006/relationships/worksheet" Target="/xl/worksheets/sheet5.xml" Id="R6215700ee10143cb" /><Relationship Type="http://schemas.openxmlformats.org/officeDocument/2006/relationships/worksheet" Target="/xl/worksheets/sheet6.xml" Id="R232cb4b144334234" /><Relationship Type="http://schemas.openxmlformats.org/officeDocument/2006/relationships/worksheet" Target="/xl/worksheets/sheet7.xml" Id="R32a2ae6b60414481" /><Relationship Type="http://schemas.openxmlformats.org/officeDocument/2006/relationships/worksheet" Target="/xl/worksheets/sheet8.xml" Id="R4291aa1f3c204d0b" /><Relationship Type="http://schemas.openxmlformats.org/officeDocument/2006/relationships/worksheet" Target="/xl/worksheets/sheet9.xml" Id="Ra747a87a2b584290" /><Relationship Type="http://schemas.openxmlformats.org/officeDocument/2006/relationships/worksheet" Target="/xl/worksheets/sheet10.xml" Id="R9e3bebe03b9647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2026-09-29</x:v>
      </x:c>
      <x:c r="C9" s="10" t="n">
        <x:v>4297.4</x:v>
      </x:c>
      <x:c r="D9" s="10" t="n">
        <x:v>4257.6</x:v>
      </x:c>
      <x:c r="E9" s="12" t="n">
        <x:v>39.8</x:v>
      </x:c>
      <x:c r="F9" s="9" t="n">
        <x:v>180</x:v>
      </x:c>
      <x:c r="G9" s="10" t="n">
        <x:v>12976.2</x:v>
      </x:c>
      <x:c r="H9" s="10" t="n">
        <x:v>72.1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2026-09-29</x:v>
      </x:c>
      <x:c r="C11" s="10" t="n">
        <x:v>122480</x:v>
      </x:c>
      <x:c r="D11" s="10" t="n">
        <x:v>118100</x:v>
      </x:c>
      <x:c r="E11" s="12" t="n">
        <x:v>4380</x:v>
      </x:c>
      <x:c r="F11" s="9" t="n">
        <x:v>180</x:v>
      </x:c>
      <x:c r="G11" s="10" t="n">
        <x:v>1436320</x:v>
      </x:c>
      <x:c r="H11" s="10" t="n">
        <x:v>7979.6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9月28日-9月29日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4277.2</x:v>
      </x:c>
      <x:c r="G257" s="23" t="n">
        <x:f>ROUND(F257-F256,1)</x:f>
        <x:v>-97.8</x:v>
      </x:c>
      <x:c r="H257" s="24" t="n">
        <x:f>IFERROR(F257/F256-1,"")</x:f>
        <x:v>-0.02235428571428577</x:v>
      </x:c>
      <x:c r="I257" s="26" t="n">
        <x:f>ROUND(D257-E257,1)</x:f>
        <x:v>120.8</x:v>
      </x:c>
      <x:c r="J257" s="22" t="str">
        <x:v>IF2612</x:v>
      </x:c>
      <x:c r="K257" s="22" t="n">
        <x:v>2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9月28日-9月29日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120000</x:v>
      </x:c>
      <x:c r="G343" s="28" t="n">
        <x:f>ROUND(F343-F342,1)</x:f>
        <x:v>-5980</x:v>
      </x:c>
      <x:c r="H343" s="24" t="n">
        <x:f>IFERROR(F343/F342-1,"")</x:f>
        <x:v>-0.047467852040006364</x:v>
      </x:c>
      <x:c r="I343" s="26" t="n">
        <x:f>ROUND(D343-E343,1)</x:f>
        <x:v>6560</x:v>
      </x:c>
      <x:c r="J343" s="22" t="str">
        <x:v>LC2610</x:v>
      </x:c>
      <x:c r="K343" s="22" t="n">
        <x:v>2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1089.6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54.5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117840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5892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