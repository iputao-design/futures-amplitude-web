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a302541a4b45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6a16cfa49fd4716"/>
    <x:sheet xmlns:r="http://schemas.openxmlformats.org/officeDocument/2006/relationships" name="周振幅统计" sheetId="2" r:id="Rc71cd848c13b4aa0"/>
    <x:sheet xmlns:r="http://schemas.openxmlformats.org/officeDocument/2006/relationships" name="中证1000" sheetId="3" r:id="R12ba8364187a43fc"/>
    <x:sheet xmlns:r="http://schemas.openxmlformats.org/officeDocument/2006/relationships" name="中证500" sheetId="4" r:id="Rae60081141b14f9d"/>
    <x:sheet xmlns:r="http://schemas.openxmlformats.org/officeDocument/2006/relationships" name="上证指数" sheetId="5" r:id="R7fdb02014cc84d48"/>
    <x:sheet xmlns:r="http://schemas.openxmlformats.org/officeDocument/2006/relationships" name="IM主力" sheetId="6" r:id="Rdd7b1cf67f014b69"/>
    <x:sheet xmlns:r="http://schemas.openxmlformats.org/officeDocument/2006/relationships" name="IC主力" sheetId="7" r:id="Rabc756f410754d9e"/>
    <x:sheet xmlns:r="http://schemas.openxmlformats.org/officeDocument/2006/relationships" name="IF主力" sheetId="8" r:id="R6c51a023cbfd4887"/>
    <x:sheet xmlns:r="http://schemas.openxmlformats.org/officeDocument/2006/relationships" name="IH主力" sheetId="9" r:id="R30a6c641a9344047"/>
    <x:sheet xmlns:r="http://schemas.openxmlformats.org/officeDocument/2006/relationships" name="碳酸锂2609" sheetId="10" r:id="R51042800ba044c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3f2d4108704465" /><Relationship Type="http://schemas.openxmlformats.org/officeDocument/2006/relationships/theme" Target="/xl/theme/theme1.xml" Id="R834de98bfb874afe" /><Relationship Type="http://schemas.openxmlformats.org/officeDocument/2006/relationships/sharedStrings" Target="/xl/sharedStrings.xml" Id="R0b9ed6e2502d4ef5" /><Relationship Type="http://schemas.openxmlformats.org/officeDocument/2006/relationships/worksheet" Target="/xl/worksheets/sheet1.xml" Id="Re6a16cfa49fd4716" /><Relationship Type="http://schemas.openxmlformats.org/officeDocument/2006/relationships/worksheet" Target="/xl/worksheets/sheet2.xml" Id="Rc71cd848c13b4aa0" /><Relationship Type="http://schemas.openxmlformats.org/officeDocument/2006/relationships/worksheet" Target="/xl/worksheets/sheet3.xml" Id="R12ba8364187a43fc" /><Relationship Type="http://schemas.openxmlformats.org/officeDocument/2006/relationships/worksheet" Target="/xl/worksheets/sheet4.xml" Id="Rae60081141b14f9d" /><Relationship Type="http://schemas.openxmlformats.org/officeDocument/2006/relationships/worksheet" Target="/xl/worksheets/sheet5.xml" Id="R7fdb02014cc84d48" /><Relationship Type="http://schemas.openxmlformats.org/officeDocument/2006/relationships/worksheet" Target="/xl/worksheets/sheet6.xml" Id="Rdd7b1cf67f014b69" /><Relationship Type="http://schemas.openxmlformats.org/officeDocument/2006/relationships/worksheet" Target="/xl/worksheets/sheet7.xml" Id="Rabc756f410754d9e" /><Relationship Type="http://schemas.openxmlformats.org/officeDocument/2006/relationships/worksheet" Target="/xl/worksheets/sheet8.xml" Id="R6c51a023cbfd4887" /><Relationship Type="http://schemas.openxmlformats.org/officeDocument/2006/relationships/worksheet" Target="/xl/worksheets/sheet9.xml" Id="R30a6c641a9344047" /><Relationship Type="http://schemas.openxmlformats.org/officeDocument/2006/relationships/worksheet" Target="/xl/worksheets/sheet10.xml" Id="R51042800ba044ca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2026-08-19</x:v>
      </x:c>
      <x:c r="C4" s="10" t="n">
        <x:v>7821.18</x:v>
      </x:c>
      <x:c r="D4" s="10" t="n">
        <x:v>7490.21</x:v>
      </x:c>
      <x:c r="E4" s="12" t="n">
        <x:v>331</x:v>
      </x:c>
      <x:c r="F4" s="9" t="n">
        <x:v>152</x:v>
      </x:c>
      <x:c r="G4" s="10" t="n">
        <x:v>27386.5</x:v>
      </x:c>
      <x:c r="H4" s="10" t="n">
        <x:v>180.2</x:v>
      </x:c>
      <x:c r="I4" s="10" t="n">
        <x:v>180</x:v>
      </x:c>
    </x:row>
    <x:row r="5">
      <x:c r="A5" s="9" t="str">
        <x:v>中证500</x:v>
      </x:c>
      <x:c r="B5" s="9" t="str">
        <x:v>2026-08-19</x:v>
      </x:c>
      <x:c r="C5" s="10" t="n">
        <x:v>8050.08</x:v>
      </x:c>
      <x:c r="D5" s="10" t="n">
        <x:v>7762.29</x:v>
      </x:c>
      <x:c r="E5" s="12" t="n">
        <x:v>287.8</x:v>
      </x:c>
      <x:c r="F5" s="9" t="n">
        <x:v>152</x:v>
      </x:c>
      <x:c r="G5" s="10" t="n">
        <x:v>27497.8</x:v>
      </x:c>
      <x:c r="H5" s="10" t="n">
        <x:v>180.9</x:v>
      </x:c>
      <x:c r="I5" s="10" t="n">
        <x:v>160</x:v>
      </x:c>
    </x:row>
    <x:row r="6">
      <x:c r="A6" s="9" t="str">
        <x:v>上证指数</x:v>
      </x:c>
      <x:c r="B6" s="9" t="str">
        <x:v>2026-08-19</x:v>
      </x:c>
      <x:c r="C6" s="10" t="n">
        <x:v>3961.14</x:v>
      </x:c>
      <x:c r="D6" s="10" t="n">
        <x:v>3879.58</x:v>
      </x:c>
      <x:c r="E6" s="12" t="n">
        <x:v>81.6</x:v>
      </x:c>
      <x:c r="F6" s="9" t="n">
        <x:v>152</x:v>
      </x:c>
      <x:c r="G6" s="10" t="n">
        <x:v>7539.9</x:v>
      </x:c>
      <x:c r="H6" s="10" t="n">
        <x:v>49.6</x:v>
      </x:c>
      <x:c r="I6" s="10" t="n">
        <x:v>50</x:v>
      </x:c>
    </x:row>
    <x:row r="7">
      <x:c r="A7" s="9" t="str">
        <x:v>IM主力</x:v>
      </x:c>
      <x:c r="B7" s="9" t="str">
        <x:v>2026-08-19</x:v>
      </x:c>
      <x:c r="C7" s="10" t="n">
        <x:v>7734.6</x:v>
      </x:c>
      <x:c r="D7" s="10" t="n">
        <x:v>7430</x:v>
      </x:c>
      <x:c r="E7" s="12" t="n">
        <x:v>304.6</x:v>
      </x:c>
      <x:c r="F7" s="9" t="n">
        <x:v>152</x:v>
      </x:c>
      <x:c r="G7" s="10" t="n">
        <x:v>29058.8</x:v>
      </x:c>
      <x:c r="H7" s="10" t="n">
        <x:v>191.2</x:v>
      </x:c>
      <x:c r="I7" s="10" t="n">
        <x:v>190</x:v>
      </x:c>
    </x:row>
    <x:row r="8">
      <x:c r="A8" s="9" t="str">
        <x:v>IC主力</x:v>
      </x:c>
      <x:c r="B8" s="9" t="str">
        <x:v>2026-08-19</x:v>
      </x:c>
      <x:c r="C8" s="10" t="n">
        <x:v>7939.8</x:v>
      </x:c>
      <x:c r="D8" s="10" t="n">
        <x:v>7680.2</x:v>
      </x:c>
      <x:c r="E8" s="12" t="n">
        <x:v>259.6</x:v>
      </x:c>
      <x:c r="F8" s="9" t="n">
        <x:v>152</x:v>
      </x:c>
      <x:c r="G8" s="10" t="n">
        <x:v>30381.6</x:v>
      </x:c>
      <x:c r="H8" s="10" t="n">
        <x:v>199.9</x:v>
      </x:c>
      <x:c r="I8" s="10" t="n">
        <x:v>150</x:v>
      </x:c>
    </x:row>
    <x:row r="9">
      <x:c r="A9" s="9" t="str">
        <x:v>IF主力</x:v>
      </x:c>
      <x:c r="B9" s="9" t="str">
        <x:v>2026-08-19</x:v>
      </x:c>
      <x:c r="C9" s="10" t="n">
        <x:v>4624.2</x:v>
      </x:c>
      <x:c r="D9" s="10" t="n">
        <x:v>4531.8</x:v>
      </x:c>
      <x:c r="E9" s="12" t="n">
        <x:v>92.4</x:v>
      </x:c>
      <x:c r="F9" s="9" t="n">
        <x:v>152</x:v>
      </x:c>
      <x:c r="G9" s="10" t="n">
        <x:v>11367.6</x:v>
      </x:c>
      <x:c r="H9" s="10" t="n">
        <x:v>74.8</x:v>
      </x:c>
      <x:c r="I9" s="10" t="n">
        <x:v>90</x:v>
      </x:c>
    </x:row>
    <x:row r="10">
      <x:c r="A10" s="9" t="str">
        <x:v>IH主力</x:v>
      </x:c>
      <x:c r="B10" s="9" t="str">
        <x:v>2026-08-19</x:v>
      </x:c>
      <x:c r="C10" s="10" t="n">
        <x:v>2892.8</x:v>
      </x:c>
      <x:c r="D10" s="10" t="n">
        <x:v>2843</x:v>
      </x:c>
      <x:c r="E10" s="12" t="n">
        <x:v>49.8</x:v>
      </x:c>
      <x:c r="F10" s="9" t="n">
        <x:v>152</x:v>
      </x:c>
      <x:c r="G10" s="10" t="n">
        <x:v>6327.8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2026-08-19</x:v>
      </x:c>
      <x:c r="C11" s="10" t="n">
        <x:v>153220</x:v>
      </x:c>
      <x:c r="D11" s="10" t="n">
        <x:v>148400</x:v>
      </x:c>
      <x:c r="E11" s="12" t="n">
        <x:v>4820</x:v>
      </x:c>
      <x:c r="F11" s="9" t="n">
        <x:v>152</x:v>
      </x:c>
      <x:c r="G11" s="10" t="n">
        <x:v>1315640</x:v>
      </x:c>
      <x:c r="H11" s="10" t="n">
        <x:v>8655.5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8月17日-8月19日</x:v>
      </x:c>
      <x:c r="C36" s="23" t="n">
        <x:v>7797.18</x:v>
      </x:c>
      <x:c r="D36" s="23" t="n">
        <x:v>7995.5</x:v>
      </x:c>
      <x:c r="E36" s="23" t="n">
        <x:v>7490.21</x:v>
      </x:c>
      <x:c r="F36" s="23" t="n">
        <x:v>7517.77</x:v>
      </x:c>
      <x:c r="G36" s="28" t="n">
        <x:f>ROUND(F36-F35,1)</x:f>
        <x:v>-252</x:v>
      </x:c>
      <x:c r="H36" s="24" t="n">
        <x:f>IFERROR(F36/F35-1,"")</x:f>
        <x:v>-0.03243961893583114</x:v>
      </x:c>
      <x:c r="I36" s="26" t="n">
        <x:f>ROUND(D36-E36,1)</x:f>
        <x:v>505.3</x:v>
      </x:c>
      <x:c r="J36" s="22" t="str">
        <x:v>中证1000</x:v>
      </x:c>
      <x:c r="K36" s="22" t="n">
        <x:v>3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13475.8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421.1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8月17日-8月19日</x:v>
      </x:c>
      <x:c r="C73" s="23" t="n">
        <x:v>8007.87</x:v>
      </x:c>
      <x:c r="D73" s="23" t="n">
        <x:v>8211.31</x:v>
      </x:c>
      <x:c r="E73" s="23" t="n">
        <x:v>7762.29</x:v>
      </x:c>
      <x:c r="F73" s="23" t="n">
        <x:v>7783.46</x:v>
      </x:c>
      <x:c r="G73" s="28" t="n">
        <x:f>ROUND(F73-F72,1)</x:f>
        <x:v>-206.9</x:v>
      </x:c>
      <x:c r="H73" s="24" t="n">
        <x:f>IFERROR(F73/F72-1,"")</x:f>
        <x:v>-0.025890044591399874</x:v>
      </x:c>
      <x:c r="I73" s="26" t="n">
        <x:f>ROUND(D73-E73,1)</x:f>
        <x:v>449</x:v>
      </x:c>
      <x:c r="J73" s="22" t="str">
        <x:v>中证500</x:v>
      </x:c>
      <x:c r="K73" s="22" t="n">
        <x:v>3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13574.4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424.2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8月17日-8月19日</x:v>
      </x:c>
      <x:c r="C110" s="23" t="n">
        <x:v>3930.1</x:v>
      </x:c>
      <x:c r="D110" s="23" t="n">
        <x:v>3994.18</x:v>
      </x:c>
      <x:c r="E110" s="23" t="n">
        <x:v>3879.58</x:v>
      </x:c>
      <x:c r="F110" s="23" t="n">
        <x:v>3894.42</x:v>
      </x:c>
      <x:c r="G110" s="23" t="n">
        <x:f>ROUND(F110-F109,1)</x:f>
        <x:v>-32.8</x:v>
      </x:c>
      <x:c r="H110" s="24" t="n">
        <x:f>IFERROR(F110/F109-1,"")</x:f>
        <x:v>-0.008341863627335577</x:v>
      </x:c>
      <x:c r="I110" s="26" t="n">
        <x:f>ROUND(D110-E110,1)</x:f>
        <x:v>114.6</x:v>
      </x:c>
      <x:c r="J110" s="22" t="str">
        <x:v>上证指数</x:v>
      </x:c>
      <x:c r="K110" s="22" t="n">
        <x:v>3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3558.6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111.2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8月17日-8月19日</x:v>
      </x:c>
      <x:c r="C147" s="23" t="n">
        <x:v>7675</x:v>
      </x:c>
      <x:c r="D147" s="23" t="n">
        <x:v>7882.8</x:v>
      </x:c>
      <x:c r="E147" s="23" t="n">
        <x:v>7430</x:v>
      </x:c>
      <x:c r="F147" s="23" t="n">
        <x:v>7468.8</x:v>
      </x:c>
      <x:c r="G147" s="28" t="n">
        <x:f>ROUND(F147-F146,1)</x:f>
        <x:v>-181.4</x:v>
      </x:c>
      <x:c r="H147" s="24" t="n">
        <x:f>IFERROR(F147/F146-1,"")</x:f>
        <x:v>-0.023711798384355887</x:v>
      </x:c>
      <x:c r="I147" s="26" t="n">
        <x:f>ROUND(D147-E147,1)</x:f>
        <x:v>452.8</x:v>
      </x:c>
      <x:c r="J147" s="22" t="str">
        <x:v>IM2609</x:v>
      </x:c>
      <x:c r="K147" s="22" t="n">
        <x:v>3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14052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439.1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8月17日-8月19日</x:v>
      </x:c>
      <x:c r="C184" s="23" t="n">
        <x:v>7885</x:v>
      </x:c>
      <x:c r="D184" s="23" t="n">
        <x:v>8091.8</x:v>
      </x:c>
      <x:c r="E184" s="23" t="n">
        <x:v>7680.2</x:v>
      </x:c>
      <x:c r="F184" s="23" t="n">
        <x:v>7712</x:v>
      </x:c>
      <x:c r="G184" s="23" t="n">
        <x:f>ROUND(F184-F183,1)</x:f>
        <x:v>-149.2</x:v>
      </x:c>
      <x:c r="H184" s="24" t="n">
        <x:f>IFERROR(F184/F183-1,"")</x:f>
        <x:v>-0.01897929069353277</x:v>
      </x:c>
      <x:c r="I184" s="26" t="n">
        <x:f>ROUND(D184-E184,1)</x:f>
        <x:v>411.6</x:v>
      </x:c>
      <x:c r="J184" s="22" t="str">
        <x:v>IC2609</x:v>
      </x:c>
      <x:c r="K184" s="22" t="n">
        <x:v>3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14636.4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457.4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8月17日-8月19日</x:v>
      </x:c>
      <x:c r="C221" s="23" t="n">
        <x:v>4624</x:v>
      </x:c>
      <x:c r="D221" s="23" t="n">
        <x:v>4700.6</x:v>
      </x:c>
      <x:c r="E221" s="23" t="n">
        <x:v>4531.8</x:v>
      </x:c>
      <x:c r="F221" s="23" t="n">
        <x:v>4554.2</x:v>
      </x:c>
      <x:c r="G221" s="23" t="n">
        <x:f>ROUND(F221-F220,1)</x:f>
        <x:v>-66.2</x:v>
      </x:c>
      <x:c r="H221" s="24" t="n">
        <x:f>IFERROR(F221/F220-1,"")</x:f>
        <x:v>-0.014327763829971363</x:v>
      </x:c>
      <x:c r="I221" s="26" t="n">
        <x:f>ROUND(D221-E221,1)</x:f>
        <x:v>168.8</x:v>
      </x:c>
      <x:c r="J221" s="22" t="str">
        <x:v>IF2609</x:v>
      </x:c>
      <x:c r="K221" s="22" t="n">
        <x:v>3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5219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163.1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8月17日-8月19日</x:v>
      </x:c>
      <x:c r="C258" s="23" t="n">
        <x:v>2886</x:v>
      </x:c>
      <x:c r="D258" s="23" t="n">
        <x:v>2921.2</x:v>
      </x:c>
      <x:c r="E258" s="23" t="n">
        <x:v>2843</x:v>
      </x:c>
      <x:c r="F258" s="23" t="n">
        <x:v>2865</x:v>
      </x:c>
      <x:c r="G258" s="23" t="n">
        <x:f>ROUND(F258-F257,1)</x:f>
        <x:v>-25</x:v>
      </x:c>
      <x:c r="H258" s="24" t="n">
        <x:f>IFERROR(F258/F257-1,"")</x:f>
        <x:v>-0.00865051903114189</x:v>
      </x:c>
      <x:c r="I258" s="26" t="n">
        <x:f>ROUND(D258-E258,1)</x:f>
        <x:v>78.2</x:v>
      </x:c>
      <x:c r="J258" s="22" t="str">
        <x:v>IH2609</x:v>
      </x:c>
      <x:c r="K258" s="22" t="n">
        <x:v>3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2968.4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92.8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8月17日-8月19日</x:v>
      </x:c>
      <x:c r="C295" s="23" t="n">
        <x:v>154300</x:v>
      </x:c>
      <x:c r="D295" s="23" t="n">
        <x:v>155980</x:v>
      </x:c>
      <x:c r="E295" s="23" t="n">
        <x:v>148400</x:v>
      </x:c>
      <x:c r="F295" s="23" t="n">
        <x:v>149480</x:v>
      </x:c>
      <x:c r="G295" s="28" t="n">
        <x:f>ROUND(F295-F294,1)</x:f>
        <x:v>-4460</x:v>
      </x:c>
      <x:c r="H295" s="24" t="n">
        <x:f>IFERROR(F295/F294-1,"")</x:f>
        <x:v>-0.028972326880602806</x:v>
      </x:c>
      <x:c r="I295" s="26" t="n">
        <x:f>ROUND(D295-E295,1)</x:f>
        <x:v>7580</x:v>
      </x:c>
      <x:c r="J295" s="22" t="str">
        <x:v>LC2609</x:v>
      </x:c>
      <x:c r="K295" s="22" t="n">
        <x:v>3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675660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21114.4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2270.6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174.7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2201.8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169.4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564.6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43.4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2231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171.6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2209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169.9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808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62.2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450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34.6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64320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4947.7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