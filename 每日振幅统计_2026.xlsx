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afce79bd1a4e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f640cc4fb8a4ca5"/>
    <x:sheet xmlns:r="http://schemas.openxmlformats.org/officeDocument/2006/relationships" name="中证1000" sheetId="2" r:id="R1f83cb0295bc4502"/>
    <x:sheet xmlns:r="http://schemas.openxmlformats.org/officeDocument/2006/relationships" name="中证500" sheetId="3" r:id="R33829206d7d74f49"/>
    <x:sheet xmlns:r="http://schemas.openxmlformats.org/officeDocument/2006/relationships" name="上证指数" sheetId="4" r:id="R9d9d2a723a024263"/>
    <x:sheet xmlns:r="http://schemas.openxmlformats.org/officeDocument/2006/relationships" name="IM主力" sheetId="5" r:id="Rbad007c5de3946b6"/>
    <x:sheet xmlns:r="http://schemas.openxmlformats.org/officeDocument/2006/relationships" name="IC主力" sheetId="6" r:id="R2e5c4cd448184090"/>
    <x:sheet xmlns:r="http://schemas.openxmlformats.org/officeDocument/2006/relationships" name="IF主力" sheetId="7" r:id="R36dad2f9a5a7478e"/>
    <x:sheet xmlns:r="http://schemas.openxmlformats.org/officeDocument/2006/relationships" name="IH主力" sheetId="8" r:id="R6407075f52194c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85226efe9c4c09" /><Relationship Type="http://schemas.openxmlformats.org/officeDocument/2006/relationships/theme" Target="/xl/theme/theme1.xml" Id="R7a1a9e3944de4e3d" /><Relationship Type="http://schemas.openxmlformats.org/officeDocument/2006/relationships/sharedStrings" Target="/xl/sharedStrings.xml" Id="Rdef3e93f069c4283" /><Relationship Type="http://schemas.openxmlformats.org/officeDocument/2006/relationships/worksheet" Target="/xl/worksheets/sheet1.xml" Id="R4f640cc4fb8a4ca5" /><Relationship Type="http://schemas.openxmlformats.org/officeDocument/2006/relationships/worksheet" Target="/xl/worksheets/sheet2.xml" Id="R1f83cb0295bc4502" /><Relationship Type="http://schemas.openxmlformats.org/officeDocument/2006/relationships/worksheet" Target="/xl/worksheets/sheet3.xml" Id="R33829206d7d74f49" /><Relationship Type="http://schemas.openxmlformats.org/officeDocument/2006/relationships/worksheet" Target="/xl/worksheets/sheet4.xml" Id="R9d9d2a723a024263" /><Relationship Type="http://schemas.openxmlformats.org/officeDocument/2006/relationships/worksheet" Target="/xl/worksheets/sheet5.xml" Id="Rbad007c5de3946b6" /><Relationship Type="http://schemas.openxmlformats.org/officeDocument/2006/relationships/worksheet" Target="/xl/worksheets/sheet6.xml" Id="R2e5c4cd448184090" /><Relationship Type="http://schemas.openxmlformats.org/officeDocument/2006/relationships/worksheet" Target="/xl/worksheets/sheet7.xml" Id="R36dad2f9a5a7478e" /><Relationship Type="http://schemas.openxmlformats.org/officeDocument/2006/relationships/worksheet" Target="/xl/worksheets/sheet8.xml" Id="R6407075f52194c2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2026-07-17</x:v>
      </x:c>
      <x:c r="C4" s="10" t="n">
        <x:v>7605.613</x:v>
      </x:c>
      <x:c r="D4" s="10" t="n">
        <x:v>7163.309</x:v>
      </x:c>
      <x:c r="E4" s="12" t="n">
        <x:v>442.3</x:v>
      </x:c>
      <x:c r="F4" s="9" t="n">
        <x:v>129</x:v>
      </x:c>
      <x:c r="G4" s="10" t="n">
        <x:v>22480.7</x:v>
      </x:c>
      <x:c r="H4" s="10" t="n">
        <x:v>174.3</x:v>
      </x:c>
      <x:c r="I4" s="10" t="n">
        <x:v>180</x:v>
      </x:c>
    </x:row>
    <x:row r="5">
      <x:c r="A5" s="9" t="str">
        <x:v>中证500</x:v>
      </x:c>
      <x:c r="B5" s="9" t="str">
        <x:v>2026-07-17</x:v>
      </x:c>
      <x:c r="C5" s="10" t="n">
        <x:v>7908.739</x:v>
      </x:c>
      <x:c r="D5" s="10" t="n">
        <x:v>7474.151</x:v>
      </x:c>
      <x:c r="E5" s="12" t="n">
        <x:v>434.6</x:v>
      </x:c>
      <x:c r="F5" s="9" t="n">
        <x:v>129</x:v>
      </x:c>
      <x:c r="G5" s="10" t="n">
        <x:v>22694.1</x:v>
      </x:c>
      <x:c r="H5" s="10" t="n">
        <x:v>175.9</x:v>
      </x:c>
      <x:c r="I5" s="10" t="n">
        <x:v>160</x:v>
      </x:c>
    </x:row>
    <x:row r="6">
      <x:c r="A6" s="9" t="str">
        <x:v>上证指数</x:v>
      </x:c>
      <x:c r="B6" s="9" t="str">
        <x:v>2026-07-17</x:v>
      </x:c>
      <x:c r="C6" s="10" t="n">
        <x:v>3869.215</x:v>
      </x:c>
      <x:c r="D6" s="10" t="n">
        <x:v>3745.174</x:v>
      </x:c>
      <x:c r="E6" s="12" t="n">
        <x:v>124</x:v>
      </x:c>
      <x:c r="F6" s="9" t="n">
        <x:v>129</x:v>
      </x:c>
      <x:c r="G6" s="10" t="n">
        <x:v>6367.9</x:v>
      </x:c>
      <x:c r="H6" s="10" t="n">
        <x:v>49.4</x:v>
      </x:c>
      <x:c r="I6" s="10" t="n">
        <x:v>50</x:v>
      </x:c>
    </x:row>
    <x:row r="7">
      <x:c r="A7" s="9" t="str">
        <x:v>IM主力</x:v>
      </x:c>
      <x:c r="B7" s="9" t="str">
        <x:v>2026-07-17</x:v>
      </x:c>
      <x:c r="C7" s="10" t="n">
        <x:v>7534.6</x:v>
      </x:c>
      <x:c r="D7" s="10" t="n">
        <x:v>7018.8</x:v>
      </x:c>
      <x:c r="E7" s="12" t="n">
        <x:v>515.8</x:v>
      </x:c>
      <x:c r="F7" s="9" t="n">
        <x:v>129</x:v>
      </x:c>
      <x:c r="G7" s="10" t="n">
        <x:v>23885.6</x:v>
      </x:c>
      <x:c r="H7" s="10" t="n">
        <x:v>185.2</x:v>
      </x:c>
      <x:c r="I7" s="10" t="n">
        <x:v>190</x:v>
      </x:c>
    </x:row>
    <x:row r="8">
      <x:c r="A8" s="9" t="str">
        <x:v>IC主力</x:v>
      </x:c>
      <x:c r="B8" s="9" t="str">
        <x:v>2026-07-16</x:v>
      </x:c>
      <x:c r="C8" s="10" t="n">
        <x:v>8054.4</x:v>
      </x:c>
      <x:c r="D8" s="10" t="n">
        <x:v>7823</x:v>
      </x:c>
      <x:c r="E8" s="12" t="n">
        <x:v>231.4</x:v>
      </x:c>
      <x:c r="F8" s="9" t="n">
        <x:v>128</x:v>
      </x:c>
      <x:c r="G8" s="10" t="n">
        <x:v>24814.8</x:v>
      </x:c>
      <x:c r="H8" s="10" t="n">
        <x:v>193.9</x:v>
      </x:c>
      <x:c r="I8" s="10" t="n">
        <x:v>150</x:v>
      </x:c>
    </x:row>
    <x:row r="9">
      <x:c r="A9" s="9" t="str">
        <x:v>IF主力</x:v>
      </x:c>
      <x:c r="B9" s="9" t="str">
        <x:v>2026-07-17</x:v>
      </x:c>
      <x:c r="C9" s="10" t="n">
        <x:v>4633.8</x:v>
      </x:c>
      <x:c r="D9" s="10" t="n">
        <x:v>4441.4</x:v>
      </x:c>
      <x:c r="E9" s="12" t="n">
        <x:v>192.4</x:v>
      </x:c>
      <x:c r="F9" s="9" t="n">
        <x:v>129</x:v>
      </x:c>
      <x:c r="G9" s="10" t="n">
        <x:v>9581.4</x:v>
      </x:c>
      <x:c r="H9" s="10" t="n">
        <x:v>74.3</x:v>
      </x:c>
      <x:c r="I9" s="10" t="n">
        <x:v>90</x:v>
      </x:c>
    </x:row>
    <x:row r="10">
      <x:c r="A10" s="9" t="str">
        <x:v>IH主力</x:v>
      </x:c>
      <x:c r="B10" s="9" t="str">
        <x:v>2026-07-16</x:v>
      </x:c>
      <x:c r="C10" s="10" t="n">
        <x:v>2911.8</x:v>
      </x:c>
      <x:c r="D10" s="10" t="n">
        <x:v>2853.4</x:v>
      </x:c>
      <x:c r="E10" s="12" t="n">
        <x:v>58.4</x:v>
      </x:c>
      <x:c r="F10" s="9" t="n">
        <x:v>128</x:v>
      </x:c>
      <x:c r="G10" s="10" t="n">
        <x:v>5305.2</x:v>
      </x:c>
      <x:c r="H10" s="10" t="n">
        <x:v>41.4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2026-07-17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7" t="n">
        <x:v>158.6</x:v>
      </x:c>
      <x:c r="I5" s="25" t="n">
        <x:v>0.020880717445099117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4" t="n">
        <x:v>111</x:v>
      </x:c>
      <x:c r="I6" s="25" t="n">
        <x:v>0.01431837995945262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4" t="n">
        <x:v>41.5</x:v>
      </x:c>
      <x:c r="I7" s="25" t="n">
        <x:v>0.005278768218756058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4" t="n">
        <x:v>65.2</x:v>
      </x:c>
      <x:c r="I8" s="25" t="n">
        <x:v>0.008242542136643438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7" t="n">
        <x:v>157.6</x:v>
      </x:c>
      <x:c r="I9" s="25" t="n">
        <x:v>0.019769458761609515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7" t="n">
        <x:v>227.8</x:v>
      </x:c>
      <x:c r="I10" s="25" t="n">
        <x:v>0.028025940614204492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7" t="n">
        <x:v>-153.9</x:v>
      </x:c>
      <x:c r="I11" s="25" t="n">
        <x:v>-0.018413042653647405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4" t="n">
        <x:v>54</x:v>
      </x:c>
      <x:c r="I12" s="25" t="n">
        <x:v>0.00658760500408806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4" t="n">
        <x:v>-16.4</x:v>
      </x:c>
      <x:c r="I13" s="25" t="n">
        <x:v>-0.0019857888390845124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8276.608</x:v>
      </x:c>
      <x:c r="E14" s="34" t="n">
        <x:v>8304.399</x:v>
      </x:c>
      <x:c r="F14" s="34" t="n">
        <x:v>8180.117</x:v>
      </x:c>
      <x:c r="G14" s="34" t="n">
        <x:v>8232.729</x:v>
      </x:c>
      <x:c r="H14" s="34" t="n">
        <x:v>-8</x:v>
      </x:c>
      <x:c r="I14" s="35" t="n">
        <x:v>-0.0009763644802824878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4" t="n">
        <x:v>32.9</x:v>
      </x:c>
      <x:c r="I15" s="25" t="n">
        <x:v>0.003998309673499678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4" t="n">
        <x:v>-82.9</x:v>
      </x:c>
      <x:c r="I16" s="25" t="n">
        <x:v>-0.010028738225663192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4" t="n">
        <x:v>64.9</x:v>
      </x:c>
      <x:c r="I17" s="25" t="n">
        <x:v>0.007934738826252952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4" t="n">
        <x:v>61.7</x:v>
      </x:c>
      <x:c r="I18" s="25" t="n">
        <x:v>0.007476769224800117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7" t="n">
        <x:v>161.4</x:v>
      </x:c>
      <x:c r="I19" s="25" t="n">
        <x:v>0.019423670647485514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4" t="n">
        <x:v>-105.3</x:v>
      </x:c>
      <x:c r="I20" s="25" t="n">
        <x:v>-0.012432083887790824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4" t="n">
        <x:v>16.7</x:v>
      </x:c>
      <x:c r="I21" s="25" t="n">
        <x:v>0.001998461526507622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4" t="n">
        <x:v>17.6</x:v>
      </x:c>
      <x:c r="I22" s="25" t="n">
        <x:v>0.002104590550900287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4" t="n">
        <x:v>-67.6</x:v>
      </x:c>
      <x:c r="I23" s="25" t="n">
        <x:v>-0.00804626875373371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-0.009282894676044373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7" t="n">
        <x:v>-279.4</x:v>
      </x:c>
      <x:c r="I30" s="25" t="n">
        <x:v>-0.03385060437124321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7" t="n">
        <x:v>233.7</x:v>
      </x:c>
      <x:c r="I31" s="25" t="n">
        <x:v>0.02929911723859835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-0.00024131753282119472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4" t="n">
        <x:v>-139</x:v>
      </x:c>
      <x:c r="I33" s="25" t="n">
        <x:v>-0.016941753014455774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4" t="n">
        <x:v>-16.5</x:v>
      </x:c>
      <x:c r="I34" s="25" t="n">
        <x:v>-0.0020454688273302546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7" t="n">
        <x:v>182.2</x:v>
      </x:c>
      <x:c r="I35" s="25" t="n">
        <x:v>0.022629612545323585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4" t="n">
        <x:v>16.5</x:v>
      </x:c>
      <x:c r="I36" s="25" t="n">
        <x:v>0.002006612274462416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4" t="n">
        <x:v>-10.8</x:v>
      </x:c>
      <x:c r="I37" s="25" t="n">
        <x:v>-0.0013074676072383218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4" t="n">
        <x:v>75.3</x:v>
      </x:c>
      <x:c r="I38" s="25" t="n">
        <x:v>0.009141195602215824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4" t="n">
        <x:v>-110</x:v>
      </x:c>
      <x:c r="I39" s="25" t="n">
        <x:v>-0.013229732122068238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8319.691</x:v>
      </x:c>
      <x:c r="E40" s="34" t="n">
        <x:v>8356.914</x:v>
      </x:c>
      <x:c r="F40" s="34" t="n">
        <x:v>8236.707</x:v>
      </x:c>
      <x:c r="G40" s="34" t="n">
        <x:v>8299.771</x:v>
      </x:c>
      <x:c r="H40" s="34" t="n">
        <x:v>94.9</x:v>
      </x:c>
      <x:c r="I40" s="35" t="n">
        <x:v>0.011571478211185315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4" t="n">
        <x:v>126.6</x:v>
      </x:c>
      <x:c r="I41" s="25" t="n">
        <x:v>0.015248613485841833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4" t="n">
        <x:v>64.3</x:v>
      </x:c>
      <x:c r="I42" s="25" t="n">
        <x:v>0.00762918048199146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4" t="n">
        <x:v>70.2</x:v>
      </x:c>
      <x:c r="I43" s="25" t="n">
        <x:v>0.008271012577766745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4" t="n">
        <x:v>-83.9</x:v>
      </x:c>
      <x:c r="I49" s="25" t="n">
        <x:v>-0.009797866868952121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7" t="n">
        <x:v>-334.5</x:v>
      </x:c>
      <x:c r="I50" s="25" t="n">
        <x:v>-0.0394611750785806</x:v>
      </x:c>
      <x:c r="J50" s="29" t="n">
        <x:f>ROUND(E50-F50,1)</x:f>
        <x:v>382.5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4" t="n">
        <x:v>-47.9</x:v>
      </x:c>
      <x:c r="I51" s="25" t="n">
        <x:v>-0.005887168659472919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4" t="n">
        <x:v>76.6</x:v>
      </x:c>
      <x:c r="I52" s="25" t="n">
        <x:v>0.009463318260580778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4" t="n">
        <x:v>77.7</x:v>
      </x:c>
      <x:c r="I53" s="25" t="n">
        <x:v>0.00951375203322824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4" t="n">
        <x:v>-45</x:v>
      </x:c>
      <x:c r="I54" s="25" t="n">
        <x:v>-0.005453846514735239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4" t="n">
        <x:v>146.2</x:v>
      </x:c>
      <x:c r="I55" s="25" t="n">
        <x:v>0.017823419657237327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4" t="n">
        <x:v>13.4</x:v>
      </x:c>
      <x:c r="I56" s="25" t="n">
        <x:v>0.0016090844529819126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4" t="n">
        <x:v>-27.6</x:v>
      </x:c>
      <x:c r="I57" s="25" t="n">
        <x:v>-0.003302195748539627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4" t="n">
        <x:v>-121.6</x:v>
      </x:c>
      <x:c r="I58" s="25" t="n">
        <x:v>-0.014589292492191541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4" t="n">
        <x:v>-2.9</x:v>
      </x:c>
      <x:c r="I59" s="25" t="n">
        <x:v>-0.0003580344650475631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7" t="n">
        <x:v>-191.5</x:v>
      </x:c>
      <x:c r="I60" s="25" t="n">
        <x:v>-0.023320763742682216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4" t="n">
        <x:v>76.7</x:v>
      </x:c>
      <x:c r="I61" s="25" t="n">
        <x:v>0.00956849978746499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7" t="n">
        <x:v>-187.4</x:v>
      </x:c>
      <x:c r="I62" s="25" t="n">
        <x:v>-0.02314071532539297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7943.413</x:v>
      </x:c>
      <x:c r="E63" s="34" t="n">
        <x:v>7996.164</x:v>
      </x:c>
      <x:c r="F63" s="34" t="n">
        <x:v>7781.579</x:v>
      </x:c>
      <x:c r="G63" s="34" t="n">
        <x:v>7783.435</x:v>
      </x:c>
      <x:c r="H63" s="34" t="n">
        <x:v>-125.8</x:v>
      </x:c>
      <x:c r="I63" s="35" t="n">
        <x:v>-0.015905332931103078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7" t="n">
        <x:v>-374.3</x:v>
      </x:c>
      <x:c r="I64" s="25" t="n">
        <x:v>-0.04809290499631591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7" t="n">
        <x:v>191.8</x:v>
      </x:c>
      <x:c r="I65" s="25" t="n">
        <x:v>0.025880311891838037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7" t="n">
        <x:v>150.3</x:v>
      </x:c>
      <x:c r="I66" s="25" t="n">
        <x:v>0.019777243539774503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4" t="n">
        <x:v>-111.8</x:v>
      </x:c>
      <x:c r="I67" s="25" t="n">
        <x:v>-0.01442425354278265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4" t="n">
        <x:v>106.9</x:v>
      </x:c>
      <x:c r="I68" s="25" t="n">
        <x:v>0.013998132831791521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4" t="n">
        <x:v>21.6</x:v>
      </x:c>
      <x:c r="I69" s="25" t="n">
        <x:v>0.0027906179365591033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4" t="n">
        <x:v>144.3</x:v>
      </x:c>
      <x:c r="I76" s="25" t="n">
        <x:v>0.01893777436563715</x:v>
      </x:c>
      <x:c r="J76" s="24" t="n">
        <x:f>ROUND(E76-F76,1)</x:f>
        <x:v>94.7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4" t="n">
        <x:v>-140.7</x:v>
      </x:c>
      <x:c r="I77" s="25" t="n">
        <x:v>-0.01812638158985269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4" t="n">
        <x:v>-86.8</x:v>
      </x:c>
      <x:c r="I78" s="25" t="n">
        <x:v>-0.011388200330639142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4" t="n">
        <x:v>69.4</x:v>
      </x:c>
      <x:c r="I79" s="25" t="n">
        <x:v>0.00921065201815141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7" t="n">
        <x:v>349.8</x:v>
      </x:c>
      <x:c r="I80" s="25" t="n">
        <x:v>0.04598346282949417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4" t="n">
        <x:v>-34.3</x:v>
      </x:c>
      <x:c r="I81" s="25" t="n">
        <x:v>-0.004313976978715273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4" t="n">
        <x:v>76.8</x:v>
      </x:c>
      <x:c r="I82" s="25" t="n">
        <x:v>0.009693304771211553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4" t="n">
        <x:v>27.3</x:v>
      </x:c>
      <x:c r="I83" s="25" t="n">
        <x:v>0.0034182554344510674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4" t="n">
        <x:v>119.2</x:v>
      </x:c>
      <x:c r="I84" s="25" t="n">
        <x:v>0.01485127789022389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4" t="n">
        <x:v>-38.6</x:v>
      </x:c>
      <x:c r="I85" s="25" t="n">
        <x:v>-0.004738873892202067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4" t="n">
        <x:v>126.8</x:v>
      </x:c>
      <x:c r="I86" s="25" t="n">
        <x:v>0.015644635903661053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8225.729</x:v>
      </x:c>
      <x:c r="E87" s="34" t="n">
        <x:v>8333.222</x:v>
      </x:c>
      <x:c r="F87" s="34" t="n">
        <x:v>8223.706</x:v>
      </x:c>
      <x:c r="G87" s="34" t="n">
        <x:v>8307.436</x:v>
      </x:c>
      <x:c r="H87" s="34" t="n">
        <x:v>74.5</x:v>
      </x:c>
      <x:c r="I87" s="35" t="n">
        <x:v>0.009043259290101746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4" t="n">
        <x:v>50.4</x:v>
      </x:c>
      <x:c r="I88" s="25" t="n">
        <x:v>0.006064205610491591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4" t="n">
        <x:v>-6.7</x:v>
      </x:c>
      <x:c r="I89" s="25" t="n">
        <x:v>-0.0007966197859869961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4" t="n">
        <x:v>130.1</x:v>
      </x:c>
      <x:c r="I90" s="25" t="n">
        <x:v>0.015576765659748082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4" t="n">
        <x:v>-58.6</x:v>
      </x:c>
      <x:c r="I92" s="25" t="n">
        <x:v>-0.007007153157936319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4" t="n">
        <x:v>34.6</x:v>
      </x:c>
      <x:c r="I93" s="25" t="n">
        <x:v>0.004164789591120988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4" t="n">
        <x:v>-112</x:v>
      </x:c>
      <x:c r="I94" s="25" t="n">
        <x:v>-0.013435385693210344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4" t="n">
        <x:v>116.4</x:v>
      </x:c>
      <x:c r="I95" s="25" t="n">
        <x:v>0.014145783019468894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4" t="n">
        <x:v>38.9</x:v>
      </x:c>
      <x:c r="I96" s="25" t="n">
        <x:v>0.004660397587697096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7" t="n">
        <x:v>192.6</x:v>
      </x:c>
      <x:c r="I102" s="25" t="n">
        <x:v>0.0229790286194842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4" t="n">
        <x:v>140</x:v>
      </x:c>
      <x:c r="I103" s="25" t="n">
        <x:v>0.01632201130880717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4" t="n">
        <x:v>26.6</x:v>
      </x:c>
      <x:c r="I104" s="25" t="n">
        <x:v>0.003057085252068159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4" t="n">
        <x:v>125.6</x:v>
      </x:c>
      <x:c r="I105" s="25" t="n">
        <x:v>0.01437202034377405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4" t="n">
        <x:v>-44.9</x:v>
      </x:c>
      <x:c r="I106" s="25" t="n">
        <x:v>-0.005062943375491846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4" t="n">
        <x:v>133.6</x:v>
      </x:c>
      <x:c r="I107" s="25" t="n">
        <x:v>0.015139618088510831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7" t="n">
        <x:v>-176.7</x:v>
      </x:c>
      <x:c r="I108" s="25" t="n">
        <x:v>-0.01973525162953893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8786.382</x:v>
      </x:c>
      <x:c r="E109" s="34" t="n">
        <x:v>8846.515</x:v>
      </x:c>
      <x:c r="F109" s="34" t="n">
        <x:v>8616.06</x:v>
      </x:c>
      <x:c r="G109" s="34" t="n">
        <x:v>8682.654</x:v>
      </x:c>
      <x:c r="H109" s="34" t="n">
        <x:v>-96.1</x:v>
      </x:c>
      <x:c r="I109" s="35" t="n">
        <x:v>-0.010941813881745088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4" t="n">
        <x:v>37.6</x:v>
      </x:c>
      <x:c r="I110" s="25" t="n">
        <x:v>0.004325751089470975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4" t="n">
        <x:v>88.4</x:v>
      </x:c>
      <x:c r="I111" s="25" t="n">
        <x:v>0.010141036692567162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0.00003008408217142211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7" t="n">
        <x:v>-298.4</x:v>
      </x:c>
      <x:c r="I113" s="25" t="n">
        <x:v>-0.03387638198142573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7" t="n">
        <x:v>182.2</x:v>
      </x:c>
      <x:c r="I114" s="25" t="n">
        <x:v>0.021405332897165952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4" t="n">
        <x:v>106.6</x:v>
      </x:c>
      <x:c r="I115" s="25" t="n">
        <x:v>0.012268503126658725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4" t="n">
        <x:v>-112.1</x:v>
      </x:c>
      <x:c r="I116" s="25" t="n">
        <x:v>-0.012734972916064291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4" t="n">
        <x:v>-140.7</x:v>
      </x:c>
      <x:c r="I117" s="25" t="n">
        <x:v>-0.016200633272681397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4" t="n">
        <x:v>91.2</x:v>
      </x:c>
      <x:c r="I118" s="25" t="n">
        <x:v>0.010674410642748766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7" t="n">
        <x:v>-229</x:v>
      </x:c>
      <x:c r="I119" s="25" t="n">
        <x:v>-0.0265123655566043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4" t="n">
        <x:v>-63.6</x:v>
      </x:c>
      <x:c r="I125" s="25" t="n">
        <x:v>-0.007564394934030494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4" t="n">
        <x:v>39.7</x:v>
      </x:c>
      <x:c r="I126" s="25" t="n">
        <x:v>0.004751514326501116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4" t="n">
        <x:v>47.9</x:v>
      </x:c>
      <x:c r="I127" s="25" t="n">
        <x:v>0.00571249266975471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4" t="n">
        <x:v>-12.6</x:v>
      </x:c>
      <x:c r="I128" s="25" t="n">
        <x:v>-0.001492289698208693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4" t="n">
        <x:v>-79.1</x:v>
      </x:c>
      <x:c r="I129" s="25" t="n">
        <x:v>-0.009397993728099241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7" t="n">
        <x:v>-259.7</x:v>
      </x:c>
      <x:c r="I130" s="25" t="n">
        <x:v>-0.031135733367957497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7" t="n">
        <x:v>237.4</x:v>
      </x:c>
      <x:c r="I131" s="25" t="n">
        <x:v>0.029381181971476877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4" t="n">
        <x:v>-120</x:v>
      </x:c>
      <x:c r="I132" s="25" t="n">
        <x:v>-0.014422329071208106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4" t="n">
        <x:v>-39.3</x:v>
      </x:c>
      <x:c r="I133" s="25" t="n">
        <x:v>-0.004789526368923602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4" t="n">
        <x:v>43.3</x:v>
      </x:c>
      <x:c r="I134" s="25" t="n">
        <x:v>0.005312119498177337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7" t="n">
        <x:v>318.4</x:v>
      </x:c>
      <x:c r="I135" s="25" t="n">
        <x:v>0.03882016370265795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4" t="n">
        <x:v>125.2</x:v>
      </x:c>
      <x:c r="I136" s="25" t="n">
        <x:v>0.014689188759420047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4" t="n">
        <x:v>58.1</x:v>
      </x:c>
      <x:c r="I137" s="25" t="n">
        <x:v>0.006715509327982927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4" t="n">
        <x:v>66.6</x:v>
      </x:c>
      <x:c r="I138" s="25" t="n">
        <x:v>0.007646188141538168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8813.725</x:v>
      </x:c>
      <x:c r="E139" s="34" t="n">
        <x:v>8865.815</x:v>
      </x:c>
      <x:c r="F139" s="34" t="n">
        <x:v>8609.611</x:v>
      </x:c>
      <x:c r="G139" s="34" t="n">
        <x:v>8865.676</x:v>
      </x:c>
      <x:c r="H139" s="34" t="n">
        <x:v>94.7</x:v>
      </x:c>
      <x:c r="I139" s="35" t="n">
        <x:v>0.010791442367504622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7" t="n">
        <x:v>-185.6</x:v>
      </x:c>
      <x:c r="I140" s="25" t="n">
        <x:v>-0.020938843242184646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4" t="n">
        <x:v>113.4</x:v>
      </x:c>
      <x:c r="I141" s="25" t="n">
        <x:v>0.01306998735835152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4" t="n">
        <x:v>32.4</x:v>
      </x:c>
      <x:c r="I142" s="25" t="n">
        <x:v>0.0036882979414196715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7" t="n">
        <x:v>-224.5</x:v>
      </x:c>
      <x:c r="I143" s="25" t="n">
        <x:v>-0.025437801385011505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4" t="n">
        <x:v>-3.5</x:v>
      </x:c>
      <x:c r="I144" s="25" t="n">
        <x:v>-0.00040865402501533143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7" t="n">
        <x:v>211.9</x:v>
      </x:c>
      <x:c r="I145" s="25" t="n">
        <x:v>0.024644758896162022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4" t="n">
        <x:v>66.8</x:v>
      </x:c>
      <x:c r="I151" s="25" t="n">
        <x:v>0.007587471477740637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7" t="n">
        <x:v>-251.3</x:v>
      </x:c>
      <x:c r="I152" s="25" t="n">
        <x:v>-0.02830984281196791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4" t="n">
        <x:v>-4.5</x:v>
      </x:c>
      <x:c r="I153" s="25" t="n">
        <x:v>-0.0005269361163289243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4" t="n">
        <x:v>-148.2</x:v>
      </x:c>
      <x:c r="I154" s="25" t="n">
        <x:v>-0.01718937790960917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7" t="n">
        <x:v>-170.8</x:v>
      </x:c>
      <x:c r="I155" s="25" t="n">
        <x:v>-0.02015897593691085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7" t="n">
        <x:v>-183.9</x:v>
      </x:c>
      <x:c r="I156" s="25" t="n">
        <x:v>-0.02215699142017813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8161.859</x:v>
      </x:c>
      <x:c r="E157" s="24" t="n">
        <x:v>8312.621</x:v>
      </x:c>
      <x:c r="F157" s="24" t="n">
        <x:v>7978.806</x:v>
      </x:c>
      <x:c r="G157" s="24" t="n">
        <x:v>8300.077</x:v>
      </x:c>
      <x:c r="H157" s="27" t="n">
        <x:v>182.2</x:v>
      </x:c>
      <x:c r="I157" s="25" t="n">
        <x:v>0.0224463069766776</x:v>
      </x:c>
      <x:c r="J157" s="29" t="n">
        <x:f>ROUND(E157-F157,1)</x:f>
        <x:v>333.8</x:v>
      </x:c>
      <x:c r="K157" s="23" t="str">
        <x:v>中证1000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8312.492</x:v>
      </x:c>
      <x:c r="E158" s="24" t="n">
        <x:v>8438.194</x:v>
      </x:c>
      <x:c r="F158" s="24" t="n">
        <x:v>8198.308</x:v>
      </x:c>
      <x:c r="G158" s="24" t="n">
        <x:v>8198.308</x:v>
      </x:c>
      <x:c r="H158" s="24" t="n">
        <x:v>-101.8</x:v>
      </x:c>
      <x:c r="I158" s="25" t="n">
        <x:v>-0.012261211552615503</x:v>
      </x:c>
      <x:c r="J158" s="29" t="n">
        <x:f>ROUND(E158-F158,1)</x:f>
        <x:v>239.9</x:v>
      </x:c>
      <x:c r="K158" s="23" t="str">
        <x:v>中证1000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8124.363</x:v>
      </x:c>
      <x:c r="E159" s="24" t="n">
        <x:v>8171.504</x:v>
      </x:c>
      <x:c r="F159" s="24" t="n">
        <x:v>7769.292</x:v>
      </x:c>
      <x:c r="G159" s="24" t="n">
        <x:v>7787.853</x:v>
      </x:c>
      <x:c r="H159" s="27" t="n">
        <x:v>-410.5</x:v>
      </x:c>
      <x:c r="I159" s="25" t="n">
        <x:v>-0.050065818459126055</x:v>
      </x:c>
      <x:c r="J159" s="29" t="n">
        <x:f>ROUND(E159-F159,1)</x:f>
        <x:v>402.2</x:v>
      </x:c>
      <x:c r="K159" s="23" t="str">
        <x:v>中证1000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7799.813</x:v>
      </x:c>
      <x:c r="E160" s="24" t="n">
        <x:v>7934.103</x:v>
      </x:c>
      <x:c r="F160" s="24" t="n">
        <x:v>7657.671</x:v>
      </x:c>
      <x:c r="G160" s="24" t="n">
        <x:v>7925.123</x:v>
      </x:c>
      <x:c r="H160" s="24" t="n">
        <x:v>137.3</x:v>
      </x:c>
      <x:c r="I160" s="25" t="n">
        <x:v>0.017626167314662933</x:v>
      </x:c>
      <x:c r="J160" s="29" t="n">
        <x:f>ROUND(E160-F160,1)</x:f>
        <x:v>276.4</x:v>
      </x:c>
      <x:c r="K160" s="23" t="str">
        <x:v>中证1000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7959.374</x:v>
      </x:c>
      <x:c r="E161" s="24" t="n">
        <x:v>7979.077</x:v>
      </x:c>
      <x:c r="F161" s="24" t="n">
        <x:v>7783.219</x:v>
      </x:c>
      <x:c r="G161" s="24" t="n">
        <x:v>7817.831</x:v>
      </x:c>
      <x:c r="H161" s="24" t="n">
        <x:v>-107.3</x:v>
      </x:c>
      <x:c r="I161" s="25" t="n">
        <x:v>-0.01353821259304111</x:v>
      </x:c>
      <x:c r="J161" s="29" t="n">
        <x:f>ROUND(E161-F161,1)</x:f>
        <x:v>195.9</x:v>
      </x:c>
      <x:c r="K161" s="23" t="str">
        <x:v>中证1000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7713.135</x:v>
      </x:c>
      <x:c r="E162" s="24" t="n">
        <x:v>7836.39</x:v>
      </x:c>
      <x:c r="F162" s="24" t="n">
        <x:v>7591.421</x:v>
      </x:c>
      <x:c r="G162" s="24" t="n">
        <x:v>7631.762</x:v>
      </x:c>
      <x:c r="H162" s="27" t="n">
        <x:v>-186.1</x:v>
      </x:c>
      <x:c r="I162" s="25" t="n">
        <x:v>-0.02380059123815803</x:v>
      </x:c>
      <x:c r="J162" s="29" t="n">
        <x:f>ROUND(E162-F162,1)</x:f>
        <x:v>245</x:v>
      </x:c>
      <x:c r="K162" s="23" t="str">
        <x:v>中证1000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7599.388</x:v>
      </x:c>
      <x:c r="E163" s="34" t="n">
        <x:v>7605.613</x:v>
      </x:c>
      <x:c r="F163" s="34" t="n">
        <x:v>7163.309</x:v>
      </x:c>
      <x:c r="G163" s="34" t="n">
        <x:v>7167.996</x:v>
      </x:c>
      <x:c r="H163" s="27" t="n">
        <x:v>-463.8</x:v>
      </x:c>
      <x:c r="I163" s="35" t="n">
        <x:v>-0.06076788034008396</x:v>
      </x:c>
      <x:c r="J163" s="29" t="n">
        <x:f>ROUND(E163-F163,1)</x:f>
        <x:v>442.3</x:v>
      </x:c>
      <x:c r="K163" s="33" t="str">
        <x:v>中证1000</x:v>
      </x:c>
    </x:row>
    <x:row r="164">
      <x:c r="A164" s="38" t="str">
        <x:v>合计</x:v>
      </x:c>
      <x:c r="B164" s="37" t="n">
        <x:v>13</x:v>
      </x:c>
      <x:c r="C164" s="37"/>
      <x:c r="D164" s="37"/>
      <x:c r="E164" s="37"/>
      <x:c r="F164" s="37"/>
      <x:c r="G164" s="37"/>
      <x:c r="H164" s="37"/>
      <x:c r="I164" s="37"/>
      <x:c r="J164" s="39" t="n">
        <x:f>ROUND(SUM(J151:J163),1)</x:f>
        <x:v>3422.6</x:v>
      </x:c>
      <x:c r="K164" s="37"/>
    </x:row>
    <x:row r="165">
      <x:c r="A165" s="38" t="str">
        <x:v>均值</x:v>
      </x:c>
      <x:c r="B165" s="37"/>
      <x:c r="C165" s="37"/>
      <x:c r="D165" s="37"/>
      <x:c r="E165" s="37"/>
      <x:c r="F165" s="37"/>
      <x:c r="G165" s="37"/>
      <x:c r="H165" s="37"/>
      <x:c r="I165" s="37"/>
      <x:c r="J165" s="41" t="n">
        <x:f>ROUND(IFERROR(AVERAGE(J151:J163),0),1)</x:f>
        <x:v>263.3</x:v>
      </x:c>
      <x:c r="K165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7" t="n">
        <x:v>185.6</x:v>
      </x:c>
      <x:c r="I5" s="25" t="n">
        <x:v>0.02486399572223119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7" t="n">
        <x:v>162.9</x:v>
      </x:c>
      <x:c r="I6" s="25" t="n">
        <x:v>0.021295750025028815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4" t="n">
        <x:v>60.9</x:v>
      </x:c>
      <x:c r="I7" s="25" t="n">
        <x:v>0.007799454731783451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4" t="n">
        <x:v>19.5</x:v>
      </x:c>
      <x:c r="I8" s="25" t="n">
        <x:v>0.0024714663288585292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7" t="n">
        <x:v>162.1</x:v>
      </x:c>
      <x:c r="I9" s="25" t="n">
        <x:v>0.020538359082125757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7" t="n">
        <x:v>192.4</x:v>
      </x:c>
      <x:c r="I10" s="25" t="n">
        <x:v>0.023885999777079725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-0.012831416847938426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4" t="n">
        <x:v>84.4</x:v>
      </x:c>
      <x:c r="I12" s="25" t="n">
        <x:v>0.010366461671464045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4" t="n">
        <x:v>-4.4</x:v>
      </x:c>
      <x:c r="I13" s="25" t="n">
        <x:v>-0.0005383037318948958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8241.693</x:v>
      </x:c>
      <x:c r="E14" s="34" t="n">
        <x:v>8292.741</x:v>
      </x:c>
      <x:c r="F14" s="34" t="n">
        <x:v>8204.525</x:v>
      </x:c>
      <x:c r="G14" s="34" t="n">
        <x:v>8232.674</x:v>
      </x:c>
      <x:c r="H14" s="34" t="n">
        <x:v>9.4</x:v>
      </x:c>
      <x:c r="I14" s="35" t="n">
        <x:v>0.00114382749048203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4" t="n">
        <x:v>55.3</x:v>
      </x:c>
      <x:c r="I15" s="25" t="n">
        <x:v>0.006713857490288078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4" t="n">
        <x:v>-40.1</x:v>
      </x:c>
      <x:c r="I16" s="25" t="n">
        <x:v>-0.00484341900352403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4" t="n">
        <x:v>92.3</x:v>
      </x:c>
      <x:c r="I17" s="25" t="n">
        <x:v>0.011191826188907017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4" t="n">
        <x:v>47.5</x:v>
      </x:c>
      <x:c r="I18" s="25" t="n">
        <x:v>0.005693208233509495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7" t="n">
        <x:v>202.6</x:v>
      </x:c>
      <x:c r="I19" s="25" t="n">
        <x:v>0.024151261476025088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4" t="n">
        <x:v>-83.5</x:v>
      </x:c>
      <x:c r="I20" s="25" t="n">
        <x:v>-0.009717274380960705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4" t="n">
        <x:v>42.2</x:v>
      </x:c>
      <x:c r="I21" s="25" t="n">
        <x:v>0.004965384315620769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4" t="n">
        <x:v>52.2</x:v>
      </x:c>
      <x:c r="I22" s="25" t="n">
        <x:v>0.006109769033137757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4" t="n">
        <x:v>-83.3</x:v>
      </x:c>
      <x:c r="I23" s="25" t="n">
        <x:v>-0.009687177223919874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4" t="n">
        <x:v>-147.3</x:v>
      </x:c>
      <x:c r="I24" s="25" t="n">
        <x:v>-0.01729581068822239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7" t="n">
        <x:v>-333.5</x:v>
      </x:c>
      <x:c r="I30" s="25" t="n">
        <x:v>-0.03983910199127416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7" t="n">
        <x:v>249.7</x:v>
      </x:c>
      <x:c r="I31" s="25" t="n">
        <x:v>0.03106302987440901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4" t="n">
        <x:v>12.4</x:v>
      </x:c>
      <x:c r="I32" s="25" t="n">
        <x:v>0.0014910638141767407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7" t="n">
        <x:v>-153</x:v>
      </x:c>
      <x:c r="I33" s="25" t="n">
        <x:v>-0.018429804735646593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4" t="n">
        <x:v>0.3</x:v>
      </x:c>
      <x:c r="I34" s="25" t="n">
        <x:v>0.00003756395539600277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7" t="n">
        <x:v>164.9</x:v>
      </x:c>
      <x:c r="I35" s="25" t="n">
        <x:v>0.020238355212288006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4" t="n">
        <x:v>-4.8</x:v>
      </x:c>
      <x:c r="I36" s="25" t="n">
        <x:v>-0.0005821002605734815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4" t="n">
        <x:v>19.4</x:v>
      </x:c>
      <x:c r="I37" s="25" t="n">
        <x:v>0.0023314426327989413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4" t="n">
        <x:v>97.8</x:v>
      </x:c>
      <x:c r="I38" s="25" t="n">
        <x:v>0.011741678978780534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4" t="n">
        <x:v>-124</x:v>
      </x:c>
      <x:c r="I39" s="25" t="n">
        <x:v>-0.014718818743122086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8403.311</x:v>
      </x:c>
      <x:c r="E40" s="34" t="n">
        <x:v>8444.128</x:v>
      </x:c>
      <x:c r="F40" s="34" t="n">
        <x:v>8328.568</x:v>
      </x:c>
      <x:c r="G40" s="34" t="n">
        <x:v>8392.91</x:v>
      </x:c>
      <x:c r="H40" s="34" t="n">
        <x:v>93.3</x:v>
      </x:c>
      <x:c r="I40" s="35" t="n">
        <x:v>0.011244538130521065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4" t="n">
        <x:v>134.6</x:v>
      </x:c>
      <x:c r="I41" s="25" t="n">
        <x:v>0.016043184068457617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4" t="n">
        <x:v>29.7</x:v>
      </x:c>
      <x:c r="I42" s="25" t="n">
        <x:v>0.003477783032635795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4" t="n">
        <x:v>101.2</x:v>
      </x:c>
      <x:c r="I43" s="25" t="n">
        <x:v>0.011830249464311882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4" t="n">
        <x:v>-0.1</x:v>
      </x:c>
      <x:c r="I49" s="25" t="n">
        <x:v>-0.00001339731707172831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7" t="n">
        <x:v>-376.7</x:v>
      </x:c>
      <x:c r="I50" s="25" t="n">
        <x:v>-0.04350952504257766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4" t="n">
        <x:v>-32.7</x:v>
      </x:c>
      <x:c r="I51" s="25" t="n">
        <x:v>-0.003944762458139128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4" t="n">
        <x:v>60.2</x:v>
      </x:c>
      <x:c r="I52" s="25" t="n">
        <x:v>0.0073010548621672555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4" t="n">
        <x:v>51.2</x:v>
      </x:c>
      <x:c r="I53" s="25" t="n">
        <x:v>0.006157533645654745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4" t="n">
        <x:v>-80.9</x:v>
      </x:c>
      <x:c r="I54" s="25" t="n">
        <x:v>-0.00967114356063481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4" t="n">
        <x:v>130.8</x:v>
      </x:c>
      <x:c r="I55" s="25" t="n">
        <x:v>0.01580074886336469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4" t="n">
        <x:v>-7</x:v>
      </x:c>
      <x:c r="I56" s="25" t="n">
        <x:v>-0.0008291021143946864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4" t="n">
        <x:v>-43.9</x:v>
      </x:c>
      <x:c r="I57" s="25" t="n">
        <x:v>-0.005219121467323062</x:v>
      </x:c>
      <x:c r="J57" s="24" t="n">
        <x:f>ROUND(E57-F57,1)</x:f>
        <x:v>142.4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4" t="n">
        <x:v>-119.7</x:v>
      </x:c>
      <x:c r="I58" s="25" t="n">
        <x:v>-0.014315975937236103</x:v>
      </x:c>
      <x:c r="J58" s="24" t="n">
        <x:f>ROUND(E58-F58,1)</x:f>
        <x:v>153.7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4" t="n">
        <x:v>-54.6</x:v>
      </x:c>
      <x:c r="I59" s="25" t="n">
        <x:v>-0.006631958696074913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7" t="n">
        <x:v>-169.1</x:v>
      </x:c>
      <x:c r="I60" s="25" t="n">
        <x:v>-0.020662536260780517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4" t="n">
        <x:v>80.4</x:v>
      </x:c>
      <x:c r="I61" s="25" t="n">
        <x:v>0.010030157087813851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7" t="n">
        <x:v>-219.3</x:v>
      </x:c>
      <x:c r="I62" s="25" t="n">
        <x:v>-0.027090712101682346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7913.485</x:v>
      </x:c>
      <x:c r="E63" s="34" t="n">
        <x:v>7941.586</x:v>
      </x:c>
      <x:c r="F63" s="34" t="n">
        <x:v>7757.833</x:v>
      </x:c>
      <x:c r="G63" s="34" t="n">
        <x:v>7760.037</x:v>
      </x:c>
      <x:c r="H63" s="34" t="n">
        <x:v>-117.1</x:v>
      </x:c>
      <x:c r="I63" s="35" t="n">
        <x:v>-0.01485992923782764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7" t="n">
        <x:v>-319.3</x:v>
      </x:c>
      <x:c r="I64" s="25" t="n">
        <x:v>-0.04114568010436037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7" t="n">
        <x:v>156.6</x:v>
      </x:c>
      <x:c r="I65" s="25" t="n">
        <x:v>0.021050042704057192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7" t="n">
        <x:v>170.3</x:v>
      </x:c>
      <x:c r="I66" s="25" t="n">
        <x:v>0.022414589885214387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4" t="n">
        <x:v>-125.5</x:v>
      </x:c>
      <x:c r="I67" s="25" t="n">
        <x:v>-0.01616122734438208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4" t="n">
        <x:v>95.5</x:v>
      </x:c>
      <x:c r="I68" s="25" t="n">
        <x:v>0.012494422366539082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4" t="n">
        <x:v>16.1</x:v>
      </x:c>
      <x:c r="I69" s="25" t="n">
        <x:v>0.002081907936994476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4" t="n">
        <x:v>-136.4</x:v>
      </x:c>
      <x:c r="I70" s="25" t="n">
        <x:v>-0.017591162335822363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4" t="n">
        <x:v>132.8</x:v>
      </x:c>
      <x:c r="I76" s="25" t="n">
        <x:v>0.017429475907949854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4" t="n">
        <x:v>-144.8</x:v>
      </x:c>
      <x:c r="I77" s="25" t="n">
        <x:v>-0.018683520144018972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4" t="n">
        <x:v>-70.4</x:v>
      </x:c>
      <x:c r="I78" s="25" t="n">
        <x:v>-0.009250794150863051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4" t="n">
        <x:v>36.2</x:v>
      </x:c>
      <x:c r="I79" s="25" t="n">
        <x:v>0.004800703071478507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7" t="n">
        <x:v>374</x:v>
      </x:c>
      <x:c r="I80" s="25" t="n">
        <x:v>0.04940384574998302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4" t="n">
        <x:v>-46.5</x:v>
      </x:c>
      <x:c r="I81" s="25" t="n">
        <x:v>-0.005855142122499157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4" t="n">
        <x:v>70.7</x:v>
      </x:c>
      <x:c r="I82" s="25" t="n">
        <x:v>0.008954967270918823</x:v>
      </x:c>
      <x:c r="J82" s="24" t="n">
        <x:f>ROUND(E82-F82,1)</x:f>
        <x:v>117.2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4" t="n">
        <x:v>-1.7</x:v>
      </x:c>
      <x:c r="I83" s="25" t="n">
        <x:v>-0.0002093014939081872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4" t="n">
        <x:v>120.9</x:v>
      </x:c>
      <x:c r="I84" s="25" t="n">
        <x:v>0.015170255595813975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4" t="n">
        <x:v>-44.5</x:v>
      </x:c>
      <x:c r="I85" s="25" t="n">
        <x:v>-0.005500602146065625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4" t="n">
        <x:v>136</x:v>
      </x:c>
      <x:c r="I86" s="25" t="n">
        <x:v>0.01690747117413216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8155.396</x:v>
      </x:c>
      <x:c r="E87" s="34" t="n">
        <x:v>8230.107</x:v>
      </x:c>
      <x:c r="F87" s="34" t="n">
        <x:v>8149.938</x:v>
      </x:c>
      <x:c r="G87" s="34" t="n">
        <x:v>8214.194</x:v>
      </x:c>
      <x:c r="H87" s="34" t="n">
        <x:v>34.1</x:v>
      </x:c>
      <x:c r="I87" s="35" t="n">
        <x:v>0.00417012934589156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4" t="n">
        <x:v>75.8</x:v>
      </x:c>
      <x:c r="I88" s="25" t="n">
        <x:v>0.009231337852502852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4" t="n">
        <x:v>-19.7</x:v>
      </x:c>
      <x:c r="I89" s="25" t="n">
        <x:v>-0.0023757476156277546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4" t="n">
        <x:v>105.9</x:v>
      </x:c>
      <x:c r="I90" s="25" t="n">
        <x:v>0.012799252073104395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4" t="n">
        <x:v>-81</x:v>
      </x:c>
      <x:c r="I91" s="25" t="n">
        <x:v>-0.009667174097598874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4" t="n">
        <x:v>-47.3</x:v>
      </x:c>
      <x:c r="I92" s="25" t="n">
        <x:v>-0.005705825062593428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4" t="n">
        <x:v>51.2</x:v>
      </x:c>
      <x:c r="I93" s="25" t="n">
        <x:v>0.006204385225966114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4" t="n">
        <x:v>-95.1</x:v>
      </x:c>
      <x:c r="I94" s="25" t="n">
        <x:v>-0.011457698345919143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4" t="n">
        <x:v>138.5</x:v>
      </x:c>
      <x:c r="I95" s="25" t="n">
        <x:v>0.01687733522867818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4" t="n">
        <x:v>7.1</x:v>
      </x:c>
      <x:c r="I96" s="25" t="n">
        <x:v>0.00084939361734504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7" t="n">
        <x:v>238.9</x:v>
      </x:c>
      <x:c r="I102" s="25" t="n">
        <x:v>0.02861629691234513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4" t="n">
        <x:v>108.4</x:v>
      </x:c>
      <x:c r="I103" s="25" t="n">
        <x:v>0.012616843105383468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4" t="n">
        <x:v>-2.6</x:v>
      </x:c>
      <x:c r="I104" s="25" t="n">
        <x:v>-0.00030218014697136475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4" t="n">
        <x:v>145.6</x:v>
      </x:c>
      <x:c r="I105" s="25" t="n">
        <x:v>0.01674351700696941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4" t="n">
        <x:v>-53.8</x:v>
      </x:c>
      <x:c r="I106" s="25" t="n">
        <x:v>-0.0060819648356253975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4" t="n">
        <x:v>132.3</x:v>
      </x:c>
      <x:c r="I107" s="25" t="n">
        <x:v>0.015053530175749286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7" t="n">
        <x:v>-248.1</x:v>
      </x:c>
      <x:c r="I108" s="25" t="n">
        <x:v>-0.027817375156687363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8676.621</x:v>
      </x:c>
      <x:c r="E109" s="34" t="n">
        <x:v>8717.092</x:v>
      </x:c>
      <x:c r="F109" s="34" t="n">
        <x:v>8473.042</x:v>
      </x:c>
      <x:c r="G109" s="34" t="n">
        <x:v>8536.344</x:v>
      </x:c>
      <x:c r="H109" s="34" t="n">
        <x:v>-133.8</x:v>
      </x:c>
      <x:c r="I109" s="35" t="n">
        <x:v>-0.01543374589410551</x:v>
      </x:c>
      <x:c r="J109" s="29" t="n">
        <x:f>ROUND(E109-F109,1)</x:f>
        <x:v>244.1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4" t="n">
        <x:v>17.9</x:v>
      </x:c>
      <x:c r="I110" s="25" t="n">
        <x:v>0.002096096408485959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4" t="n">
        <x:v>73.7</x:v>
      </x:c>
      <x:c r="I111" s="25" t="n">
        <x:v>0.008616665635988507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4" t="n">
        <x:v>28.4</x:v>
      </x:c>
      <x:c r="I112" s="25" t="n">
        <x:v>0.0032869932194754536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7" t="n">
        <x:v>-236.5</x:v>
      </x:c>
      <x:c r="I113" s="25" t="n">
        <x:v>-0.027317541685795366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0.01865867474631644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4" t="n">
        <x:v>-45.3</x:v>
      </x:c>
      <x:c r="I116" s="25" t="n">
        <x:v>-0.0052012376075523115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4" t="n">
        <x:v>-127.6</x:v>
      </x:c>
      <x:c r="I117" s="25" t="n">
        <x:v>-0.014741265321871921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4" t="n">
        <x:v>32.2</x:v>
      </x:c>
      <x:c r="I118" s="25" t="n">
        <x:v>0.0037794016631149674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7" t="n">
        <x:v>-203.7</x:v>
      </x:c>
      <x:c r="I119" s="25" t="n">
        <x:v>-0.023783337626888557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3414.3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4" t="n">
        <x:v>-85.3</x:v>
      </x:c>
      <x:c r="I125" s="25" t="n">
        <x:v>-0.01020962825794658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4" t="n">
        <x:v>47.2</x:v>
      </x:c>
      <x:c r="I126" s="25" t="n">
        <x:v>0.005707250430615041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4" t="n">
        <x:v>40.7</x:v>
      </x:c>
      <x:c r="I127" s="25" t="n">
        <x:v>0.004893506949222193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4" t="n">
        <x:v>-5.4</x:v>
      </x:c>
      <x:c r="I128" s="25" t="n">
        <x:v>-0.0006472015111892437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4" t="n">
        <x:v>-105.6</x:v>
      </x:c>
      <x:c r="I129" s="25" t="n">
        <x:v>-0.012636859523278532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7" t="n">
        <x:v>-287.7</x:v>
      </x:c>
      <x:c r="I130" s="25" t="n">
        <x:v>-0.03486645059149995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7" t="n">
        <x:v>212.7</x:v>
      </x:c>
      <x:c r="I131" s="25" t="n">
        <x:v>0.02671278401467303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4" t="n">
        <x:v>-112.3</x:v>
      </x:c>
      <x:c r="I132" s="25" t="n">
        <x:v>-0.013736856788482799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4" t="n">
        <x:v>-28.1</x:v>
      </x:c>
      <x:c r="I133" s="25" t="n">
        <x:v>-0.0034828216348885555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4" t="n">
        <x:v>70.4</x:v>
      </x:c>
      <x:c r="I134" s="25" t="n">
        <x:v>0.008763804977712786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7" t="n">
        <x:v>300.5</x:v>
      </x:c>
      <x:c r="I135" s="25" t="n">
        <x:v>0.03707592815033123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4" t="n">
        <x:v>101.2</x:v>
      </x:c>
      <x:c r="I136" s="25" t="n">
        <x:v>0.012041755028222578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4" t="n">
        <x:v>119.1</x:v>
      </x:c>
      <x:c r="I137" s="25" t="n">
        <x:v>0.013999327690003893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4" t="n">
        <x:v>46</x:v>
      </x:c>
      <x:c r="I138" s="25" t="n">
        <x:v>0.005332507407483922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8709.664</x:v>
      </x:c>
      <x:c r="E139" s="34" t="n">
        <x:v>8870.485</x:v>
      </x:c>
      <x:c r="F139" s="34" t="n">
        <x:v>8605.223</x:v>
      </x:c>
      <x:c r="G139" s="34" t="n">
        <x:v>8868.782</x:v>
      </x:c>
      <x:c r="H139" s="27" t="n">
        <x:v>195.7</x:v>
      </x:c>
      <x:c r="I139" s="35" t="n">
        <x:v>0.02256312340815092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7" t="n">
        <x:v>-180.2</x:v>
      </x:c>
      <x:c r="I140" s="25" t="n">
        <x:v>-0.020317333315893693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7" t="n">
        <x:v>154.3</x:v>
      </x:c>
      <x:c r="I141" s="25" t="n">
        <x:v>0.017764213119916272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4" t="n">
        <x:v>95.1</x:v>
      </x:c>
      <x:c r="I142" s="25" t="n">
        <x:v>0.01075129103019834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7" t="n">
        <x:v>-234.4</x:v>
      </x:c>
      <x:c r="I143" s="25" t="n">
        <x:v>-0.02623022057144475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4" t="n">
        <x:v>117.5</x:v>
      </x:c>
      <x:c r="I144" s="25" t="n">
        <x:v>0.013503547109718683</x:v>
      </x:c>
      <x:c r="J144" s="29" t="n">
        <x:f>ROUND(E144-F144,1)</x:f>
        <x:v>249.1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7" t="n">
        <x:v>210.3</x:v>
      </x:c>
      <x:c r="I145" s="25" t="n">
        <x:v>0.023838879848690153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4" t="n">
        <x:v>-2.4</x:v>
      </x:c>
      <x:c r="I151" s="25" t="n">
        <x:v>-0.0002708335017277408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7" t="n">
        <x:v>-334.8</x:v>
      </x:c>
      <x:c r="I152" s="25" t="n">
        <x:v>-0.03707603102160595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4" t="n">
        <x:v>51.1</x:v>
      </x:c>
      <x:c r="I153" s="25" t="n">
        <x:v>0.00587577247113491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4" t="n">
        <x:v>-94.1</x:v>
      </x:c>
      <x:c r="I154" s="25" t="n">
        <x:v>-0.01076320077811288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4" t="n">
        <x:v>-142.3</x:v>
      </x:c>
      <x:c r="I155" s="25" t="n">
        <x:v>-0.01645391228479398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4" t="n">
        <x:v>-118.8</x:v>
      </x:c>
      <x:c r="I156" s="25" t="n">
        <x:v>-0.013958508079116805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8437.147</x:v>
      </x:c>
      <x:c r="E157" s="24" t="n">
        <x:v>8659.65</x:v>
      </x:c>
      <x:c r="F157" s="24" t="n">
        <x:v>8281.953</x:v>
      </x:c>
      <x:c r="G157" s="24" t="n">
        <x:v>8652.787</x:v>
      </x:c>
      <x:c r="H157" s="27" t="n">
        <x:v>262.8</x:v>
      </x:c>
      <x:c r="I157" s="25" t="n">
        <x:v>0.03131911858602465</x:v>
      </x:c>
      <x:c r="J157" s="29" t="n">
        <x:f>ROUND(E157-F157,1)</x:f>
        <x:v>377.7</x:v>
      </x:c>
      <x:c r="K157" s="23" t="str">
        <x:v>中证500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8672.363</x:v>
      </x:c>
      <x:c r="E158" s="24" t="n">
        <x:v>8783.249</x:v>
      </x:c>
      <x:c r="F158" s="24" t="n">
        <x:v>8503.245</x:v>
      </x:c>
      <x:c r="G158" s="24" t="n">
        <x:v>8503.971</x:v>
      </x:c>
      <x:c r="H158" s="24" t="n">
        <x:v>-148.8</x:v>
      </x:c>
      <x:c r="I158" s="25" t="n">
        <x:v>-0.01719862051382992</x:v>
      </x:c>
      <x:c r="J158" s="29" t="n">
        <x:f>ROUND(E158-F158,1)</x:f>
        <x:v>280</x:v>
      </x:c>
      <x:c r="K158" s="23" t="str">
        <x:v>中证500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8409.143</x:v>
      </x:c>
      <x:c r="E159" s="24" t="n">
        <x:v>8457.692</x:v>
      </x:c>
      <x:c r="F159" s="24" t="n">
        <x:v>8106.269</x:v>
      </x:c>
      <x:c r="G159" s="24" t="n">
        <x:v>8138.144</x:v>
      </x:c>
      <x:c r="H159" s="27" t="n">
        <x:v>-365.8</x:v>
      </x:c>
      <x:c r="I159" s="25" t="n">
        <x:v>-0.04301837341637216</x:v>
      </x:c>
      <x:c r="J159" s="29" t="n">
        <x:f>ROUND(E159-F159,1)</x:f>
        <x:v>351.4</x:v>
      </x:c>
      <x:c r="K159" s="23" t="str">
        <x:v>中证500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8135.046</x:v>
      </x:c>
      <x:c r="E160" s="24" t="n">
        <x:v>8275.96</x:v>
      </x:c>
      <x:c r="F160" s="24" t="n">
        <x:v>7955.308</x:v>
      </x:c>
      <x:c r="G160" s="24" t="n">
        <x:v>8275.939</x:v>
      </x:c>
      <x:c r="H160" s="24" t="n">
        <x:v>137.8</x:v>
      </x:c>
      <x:c r="I160" s="25" t="n">
        <x:v>0.016931993339021734</x:v>
      </x:c>
      <x:c r="J160" s="29" t="n">
        <x:f>ROUND(E160-F160,1)</x:f>
        <x:v>320.7</x:v>
      </x:c>
      <x:c r="K160" s="23" t="str">
        <x:v>中证500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8294.142</x:v>
      </x:c>
      <x:c r="E161" s="24" t="n">
        <x:v>8305.272</x:v>
      </x:c>
      <x:c r="F161" s="24" t="n">
        <x:v>8117.459</x:v>
      </x:c>
      <x:c r="G161" s="24" t="n">
        <x:v>8147.579</x:v>
      </x:c>
      <x:c r="H161" s="24" t="n">
        <x:v>-128.4</x:v>
      </x:c>
      <x:c r="I161" s="25" t="n">
        <x:v>-0.015510022488082642</x:v>
      </x:c>
      <x:c r="J161" s="29" t="n">
        <x:f>ROUND(E161-F161,1)</x:f>
        <x:v>187.8</x:v>
      </x:c>
      <x:c r="K161" s="23" t="str">
        <x:v>中证500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8006.449</x:v>
      </x:c>
      <x:c r="E162" s="24" t="n">
        <x:v>8148.042</x:v>
      </x:c>
      <x:c r="F162" s="24" t="n">
        <x:v>7907.097</x:v>
      </x:c>
      <x:c r="G162" s="24" t="n">
        <x:v>7955.664</x:v>
      </x:c>
      <x:c r="H162" s="27" t="n">
        <x:v>-191.9</x:v>
      </x:c>
      <x:c r="I162" s="25" t="n">
        <x:v>-0.02355484985171663</x:v>
      </x:c>
      <x:c r="J162" s="29" t="n">
        <x:f>ROUND(E162-F162,1)</x:f>
        <x:v>240.9</x:v>
      </x:c>
      <x:c r="K162" s="23" t="str">
        <x:v>中证500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7900.097</x:v>
      </x:c>
      <x:c r="E163" s="34" t="n">
        <x:v>7908.739</x:v>
      </x:c>
      <x:c r="F163" s="34" t="n">
        <x:v>7474.151</x:v>
      </x:c>
      <x:c r="G163" s="34" t="n">
        <x:v>7513.763</x:v>
      </x:c>
      <x:c r="H163" s="27" t="n">
        <x:v>-441.9</x:v>
      </x:c>
      <x:c r="I163" s="35" t="n">
        <x:v>-0.05554545792783605</x:v>
      </x:c>
      <x:c r="J163" s="29" t="n">
        <x:f>ROUND(E163-F163,1)</x:f>
        <x:v>434.6</x:v>
      </x:c>
      <x:c r="K163" s="33" t="str">
        <x:v>中证500</x:v>
      </x:c>
    </x:row>
    <x:row r="164">
      <x:c r="A164" s="38" t="str">
        <x:v>合计</x:v>
      </x:c>
      <x:c r="B164" s="37" t="n">
        <x:v>13</x:v>
      </x:c>
      <x:c r="C164" s="37"/>
      <x:c r="D164" s="37"/>
      <x:c r="E164" s="37"/>
      <x:c r="F164" s="37"/>
      <x:c r="G164" s="37"/>
      <x:c r="H164" s="37"/>
      <x:c r="I164" s="37"/>
      <x:c r="J164" s="39" t="n">
        <x:f>ROUND(SUM(J151:J163),1)</x:f>
        <x:v>3559.9</x:v>
      </x:c>
      <x:c r="K164" s="37"/>
    </x:row>
    <x:row r="165">
      <x:c r="A165" s="38" t="str">
        <x:v>均值</x:v>
      </x:c>
      <x:c r="B165" s="37"/>
      <x:c r="C165" s="37"/>
      <x:c r="D165" s="37"/>
      <x:c r="E165" s="37"/>
      <x:c r="F165" s="37"/>
      <x:c r="G165" s="37"/>
      <x:c r="H165" s="37"/>
      <x:c r="I165" s="37"/>
      <x:c r="J165" s="41" t="n">
        <x:f>ROUND(IFERROR(AVERAGE(J151:J163),0),1)</x:f>
        <x:v>273.8</x:v>
      </x:c>
      <x:c r="K165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4" t="n">
        <x:v>54.6</x:v>
      </x:c>
      <x:c r="I5" s="25" t="n">
        <x:v>0.013751373197206096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4" t="n">
        <x:v>60.3</x:v>
      </x:c>
      <x:c r="I6" s="25" t="n">
        <x:v>0.014974833580511326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4" t="n">
        <x:v>2.1</x:v>
      </x:c>
      <x:c r="I7" s="25" t="n">
        <x:v>0.0005154680829755343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4" t="n">
        <x:v>-2.8</x:v>
      </x:c>
      <x:c r="I8" s="25" t="n">
        <x:v>-0.0006835917422705062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4" t="n">
        <x:v>37.4</x:v>
      </x:c>
      <x:c r="I9" s="25" t="n">
        <x:v>0.009171489738252436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4" t="n">
        <x:v>44.9</x:v>
      </x:c>
      <x:c r="I10" s="25" t="n">
        <x:v>0.010887466490115294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4" t="n">
        <x:v>-26.5</x:v>
      </x:c>
      <x:c r="I11" s="25" t="n">
        <x:v>-0.006368828846607721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4" t="n">
        <x:v>-12.7</x:v>
      </x:c>
      <x:c r="I12" s="25" t="n">
        <x:v>-0.0030603376519386938</x:v>
      </x:c>
      <x:c r="J12" s="29" t="n">
        <x:f>ROUND(E12-F12,1)</x:f>
        <x:v>87.2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4" t="n">
        <x:v>-13.5</x:v>
      </x:c>
      <x:c r="I13" s="25" t="n">
        <x:v>-0.0032699214486925365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4127.063</x:v>
      </x:c>
      <x:c r="E14" s="34" t="n">
        <x:v>4140.225</x:v>
      </x:c>
      <x:c r="F14" s="34" t="n">
        <x:v>4091.811</x:v>
      </x:c>
      <x:c r="G14" s="34" t="n">
        <x:v>4101.913</x:v>
      </x:c>
      <x:c r="H14" s="34" t="n">
        <x:v>-10.7</x:v>
      </x:c>
      <x:c r="I14" s="35" t="n">
        <x:v>-0.0025988419494135107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4" t="n">
        <x:v>12.1</x:v>
      </x:c>
      <x:c r="I15" s="25" t="n">
        <x:v>0.0029466739055656888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4" t="n">
        <x:v>-0.4</x:v>
      </x:c>
      <x:c r="I16" s="25" t="n">
        <x:v>-0.00008531842489056807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4" t="n">
        <x:v>3.3</x:v>
      </x:c>
      <x:c r="I17" s="25" t="n">
        <x:v>0.00080001964192844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4" t="n">
        <x:v>5.6</x:v>
      </x:c>
      <x:c r="I18" s="25" t="n">
        <x:v>0.0013689779302104021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4" t="n">
        <x:v>13.6</x:v>
      </x:c>
      <x:c r="I19" s="25" t="n">
        <x:v>0.003295997454018984</x:v>
      </x:c>
      <x:c r="J19" s="24" t="n">
        <x:f>ROUND(E19-F19,1)</x:f>
        <x:v>23.5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4" t="n">
        <x:v>-3.6</x:v>
      </x:c>
      <x:c r="I20" s="25" t="n">
        <x:v>-0.0008604591113892113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4" t="n">
        <x:v>7.3</x:v>
      </x:c>
      <x:c r="I21" s="25" t="n">
        <x:v>0.0017661983180103924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4" t="n">
        <x:v>11.3</x:v>
      </x:c>
      <x:c r="I22" s="25" t="n">
        <x:v>0.0027377446433540786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4" t="n">
        <x:v>6.7</x:v>
      </x:c>
      <x:c r="I23" s="25" t="n">
        <x:v>0.0016252982845115227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4" t="n">
        <x:v>-40</x:v>
      </x:c>
      <x:c r="I24" s="25" t="n">
        <x:v>-0.009628942865354095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4" t="n">
        <x:v>-102.2</x:v>
      </x:c>
      <x:c r="I30" s="25" t="n">
        <x:v>-0.02481867182392794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4" t="n">
        <x:v>52</x:v>
      </x:c>
      <x:c r="I31" s="25" t="n">
        <x:v>0.012947034000656332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4" t="n">
        <x:v>34.5</x:v>
      </x:c>
      <x:c r="I32" s="25" t="n">
        <x:v>0.008472522074922217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4" t="n">
        <x:v>-26.3</x:v>
      </x:c>
      <x:c r="I33" s="25" t="n">
        <x:v>-0.0064075342949957426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4" t="n">
        <x:v>-10.3</x:v>
      </x:c>
      <x:c r="I34" s="25" t="n">
        <x:v>-0.0025353803818870535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4" t="n">
        <x:v>57.5</x:v>
      </x:c>
      <x:c r="I35" s="25" t="n">
        <x:v>0.0141448348244273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4" t="n">
        <x:v>5.3</x:v>
      </x:c>
      <x:c r="I36" s="25" t="n">
        <x:v>0.0012813205629755853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4" t="n">
        <x:v>3.6</x:v>
      </x:c>
      <x:c r="I37" s="25" t="n">
        <x:v>0.0008749209434322225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4" t="n">
        <x:v>2</x:v>
      </x:c>
      <x:c r="I38" s="25" t="n">
        <x:v>0.0004920153388747739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4" t="n">
        <x:v>-51.9</x:v>
      </x:c>
      <x:c r="I39" s="25" t="n">
        <x:v>-0.012565257335599433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4129.134</x:v>
      </x:c>
      <x:c r="E40" s="34" t="n">
        <x:v>4131.55</x:v>
      </x:c>
      <x:c r="F40" s="34" t="n">
        <x:v>4105.937</x:v>
      </x:c>
      <x:c r="G40" s="34" t="n">
        <x:v>4117.409</x:v>
      </x:c>
      <x:c r="H40" s="34" t="n">
        <x:v>35.3</x:v>
      </x:c>
      <x:c r="I40" s="35" t="n">
        <x:v>0.008656386105784897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4" t="n">
        <x:v>29.8</x:v>
      </x:c>
      <x:c r="I41" s="25" t="n">
        <x:v>0.007242904457633426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4" t="n">
        <x:v>-0.6</x:v>
      </x:c>
      <x:c r="I42" s="25" t="n">
        <x:v>-0.00014467484449254275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4" t="n">
        <x:v>16.3</x:v>
      </x:c>
      <x:c r="I43" s="25" t="n">
        <x:v>0.003919085156118163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4" t="n">
        <x:v>19.7</x:v>
      </x:c>
      <x:c r="I49" s="25" t="n">
        <x:v>0.0047344604050754135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4" t="n">
        <x:v>-59.9</x:v>
      </x:c>
      <x:c r="I50" s="25" t="n">
        <x:v>-0.014324852704938107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4" t="n">
        <x:v>-40.2</x:v>
      </x:c>
      <x:c r="I51" s="25" t="n">
        <x:v>-0.009751433292356726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4" t="n">
        <x:v>26.1</x:v>
      </x:c>
      <x:c r="I52" s="25" t="n">
        <x:v>0.006391467526798644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4" t="n">
        <x:v>15.6</x:v>
      </x:c>
      <x:c r="I53" s="25" t="n">
        <x:v>0.0038035159217313375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4" t="n">
        <x:v>-27.6</x:v>
      </x:c>
      <x:c r="I54" s="25" t="n">
        <x:v>-0.006690276936536121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4" t="n">
        <x:v>26.5</x:v>
      </x:c>
      <x:c r="I55" s="25" t="n">
        <x:v>0.00647756360027163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4" t="n">
        <x:v>10.3</x:v>
      </x:c>
      <x:c r="I56" s="25" t="n">
        <x:v>0.0024968846543580447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4" t="n">
        <x:v>-4.3</x:v>
      </x:c>
      <x:c r="I57" s="25" t="n">
        <x:v>-0.001047555385559673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4" t="n">
        <x:v>-33.7</x:v>
      </x:c>
      <x:c r="I58" s="25" t="n">
        <x:v>-0.008150438485065692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4" t="n">
        <x:v>-10.7</x:v>
      </x:c>
      <x:c r="I59" s="25" t="n">
        <x:v>-0.0026036217274345574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4" t="n">
        <x:v>-34.9</x:v>
      </x:c>
      <x:c r="I60" s="25" t="n">
        <x:v>-0.008538758211568465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4" t="n">
        <x:v>13.1</x:v>
      </x:c>
      <x:c r="I61" s="25" t="n">
        <x:v>0.0032289630354473964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4" t="n">
        <x:v>-56.4</x:v>
      </x:c>
      <x:c r="I62" s="25" t="n">
        <x:v>-0.013889299096427554</x:v>
      </x:c>
      <x:c r="J62" s="24" t="n">
        <x:f>ROUND(E62-F62,1)</x:f>
        <x:v>47.9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4004.573</x:v>
      </x:c>
      <x:c r="E63" s="34" t="n">
        <x:v>4022.703</x:v>
      </x:c>
      <x:c r="F63" s="34" t="n">
        <x:v>3955.711</x:v>
      </x:c>
      <x:c r="G63" s="34" t="n">
        <x:v>3957.053</x:v>
      </x:c>
      <x:c r="H63" s="34" t="n">
        <x:v>-49.5</x:v>
      </x:c>
      <x:c r="I63" s="35" t="n">
        <x:v>-0.01235451330720283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4" t="n">
        <x:v>-143.8</x:v>
      </x:c>
      <x:c r="I64" s="25" t="n">
        <x:v>-0.03633259397839761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4" t="n">
        <x:v>68</x:v>
      </x:c>
      <x:c r="I65" s="25" t="n">
        <x:v>0.01783161648374909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4" t="n">
        <x:v>50.6</x:v>
      </x:c>
      <x:c r="I66" s="25" t="n">
        <x:v>0.013026115096050894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4" t="n">
        <x:v>-42.8</x:v>
      </x:c>
      <x:c r="I67" s="25" t="n">
        <x:v>-0.010873794902028111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4" t="n">
        <x:v>24.6</x:v>
      </x:c>
      <x:c r="I68" s="25" t="n">
        <x:v>0.006335682129776643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4" t="n">
        <x:v>9.6</x:v>
      </x:c>
      <x:c r="I69" s="25" t="n">
        <x:v>0.0024434528341803485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4" t="n">
        <x:v>-31.4</x:v>
      </x:c>
      <x:c r="I70" s="25" t="n">
        <x:v>-0.008010120085530259</x:v>
      </x:c>
      <x:c r="J70" s="29" t="n">
        <x:f>ROUND(E70-F70,1)</x:f>
        <x:v>57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1183.4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4" t="n">
        <x:v>56.7</x:v>
      </x:c>
      <x:c r="I76" s="25" t="n">
        <x:v>0.01456655312201538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4" t="n">
        <x:v>-29.3</x:v>
      </x:c>
      <x:c r="I77" s="25" t="n">
        <x:v>-0.007412084227331972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4" t="n">
        <x:v>-39.2</x:v>
      </x:c>
      <x:c r="I78" s="25" t="n">
        <x:v>-0.009998762529389804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4" t="n">
        <x:v>10.1</x:v>
      </x:c>
      <x:c r="I79" s="25" t="n">
        <x:v>0.002594780491312454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4" t="n">
        <x:v>104.8</x:v>
      </x:c>
      <x:c r="I80" s="25" t="n">
        <x:v>0.026948214278828875</x:v>
      </x:c>
      <x:c r="J80" s="29" t="n">
        <x:f>ROUND(E80-F80,1)</x:f>
        <x:v>68.7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4" t="n">
        <x:v>-28.8</x:v>
      </x:c>
      <x:c r="I81" s="25" t="n">
        <x:v>-0.007215773324542374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4" t="n">
        <x:v>20.1</x:v>
      </x:c>
      <x:c r="I82" s="25" t="n">
        <x:v>0.005056262072411943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4" t="n">
        <x:v>2.3</x:v>
      </x:c>
      <x:c r="I83" s="25" t="n">
        <x:v>0.0005852655080935687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4" t="n">
        <x:v>38.1</x:v>
      </x:c>
      <x:c r="I84" s="25" t="n">
        <x:v>0.009544301474367467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4" t="n">
        <x:v>0.6</x:v>
      </x:c>
      <x:c r="I85" s="25" t="n">
        <x:v>0.00014503457733594516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4" t="n">
        <x:v>28.3</x:v>
      </x:c>
      <x:c r="I86" s="25" t="n">
        <x:v>0.007036384991098155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4043.381</x:v>
      </x:c>
      <x:c r="E87" s="34" t="n">
        <x:v>4058.604</x:v>
      </x:c>
      <x:c r="F87" s="34" t="n">
        <x:v>4038.429</x:v>
      </x:c>
      <x:c r="G87" s="34" t="n">
        <x:v>4051.425</x:v>
      </x:c>
      <x:c r="H87" s="34" t="n">
        <x:v>-4.1</x:v>
      </x:c>
      <x:c r="I87" s="35" t="n">
        <x:v>-0.0010163857057999826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4" t="n">
        <x:v>30.7</x:v>
      </x:c>
      <x:c r="I88" s="25" t="n">
        <x:v>0.007578074381236144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4" t="n">
        <x:v>3</x:v>
      </x:c>
      <x:c r="I89" s="25" t="n">
        <x:v>0.0007226624747345145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4" t="n">
        <x:v>21.2</x:v>
      </x:c>
      <x:c r="I90" s="25" t="n">
        <x:v>0.00518496958564052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-0.0031678477095203883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4" t="n">
        <x:v>6.4</x:v>
      </x:c>
      <x:c r="I93" s="25" t="n">
        <x:v>0.001579450476727251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4" t="n">
        <x:v>-7.7</x:v>
      </x:c>
      <x:c r="I94" s="25" t="n">
        <x:v>-0.0018860379840757169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4" t="n">
        <x:v>28.9</x:v>
      </x:c>
      <x:c r="I95" s="25" t="n">
        <x:v>0.007080061304793661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4" t="n">
        <x:v>4.6</x:v>
      </x:c>
      <x:c r="I96" s="25" t="n">
        <x:v>0.0011308543318415687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4" t="n">
        <x:v>48</x:v>
      </x:c>
      <x:c r="I102" s="25" t="n">
        <x:v>0.011676348117862334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4" t="n">
        <x:v>19.9</x:v>
      </x:c>
      <x:c r="I103" s="25" t="n">
        <x:v>0.004787780511103623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4" t="n">
        <x:v>-0.1</x:v>
      </x:c>
      <x:c r="I104" s="25" t="n">
        <x:v>-0.00003349208581993057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4" t="n">
        <x:v>45.1</x:v>
      </x:c>
      <x:c r="I105" s="25" t="n">
        <x:v>0.010782181230789112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4" t="n">
        <x:v>-10.5</x:v>
      </x:c>
      <x:c r="I106" s="25" t="n">
        <x:v>-0.0024927686749959266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4" t="n">
        <x:v>28.1</x:v>
      </x:c>
      <x:c r="I107" s="25" t="n">
        <x:v>0.006663441285527316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4" t="n">
        <x:v>-64.7</x:v>
      </x:c>
      <x:c r="I108" s="25" t="n">
        <x:v>-0.015239340664106704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4174.175</x:v>
      </x:c>
      <x:c r="E109" s="34" t="n">
        <x:v>4191.807</x:v>
      </x:c>
      <x:c r="F109" s="34" t="n">
        <x:v>4114.086</x:v>
      </x:c>
      <x:c r="G109" s="34" t="n">
        <x:v>4135.389</x:v>
      </x:c>
      <x:c r="H109" s="34" t="n">
        <x:v>-42.5</x:v>
      </x:c>
      <x:c r="I109" s="35" t="n">
        <x:v>-0.010179472167715975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4" t="n">
        <x:v>-3.9</x:v>
      </x:c>
      <x:c r="I110" s="25" t="n">
        <x:v>-0.000933648563653855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4" t="n">
        <x:v>38</x:v>
      </x:c>
      <x:c r="I111" s="25" t="n">
        <x:v>0.009199986058426646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4" t="n">
        <x:v>-7.4</x:v>
      </x:c>
      <x:c r="I112" s="25" t="n">
        <x:v>-0.001763504733617749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4" t="n">
        <x:v>-84.9</x:v>
      </x:c>
      <x:c r="I113" s="25" t="n">
        <x:v>-0.020399862091665888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4" t="n">
        <x:v>35.6</x:v>
      </x:c>
      <x:c r="I114" s="25" t="n">
        <x:v>0.008736958514224069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4" t="n">
        <x:v>39.7</x:v>
      </x:c>
      <x:c r="I115" s="25" t="n">
        <x:v>0.009645019329427074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4" t="n">
        <x:v>-7.2</x:v>
      </x:c>
      <x:c r="I116" s="25" t="n">
        <x:v>-0.0017329031739149459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4" t="n">
        <x:v>-51.6</x:v>
      </x:c>
      <x:c r="I117" s="25" t="n">
        <x:v>-0.012458709988220518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4" t="n">
        <x:v>4.9</x:v>
      </x:c>
      <x:c r="I118" s="25" t="n">
        <x:v>0.0011991517753873193</x:v>
      </x:c>
      <x:c r="J118" s="29" t="n">
        <x:f>ROUND(E118-F118,1)</x:f>
        <x:v>55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4" t="n">
        <x:v>-30.1</x:v>
      </x:c>
      <x:c r="I119" s="25" t="n">
        <x:v>-0.00733585514790791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-0.002661623779761424</x:v>
      </x:c>
      <x:c r="J125" s="24" t="n">
        <x:f>ROUND(E125-F125,1)</x:f>
        <x:v>47.4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4" t="n">
        <x:v>17.4</x:v>
      </x:c>
      <x:c r="I126" s="25" t="n">
        <x:v>0.004278736439495834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4" t="n">
        <x:v>8.9</x:v>
      </x:c>
      <x:c r="I127" s="25" t="n">
        <x:v>0.002177123419242033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4" t="n">
        <x:v>-26.2</x:v>
      </x:c>
      <x:c r="I128" s="25" t="n">
        <x:v>-0.006413605963211388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4" t="n">
        <x:v>-30</x:v>
      </x:c>
      <x:c r="I129" s="25" t="n">
        <x:v>-0.0074042931345974505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4" t="n">
        <x:v>-68.4</x:v>
      </x:c>
      <x:c r="I130" s="25" t="n">
        <x:v>-0.01698174855551593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4" t="n">
        <x:v>50.7</x:v>
      </x:c>
      <x:c r="I131" s="25" t="n">
        <x:v>0.012803402993126545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4" t="n">
        <x:v>-16.8</x:v>
      </x:c>
      <x:c r="I132" s="25" t="n">
        <x:v>-0.004190740670084514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4" t="n">
        <x:v>-6.2</x:v>
      </x:c>
      <x:c r="I133" s="25" t="n">
        <x:v>-0.0015553840428766952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4" t="n">
        <x:v>44.5</x:v>
      </x:c>
      <x:c r="I134" s="25" t="n">
        <x:v>0.011160730521455386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4" t="n">
        <x:v>65</x:v>
      </x:c>
      <x:c r="I135" s="25" t="n">
        <x:v>0.016112809260443894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4" t="n">
        <x:v>-4.6</x:v>
      </x:c>
      <x:c r="I136" s="25" t="n">
        <x:v>-0.0011180352264094084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4" t="n">
        <x:v>16.2</x:v>
      </x:c>
      <x:c r="I137" s="25" t="n">
        <x:v>0.003955138600921115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4" t="n">
        <x:v>-17.6</x:v>
      </x:c>
      <x:c r="I138" s="25" t="n">
        <x:v>-0.004283026896289122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4093.955</x:v>
      </x:c>
      <x:c r="E139" s="34" t="n">
        <x:v>4164.418</x:v>
      </x:c>
      <x:c r="F139" s="34" t="n">
        <x:v>4070.172</x:v>
      </x:c>
      <x:c r="G139" s="34" t="n">
        <x:v>4163.097</x:v>
      </x:c>
      <x:c r="H139" s="34" t="n">
        <x:v>72.6</x:v>
      </x:c>
      <x:c r="I139" s="35" t="n">
        <x:v>0.017752435471525052</x:v>
      </x:c>
      <x:c r="J139" s="29" t="n">
        <x:f>ROUND(E139-F139,1)</x:f>
        <x:v>94.2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4" t="n">
        <x:v>-56.8</x:v>
      </x:c>
      <x:c r="I140" s="25" t="n">
        <x:v>-0.013654498081596356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4" t="n">
        <x:v>4.6</x:v>
      </x:c>
      <x:c r="I141" s="25" t="n">
        <x:v>0.0011107452733050138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4" t="n">
        <x:v>9.5</x:v>
      </x:c>
      <x:c r="I142" s="25" t="n">
        <x:v>0.0023031940397191253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4" t="n">
        <x:v>-93</x:v>
      </x:c>
      <x:c r="I143" s="25" t="n">
        <x:v>-0.0225751593155904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4" t="n">
        <x:v>46.6</x:v>
      </x:c>
      <x:c r="I144" s="25" t="n">
        <x:v>0.011580315673291874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4" t="n">
        <x:v>20.5</x:v>
      </x:c>
      <x:c r="I145" s="25" t="n">
        <x:v>0.0050308033919324036</x:v>
      </x:c>
      <x:c r="J145" s="24" t="n">
        <x:f>ROUND(E145-F145,1)</x:f>
        <x:v>45.2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1152.7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4" t="n">
        <x:v>18</x:v>
      </x:c>
      <x:c r="I151" s="25" t="n">
        <x:v>0.004407975093768224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4" t="n">
        <x:v>-83.5</x:v>
      </x:c>
      <x:c r="I152" s="25" t="n">
        <x:v>-0.020314192651816554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4" t="n">
        <x:v>14.7</x:v>
      </x:c>
      <x:c r="I153" s="25" t="n">
        <x:v>0.0036583150156965782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4" t="n">
        <x:v>-2.4</x:v>
      </x:c>
      <x:c r="I154" s="25" t="n">
        <x:v>-0.000594760714533904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4" t="n">
        <x:v>-51</x:v>
      </x:c>
      <x:c r="I155" s="25" t="n">
        <x:v>-0.01262063753730902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4" t="n">
        <x:v>-19.4</x:v>
      </x:c>
      <x:c r="I156" s="25" t="n">
        <x:v>-0.004850591506515234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3977.547</x:v>
      </x:c>
      <x:c r="E157" s="24" t="n">
        <x:v>4040.539</x:v>
      </x:c>
      <x:c r="F157" s="24" t="n">
        <x:v>3938.878</x:v>
      </x:c>
      <x:c r="G157" s="24" t="n">
        <x:v>4036.588</x:v>
      </x:c>
      <x:c r="H157" s="24" t="n">
        <x:v>65.7</x:v>
      </x:c>
      <x:c r="I157" s="25" t="n">
        <x:v>0.01654746554919817</x:v>
      </x:c>
      <x:c r="J157" s="29" t="n">
        <x:f>ROUND(E157-F157,1)</x:f>
        <x:v>101.7</x:v>
      </x:c>
      <x:c r="K157" s="23" t="str">
        <x:v>上证指数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4031.537</x:v>
      </x:c>
      <x:c r="E158" s="24" t="n">
        <x:v>4074.828</x:v>
      </x:c>
      <x:c r="F158" s="24" t="n">
        <x:v>3995.807</x:v>
      </x:c>
      <x:c r="G158" s="24" t="n">
        <x:v>3996.162</x:v>
      </x:c>
      <x:c r="H158" s="24" t="n">
        <x:v>-40.4</x:v>
      </x:c>
      <x:c r="I158" s="25" t="n">
        <x:v>-0.010014893766715938</x:v>
      </x:c>
      <x:c r="J158" s="29" t="n">
        <x:f>ROUND(E158-F158,1)</x:f>
        <x:v>79</x:v>
      </x:c>
      <x:c r="K158" s="23" t="str">
        <x:v>上证指数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3966.023</x:v>
      </x:c>
      <x:c r="E159" s="24" t="n">
        <x:v>3983.054</x:v>
      </x:c>
      <x:c r="F159" s="24" t="n">
        <x:v>3900.668</x:v>
      </x:c>
      <x:c r="G159" s="24" t="n">
        <x:v>3913.794</x:v>
      </x:c>
      <x:c r="H159" s="24" t="n">
        <x:v>-82.4</x:v>
      </x:c>
      <x:c r="I159" s="25" t="n">
        <x:v>-0.020611777000031473</x:v>
      </x:c>
      <x:c r="J159" s="29" t="n">
        <x:f>ROUND(E159-F159,1)</x:f>
        <x:v>82.4</x:v>
      </x:c>
      <x:c r="K159" s="23" t="str">
        <x:v>上证指数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3909.274</x:v>
      </x:c>
      <x:c r="E160" s="24" t="n">
        <x:v>3967.126</x:v>
      </x:c>
      <x:c r="F160" s="24" t="n">
        <x:v>3869.304</x:v>
      </x:c>
      <x:c r="G160" s="24" t="n">
        <x:v>3967.126</x:v>
      </x:c>
      <x:c r="H160" s="24" t="n">
        <x:v>53.3</x:v>
      </x:c>
      <x:c r="I160" s="25" t="n">
        <x:v>0.01362667529256778</x:v>
      </x:c>
      <x:c r="J160" s="29" t="n">
        <x:f>ROUND(E160-F160,1)</x:f>
        <x:v>97.8</x:v>
      </x:c>
      <x:c r="K160" s="23" t="str">
        <x:v>上证指数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3963.727</x:v>
      </x:c>
      <x:c r="E161" s="24" t="n">
        <x:v>3981.672</x:v>
      </x:c>
      <x:c r="F161" s="24" t="n">
        <x:v>3943.695</x:v>
      </x:c>
      <x:c r="G161" s="24" t="n">
        <x:v>3955.578</x:v>
      </x:c>
      <x:c r="H161" s="24" t="n">
        <x:v>-11.5</x:v>
      </x:c>
      <x:c r="I161" s="25" t="n">
        <x:v>-0.002910923424161549</x:v>
      </x:c>
      <x:c r="J161" s="24" t="n">
        <x:f>ROUND(E161-F161,1)</x:f>
        <x:v>38</x:v>
      </x:c>
      <x:c r="K161" s="23" t="str">
        <x:v>上证指数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3912.381</x:v>
      </x:c>
      <x:c r="E162" s="24" t="n">
        <x:v>3940.451</x:v>
      </x:c>
      <x:c r="F162" s="24" t="n">
        <x:v>3867.601</x:v>
      </x:c>
      <x:c r="G162" s="24" t="n">
        <x:v>3882.413</x:v>
      </x:c>
      <x:c r="H162" s="24" t="n">
        <x:v>-73.2</x:v>
      </x:c>
      <x:c r="I162" s="25" t="n">
        <x:v>-0.01849666470993616</x:v>
      </x:c>
      <x:c r="J162" s="29" t="n">
        <x:f>ROUND(E162-F162,1)</x:f>
        <x:v>72.8</x:v>
      </x:c>
      <x:c r="K162" s="23" t="str">
        <x:v>上证指数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3865.317</x:v>
      </x:c>
      <x:c r="E163" s="34" t="n">
        <x:v>3869.215</x:v>
      </x:c>
      <x:c r="F163" s="34" t="n">
        <x:v>3745.174</x:v>
      </x:c>
      <x:c r="G163" s="34" t="n">
        <x:v>3764.155</x:v>
      </x:c>
      <x:c r="H163" s="34" t="n">
        <x:v>-118.3</x:v>
      </x:c>
      <x:c r="I163" s="35" t="n">
        <x:v>-0.030459922733619527</x:v>
      </x:c>
      <x:c r="J163" s="29" t="n">
        <x:f>ROUND(E163-F163,1)</x:f>
        <x:v>124</x:v>
      </x:c>
      <x:c r="K163" s="33" t="str">
        <x:v>上证指数</x:v>
      </x:c>
    </x:row>
    <x:row r="164">
      <x:c r="A164" s="38" t="str">
        <x:v>合计</x:v>
      </x:c>
      <x:c r="B164" s="37" t="n">
        <x:v>13</x:v>
      </x:c>
      <x:c r="C164" s="37"/>
      <x:c r="D164" s="37"/>
      <x:c r="E164" s="37"/>
      <x:c r="F164" s="37"/>
      <x:c r="G164" s="37"/>
      <x:c r="H164" s="37"/>
      <x:c r="I164" s="37"/>
      <x:c r="J164" s="39" t="n">
        <x:f>ROUND(SUM(J151:J163),1)</x:f>
        <x:v>932.2</x:v>
      </x:c>
      <x:c r="K164" s="37"/>
    </x:row>
    <x:row r="165">
      <x:c r="A165" s="38" t="str">
        <x:v>均值</x:v>
      </x:c>
      <x:c r="B165" s="37"/>
      <x:c r="C165" s="37"/>
      <x:c r="D165" s="37"/>
      <x:c r="E165" s="37"/>
      <x:c r="F165" s="37"/>
      <x:c r="G165" s="37"/>
      <x:c r="H165" s="37"/>
      <x:c r="I165" s="37"/>
      <x:c r="J165" s="41" t="n">
        <x:f>ROUND(IFERROR(AVERAGE(J151:J163),0),1)</x:f>
        <x:v>71.7</x:v>
      </x:c>
      <x:c r="K165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7" t="n">
        <x:v>202.8</x:v>
      </x:c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 t="n">
        <x:v>123.4</x:v>
      </x:c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 t="n">
        <x:v>-2.2</x:v>
      </x:c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 t="n">
        <x:v>60.4</x:v>
      </x:c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7" t="n">
        <x:v>227.8</x:v>
      </x:c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7" t="n">
        <x:v>263</x:v>
      </x:c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7" t="n">
        <x:v>-151</x:v>
      </x:c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 t="n">
        <x:v>-4.4</x:v>
      </x:c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 t="n">
        <x:v>39.4</x:v>
      </x:c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 t="n">
        <x:v>-16.2</x:v>
      </x:c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 t="n">
        <x:v>7.4</x:v>
      </x:c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 t="n">
        <x:v>-65.8</x:v>
      </x:c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 t="n">
        <x:v>110.2</x:v>
      </x:c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 t="n">
        <x:v>61.6</x:v>
      </x:c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7" t="n">
        <x:v>224</x:v>
      </x:c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7" t="n">
        <x:v>-227.4</x:v>
      </x:c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 t="n">
        <x:v>68</x:v>
      </x:c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 t="n">
        <x:v>20.6</x:v>
      </x:c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 t="n">
        <x:v>-48.8</x:v>
      </x:c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 t="n">
        <x:v>-68.4</x:v>
      </x:c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7" t="n">
        <x:v>-388.8</x:v>
      </x:c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7" t="n">
        <x:v>311.2</x:v>
      </x:c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 t="n">
        <x:v>20.4</x:v>
      </x:c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7" t="n">
        <x:v>-163.6</x:v>
      </x:c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 t="n">
        <x:v>-49</x:v>
      </x:c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7" t="n">
        <x:v>241.8</x:v>
      </x:c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 t="n">
        <x:v>-3.6</x:v>
      </x:c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 t="n">
        <x:v>12</x:v>
      </x:c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 t="n">
        <x:v>97</x:v>
      </x:c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 t="n">
        <x:v>-149</x:v>
      </x:c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 t="n">
        <x:v>82</x:v>
      </x:c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 t="n">
        <x:v>134.6</x:v>
      </x:c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 t="n">
        <x:v>37.8</x:v>
      </x:c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 t="n">
        <x:v>88</x:v>
      </x:c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 t="n">
        <x:v>-107.6</x:v>
      </x:c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7" t="n">
        <x:v>-294.4</x:v>
      </x:c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 t="n">
        <x:v>-65.2</x:v>
      </x:c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 t="n">
        <x:v>65.8</x:v>
      </x:c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 t="n">
        <x:v>81.8</x:v>
      </x:c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 t="n">
        <x:v>-20.8</x:v>
      </x:c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 t="n">
        <x:v>122.6</x:v>
      </x:c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 t="n">
        <x:v>-0.6</x:v>
      </x:c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 t="n">
        <x:v>-35.8</x:v>
      </x:c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 t="n">
        <x:v>-90.2</x:v>
      </x:c>
      <x:c r="I58" s="25" t="n">
        <x:v>-0.010897404919538056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 t="n">
        <x:v>0</x:v>
      </x:c>
      <x:c r="I59" s="25" t="n">
        <x:v>0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7" t="n">
        <x:v>-173</x:v>
      </x:c>
      <x:c r="I60" s="25" t="n">
        <x:v>-0.02113106143886645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 t="n">
        <x:v>66.4</x:v>
      </x:c>
      <x:c r="I61" s="25" t="n">
        <x:v>0.008285500374344945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7" t="n">
        <x:v>-156.6</x:v>
      </x:c>
      <x:c r="I62" s="25" t="n">
        <x:v>-0.019380228701549318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 t="n">
        <x:v>-47.6</x:v>
      </x:c>
      <x:c r="I63" s="35" t="n">
        <x:v>-0.006007218758676491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7" t="n">
        <x:v>-686.2</x:v>
      </x:c>
      <x:c r="I64" s="25" t="n">
        <x:v>-0.08712323201543892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7" t="n">
        <x:v>197.2</x:v>
      </x:c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 t="n">
        <x:v>90.2</x:v>
      </x:c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 t="n">
        <x:v>-101.8</x:v>
      </x:c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 t="n">
        <x:v>148.2</x:v>
      </x:c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 t="n">
        <x:v>-14.4</x:v>
      </x:c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 t="n">
        <x:v>-130</x:v>
      </x:c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 t="n">
        <x:v>139.2</x:v>
      </x:c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 t="n">
        <x:v>-147</x:v>
      </x:c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 t="n">
        <x:v>-62.2</x:v>
      </x:c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 t="n">
        <x:v>67.2</x:v>
      </x:c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7" t="n">
        <x:v>401.4</x:v>
      </x:c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 t="n">
        <x:v>-68.6</x:v>
      </x:c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 t="n">
        <x:v>76.4</x:v>
      </x:c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 t="n">
        <x:v>9.8</x:v>
      </x:c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 t="n">
        <x:v>117.4</x:v>
      </x:c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 t="n">
        <x:v>-8.4</x:v>
      </x:c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 t="n">
        <x:v>147.6</x:v>
      </x:c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 t="n">
        <x:v>79.8</x:v>
      </x:c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 t="n">
        <x:v>27.2</x:v>
      </x:c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 t="n">
        <x:v>10.8</x:v>
      </x:c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7" t="n">
        <x:v>152.8</x:v>
      </x:c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 t="n">
        <x:v>-103.6</x:v>
      </x:c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 t="n">
        <x:v>-56.2</x:v>
      </x:c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 t="n">
        <x:v>36.2</x:v>
      </x:c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 t="n">
        <x:v>-95.6</x:v>
      </x:c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 t="n">
        <x:v>142.4</x:v>
      </x:c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 t="n">
        <x:v>33.2</x:v>
      </x:c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7" t="n">
        <x:v>182.4</x:v>
      </x:c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7" t="n">
        <x:v>166</x:v>
      </x:c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 t="n">
        <x:v>14.6</x:v>
      </x:c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 t="n">
        <x:v>80.8</x:v>
      </x:c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 t="n">
        <x:v>-21.2</x:v>
      </x:c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7" t="n">
        <x:v>168.8</x:v>
      </x:c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7" t="n">
        <x:v>-180.8</x:v>
      </x:c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 t="n">
        <x:v>-107.2</x:v>
      </x:c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 t="n">
        <x:v>50</x:v>
      </x:c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 t="n">
        <x:v>86</x:v>
      </x:c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 t="n">
        <x:v>-13.6</x:v>
      </x:c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7" t="n">
        <x:v>-266.8</x:v>
      </x:c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7" t="n">
        <x:v>151.6</x:v>
      </x:c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 t="n">
        <x:v>71.6</x:v>
      </x:c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 t="n">
        <x:v>-65.4</x:v>
      </x:c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7" t="n">
        <x:v>-154.8</x:v>
      </x:c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 t="n">
        <x:v>83.2</x:v>
      </x:c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7" t="n">
        <x:v>-179.6</x:v>
      </x:c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 t="n">
        <x:v>-39</x:v>
      </x:c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 t="n">
        <x:v>18.8</x:v>
      </x:c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 t="n">
        <x:v>43.8</x:v>
      </x:c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 t="n">
        <x:v>-13.6</x:v>
      </x:c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 t="n">
        <x:v>-63</x:v>
      </x:c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7" t="n">
        <x:v>-219</x:v>
      </x:c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7" t="n">
        <x:v>160.6</x:v>
      </x:c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 t="n">
        <x:v>-71.2</x:v>
      </x:c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 t="n">
        <x:v>-35.8</x:v>
      </x:c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 t="n">
        <x:v>70.4</x:v>
      </x:c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7" t="n">
        <x:v>278.4</x:v>
      </x:c>
      <x:c r="I135" s="25" t="n">
        <x:v>0.03396447394105029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 t="n">
        <x:v>127.2</x:v>
      </x:c>
      <x:c r="I136" s="25" t="n">
        <x:v>0.01500849537474025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 t="n">
        <x:v>92.6</x:v>
      </x:c>
      <x:c r="I137" s="25" t="n">
        <x:v>0.010764437831302986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 t="n">
        <x:v>71</x:v>
      </x:c>
      <x:c r="I138" s="25" t="n">
        <x:v>0.0081656124209315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8790</x:v>
      </x:c>
      <x:c r="E139" s="34" t="n">
        <x:v>8802.4</x:v>
      </x:c>
      <x:c r="F139" s="34" t="n">
        <x:v>8620.4</x:v>
      </x:c>
      <x:c r="G139" s="34" t="n">
        <x:v>8774.2</x:v>
      </x:c>
      <x:c r="H139" s="34" t="n">
        <x:v>8.2</x:v>
      </x:c>
      <x:c r="I139" s="35" t="n">
        <x:v>0.0009354323522701158</x:v>
      </x:c>
      <x:c r="J139" s="34" t="n">
        <x:f>ROUND(E139-F139,1)</x:f>
        <x:v>182</x:v>
      </x:c>
      <x:c r="K139" s="33" t="str">
        <x:v>IM2606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7" t="n">
        <x:v>-371.2</x:v>
      </x:c>
      <x:c r="I140" s="25" t="n">
        <x:v>-0.042305851245697745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 t="n">
        <x:v>69.4</x:v>
      </x:c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 t="n">
        <x:v>51.4</x:v>
      </x:c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7" t="n">
        <x:v>-204.6</x:v>
      </x:c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 t="n">
        <x:v>-10.6</x:v>
      </x:c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7" t="n">
        <x:v>195.6</x:v>
      </x:c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3848.2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 t="n">
        <x:v>13.4</x:v>
      </x:c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 t="n">
        <x:v>-147.4</x:v>
      </x:c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 t="n">
        <x:v>2.8</x:v>
      </x:c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 t="n">
        <x:v>-108</x:v>
      </x:c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 t="n">
        <x:v>-149.8</x:v>
      </x:c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 t="n">
        <x:v>-141.2</x:v>
      </x:c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8034.8</x:v>
      </x:c>
      <x:c r="E157" s="24" t="n">
        <x:v>8140.2</x:v>
      </x:c>
      <x:c r="F157" s="24" t="n">
        <x:v>7868.2</x:v>
      </x:c>
      <x:c r="G157" s="24" t="n">
        <x:v>8127.4</x:v>
      </x:c>
      <x:c r="H157" s="27" t="n">
        <x:v>153.4</x:v>
      </x:c>
      <x:c r="I157" s="25" t="n">
        <x:v>0.019237521946325442</x:v>
      </x:c>
      <x:c r="J157" s="29" t="n">
        <x:f>ROUND(E157-F157,1)</x:f>
        <x:v>272</x:v>
      </x:c>
      <x:c r="K157" s="23" t="str">
        <x:v>IM2609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8140.2</x:v>
      </x:c>
      <x:c r="E158" s="24" t="n">
        <x:v>8244.8</x:v>
      </x:c>
      <x:c r="F158" s="24" t="n">
        <x:v>8016</x:v>
      </x:c>
      <x:c r="G158" s="24" t="n">
        <x:v>8019.4</x:v>
      </x:c>
      <x:c r="H158" s="24" t="n">
        <x:v>-108</x:v>
      </x:c>
      <x:c r="I158" s="25" t="n">
        <x:v>-0.013288382508551355</x:v>
      </x:c>
      <x:c r="J158" s="29" t="n">
        <x:f>ROUND(E158-F158,1)</x:f>
        <x:v>228.8</x:v>
      </x:c>
      <x:c r="K158" s="23" t="str">
        <x:v>IM2609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7995</x:v>
      </x:c>
      <x:c r="E159" s="24" t="n">
        <x:v>8029.8</x:v>
      </x:c>
      <x:c r="F159" s="24" t="n">
        <x:v>7651</x:v>
      </x:c>
      <x:c r="G159" s="24" t="n">
        <x:v>7684.4</x:v>
      </x:c>
      <x:c r="H159" s="27" t="n">
        <x:v>-335</x:v>
      </x:c>
      <x:c r="I159" s="25" t="n">
        <x:v>-0.04177369878045745</x:v>
      </x:c>
      <x:c r="J159" s="29" t="n">
        <x:f>ROUND(E159-F159,1)</x:f>
        <x:v>378.8</x:v>
      </x:c>
      <x:c r="K159" s="23" t="str">
        <x:v>IM2609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7720</x:v>
      </x:c>
      <x:c r="E160" s="24" t="n">
        <x:v>7810.6</x:v>
      </x:c>
      <x:c r="F160" s="24" t="n">
        <x:v>7580</x:v>
      </x:c>
      <x:c r="G160" s="24" t="n">
        <x:v>7788</x:v>
      </x:c>
      <x:c r="H160" s="24" t="n">
        <x:v>103.6</x:v>
      </x:c>
      <x:c r="I160" s="25" t="n">
        <x:v>0.013481859351413217</x:v>
      </x:c>
      <x:c r="J160" s="29" t="n">
        <x:f>ROUND(E160-F160,1)</x:f>
        <x:v>230.6</x:v>
      </x:c>
      <x:c r="K160" s="23" t="str">
        <x:v>IM2609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7838</x:v>
      </x:c>
      <x:c r="E161" s="24" t="n">
        <x:v>7846</x:v>
      </x:c>
      <x:c r="F161" s="24" t="n">
        <x:v>7661.4</x:v>
      </x:c>
      <x:c r="G161" s="24" t="n">
        <x:v>7723.2</x:v>
      </x:c>
      <x:c r="H161" s="24" t="n">
        <x:v>-64.8</x:v>
      </x:c>
      <x:c r="I161" s="25" t="n">
        <x:v>-0.008320493066255819</x:v>
      </x:c>
      <x:c r="J161" s="24" t="n">
        <x:f>ROUND(E161-F161,1)</x:f>
        <x:v>184.6</x:v>
      </x:c>
      <x:c r="K161" s="23" t="str">
        <x:v>IM2609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7648.6</x:v>
      </x:c>
      <x:c r="E162" s="24" t="n">
        <x:v>7750.2</x:v>
      </x:c>
      <x:c r="F162" s="24" t="n">
        <x:v>7511</x:v>
      </x:c>
      <x:c r="G162" s="24" t="n">
        <x:v>7552.6</x:v>
      </x:c>
      <x:c r="H162" s="27" t="n">
        <x:v>-170.6</x:v>
      </x:c>
      <x:c r="I162" s="25" t="n">
        <x:v>-0.022089289413714464</x:v>
      </x:c>
      <x:c r="J162" s="29" t="n">
        <x:f>ROUND(E162-F162,1)</x:f>
        <x:v>239.2</x:v>
      </x:c>
      <x:c r="K162" s="23" t="str">
        <x:v>IM2609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7520</x:v>
      </x:c>
      <x:c r="E163" s="34" t="n">
        <x:v>7534.6</x:v>
      </x:c>
      <x:c r="F163" s="34" t="n">
        <x:v>7018.8</x:v>
      </x:c>
      <x:c r="G163" s="34" t="n">
        <x:v>7065.2</x:v>
      </x:c>
      <x:c r="H163" s="27" t="n">
        <x:v>-487.4</x:v>
      </x:c>
      <x:c r="I163" s="35" t="n">
        <x:v>-0.06453406773826242</x:v>
      </x:c>
      <x:c r="J163" s="29" t="n">
        <x:f>ROUND(E163-F163,1)</x:f>
        <x:v>515.8</x:v>
      </x:c>
      <x:c r="K163" s="33" t="str">
        <x:v>IM2609</x:v>
      </x:c>
    </x:row>
    <x:row r="164">
      <x:c r="A164" s="38" t="str">
        <x:v>合计</x:v>
      </x:c>
      <x:c r="B164" s="37" t="n">
        <x:v>13</x:v>
      </x:c>
      <x:c r="C164" s="37"/>
      <x:c r="D164" s="37"/>
      <x:c r="E164" s="37"/>
      <x:c r="F164" s="37"/>
      <x:c r="G164" s="37"/>
      <x:c r="H164" s="37"/>
      <x:c r="I164" s="37"/>
      <x:c r="J164" s="39" t="n">
        <x:f>ROUND(SUM(J151:J163),1)</x:f>
        <x:v>3145</x:v>
      </x:c>
      <x:c r="K164" s="37"/>
    </x:row>
    <x:row r="165">
      <x:c r="A165" s="38" t="str">
        <x:v>均值</x:v>
      </x:c>
      <x:c r="B165" s="37"/>
      <x:c r="C165" s="37"/>
      <x:c r="D165" s="37"/>
      <x:c r="E165" s="37"/>
      <x:c r="F165" s="37"/>
      <x:c r="G165" s="37"/>
      <x:c r="H165" s="37"/>
      <x:c r="I165" s="37"/>
      <x:c r="J165" s="41" t="n">
        <x:f>ROUND(IFERROR(AVERAGE(J151:J163),0),1)</x:f>
        <x:v>241.9</x:v>
      </x:c>
      <x:c r="K165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7" t="n">
        <x:v>233.2</x:v>
      </x:c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7" t="n">
        <x:v>190.4</x:v>
      </x:c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 t="n">
        <x:v>16.2</x:v>
      </x:c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 t="n">
        <x:v>11.8</x:v>
      </x:c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7" t="n">
        <x:v>223.4</x:v>
      </x:c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7" t="n">
        <x:v>198.8</x:v>
      </x:c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 t="n">
        <x:v>-105.4</x:v>
      </x:c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 t="n">
        <x:v>66.6</x:v>
      </x:c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 t="n">
        <x:v>9</x:v>
      </x:c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 t="n">
        <x:v>3.6</x:v>
      </x:c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 t="n">
        <x:v>55.6</x:v>
      </x:c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 t="n">
        <x:v>-17.2</x:v>
      </x:c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 t="n">
        <x:v>122.2</x:v>
      </x:c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 t="n">
        <x:v>29</x:v>
      </x:c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7" t="n">
        <x:v>258.2</x:v>
      </x:c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7" t="n">
        <x:v>-188.2</x:v>
      </x:c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 t="n">
        <x:v>77.6</x:v>
      </x:c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 t="n">
        <x:v>74.4</x:v>
      </x:c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 t="n">
        <x:v>-104.4</x:v>
      </x:c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7" t="n">
        <x:v>-155.2</x:v>
      </x:c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7" t="n">
        <x:v>-459.2</x:v>
      </x:c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7" t="n">
        <x:v>378.8</x:v>
      </x:c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 t="n">
        <x:v>31.6</x:v>
      </x:c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7" t="n">
        <x:v>-193.4</x:v>
      </x:c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 t="n">
        <x:v>-2.8</x:v>
      </x:c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7" t="n">
        <x:v>194.2</x:v>
      </x:c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 t="n">
        <x:v>-20.8</x:v>
      </x:c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 t="n">
        <x:v>45.6</x:v>
      </x:c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 t="n">
        <x:v>112.4</x:v>
      </x:c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7" t="n">
        <x:v>-174</x:v>
      </x:c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 t="n">
        <x:v>96.8</x:v>
      </x:c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7" t="n">
        <x:v>157.4</x:v>
      </x:c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 t="n">
        <x:v>8.4</x:v>
      </x:c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 t="n">
        <x:v>108</x:v>
      </x:c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 t="n">
        <x:v>-18.4</x:v>
      </x:c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7" t="n">
        <x:v>-360.8</x:v>
      </x:c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 t="n">
        <x:v>-46.8</x:v>
      </x:c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 t="n">
        <x:v>36.2</x:v>
      </x:c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 t="n">
        <x:v>67</x:v>
      </x:c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 t="n">
        <x:v>-55.6</x:v>
      </x:c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 t="n">
        <x:v>126.6</x:v>
      </x:c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 t="n">
        <x:v>-33.6</x:v>
      </x:c>
      <x:c r="I56" s="25" t="n">
        <x:v>-0.004003049942813641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 t="n">
        <x:v>-59</x:v>
      </x:c>
      <x:c r="I57" s="25" t="n">
        <x:v>-0.00705741626794254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 t="n">
        <x:v>-87.2</x:v>
      </x:c>
      <x:c r="I58" s="25" t="n">
        <x:v>-0.01050475846283594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 t="n">
        <x:v>-35.4</x:v>
      </x:c>
      <x:c r="I59" s="25" t="n">
        <x:v>-0.004309820058925218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7" t="n">
        <x:v>-178.4</x:v>
      </x:c>
      <x:c r="I60" s="25" t="n">
        <x:v>-0.021813557664090766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 t="n">
        <x:v>86</x:v>
      </x:c>
      <x:c r="I61" s="25" t="n">
        <x:v>0.010750000000000037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7" t="n">
        <x:v>-199.6</x:v>
      </x:c>
      <x:c r="I62" s="25" t="n">
        <x:v>-0.024684640118723733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 t="n">
        <x:v>-42</x:v>
      </x:c>
      <x:c r="I63" s="35" t="n">
        <x:v>-0.00532562385879487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7" t="n">
        <x:v>-609.4</x:v>
      </x:c>
      <x:c r="I64" s="25" t="n">
        <x:v>-0.07768599255519859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7" t="n">
        <x:v>174.6</x:v>
      </x:c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 t="n">
        <x:v>120.4</x:v>
      </x:c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 t="n">
        <x:v>-116.2</x:v>
      </x:c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 t="n">
        <x:v>145.4</x:v>
      </x:c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 t="n">
        <x:v>1.4</x:v>
      </x:c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 t="n">
        <x:v>-135.6</x:v>
      </x:c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 t="n">
        <x:v>140.8</x:v>
      </x:c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7" t="n">
        <x:v>-156.2</x:v>
      </x:c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 t="n">
        <x:v>-57.6</x:v>
      </x:c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 t="n">
        <x:v>36.8</x:v>
      </x:c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7" t="n">
        <x:v>443</x:v>
      </x:c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 t="n">
        <x:v>-83</x:v>
      </x:c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 t="n">
        <x:v>79.8</x:v>
      </x:c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 t="n">
        <x:v>-19.8</x:v>
      </x:c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 t="n">
        <x:v>129.6</x:v>
      </x:c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 t="n">
        <x:v>-34.4</x:v>
      </x:c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7" t="n">
        <x:v>161</x:v>
      </x:c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 t="n">
        <x:v>33.8</x:v>
      </x:c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 t="n">
        <x:v>47.4</x:v>
      </x:c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 t="n">
        <x:v>-21.8</x:v>
      </x:c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 t="n">
        <x:v>139.8</x:v>
      </x:c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 t="n">
        <x:v>-87.2</x:v>
      </x:c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 t="n">
        <x:v>-44.2</x:v>
      </x:c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 t="n">
        <x:v>53.6</x:v>
      </x:c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 t="n">
        <x:v>-91.8</x:v>
      </x:c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7" t="n">
        <x:v>175.4</x:v>
      </x:c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 t="n">
        <x:v>0</x:v>
      </x:c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7" t="n">
        <x:v>227.6</x:v>
      </x:c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 t="n">
        <x:v>127.2</x:v>
      </x:c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 t="n">
        <x:v>-4</x:v>
      </x:c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 t="n">
        <x:v>117.8</x:v>
      </x:c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 t="n">
        <x:v>-43.2</x:v>
      </x:c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7" t="n">
        <x:v>154.8</x:v>
      </x:c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7" t="n">
        <x:v>-242.2</x:v>
      </x:c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27" t="n">
        <x:v>-159.2</x:v>
      </x:c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 t="n">
        <x:v>30.4</x:v>
      </x:c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 t="n">
        <x:v>56</x:v>
      </x:c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 t="n">
        <x:v>38.6</x:v>
      </x:c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7" t="n">
        <x:v>-247</x:v>
      </x:c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 t="n">
        <x:v>142.4</x:v>
      </x:c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 t="n">
        <x:v>113.6</x:v>
      </x:c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 t="n">
        <x:v>-17.8</x:v>
      </x:c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 t="n">
        <x:v>-149.2</x:v>
      </x:c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 t="n">
        <x:v>42.2</x:v>
      </x:c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7" t="n">
        <x:v>-183.4</x:v>
      </x:c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 t="n">
        <x:v>-49.4</x:v>
      </x:c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 t="n">
        <x:v>35.2</x:v>
      </x:c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 t="n">
        <x:v>53.8</x:v>
      </x:c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 t="n">
        <x:v>-14</x:v>
      </x:c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 t="n">
        <x:v>-109.6</x:v>
      </x:c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7" t="n">
        <x:v>-255.6</x:v>
      </x:c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7" t="n">
        <x:v>177.4</x:v>
      </x:c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 t="n">
        <x:v>-88.2</x:v>
      </x:c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 t="n">
        <x:v>-33.4</x:v>
      </x:c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 t="n">
        <x:v>126.4</x:v>
      </x:c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7" t="n">
        <x:v>267.6</x:v>
      </x:c>
      <x:c r="I135" s="25" t="n">
        <x:v>0.03296703296703285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 t="n">
        <x:v>91</x:v>
      </x:c>
      <x:c r="I136" s="25" t="n">
        <x:v>0.010852972044652187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 t="n">
        <x:v>137.4</x:v>
      </x:c>
      <x:c r="I137" s="25" t="n">
        <x:v>0.01621085915193854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 t="n">
        <x:v>69.6</x:v>
      </x:c>
      <x:c r="I138" s="25" t="n">
        <x:v>0.008080620443040809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8692.8</x:v>
      </x:c>
      <x:c r="E139" s="34" t="n">
        <x:v>8778.8</x:v>
      </x:c>
      <x:c r="F139" s="34" t="n">
        <x:v>8607.4</x:v>
      </x:c>
      <x:c r="G139" s="34" t="n">
        <x:v>8778.2</x:v>
      </x:c>
      <x:c r="H139" s="34" t="n">
        <x:v>95.4</x:v>
      </x:c>
      <x:c r="I139" s="35" t="n">
        <x:v>0.010987239139448324</x:v>
      </x:c>
      <x:c r="J139" s="29" t="n">
        <x:f>ROUND(E139-F139,1)</x:f>
        <x:v>171.4</x:v>
      </x:c>
      <x:c r="K139" s="33" t="str">
        <x:v>IC2606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7" t="n">
        <x:v>-323.2</x:v>
      </x:c>
      <x:c r="I140" s="25" t="n">
        <x:v>-0.03681848214896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 t="n">
        <x:v>140</x:v>
      </x:c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 t="n">
        <x:v>104.4</x:v>
      </x:c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7" t="n">
        <x:v>-252.4</x:v>
      </x:c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 t="n">
        <x:v>90.6</x:v>
      </x:c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7" t="n">
        <x:v>245.4</x:v>
      </x:c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4146.2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197.4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 t="n">
        <x:v>-70</x:v>
      </x:c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7" t="n">
        <x:v>-225</x:v>
      </x:c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 t="n">
        <x:v>50</x:v>
      </x:c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 t="n">
        <x:v>-71</x:v>
      </x:c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 t="n">
        <x:v>-144.4</x:v>
      </x:c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 t="n">
        <x:v>-67.4</x:v>
      </x:c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7" t="n">
        <x:v>247.2</x:v>
      </x:c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8522</x:v>
      </x:c>
      <x:c r="E158" s="24" t="n">
        <x:v>8618</x:v>
      </x:c>
      <x:c r="F158" s="24" t="n">
        <x:v>8330</x:v>
      </x:c>
      <x:c r="G158" s="24" t="n">
        <x:v>8333</x:v>
      </x:c>
      <x:c r="H158" s="27" t="n">
        <x:v>-169.4</x:v>
      </x:c>
      <x:c r="I158" s="25" t="n">
        <x:v>-0.019923786225065854</x:v>
      </x:c>
      <x:c r="J158" s="29" t="n">
        <x:f>ROUND(E158-F158,1)</x:f>
        <x:v>288</x:v>
      </x:c>
      <x:c r="K158" s="23" t="str">
        <x:v>IC2609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8303</x:v>
      </x:c>
      <x:c r="E159" s="24" t="n">
        <x:v>8328</x:v>
      </x:c>
      <x:c r="F159" s="24" t="n">
        <x:v>7995.8</x:v>
      </x:c>
      <x:c r="G159" s="24" t="n">
        <x:v>8021.6</x:v>
      </x:c>
      <x:c r="H159" s="27" t="n">
        <x:v>-311.4</x:v>
      </x:c>
      <x:c r="I159" s="25" t="n">
        <x:v>-0.037369494779791124</x:v>
      </x:c>
      <x:c r="J159" s="29" t="n">
        <x:f>ROUND(E159-F159,1)</x:f>
        <x:v>332.2</x:v>
      </x:c>
      <x:c r="K159" s="23" t="str">
        <x:v>IC2609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8043.2</x:v>
      </x:c>
      <x:c r="E160" s="24" t="n">
        <x:v>8166</x:v>
      </x:c>
      <x:c r="F160" s="24" t="n">
        <x:v>7881</x:v>
      </x:c>
      <x:c r="G160" s="24" t="n">
        <x:v>8117</x:v>
      </x:c>
      <x:c r="H160" s="24" t="n">
        <x:v>95.4</x:v>
      </x:c>
      <x:c r="I160" s="25" t="n">
        <x:v>0.011892889199162315</x:v>
      </x:c>
      <x:c r="J160" s="29" t="n">
        <x:f>ROUND(E160-F160,1)</x:f>
        <x:v>285</x:v>
      </x:c>
      <x:c r="K160" s="23" t="str">
        <x:v>IC2609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8160</x:v>
      </x:c>
      <x:c r="E161" s="24" t="n">
        <x:v>8192.2</x:v>
      </x:c>
      <x:c r="F161" s="24" t="n">
        <x:v>7983.8</x:v>
      </x:c>
      <x:c r="G161" s="24" t="n">
        <x:v>8046.4</x:v>
      </x:c>
      <x:c r="H161" s="24" t="n">
        <x:v>-70.6</x:v>
      </x:c>
      <x:c r="I161" s="25" t="n">
        <x:v>-0.008697794751755583</x:v>
      </x:c>
      <x:c r="J161" s="29" t="n">
        <x:f>ROUND(E161-F161,1)</x:f>
        <x:v>208.4</x:v>
      </x:c>
      <x:c r="K161" s="23" t="str">
        <x:v>IC2609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7955.4</x:v>
      </x:c>
      <x:c r="E162" s="24" t="n">
        <x:v>8054.4</x:v>
      </x:c>
      <x:c r="F162" s="24" t="n">
        <x:v>7823</x:v>
      </x:c>
      <x:c r="G162" s="24" t="n">
        <x:v>7869.6</x:v>
      </x:c>
      <x:c r="H162" s="27" t="n">
        <x:v>-176.8</x:v>
      </x:c>
      <x:c r="I162" s="25" t="n">
        <x:v>-0.021972559156890004</x:v>
      </x:c>
      <x:c r="J162" s="29" t="n">
        <x:f>ROUND(E162-F162,1)</x:f>
        <x:v>231.4</x:v>
      </x:c>
      <x:c r="K162" s="23" t="str">
        <x:v>IC2609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2906.4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242.2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 t="n">
        <x:v>97.2</x:v>
      </x:c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 t="n">
        <x:v>81</x:v>
      </x:c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 t="n">
        <x:v>-25</x:v>
      </x:c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 t="n">
        <x:v>-34.6</x:v>
      </x:c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 t="n">
        <x:v>25.4</x:v>
      </x:c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 t="n">
        <x:v>30.2</x:v>
      </x:c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 t="n">
        <x:v>-15.4</x:v>
      </x:c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 t="n">
        <x:v>-18.6</x:v>
      </x:c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 t="n">
        <x:v>6.6</x:v>
      </x:c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 t="n">
        <x:v>-23.4</x:v>
      </x:c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 t="n">
        <x:v>5.4</x:v>
      </x:c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 t="n">
        <x:v>-20</x:v>
      </x:c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 t="n">
        <x:v>14.2</x:v>
      </x:c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 t="n">
        <x:v>-3.4</x:v>
      </x:c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 t="n">
        <x:v>-10.2</x:v>
      </x:c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 t="n">
        <x:v>10.2</x:v>
      </x:c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 t="n">
        <x:v>-1.2</x:v>
      </x:c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 t="n">
        <x:v>14.6</x:v>
      </x:c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 t="n">
        <x:v>51.2</x:v>
      </x:c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 t="n">
        <x:v>-73</x:v>
      </x:c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 t="n">
        <x:v>-133.6</x:v>
      </x:c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 t="n">
        <x:v>75.6</x:v>
      </x:c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 t="n">
        <x:v>40.6</x:v>
      </x:c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 t="n">
        <x:v>-28.4</x:v>
      </x:c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 t="n">
        <x:v>-27.6</x:v>
      </x:c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 t="n">
        <x:v>83.6</x:v>
      </x:c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 t="n">
        <x:v>2.8</x:v>
      </x:c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 t="n">
        <x:v>-9.2</x:v>
      </x:c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 t="n">
        <x:v>2</x:v>
      </x:c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 t="n">
        <x:v>-89.8</x:v>
      </x:c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 t="n">
        <x:v>56.4</x:v>
      </x:c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 t="n">
        <x:v>48</x:v>
      </x:c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 t="n">
        <x:v>-19.2</x:v>
      </x:c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 t="n">
        <x:v>1.6</x:v>
      </x:c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 t="n">
        <x:v>-2.6</x:v>
      </x:c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 t="n">
        <x:v>-59.8</x:v>
      </x:c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 t="n">
        <x:v>-60.4</x:v>
      </x:c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 t="n">
        <x:v>38</x:v>
      </x:c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 t="n">
        <x:v>17</x:v>
      </x:c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 t="n">
        <x:v>-46.8</x:v>
      </x:c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 t="n">
        <x:v>64.8</x:v>
      </x:c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 t="n">
        <x:v>23</x:v>
      </x:c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 t="n">
        <x:v>-28.6</x:v>
      </x:c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 t="n">
        <x:v>-0.4</x:v>
      </x:c>
      <x:c r="I58" s="25" t="n">
        <x:v>-0.00008586639189411827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 t="n">
        <x:v>4.8</x:v>
      </x:c>
      <x:c r="I59" s="25" t="n">
        <x:v>0.0010304851867755094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 t="n">
        <x:v>-34</x:v>
      </x:c>
      <x:c r="I60" s="25" t="n">
        <x:v>-0.007291756026421847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 t="n">
        <x:v>22.6</x:v>
      </x:c>
      <x:c r="I61" s="25" t="n">
        <x:v>0.004882474939509107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 t="n">
        <x:v>-64.8</x:v>
      </x:c>
      <x:c r="I62" s="25" t="n">
        <x:v>-0.013931289504235167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 t="n">
        <x:v>10.2</x:v>
      </x:c>
      <x:c r="I63" s="35" t="n">
        <x:v>0.002223869532987255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7" t="n">
        <x:v>-252.4</x:v>
      </x:c>
      <x:c r="I64" s="25" t="n">
        <x:v>-0.05490776192133673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 t="n">
        <x:v>44</x:v>
      </x:c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 t="n">
        <x:v>61.6</x:v>
      </x:c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 t="n">
        <x:v>-54</x:v>
      </x:c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 t="n">
        <x:v>31.4</x:v>
      </x:c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 t="n">
        <x:v>-13.4</x:v>
      </x:c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 t="n">
        <x:v>-38.2</x:v>
      </x:c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 t="n">
        <x:v>72.4</x:v>
      </x:c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 t="n">
        <x:v>-58</x:v>
      </x:c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 t="n">
        <x:v>-28</x:v>
      </x:c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 t="n">
        <x:v>-2.2</x:v>
      </x:c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7" t="n">
        <x:v>179.6</x:v>
      </x:c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 t="n">
        <x:v>-39.6</x:v>
      </x:c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 t="n">
        <x:v>62</x:v>
      </x:c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 t="n">
        <x:v>8.6</x:v>
      </x:c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 t="n">
        <x:v>69</x:v>
      </x:c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 t="n">
        <x:v>-14.4</x:v>
      </x:c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 t="n">
        <x:v>52.6</x:v>
      </x:c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 t="n">
        <x:v>-10.8</x:v>
      </x:c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 t="n">
        <x:v>29.6</x:v>
      </x:c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 t="n">
        <x:v>11.2</x:v>
      </x:c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 t="n">
        <x:v>37</x:v>
      </x:c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 t="n">
        <x:v>-20.4</x:v>
      </x:c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 t="n">
        <x:v>-10.8</x:v>
      </x:c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 t="n">
        <x:v>2</x:v>
      </x:c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 t="n">
        <x:v>-13.2</x:v>
      </x:c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 t="n">
        <x:v>63.6</x:v>
      </x:c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 t="n">
        <x:v>-2.6</x:v>
      </x:c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 t="n">
        <x:v>76</x:v>
      </x:c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 t="n">
        <x:v>23</x:v>
      </x:c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 t="n">
        <x:v>-25.6</x:v>
      </x:c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 t="n">
        <x:v>75.8</x:v>
      </x:c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 t="n">
        <x:v>-1</x:v>
      </x:c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 t="n">
        <x:v>57.2</x:v>
      </x:c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 t="n">
        <x:v>-84.4</x:v>
      </x:c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 t="n">
        <x:v>-60.4</x:v>
      </x:c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 t="n">
        <x:v>-22</x:v>
      </x:c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 t="n">
        <x:v>11.2</x:v>
      </x:c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 t="n">
        <x:v>-6.6</x:v>
      </x:c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 t="n">
        <x:v>-63.6</x:v>
      </x:c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 t="n">
        <x:v>45.2</x:v>
      </x:c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 t="n">
        <x:v>64.4</x:v>
      </x:c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 t="n">
        <x:v>46.6</x:v>
      </x:c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 t="n">
        <x:v>-42</x:v>
      </x:c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 t="n">
        <x:v>-1.2</x:v>
      </x:c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 t="n">
        <x:v>-8.2</x:v>
      </x:c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 t="n">
        <x:v>-36.8</x:v>
      </x:c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 t="n">
        <x:v>67.6</x:v>
      </x:c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 t="n">
        <x:v>35.2</x:v>
      </x:c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 t="n">
        <x:v>-42.8</x:v>
      </x:c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 t="n">
        <x:v>-94.2</x:v>
      </x:c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 t="n">
        <x:v>-94.2</x:v>
      </x:c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 t="n">
        <x:v>61</x:v>
      </x:c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 t="n">
        <x:v>-22.2</x:v>
      </x:c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 t="n">
        <x:v>-28</x:v>
      </x:c>
      <x:c r="I133" s="25" t="n">
        <x:v>-0.0059304443597237855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 t="n">
        <x:v>76.4</x:v>
      </x:c>
      <x:c r="I134" s="25" t="n">
        <x:v>0.016278177866791754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 t="n">
        <x:v>110.2</x:v>
      </x:c>
      <x:c r="I135" s="25" t="n">
        <x:v>0.02310369407522317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 t="n">
        <x:v>-4.8</x:v>
      </x:c>
      <x:c r="I136" s="25" t="n">
        <x:v>-0.0009836065573770592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 t="n">
        <x:v>52.8</x:v>
      </x:c>
      <x:c r="I137" s="25" t="n">
        <x:v>0.010830324909747224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 t="n">
        <x:v>32.6</x:v>
      </x:c>
      <x:c r="I138" s="25" t="n">
        <x:v>0.006615259740259782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4956</x:v>
      </x:c>
      <x:c r="E139" s="34" t="n">
        <x:v>5030.2</x:v>
      </x:c>
      <x:c r="F139" s="34" t="n">
        <x:v>4925.2</x:v>
      </x:c>
      <x:c r="G139" s="34" t="n">
        <x:v>5029.2</x:v>
      </x:c>
      <x:c r="H139" s="34" t="n">
        <x:v>68.6</x:v>
      </x:c>
      <x:c r="I139" s="35" t="n">
        <x:v>0.013828972301737519</x:v>
      </x:c>
      <x:c r="J139" s="29" t="n">
        <x:f>ROUND(E139-F139,1)</x:f>
        <x:v>105</x:v>
      </x:c>
      <x:c r="K139" s="33" t="str">
        <x:v>IF2606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7" t="n">
        <x:v>-216.8</x:v>
      </x:c>
      <x:c r="I140" s="25" t="n">
        <x:v>-0.04310824783265732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 t="n">
        <x:v>18.4</x:v>
      </x:c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 t="n">
        <x:v>76.2</x:v>
      </x:c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7" t="n">
        <x:v>-158.8</x:v>
      </x:c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 t="n">
        <x:v>48.2</x:v>
      </x:c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 t="n">
        <x:v>59.4</x:v>
      </x:c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1885.4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89.8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 t="n">
        <x:v>-24.6</x:v>
      </x:c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 t="n">
        <x:v>-111.8</x:v>
      </x:c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 t="n">
        <x:v>32.8</x:v>
      </x:c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 t="n">
        <x:v>1</x:v>
      </x:c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 t="n">
        <x:v>-49.8</x:v>
      </x:c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 t="n">
        <x:v>-35.4</x:v>
      </x:c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4690</x:v>
      </x:c>
      <x:c r="E157" s="24" t="n">
        <x:v>4804</x:v>
      </x:c>
      <x:c r="F157" s="24" t="n">
        <x:v>4665.2</x:v>
      </x:c>
      <x:c r="G157" s="24" t="n">
        <x:v>4780.8</x:v>
      </x:c>
      <x:c r="H157" s="24" t="n">
        <x:v>112.8</x:v>
      </x:c>
      <x:c r="I157" s="25" t="n">
        <x:v>0.02416452442159378</x:v>
      </x:c>
      <x:c r="J157" s="29" t="n">
        <x:f>ROUND(E157-F157,1)</x:f>
        <x:v>138.8</x:v>
      </x:c>
      <x:c r="K157" s="23" t="str">
        <x:v>IF2609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4790.2</x:v>
      </x:c>
      <x:c r="E158" s="24" t="n">
        <x:v>4822.2</x:v>
      </x:c>
      <x:c r="F158" s="24" t="n">
        <x:v>4703.6</x:v>
      </x:c>
      <x:c r="G158" s="24" t="n">
        <x:v>4704.6</x:v>
      </x:c>
      <x:c r="H158" s="24" t="n">
        <x:v>-76.2</x:v>
      </x:c>
      <x:c r="I158" s="25" t="n">
        <x:v>-0.015938755020080242</x:v>
      </x:c>
      <x:c r="J158" s="29" t="n">
        <x:f>ROUND(E158-F158,1)</x:f>
        <x:v>118.6</x:v>
      </x:c>
      <x:c r="K158" s="23" t="str">
        <x:v>IF2609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4691</x:v>
      </x:c>
      <x:c r="E159" s="24" t="n">
        <x:v>4705</x:v>
      </x:c>
      <x:c r="F159" s="24" t="n">
        <x:v>4610.2</x:v>
      </x:c>
      <x:c r="G159" s="24" t="n">
        <x:v>4634.6</x:v>
      </x:c>
      <x:c r="H159" s="24" t="n">
        <x:v>-70</x:v>
      </x:c>
      <x:c r="I159" s="25" t="n">
        <x:v>-0.014879054542362824</x:v>
      </x:c>
      <x:c r="J159" s="29" t="n">
        <x:f>ROUND(E159-F159,1)</x:f>
        <x:v>94.8</x:v>
      </x:c>
      <x:c r="K159" s="23" t="str">
        <x:v>IF2609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4640</x:v>
      </x:c>
      <x:c r="E160" s="24" t="n">
        <x:v>4713.2</x:v>
      </x:c>
      <x:c r="F160" s="24" t="n">
        <x:v>4593</x:v>
      </x:c>
      <x:c r="G160" s="24" t="n">
        <x:v>4690</x:v>
      </x:c>
      <x:c r="H160" s="24" t="n">
        <x:v>55.4</x:v>
      </x:c>
      <x:c r="I160" s="25" t="n">
        <x:v>0.011953566650843683</x:v>
      </x:c>
      <x:c r="J160" s="29" t="n">
        <x:f>ROUND(E160-F160,1)</x:f>
        <x:v>120.2</x:v>
      </x:c>
      <x:c r="K160" s="23" t="str">
        <x:v>IF2609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4706</x:v>
      </x:c>
      <x:c r="E161" s="24" t="n">
        <x:v>4739.4</x:v>
      </x:c>
      <x:c r="F161" s="24" t="n">
        <x:v>4690.6</x:v>
      </x:c>
      <x:c r="G161" s="24" t="n">
        <x:v>4717.4</x:v>
      </x:c>
      <x:c r="H161" s="24" t="n">
        <x:v>27.4</x:v>
      </x:c>
      <x:c r="I161" s="25" t="n">
        <x:v>0.005842217484008483</x:v>
      </x:c>
      <x:c r="J161" s="24" t="n">
        <x:f>ROUND(E161-F161,1)</x:f>
        <x:v>48.8</x:v>
      </x:c>
      <x:c r="K161" s="23" t="str">
        <x:v>IF2609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4677</x:v>
      </x:c>
      <x:c r="E162" s="24" t="n">
        <x:v>4712.6</x:v>
      </x:c>
      <x:c r="F162" s="24" t="n">
        <x:v>4618</x:v>
      </x:c>
      <x:c r="G162" s="24" t="n">
        <x:v>4645.6</x:v>
      </x:c>
      <x:c r="H162" s="24" t="n">
        <x:v>-71.8</x:v>
      </x:c>
      <x:c r="I162" s="25" t="n">
        <x:v>-0.015220248441938256</x:v>
      </x:c>
      <x:c r="J162" s="29" t="n">
        <x:f>ROUND(E162-F162,1)</x:f>
        <x:v>94.6</x:v>
      </x:c>
      <x:c r="K162" s="23" t="str">
        <x:v>IF2609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4615.8</x:v>
      </x:c>
      <x:c r="E163" s="34" t="n">
        <x:v>4633.8</x:v>
      </x:c>
      <x:c r="F163" s="34" t="n">
        <x:v>4441.4</x:v>
      </x:c>
      <x:c r="G163" s="34" t="n">
        <x:v>4473.8</x:v>
      </x:c>
      <x:c r="H163" s="27" t="n">
        <x:v>-171.8</x:v>
      </x:c>
      <x:c r="I163" s="35" t="n">
        <x:v>-0.036981229550542505</x:v>
      </x:c>
      <x:c r="J163" s="29" t="n">
        <x:f>ROUND(E163-F163,1)</x:f>
        <x:v>192.4</x:v>
      </x:c>
      <x:c r="K163" s="33" t="str">
        <x:v>IF2609</x:v>
      </x:c>
    </x:row>
    <x:row r="164">
      <x:c r="A164" s="38" t="str">
        <x:v>合计</x:v>
      </x:c>
      <x:c r="B164" s="37" t="n">
        <x:v>13</x:v>
      </x:c>
      <x:c r="C164" s="37"/>
      <x:c r="D164" s="37"/>
      <x:c r="E164" s="37"/>
      <x:c r="F164" s="37"/>
      <x:c r="G164" s="37"/>
      <x:c r="H164" s="37"/>
      <x:c r="I164" s="37"/>
      <x:c r="J164" s="39" t="n">
        <x:f>ROUND(SUM(J151:J163),1)</x:f>
        <x:v>1326.2</x:v>
      </x:c>
      <x:c r="K164" s="37"/>
    </x:row>
    <x:row r="165">
      <x:c r="A165" s="38" t="str">
        <x:v>均值</x:v>
      </x:c>
      <x:c r="B165" s="37"/>
      <x:c r="C165" s="37"/>
      <x:c r="D165" s="37"/>
      <x:c r="E165" s="37"/>
      <x:c r="F165" s="37"/>
      <x:c r="G165" s="37"/>
      <x:c r="H165" s="37"/>
      <x:c r="I165" s="37"/>
      <x:c r="J165" s="41" t="n">
        <x:f>ROUND(IFERROR(AVERAGE(J151:J163),0),1)</x:f>
        <x:v>102</x:v>
      </x:c>
      <x:c r="K165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 t="n">
        <x:v>73.8</x:v>
      </x:c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 t="n">
        <x:v>63</x:v>
      </x:c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 t="n">
        <x:v>-18</x:v>
      </x:c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 t="n">
        <x:v>-21.4</x:v>
      </x:c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 t="n">
        <x:v>12.4</x:v>
      </x:c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 t="n">
        <x:v>5.4</x:v>
      </x:c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 t="n">
        <x:v>-2.6</x:v>
      </x:c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 t="n">
        <x:v>-23.6</x:v>
      </x:c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 t="n">
        <x:v>-6</x:v>
      </x:c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 t="n">
        <x:v>-23.6</x:v>
      </x:c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 t="n">
        <x:v>-6.8</x:v>
      </x:c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 t="n">
        <x:v>-2.2</x:v>
      </x:c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 t="n">
        <x:v>-1.8</x:v>
      </x:c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 t="n">
        <x:v>-12.4</x:v>
      </x:c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 t="n">
        <x:v>-23.4</x:v>
      </x:c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 t="n">
        <x:v>20.4</x:v>
      </x:c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 t="n">
        <x:v>5.8</x:v>
      </x:c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 t="n">
        <x:v>5.8</x:v>
      </x:c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 t="n">
        <x:v>60.6</x:v>
      </x:c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 t="n">
        <x:v>-56.4</x:v>
      </x:c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 t="n">
        <x:v>-69.8</x:v>
      </x:c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 t="n">
        <x:v>28.8</x:v>
      </x:c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 t="n">
        <x:v>38.8</x:v>
      </x:c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 t="n">
        <x:v>-10.4</x:v>
      </x:c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 t="n">
        <x:v>-25.2</x:v>
      </x:c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 t="n">
        <x:v>47.8</x:v>
      </x:c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 t="n">
        <x:v>9.6</x:v>
      </x:c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 t="n">
        <x:v>-2.2</x:v>
      </x:c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 t="n">
        <x:v>-8.4</x:v>
      </x:c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 t="n">
        <x:v>-63</x:v>
      </x:c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 t="n">
        <x:v>17.4</x:v>
      </x:c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 t="n">
        <x:v>20.8</x:v>
      </x:c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 t="n">
        <x:v>-23.6</x:v>
      </x:c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 t="n">
        <x:v>10.8</x:v>
      </x:c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 t="n">
        <x:v>0.4</x:v>
      </x:c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 t="n">
        <x:v>-26.8</x:v>
      </x:c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 t="n">
        <x:v>-46.8</x:v>
      </x:c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 t="n">
        <x:v>14.8</x:v>
      </x:c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 t="n">
        <x:v>3</x:v>
      </x:c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 t="n">
        <x:v>-27.6</x:v>
      </x:c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 t="n">
        <x:v>19</x:v>
      </x:c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 t="n">
        <x:v>2.4</x:v>
      </x:c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 t="n">
        <x:v>-17.4</x:v>
      </x:c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 t="n">
        <x:v>-9.4</x:v>
      </x:c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 t="n">
        <x:v>-5</x:v>
      </x:c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 t="n">
        <x:v>10</x:v>
      </x:c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 t="n">
        <x:v>-3.4</x:v>
      </x:c>
      <x:c r="I61" s="25" t="n">
        <x:v>-0.0011478730587440866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 t="n">
        <x:v>-38.4</x:v>
      </x:c>
      <x:c r="I62" s="25" t="n">
        <x:v>-0.01297911174204014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 t="n">
        <x:v>-21.8</x:v>
      </x:c>
      <x:c r="I63" s="35" t="n">
        <x:v>-0.007465242106704961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 t="n">
        <x:v>-122.4</x:v>
      </x:c>
      <x:c r="I64" s="25" t="n">
        <x:v>-0.04223019597019051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 t="n">
        <x:v>34.6</x:v>
      </x:c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 t="n">
        <x:v>19.4</x:v>
      </x:c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 t="n">
        <x:v>-25.2</x:v>
      </x:c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 t="n">
        <x:v>9.6</x:v>
      </x:c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 t="n">
        <x:v>-2</x:v>
      </x:c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 t="n">
        <x:v>-8.4</x:v>
      </x:c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 t="n">
        <x:v>49.8</x:v>
      </x:c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 t="n">
        <x:v>-26.2</x:v>
      </x:c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 t="n">
        <x:v>-23.2</x:v>
      </x:c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 t="n">
        <x:v>-6</x:v>
      </x:c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 t="n">
        <x:v>87.6</x:v>
      </x:c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 t="n">
        <x:v>-25.4</x:v>
      </x:c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 t="n">
        <x:v>12.6</x:v>
      </x:c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 t="n">
        <x:v>-0.2</x:v>
      </x:c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 t="n">
        <x:v>25.4</x:v>
      </x:c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 t="n">
        <x:v>9.2</x:v>
      </x:c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 t="n">
        <x:v>12.4</x:v>
      </x:c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 t="n">
        <x:v>-32</x:v>
      </x:c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 t="n">
        <x:v>30</x:v>
      </x:c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 t="n">
        <x:v>-1.4</x:v>
      </x:c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 t="n">
        <x:v>1.2</x:v>
      </x:c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 t="n">
        <x:v>-6.6</x:v>
      </x:c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 t="n">
        <x:v>17.8</x:v>
      </x:c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 t="n">
        <x:v>-6.6</x:v>
      </x:c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 t="n">
        <x:v>7.8</x:v>
      </x:c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 t="n">
        <x:v>16.8</x:v>
      </x:c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 t="n">
        <x:v>21.8</x:v>
      </x:c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 t="n">
        <x:v>38.8</x:v>
      </x:c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 t="n">
        <x:v>4.4</x:v>
      </x:c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 t="n">
        <x:v>-30.4</x:v>
      </x:c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 t="n">
        <x:v>41.2</x:v>
      </x:c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 t="n">
        <x:v>6.4</x:v>
      </x:c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 t="n">
        <x:v>3.8</x:v>
      </x:c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 t="n">
        <x:v>-48.4</x:v>
      </x:c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 t="n">
        <x:v>-39.6</x:v>
      </x:c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 t="n">
        <x:v>-22.6</x:v>
      </x:c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 t="n">
        <x:v>9</x:v>
      </x:c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 t="n">
        <x:v>3.4</x:v>
      </x:c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 t="n">
        <x:v>-31</x:v>
      </x:c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 t="n">
        <x:v>-4.6</x:v>
      </x:c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 t="n">
        <x:v>44</x:v>
      </x:c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 t="n">
        <x:v>12.4</x:v>
      </x:c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 t="n">
        <x:v>-44.8</x:v>
      </x:c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 t="n">
        <x:v>-20.4</x:v>
      </x:c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 t="n">
        <x:v>10.2</x:v>
      </x:c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 t="n">
        <x:v>-20.4</x:v>
      </x:c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 t="n">
        <x:v>22.6</x:v>
      </x:c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 t="n">
        <x:v>5</x:v>
      </x:c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 t="n">
        <x:v>-36</x:v>
      </x:c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 t="n">
        <x:v>-27.8</x:v>
      </x:c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 t="n">
        <x:v>-31</x:v>
      </x:c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 t="n">
        <x:v>4.2</x:v>
      </x:c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 t="n">
        <x:v>16.6</x:v>
      </x:c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 t="n">
        <x:v>2</x:v>
      </x:c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 t="n">
        <x:v>61.4</x:v>
      </x:c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 t="n">
        <x:v>41.4</x:v>
      </x:c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 t="n">
        <x:v>-27.6</x:v>
      </x:c>
      <x:c r="I136" s="25" t="n">
        <x:v>-0.00939222759137004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 t="n">
        <x:v>24</x:v>
      </x:c>
      <x:c r="I137" s="25" t="n">
        <x:v>0.008244589488148435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 t="n">
        <x:v>6</x:v>
      </x:c>
      <x:c r="I138" s="25" t="n">
        <x:v>0.002044293015332155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2936</x:v>
      </x:c>
      <x:c r="E139" s="34" t="n">
        <x:v>2996</x:v>
      </x:c>
      <x:c r="F139" s="34" t="n">
        <x:v>2918.2</x:v>
      </x:c>
      <x:c r="G139" s="34" t="n">
        <x:v>2995.6</x:v>
      </x:c>
      <x:c r="H139" s="34" t="n">
        <x:v>54.6</x:v>
      </x:c>
      <x:c r="I139" s="35" t="n">
        <x:v>0.018565113906834352</x:v>
      </x:c>
      <x:c r="J139" s="29" t="n">
        <x:f>ROUND(E139-F139,1)</x:f>
        <x:v>77.8</x:v>
      </x:c>
      <x:c r="K139" s="33" t="str">
        <x:v>IH2606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 t="n">
        <x:v>-111</x:v>
      </x:c>
      <x:c r="I140" s="25" t="n">
        <x:v>-0.037054346374682856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 t="n">
        <x:v>11.6</x:v>
      </x:c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 t="n">
        <x:v>28.6</x:v>
      </x:c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 t="n">
        <x:v>-65.8</x:v>
      </x:c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 t="n">
        <x:v>69</x:v>
      </x:c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 t="n">
        <x:v>10</x:v>
      </x:c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970.4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46.2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 t="n">
        <x:v>-3.4</x:v>
      </x:c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 t="n">
        <x:v>-63.6</x:v>
      </x:c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 t="n">
        <x:v>15.6</x:v>
      </x:c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 t="n">
        <x:v>18.6</x:v>
      </x:c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 t="n">
        <x:v>-34.6</x:v>
      </x:c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 t="n">
        <x:v>-2.6</x:v>
      </x:c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 t="n">
        <x:v>71.8</x:v>
      </x:c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2945.2</x:v>
      </x:c>
      <x:c r="E158" s="24" t="n">
        <x:v>2983.8</x:v>
      </x:c>
      <x:c r="F158" s="24" t="n">
        <x:v>2908.2</x:v>
      </x:c>
      <x:c r="G158" s="24" t="n">
        <x:v>2910.2</x:v>
      </x:c>
      <x:c r="H158" s="24" t="n">
        <x:v>-29.6</x:v>
      </x:c>
      <x:c r="I158" s="25" t="n">
        <x:v>-0.010068712157289772</x:v>
      </x:c>
      <x:c r="J158" s="29" t="n">
        <x:f>ROUND(E158-F158,1)</x:f>
        <x:v>75.6</x:v>
      </x:c>
      <x:c r="K158" s="23" t="str">
        <x:v>IH2609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2895.8</x:v>
      </x:c>
      <x:c r="E159" s="24" t="n">
        <x:v>2908.6</x:v>
      </x:c>
      <x:c r="F159" s="24" t="n">
        <x:v>2858</x:v>
      </x:c>
      <x:c r="G159" s="24" t="n">
        <x:v>2872.6</x:v>
      </x:c>
      <x:c r="H159" s="24" t="n">
        <x:v>-37.6</x:v>
      </x:c>
      <x:c r="I159" s="25" t="n">
        <x:v>-0.012920074221702937</x:v>
      </x:c>
      <x:c r="J159" s="24" t="n">
        <x:f>ROUND(E159-F159,1)</x:f>
        <x:v>50.6</x:v>
      </x:c>
      <x:c r="K159" s="23" t="str">
        <x:v>IH2609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2872</x:v>
      </x:c>
      <x:c r="E160" s="24" t="n">
        <x:v>2894</x:v>
      </x:c>
      <x:c r="F160" s="24" t="n">
        <x:v>2831.4</x:v>
      </x:c>
      <x:c r="G160" s="24" t="n">
        <x:v>2891.2</x:v>
      </x:c>
      <x:c r="H160" s="24" t="n">
        <x:v>18.6</x:v>
      </x:c>
      <x:c r="I160" s="25" t="n">
        <x:v>0.006474970410081493</x:v>
      </x:c>
      <x:c r="J160" s="29" t="n">
        <x:f>ROUND(E160-F160,1)</x:f>
        <x:v>62.6</x:v>
      </x:c>
      <x:c r="K160" s="23" t="str">
        <x:v>IH2609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2900</x:v>
      </x:c>
      <x:c r="E161" s="24" t="n">
        <x:v>2924</x:v>
      </x:c>
      <x:c r="F161" s="24" t="n">
        <x:v>2891</x:v>
      </x:c>
      <x:c r="G161" s="24" t="n">
        <x:v>2914</x:v>
      </x:c>
      <x:c r="H161" s="24" t="n">
        <x:v>22.8</x:v>
      </x:c>
      <x:c r="I161" s="25" t="n">
        <x:v>0.007885998893193191</x:v>
      </x:c>
      <x:c r="J161" s="24" t="n">
        <x:f>ROUND(E161-F161,1)</x:f>
        <x:v>33</x:v>
      </x:c>
      <x:c r="K161" s="23" t="str">
        <x:v>IH2609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2889</x:v>
      </x:c>
      <x:c r="E162" s="24" t="n">
        <x:v>2911.8</x:v>
      </x:c>
      <x:c r="F162" s="24" t="n">
        <x:v>2853.4</x:v>
      </x:c>
      <x:c r="G162" s="24" t="n">
        <x:v>2867.8</x:v>
      </x:c>
      <x:c r="H162" s="24" t="n">
        <x:v>-46.2</x:v>
      </x:c>
      <x:c r="I162" s="25" t="n">
        <x:v>-0.015854495538778268</x:v>
      </x:c>
      <x:c r="J162" s="24" t="n">
        <x:f>ROUND(E162-F162,1)</x:f>
        <x:v>58.4</x:v>
      </x:c>
      <x:c r="K162" s="23" t="str">
        <x:v>IH2609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649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54.1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