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fb9c508f5a46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35297173fc8477c"/>
    <x:sheet xmlns:r="http://schemas.openxmlformats.org/officeDocument/2006/relationships" name="周振幅统计" sheetId="2" r:id="R2e7109aa83eb4584"/>
    <x:sheet xmlns:r="http://schemas.openxmlformats.org/officeDocument/2006/relationships" name="中证1000" sheetId="3" r:id="R4c716339613848e3"/>
    <x:sheet xmlns:r="http://schemas.openxmlformats.org/officeDocument/2006/relationships" name="中证500" sheetId="4" r:id="R4228e925bda14569"/>
    <x:sheet xmlns:r="http://schemas.openxmlformats.org/officeDocument/2006/relationships" name="上证指数" sheetId="5" r:id="R440176c3b1b74b43"/>
    <x:sheet xmlns:r="http://schemas.openxmlformats.org/officeDocument/2006/relationships" name="IM主力" sheetId="6" r:id="R4947b8966a5b48ef"/>
    <x:sheet xmlns:r="http://schemas.openxmlformats.org/officeDocument/2006/relationships" name="IC主力" sheetId="7" r:id="Rb4eb3b8832324b43"/>
    <x:sheet xmlns:r="http://schemas.openxmlformats.org/officeDocument/2006/relationships" name="IF主力" sheetId="8" r:id="R2113649f14e64a50"/>
    <x:sheet xmlns:r="http://schemas.openxmlformats.org/officeDocument/2006/relationships" name="IH主力" sheetId="9" r:id="R8728e3a7d22c4415"/>
    <x:sheet xmlns:r="http://schemas.openxmlformats.org/officeDocument/2006/relationships" name="碳酸锂2610" sheetId="10" r:id="Rd6d1d3f52cf042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0b07f94dd444b9" /><Relationship Type="http://schemas.openxmlformats.org/officeDocument/2006/relationships/theme" Target="/xl/theme/theme1.xml" Id="R0b12358bdd504d7e" /><Relationship Type="http://schemas.openxmlformats.org/officeDocument/2006/relationships/sharedStrings" Target="/xl/sharedStrings.xml" Id="R8d5c9f8240e24e1f" /><Relationship Type="http://schemas.openxmlformats.org/officeDocument/2006/relationships/worksheet" Target="/xl/worksheets/sheet1.xml" Id="Rd35297173fc8477c" /><Relationship Type="http://schemas.openxmlformats.org/officeDocument/2006/relationships/worksheet" Target="/xl/worksheets/sheet2.xml" Id="R2e7109aa83eb4584" /><Relationship Type="http://schemas.openxmlformats.org/officeDocument/2006/relationships/worksheet" Target="/xl/worksheets/sheet3.xml" Id="R4c716339613848e3" /><Relationship Type="http://schemas.openxmlformats.org/officeDocument/2006/relationships/worksheet" Target="/xl/worksheets/sheet4.xml" Id="R4228e925bda14569" /><Relationship Type="http://schemas.openxmlformats.org/officeDocument/2006/relationships/worksheet" Target="/xl/worksheets/sheet5.xml" Id="R440176c3b1b74b43" /><Relationship Type="http://schemas.openxmlformats.org/officeDocument/2006/relationships/worksheet" Target="/xl/worksheets/sheet6.xml" Id="R4947b8966a5b48ef" /><Relationship Type="http://schemas.openxmlformats.org/officeDocument/2006/relationships/worksheet" Target="/xl/worksheets/sheet7.xml" Id="Rb4eb3b8832324b43" /><Relationship Type="http://schemas.openxmlformats.org/officeDocument/2006/relationships/worksheet" Target="/xl/worksheets/sheet8.xml" Id="R2113649f14e64a50" /><Relationship Type="http://schemas.openxmlformats.org/officeDocument/2006/relationships/worksheet" Target="/xl/worksheets/sheet9.xml" Id="R8728e3a7d22c4415" /><Relationship Type="http://schemas.openxmlformats.org/officeDocument/2006/relationships/worksheet" Target="/xl/worksheets/sheet10.xml" Id="Rd6d1d3f52cf042a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2026-09-30</x:v>
      </x:c>
      <x:c r="C4" s="10" t="n">
        <x:v>7375.44</x:v>
      </x:c>
      <x:c r="D4" s="10" t="n">
        <x:v>7288.98</x:v>
      </x:c>
      <x:c r="E4" s="12" t="n">
        <x:v>86.5</x:v>
      </x:c>
      <x:c r="F4" s="9" t="n">
        <x:v>181</x:v>
      </x:c>
      <x:c r="G4" s="10" t="n">
        <x:v>31491</x:v>
      </x:c>
      <x:c r="H4" s="10" t="n">
        <x:v>174</x:v>
      </x:c>
      <x:c r="I4" s="10" t="n">
        <x:v>180</x:v>
      </x:c>
    </x:row>
    <x:row r="5">
      <x:c r="A5" s="9" t="str">
        <x:v>中证500</x:v>
      </x:c>
      <x:c r="B5" s="9" t="str">
        <x:v>2026-09-30</x:v>
      </x:c>
      <x:c r="C5" s="10" t="n">
        <x:v>7485.11</x:v>
      </x:c>
      <x:c r="D5" s="10" t="n">
        <x:v>7417.49</x:v>
      </x:c>
      <x:c r="E5" s="12" t="n">
        <x:v>67.6</x:v>
      </x:c>
      <x:c r="F5" s="9" t="n">
        <x:v>181</x:v>
      </x:c>
      <x:c r="G5" s="10" t="n">
        <x:v>31285.1</x:v>
      </x:c>
      <x:c r="H5" s="10" t="n">
        <x:v>172.8</x:v>
      </x:c>
      <x:c r="I5" s="10" t="n">
        <x:v>160</x:v>
      </x:c>
    </x:row>
    <x:row r="6">
      <x:c r="A6" s="9" t="str">
        <x:v>上证指数</x:v>
      </x:c>
      <x:c r="B6" s="9" t="str">
        <x:v>2026-09-30</x:v>
      </x:c>
      <x:c r="C6" s="10" t="n">
        <x:v>3851.22</x:v>
      </x:c>
      <x:c r="D6" s="10" t="n">
        <x:v>3833.09</x:v>
      </x:c>
      <x:c r="E6" s="12" t="n">
        <x:v>18.1</x:v>
      </x:c>
      <x:c r="F6" s="9" t="n">
        <x:v>181</x:v>
      </x:c>
      <x:c r="G6" s="10" t="n">
        <x:v>8614.7</x:v>
      </x:c>
      <x:c r="H6" s="10" t="n">
        <x:v>47.6</x:v>
      </x:c>
      <x:c r="I6" s="10" t="n">
        <x:v>50</x:v>
      </x:c>
    </x:row>
    <x:row r="7">
      <x:c r="A7" s="9" t="str">
        <x:v>IM主力</x:v>
      </x:c>
      <x:c r="B7" s="9" t="str">
        <x:v>2026-09-30</x:v>
      </x:c>
      <x:c r="C7" s="10" t="n">
        <x:v>7232</x:v>
      </x:c>
      <x:c r="D7" s="10" t="n">
        <x:v>7153</x:v>
      </x:c>
      <x:c r="E7" s="12" t="n">
        <x:v>79</x:v>
      </x:c>
      <x:c r="F7" s="9" t="n">
        <x:v>181</x:v>
      </x:c>
      <x:c r="G7" s="10" t="n">
        <x:v>33493.4</x:v>
      </x:c>
      <x:c r="H7" s="10" t="n">
        <x:v>185</x:v>
      </x:c>
      <x:c r="I7" s="10" t="n">
        <x:v>190</x:v>
      </x:c>
    </x:row>
    <x:row r="8">
      <x:c r="A8" s="9" t="str">
        <x:v>IC主力</x:v>
      </x:c>
      <x:c r="B8" s="9" t="str">
        <x:v>2026-09-30</x:v>
      </x:c>
      <x:c r="C8" s="10" t="n">
        <x:v>7344</x:v>
      </x:c>
      <x:c r="D8" s="10" t="n">
        <x:v>7282</x:v>
      </x:c>
      <x:c r="E8" s="12" t="n">
        <x:v>62</x:v>
      </x:c>
      <x:c r="F8" s="9" t="n">
        <x:v>181</x:v>
      </x:c>
      <x:c r="G8" s="10" t="n">
        <x:v>34683.2</x:v>
      </x:c>
      <x:c r="H8" s="10" t="n">
        <x:v>191.6</x:v>
      </x:c>
      <x:c r="I8" s="10" t="n">
        <x:v>150</x:v>
      </x:c>
    </x:row>
    <x:row r="9">
      <x:c r="A9" s="9" t="str">
        <x:v>IF主力</x:v>
      </x:c>
      <x:c r="B9" s="9" t="str">
        <x:v>2026-09-30</x:v>
      </x:c>
      <x:c r="C9" s="10" t="n">
        <x:v>4310.4</x:v>
      </x:c>
      <x:c r="D9" s="10" t="n">
        <x:v>4278</x:v>
      </x:c>
      <x:c r="E9" s="12" t="n">
        <x:v>32.4</x:v>
      </x:c>
      <x:c r="F9" s="9" t="n">
        <x:v>181</x:v>
      </x:c>
      <x:c r="G9" s="10" t="n">
        <x:v>13008.6</x:v>
      </x:c>
      <x:c r="H9" s="10" t="n">
        <x:v>71.9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181</x:v>
      </x:c>
      <x:c r="G10" s="10" t="n">
        <x:v>7234.4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2026-09-30</x:v>
      </x:c>
      <x:c r="C11" s="10" t="n">
        <x:v>121220</x:v>
      </x:c>
      <x:c r="D11" s="10" t="n">
        <x:v>119100</x:v>
      </x:c>
      <x:c r="E11" s="12" t="n">
        <x:v>2120</x:v>
      </x:c>
      <x:c r="F11" s="9" t="n">
        <x:v>181</x:v>
      </x:c>
      <x:c r="G11" s="10" t="n">
        <x:v>1438440</x:v>
      </x:c>
      <x:c r="H11" s="10" t="n">
        <x:v>7947.2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2026-10-05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9月28日-9月30日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7435.16</x:v>
      </x:c>
      <x:c r="G85" s="28" t="n">
        <x:f>ROUND(F85-F84,1)</x:f>
        <x:v>-188.9</x:v>
      </x:c>
      <x:c r="H85" s="24" t="n">
        <x:f>IFERROR(F85/F84-1,"")</x:f>
        <x:v>-0.02477810408351444</x:v>
      </x:c>
      <x:c r="I85" s="26" t="n">
        <x:f>ROUND(D85-E85,1)</x:f>
        <x:v>236.7</x:v>
      </x:c>
      <x:c r="J85" s="22" t="str">
        <x:v>中证500</x:v>
      </x:c>
      <x:c r="K85" s="22" t="n">
        <x:v>3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9月28日-9月30日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3842.19</x:v>
      </x:c>
      <x:c r="G128" s="23" t="n">
        <x:f>ROUND(F128-F127,1)</x:f>
        <x:v>-46.2</x:v>
      </x:c>
      <x:c r="H128" s="24" t="n">
        <x:f>IFERROR(F128/F127-1,"")</x:f>
        <x:v>-0.011876441799520077</x:v>
      </x:c>
      <x:c r="I128" s="26" t="n">
        <x:f>ROUND(D128-E128,1)</x:f>
        <x:v>71.7</x:v>
      </x:c>
      <x:c r="J128" s="22" t="str">
        <x:v>上证指数</x:v>
      </x:c>
      <x:c r="K128" s="22" t="n">
        <x:v>3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9月28日-9月30日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7168.8</x:v>
      </x:c>
      <x:c r="G171" s="28" t="n">
        <x:f>ROUND(F171-F170,1)</x:f>
        <x:v>-222.2</x:v>
      </x:c>
      <x:c r="H171" s="24" t="n">
        <x:f>IFERROR(F171/F170-1,"")</x:f>
        <x:v>-0.030063590853740996</x:v>
      </x:c>
      <x:c r="I171" s="26" t="n">
        <x:f>ROUND(D171-E171,1)</x:f>
        <x:v>316.8</x:v>
      </x:c>
      <x:c r="J171" s="22" t="str">
        <x:v>IM2612</x:v>
      </x:c>
      <x:c r="K171" s="22" t="n">
        <x:v>3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9月28日-9月30日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7310.2</x:v>
      </x:c>
      <x:c r="G214" s="23" t="n">
        <x:f>ROUND(F214-F213,1)</x:f>
        <x:v>-141.4</x:v>
      </x:c>
      <x:c r="H214" s="24" t="n">
        <x:f>IFERROR(F214/F213-1,"")</x:f>
        <x:v>-0.018975790434269224</x:v>
      </x:c>
      <x:c r="I214" s="26" t="n">
        <x:f>ROUND(D214-E214,1)</x:f>
        <x:v>272.4</x:v>
      </x:c>
      <x:c r="J214" s="22" t="str">
        <x:v>IC2612</x:v>
      </x:c>
      <x:c r="K214" s="22" t="n">
        <x:v>3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9月28日-9月30日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4300.8</x:v>
      </x:c>
      <x:c r="G257" s="23" t="n">
        <x:f>ROUND(F257-F256,1)</x:f>
        <x:v>-74.2</x:v>
      </x:c>
      <x:c r="H257" s="24" t="n">
        <x:f>IFERROR(F257/F256-1,"")</x:f>
        <x:v>-0.016959999999999975</x:v>
      </x:c>
      <x:c r="I257" s="26" t="n">
        <x:f>ROUND(D257-E257,1)</x:f>
        <x:v>120.8</x:v>
      </x:c>
      <x:c r="J257" s="22" t="str">
        <x:v>IF2612</x:v>
      </x:c>
      <x:c r="K257" s="22" t="n">
        <x:v>3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9月28日-9月30日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2778.8</x:v>
      </x:c>
      <x:c r="G300" s="23" t="n">
        <x:f>ROUND(F300-F299,1)</x:f>
        <x:v>-25.8</x:v>
      </x:c>
      <x:c r="H300" s="24" t="n">
        <x:f>IFERROR(F300/F299-1,"")</x:f>
        <x:v>-0.009199172787563215</x:v>
      </x:c>
      <x:c r="I300" s="23" t="n">
        <x:f>ROUND(D300-E300,1)</x:f>
        <x:v>57.8</x:v>
      </x:c>
      <x:c r="J300" s="22" t="str">
        <x:v>IH2612</x:v>
      </x:c>
      <x:c r="K300" s="22" t="n">
        <x:v>3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9月28日-9月30日</x:v>
      </x:c>
      <x:c r="C343" s="23" t="n">
        <x:v>124280</x:v>
      </x:c>
      <x:c r="D343" s="23" t="n">
        <x:v>124660</x:v>
      </x:c>
      <x:c r="E343" s="23" t="n">
        <x:v>118100</x:v>
      </x:c>
      <x:c r="F343" s="23" t="n">
        <x:v>119780</x:v>
      </x:c>
      <x:c r="G343" s="28" t="n">
        <x:f>ROUND(F343-F342,1)</x:f>
        <x:v>-6200</x:v>
      </x:c>
      <x:c r="H343" s="24" t="n">
        <x:f>IFERROR(F343/F342-1,"")</x:f>
        <x:v>-0.049214160977932964</x:v>
      </x:c>
      <x:c r="I343" s="26" t="n">
        <x:f>ROUND(D343-E343,1)</x:f>
        <x:v>6560</x:v>
      </x:c>
      <x:c r="J343" s="22" t="str">
        <x:v>LC2610</x:v>
      </x:c>
      <x:c r="K343" s="22" t="n">
        <x:v>3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759520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19987.4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