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fde6047a5942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c8dff2184b04c87"/>
    <x:sheet xmlns:r="http://schemas.openxmlformats.org/officeDocument/2006/relationships" name="周振幅统计" sheetId="2" r:id="Re6fd934221c54177"/>
    <x:sheet xmlns:r="http://schemas.openxmlformats.org/officeDocument/2006/relationships" name="中证1000" sheetId="3" r:id="R0994ff9a89ef4ff4"/>
    <x:sheet xmlns:r="http://schemas.openxmlformats.org/officeDocument/2006/relationships" name="中证500" sheetId="4" r:id="R17d2dbc586834072"/>
    <x:sheet xmlns:r="http://schemas.openxmlformats.org/officeDocument/2006/relationships" name="上证指数" sheetId="5" r:id="Raba888b2e2ec4388"/>
    <x:sheet xmlns:r="http://schemas.openxmlformats.org/officeDocument/2006/relationships" name="IM主力" sheetId="6" r:id="Rf90da8fc6ad4405e"/>
    <x:sheet xmlns:r="http://schemas.openxmlformats.org/officeDocument/2006/relationships" name="IC主力" sheetId="7" r:id="Radf12ab8170a4f4c"/>
    <x:sheet xmlns:r="http://schemas.openxmlformats.org/officeDocument/2006/relationships" name="IF主力" sheetId="8" r:id="Rb11f368185084d84"/>
    <x:sheet xmlns:r="http://schemas.openxmlformats.org/officeDocument/2006/relationships" name="IH主力" sheetId="9" r:id="R3b2f66bfc2514df4"/>
    <x:sheet xmlns:r="http://schemas.openxmlformats.org/officeDocument/2006/relationships" name="碳酸锂2609" sheetId="10" r:id="R13e37608116d40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e0d402f7e140c6" /><Relationship Type="http://schemas.openxmlformats.org/officeDocument/2006/relationships/theme" Target="/xl/theme/theme1.xml" Id="Rd548a89407564695" /><Relationship Type="http://schemas.openxmlformats.org/officeDocument/2006/relationships/sharedStrings" Target="/xl/sharedStrings.xml" Id="R30e8014ac18445b8" /><Relationship Type="http://schemas.openxmlformats.org/officeDocument/2006/relationships/worksheet" Target="/xl/worksheets/sheet1.xml" Id="Rcc8dff2184b04c87" /><Relationship Type="http://schemas.openxmlformats.org/officeDocument/2006/relationships/worksheet" Target="/xl/worksheets/sheet2.xml" Id="Re6fd934221c54177" /><Relationship Type="http://schemas.openxmlformats.org/officeDocument/2006/relationships/worksheet" Target="/xl/worksheets/sheet3.xml" Id="R0994ff9a89ef4ff4" /><Relationship Type="http://schemas.openxmlformats.org/officeDocument/2006/relationships/worksheet" Target="/xl/worksheets/sheet4.xml" Id="R17d2dbc586834072" /><Relationship Type="http://schemas.openxmlformats.org/officeDocument/2006/relationships/worksheet" Target="/xl/worksheets/sheet5.xml" Id="Raba888b2e2ec4388" /><Relationship Type="http://schemas.openxmlformats.org/officeDocument/2006/relationships/worksheet" Target="/xl/worksheets/sheet6.xml" Id="Rf90da8fc6ad4405e" /><Relationship Type="http://schemas.openxmlformats.org/officeDocument/2006/relationships/worksheet" Target="/xl/worksheets/sheet7.xml" Id="Radf12ab8170a4f4c" /><Relationship Type="http://schemas.openxmlformats.org/officeDocument/2006/relationships/worksheet" Target="/xl/worksheets/sheet8.xml" Id="Rb11f368185084d84" /><Relationship Type="http://schemas.openxmlformats.org/officeDocument/2006/relationships/worksheet" Target="/xl/worksheets/sheet9.xml" Id="R3b2f66bfc2514df4" /><Relationship Type="http://schemas.openxmlformats.org/officeDocument/2006/relationships/worksheet" Target="/xl/worksheets/sheet10.xml" Id="R13e37608116d40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2026-09-10</x:v>
      </x:c>
      <x:c r="C4" s="10" t="n">
        <x:v>7641.86</x:v>
      </x:c>
      <x:c r="D4" s="10" t="n">
        <x:v>7564.67</x:v>
      </x:c>
      <x:c r="E4" s="12" t="n">
        <x:v>77.2</x:v>
      </x:c>
      <x:c r="F4" s="9" t="n">
        <x:v>168</x:v>
      </x:c>
      <x:c r="G4" s="10" t="n">
        <x:v>29721.7</x:v>
      </x:c>
      <x:c r="H4" s="10" t="n">
        <x:v>176.9</x:v>
      </x:c>
      <x:c r="I4" s="10" t="n">
        <x:v>180</x:v>
      </x:c>
    </x:row>
    <x:row r="5">
      <x:c r="A5" s="9" t="str">
        <x:v>中证500</x:v>
      </x:c>
      <x:c r="B5" s="9" t="str">
        <x:v>2026-09-10</x:v>
      </x:c>
      <x:c r="C5" s="10" t="n">
        <x:v>7766.35</x:v>
      </x:c>
      <x:c r="D5" s="10" t="n">
        <x:v>7696.55</x:v>
      </x:c>
      <x:c r="E5" s="12" t="n">
        <x:v>69.8</x:v>
      </x:c>
      <x:c r="F5" s="9" t="n">
        <x:v>168</x:v>
      </x:c>
      <x:c r="G5" s="10" t="n">
        <x:v>29705.4</x:v>
      </x:c>
      <x:c r="H5" s="10" t="n">
        <x:v>176.8</x:v>
      </x:c>
      <x:c r="I5" s="10" t="n">
        <x:v>160</x:v>
      </x:c>
    </x:row>
    <x:row r="6">
      <x:c r="A6" s="9" t="str">
        <x:v>上证指数</x:v>
      </x:c>
      <x:c r="B6" s="9" t="str">
        <x:v>2026-09-10</x:v>
      </x:c>
      <x:c r="C6" s="10" t="n">
        <x:v>3949.25</x:v>
      </x:c>
      <x:c r="D6" s="10" t="n">
        <x:v>3927.35</x:v>
      </x:c>
      <x:c r="E6" s="12" t="n">
        <x:v>21.9</x:v>
      </x:c>
      <x:c r="F6" s="9" t="n">
        <x:v>168</x:v>
      </x:c>
      <x:c r="G6" s="10" t="n">
        <x:v>8140.2</x:v>
      </x:c>
      <x:c r="H6" s="10" t="n">
        <x:v>48.5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167</x:v>
      </x:c>
      <x:c r="G7" s="10" t="n">
        <x:v>31477</x:v>
      </x:c>
      <x:c r="H7" s="10" t="n">
        <x:v>188.5</x:v>
      </x:c>
      <x:c r="I7" s="10" t="n">
        <x:v>190</x:v>
      </x:c>
    </x:row>
    <x:row r="8">
      <x:c r="A8" s="9" t="str">
        <x:v>IC主力</x:v>
      </x:c>
      <x:c r="B8" s="9" t="str">
        <x:v>2026-09-09</x:v>
      </x:c>
      <x:c r="C8" s="10" t="n">
        <x:v>7804.8</x:v>
      </x:c>
      <x:c r="D8" s="10" t="n">
        <x:v>7695.4</x:v>
      </x:c>
      <x:c r="E8" s="12" t="n">
        <x:v>109.4</x:v>
      </x:c>
      <x:c r="F8" s="9" t="n">
        <x:v>167</x:v>
      </x:c>
      <x:c r="G8" s="10" t="n">
        <x:v>32773</x:v>
      </x:c>
      <x:c r="H8" s="10" t="n">
        <x:v>196.2</x:v>
      </x:c>
      <x:c r="I8" s="10" t="n">
        <x:v>150</x:v>
      </x:c>
    </x:row>
    <x:row r="9">
      <x:c r="A9" s="9" t="str">
        <x:v>IF主力</x:v>
      </x:c>
      <x:c r="B9" s="9" t="str">
        <x:v>2026-09-10</x:v>
      </x:c>
      <x:c r="C9" s="10" t="n">
        <x:v>4565.8</x:v>
      </x:c>
      <x:c r="D9" s="10" t="n">
        <x:v>4517.6</x:v>
      </x:c>
      <x:c r="E9" s="12" t="n">
        <x:v>48.2</x:v>
      </x:c>
      <x:c r="F9" s="9" t="n">
        <x:v>168</x:v>
      </x:c>
      <x:c r="G9" s="10" t="n">
        <x:v>12301</x:v>
      </x:c>
      <x:c r="H9" s="10" t="n">
        <x:v>73.2</x:v>
      </x:c>
      <x:c r="I9" s="10" t="n">
        <x:v>90</x:v>
      </x:c>
    </x:row>
    <x:row r="10">
      <x:c r="A10" s="9" t="str">
        <x:v>IH主力</x:v>
      </x:c>
      <x:c r="B10" s="9" t="str">
        <x:v>2026-09-10</x:v>
      </x:c>
      <x:c r="C10" s="10" t="n">
        <x:v>2908.4</x:v>
      </x:c>
      <x:c r="D10" s="10" t="n">
        <x:v>2879.2</x:v>
      </x:c>
      <x:c r="E10" s="12" t="n">
        <x:v>29.2</x:v>
      </x:c>
      <x:c r="F10" s="9" t="n">
        <x:v>168</x:v>
      </x:c>
      <x:c r="G10" s="10" t="n">
        <x:v>6826.2</x:v>
      </x:c>
      <x:c r="H10" s="10" t="n">
        <x:v>40.6</x:v>
      </x:c>
      <x:c r="I10" s="10" t="n">
        <x:v>60</x:v>
      </x:c>
    </x:row>
    <x:row r="11">
      <x:c r="A11" s="9" t="str">
        <x:v>碳酸锂2609</x:v>
      </x:c>
      <x:c r="B11" s="9" t="str">
        <x:v>2026-09-09</x:v>
      </x:c>
      <x:c r="C11" s="10" t="n">
        <x:v>142880</x:v>
      </x:c>
      <x:c r="D11" s="10" t="n">
        <x:v>139800</x:v>
      </x:c>
      <x:c r="E11" s="12" t="n">
        <x:v>3080</x:v>
      </x:c>
      <x:c r="F11" s="9" t="n">
        <x:v>167</x:v>
      </x:c>
      <x:c r="G11" s="10" t="n">
        <x:v>1395860</x:v>
      </x:c>
      <x:c r="H11" s="10" t="n">
        <x:v>8358.4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9月7日-9月10日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7587.75</x:v>
      </x:c>
      <x:c r="G39" s="23" t="n">
        <x:f>ROUND(F39-F38,1)</x:f>
        <x:v>79.7</x:v>
      </x:c>
      <x:c r="H39" s="24" t="n">
        <x:f>IFERROR(F39/F38-1,"")</x:f>
        <x:v>0.010609888799947731</x:v>
      </x:c>
      <x:c r="I39" s="26" t="n">
        <x:f>ROUND(D39-E39,1)</x:f>
        <x:v>183.8</x:v>
      </x:c>
      <x:c r="J39" s="22" t="str">
        <x:v>中证1000</x:v>
      </x:c>
      <x:c r="K39" s="22" t="n">
        <x:v>4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9月7日-9月10日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7717.8</x:v>
      </x:c>
      <x:c r="G79" s="23" t="n">
        <x:f>ROUND(F79-F78,1)</x:f>
        <x:v>65.1</x:v>
      </x:c>
      <x:c r="H79" s="24" t="n">
        <x:f>IFERROR(F79/F78-1,"")</x:f>
        <x:v>0.00850811936717677</x:v>
      </x:c>
      <x:c r="I79" s="23" t="n">
        <x:f>ROUND(D79-E79,1)</x:f>
        <x:v>157.2</x:v>
      </x:c>
      <x:c r="J79" s="22" t="str">
        <x:v>中证500</x:v>
      </x:c>
      <x:c r="K79" s="22" t="n">
        <x:v>4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9月7日-9月10日</x:v>
      </x:c>
      <x:c r="C119" s="23" t="n">
        <x:v>3942.51</x:v>
      </x:c>
      <x:c r="D119" s="23" t="n">
        <x:v>3958.12</x:v>
      </x:c>
      <x:c r="E119" s="23" t="n">
        <x:v>3916.49</x:v>
      </x:c>
      <x:c r="F119" s="23" t="n">
        <x:v>3934.4</x:v>
      </x:c>
      <x:c r="G119" s="23" t="n">
        <x:f>ROUND(F119-F118,1)</x:f>
        <x:v>4.3</x:v>
      </x:c>
      <x:c r="H119" s="24" t="n">
        <x:f>IFERROR(F119/F118-1,"")</x:f>
        <x:v>0.001089025271493016</x:v>
      </x:c>
      <x:c r="I119" s="23" t="n">
        <x:f>ROUND(D119-E119,1)</x:f>
        <x:v>41.6</x:v>
      </x:c>
      <x:c r="J119" s="22" t="str">
        <x:v>上证指数</x:v>
      </x:c>
      <x:c r="K119" s="22" t="n">
        <x:v>4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3799.6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108.6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9月7日-9月9日</x:v>
      </x:c>
      <x:c r="C159" s="23" t="n">
        <x:v>7527.2</x:v>
      </x:c>
      <x:c r="D159" s="23" t="n">
        <x:v>7714.6</x:v>
      </x:c>
      <x:c r="E159" s="23" t="n">
        <x:v>7512.6</x:v>
      </x:c>
      <x:c r="F159" s="23" t="n">
        <x:v>7618.6</x:v>
      </x:c>
      <x:c r="G159" s="28" t="n">
        <x:f>ROUND(F159-F158,1)</x:f>
        <x:v>150.4</x:v>
      </x:c>
      <x:c r="H159" s="24" t="n">
        <x:f>IFERROR(F159/F158-1,"")</x:f>
        <x:v>0.020138721512546587</x:v>
      </x:c>
      <x:c r="I159" s="26" t="n">
        <x:f>ROUND(D159-E159,1)</x:f>
        <x:v>202</x:v>
      </x:c>
      <x:c r="J159" s="22" t="str">
        <x:v>IM2609</x:v>
      </x:c>
      <x:c r="K159" s="22" t="n">
        <x:v>3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15030.6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429.4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9月7日-9月9日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7738.6</x:v>
      </x:c>
      <x:c r="G199" s="23" t="n">
        <x:f>ROUND(F199-F198,1)</x:f>
        <x:v>130.6</x:v>
      </x:c>
      <x:c r="H199" s="24" t="n">
        <x:f>IFERROR(F199/F198-1,"")</x:f>
        <x:v>0.017166140904311344</x:v>
      </x:c>
      <x:c r="I199" s="26" t="n">
        <x:f>ROUND(D199-E199,1)</x:f>
        <x:v>166</x:v>
      </x:c>
      <x:c r="J199" s="22" t="str">
        <x:v>IC2609</x:v>
      </x:c>
      <x:c r="K199" s="22" t="n">
        <x:v>3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9月7日-9月10日</x:v>
      </x:c>
      <x:c r="C239" s="23" t="n">
        <x:v>4562</x:v>
      </x:c>
      <x:c r="D239" s="23" t="n">
        <x:v>4584</x:v>
      </x:c>
      <x:c r="E239" s="23" t="n">
        <x:v>4517.6</x:v>
      </x:c>
      <x:c r="F239" s="23" t="n">
        <x:v>4542.2</x:v>
      </x:c>
      <x:c r="G239" s="23" t="n">
        <x:f>ROUND(F239-F238,1)</x:f>
        <x:v>4.8</x:v>
      </x:c>
      <x:c r="H239" s="24" t="n">
        <x:f>IFERROR(F239/F238-1,"")</x:f>
        <x:v>0.0010578745537093148</x:v>
      </x:c>
      <x:c r="I239" s="23" t="n">
        <x:f>ROUND(D239-E239,1)</x:f>
        <x:v>66.4</x:v>
      </x:c>
      <x:c r="J239" s="22" t="str">
        <x:v>IF2609</x:v>
      </x:c>
      <x:c r="K239" s="22" t="n">
        <x:v>4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5539.2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158.3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9月7日-9月10日</x:v>
      </x:c>
      <x:c r="C279" s="23" t="n">
        <x:v>2923.2</x:v>
      </x:c>
      <x:c r="D279" s="23" t="n">
        <x:v>2931.4</x:v>
      </x:c>
      <x:c r="E279" s="23" t="n">
        <x:v>2879.2</x:v>
      </x:c>
      <x:c r="F279" s="23" t="n">
        <x:v>2897</x:v>
      </x:c>
      <x:c r="G279" s="23" t="n">
        <x:f>ROUND(F279-F278,1)</x:f>
        <x:v>-18.8</x:v>
      </x:c>
      <x:c r="H279" s="24" t="n">
        <x:f>IFERROR(F279/F278-1,"")</x:f>
        <x:v>-0.0064476301529597935</x:v>
      </x:c>
      <x:c r="I279" s="23" t="n">
        <x:f>ROUND(D279-E279,1)</x:f>
        <x:v>52.2</x:v>
      </x:c>
      <x:c r="J279" s="22" t="str">
        <x:v>IH2609</x:v>
      </x:c>
      <x:c r="K279" s="22" t="n">
        <x:v>4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3173.2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90.7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9月7日-9月9日</x:v>
      </x:c>
      <x:c r="C319" s="23" t="n">
        <x:v>142120</x:v>
      </x:c>
      <x:c r="D319" s="23" t="n">
        <x:v>143200</x:v>
      </x:c>
      <x:c r="E319" s="23" t="n">
        <x:v>139800</x:v>
      </x:c>
      <x:c r="F319" s="23" t="n">
        <x:v>141260</x:v>
      </x:c>
      <x:c r="G319" s="28" t="n">
        <x:f>ROUND(F319-F318,1)</x:f>
        <x:v>280</x:v>
      </x:c>
      <x:c r="H319" s="24" t="n">
        <x:f>IFERROR(F319/F318-1,"")</x:f>
        <x:v>0.0019860973187686426</x:v>
      </x:c>
      <x:c r="I319" s="23" t="n">
        <x:f>ROUND(D319-E319,1)</x:f>
        <x:v>3400</x:v>
      </x:c>
      <x:c r="J319" s="22" t="str">
        <x:v>LC2609</x:v>
      </x:c>
      <x:c r="K319" s="22" t="n">
        <x:v>3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712620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20360.6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990.9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123.9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921.7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115.2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259.1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32.4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1033.2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147.6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1028.8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147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414.4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51.8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249.6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31.2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34100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4871.4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