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29fb78e13442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1074a161e784d29"/>
    <x:sheet xmlns:r="http://schemas.openxmlformats.org/officeDocument/2006/relationships" name="周振幅统计" sheetId="2" r:id="R8e16610da07545b7"/>
    <x:sheet xmlns:r="http://schemas.openxmlformats.org/officeDocument/2006/relationships" name="中证1000" sheetId="3" r:id="Re9ad6a37faab4910"/>
    <x:sheet xmlns:r="http://schemas.openxmlformats.org/officeDocument/2006/relationships" name="中证500" sheetId="4" r:id="R9cc5a1b70d0f4525"/>
    <x:sheet xmlns:r="http://schemas.openxmlformats.org/officeDocument/2006/relationships" name="上证指数" sheetId="5" r:id="R52defc881fbd4519"/>
    <x:sheet xmlns:r="http://schemas.openxmlformats.org/officeDocument/2006/relationships" name="IM主力" sheetId="6" r:id="R119e6c5c866c414b"/>
    <x:sheet xmlns:r="http://schemas.openxmlformats.org/officeDocument/2006/relationships" name="IC主力" sheetId="7" r:id="R096294a67e6c4cb7"/>
    <x:sheet xmlns:r="http://schemas.openxmlformats.org/officeDocument/2006/relationships" name="IF主力" sheetId="8" r:id="Rfd7affdc93a34278"/>
    <x:sheet xmlns:r="http://schemas.openxmlformats.org/officeDocument/2006/relationships" name="IH主力" sheetId="9" r:id="R5581e6afc6fd4e9c"/>
    <x:sheet xmlns:r="http://schemas.openxmlformats.org/officeDocument/2006/relationships" name="碳酸锂2609" sheetId="10" r:id="Raa379f087f0641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9c3f8eda9f4052" /><Relationship Type="http://schemas.openxmlformats.org/officeDocument/2006/relationships/theme" Target="/xl/theme/theme1.xml" Id="R0fd73ca63ba846fe" /><Relationship Type="http://schemas.openxmlformats.org/officeDocument/2006/relationships/sharedStrings" Target="/xl/sharedStrings.xml" Id="R1c2043c31ca344d5" /><Relationship Type="http://schemas.openxmlformats.org/officeDocument/2006/relationships/worksheet" Target="/xl/worksheets/sheet1.xml" Id="R51074a161e784d29" /><Relationship Type="http://schemas.openxmlformats.org/officeDocument/2006/relationships/worksheet" Target="/xl/worksheets/sheet2.xml" Id="R8e16610da07545b7" /><Relationship Type="http://schemas.openxmlformats.org/officeDocument/2006/relationships/worksheet" Target="/xl/worksheets/sheet3.xml" Id="Re9ad6a37faab4910" /><Relationship Type="http://schemas.openxmlformats.org/officeDocument/2006/relationships/worksheet" Target="/xl/worksheets/sheet4.xml" Id="R9cc5a1b70d0f4525" /><Relationship Type="http://schemas.openxmlformats.org/officeDocument/2006/relationships/worksheet" Target="/xl/worksheets/sheet5.xml" Id="R52defc881fbd4519" /><Relationship Type="http://schemas.openxmlformats.org/officeDocument/2006/relationships/worksheet" Target="/xl/worksheets/sheet6.xml" Id="R119e6c5c866c414b" /><Relationship Type="http://schemas.openxmlformats.org/officeDocument/2006/relationships/worksheet" Target="/xl/worksheets/sheet7.xml" Id="R096294a67e6c4cb7" /><Relationship Type="http://schemas.openxmlformats.org/officeDocument/2006/relationships/worksheet" Target="/xl/worksheets/sheet8.xml" Id="Rfd7affdc93a34278" /><Relationship Type="http://schemas.openxmlformats.org/officeDocument/2006/relationships/worksheet" Target="/xl/worksheets/sheet9.xml" Id="R5581e6afc6fd4e9c" /><Relationship Type="http://schemas.openxmlformats.org/officeDocument/2006/relationships/worksheet" Target="/xl/worksheets/sheet10.xml" Id="Raa379f087f0641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2026-08-25</x:v>
      </x:c>
      <x:c r="C4" s="10" t="n">
        <x:v>7556.07</x:v>
      </x:c>
      <x:c r="D4" s="10" t="n">
        <x:v>7347.95</x:v>
      </x:c>
      <x:c r="E4" s="12" t="n">
        <x:v>208.1</x:v>
      </x:c>
      <x:c r="F4" s="9" t="n">
        <x:v>156</x:v>
      </x:c>
      <x:c r="G4" s="10" t="n">
        <x:v>28126.9</x:v>
      </x:c>
      <x:c r="H4" s="10" t="n">
        <x:v>180.3</x:v>
      </x:c>
      <x:c r="I4" s="10" t="n">
        <x:v>180</x:v>
      </x:c>
    </x:row>
    <x:row r="5">
      <x:c r="A5" s="9" t="str">
        <x:v>中证500</x:v>
      </x:c>
      <x:c r="B5" s="9" t="str">
        <x:v>2026-08-25</x:v>
      </x:c>
      <x:c r="C5" s="10" t="n">
        <x:v>7755.72</x:v>
      </x:c>
      <x:c r="D5" s="10" t="n">
        <x:v>7572.86</x:v>
      </x:c>
      <x:c r="E5" s="12" t="n">
        <x:v>182.9</x:v>
      </x:c>
      <x:c r="F5" s="9" t="n">
        <x:v>156</x:v>
      </x:c>
      <x:c r="G5" s="10" t="n">
        <x:v>28179.5</x:v>
      </x:c>
      <x:c r="H5" s="10" t="n">
        <x:v>180.6</x:v>
      </x:c>
      <x:c r="I5" s="10" t="n">
        <x:v>160</x:v>
      </x:c>
    </x:row>
    <x:row r="6">
      <x:c r="A6" s="9" t="str">
        <x:v>上证指数</x:v>
      </x:c>
      <x:c r="B6" s="9" t="str">
        <x:v>2026-08-25</x:v>
      </x:c>
      <x:c r="C6" s="10" t="n">
        <x:v>3896.21</x:v>
      </x:c>
      <x:c r="D6" s="10" t="n">
        <x:v>3850.86</x:v>
      </x:c>
      <x:c r="E6" s="12" t="n">
        <x:v>45.3</x:v>
      </x:c>
      <x:c r="F6" s="9" t="n">
        <x:v>156</x:v>
      </x:c>
      <x:c r="G6" s="10" t="n">
        <x:v>7705.4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2026-08-25</x:v>
      </x:c>
      <x:c r="C7" s="10" t="n">
        <x:v>7509.6</x:v>
      </x:c>
      <x:c r="D7" s="10" t="n">
        <x:v>7300.2</x:v>
      </x:c>
      <x:c r="E7" s="12" t="n">
        <x:v>209.4</x:v>
      </x:c>
      <x:c r="F7" s="9" t="n">
        <x:v>156</x:v>
      </x:c>
      <x:c r="G7" s="10" t="n">
        <x:v>29772.8</x:v>
      </x:c>
      <x:c r="H7" s="10" t="n">
        <x:v>190.9</x:v>
      </x:c>
      <x:c r="I7" s="10" t="n">
        <x:v>190</x:v>
      </x:c>
    </x:row>
    <x:row r="8">
      <x:c r="A8" s="9" t="str">
        <x:v>IC主力</x:v>
      </x:c>
      <x:c r="B8" s="9" t="str">
        <x:v>2026-08-25</x:v>
      </x:c>
      <x:c r="C8" s="10" t="n">
        <x:v>7687.8</x:v>
      </x:c>
      <x:c r="D8" s="10" t="n">
        <x:v>7496</x:v>
      </x:c>
      <x:c r="E8" s="12" t="n">
        <x:v>191.8</x:v>
      </x:c>
      <x:c r="F8" s="9" t="n">
        <x:v>156</x:v>
      </x:c>
      <x:c r="G8" s="10" t="n">
        <x:v>31049</x:v>
      </x:c>
      <x:c r="H8" s="10" t="n">
        <x:v>199</x:v>
      </x:c>
      <x:c r="I8" s="10" t="n">
        <x:v>150</x:v>
      </x:c>
    </x:row>
    <x:row r="9">
      <x:c r="A9" s="9" t="str">
        <x:v>IF主力</x:v>
      </x:c>
      <x:c r="B9" s="9" t="str">
        <x:v>2026-08-25</x:v>
      </x:c>
      <x:c r="C9" s="10" t="n">
        <x:v>4544.2</x:v>
      </x:c>
      <x:c r="D9" s="10" t="n">
        <x:v>4488</x:v>
      </x:c>
      <x:c r="E9" s="12" t="n">
        <x:v>56.2</x:v>
      </x:c>
      <x:c r="F9" s="9" t="n">
        <x:v>156</x:v>
      </x:c>
      <x:c r="G9" s="10" t="n">
        <x:v>11650.8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2026-08-25</x:v>
      </x:c>
      <x:c r="C10" s="10" t="n">
        <x:v>2864.4</x:v>
      </x:c>
      <x:c r="D10" s="10" t="n">
        <x:v>2840</x:v>
      </x:c>
      <x:c r="E10" s="12" t="n">
        <x:v>24.4</x:v>
      </x:c>
      <x:c r="F10" s="9" t="n">
        <x:v>156</x:v>
      </x:c>
      <x:c r="G10" s="10" t="n">
        <x:v>6440.2</x:v>
      </x:c>
      <x:c r="H10" s="10" t="n">
        <x:v>41.3</x:v>
      </x:c>
      <x:c r="I10" s="10" t="n">
        <x:v>60</x:v>
      </x:c>
    </x:row>
    <x:row r="11">
      <x:c r="A11" s="9" t="str">
        <x:v>碳酸锂2609</x:v>
      </x:c>
      <x:c r="B11" s="9" t="str">
        <x:v>2026-08-25</x:v>
      </x:c>
      <x:c r="C11" s="10" t="n">
        <x:v>157980</x:v>
      </x:c>
      <x:c r="D11" s="10" t="n">
        <x:v>149300</x:v>
      </x:c>
      <x:c r="E11" s="12" t="n">
        <x:v>8680</x:v>
      </x:c>
      <x:c r="F11" s="9" t="n">
        <x:v>156</x:v>
      </x:c>
      <x:c r="G11" s="10" t="n">
        <x:v>1339820</x:v>
      </x:c>
      <x:c r="H11" s="10" t="n">
        <x:v>8588.6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8月24日-8月25日</x:v>
      </x:c>
      <x:c r="C37" s="23" t="n">
        <x:v>7614.89</x:v>
      </x:c>
      <x:c r="D37" s="23" t="n">
        <x:v>7633.34</x:v>
      </x:c>
      <x:c r="E37" s="23" t="n">
        <x:v>7347.95</x:v>
      </x:c>
      <x:c r="F37" s="23" t="n">
        <x:v>7527.5</x:v>
      </x:c>
      <x:c r="G37" s="23" t="n">
        <x:f>ROUND(F37-F36,1)</x:f>
        <x:v>-74.3</x:v>
      </x:c>
      <x:c r="H37" s="24" t="n">
        <x:f>IFERROR(F37/F36-1,"")</x:f>
        <x:v>-0.009774000894524959</x:v>
      </x:c>
      <x:c r="I37" s="26" t="n">
        <x:f>ROUND(D37-E37,1)</x:f>
        <x:v>285.4</x:v>
      </x:c>
      <x:c r="J37" s="22" t="str">
        <x:v>中证1000</x:v>
      </x:c>
      <x:c r="K37" s="22" t="n">
        <x:v>2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13778.9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417.5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8月24日-8月25日</x:v>
      </x:c>
      <x:c r="C75" s="23" t="n">
        <x:v>7861.05</x:v>
      </x:c>
      <x:c r="D75" s="23" t="n">
        <x:v>7865.54</x:v>
      </x:c>
      <x:c r="E75" s="23" t="n">
        <x:v>7572.86</x:v>
      </x:c>
      <x:c r="F75" s="23" t="n">
        <x:v>7710.94</x:v>
      </x:c>
      <x:c r="G75" s="23" t="n">
        <x:f>ROUND(F75-F74,1)</x:f>
        <x:v>-143.4</x:v>
      </x:c>
      <x:c r="H75" s="24" t="n">
        <x:f>IFERROR(F75/F74-1,"")</x:f>
        <x:v>-0.018256172073238597</x:v>
      </x:c>
      <x:c r="I75" s="26" t="n">
        <x:f>ROUND(D75-E75,1)</x:f>
        <x:v>292.7</x:v>
      </x:c>
      <x:c r="J75" s="22" t="str">
        <x:v>中证500</x:v>
      </x:c>
      <x:c r="K75" s="22" t="n">
        <x:v>2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13873.1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420.4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8月24日-8月25日</x:v>
      </x:c>
      <x:c r="C113" s="23" t="n">
        <x:v>3902.7</x:v>
      </x:c>
      <x:c r="D113" s="23" t="n">
        <x:v>3910.24</x:v>
      </x:c>
      <x:c r="E113" s="23" t="n">
        <x:v>3850.86</x:v>
      </x:c>
      <x:c r="F113" s="23" t="n">
        <x:v>3889.44</x:v>
      </x:c>
      <x:c r="G113" s="23" t="n">
        <x:f>ROUND(F113-F112,1)</x:f>
        <x:v>-15.8</x:v>
      </x:c>
      <x:c r="H113" s="24" t="n">
        <x:f>IFERROR(F113/F112-1,"")</x:f>
        <x:v>-0.004035644781317127</x:v>
      </x:c>
      <x:c r="I113" s="26" t="n">
        <x:f>ROUND(D113-E113,1)</x:f>
        <x:v>59.4</x:v>
      </x:c>
      <x:c r="J113" s="22" t="str">
        <x:v>上证指数</x:v>
      </x:c>
      <x:c r="K113" s="22" t="n">
        <x:v>2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3618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109.6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8月24日-8月25日</x:v>
      </x:c>
      <x:c r="C151" s="23" t="n">
        <x:v>7534.8</x:v>
      </x:c>
      <x:c r="D151" s="23" t="n">
        <x:v>7549</x:v>
      </x:c>
      <x:c r="E151" s="23" t="n">
        <x:v>7300.2</x:v>
      </x:c>
      <x:c r="F151" s="23" t="n">
        <x:v>7466.4</x:v>
      </x:c>
      <x:c r="G151" s="23" t="n">
        <x:f>ROUND(F151-F150,1)</x:f>
        <x:v>-60.6</x:v>
      </x:c>
      <x:c r="H151" s="24" t="n">
        <x:f>IFERROR(F151/F150-1,"")</x:f>
        <x:v>-0.00805101634117178</x:v>
      </x:c>
      <x:c r="I151" s="26" t="n">
        <x:f>ROUND(D151-E151,1)</x:f>
        <x:v>248.8</x:v>
      </x:c>
      <x:c r="J151" s="22" t="str">
        <x:v>IM2609</x:v>
      </x:c>
      <x:c r="K151" s="22" t="n">
        <x:v>2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14320.8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434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8月24日-8月25日</x:v>
      </x:c>
      <x:c r="C189" s="23" t="n">
        <x:v>7757</x:v>
      </x:c>
      <x:c r="D189" s="23" t="n">
        <x:v>7764.4</x:v>
      </x:c>
      <x:c r="E189" s="23" t="n">
        <x:v>7496</x:v>
      </x:c>
      <x:c r="F189" s="23" t="n">
        <x:v>7637</x:v>
      </x:c>
      <x:c r="G189" s="23" t="n">
        <x:f>ROUND(F189-F188,1)</x:f>
        <x:v>-125</x:v>
      </x:c>
      <x:c r="H189" s="24" t="n">
        <x:f>IFERROR(F189/F188-1,"")</x:f>
        <x:v>-0.0161040968822469</x:v>
      </x:c>
      <x:c r="I189" s="26" t="n">
        <x:f>ROUND(D189-E189,1)</x:f>
        <x:v>268.4</x:v>
      </x:c>
      <x:c r="J189" s="22" t="str">
        <x:v>IC2609</x:v>
      </x:c>
      <x:c r="K189" s="22" t="n">
        <x:v>2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14915.4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452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8月24日-8月25日</x:v>
      </x:c>
      <x:c r="C227" s="23" t="n">
        <x:v>4607.4</x:v>
      </x:c>
      <x:c r="D227" s="23" t="n">
        <x:v>4607.4</x:v>
      </x:c>
      <x:c r="E227" s="23" t="n">
        <x:v>4486.4</x:v>
      </x:c>
      <x:c r="F227" s="23" t="n">
        <x:v>4521.8</x:v>
      </x:c>
      <x:c r="G227" s="23" t="n">
        <x:f>ROUND(F227-F226,1)</x:f>
        <x:v>-54.2</x:v>
      </x:c>
      <x:c r="H227" s="24" t="n">
        <x:f>IFERROR(F227/F226-1,"")</x:f>
        <x:v>-0.011844405594405583</x:v>
      </x:c>
      <x:c r="I227" s="26" t="n">
        <x:f>ROUND(D227-E227,1)</x:f>
        <x:v>121</x:v>
      </x:c>
      <x:c r="J227" s="22" t="str">
        <x:v>IF2609</x:v>
      </x:c>
      <x:c r="K227" s="22" t="n">
        <x:v>2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5340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161.8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8月24日-8月25日</x:v>
      </x:c>
      <x:c r="C265" s="23" t="n">
        <x:v>2856.4</x:v>
      </x:c>
      <x:c r="D265" s="23" t="n">
        <x:v>2866.8</x:v>
      </x:c>
      <x:c r="E265" s="23" t="n">
        <x:v>2837.4</x:v>
      </x:c>
      <x:c r="F265" s="23" t="n">
        <x:v>2855.2</x:v>
      </x:c>
      <x:c r="G265" s="23" t="n">
        <x:f>ROUND(F265-F264,1)</x:f>
        <x:v>-5.8</x:v>
      </x:c>
      <x:c r="H265" s="24" t="n">
        <x:f>IFERROR(F265/F264-1,"")</x:f>
        <x:v>-0.0020272631946872677</x:v>
      </x:c>
      <x:c r="I265" s="23" t="n">
        <x:f>ROUND(D265-E265,1)</x:f>
        <x:v>29.4</x:v>
      </x:c>
      <x:c r="J265" s="22" t="str">
        <x:v>IH2609</x:v>
      </x:c>
      <x:c r="K265" s="22" t="n">
        <x:v>2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2997.8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90.8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8月24日-8月25日</x:v>
      </x:c>
      <x:c r="C303" s="23" t="n">
        <x:v>158500</x:v>
      </x:c>
      <x:c r="D303" s="23" t="n">
        <x:v>160000</x:v>
      </x:c>
      <x:c r="E303" s="23" t="n">
        <x:v>149300</x:v>
      </x:c>
      <x:c r="F303" s="23" t="n">
        <x:v>149300</x:v>
      </x:c>
      <x:c r="G303" s="28" t="n">
        <x:f>ROUND(F303-F302,1)</x:f>
        <x:v>-6840</x:v>
      </x:c>
      <x:c r="H303" s="24" t="n">
        <x:f>IFERROR(F303/F302-1,"")</x:f>
        <x:v>-0.04380684001537083</x:v>
      </x:c>
      <x:c r="I303" s="26" t="n">
        <x:f>ROUND(D303-E303,1)</x:f>
        <x:v>10700</x:v>
      </x:c>
      <x:c r="J303" s="22" t="str">
        <x:v>LC2609</x:v>
      </x:c>
      <x:c r="K303" s="22" t="n">
        <x:v>2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687380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20829.7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3011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177.1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2883.5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169.6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730.1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42.9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2945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173.2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2876.4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169.2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1091.2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64.2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562.4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33.1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88500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5205.9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