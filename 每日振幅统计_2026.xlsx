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92ac37da1e4c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4808877259a4d70"/>
    <x:sheet xmlns:r="http://schemas.openxmlformats.org/officeDocument/2006/relationships" name="周振幅统计" sheetId="2" r:id="R1191204875974f25"/>
    <x:sheet xmlns:r="http://schemas.openxmlformats.org/officeDocument/2006/relationships" name="中证1000" sheetId="3" r:id="Rccedb6b844b04239"/>
    <x:sheet xmlns:r="http://schemas.openxmlformats.org/officeDocument/2006/relationships" name="中证500" sheetId="4" r:id="R5b279d49d7ce4fa8"/>
    <x:sheet xmlns:r="http://schemas.openxmlformats.org/officeDocument/2006/relationships" name="上证指数" sheetId="5" r:id="Re9fc810039e24de4"/>
    <x:sheet xmlns:r="http://schemas.openxmlformats.org/officeDocument/2006/relationships" name="IM主力" sheetId="6" r:id="R2f8a12e6b9434460"/>
    <x:sheet xmlns:r="http://schemas.openxmlformats.org/officeDocument/2006/relationships" name="IC主力" sheetId="7" r:id="Re6a9ac296ec94ec1"/>
    <x:sheet xmlns:r="http://schemas.openxmlformats.org/officeDocument/2006/relationships" name="IF主力" sheetId="8" r:id="R748f7826e3af47ab"/>
    <x:sheet xmlns:r="http://schemas.openxmlformats.org/officeDocument/2006/relationships" name="IH主力" sheetId="9" r:id="Rf251281633ca41e3"/>
    <x:sheet xmlns:r="http://schemas.openxmlformats.org/officeDocument/2006/relationships" name="碳酸锂2609" sheetId="10" r:id="R68df033dab174b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573a3efcc14fca" /><Relationship Type="http://schemas.openxmlformats.org/officeDocument/2006/relationships/theme" Target="/xl/theme/theme1.xml" Id="R394f2c5e99ac4b7d" /><Relationship Type="http://schemas.openxmlformats.org/officeDocument/2006/relationships/sharedStrings" Target="/xl/sharedStrings.xml" Id="R5e7b2dcfd7ec4b6c" /><Relationship Type="http://schemas.openxmlformats.org/officeDocument/2006/relationships/worksheet" Target="/xl/worksheets/sheet1.xml" Id="R94808877259a4d70" /><Relationship Type="http://schemas.openxmlformats.org/officeDocument/2006/relationships/worksheet" Target="/xl/worksheets/sheet2.xml" Id="R1191204875974f25" /><Relationship Type="http://schemas.openxmlformats.org/officeDocument/2006/relationships/worksheet" Target="/xl/worksheets/sheet3.xml" Id="Rccedb6b844b04239" /><Relationship Type="http://schemas.openxmlformats.org/officeDocument/2006/relationships/worksheet" Target="/xl/worksheets/sheet4.xml" Id="R5b279d49d7ce4fa8" /><Relationship Type="http://schemas.openxmlformats.org/officeDocument/2006/relationships/worksheet" Target="/xl/worksheets/sheet5.xml" Id="Re9fc810039e24de4" /><Relationship Type="http://schemas.openxmlformats.org/officeDocument/2006/relationships/worksheet" Target="/xl/worksheets/sheet6.xml" Id="R2f8a12e6b9434460" /><Relationship Type="http://schemas.openxmlformats.org/officeDocument/2006/relationships/worksheet" Target="/xl/worksheets/sheet7.xml" Id="Re6a9ac296ec94ec1" /><Relationship Type="http://schemas.openxmlformats.org/officeDocument/2006/relationships/worksheet" Target="/xl/worksheets/sheet8.xml" Id="R748f7826e3af47ab" /><Relationship Type="http://schemas.openxmlformats.org/officeDocument/2006/relationships/worksheet" Target="/xl/worksheets/sheet9.xml" Id="Rf251281633ca41e3" /><Relationship Type="http://schemas.openxmlformats.org/officeDocument/2006/relationships/worksheet" Target="/xl/worksheets/sheet10.xml" Id="R68df033dab174b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2026-08-05</x:v>
      </x:c>
      <x:c r="C4" s="10" t="n">
        <x:v>7523.5</x:v>
      </x:c>
      <x:c r="D4" s="10" t="n">
        <x:v>7253.22</x:v>
      </x:c>
      <x:c r="E4" s="12" t="n">
        <x:v>270.3</x:v>
      </x:c>
      <x:c r="F4" s="9" t="n">
        <x:v>142</x:v>
      </x:c>
      <x:c r="G4" s="10" t="n">
        <x:v>25666.1</x:v>
      </x:c>
      <x:c r="H4" s="10" t="n">
        <x:v>180.7</x:v>
      </x:c>
      <x:c r="I4" s="10" t="n">
        <x:v>180</x:v>
      </x:c>
    </x:row>
    <x:row r="5">
      <x:c r="A5" s="9" t="str">
        <x:v>中证500</x:v>
      </x:c>
      <x:c r="B5" s="9" t="str">
        <x:v>2026-08-05</x:v>
      </x:c>
      <x:c r="C5" s="10" t="n">
        <x:v>7845.39</x:v>
      </x:c>
      <x:c r="D5" s="10" t="n">
        <x:v>7567.96</x:v>
      </x:c>
      <x:c r="E5" s="12" t="n">
        <x:v>277.4</x:v>
      </x:c>
      <x:c r="F5" s="9" t="n">
        <x:v>142</x:v>
      </x:c>
      <x:c r="G5" s="10" t="n">
        <x:v>25870.2</x:v>
      </x:c>
      <x:c r="H5" s="10" t="n">
        <x:v>182.2</x:v>
      </x:c>
      <x:c r="I5" s="10" t="n">
        <x:v>160</x:v>
      </x:c>
    </x:row>
    <x:row r="6">
      <x:c r="A6" s="9" t="str">
        <x:v>上证指数</x:v>
      </x:c>
      <x:c r="B6" s="9" t="str">
        <x:v>2026-08-05</x:v>
      </x:c>
      <x:c r="C6" s="10" t="n">
        <x:v>3884.4</x:v>
      </x:c>
      <x:c r="D6" s="10" t="n">
        <x:v>3815.12</x:v>
      </x:c>
      <x:c r="E6" s="12" t="n">
        <x:v>69.3</x:v>
      </x:c>
      <x:c r="F6" s="9" t="n">
        <x:v>142</x:v>
      </x:c>
      <x:c r="G6" s="10" t="n">
        <x:v>7107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2026-08-05</x:v>
      </x:c>
      <x:c r="C7" s="10" t="n">
        <x:v>7466</x:v>
      </x:c>
      <x:c r="D7" s="10" t="n">
        <x:v>7201.6</x:v>
      </x:c>
      <x:c r="E7" s="12" t="n">
        <x:v>264.4</x:v>
      </x:c>
      <x:c r="F7" s="9" t="n">
        <x:v>142</x:v>
      </x:c>
      <x:c r="G7" s="10" t="n">
        <x:v>27392.4</x:v>
      </x:c>
      <x:c r="H7" s="10" t="n">
        <x:v>192.9</x:v>
      </x:c>
      <x:c r="I7" s="10" t="n">
        <x:v>190</x:v>
      </x:c>
    </x:row>
    <x:row r="8">
      <x:c r="A8" s="9" t="str">
        <x:v>IC主力</x:v>
      </x:c>
      <x:c r="B8" s="9" t="str">
        <x:v>2026-08-05</x:v>
      </x:c>
      <x:c r="C8" s="10" t="n">
        <x:v>7775.6</x:v>
      </x:c>
      <x:c r="D8" s="10" t="n">
        <x:v>7501</x:v>
      </x:c>
      <x:c r="E8" s="12" t="n">
        <x:v>274.6</x:v>
      </x:c>
      <x:c r="F8" s="9" t="n">
        <x:v>142</x:v>
      </x:c>
      <x:c r="G8" s="10" t="n">
        <x:v>28758.4</x:v>
      </x:c>
      <x:c r="H8" s="10" t="n">
        <x:v>202.5</x:v>
      </x:c>
      <x:c r="I8" s="10" t="n">
        <x:v>150</x:v>
      </x:c>
    </x:row>
    <x:row r="9">
      <x:c r="A9" s="9" t="str">
        <x:v>IF主力</x:v>
      </x:c>
      <x:c r="B9" s="9" t="str">
        <x:v>2026-08-05</x:v>
      </x:c>
      <x:c r="C9" s="10" t="n">
        <x:v>4641.2</x:v>
      </x:c>
      <x:c r="D9" s="10" t="n">
        <x:v>4520</x:v>
      </x:c>
      <x:c r="E9" s="12" t="n">
        <x:v>121.2</x:v>
      </x:c>
      <x:c r="F9" s="9" t="n">
        <x:v>142</x:v>
      </x:c>
      <x:c r="G9" s="10" t="n">
        <x:v>10781.2</x:v>
      </x:c>
      <x:c r="H9" s="10" t="n">
        <x:v>75.9</x:v>
      </x:c>
      <x:c r="I9" s="10" t="n">
        <x:v>90</x:v>
      </x:c>
    </x:row>
    <x:row r="10">
      <x:c r="A10" s="9" t="str">
        <x:v>IH主力</x:v>
      </x:c>
      <x:c r="B10" s="9" t="str">
        <x:v>2026-08-05</x:v>
      </x:c>
      <x:c r="C10" s="10" t="n">
        <x:v>2907.6</x:v>
      </x:c>
      <x:c r="D10" s="10" t="n">
        <x:v>2855</x:v>
      </x:c>
      <x:c r="E10" s="12" t="n">
        <x:v>52.6</x:v>
      </x:c>
      <x:c r="F10" s="9" t="n">
        <x:v>142</x:v>
      </x:c>
      <x:c r="G10" s="10" t="n">
        <x:v>6000</x:v>
      </x:c>
      <x:c r="H10" s="10" t="n">
        <x:v>42.3</x:v>
      </x:c>
      <x:c r="I10" s="10" t="n">
        <x:v>60</x:v>
      </x:c>
    </x:row>
    <x:row r="11">
      <x:c r="A11" s="9" t="str">
        <x:v>碳酸锂2609</x:v>
      </x:c>
      <x:c r="B11" s="9" t="str">
        <x:v>2026-08-05</x:v>
      </x:c>
      <x:c r="C11" s="10" t="n">
        <x:v>144300</x:v>
      </x:c>
      <x:c r="D11" s="10" t="n">
        <x:v>138320</x:v>
      </x:c>
      <x:c r="E11" s="12" t="n">
        <x:v>5980</x:v>
      </x:c>
      <x:c r="F11" s="9" t="n">
        <x:v>142</x:v>
      </x:c>
      <x:c r="G11" s="10" t="n">
        <x:v>1266600</x:v>
      </x:c>
      <x:c r="H11" s="10" t="n">
        <x:v>8919.7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2026-08-05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8月3日-8月5日</x:v>
      </x:c>
      <x:c r="C34" s="23" t="n">
        <x:v>7055.27</x:v>
      </x:c>
      <x:c r="D34" s="23" t="n">
        <x:v>7523.5</x:v>
      </x:c>
      <x:c r="E34" s="23" t="n">
        <x:v>7042.89</x:v>
      </x:c>
      <x:c r="F34" s="23" t="n">
        <x:v>7493.05</x:v>
      </x:c>
      <x:c r="G34" s="28" t="n">
        <x:f>ROUND(F34-F33,1)</x:f>
        <x:v>417.5</x:v>
      </x:c>
      <x:c r="H34" s="24" t="n">
        <x:f>IFERROR(F34/F33-1,"")</x:f>
        <x:v>0.0590120005483703</x:v>
      </x:c>
      <x:c r="I34" s="26" t="n">
        <x:f>ROUND(D34-E34,1)</x:f>
        <x:v>480.6</x:v>
      </x:c>
      <x:c r="J34" s="22" t="str">
        <x:v>中证1000</x:v>
      </x:c>
      <x:c r="K34" s="22" t="n">
        <x:v>3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12549.8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418.3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8月3日-8月5日</x:v>
      </x:c>
      <x:c r="C69" s="23" t="n">
        <x:v>7457.12</x:v>
      </x:c>
      <x:c r="D69" s="23" t="n">
        <x:v>7845.39</x:v>
      </x:c>
      <x:c r="E69" s="23" t="n">
        <x:v>7397.94</x:v>
      </x:c>
      <x:c r="F69" s="23" t="n">
        <x:v>7809.21</x:v>
      </x:c>
      <x:c r="G69" s="28" t="n">
        <x:f>ROUND(F69-F68,1)</x:f>
        <x:v>315.2</x:v>
      </x:c>
      <x:c r="H69" s="24" t="n">
        <x:f>IFERROR(F69/F68-1,"")</x:f>
        <x:v>0.04206303984926585</x:v>
      </x:c>
      <x:c r="I69" s="26" t="n">
        <x:f>ROUND(D69-E69,1)</x:f>
        <x:v>447.5</x:v>
      </x:c>
      <x:c r="J69" s="22" t="str">
        <x:v>中证500</x:v>
      </x:c>
      <x:c r="K69" s="22" t="n">
        <x:v>3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12742.6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424.8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8月3日-8月5日</x:v>
      </x:c>
      <x:c r="C104" s="23" t="n">
        <x:v>3812.61</x:v>
      </x:c>
      <x:c r="D104" s="23" t="n">
        <x:v>3884.4</x:v>
      </x:c>
      <x:c r="E104" s="23" t="n">
        <x:v>3797.64</x:v>
      </x:c>
      <x:c r="F104" s="23" t="n">
        <x:v>3878.43</x:v>
      </x:c>
      <x:c r="G104" s="23" t="n">
        <x:f>ROUND(F104-F103,1)</x:f>
        <x:v>46.2</x:v>
      </x:c>
      <x:c r="H104" s="24" t="n">
        <x:f>IFERROR(F104/F103-1,"")</x:f>
        <x:v>0.012047721188019445</x:v>
      </x:c>
      <x:c r="I104" s="26" t="n">
        <x:f>ROUND(D104-E104,1)</x:f>
        <x:v>86.8</x:v>
      </x:c>
      <x:c r="J104" s="22" t="str">
        <x:v>上证指数</x:v>
      </x:c>
      <x:c r="K104" s="22" t="n">
        <x:v>3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3322.7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110.8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8月3日-8月5日</x:v>
      </x:c>
      <x:c r="C139" s="23" t="n">
        <x:v>7000</x:v>
      </x:c>
      <x:c r="D139" s="23" t="n">
        <x:v>7466</x:v>
      </x:c>
      <x:c r="E139" s="23" t="n">
        <x:v>6976</x:v>
      </x:c>
      <x:c r="F139" s="23" t="n">
        <x:v>7433.8</x:v>
      </x:c>
      <x:c r="G139" s="28" t="n">
        <x:f>ROUND(F139-F138,1)</x:f>
        <x:v>446</x:v>
      </x:c>
      <x:c r="H139" s="24" t="n">
        <x:f>IFERROR(F139/F138-1,"")</x:f>
        <x:v>0.06382552448553191</x:v>
      </x:c>
      <x:c r="I139" s="26" t="n">
        <x:f>ROUND(D139-E139,1)</x:f>
        <x:v>490</x:v>
      </x:c>
      <x:c r="J139" s="22" t="str">
        <x:v>IM2609</x:v>
      </x:c>
      <x:c r="K139" s="22" t="n">
        <x:v>3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13220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440.7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8月3日-8月5日</x:v>
      </x:c>
      <x:c r="C174" s="23" t="n">
        <x:v>7391</x:v>
      </x:c>
      <x:c r="D174" s="23" t="n">
        <x:v>7775.6</x:v>
      </x:c>
      <x:c r="E174" s="23" t="n">
        <x:v>7335</x:v>
      </x:c>
      <x:c r="F174" s="23" t="n">
        <x:v>7744.4</x:v>
      </x:c>
      <x:c r="G174" s="28" t="n">
        <x:f>ROUND(F174-F173,1)</x:f>
        <x:v>349.4</x:v>
      </x:c>
      <x:c r="H174" s="24" t="n">
        <x:f>IFERROR(F174/F173-1,"")</x:f>
        <x:v>0.047248140635564484</x:v>
      </x:c>
      <x:c r="I174" s="26" t="n">
        <x:f>ROUND(D174-E174,1)</x:f>
        <x:v>440.6</x:v>
      </x:c>
      <x:c r="J174" s="22" t="str">
        <x:v>IC2609</x:v>
      </x:c>
      <x:c r="K174" s="22" t="n">
        <x:v>3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13889.6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463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8月3日-8月5日</x:v>
      </x:c>
      <x:c r="C209" s="23" t="n">
        <x:v>4526.4</x:v>
      </x:c>
      <x:c r="D209" s="23" t="n">
        <x:v>4641.2</x:v>
      </x:c>
      <x:c r="E209" s="23" t="n">
        <x:v>4494.2</x:v>
      </x:c>
      <x:c r="F209" s="23" t="n">
        <x:v>4621</x:v>
      </x:c>
      <x:c r="G209" s="23" t="n">
        <x:f>ROUND(F209-F208,1)</x:f>
        <x:v>83</x:v>
      </x:c>
      <x:c r="H209" s="24" t="n">
        <x:f>IFERROR(F209/F208-1,"")</x:f>
        <x:v>0.018289995592772224</x:v>
      </x:c>
      <x:c r="I209" s="26" t="n">
        <x:f>ROUND(D209-E209,1)</x:f>
        <x:v>147</x:v>
      </x:c>
      <x:c r="J209" s="22" t="str">
        <x:v>IF2609</x:v>
      </x:c>
      <x:c r="K209" s="22" t="n">
        <x:v>3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4952.2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165.1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8月3日-8月5日</x:v>
      </x:c>
      <x:c r="C244" s="23" t="n">
        <x:v>2882.4</x:v>
      </x:c>
      <x:c r="D244" s="23" t="n">
        <x:v>2907.6</x:v>
      </x:c>
      <x:c r="E244" s="23" t="n">
        <x:v>2845.8</x:v>
      </x:c>
      <x:c r="F244" s="23" t="n">
        <x:v>2893.4</x:v>
      </x:c>
      <x:c r="G244" s="23" t="n">
        <x:f>ROUND(F244-F243,1)</x:f>
        <x:v>1.6</x:v>
      </x:c>
      <x:c r="H244" s="24" t="n">
        <x:f>IFERROR(F244/F243-1,"")</x:f>
        <x:v>0.00055328860917081</x:v>
      </x:c>
      <x:c r="I244" s="26" t="n">
        <x:f>ROUND(D244-E244,1)</x:f>
        <x:v>61.8</x:v>
      </x:c>
      <x:c r="J244" s="22" t="str">
        <x:v>IH2609</x:v>
      </x:c>
      <x:c r="K244" s="22" t="n">
        <x:v>3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2794.6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93.2</x:v>
      </x:c>
      <x:c r="J246" s="30"/>
      <x:c r="K246" s="30"/>
    </x:row>
    <x:row r="248">
      <x:c r="A248" s="17" t="str">
        <x:v>碳酸锂2609</x:v>
      </x:c>
      <x:c r="B248" s="17"/>
      <x:c r="C248" s="17"/>
      <x:c r="D248" s="17"/>
      <x:c r="E248" s="17"/>
      <x:c r="F248" s="17"/>
      <x:c r="G248" s="17"/>
      <x:c r="H248" s="17"/>
      <x:c r="I248" s="17"/>
      <x:c r="J248" s="17"/>
      <x:c r="K248" s="17"/>
    </x:row>
    <x:row r="249">
      <x:c r="A249" s="20" t="str">
        <x:v>序号</x:v>
      </x:c>
      <x:c r="B249" s="20" t="str">
        <x:v>周期</x:v>
      </x:c>
      <x:c r="C249" s="20" t="str">
        <x:v>开盘</x:v>
      </x:c>
      <x:c r="D249" s="20" t="str">
        <x:v>高点</x:v>
      </x:c>
      <x:c r="E249" s="20" t="str">
        <x:v>低点</x:v>
      </x:c>
      <x:c r="F249" s="20" t="str">
        <x:v>收盘</x:v>
      </x:c>
      <x:c r="G249" s="20" t="str">
        <x:v>涨跌点数</x:v>
      </x:c>
      <x:c r="H249" s="20" t="str">
        <x:v>涨幅</x:v>
      </x:c>
      <x:c r="I249" s="20" t="str">
        <x:v>振幅</x:v>
      </x:c>
      <x:c r="J249" s="20" t="str">
        <x:v>标的</x:v>
      </x:c>
      <x:c r="K249" s="20" t="str">
        <x:v>交易日</x:v>
      </x:c>
    </x:row>
    <x:row r="250">
      <x:c r="A250" s="22" t="n">
        <x:v>1</x:v>
      </x:c>
      <x:c r="B250" s="22" t="str">
        <x:v>1月5日-1月9日</x:v>
      </x:c>
      <x:c r="C250" s="23" t="n">
        <x:v>126360</x:v>
      </x:c>
      <x:c r="D250" s="23" t="n">
        <x:v>150760</x:v>
      </x:c>
      <x:c r="E250" s="23" t="n">
        <x:v>125160</x:v>
      </x:c>
      <x:c r="F250" s="23" t="n">
        <x:v>145380</x:v>
      </x:c>
      <x:c r="G250" s="23"/>
      <x:c r="H250" s="24"/>
      <x:c r="I250" s="26" t="n">
        <x:f>ROUND(D250-E250,1)</x:f>
        <x:v>25600</x:v>
      </x:c>
      <x:c r="J250" s="22" t="str">
        <x:v>LC2609</x:v>
      </x:c>
      <x:c r="K250" s="22" t="n">
        <x:v>5</x:v>
      </x:c>
    </x:row>
    <x:row r="251">
      <x:c r="A251" s="22" t="n">
        <x:v>2</x:v>
      </x:c>
      <x:c r="B251" s="22" t="str">
        <x:v>1月12日-1月16日</x:v>
      </x:c>
      <x:c r="C251" s="23" t="n">
        <x:v>153000</x:v>
      </x:c>
      <x:c r="D251" s="23" t="n">
        <x:v>176120</x:v>
      </x:c>
      <x:c r="E251" s="23" t="n">
        <x:v>147740</x:v>
      </x:c>
      <x:c r="F251" s="23" t="n">
        <x:v>147740</x:v>
      </x:c>
      <x:c r="G251" s="28" t="n">
        <x:f>ROUND(F251-F250,1)</x:f>
        <x:v>2360</x:v>
      </x:c>
      <x:c r="H251" s="24" t="n">
        <x:f>IFERROR(F251/F250-1,"")</x:f>
        <x:v>0.016233319576282934</x:v>
      </x:c>
      <x:c r="I251" s="26" t="n">
        <x:f>ROUND(D251-E251,1)</x:f>
        <x:v>28380</x:v>
      </x:c>
      <x:c r="J251" s="22" t="str">
        <x:v>LC2609</x:v>
      </x:c>
      <x:c r="K251" s="22" t="n">
        <x:v>5</x:v>
      </x:c>
    </x:row>
    <x:row r="252">
      <x:c r="A252" s="22" t="n">
        <x:v>3</x:v>
      </x:c>
      <x:c r="B252" s="22" t="str">
        <x:v>1月19日-1月23日</x:v>
      </x:c>
      <x:c r="C252" s="23" t="n">
        <x:v>150720</x:v>
      </x:c>
      <x:c r="D252" s="23" t="n">
        <x:v>183780</x:v>
      </x:c>
      <x:c r="E252" s="23" t="n">
        <x:v>143820</x:v>
      </x:c>
      <x:c r="F252" s="23" t="n">
        <x:v>183380</x:v>
      </x:c>
      <x:c r="G252" s="28" t="n">
        <x:f>ROUND(F252-F251,1)</x:f>
        <x:v>35640</x:v>
      </x:c>
      <x:c r="H252" s="24" t="n">
        <x:f>IFERROR(F252/F251-1,"")</x:f>
        <x:v>0.24123460132665486</x:v>
      </x:c>
      <x:c r="I252" s="26" t="n">
        <x:f>ROUND(D252-E252,1)</x:f>
        <x:v>39960</x:v>
      </x:c>
      <x:c r="J252" s="22" t="str">
        <x:v>LC2609</x:v>
      </x:c>
      <x:c r="K252" s="22" t="n">
        <x:v>5</x:v>
      </x:c>
    </x:row>
    <x:row r="253">
      <x:c r="A253" s="22" t="n">
        <x:v>4</x:v>
      </x:c>
      <x:c r="B253" s="22" t="str">
        <x:v>1月26日-1月30日</x:v>
      </x:c>
      <x:c r="C253" s="23" t="n">
        <x:v>187000</x:v>
      </x:c>
      <x:c r="D253" s="23" t="n">
        <x:v>190600</x:v>
      </x:c>
      <x:c r="E253" s="23" t="n">
        <x:v>148560</x:v>
      </x:c>
      <x:c r="F253" s="23" t="n">
        <x:v>148560</x:v>
      </x:c>
      <x:c r="G253" s="28" t="n">
        <x:f>ROUND(F253-F252,1)</x:f>
        <x:v>-34820</x:v>
      </x:c>
      <x:c r="H253" s="24" t="n">
        <x:f>IFERROR(F253/F252-1,"")</x:f>
        <x:v>-0.18987893990620575</x:v>
      </x:c>
      <x:c r="I253" s="26" t="n">
        <x:f>ROUND(D253-E253,1)</x:f>
        <x:v>42040</x:v>
      </x:c>
      <x:c r="J253" s="22" t="str">
        <x:v>LC2609</x:v>
      </x:c>
      <x:c r="K253" s="22" t="n">
        <x:v>5</x:v>
      </x:c>
    </x:row>
    <x:row r="254">
      <x:c r="A254" s="22" t="n">
        <x:v>5</x:v>
      </x:c>
      <x:c r="B254" s="22" t="str">
        <x:v>2月2日-2月6日</x:v>
      </x:c>
      <x:c r="C254" s="23" t="n">
        <x:v>148040</x:v>
      </x:c>
      <x:c r="D254" s="23" t="n">
        <x:v>153200</x:v>
      </x:c>
      <x:c r="E254" s="23" t="n">
        <x:v>124480</x:v>
      </x:c>
      <x:c r="F254" s="23" t="n">
        <x:v>133500</x:v>
      </x:c>
      <x:c r="G254" s="28" t="n">
        <x:f>ROUND(F254-F253,1)</x:f>
        <x:v>-15060</x:v>
      </x:c>
      <x:c r="H254" s="24" t="n">
        <x:f>IFERROR(F254/F253-1,"")</x:f>
        <x:v>-0.10137318255250405</x:v>
      </x:c>
      <x:c r="I254" s="26" t="n">
        <x:f>ROUND(D254-E254,1)</x:f>
        <x:v>28720</x:v>
      </x:c>
      <x:c r="J254" s="22" t="str">
        <x:v>LC2609</x:v>
      </x:c>
      <x:c r="K254" s="22" t="n">
        <x:v>5</x:v>
      </x:c>
    </x:row>
    <x:row r="255">
      <x:c r="A255" s="22" t="n">
        <x:v>6</x:v>
      </x:c>
      <x:c r="B255" s="22" t="str">
        <x:v>2月9日-2月13日</x:v>
      </x:c>
      <x:c r="C255" s="23" t="n">
        <x:v>135500</x:v>
      </x:c>
      <x:c r="D255" s="23" t="n">
        <x:v>153700</x:v>
      </x:c>
      <x:c r="E255" s="23" t="n">
        <x:v>133500</x:v>
      </x:c>
      <x:c r="F255" s="23" t="n">
        <x:v>153500</x:v>
      </x:c>
      <x:c r="G255" s="28" t="n">
        <x:f>ROUND(F255-F254,1)</x:f>
        <x:v>20000</x:v>
      </x:c>
      <x:c r="H255" s="24" t="n">
        <x:f>IFERROR(F255/F254-1,"")</x:f>
        <x:v>0.14981273408239693</x:v>
      </x:c>
      <x:c r="I255" s="26" t="n">
        <x:f>ROUND(D255-E255,1)</x:f>
        <x:v>20200</x:v>
      </x:c>
      <x:c r="J255" s="22" t="str">
        <x:v>LC2609</x:v>
      </x:c>
      <x:c r="K255" s="22" t="n">
        <x:v>5</x:v>
      </x:c>
    </x:row>
    <x:row r="256">
      <x:c r="A256" s="22" t="n">
        <x:v>7</x:v>
      </x:c>
      <x:c r="B256" s="22" t="str">
        <x:v>2月24日-2月27日</x:v>
      </x:c>
      <x:c r="C256" s="23" t="n">
        <x:v>158340</x:v>
      </x:c>
      <x:c r="D256" s="23" t="n">
        <x:v>186900</x:v>
      </x:c>
      <x:c r="E256" s="23" t="n">
        <x:v>158340</x:v>
      </x:c>
      <x:c r="F256" s="23" t="n">
        <x:v>177200</x:v>
      </x:c>
      <x:c r="G256" s="28" t="n">
        <x:f>ROUND(F256-F255,1)</x:f>
        <x:v>23700</x:v>
      </x:c>
      <x:c r="H256" s="24" t="n">
        <x:f>IFERROR(F256/F255-1,"")</x:f>
        <x:v>0.15439739413680775</x:v>
      </x:c>
      <x:c r="I256" s="26" t="n">
        <x:f>ROUND(D256-E256,1)</x:f>
        <x:v>28560</x:v>
      </x:c>
      <x:c r="J256" s="22" t="str">
        <x:v>LC2609</x:v>
      </x:c>
      <x:c r="K256" s="22" t="n">
        <x:v>4</x:v>
      </x:c>
    </x:row>
    <x:row r="257">
      <x:c r="A257" s="22" t="n">
        <x:v>8</x:v>
      </x:c>
      <x:c r="B257" s="22" t="str">
        <x:v>3月2日-3月6日</x:v>
      </x:c>
      <x:c r="C257" s="23" t="n">
        <x:v>180000</x:v>
      </x:c>
      <x:c r="D257" s="23" t="n">
        <x:v>180060</x:v>
      </x:c>
      <x:c r="E257" s="23" t="n">
        <x:v>146040</x:v>
      </x:c>
      <x:c r="F257" s="23" t="n">
        <x:v>156700</x:v>
      </x:c>
      <x:c r="G257" s="28" t="n">
        <x:f>ROUND(F257-F256,1)</x:f>
        <x:v>-20500</x:v>
      </x:c>
      <x:c r="H257" s="24" t="n">
        <x:f>IFERROR(F257/F256-1,"")</x:f>
        <x:v>-0.11568848758465011</x:v>
      </x:c>
      <x:c r="I257" s="26" t="n">
        <x:f>ROUND(D257-E257,1)</x:f>
        <x:v>34020</x:v>
      </x:c>
      <x:c r="J257" s="22" t="str">
        <x:v>LC2609</x:v>
      </x:c>
      <x:c r="K257" s="22" t="n">
        <x:v>5</x:v>
      </x:c>
    </x:row>
    <x:row r="258">
      <x:c r="A258" s="22" t="n">
        <x:v>9</x:v>
      </x:c>
      <x:c r="B258" s="22" t="str">
        <x:v>3月9日-3月13日</x:v>
      </x:c>
      <x:c r="C258" s="23" t="n">
        <x:v>149000</x:v>
      </x:c>
      <x:c r="D258" s="23" t="n">
        <x:v>167400</x:v>
      </x:c>
      <x:c r="E258" s="23" t="n">
        <x:v>142600</x:v>
      </x:c>
      <x:c r="F258" s="23" t="n">
        <x:v>152100</x:v>
      </x:c>
      <x:c r="G258" s="28" t="n">
        <x:f>ROUND(F258-F257,1)</x:f>
        <x:v>-4600</x:v>
      </x:c>
      <x:c r="H258" s="24" t="n">
        <x:f>IFERROR(F258/F257-1,"")</x:f>
        <x:v>-0.02935545628589664</x:v>
      </x:c>
      <x:c r="I258" s="26" t="n">
        <x:f>ROUND(D258-E258,1)</x:f>
        <x:v>24800</x:v>
      </x:c>
      <x:c r="J258" s="22" t="str">
        <x:v>LC2609</x:v>
      </x:c>
      <x:c r="K258" s="22" t="n">
        <x:v>5</x:v>
      </x:c>
    </x:row>
    <x:row r="259">
      <x:c r="A259" s="22" t="n">
        <x:v>10</x:v>
      </x:c>
      <x:c r="B259" s="22" t="str">
        <x:v>3月16日-3月20日</x:v>
      </x:c>
      <x:c r="C259" s="23" t="n">
        <x:v>150880</x:v>
      </x:c>
      <x:c r="D259" s="23" t="n">
        <x:v>160800</x:v>
      </x:c>
      <x:c r="E259" s="23" t="n">
        <x:v>140000</x:v>
      </x:c>
      <x:c r="F259" s="23" t="n">
        <x:v>143520</x:v>
      </x:c>
      <x:c r="G259" s="28" t="n">
        <x:f>ROUND(F259-F258,1)</x:f>
        <x:v>-8580</x:v>
      </x:c>
      <x:c r="H259" s="24" t="n">
        <x:f>IFERROR(F259/F258-1,"")</x:f>
        <x:v>-0.05641025641025643</x:v>
      </x:c>
      <x:c r="I259" s="26" t="n">
        <x:f>ROUND(D259-E259,1)</x:f>
        <x:v>20800</x:v>
      </x:c>
      <x:c r="J259" s="22" t="str">
        <x:v>LC2609</x:v>
      </x:c>
      <x:c r="K259" s="22" t="n">
        <x:v>5</x:v>
      </x:c>
    </x:row>
    <x:row r="260">
      <x:c r="A260" s="22" t="n">
        <x:v>11</x:v>
      </x:c>
      <x:c r="B260" s="22" t="str">
        <x:v>3月23日-3月27日</x:v>
      </x:c>
      <x:c r="C260" s="23" t="n">
        <x:v>141220</x:v>
      </x:c>
      <x:c r="D260" s="23" t="n">
        <x:v>172220</x:v>
      </x:c>
      <x:c r="E260" s="23" t="n">
        <x:v>140020</x:v>
      </x:c>
      <x:c r="F260" s="23" t="n">
        <x:v>169400</x:v>
      </x:c>
      <x:c r="G260" s="28" t="n">
        <x:f>ROUND(F260-F259,1)</x:f>
        <x:v>25880</x:v>
      </x:c>
      <x:c r="H260" s="24" t="n">
        <x:f>IFERROR(F260/F259-1,"")</x:f>
        <x:v>0.18032329988851736</x:v>
      </x:c>
      <x:c r="I260" s="26" t="n">
        <x:f>ROUND(D260-E260,1)</x:f>
        <x:v>32200</x:v>
      </x:c>
      <x:c r="J260" s="22" t="str">
        <x:v>LC2609</x:v>
      </x:c>
      <x:c r="K260" s="22" t="n">
        <x:v>5</x:v>
      </x:c>
    </x:row>
    <x:row r="261">
      <x:c r="A261" s="22" t="n">
        <x:v>12</x:v>
      </x:c>
      <x:c r="B261" s="22" t="str">
        <x:v>3月30日-4月3日</x:v>
      </x:c>
      <x:c r="C261" s="23" t="n">
        <x:v>170000</x:v>
      </x:c>
      <x:c r="D261" s="23" t="n">
        <x:v>175000</x:v>
      </x:c>
      <x:c r="E261" s="23" t="n">
        <x:v>154560</x:v>
      </x:c>
      <x:c r="F261" s="23" t="n">
        <x:v>157860</x:v>
      </x:c>
      <x:c r="G261" s="28" t="n">
        <x:f>ROUND(F261-F260,1)</x:f>
        <x:v>-11540</x:v>
      </x:c>
      <x:c r="H261" s="24" t="n">
        <x:f>IFERROR(F261/F260-1,"")</x:f>
        <x:v>-0.06812278630460444</x:v>
      </x:c>
      <x:c r="I261" s="26" t="n">
        <x:f>ROUND(D261-E261,1)</x:f>
        <x:v>20440</x:v>
      </x:c>
      <x:c r="J261" s="22" t="str">
        <x:v>LC2609</x:v>
      </x:c>
      <x:c r="K261" s="22" t="n">
        <x:v>5</x:v>
      </x:c>
    </x:row>
    <x:row r="262">
      <x:c r="A262" s="22" t="n">
        <x:v>13</x:v>
      </x:c>
      <x:c r="B262" s="22" t="str">
        <x:v>4月7日-4月10日</x:v>
      </x:c>
      <x:c r="C262" s="23" t="n">
        <x:v>158440</x:v>
      </x:c>
      <x:c r="D262" s="23" t="n">
        <x:v>165500</x:v>
      </x:c>
      <x:c r="E262" s="23" t="n">
        <x:v>152500</x:v>
      </x:c>
      <x:c r="F262" s="23" t="n">
        <x:v>157600</x:v>
      </x:c>
      <x:c r="G262" s="28" t="n">
        <x:f>ROUND(F262-F261,1)</x:f>
        <x:v>-260</x:v>
      </x:c>
      <x:c r="H262" s="24" t="n">
        <x:f>IFERROR(F262/F261-1,"")</x:f>
        <x:v>-0.0016470290130495835</x:v>
      </x:c>
      <x:c r="I262" s="26" t="n">
        <x:f>ROUND(D262-E262,1)</x:f>
        <x:v>13000</x:v>
      </x:c>
      <x:c r="J262" s="22" t="str">
        <x:v>LC2609</x:v>
      </x:c>
      <x:c r="K262" s="22" t="n">
        <x:v>4</x:v>
      </x:c>
    </x:row>
    <x:row r="263">
      <x:c r="A263" s="22" t="n">
        <x:v>14</x:v>
      </x:c>
      <x:c r="B263" s="22" t="str">
        <x:v>4月13日-4月17日</x:v>
      </x:c>
      <x:c r="C263" s="23" t="n">
        <x:v>155020</x:v>
      </x:c>
      <x:c r="D263" s="23" t="n">
        <x:v>178000</x:v>
      </x:c>
      <x:c r="E263" s="23" t="n">
        <x:v>154780</x:v>
      </x:c>
      <x:c r="F263" s="23" t="n">
        <x:v>177560</x:v>
      </x:c>
      <x:c r="G263" s="28" t="n">
        <x:f>ROUND(F263-F262,1)</x:f>
        <x:v>19960</x:v>
      </x:c>
      <x:c r="H263" s="24" t="n">
        <x:f>IFERROR(F263/F262-1,"")</x:f>
        <x:v>0.1266497461928935</x:v>
      </x:c>
      <x:c r="I263" s="26" t="n">
        <x:f>ROUND(D263-E263,1)</x:f>
        <x:v>23220</x:v>
      </x:c>
      <x:c r="J263" s="22" t="str">
        <x:v>LC2609</x:v>
      </x:c>
      <x:c r="K263" s="22" t="n">
        <x:v>5</x:v>
      </x:c>
    </x:row>
    <x:row r="264">
      <x:c r="A264" s="22" t="n">
        <x:v>15</x:v>
      </x:c>
      <x:c r="B264" s="22" t="str">
        <x:v>4月20日-4月24日</x:v>
      </x:c>
      <x:c r="C264" s="23" t="n">
        <x:v>177000</x:v>
      </x:c>
      <x:c r="D264" s="23" t="n">
        <x:v>181440</x:v>
      </x:c>
      <x:c r="E264" s="23" t="n">
        <x:v>169500</x:v>
      </x:c>
      <x:c r="F264" s="23" t="n">
        <x:v>177900</x:v>
      </x:c>
      <x:c r="G264" s="28" t="n">
        <x:f>ROUND(F264-F263,1)</x:f>
        <x:v>340</x:v>
      </x:c>
      <x:c r="H264" s="24" t="n">
        <x:f>IFERROR(F264/F263-1,"")</x:f>
        <x:v>0.0019148456859652274</x:v>
      </x:c>
      <x:c r="I264" s="26" t="n">
        <x:f>ROUND(D264-E264,1)</x:f>
        <x:v>11940</x:v>
      </x:c>
      <x:c r="J264" s="22" t="str">
        <x:v>LC2609</x:v>
      </x:c>
      <x:c r="K264" s="22" t="n">
        <x:v>5</x:v>
      </x:c>
    </x:row>
    <x:row r="265">
      <x:c r="A265" s="22" t="n">
        <x:v>16</x:v>
      </x:c>
      <x:c r="B265" s="22" t="str">
        <x:v>4月27日-4月30日</x:v>
      </x:c>
      <x:c r="C265" s="23" t="n">
        <x:v>182000</x:v>
      </x:c>
      <x:c r="D265" s="23" t="n">
        <x:v>189500</x:v>
      </x:c>
      <x:c r="E265" s="23" t="n">
        <x:v>173400</x:v>
      </x:c>
      <x:c r="F265" s="23" t="n">
        <x:v>189080</x:v>
      </x:c>
      <x:c r="G265" s="28" t="n">
        <x:f>ROUND(F265-F264,1)</x:f>
        <x:v>11180</x:v>
      </x:c>
      <x:c r="H265" s="24" t="n">
        <x:f>IFERROR(F265/F264-1,"")</x:f>
        <x:v>0.06284429454749851</x:v>
      </x:c>
      <x:c r="I265" s="26" t="n">
        <x:f>ROUND(D265-E265,1)</x:f>
        <x:v>16100</x:v>
      </x:c>
      <x:c r="J265" s="22" t="str">
        <x:v>LC2609</x:v>
      </x:c>
      <x:c r="K265" s="22" t="n">
        <x:v>4</x:v>
      </x:c>
    </x:row>
    <x:row r="266">
      <x:c r="A266" s="22" t="n">
        <x:v>17</x:v>
      </x:c>
      <x:c r="B266" s="22" t="str">
        <x:v>5月6日-5月8日</x:v>
      </x:c>
      <x:c r="C266" s="23" t="n">
        <x:v>191500</x:v>
      </x:c>
      <x:c r="D266" s="23" t="n">
        <x:v>201480</x:v>
      </x:c>
      <x:c r="E266" s="23" t="n">
        <x:v>191040</x:v>
      </x:c>
      <x:c r="F266" s="23" t="n">
        <x:v>196560</x:v>
      </x:c>
      <x:c r="G266" s="28" t="n">
        <x:f>ROUND(F266-F265,1)</x:f>
        <x:v>7480</x:v>
      </x:c>
      <x:c r="H266" s="24" t="n">
        <x:f>IFERROR(F266/F265-1,"")</x:f>
        <x:v>0.039559974613920135</x:v>
      </x:c>
      <x:c r="I266" s="26" t="n">
        <x:f>ROUND(D266-E266,1)</x:f>
        <x:v>10440</x:v>
      </x:c>
      <x:c r="J266" s="22" t="str">
        <x:v>LC2609</x:v>
      </x:c>
      <x:c r="K266" s="22" t="n">
        <x:v>3</x:v>
      </x:c>
    </x:row>
    <x:row r="267">
      <x:c r="A267" s="22" t="n">
        <x:v>18</x:v>
      </x:c>
      <x:c r="B267" s="22" t="str">
        <x:v>5月11日-5月15日</x:v>
      </x:c>
      <x:c r="C267" s="23" t="n">
        <x:v>196560</x:v>
      </x:c>
      <x:c r="D267" s="23" t="n">
        <x:v>209880</x:v>
      </x:c>
      <x:c r="E267" s="23" t="n">
        <x:v>186800</x:v>
      </x:c>
      <x:c r="F267" s="23" t="n">
        <x:v>188800</x:v>
      </x:c>
      <x:c r="G267" s="28" t="n">
        <x:f>ROUND(F267-F266,1)</x:f>
        <x:v>-7760</x:v>
      </x:c>
      <x:c r="H267" s="24" t="n">
        <x:f>IFERROR(F267/F266-1,"")</x:f>
        <x:v>-0.039479039479039524</x:v>
      </x:c>
      <x:c r="I267" s="26" t="n">
        <x:f>ROUND(D267-E267,1)</x:f>
        <x:v>23080</x:v>
      </x:c>
      <x:c r="J267" s="22" t="str">
        <x:v>LC2609</x:v>
      </x:c>
      <x:c r="K267" s="22" t="n">
        <x:v>5</x:v>
      </x:c>
    </x:row>
    <x:row r="268">
      <x:c r="A268" s="22" t="n">
        <x:v>19</x:v>
      </x:c>
      <x:c r="B268" s="22" t="str">
        <x:v>5月18日-5月22日</x:v>
      </x:c>
      <x:c r="C268" s="23" t="n">
        <x:v>189000</x:v>
      </x:c>
      <x:c r="D268" s="23" t="n">
        <x:v>193900</x:v>
      </x:c>
      <x:c r="E268" s="23" t="n">
        <x:v>175200</x:v>
      </x:c>
      <x:c r="F268" s="23" t="n">
        <x:v>184460</x:v>
      </x:c>
      <x:c r="G268" s="28" t="n">
        <x:f>ROUND(F268-F267,1)</x:f>
        <x:v>-4340</x:v>
      </x:c>
      <x:c r="H268" s="24" t="n">
        <x:f>IFERROR(F268/F267-1,"")</x:f>
        <x:v>-0.022987288135593253</x:v>
      </x:c>
      <x:c r="I268" s="26" t="n">
        <x:f>ROUND(D268-E268,1)</x:f>
        <x:v>18700</x:v>
      </x:c>
      <x:c r="J268" s="22" t="str">
        <x:v>LC2609</x:v>
      </x:c>
      <x:c r="K268" s="22" t="n">
        <x:v>5</x:v>
      </x:c>
    </x:row>
    <x:row r="269">
      <x:c r="A269" s="22" t="n">
        <x:v>20</x:v>
      </x:c>
      <x:c r="B269" s="22" t="str">
        <x:v>5月25日-5月29日</x:v>
      </x:c>
      <x:c r="C269" s="23" t="n">
        <x:v>185500</x:v>
      </x:c>
      <x:c r="D269" s="23" t="n">
        <x:v>187900</x:v>
      </x:c>
      <x:c r="E269" s="23" t="n">
        <x:v>172080</x:v>
      </x:c>
      <x:c r="F269" s="23" t="n">
        <x:v>179740</x:v>
      </x:c>
      <x:c r="G269" s="28" t="n">
        <x:f>ROUND(F269-F268,1)</x:f>
        <x:v>-4720</x:v>
      </x:c>
      <x:c r="H269" s="24" t="n">
        <x:f>IFERROR(F269/F268-1,"")</x:f>
        <x:v>-0.02558820340453216</x:v>
      </x:c>
      <x:c r="I269" s="26" t="n">
        <x:f>ROUND(D269-E269,1)</x:f>
        <x:v>15820</x:v>
      </x:c>
      <x:c r="J269" s="22" t="str">
        <x:v>LC2609</x:v>
      </x:c>
      <x:c r="K269" s="22" t="n">
        <x:v>5</x:v>
      </x:c>
    </x:row>
    <x:row r="270">
      <x:c r="A270" s="22" t="n">
        <x:v>21</x:v>
      </x:c>
      <x:c r="B270" s="22" t="str">
        <x:v>6月1日-6月5日</x:v>
      </x:c>
      <x:c r="C270" s="23" t="n">
        <x:v>181000</x:v>
      </x:c>
      <x:c r="D270" s="23" t="n">
        <x:v>182100</x:v>
      </x:c>
      <x:c r="E270" s="23" t="n">
        <x:v>157180</x:v>
      </x:c>
      <x:c r="F270" s="23" t="n">
        <x:v>164360</x:v>
      </x:c>
      <x:c r="G270" s="28" t="n">
        <x:f>ROUND(F270-F269,1)</x:f>
        <x:v>-15380</x:v>
      </x:c>
      <x:c r="H270" s="24" t="n">
        <x:f>IFERROR(F270/F269-1,"")</x:f>
        <x:v>-0.08556804272838547</x:v>
      </x:c>
      <x:c r="I270" s="26" t="n">
        <x:f>ROUND(D270-E270,1)</x:f>
        <x:v>24920</x:v>
      </x:c>
      <x:c r="J270" s="22" t="str">
        <x:v>LC2609</x:v>
      </x:c>
      <x:c r="K270" s="22" t="n">
        <x:v>5</x:v>
      </x:c>
    </x:row>
    <x:row r="271">
      <x:c r="A271" s="22" t="n">
        <x:v>22</x:v>
      </x:c>
      <x:c r="B271" s="22" t="str">
        <x:v>6月8日-6月12日</x:v>
      </x:c>
      <x:c r="C271" s="23" t="n">
        <x:v>161500</x:v>
      </x:c>
      <x:c r="D271" s="23" t="n">
        <x:v>178740</x:v>
      </x:c>
      <x:c r="E271" s="23" t="n">
        <x:v>160260</x:v>
      </x:c>
      <x:c r="F271" s="23" t="n">
        <x:v>175300</x:v>
      </x:c>
      <x:c r="G271" s="28" t="n">
        <x:f>ROUND(F271-F270,1)</x:f>
        <x:v>10940</x:v>
      </x:c>
      <x:c r="H271" s="24" t="n">
        <x:f>IFERROR(F271/F270-1,"")</x:f>
        <x:v>0.06656120710635194</x:v>
      </x:c>
      <x:c r="I271" s="26" t="n">
        <x:f>ROUND(D271-E271,1)</x:f>
        <x:v>18480</x:v>
      </x:c>
      <x:c r="J271" s="22" t="str">
        <x:v>LC2609</x:v>
      </x:c>
      <x:c r="K271" s="22" t="n">
        <x:v>5</x:v>
      </x:c>
    </x:row>
    <x:row r="272">
      <x:c r="A272" s="22" t="n">
        <x:v>23</x:v>
      </x:c>
      <x:c r="B272" s="22" t="str">
        <x:v>6月15日-6月18日</x:v>
      </x:c>
      <x:c r="C272" s="23" t="n">
        <x:v>177600</x:v>
      </x:c>
      <x:c r="D272" s="23" t="n">
        <x:v>177920</x:v>
      </x:c>
      <x:c r="E272" s="23" t="n">
        <x:v>160100</x:v>
      </x:c>
      <x:c r="F272" s="23" t="n">
        <x:v>160500</x:v>
      </x:c>
      <x:c r="G272" s="28" t="n">
        <x:f>ROUND(F272-F271,1)</x:f>
        <x:v>-14800</x:v>
      </x:c>
      <x:c r="H272" s="24" t="n">
        <x:f>IFERROR(F272/F271-1,"")</x:f>
        <x:v>-0.08442669709070161</x:v>
      </x:c>
      <x:c r="I272" s="26" t="n">
        <x:f>ROUND(D272-E272,1)</x:f>
        <x:v>17820</x:v>
      </x:c>
      <x:c r="J272" s="22" t="str">
        <x:v>LC2609</x:v>
      </x:c>
      <x:c r="K272" s="22" t="n">
        <x:v>4</x:v>
      </x:c>
    </x:row>
    <x:row r="273">
      <x:c r="A273" s="22" t="n">
        <x:v>24</x:v>
      </x:c>
      <x:c r="B273" s="22" t="str">
        <x:v>6月22日-6月26日</x:v>
      </x:c>
      <x:c r="C273" s="23" t="n">
        <x:v>157220</x:v>
      </x:c>
      <x:c r="D273" s="23" t="n">
        <x:v>163940</x:v>
      </x:c>
      <x:c r="E273" s="23" t="n">
        <x:v>145000</x:v>
      </x:c>
      <x:c r="F273" s="23" t="n">
        <x:v>150220</x:v>
      </x:c>
      <x:c r="G273" s="28" t="n">
        <x:f>ROUND(F273-F272,1)</x:f>
        <x:v>-10280</x:v>
      </x:c>
      <x:c r="H273" s="24" t="n">
        <x:f>IFERROR(F273/F272-1,"")</x:f>
        <x:v>-0.06404984423676008</x:v>
      </x:c>
      <x:c r="I273" s="26" t="n">
        <x:f>ROUND(D273-E273,1)</x:f>
        <x:v>18940</x:v>
      </x:c>
      <x:c r="J273" s="22" t="str">
        <x:v>LC2609</x:v>
      </x:c>
      <x:c r="K273" s="22" t="n">
        <x:v>5</x:v>
      </x:c>
    </x:row>
    <x:row r="274">
      <x:c r="A274" s="22" t="n">
        <x:v>25</x:v>
      </x:c>
      <x:c r="B274" s="22" t="str">
        <x:v>6月29日-7月3日</x:v>
      </x:c>
      <x:c r="C274" s="23" t="n">
        <x:v>148000</x:v>
      </x:c>
      <x:c r="D274" s="23" t="n">
        <x:v>172000</x:v>
      </x:c>
      <x:c r="E274" s="23" t="n">
        <x:v>145300</x:v>
      </x:c>
      <x:c r="F274" s="23" t="n">
        <x:v>168780</x:v>
      </x:c>
      <x:c r="G274" s="28" t="n">
        <x:f>ROUND(F274-F273,1)</x:f>
        <x:v>18560</x:v>
      </x:c>
      <x:c r="H274" s="24" t="n">
        <x:f>IFERROR(F274/F273-1,"")</x:f>
        <x:v>0.12355212355212353</x:v>
      </x:c>
      <x:c r="I274" s="26" t="n">
        <x:f>ROUND(D274-E274,1)</x:f>
        <x:v>26700</x:v>
      </x:c>
      <x:c r="J274" s="22" t="str">
        <x:v>LC2609</x:v>
      </x:c>
      <x:c r="K274" s="22" t="n">
        <x:v>5</x:v>
      </x:c>
    </x:row>
    <x:row r="275">
      <x:c r="A275" s="22" t="n">
        <x:v>26</x:v>
      </x:c>
      <x:c r="B275" s="22" t="str">
        <x:v>7月6日-7月10日</x:v>
      </x:c>
      <x:c r="C275" s="23" t="n">
        <x:v>166980</x:v>
      </x:c>
      <x:c r="D275" s="23" t="n">
        <x:v>168720</x:v>
      </x:c>
      <x:c r="E275" s="23" t="n">
        <x:v>150260</x:v>
      </x:c>
      <x:c r="F275" s="23" t="n">
        <x:v>151600</x:v>
      </x:c>
      <x:c r="G275" s="28" t="n">
        <x:f>ROUND(F275-F274,1)</x:f>
        <x:v>-17180</x:v>
      </x:c>
      <x:c r="H275" s="24" t="n">
        <x:f>IFERROR(F275/F274-1,"")</x:f>
        <x:v>-0.10178931152980208</x:v>
      </x:c>
      <x:c r="I275" s="26" t="n">
        <x:f>ROUND(D275-E275,1)</x:f>
        <x:v>18460</x:v>
      </x:c>
      <x:c r="J275" s="22" t="str">
        <x:v>LC2609</x:v>
      </x:c>
      <x:c r="K275" s="22" t="n">
        <x:v>5</x:v>
      </x:c>
    </x:row>
    <x:row r="276">
      <x:c r="A276" s="22" t="n">
        <x:v>27</x:v>
      </x:c>
      <x:c r="B276" s="22" t="str">
        <x:v>7月13日-7月17日</x:v>
      </x:c>
      <x:c r="C276" s="23" t="n">
        <x:v>150500</x:v>
      </x:c>
      <x:c r="D276" s="23" t="n">
        <x:v>156500</x:v>
      </x:c>
      <x:c r="E276" s="23" t="n">
        <x:v>145860</x:v>
      </x:c>
      <x:c r="F276" s="23" t="n">
        <x:v>150140</x:v>
      </x:c>
      <x:c r="G276" s="28" t="n">
        <x:f>ROUND(F276-F275,1)</x:f>
        <x:v>-1460</x:v>
      </x:c>
      <x:c r="H276" s="24" t="n">
        <x:f>IFERROR(F276/F275-1,"")</x:f>
        <x:v>-0.009630606860158264</x:v>
      </x:c>
      <x:c r="I276" s="26" t="n">
        <x:f>ROUND(D276-E276,1)</x:f>
        <x:v>10640</x:v>
      </x:c>
      <x:c r="J276" s="22" t="str">
        <x:v>LC2609</x:v>
      </x:c>
      <x:c r="K276" s="22" t="n">
        <x:v>5</x:v>
      </x:c>
    </x:row>
    <x:row r="277">
      <x:c r="A277" s="22" t="n">
        <x:v>28</x:v>
      </x:c>
      <x:c r="B277" s="22" t="str">
        <x:v>7月20日-7月24日</x:v>
      </x:c>
      <x:c r="C277" s="23" t="n">
        <x:v>151500</x:v>
      </x:c>
      <x:c r="D277" s="23" t="n">
        <x:v>154800</x:v>
      </x:c>
      <x:c r="E277" s="23" t="n">
        <x:v>136800</x:v>
      </x:c>
      <x:c r="F277" s="23" t="n">
        <x:v>144280</x:v>
      </x:c>
      <x:c r="G277" s="28" t="n">
        <x:f>ROUND(F277-F276,1)</x:f>
        <x:v>-5860</x:v>
      </x:c>
      <x:c r="H277" s="24" t="n">
        <x:f>IFERROR(F277/F276-1,"")</x:f>
        <x:v>-0.03903023844411879</x:v>
      </x:c>
      <x:c r="I277" s="26" t="n">
        <x:f>ROUND(D277-E277,1)</x:f>
        <x:v>18000</x:v>
      </x:c>
      <x:c r="J277" s="22" t="str">
        <x:v>LC2609</x:v>
      </x:c>
      <x:c r="K277" s="22" t="n">
        <x:v>5</x:v>
      </x:c>
    </x:row>
    <x:row r="278">
      <x:c r="A278" s="22" t="n">
        <x:v>29</x:v>
      </x:c>
      <x:c r="B278" s="22" t="str">
        <x:v>7月27日-7月31日</x:v>
      </x:c>
      <x:c r="C278" s="23" t="n">
        <x:v>145780</x:v>
      </x:c>
      <x:c r="D278" s="23" t="n">
        <x:v>149400</x:v>
      </x:c>
      <x:c r="E278" s="23" t="n">
        <x:v>137760</x:v>
      </x:c>
      <x:c r="F278" s="23" t="n">
        <x:v>137760</x:v>
      </x:c>
      <x:c r="G278" s="28" t="n">
        <x:f>ROUND(F278-F277,1)</x:f>
        <x:v>-6520</x:v>
      </x:c>
      <x:c r="H278" s="24" t="n">
        <x:f>IFERROR(F278/F277-1,"")</x:f>
        <x:v>-0.04518990851122817</x:v>
      </x:c>
      <x:c r="I278" s="26" t="n">
        <x:f>ROUND(D278-E278,1)</x:f>
        <x:v>11640</x:v>
      </x:c>
      <x:c r="J278" s="22" t="str">
        <x:v>LC2609</x:v>
      </x:c>
      <x:c r="K278" s="22" t="n">
        <x:v>5</x:v>
      </x:c>
    </x:row>
    <x:row r="279">
      <x:c r="A279" s="22" t="n">
        <x:v>30</x:v>
      </x:c>
      <x:c r="B279" s="22" t="str">
        <x:v>8月3日-8月5日</x:v>
      </x:c>
      <x:c r="C279" s="23" t="n">
        <x:v>137500</x:v>
      </x:c>
      <x:c r="D279" s="23" t="n">
        <x:v>144300</x:v>
      </x:c>
      <x:c r="E279" s="23" t="n">
        <x:v>135560</x:v>
      </x:c>
      <x:c r="F279" s="23" t="n">
        <x:v>143220</x:v>
      </x:c>
      <x:c r="G279" s="28" t="n">
        <x:f>ROUND(F279-F278,1)</x:f>
        <x:v>5460</x:v>
      </x:c>
      <x:c r="H279" s="24" t="n">
        <x:f>IFERROR(F279/F278-1,"")</x:f>
        <x:v>0.03963414634146334</x:v>
      </x:c>
      <x:c r="I279" s="26" t="n">
        <x:f>ROUND(D279-E279,1)</x:f>
        <x:v>8740</x:v>
      </x:c>
      <x:c r="J279" s="22" t="str">
        <x:v>LC2609</x:v>
      </x:c>
      <x:c r="K279" s="22" t="n">
        <x:v>3</x:v>
      </x:c>
    </x:row>
    <x:row r="280">
      <x:c r="A280" s="31" t="str">
        <x:v>合计</x:v>
      </x:c>
      <x:c r="B280" s="30" t="n">
        <x:v>30</x:v>
      </x:c>
      <x:c r="C280" s="30"/>
      <x:c r="D280" s="30"/>
      <x:c r="E280" s="30"/>
      <x:c r="F280" s="30"/>
      <x:c r="G280" s="30"/>
      <x:c r="H280" s="30"/>
      <x:c r="I280" s="32" t="n">
        <x:f>ROUND(SUM(I250:I279),1)</x:f>
        <x:v>652360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ROUND(IFERROR(AVERAGE(I250:I279),0),1)</x:f>
        <x:v>21745.3</x:v>
      </x:c>
      <x:c r="J281" s="30"/>
      <x:c r="K281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  <x:mergeCell ref="A248:K24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550.2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183.4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574.2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191.4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131.7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43.9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564.6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188.2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585.8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195.3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221.6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73.9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122.2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40.7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15280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5093.3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