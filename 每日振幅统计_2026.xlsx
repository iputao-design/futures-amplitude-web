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f615cc503242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7356b81a0934918"/>
    <x:sheet xmlns:r="http://schemas.openxmlformats.org/officeDocument/2006/relationships" name="周振幅统计" sheetId="2" r:id="Rfdc96bba8ae24225"/>
    <x:sheet xmlns:r="http://schemas.openxmlformats.org/officeDocument/2006/relationships" name="中证1000" sheetId="3" r:id="R4e6dd5b6814847b6"/>
    <x:sheet xmlns:r="http://schemas.openxmlformats.org/officeDocument/2006/relationships" name="中证500" sheetId="4" r:id="Rae832cda3874451b"/>
    <x:sheet xmlns:r="http://schemas.openxmlformats.org/officeDocument/2006/relationships" name="上证指数" sheetId="5" r:id="R0a33dc8e6b30486c"/>
    <x:sheet xmlns:r="http://schemas.openxmlformats.org/officeDocument/2006/relationships" name="IM主力" sheetId="6" r:id="Rad41b73908644944"/>
    <x:sheet xmlns:r="http://schemas.openxmlformats.org/officeDocument/2006/relationships" name="IC主力" sheetId="7" r:id="R232e08e03dfd440c"/>
    <x:sheet xmlns:r="http://schemas.openxmlformats.org/officeDocument/2006/relationships" name="IF主力" sheetId="8" r:id="Rdb8db6eaab9148f5"/>
    <x:sheet xmlns:r="http://schemas.openxmlformats.org/officeDocument/2006/relationships" name="IH主力" sheetId="9" r:id="Re2f33337450c44e4"/>
    <x:sheet xmlns:r="http://schemas.openxmlformats.org/officeDocument/2006/relationships" name="碳酸锂2609" sheetId="10" r:id="Rb88769f04cf94c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c626093e074914" /><Relationship Type="http://schemas.openxmlformats.org/officeDocument/2006/relationships/theme" Target="/xl/theme/theme1.xml" Id="Rad2be23218614ac6" /><Relationship Type="http://schemas.openxmlformats.org/officeDocument/2006/relationships/sharedStrings" Target="/xl/sharedStrings.xml" Id="R8f2ed236cbc345bd" /><Relationship Type="http://schemas.openxmlformats.org/officeDocument/2006/relationships/worksheet" Target="/xl/worksheets/sheet1.xml" Id="R87356b81a0934918" /><Relationship Type="http://schemas.openxmlformats.org/officeDocument/2006/relationships/worksheet" Target="/xl/worksheets/sheet2.xml" Id="Rfdc96bba8ae24225" /><Relationship Type="http://schemas.openxmlformats.org/officeDocument/2006/relationships/worksheet" Target="/xl/worksheets/sheet3.xml" Id="R4e6dd5b6814847b6" /><Relationship Type="http://schemas.openxmlformats.org/officeDocument/2006/relationships/worksheet" Target="/xl/worksheets/sheet4.xml" Id="Rae832cda3874451b" /><Relationship Type="http://schemas.openxmlformats.org/officeDocument/2006/relationships/worksheet" Target="/xl/worksheets/sheet5.xml" Id="R0a33dc8e6b30486c" /><Relationship Type="http://schemas.openxmlformats.org/officeDocument/2006/relationships/worksheet" Target="/xl/worksheets/sheet6.xml" Id="Rad41b73908644944" /><Relationship Type="http://schemas.openxmlformats.org/officeDocument/2006/relationships/worksheet" Target="/xl/worksheets/sheet7.xml" Id="R232e08e03dfd440c" /><Relationship Type="http://schemas.openxmlformats.org/officeDocument/2006/relationships/worksheet" Target="/xl/worksheets/sheet8.xml" Id="Rdb8db6eaab9148f5" /><Relationship Type="http://schemas.openxmlformats.org/officeDocument/2006/relationships/worksheet" Target="/xl/worksheets/sheet9.xml" Id="Re2f33337450c44e4" /><Relationship Type="http://schemas.openxmlformats.org/officeDocument/2006/relationships/worksheet" Target="/xl/worksheets/sheet10.xml" Id="Rb88769f04cf94c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2026-09-15</x:v>
      </x:c>
      <x:c r="C4" s="10" t="n">
        <x:v>7524.61</x:v>
      </x:c>
      <x:c r="D4" s="10" t="n">
        <x:v>7426.9</x:v>
      </x:c>
      <x:c r="E4" s="12" t="n">
        <x:v>97.7</x:v>
      </x:c>
      <x:c r="F4" s="9" t="n">
        <x:v>171</x:v>
      </x:c>
      <x:c r="G4" s="10" t="n">
        <x:v>30212.6</x:v>
      </x:c>
      <x:c r="H4" s="10" t="n">
        <x:v>176.7</x:v>
      </x:c>
      <x:c r="I4" s="10" t="n">
        <x:v>180</x:v>
      </x:c>
    </x:row>
    <x:row r="5">
      <x:c r="A5" s="9" t="str">
        <x:v>中证500</x:v>
      </x:c>
      <x:c r="B5" s="9" t="str">
        <x:v>2026-09-15</x:v>
      </x:c>
      <x:c r="C5" s="10" t="n">
        <x:v>7641.54</x:v>
      </x:c>
      <x:c r="D5" s="10" t="n">
        <x:v>7543.95</x:v>
      </x:c>
      <x:c r="E5" s="12" t="n">
        <x:v>97.6</x:v>
      </x:c>
      <x:c r="F5" s="9" t="n">
        <x:v>171</x:v>
      </x:c>
      <x:c r="G5" s="10" t="n">
        <x:v>30113.1</x:v>
      </x:c>
      <x:c r="H5" s="10" t="n">
        <x:v>176.1</x:v>
      </x:c>
      <x:c r="I5" s="10" t="n">
        <x:v>160</x:v>
      </x:c>
    </x:row>
    <x:row r="6">
      <x:c r="A6" s="9" t="str">
        <x:v>上证指数</x:v>
      </x:c>
      <x:c r="B6" s="9" t="str">
        <x:v>2026-09-15</x:v>
      </x:c>
      <x:c r="C6" s="10" t="n">
        <x:v>3891.62</x:v>
      </x:c>
      <x:c r="D6" s="10" t="n">
        <x:v>3858.15</x:v>
      </x:c>
      <x:c r="E6" s="12" t="n">
        <x:v>33.5</x:v>
      </x:c>
      <x:c r="F6" s="9" t="n">
        <x:v>171</x:v>
      </x:c>
      <x:c r="G6" s="10" t="n">
        <x:v>8262.5</x:v>
      </x:c>
      <x:c r="H6" s="10" t="n">
        <x:v>48.3</x:v>
      </x:c>
      <x:c r="I6" s="10" t="n">
        <x:v>50</x:v>
      </x:c>
    </x:row>
    <x:row r="7">
      <x:c r="A7" s="9" t="str">
        <x:v>IM主力</x:v>
      </x:c>
      <x:c r="B7" s="9" t="str">
        <x:v>2026-09-15</x:v>
      </x:c>
      <x:c r="C7" s="10" t="n">
        <x:v>7523.8</x:v>
      </x:c>
      <x:c r="D7" s="10" t="n">
        <x:v>7413.2</x:v>
      </x:c>
      <x:c r="E7" s="12" t="n">
        <x:v>110.6</x:v>
      </x:c>
      <x:c r="F7" s="9" t="n">
        <x:v>171</x:v>
      </x:c>
      <x:c r="G7" s="10" t="n">
        <x:v>32110.4</x:v>
      </x:c>
      <x:c r="H7" s="10" t="n">
        <x:v>187.8</x:v>
      </x:c>
      <x:c r="I7" s="10" t="n">
        <x:v>190</x:v>
      </x:c>
    </x:row>
    <x:row r="8">
      <x:c r="A8" s="9" t="str">
        <x:v>IC主力</x:v>
      </x:c>
      <x:c r="B8" s="9" t="str">
        <x:v>2026-09-15</x:v>
      </x:c>
      <x:c r="C8" s="10" t="n">
        <x:v>7641.8</x:v>
      </x:c>
      <x:c r="D8" s="10" t="n">
        <x:v>7531</x:v>
      </x:c>
      <x:c r="E8" s="12" t="n">
        <x:v>110.8</x:v>
      </x:c>
      <x:c r="F8" s="9" t="n">
        <x:v>171</x:v>
      </x:c>
      <x:c r="G8" s="10" t="n">
        <x:v>33324.8</x:v>
      </x:c>
      <x:c r="H8" s="10" t="n">
        <x:v>194.9</x:v>
      </x:c>
      <x:c r="I8" s="10" t="n">
        <x:v>150</x:v>
      </x:c>
    </x:row>
    <x:row r="9">
      <x:c r="A9" s="9" t="str">
        <x:v>IF主力</x:v>
      </x:c>
      <x:c r="B9" s="9" t="str">
        <x:v>2026-09-15</x:v>
      </x:c>
      <x:c r="C9" s="10" t="n">
        <x:v>4495.8</x:v>
      </x:c>
      <x:c r="D9" s="10" t="n">
        <x:v>4441</x:v>
      </x:c>
      <x:c r="E9" s="12" t="n">
        <x:v>54.8</x:v>
      </x:c>
      <x:c r="F9" s="9" t="n">
        <x:v>171</x:v>
      </x:c>
      <x:c r="G9" s="10" t="n">
        <x:v>12460.8</x:v>
      </x:c>
      <x:c r="H9" s="10" t="n">
        <x:v>72.9</x:v>
      </x:c>
      <x:c r="I9" s="10" t="n">
        <x:v>90</x:v>
      </x:c>
    </x:row>
    <x:row r="10">
      <x:c r="A10" s="9" t="str">
        <x:v>IH主力</x:v>
      </x:c>
      <x:c r="B10" s="9" t="str">
        <x:v>2026-09-15</x:v>
      </x:c>
      <x:c r="C10" s="10" t="n">
        <x:v>2867</x:v>
      </x:c>
      <x:c r="D10" s="10" t="n">
        <x:v>2840</x:v>
      </x:c>
      <x:c r="E10" s="12" t="n">
        <x:v>27</x:v>
      </x:c>
      <x:c r="F10" s="9" t="n">
        <x:v>171</x:v>
      </x:c>
      <x:c r="G10" s="10" t="n">
        <x:v>6913.8</x:v>
      </x:c>
      <x:c r="H10" s="10" t="n">
        <x:v>40.4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135500</x:v>
      </x:c>
      <x:c r="D11" s="10" t="n">
        <x:v>135500</x:v>
      </x:c>
      <x:c r="E11" s="12" t="n">
        <x:v>0</x:v>
      </x:c>
      <x:c r="F11" s="9" t="n">
        <x:v>170</x:v>
      </x:c>
      <x:c r="G11" s="10" t="n">
        <x:v>1402960</x:v>
      </x:c>
      <x:c r="H11" s="10" t="n">
        <x:v>8252.7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2026-09-15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9月14日-9月15日</x:v>
      </x:c>
      <x:c r="C40" s="23" t="n">
        <x:v>7363.42</x:v>
      </x:c>
      <x:c r="D40" s="23" t="n">
        <x:v>7524.61</x:v>
      </x:c>
      <x:c r="E40" s="23" t="n">
        <x:v>7329.6</x:v>
      </x:c>
      <x:c r="F40" s="23" t="n">
        <x:v>7437.7</x:v>
      </x:c>
      <x:c r="G40" s="23" t="n">
        <x:f>ROUND(F40-F39,1)</x:f>
        <x:v>10.5</x:v>
      </x:c>
      <x:c r="H40" s="24" t="n">
        <x:f>IFERROR(F40/F39-1,"")</x:f>
        <x:v>0.0014083293390276808</x:v>
      </x:c>
      <x:c r="I40" s="26" t="n">
        <x:f>ROUND(D40-E40,1)</x:f>
        <x:v>195</x:v>
      </x:c>
      <x:c r="J40" s="22" t="str">
        <x:v>中证1000</x:v>
      </x:c>
      <x:c r="K40" s="22" t="n">
        <x:v>2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14891.6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413.7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9月14日-9月15日</x:v>
      </x:c>
      <x:c r="C81" s="23" t="n">
        <x:v>7511.04</x:v>
      </x:c>
      <x:c r="D81" s="23" t="n">
        <x:v>7641.54</x:v>
      </x:c>
      <x:c r="E81" s="23" t="n">
        <x:v>7487.46</x:v>
      </x:c>
      <x:c r="F81" s="23" t="n">
        <x:v>7561.59</x:v>
      </x:c>
      <x:c r="G81" s="23" t="n">
        <x:f>ROUND(F81-F80,1)</x:f>
        <x:v>-18.9</x:v>
      </x:c>
      <x:c r="H81" s="24" t="n">
        <x:f>IFERROR(F81/F80-1,"")</x:f>
        <x:v>-0.00249982191242315</x:v>
      </x:c>
      <x:c r="I81" s="23" t="n">
        <x:f>ROUND(D81-E81,1)</x:f>
        <x:v>154.1</x:v>
      </x:c>
      <x:c r="J81" s="22" t="str">
        <x:v>中证500</x:v>
      </x:c>
      <x:c r="K81" s="22" t="n">
        <x:v>2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14872.1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413.1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9月14日-9月15日</x:v>
      </x:c>
      <x:c r="C122" s="23" t="n">
        <x:v>3867.02</x:v>
      </x:c>
      <x:c r="D122" s="23" t="n">
        <x:v>3895.51</x:v>
      </x:c>
      <x:c r="E122" s="23" t="n">
        <x:v>3858.15</x:v>
      </x:c>
      <x:c r="F122" s="23" t="n">
        <x:v>3864.28</x:v>
      </x:c>
      <x:c r="G122" s="23" t="n">
        <x:f>ROUND(F122-F121,1)</x:f>
        <x:v>-23.8</x:v>
      </x:c>
      <x:c r="H122" s="24" t="n">
        <x:f>IFERROR(F122/F121-1,"")</x:f>
        <x:v>-0.006128941825205514</x:v>
      </x:c>
      <x:c r="I122" s="23" t="n">
        <x:f>ROUND(D122-E122,1)</x:f>
        <x:v>37.4</x:v>
      </x:c>
      <x:c r="J122" s="22" t="str">
        <x:v>上证指数</x:v>
      </x:c>
      <x:c r="K122" s="22" t="n">
        <x:v>2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3901.5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108.4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9月14日-9月15日</x:v>
      </x:c>
      <x:c r="C163" s="23" t="n">
        <x:v>7312</x:v>
      </x:c>
      <x:c r="D163" s="23" t="n">
        <x:v>7523.8</x:v>
      </x:c>
      <x:c r="E163" s="23" t="n">
        <x:v>7283.4</x:v>
      </x:c>
      <x:c r="F163" s="23" t="n">
        <x:v>7443.2</x:v>
      </x:c>
      <x:c r="G163" s="23" t="n">
        <x:f>ROUND(F163-F162,1)</x:f>
        <x:v>28</x:v>
      </x:c>
      <x:c r="H163" s="24" t="n">
        <x:f>IFERROR(F163/F162-1,"")</x:f>
        <x:v>0.0037760276189449105</x:v>
      </x:c>
      <x:c r="I163" s="26" t="n">
        <x:f>ROUND(D163-E163,1)</x:f>
        <x:v>240.4</x:v>
      </x:c>
      <x:c r="J163" s="22" t="str">
        <x:v>IM2609</x:v>
      </x:c>
      <x:c r="K163" s="22" t="n">
        <x:v>2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15524.2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431.2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9月14日-9月15日</x:v>
      </x:c>
      <x:c r="C204" s="23" t="n">
        <x:v>7482.2</x:v>
      </x:c>
      <x:c r="D204" s="23" t="n">
        <x:v>7641.8</x:v>
      </x:c>
      <x:c r="E204" s="23" t="n">
        <x:v>7452.2</x:v>
      </x:c>
      <x:c r="F204" s="23" t="n">
        <x:v>7567.8</x:v>
      </x:c>
      <x:c r="G204" s="23" t="n">
        <x:f>ROUND(F204-F203,1)</x:f>
        <x:v>-1.2</x:v>
      </x:c>
      <x:c r="H204" s="24" t="n">
        <x:f>IFERROR(F204/F203-1,"")</x:f>
        <x:v>-0.00015854141894566798</x:v>
      </x:c>
      <x:c r="I204" s="26" t="n">
        <x:f>ROUND(D204-E204,1)</x:f>
        <x:v>189.6</x:v>
      </x:c>
      <x:c r="J204" s="22" t="str">
        <x:v>IC2609</x:v>
      </x:c>
      <x:c r="K204" s="22" t="n">
        <x:v>2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16015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444.9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9月14日-9月15日</x:v>
      </x:c>
      <x:c r="C245" s="23" t="n">
        <x:v>4468</x:v>
      </x:c>
      <x:c r="D245" s="23" t="n">
        <x:v>4500.6</x:v>
      </x:c>
      <x:c r="E245" s="23" t="n">
        <x:v>4441</x:v>
      </x:c>
      <x:c r="F245" s="23" t="n">
        <x:v>4449.8</x:v>
      </x:c>
      <x:c r="G245" s="23" t="n">
        <x:f>ROUND(F245-F244,1)</x:f>
        <x:v>-53.6</x:v>
      </x:c>
      <x:c r="H245" s="24" t="n">
        <x:f>IFERROR(F245/F244-1,"")</x:f>
        <x:v>-0.01190211839943145</x:v>
      </x:c>
      <x:c r="I245" s="23" t="n">
        <x:f>ROUND(D245-E245,1)</x:f>
        <x:v>59.6</x:v>
      </x:c>
      <x:c r="J245" s="22" t="str">
        <x:v>IF2609</x:v>
      </x:c>
      <x:c r="K245" s="22" t="n">
        <x:v>2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5664.8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157.4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9月14日-9月15日</x:v>
      </x:c>
      <x:c r="C286" s="23" t="n">
        <x:v>2849.2</x:v>
      </x:c>
      <x:c r="D286" s="23" t="n">
        <x:v>2867</x:v>
      </x:c>
      <x:c r="E286" s="23" t="n">
        <x:v>2840</x:v>
      </x:c>
      <x:c r="F286" s="23" t="n">
        <x:v>2845</x:v>
      </x:c>
      <x:c r="G286" s="23" t="n">
        <x:f>ROUND(F286-F285,1)</x:f>
        <x:v>-22</x:v>
      </x:c>
      <x:c r="H286" s="24" t="n">
        <x:f>IFERROR(F286/F285-1,"")</x:f>
        <x:v>-0.007673526334147196</x:v>
      </x:c>
      <x:c r="I286" s="23" t="n">
        <x:f>ROUND(D286-E286,1)</x:f>
        <x:v>27</x:v>
      </x:c>
      <x:c r="J286" s="22" t="str">
        <x:v>IH2609</x:v>
      </x:c>
      <x:c r="K286" s="22" t="n">
        <x:v>2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3242.6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90.1</x:v>
      </x:c>
      <x:c r="J288" s="30"/>
      <x:c r="K288" s="30"/>
    </x:row>
    <x:row r="290">
      <x:c r="A290" s="17" t="str">
        <x:v>碳酸锂2609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126360</x:v>
      </x:c>
      <x:c r="D292" s="23" t="n">
        <x:v>150760</x:v>
      </x:c>
      <x:c r="E292" s="23" t="n">
        <x:v>125160</x:v>
      </x:c>
      <x:c r="F292" s="23" t="n">
        <x:v>145380</x:v>
      </x:c>
      <x:c r="G292" s="23"/>
      <x:c r="H292" s="24"/>
      <x:c r="I292" s="26" t="n">
        <x:f>ROUND(D292-E292,1)</x:f>
        <x:v>25600</x:v>
      </x:c>
      <x:c r="J292" s="22" t="str">
        <x:v>LC2609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153000</x:v>
      </x:c>
      <x:c r="D293" s="23" t="n">
        <x:v>176120</x:v>
      </x:c>
      <x:c r="E293" s="23" t="n">
        <x:v>147740</x:v>
      </x:c>
      <x:c r="F293" s="23" t="n">
        <x:v>147740</x:v>
      </x:c>
      <x:c r="G293" s="28" t="n">
        <x:f>ROUND(F293-F292,1)</x:f>
        <x:v>2360</x:v>
      </x:c>
      <x:c r="H293" s="24" t="n">
        <x:f>IFERROR(F293/F292-1,"")</x:f>
        <x:v>0.016233319576282934</x:v>
      </x:c>
      <x:c r="I293" s="26" t="n">
        <x:f>ROUND(D293-E293,1)</x:f>
        <x:v>28380</x:v>
      </x:c>
      <x:c r="J293" s="22" t="str">
        <x:v>LC2609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150720</x:v>
      </x:c>
      <x:c r="D294" s="23" t="n">
        <x:v>183780</x:v>
      </x:c>
      <x:c r="E294" s="23" t="n">
        <x:v>143820</x:v>
      </x:c>
      <x:c r="F294" s="23" t="n">
        <x:v>183380</x:v>
      </x:c>
      <x:c r="G294" s="28" t="n">
        <x:f>ROUND(F294-F293,1)</x:f>
        <x:v>35640</x:v>
      </x:c>
      <x:c r="H294" s="24" t="n">
        <x:f>IFERROR(F294/F293-1,"")</x:f>
        <x:v>0.24123460132665486</x:v>
      </x:c>
      <x:c r="I294" s="26" t="n">
        <x:f>ROUND(D294-E294,1)</x:f>
        <x:v>39960</x:v>
      </x:c>
      <x:c r="J294" s="22" t="str">
        <x:v>LC2609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187000</x:v>
      </x:c>
      <x:c r="D295" s="23" t="n">
        <x:v>190600</x:v>
      </x:c>
      <x:c r="E295" s="23" t="n">
        <x:v>148560</x:v>
      </x:c>
      <x:c r="F295" s="23" t="n">
        <x:v>148560</x:v>
      </x:c>
      <x:c r="G295" s="28" t="n">
        <x:f>ROUND(F295-F294,1)</x:f>
        <x:v>-34820</x:v>
      </x:c>
      <x:c r="H295" s="24" t="n">
        <x:f>IFERROR(F295/F294-1,"")</x:f>
        <x:v>-0.18987893990620575</x:v>
      </x:c>
      <x:c r="I295" s="26" t="n">
        <x:f>ROUND(D295-E295,1)</x:f>
        <x:v>42040</x:v>
      </x:c>
      <x:c r="J295" s="22" t="str">
        <x:v>LC2609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148040</x:v>
      </x:c>
      <x:c r="D296" s="23" t="n">
        <x:v>153200</x:v>
      </x:c>
      <x:c r="E296" s="23" t="n">
        <x:v>124480</x:v>
      </x:c>
      <x:c r="F296" s="23" t="n">
        <x:v>133500</x:v>
      </x:c>
      <x:c r="G296" s="28" t="n">
        <x:f>ROUND(F296-F295,1)</x:f>
        <x:v>-15060</x:v>
      </x:c>
      <x:c r="H296" s="24" t="n">
        <x:f>IFERROR(F296/F295-1,"")</x:f>
        <x:v>-0.10137318255250405</x:v>
      </x:c>
      <x:c r="I296" s="26" t="n">
        <x:f>ROUND(D296-E296,1)</x:f>
        <x:v>28720</x:v>
      </x:c>
      <x:c r="J296" s="22" t="str">
        <x:v>LC2609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135500</x:v>
      </x:c>
      <x:c r="D297" s="23" t="n">
        <x:v>153700</x:v>
      </x:c>
      <x:c r="E297" s="23" t="n">
        <x:v>133500</x:v>
      </x:c>
      <x:c r="F297" s="23" t="n">
        <x:v>153500</x:v>
      </x:c>
      <x:c r="G297" s="28" t="n">
        <x:f>ROUND(F297-F296,1)</x:f>
        <x:v>20000</x:v>
      </x:c>
      <x:c r="H297" s="24" t="n">
        <x:f>IFERROR(F297/F296-1,"")</x:f>
        <x:v>0.14981273408239693</x:v>
      </x:c>
      <x:c r="I297" s="26" t="n">
        <x:f>ROUND(D297-E297,1)</x:f>
        <x:v>20200</x:v>
      </x:c>
      <x:c r="J297" s="22" t="str">
        <x:v>LC2609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158340</x:v>
      </x:c>
      <x:c r="D298" s="23" t="n">
        <x:v>186900</x:v>
      </x:c>
      <x:c r="E298" s="23" t="n">
        <x:v>158340</x:v>
      </x:c>
      <x:c r="F298" s="23" t="n">
        <x:v>177200</x:v>
      </x:c>
      <x:c r="G298" s="28" t="n">
        <x:f>ROUND(F298-F297,1)</x:f>
        <x:v>23700</x:v>
      </x:c>
      <x:c r="H298" s="24" t="n">
        <x:f>IFERROR(F298/F297-1,"")</x:f>
        <x:v>0.15439739413680775</x:v>
      </x:c>
      <x:c r="I298" s="26" t="n">
        <x:f>ROUND(D298-E298,1)</x:f>
        <x:v>28560</x:v>
      </x:c>
      <x:c r="J298" s="22" t="str">
        <x:v>LC2609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180000</x:v>
      </x:c>
      <x:c r="D299" s="23" t="n">
        <x:v>180060</x:v>
      </x:c>
      <x:c r="E299" s="23" t="n">
        <x:v>146040</x:v>
      </x:c>
      <x:c r="F299" s="23" t="n">
        <x:v>156700</x:v>
      </x:c>
      <x:c r="G299" s="28" t="n">
        <x:f>ROUND(F299-F298,1)</x:f>
        <x:v>-20500</x:v>
      </x:c>
      <x:c r="H299" s="24" t="n">
        <x:f>IFERROR(F299/F298-1,"")</x:f>
        <x:v>-0.11568848758465011</x:v>
      </x:c>
      <x:c r="I299" s="26" t="n">
        <x:f>ROUND(D299-E299,1)</x:f>
        <x:v>34020</x:v>
      </x:c>
      <x:c r="J299" s="22" t="str">
        <x:v>LC2609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149000</x:v>
      </x:c>
      <x:c r="D300" s="23" t="n">
        <x:v>167400</x:v>
      </x:c>
      <x:c r="E300" s="23" t="n">
        <x:v>142600</x:v>
      </x:c>
      <x:c r="F300" s="23" t="n">
        <x:v>152100</x:v>
      </x:c>
      <x:c r="G300" s="28" t="n">
        <x:f>ROUND(F300-F299,1)</x:f>
        <x:v>-4600</x:v>
      </x:c>
      <x:c r="H300" s="24" t="n">
        <x:f>IFERROR(F300/F299-1,"")</x:f>
        <x:v>-0.02935545628589664</x:v>
      </x:c>
      <x:c r="I300" s="26" t="n">
        <x:f>ROUND(D300-E300,1)</x:f>
        <x:v>24800</x:v>
      </x:c>
      <x:c r="J300" s="22" t="str">
        <x:v>LC2609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150880</x:v>
      </x:c>
      <x:c r="D301" s="23" t="n">
        <x:v>160800</x:v>
      </x:c>
      <x:c r="E301" s="23" t="n">
        <x:v>140000</x:v>
      </x:c>
      <x:c r="F301" s="23" t="n">
        <x:v>143520</x:v>
      </x:c>
      <x:c r="G301" s="28" t="n">
        <x:f>ROUND(F301-F300,1)</x:f>
        <x:v>-8580</x:v>
      </x:c>
      <x:c r="H301" s="24" t="n">
        <x:f>IFERROR(F301/F300-1,"")</x:f>
        <x:v>-0.05641025641025643</x:v>
      </x:c>
      <x:c r="I301" s="26" t="n">
        <x:f>ROUND(D301-E301,1)</x:f>
        <x:v>20800</x:v>
      </x:c>
      <x:c r="J301" s="22" t="str">
        <x:v>LC2609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141220</x:v>
      </x:c>
      <x:c r="D302" s="23" t="n">
        <x:v>172220</x:v>
      </x:c>
      <x:c r="E302" s="23" t="n">
        <x:v>140020</x:v>
      </x:c>
      <x:c r="F302" s="23" t="n">
        <x:v>169400</x:v>
      </x:c>
      <x:c r="G302" s="28" t="n">
        <x:f>ROUND(F302-F301,1)</x:f>
        <x:v>25880</x:v>
      </x:c>
      <x:c r="H302" s="24" t="n">
        <x:f>IFERROR(F302/F301-1,"")</x:f>
        <x:v>0.18032329988851736</x:v>
      </x:c>
      <x:c r="I302" s="26" t="n">
        <x:f>ROUND(D302-E302,1)</x:f>
        <x:v>32200</x:v>
      </x:c>
      <x:c r="J302" s="22" t="str">
        <x:v>LC2609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170000</x:v>
      </x:c>
      <x:c r="D303" s="23" t="n">
        <x:v>175000</x:v>
      </x:c>
      <x:c r="E303" s="23" t="n">
        <x:v>154560</x:v>
      </x:c>
      <x:c r="F303" s="23" t="n">
        <x:v>157860</x:v>
      </x:c>
      <x:c r="G303" s="28" t="n">
        <x:f>ROUND(F303-F302,1)</x:f>
        <x:v>-11540</x:v>
      </x:c>
      <x:c r="H303" s="24" t="n">
        <x:f>IFERROR(F303/F302-1,"")</x:f>
        <x:v>-0.06812278630460444</x:v>
      </x:c>
      <x:c r="I303" s="26" t="n">
        <x:f>ROUND(D303-E303,1)</x:f>
        <x:v>20440</x:v>
      </x:c>
      <x:c r="J303" s="22" t="str">
        <x:v>LC2609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158440</x:v>
      </x:c>
      <x:c r="D304" s="23" t="n">
        <x:v>165500</x:v>
      </x:c>
      <x:c r="E304" s="23" t="n">
        <x:v>152500</x:v>
      </x:c>
      <x:c r="F304" s="23" t="n">
        <x:v>157600</x:v>
      </x:c>
      <x:c r="G304" s="28" t="n">
        <x:f>ROUND(F304-F303,1)</x:f>
        <x:v>-260</x:v>
      </x:c>
      <x:c r="H304" s="24" t="n">
        <x:f>IFERROR(F304/F303-1,"")</x:f>
        <x:v>-0.0016470290130495835</x:v>
      </x:c>
      <x:c r="I304" s="26" t="n">
        <x:f>ROUND(D304-E304,1)</x:f>
        <x:v>13000</x:v>
      </x:c>
      <x:c r="J304" s="22" t="str">
        <x:v>LC2609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155020</x:v>
      </x:c>
      <x:c r="D305" s="23" t="n">
        <x:v>178000</x:v>
      </x:c>
      <x:c r="E305" s="23" t="n">
        <x:v>154780</x:v>
      </x:c>
      <x:c r="F305" s="23" t="n">
        <x:v>177560</x:v>
      </x:c>
      <x:c r="G305" s="28" t="n">
        <x:f>ROUND(F305-F304,1)</x:f>
        <x:v>19960</x:v>
      </x:c>
      <x:c r="H305" s="24" t="n">
        <x:f>IFERROR(F305/F304-1,"")</x:f>
        <x:v>0.1266497461928935</x:v>
      </x:c>
      <x:c r="I305" s="26" t="n">
        <x:f>ROUND(D305-E305,1)</x:f>
        <x:v>23220</x:v>
      </x:c>
      <x:c r="J305" s="22" t="str">
        <x:v>LC2609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177000</x:v>
      </x:c>
      <x:c r="D306" s="23" t="n">
        <x:v>181440</x:v>
      </x:c>
      <x:c r="E306" s="23" t="n">
        <x:v>169500</x:v>
      </x:c>
      <x:c r="F306" s="23" t="n">
        <x:v>177900</x:v>
      </x:c>
      <x:c r="G306" s="28" t="n">
        <x:f>ROUND(F306-F305,1)</x:f>
        <x:v>340</x:v>
      </x:c>
      <x:c r="H306" s="24" t="n">
        <x:f>IFERROR(F306/F305-1,"")</x:f>
        <x:v>0.0019148456859652274</x:v>
      </x:c>
      <x:c r="I306" s="26" t="n">
        <x:f>ROUND(D306-E306,1)</x:f>
        <x:v>11940</x:v>
      </x:c>
      <x:c r="J306" s="22" t="str">
        <x:v>LC2609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182000</x:v>
      </x:c>
      <x:c r="D307" s="23" t="n">
        <x:v>189500</x:v>
      </x:c>
      <x:c r="E307" s="23" t="n">
        <x:v>173400</x:v>
      </x:c>
      <x:c r="F307" s="23" t="n">
        <x:v>189080</x:v>
      </x:c>
      <x:c r="G307" s="28" t="n">
        <x:f>ROUND(F307-F306,1)</x:f>
        <x:v>11180</x:v>
      </x:c>
      <x:c r="H307" s="24" t="n">
        <x:f>IFERROR(F307/F306-1,"")</x:f>
        <x:v>0.06284429454749851</x:v>
      </x:c>
      <x:c r="I307" s="26" t="n">
        <x:f>ROUND(D307-E307,1)</x:f>
        <x:v>16100</x:v>
      </x:c>
      <x:c r="J307" s="22" t="str">
        <x:v>LC2609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191500</x:v>
      </x:c>
      <x:c r="D308" s="23" t="n">
        <x:v>201480</x:v>
      </x:c>
      <x:c r="E308" s="23" t="n">
        <x:v>191040</x:v>
      </x:c>
      <x:c r="F308" s="23" t="n">
        <x:v>196560</x:v>
      </x:c>
      <x:c r="G308" s="28" t="n">
        <x:f>ROUND(F308-F307,1)</x:f>
        <x:v>7480</x:v>
      </x:c>
      <x:c r="H308" s="24" t="n">
        <x:f>IFERROR(F308/F307-1,"")</x:f>
        <x:v>0.039559974613920135</x:v>
      </x:c>
      <x:c r="I308" s="26" t="n">
        <x:f>ROUND(D308-E308,1)</x:f>
        <x:v>10440</x:v>
      </x:c>
      <x:c r="J308" s="22" t="str">
        <x:v>LC2609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196560</x:v>
      </x:c>
      <x:c r="D309" s="23" t="n">
        <x:v>209880</x:v>
      </x:c>
      <x:c r="E309" s="23" t="n">
        <x:v>186800</x:v>
      </x:c>
      <x:c r="F309" s="23" t="n">
        <x:v>188800</x:v>
      </x:c>
      <x:c r="G309" s="28" t="n">
        <x:f>ROUND(F309-F308,1)</x:f>
        <x:v>-7760</x:v>
      </x:c>
      <x:c r="H309" s="24" t="n">
        <x:f>IFERROR(F309/F308-1,"")</x:f>
        <x:v>-0.039479039479039524</x:v>
      </x:c>
      <x:c r="I309" s="26" t="n">
        <x:f>ROUND(D309-E309,1)</x:f>
        <x:v>23080</x:v>
      </x:c>
      <x:c r="J309" s="22" t="str">
        <x:v>LC2609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189000</x:v>
      </x:c>
      <x:c r="D310" s="23" t="n">
        <x:v>193900</x:v>
      </x:c>
      <x:c r="E310" s="23" t="n">
        <x:v>175200</x:v>
      </x:c>
      <x:c r="F310" s="23" t="n">
        <x:v>184460</x:v>
      </x:c>
      <x:c r="G310" s="28" t="n">
        <x:f>ROUND(F310-F309,1)</x:f>
        <x:v>-4340</x:v>
      </x:c>
      <x:c r="H310" s="24" t="n">
        <x:f>IFERROR(F310/F309-1,"")</x:f>
        <x:v>-0.022987288135593253</x:v>
      </x:c>
      <x:c r="I310" s="26" t="n">
        <x:f>ROUND(D310-E310,1)</x:f>
        <x:v>18700</x:v>
      </x:c>
      <x:c r="J310" s="22" t="str">
        <x:v>LC2609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185500</x:v>
      </x:c>
      <x:c r="D311" s="23" t="n">
        <x:v>187900</x:v>
      </x:c>
      <x:c r="E311" s="23" t="n">
        <x:v>172080</x:v>
      </x:c>
      <x:c r="F311" s="23" t="n">
        <x:v>179740</x:v>
      </x:c>
      <x:c r="G311" s="28" t="n">
        <x:f>ROUND(F311-F310,1)</x:f>
        <x:v>-4720</x:v>
      </x:c>
      <x:c r="H311" s="24" t="n">
        <x:f>IFERROR(F311/F310-1,"")</x:f>
        <x:v>-0.02558820340453216</x:v>
      </x:c>
      <x:c r="I311" s="26" t="n">
        <x:f>ROUND(D311-E311,1)</x:f>
        <x:v>15820</x:v>
      </x:c>
      <x:c r="J311" s="22" t="str">
        <x:v>LC2609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181000</x:v>
      </x:c>
      <x:c r="D312" s="23" t="n">
        <x:v>182100</x:v>
      </x:c>
      <x:c r="E312" s="23" t="n">
        <x:v>157180</x:v>
      </x:c>
      <x:c r="F312" s="23" t="n">
        <x:v>164360</x:v>
      </x:c>
      <x:c r="G312" s="28" t="n">
        <x:f>ROUND(F312-F311,1)</x:f>
        <x:v>-15380</x:v>
      </x:c>
      <x:c r="H312" s="24" t="n">
        <x:f>IFERROR(F312/F311-1,"")</x:f>
        <x:v>-0.08556804272838547</x:v>
      </x:c>
      <x:c r="I312" s="26" t="n">
        <x:f>ROUND(D312-E312,1)</x:f>
        <x:v>24920</x:v>
      </x:c>
      <x:c r="J312" s="22" t="str">
        <x:v>LC2609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161500</x:v>
      </x:c>
      <x:c r="D313" s="23" t="n">
        <x:v>178740</x:v>
      </x:c>
      <x:c r="E313" s="23" t="n">
        <x:v>160260</x:v>
      </x:c>
      <x:c r="F313" s="23" t="n">
        <x:v>175300</x:v>
      </x:c>
      <x:c r="G313" s="28" t="n">
        <x:f>ROUND(F313-F312,1)</x:f>
        <x:v>10940</x:v>
      </x:c>
      <x:c r="H313" s="24" t="n">
        <x:f>IFERROR(F313/F312-1,"")</x:f>
        <x:v>0.06656120710635194</x:v>
      </x:c>
      <x:c r="I313" s="26" t="n">
        <x:f>ROUND(D313-E313,1)</x:f>
        <x:v>18480</x:v>
      </x:c>
      <x:c r="J313" s="22" t="str">
        <x:v>LC2609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177600</x:v>
      </x:c>
      <x:c r="D314" s="23" t="n">
        <x:v>177920</x:v>
      </x:c>
      <x:c r="E314" s="23" t="n">
        <x:v>160100</x:v>
      </x:c>
      <x:c r="F314" s="23" t="n">
        <x:v>160500</x:v>
      </x:c>
      <x:c r="G314" s="28" t="n">
        <x:f>ROUND(F314-F313,1)</x:f>
        <x:v>-14800</x:v>
      </x:c>
      <x:c r="H314" s="24" t="n">
        <x:f>IFERROR(F314/F313-1,"")</x:f>
        <x:v>-0.08442669709070161</x:v>
      </x:c>
      <x:c r="I314" s="26" t="n">
        <x:f>ROUND(D314-E314,1)</x:f>
        <x:v>17820</x:v>
      </x:c>
      <x:c r="J314" s="22" t="str">
        <x:v>LC2609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157220</x:v>
      </x:c>
      <x:c r="D315" s="23" t="n">
        <x:v>163940</x:v>
      </x:c>
      <x:c r="E315" s="23" t="n">
        <x:v>145000</x:v>
      </x:c>
      <x:c r="F315" s="23" t="n">
        <x:v>150220</x:v>
      </x:c>
      <x:c r="G315" s="28" t="n">
        <x:f>ROUND(F315-F314,1)</x:f>
        <x:v>-10280</x:v>
      </x:c>
      <x:c r="H315" s="24" t="n">
        <x:f>IFERROR(F315/F314-1,"")</x:f>
        <x:v>-0.06404984423676008</x:v>
      </x:c>
      <x:c r="I315" s="26" t="n">
        <x:f>ROUND(D315-E315,1)</x:f>
        <x:v>18940</x:v>
      </x:c>
      <x:c r="J315" s="22" t="str">
        <x:v>LC2609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148000</x:v>
      </x:c>
      <x:c r="D316" s="23" t="n">
        <x:v>172000</x:v>
      </x:c>
      <x:c r="E316" s="23" t="n">
        <x:v>145300</x:v>
      </x:c>
      <x:c r="F316" s="23" t="n">
        <x:v>168780</x:v>
      </x:c>
      <x:c r="G316" s="28" t="n">
        <x:f>ROUND(F316-F315,1)</x:f>
        <x:v>18560</x:v>
      </x:c>
      <x:c r="H316" s="24" t="n">
        <x:f>IFERROR(F316/F315-1,"")</x:f>
        <x:v>0.12355212355212353</x:v>
      </x:c>
      <x:c r="I316" s="26" t="n">
        <x:f>ROUND(D316-E316,1)</x:f>
        <x:v>26700</x:v>
      </x:c>
      <x:c r="J316" s="22" t="str">
        <x:v>LC2609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166980</x:v>
      </x:c>
      <x:c r="D317" s="23" t="n">
        <x:v>168720</x:v>
      </x:c>
      <x:c r="E317" s="23" t="n">
        <x:v>150260</x:v>
      </x:c>
      <x:c r="F317" s="23" t="n">
        <x:v>151600</x:v>
      </x:c>
      <x:c r="G317" s="28" t="n">
        <x:f>ROUND(F317-F316,1)</x:f>
        <x:v>-17180</x:v>
      </x:c>
      <x:c r="H317" s="24" t="n">
        <x:f>IFERROR(F317/F316-1,"")</x:f>
        <x:v>-0.10178931152980208</x:v>
      </x:c>
      <x:c r="I317" s="26" t="n">
        <x:f>ROUND(D317-E317,1)</x:f>
        <x:v>18460</x:v>
      </x:c>
      <x:c r="J317" s="22" t="str">
        <x:v>LC2609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150500</x:v>
      </x:c>
      <x:c r="D318" s="23" t="n">
        <x:v>156500</x:v>
      </x:c>
      <x:c r="E318" s="23" t="n">
        <x:v>145860</x:v>
      </x:c>
      <x:c r="F318" s="23" t="n">
        <x:v>150140</x:v>
      </x:c>
      <x:c r="G318" s="28" t="n">
        <x:f>ROUND(F318-F317,1)</x:f>
        <x:v>-1460</x:v>
      </x:c>
      <x:c r="H318" s="24" t="n">
        <x:f>IFERROR(F318/F317-1,"")</x:f>
        <x:v>-0.009630606860158264</x:v>
      </x:c>
      <x:c r="I318" s="26" t="n">
        <x:f>ROUND(D318-E318,1)</x:f>
        <x:v>10640</x:v>
      </x:c>
      <x:c r="J318" s="22" t="str">
        <x:v>LC2609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151500</x:v>
      </x:c>
      <x:c r="D319" s="23" t="n">
        <x:v>154800</x:v>
      </x:c>
      <x:c r="E319" s="23" t="n">
        <x:v>136800</x:v>
      </x:c>
      <x:c r="F319" s="23" t="n">
        <x:v>144280</x:v>
      </x:c>
      <x:c r="G319" s="28" t="n">
        <x:f>ROUND(F319-F318,1)</x:f>
        <x:v>-5860</x:v>
      </x:c>
      <x:c r="H319" s="24" t="n">
        <x:f>IFERROR(F319/F318-1,"")</x:f>
        <x:v>-0.03903023844411879</x:v>
      </x:c>
      <x:c r="I319" s="26" t="n">
        <x:f>ROUND(D319-E319,1)</x:f>
        <x:v>18000</x:v>
      </x:c>
      <x:c r="J319" s="22" t="str">
        <x:v>LC2609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145780</x:v>
      </x:c>
      <x:c r="D320" s="23" t="n">
        <x:v>149400</x:v>
      </x:c>
      <x:c r="E320" s="23" t="n">
        <x:v>137760</x:v>
      </x:c>
      <x:c r="F320" s="23" t="n">
        <x:v>137760</x:v>
      </x:c>
      <x:c r="G320" s="28" t="n">
        <x:f>ROUND(F320-F319,1)</x:f>
        <x:v>-6520</x:v>
      </x:c>
      <x:c r="H320" s="24" t="n">
        <x:f>IFERROR(F320/F319-1,"")</x:f>
        <x:v>-0.04518990851122817</x:v>
      </x:c>
      <x:c r="I320" s="26" t="n">
        <x:f>ROUND(D320-E320,1)</x:f>
        <x:v>11640</x:v>
      </x:c>
      <x:c r="J320" s="22" t="str">
        <x:v>LC2609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137500</x:v>
      </x:c>
      <x:c r="D321" s="23" t="n">
        <x:v>144800</x:v>
      </x:c>
      <x:c r="E321" s="23" t="n">
        <x:v>135560</x:v>
      </x:c>
      <x:c r="F321" s="23" t="n">
        <x:v>140000</x:v>
      </x:c>
      <x:c r="G321" s="28" t="n">
        <x:f>ROUND(F321-F320,1)</x:f>
        <x:v>2240</x:v>
      </x:c>
      <x:c r="H321" s="24" t="n">
        <x:f>IFERROR(F321/F320-1,"")</x:f>
        <x:v>0.016260162601626105</x:v>
      </x:c>
      <x:c r="I321" s="26" t="n">
        <x:f>ROUND(D321-E321,1)</x:f>
        <x:v>9240</x:v>
      </x:c>
      <x:c r="J321" s="22" t="str">
        <x:v>LC2609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140500</x:v>
      </x:c>
      <x:c r="D322" s="23" t="n">
        <x:v>154500</x:v>
      </x:c>
      <x:c r="E322" s="23" t="n">
        <x:v>139280</x:v>
      </x:c>
      <x:c r="F322" s="23" t="n">
        <x:v>153940</x:v>
      </x:c>
      <x:c r="G322" s="28" t="n">
        <x:f>ROUND(F322-F321,1)</x:f>
        <x:v>13940</x:v>
      </x:c>
      <x:c r="H322" s="24" t="n">
        <x:f>IFERROR(F322/F321-1,"")</x:f>
        <x:v>0.09957142857142864</x:v>
      </x:c>
      <x:c r="I322" s="26" t="n">
        <x:f>ROUND(D322-E322,1)</x:f>
        <x:v>15220</x:v>
      </x:c>
      <x:c r="J322" s="22" t="str">
        <x:v>LC2609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154300</x:v>
      </x:c>
      <x:c r="D323" s="23" t="n">
        <x:v>157000</x:v>
      </x:c>
      <x:c r="E323" s="23" t="n">
        <x:v>148400</x:v>
      </x:c>
      <x:c r="F323" s="23" t="n">
        <x:v>156140</x:v>
      </x:c>
      <x:c r="G323" s="28" t="n">
        <x:f>ROUND(F323-F322,1)</x:f>
        <x:v>2200</x:v>
      </x:c>
      <x:c r="H323" s="24" t="n">
        <x:f>IFERROR(F323/F322-1,"")</x:f>
        <x:v>0.014291282317786091</x:v>
      </x:c>
      <x:c r="I323" s="26" t="n">
        <x:f>ROUND(D323-E323,1)</x:f>
        <x:v>8600</x:v>
      </x:c>
      <x:c r="J323" s="22" t="str">
        <x:v>LC2609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158500</x:v>
      </x:c>
      <x:c r="D324" s="23" t="n">
        <x:v>160000</x:v>
      </x:c>
      <x:c r="E324" s="23" t="n">
        <x:v>147000</x:v>
      </x:c>
      <x:c r="F324" s="23" t="n">
        <x:v>157080</x:v>
      </x:c>
      <x:c r="G324" s="28" t="n">
        <x:f>ROUND(F324-F323,1)</x:f>
        <x:v>940</x:v>
      </x:c>
      <x:c r="H324" s="24" t="n">
        <x:f>IFERROR(F324/F323-1,"")</x:f>
        <x:v>0.0060202382477263505</x:v>
      </x:c>
      <x:c r="I324" s="26" t="n">
        <x:f>ROUND(D324-E324,1)</x:f>
        <x:v>13000</x:v>
      </x:c>
      <x:c r="J324" s="22" t="str">
        <x:v>LC2609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158000</x:v>
      </x:c>
      <x:c r="D325" s="23" t="n">
        <x:v>160480</x:v>
      </x:c>
      <x:c r="E325" s="23" t="n">
        <x:v>140940</x:v>
      </x:c>
      <x:c r="F325" s="23" t="n">
        <x:v>140980</x:v>
      </x:c>
      <x:c r="G325" s="28" t="n">
        <x:f>ROUND(F325-F324,1)</x:f>
        <x:v>-16100</x:v>
      </x:c>
      <x:c r="H325" s="24" t="n">
        <x:f>IFERROR(F325/F324-1,"")</x:f>
        <x:v>-0.1024955436720143</x:v>
      </x:c>
      <x:c r="I325" s="26" t="n">
        <x:f>ROUND(D325-E325,1)</x:f>
        <x:v>19540</x:v>
      </x:c>
      <x:c r="J325" s="22" t="str">
        <x:v>LC2609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142120</x:v>
      </x:c>
      <x:c r="D326" s="23" t="n">
        <x:v>143200</x:v>
      </x:c>
      <x:c r="E326" s="23" t="n">
        <x:v>131900</x:v>
      </x:c>
      <x:c r="F326" s="23" t="n">
        <x:v>135500</x:v>
      </x:c>
      <x:c r="G326" s="28" t="n">
        <x:f>ROUND(F326-F325,1)</x:f>
        <x:v>-5480</x:v>
      </x:c>
      <x:c r="H326" s="24" t="n">
        <x:f>IFERROR(F326/F325-1,"")</x:f>
        <x:v>-0.038870761810185894</x:v>
      </x:c>
      <x:c r="I326" s="26" t="n">
        <x:f>ROUND(D326-E326,1)</x:f>
        <x:v>11300</x:v>
      </x:c>
      <x:c r="J326" s="22" t="str">
        <x:v>LC2609</x:v>
      </x:c>
      <x:c r="K326" s="22" t="n">
        <x:v>5</x:v>
      </x:c>
    </x:row>
    <x:row r="327">
      <x:c r="A327" s="22" t="n">
        <x:v>36</x:v>
      </x:c>
      <x:c r="B327" s="22" t="str">
        <x:v>9月14日</x:v>
      </x:c>
      <x:c r="C327" s="23" t="n">
        <x:v>135500</x:v>
      </x:c>
      <x:c r="D327" s="23" t="n">
        <x:v>135500</x:v>
      </x:c>
      <x:c r="E327" s="23" t="n">
        <x:v>135500</x:v>
      </x:c>
      <x:c r="F327" s="23" t="n">
        <x:v>135500</x:v>
      </x:c>
      <x:c r="G327" s="23" t="n">
        <x:f>ROUND(F327-F326,1)</x:f>
        <x:v>0</x:v>
      </x:c>
      <x:c r="H327" s="24" t="n">
        <x:f>IFERROR(F327/F326-1,"")</x:f>
        <x:v>0</x:v>
      </x:c>
      <x:c r="I327" s="23" t="n">
        <x:f>ROUND(D327-E327,1)</x:f>
        <x:v>0</x:v>
      </x:c>
      <x:c r="J327" s="22" t="str">
        <x:v>LC2609</x:v>
      </x:c>
      <x:c r="K327" s="22" t="n">
        <x:v>1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720520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20014.4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1481.8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134.7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1329.4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120.9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381.4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34.7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1666.6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151.5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1580.6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143.7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574.2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52.2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31" t="str">
        <x:v>合计</x:v>
      </x:c>
      <x:c r="B216" s="30" t="n">
        <x:v>11</x:v>
      </x:c>
      <x:c r="C216" s="30"/>
      <x:c r="D216" s="30"/>
      <x:c r="E216" s="30"/>
      <x:c r="F216" s="30"/>
      <x:c r="G216" s="30"/>
      <x:c r="H216" s="30"/>
      <x:c r="I216" s="30"/>
      <x:c r="J216" s="32" t="n">
        <x:f>ROUND(SUM(J205:J215),1)</x:f>
        <x:v>337.2</x:v>
      </x:c>
      <x:c r="K216" s="30"/>
    </x:row>
    <x:row r="217">
      <x:c r="A217" s="31" t="str">
        <x:v>均值</x:v>
      </x:c>
      <x:c r="B217" s="30"/>
      <x:c r="C217" s="30"/>
      <x:c r="D217" s="30"/>
      <x:c r="E217" s="30"/>
      <x:c r="F217" s="30"/>
      <x:c r="G217" s="30"/>
      <x:c r="H217" s="30"/>
      <x:c r="I217" s="30"/>
      <x:c r="J217" s="34" t="n">
        <x:f>ROUND(IFERROR(AVERAGE(J205:J215),0),1)</x:f>
        <x:v>30.7</x:v>
      </x:c>
      <x:c r="K217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134480</x:v>
      </x:c>
      <x:c r="E213" s="23" t="n">
        <x:v>135500</x:v>
      </x:c>
      <x:c r="F213" s="23" t="n">
        <x:v>131900</x:v>
      </x:c>
      <x:c r="G213" s="23" t="n">
        <x:v>135500</x:v>
      </x:c>
      <x:c r="H213" s="28" t="n">
        <x:v>-5020</x:v>
      </x:c>
      <x:c r="I213" s="24" t="n">
        <x:v>-0.035724452035297505</x:v>
      </x:c>
      <x:c r="J213" s="23" t="n">
        <x:f>ROUND(E213-F213,1)</x:f>
        <x:v>3600</x:v>
      </x:c>
      <x:c r="K213" s="22" t="str">
        <x:v>LC2609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135500</x:v>
      </x:c>
      <x:c r="E214" s="23" t="n">
        <x:v>135500</x:v>
      </x:c>
      <x:c r="F214" s="23" t="n">
        <x:v>135500</x:v>
      </x:c>
      <x:c r="G214" s="23" t="n">
        <x:v>135500</x:v>
      </x:c>
      <x:c r="H214" s="23" t="n">
        <x:v>0</x:v>
      </x:c>
      <x:c r="I214" s="24" t="n">
        <x:v>0</x:v>
      </x:c>
      <x:c r="J214" s="23" t="n">
        <x:f>ROUND(E214-F214,1)</x:f>
        <x:v>0</x:v>
      </x:c>
      <x:c r="K214" s="22" t="str">
        <x:v>LC2609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41200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4120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