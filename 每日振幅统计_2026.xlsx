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a59f551ef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21a1a73109549ef"/>
    <x:sheet xmlns:r="http://schemas.openxmlformats.org/officeDocument/2006/relationships" name="周振幅统计" sheetId="2" r:id="Rf3f900f1630749dd"/>
    <x:sheet xmlns:r="http://schemas.openxmlformats.org/officeDocument/2006/relationships" name="中证1000" sheetId="3" r:id="R65a30dc9cf2f4153"/>
    <x:sheet xmlns:r="http://schemas.openxmlformats.org/officeDocument/2006/relationships" name="中证500" sheetId="4" r:id="Rda1ba70c062c48af"/>
    <x:sheet xmlns:r="http://schemas.openxmlformats.org/officeDocument/2006/relationships" name="上证指数" sheetId="5" r:id="Ra2a9afdcc8fe40d6"/>
    <x:sheet xmlns:r="http://schemas.openxmlformats.org/officeDocument/2006/relationships" name="IM主力" sheetId="6" r:id="R21f1c60e17b348be"/>
    <x:sheet xmlns:r="http://schemas.openxmlformats.org/officeDocument/2006/relationships" name="IC主力" sheetId="7" r:id="R76ed75ac8aa04045"/>
    <x:sheet xmlns:r="http://schemas.openxmlformats.org/officeDocument/2006/relationships" name="IF主力" sheetId="8" r:id="R0be543999a5240ad"/>
    <x:sheet xmlns:r="http://schemas.openxmlformats.org/officeDocument/2006/relationships" name="IH主力" sheetId="9" r:id="R6ed532afffb44ee5"/>
    <x:sheet xmlns:r="http://schemas.openxmlformats.org/officeDocument/2006/relationships" name="碳酸锂2609" sheetId="10" r:id="R474fd0be94ef43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0d76a8c26e40c8" /><Relationship Type="http://schemas.openxmlformats.org/officeDocument/2006/relationships/theme" Target="/xl/theme/theme1.xml" Id="R182c5df5fd0c4ac2" /><Relationship Type="http://schemas.openxmlformats.org/officeDocument/2006/relationships/sharedStrings" Target="/xl/sharedStrings.xml" Id="R93b7ac12a84a43b3" /><Relationship Type="http://schemas.openxmlformats.org/officeDocument/2006/relationships/worksheet" Target="/xl/worksheets/sheet1.xml" Id="Re21a1a73109549ef" /><Relationship Type="http://schemas.openxmlformats.org/officeDocument/2006/relationships/worksheet" Target="/xl/worksheets/sheet2.xml" Id="Rf3f900f1630749dd" /><Relationship Type="http://schemas.openxmlformats.org/officeDocument/2006/relationships/worksheet" Target="/xl/worksheets/sheet3.xml" Id="R65a30dc9cf2f4153" /><Relationship Type="http://schemas.openxmlformats.org/officeDocument/2006/relationships/worksheet" Target="/xl/worksheets/sheet4.xml" Id="Rda1ba70c062c48af" /><Relationship Type="http://schemas.openxmlformats.org/officeDocument/2006/relationships/worksheet" Target="/xl/worksheets/sheet5.xml" Id="Ra2a9afdcc8fe40d6" /><Relationship Type="http://schemas.openxmlformats.org/officeDocument/2006/relationships/worksheet" Target="/xl/worksheets/sheet6.xml" Id="R21f1c60e17b348be" /><Relationship Type="http://schemas.openxmlformats.org/officeDocument/2006/relationships/worksheet" Target="/xl/worksheets/sheet7.xml" Id="R76ed75ac8aa04045" /><Relationship Type="http://schemas.openxmlformats.org/officeDocument/2006/relationships/worksheet" Target="/xl/worksheets/sheet8.xml" Id="R0be543999a5240ad" /><Relationship Type="http://schemas.openxmlformats.org/officeDocument/2006/relationships/worksheet" Target="/xl/worksheets/sheet9.xml" Id="R6ed532afffb44ee5" /><Relationship Type="http://schemas.openxmlformats.org/officeDocument/2006/relationships/worksheet" Target="/xl/worksheets/sheet10.xml" Id="R474fd0be94ef43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2026-08-20</x:v>
      </x:c>
      <x:c r="C4" s="10" t="n">
        <x:v>7656.61</x:v>
      </x:c>
      <x:c r="D4" s="10" t="n">
        <x:v>7541.48</x:v>
      </x:c>
      <x:c r="E4" s="12" t="n">
        <x:v>115.1</x:v>
      </x:c>
      <x:c r="F4" s="9" t="n">
        <x:v>153</x:v>
      </x:c>
      <x:c r="G4" s="10" t="n">
        <x:v>27501.6</x:v>
      </x:c>
      <x:c r="H4" s="10" t="n">
        <x:v>179.7</x:v>
      </x:c>
      <x:c r="I4" s="10" t="n">
        <x:v>180</x:v>
      </x:c>
    </x:row>
    <x:row r="5">
      <x:c r="A5" s="9" t="str">
        <x:v>中证500</x:v>
      </x:c>
      <x:c r="B5" s="9" t="str">
        <x:v>2026-08-20</x:v>
      </x:c>
      <x:c r="C5" s="10" t="n">
        <x:v>7923.91</x:v>
      </x:c>
      <x:c r="D5" s="10" t="n">
        <x:v>7796.28</x:v>
      </x:c>
      <x:c r="E5" s="12" t="n">
        <x:v>127.6</x:v>
      </x:c>
      <x:c r="F5" s="9" t="n">
        <x:v>153</x:v>
      </x:c>
      <x:c r="G5" s="10" t="n">
        <x:v>27625.4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2026-08-20</x:v>
      </x:c>
      <x:c r="C6" s="10" t="n">
        <x:v>3925.06</x:v>
      </x:c>
      <x:c r="D6" s="10" t="n">
        <x:v>3888.1</x:v>
      </x:c>
      <x:c r="E6" s="12" t="n">
        <x:v>37</x:v>
      </x:c>
      <x:c r="F6" s="9" t="n">
        <x:v>153</x:v>
      </x:c>
      <x:c r="G6" s="10" t="n">
        <x:v>7576.9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2026-08-20</x:v>
      </x:c>
      <x:c r="C7" s="10" t="n">
        <x:v>7582.2</x:v>
      </x:c>
      <x:c r="D7" s="10" t="n">
        <x:v>7482.8</x:v>
      </x:c>
      <x:c r="E7" s="12" t="n">
        <x:v>99.4</x:v>
      </x:c>
      <x:c r="F7" s="9" t="n">
        <x:v>153</x:v>
      </x:c>
      <x:c r="G7" s="10" t="n">
        <x:v>29158.2</x:v>
      </x:c>
      <x:c r="H7" s="10" t="n">
        <x:v>190.6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153</x:v>
      </x:c>
      <x:c r="G8" s="10" t="n">
        <x:v>30479.6</x:v>
      </x:c>
      <x:c r="H8" s="10" t="n">
        <x:v>199.2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153</x:v>
      </x:c>
      <x:c r="G9" s="10" t="n">
        <x:v>11420.2</x:v>
      </x:c>
      <x:c r="H9" s="10" t="n">
        <x:v>74.6</x:v>
      </x:c>
      <x:c r="I9" s="10" t="n">
        <x:v>90</x:v>
      </x:c>
    </x:row>
    <x:row r="10">
      <x:c r="A10" s="9" t="str">
        <x:v>IH主力</x:v>
      </x:c>
      <x:c r="B10" s="9" t="str">
        <x:v>2026-08-20</x:v>
      </x:c>
      <x:c r="C10" s="10" t="n">
        <x:v>2880.8</x:v>
      </x:c>
      <x:c r="D10" s="10" t="n">
        <x:v>2848</x:v>
      </x:c>
      <x:c r="E10" s="12" t="n">
        <x:v>32.8</x:v>
      </x:c>
      <x:c r="F10" s="9" t="n">
        <x:v>153</x:v>
      </x:c>
      <x:c r="G10" s="10" t="n">
        <x:v>6360.6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2026-08-20</x:v>
      </x:c>
      <x:c r="C11" s="10" t="n">
        <x:v>152600</x:v>
      </x:c>
      <x:c r="D11" s="10" t="n">
        <x:v>149800</x:v>
      </x:c>
      <x:c r="E11" s="12" t="n">
        <x:v>2800</x:v>
      </x:c>
      <x:c r="F11" s="9" t="n">
        <x:v>153</x:v>
      </x:c>
      <x:c r="G11" s="10" t="n">
        <x:v>1318440</x:v>
      </x:c>
      <x:c r="H11" s="10" t="n">
        <x:v>8617.3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8月17日-8月20日</x:v>
      </x:c>
      <x:c r="C36" s="23" t="n">
        <x:v>7797.18</x:v>
      </x:c>
      <x:c r="D36" s="23" t="n">
        <x:v>7995.5</x:v>
      </x:c>
      <x:c r="E36" s="23" t="n">
        <x:v>7490.21</x:v>
      </x:c>
      <x:c r="F36" s="23" t="n">
        <x:v>7589.78</x:v>
      </x:c>
      <x:c r="G36" s="28" t="n">
        <x:f>ROUND(F36-F35,1)</x:f>
        <x:v>-180</x:v>
      </x:c>
      <x:c r="H36" s="24" t="n">
        <x:f>IFERROR(F36/F35-1,"")</x:f>
        <x:v>-0.023171707967494792</x:v>
      </x:c>
      <x:c r="I36" s="26" t="n">
        <x:f>ROUND(D36-E36,1)</x:f>
        <x:v>505.3</x:v>
      </x:c>
      <x:c r="J36" s="22" t="str">
        <x:v>中证1000</x:v>
      </x:c>
      <x:c r="K36" s="22" t="n">
        <x:v>4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13475.8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8月17日-8月20日</x:v>
      </x:c>
      <x:c r="C73" s="23" t="n">
        <x:v>8007.87</x:v>
      </x:c>
      <x:c r="D73" s="23" t="n">
        <x:v>8211.31</x:v>
      </x:c>
      <x:c r="E73" s="23" t="n">
        <x:v>7762.29</x:v>
      </x:c>
      <x:c r="F73" s="23" t="n">
        <x:v>7850.4</x:v>
      </x:c>
      <x:c r="G73" s="23" t="n">
        <x:f>ROUND(F73-F72,1)</x:f>
        <x:v>-139.9</x:v>
      </x:c>
      <x:c r="H73" s="24" t="n">
        <x:f>IFERROR(F73/F72-1,"")</x:f>
        <x:v>-0.01751241813542126</x:v>
      </x:c>
      <x:c r="I73" s="26" t="n">
        <x:f>ROUND(D73-E73,1)</x:f>
        <x:v>449</x:v>
      </x:c>
      <x:c r="J73" s="22" t="str">
        <x:v>中证500</x:v>
      </x:c>
      <x:c r="K73" s="22" t="n">
        <x:v>4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13574.4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8月17日-8月20日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3903.72</x:v>
      </x:c>
      <x:c r="G110" s="23" t="n">
        <x:f>ROUND(F110-F109,1)</x:f>
        <x:v>-23.5</x:v>
      </x:c>
      <x:c r="H110" s="24" t="n">
        <x:f>IFERROR(F110/F109-1,"")</x:f>
        <x:v>-0.005973752158037082</x:v>
      </x:c>
      <x:c r="I110" s="26" t="n">
        <x:f>ROUND(D110-E110,1)</x:f>
        <x:v>114.6</x:v>
      </x:c>
      <x:c r="J110" s="22" t="str">
        <x:v>上证指数</x:v>
      </x:c>
      <x:c r="K110" s="22" t="n">
        <x:v>4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8月17日-8月20日</x:v>
      </x:c>
      <x:c r="C147" s="23" t="n">
        <x:v>7675</x:v>
      </x:c>
      <x:c r="D147" s="23" t="n">
        <x:v>7882.8</x:v>
      </x:c>
      <x:c r="E147" s="23" t="n">
        <x:v>7430</x:v>
      </x:c>
      <x:c r="F147" s="23" t="n">
        <x:v>7516.2</x:v>
      </x:c>
      <x:c r="G147" s="23" t="n">
        <x:f>ROUND(F147-F146,1)</x:f>
        <x:v>-134</x:v>
      </x:c>
      <x:c r="H147" s="24" t="n">
        <x:f>IFERROR(F147/F146-1,"")</x:f>
        <x:v>-0.01751588193772713</x:v>
      </x:c>
      <x:c r="I147" s="26" t="n">
        <x:f>ROUND(D147-E147,1)</x:f>
        <x:v>452.8</x:v>
      </x:c>
      <x:c r="J147" s="22" t="str">
        <x:v>IM2609</x:v>
      </x:c>
      <x:c r="K147" s="22" t="n">
        <x:v>4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14052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439.1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8月17日-8月20日</x:v>
      </x:c>
      <x:c r="C184" s="23" t="n">
        <x:v>7885</x:v>
      </x:c>
      <x:c r="D184" s="23" t="n">
        <x:v>8091.8</x:v>
      </x:c>
      <x:c r="E184" s="23" t="n">
        <x:v>7680.2</x:v>
      </x:c>
      <x:c r="F184" s="23" t="n">
        <x:v>7761</x:v>
      </x:c>
      <x:c r="G184" s="23" t="n">
        <x:f>ROUND(F184-F183,1)</x:f>
        <x:v>-100.2</x:v>
      </x:c>
      <x:c r="H184" s="24" t="n">
        <x:f>IFERROR(F184/F183-1,"")</x:f>
        <x:v>-0.012746145626621908</x:v>
      </x:c>
      <x:c r="I184" s="26" t="n">
        <x:f>ROUND(D184-E184,1)</x:f>
        <x:v>411.6</x:v>
      </x:c>
      <x:c r="J184" s="22" t="str">
        <x:v>IC2609</x:v>
      </x:c>
      <x:c r="K184" s="22" t="n">
        <x:v>4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14636.4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457.4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8月17日-8月20日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4554</x:v>
      </x:c>
      <x:c r="G221" s="23" t="n">
        <x:f>ROUND(F221-F220,1)</x:f>
        <x:v>-66.4</x:v>
      </x:c>
      <x:c r="H221" s="24" t="n">
        <x:f>IFERROR(F221/F220-1,"")</x:f>
        <x:v>-0.014371050125530194</x:v>
      </x:c>
      <x:c r="I221" s="26" t="n">
        <x:f>ROUND(D221-E221,1)</x:f>
        <x:v>168.8</x:v>
      </x:c>
      <x:c r="J221" s="22" t="str">
        <x:v>IF2609</x:v>
      </x:c>
      <x:c r="K221" s="22" t="n">
        <x:v>4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8月17日-8月20日</x:v>
      </x:c>
      <x:c r="C258" s="23" t="n">
        <x:v>2886</x:v>
      </x:c>
      <x:c r="D258" s="23" t="n">
        <x:v>2921.2</x:v>
      </x:c>
      <x:c r="E258" s="23" t="n">
        <x:v>2843</x:v>
      </x:c>
      <x:c r="F258" s="23" t="n">
        <x:v>2858.8</x:v>
      </x:c>
      <x:c r="G258" s="23" t="n">
        <x:f>ROUND(F258-F257,1)</x:f>
        <x:v>-31.2</x:v>
      </x:c>
      <x:c r="H258" s="24" t="n">
        <x:f>IFERROR(F258/F257-1,"")</x:f>
        <x:v>-0.01079584775086495</x:v>
      </x:c>
      <x:c r="I258" s="26" t="n">
        <x:f>ROUND(D258-E258,1)</x:f>
        <x:v>78.2</x:v>
      </x:c>
      <x:c r="J258" s="22" t="str">
        <x:v>IH2609</x:v>
      </x:c>
      <x:c r="K258" s="22" t="n">
        <x:v>4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2968.4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92.8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8月17日-8月20日</x:v>
      </x:c>
      <x:c r="C295" s="23" t="n">
        <x:v>154300</x:v>
      </x:c>
      <x:c r="D295" s="23" t="n">
        <x:v>155980</x:v>
      </x:c>
      <x:c r="E295" s="23" t="n">
        <x:v>148400</x:v>
      </x:c>
      <x:c r="F295" s="23" t="n">
        <x:v>151500</x:v>
      </x:c>
      <x:c r="G295" s="28" t="n">
        <x:f>ROUND(F295-F294,1)</x:f>
        <x:v>-2440</x:v>
      </x:c>
      <x:c r="H295" s="24" t="n">
        <x:f>IFERROR(F295/F294-1,"")</x:f>
        <x:v>-0.01585033129790825</x:v>
      </x:c>
      <x:c r="I295" s="26" t="n">
        <x:f>ROUND(D295-E295,1)</x:f>
        <x:v>7580</x:v>
      </x:c>
      <x:c r="J295" s="22" t="str">
        <x:v>LC2609</x:v>
      </x:c>
      <x:c r="K295" s="22" t="n">
        <x:v>4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675660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21114.4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2385.7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170.4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2329.4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166.4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601.6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43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2330.4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166.5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2307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164.8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860.6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61.5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482.8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34.5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67120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4794.3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