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1e98f8459949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e850cab131c4fa2"/>
    <x:sheet xmlns:r="http://schemas.openxmlformats.org/officeDocument/2006/relationships" name="中证1000" sheetId="2" r:id="R0652ba25a2ef4517"/>
    <x:sheet xmlns:r="http://schemas.openxmlformats.org/officeDocument/2006/relationships" name="中证500" sheetId="3" r:id="Rd67aef5e6e9445ec"/>
    <x:sheet xmlns:r="http://schemas.openxmlformats.org/officeDocument/2006/relationships" name="上证指数" sheetId="4" r:id="R3074479a89ab42d1"/>
    <x:sheet xmlns:r="http://schemas.openxmlformats.org/officeDocument/2006/relationships" name="IM主力" sheetId="5" r:id="R45ace03b30db415e"/>
    <x:sheet xmlns:r="http://schemas.openxmlformats.org/officeDocument/2006/relationships" name="IC主力" sheetId="6" r:id="Refb4e4b2748f4706"/>
    <x:sheet xmlns:r="http://schemas.openxmlformats.org/officeDocument/2006/relationships" name="IF主力" sheetId="7" r:id="R4e30ae77457542f4"/>
    <x:sheet xmlns:r="http://schemas.openxmlformats.org/officeDocument/2006/relationships" name="IH主力" sheetId="8" r:id="R171767c7cb9e48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f37bf06baf4908" /><Relationship Type="http://schemas.openxmlformats.org/officeDocument/2006/relationships/theme" Target="/xl/theme/theme1.xml" Id="Rc85886e3b901445e" /><Relationship Type="http://schemas.openxmlformats.org/officeDocument/2006/relationships/sharedStrings" Target="/xl/sharedStrings.xml" Id="R1b0f09698f6f43f7" /><Relationship Type="http://schemas.openxmlformats.org/officeDocument/2006/relationships/worksheet" Target="/xl/worksheets/sheet1.xml" Id="Rfe850cab131c4fa2" /><Relationship Type="http://schemas.openxmlformats.org/officeDocument/2006/relationships/worksheet" Target="/xl/worksheets/sheet2.xml" Id="R0652ba25a2ef4517" /><Relationship Type="http://schemas.openxmlformats.org/officeDocument/2006/relationships/worksheet" Target="/xl/worksheets/sheet3.xml" Id="Rd67aef5e6e9445ec" /><Relationship Type="http://schemas.openxmlformats.org/officeDocument/2006/relationships/worksheet" Target="/xl/worksheets/sheet4.xml" Id="R3074479a89ab42d1" /><Relationship Type="http://schemas.openxmlformats.org/officeDocument/2006/relationships/worksheet" Target="/xl/worksheets/sheet5.xml" Id="R45ace03b30db415e" /><Relationship Type="http://schemas.openxmlformats.org/officeDocument/2006/relationships/worksheet" Target="/xl/worksheets/sheet6.xml" Id="Refb4e4b2748f4706" /><Relationship Type="http://schemas.openxmlformats.org/officeDocument/2006/relationships/worksheet" Target="/xl/worksheets/sheet7.xml" Id="R4e30ae77457542f4" /><Relationship Type="http://schemas.openxmlformats.org/officeDocument/2006/relationships/worksheet" Target="/xl/worksheets/sheet8.xml" Id="R171767c7cb9e48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128</x:v>
      </x:c>
      <x:c r="G4" s="10" t="n">
        <x:v>22038.4</x:v>
      </x:c>
      <x:c r="H4" s="10" t="n">
        <x:v>172.2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128</x:v>
      </x:c>
      <x:c r="G5" s="10" t="n">
        <x:v>22259.5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128</x:v>
      </x:c>
      <x:c r="G6" s="10" t="n">
        <x:v>6243.9</x:v>
      </x:c>
      <x:c r="H6" s="10" t="n">
        <x:v>48.8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128</x:v>
      </x:c>
      <x:c r="G7" s="10" t="n">
        <x:v>23378.8</x:v>
      </x:c>
      <x:c r="H7" s="10" t="n">
        <x:v>182.6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128</x:v>
      </x:c>
      <x:c r="G8" s="10" t="n">
        <x:v>24888.4</x:v>
      </x:c>
      <x:c r="H8" s="10" t="n">
        <x:v>194.4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128</x:v>
      </x:c>
      <x:c r="G9" s="10" t="n">
        <x:v>9432.6</x:v>
      </x:c>
      <x:c r="H9" s="10" t="n">
        <x:v>73.7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128</x:v>
      </x:c>
      <x:c r="G10" s="10" t="n">
        <x:v>5326.2</x:v>
      </x:c>
      <x:c r="H10" s="10" t="n">
        <x:v>41.6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2980.3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248.4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3125.3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260.4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808.2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67.4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4"/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/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/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/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4"/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4"/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4"/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/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/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/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/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/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/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/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4"/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4"/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/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/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/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/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4"/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4"/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/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4"/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/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4"/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/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/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/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/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/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/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/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/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/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4"/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/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/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/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/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/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/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/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/>
      <x:c r="I58" s="25" t="n">
        <x:v>-0.039385299376600846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/>
      <x:c r="I59" s="25" t="n">
        <x:v>0.00020122748767481546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4"/>
      <x:c r="I60" s="25" t="n">
        <x:v>-0.022885021627602864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/>
      <x:c r="I61" s="25" t="n">
        <x:v>0.009497091676532676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4"/>
      <x:c r="I62" s="25" t="n">
        <x:v>-0.02085511052188771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/>
      <x:c r="I63" s="35" t="n">
        <x:v>-0.01575315714099723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4"/>
      <x:c r="I64" s="25" t="n">
        <x:v>-0.04894179894179895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4"/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/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/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/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/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/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/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/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/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/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4"/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/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/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/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/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/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/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/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/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/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4"/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/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/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/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/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/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/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4"/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4"/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/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/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/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4"/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4"/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/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/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/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/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4"/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4"/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/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/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4"/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/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4"/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/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/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/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/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/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4"/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4"/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/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/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/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4"/>
      <x:c r="I135" s="25" t="n">
        <x:v>0.00583154401717767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/>
      <x:c r="I136" s="25" t="n">
        <x:v>0.012662833854886868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/>
      <x:c r="I137" s="25" t="n">
        <x:v>0.01149838303988493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/>
      <x:c r="I138" s="25" t="n">
        <x:v>0.007696862048549358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8546</x:v>
      </x:c>
      <x:c r="E139" s="34" t="n">
        <x:v>8558</x:v>
      </x:c>
      <x:c r="F139" s="34" t="n">
        <x:v>8367</x:v>
      </x:c>
      <x:c r="G139" s="34" t="n">
        <x:v>8524.2</x:v>
      </x:c>
      <x:c r="H139" s="34"/>
      <x:c r="I139" s="35" t="n">
        <x:v>0.001668625146886038</x:v>
      </x:c>
      <x:c r="J139" s="29" t="n">
        <x:f>ROUND(E139-F139,1)</x:f>
        <x:v>191</x:v>
      </x:c>
      <x:c r="K139" s="33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4"/>
      <x:c r="I140" s="25" t="n">
        <x:v>-0.014218343070317552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/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/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4"/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/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4"/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3857.2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183.7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/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/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/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/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/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/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4"/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/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4"/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/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/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4"/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2629.2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219.1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4"/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4"/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/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/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4"/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4"/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/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/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/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/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/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/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/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/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4"/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4"/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/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/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/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4"/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4"/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4"/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/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4"/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/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4"/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/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/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/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4"/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/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4"/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/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/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/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4"/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/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/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/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/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/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/>
      <x:c r="I56" s="25" t="n">
        <x:v>-0.023136675562333342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/>
      <x:c r="I57" s="25" t="n">
        <x:v>-0.008805522355294304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/>
      <x:c r="I58" s="25" t="n">
        <x:v>-0.01186140368146471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/>
      <x:c r="I59" s="25" t="n">
        <x:v>-0.0034118643223589595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4"/>
      <x:c r="I60" s="25" t="n">
        <x:v>-0.024189719369267948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/>
      <x:c r="I61" s="25" t="n">
        <x:v>0.009552101206176777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4"/>
      <x:c r="I62" s="25" t="n">
        <x:v>-0.027066105220435288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/>
      <x:c r="I63" s="35" t="n">
        <x:v>-0.014548298787641856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4"/>
      <x:c r="I64" s="25" t="n">
        <x:v>-0.042913458740111654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4"/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/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/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/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/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/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/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4"/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/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/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4"/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/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/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/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/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/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4"/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/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/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/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/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/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/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/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/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4"/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/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4"/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/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/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/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/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4"/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4"/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34"/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/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/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/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4"/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/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/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/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/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/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4"/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/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/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/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/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/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4"/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4"/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/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/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/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4"/>
      <x:c r="I135" s="25" t="n">
        <x:v>0.011013650027102972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/>
      <x:c r="I136" s="25" t="n">
        <x:v>0.008700314381107743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/>
      <x:c r="I137" s="25" t="n">
        <x:v>0.018241121043730324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/>
      <x:c r="I138" s="25" t="n">
        <x:v>0.010487602325305545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8536</x:v>
      </x:c>
      <x:c r="E139" s="34" t="n">
        <x:v>8677</x:v>
      </x:c>
      <x:c r="F139" s="34" t="n">
        <x:v>8432</x:v>
      </x:c>
      <x:c r="G139" s="34" t="n">
        <x:v>8650</x:v>
      </x:c>
      <x:c r="H139" s="34"/>
      <x:c r="I139" s="35" t="n">
        <x:v>0.015568131119825246</x:v>
      </x:c>
      <x:c r="J139" s="29" t="n">
        <x:f>ROUND(E139-F139,1)</x:f>
        <x:v>245</x:v>
      </x:c>
      <x:c r="K139" s="33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4"/>
      <x:c r="I140" s="25" t="n">
        <x:v>-0.02254335260115603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/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/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4"/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/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4"/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4219.8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200.9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/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4"/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/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/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/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/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4"/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4"/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4"/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/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/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4"/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2906.4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242.2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/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/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/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/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/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/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/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/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/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/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/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/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/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/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/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/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/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/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/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/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/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/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/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/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/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/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/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/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/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/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/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/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/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/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/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/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/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/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/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/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/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/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/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/>
      <x:c r="I58" s="25" t="n">
        <x:v>-0.016057015284217657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/>
      <x:c r="I59" s="25" t="n">
        <x:v>0.0011781132734094424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/>
      <x:c r="I60" s="25" t="n">
        <x:v>-0.0067988668555239995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/>
      <x:c r="I61" s="25" t="n">
        <x:v>0.0025889683619291226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/>
      <x:c r="I62" s="25" t="n">
        <x:v>-0.014749649859944092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/>
      <x:c r="I63" s="35" t="n">
        <x:v>-0.0035093954066901523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4"/>
      <x:c r="I64" s="25" t="n">
        <x:v>-0.03165121255349501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/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/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/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/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/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/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/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/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/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/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4"/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/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/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/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/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/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/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/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/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/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/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/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/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/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/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/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/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/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/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/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/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/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/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/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/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/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/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/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/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/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/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/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/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/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/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/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/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/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/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/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/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/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/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/>
      <x:c r="I133" s="25" t="n">
        <x:v>-0.02744948532215008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/>
      <x:c r="I134" s="25" t="n">
        <x:v>0.0174223616011151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/>
      <x:c r="I135" s="25" t="n">
        <x:v>0.024144869215291687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/>
      <x:c r="I136" s="25" t="n">
        <x:v>-0.0036784684195126927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/>
      <x:c r="I137" s="25" t="n">
        <x:v>0.011747430249632984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/>
      <x:c r="I138" s="25" t="n">
        <x:v>0.008252125233257246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4852.4</x:v>
      </x:c>
      <x:c r="E139" s="34" t="n">
        <x:v>4987.4</x:v>
      </x:c>
      <x:c r="F139" s="34" t="n">
        <x:v>4838.8</x:v>
      </x:c>
      <x:c r="G139" s="34" t="n">
        <x:v>4983.8</x:v>
      </x:c>
      <x:c r="H139" s="34"/>
      <x:c r="I139" s="35" t="n">
        <x:v>0.024882783581475776</x:v>
      </x:c>
      <x:c r="J139" s="29" t="n">
        <x:f>ROUND(E139-F139,1)</x:f>
        <x:v>148.6</x:v>
      </x:c>
      <x:c r="K139" s="33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4"/>
      <x:c r="I140" s="25" t="n">
        <x:v>-0.03439142822745711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/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/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4"/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/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/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1929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91.9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/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/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/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/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/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/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/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/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/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/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/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/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1133.8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94.5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/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/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/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/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/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/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/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/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/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/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/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/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/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/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/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/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/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/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/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/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/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/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/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/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/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/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/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/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/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/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/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/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/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/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/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/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/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/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/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/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/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/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/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/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/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/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/>
      <x:c r="I61" s="25" t="n">
        <x:v>-0.006684672518568635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/>
      <x:c r="I62" s="25" t="n">
        <x:v>-0.016450275304194073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/>
      <x:c r="I63" s="35" t="n">
        <x:v>-0.009675858732462461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/>
      <x:c r="I64" s="25" t="n">
        <x:v>-0.03133505478400456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/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/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/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/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/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/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/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/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/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/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/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/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/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/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/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/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/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/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/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/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/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/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/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/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/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/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/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/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/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/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/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/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/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/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/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/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/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/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/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/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/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/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/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/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/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/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/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/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/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/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/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/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/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/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/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/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/>
      <x:c r="I136" s="25" t="n">
        <x:v>-0.02266385353569722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/>
      <x:c r="I137" s="25" t="n">
        <x:v>0.007799442896935904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/>
      <x:c r="I138" s="25" t="n">
        <x:v>0.001865671641791078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2896</x:v>
      </x:c>
      <x:c r="E139" s="34" t="n">
        <x:v>2982.2</x:v>
      </x:c>
      <x:c r="F139" s="34" t="n">
        <x:v>2883.4</x:v>
      </x:c>
      <x:c r="G139" s="34" t="n">
        <x:v>2978</x:v>
      </x:c>
      <x:c r="H139" s="34"/>
      <x:c r="I139" s="35" t="n">
        <x:v>0.026967377060486797</x:v>
      </x:c>
      <x:c r="J139" s="29" t="n">
        <x:f>ROUND(E139-F139,1)</x:f>
        <x:v>98.8</x:v>
      </x:c>
      <x:c r="K139" s="33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/>
      <x:c r="I140" s="25" t="n">
        <x:v>-0.03136333109469447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/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/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/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/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/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991.4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47.2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/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/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/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/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/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/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/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/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/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/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/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/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649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54.1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