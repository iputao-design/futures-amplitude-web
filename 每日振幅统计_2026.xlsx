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abc12563843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e596e04d6494180"/>
    <x:sheet xmlns:r="http://schemas.openxmlformats.org/officeDocument/2006/relationships" name="周振幅统计" sheetId="2" r:id="R682a5634401c457a"/>
    <x:sheet xmlns:r="http://schemas.openxmlformats.org/officeDocument/2006/relationships" name="中证1000" sheetId="3" r:id="R835b21638804457f"/>
    <x:sheet xmlns:r="http://schemas.openxmlformats.org/officeDocument/2006/relationships" name="中证500" sheetId="4" r:id="Reca6f85f8ea94298"/>
    <x:sheet xmlns:r="http://schemas.openxmlformats.org/officeDocument/2006/relationships" name="上证指数" sheetId="5" r:id="Rbc2ce11976b74544"/>
    <x:sheet xmlns:r="http://schemas.openxmlformats.org/officeDocument/2006/relationships" name="IM主力" sheetId="6" r:id="Rccb4de568b824d23"/>
    <x:sheet xmlns:r="http://schemas.openxmlformats.org/officeDocument/2006/relationships" name="IC主力" sheetId="7" r:id="Rfb1efd62f28c4a34"/>
    <x:sheet xmlns:r="http://schemas.openxmlformats.org/officeDocument/2006/relationships" name="IF主力" sheetId="8" r:id="R8d4b511f0abb4955"/>
    <x:sheet xmlns:r="http://schemas.openxmlformats.org/officeDocument/2006/relationships" name="IH主力" sheetId="9" r:id="Ra3223df7eb60460f"/>
    <x:sheet xmlns:r="http://schemas.openxmlformats.org/officeDocument/2006/relationships" name="碳酸锂2610" sheetId="10" r:id="R7bd4e34f0a4443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f07ca965e84527" /><Relationship Type="http://schemas.openxmlformats.org/officeDocument/2006/relationships/theme" Target="/xl/theme/theme1.xml" Id="Ra46222bc6d784e57" /><Relationship Type="http://schemas.openxmlformats.org/officeDocument/2006/relationships/sharedStrings" Target="/xl/sharedStrings.xml" Id="R787b48c0fb664746" /><Relationship Type="http://schemas.openxmlformats.org/officeDocument/2006/relationships/worksheet" Target="/xl/worksheets/sheet1.xml" Id="R3e596e04d6494180" /><Relationship Type="http://schemas.openxmlformats.org/officeDocument/2006/relationships/worksheet" Target="/xl/worksheets/sheet2.xml" Id="R682a5634401c457a" /><Relationship Type="http://schemas.openxmlformats.org/officeDocument/2006/relationships/worksheet" Target="/xl/worksheets/sheet3.xml" Id="R835b21638804457f" /><Relationship Type="http://schemas.openxmlformats.org/officeDocument/2006/relationships/worksheet" Target="/xl/worksheets/sheet4.xml" Id="Reca6f85f8ea94298" /><Relationship Type="http://schemas.openxmlformats.org/officeDocument/2006/relationships/worksheet" Target="/xl/worksheets/sheet5.xml" Id="Rbc2ce11976b74544" /><Relationship Type="http://schemas.openxmlformats.org/officeDocument/2006/relationships/worksheet" Target="/xl/worksheets/sheet6.xml" Id="Rccb4de568b824d23" /><Relationship Type="http://schemas.openxmlformats.org/officeDocument/2006/relationships/worksheet" Target="/xl/worksheets/sheet7.xml" Id="Rfb1efd62f28c4a34" /><Relationship Type="http://schemas.openxmlformats.org/officeDocument/2006/relationships/worksheet" Target="/xl/worksheets/sheet8.xml" Id="R8d4b511f0abb4955" /><Relationship Type="http://schemas.openxmlformats.org/officeDocument/2006/relationships/worksheet" Target="/xl/worksheets/sheet9.xml" Id="Ra3223df7eb60460f" /><Relationship Type="http://schemas.openxmlformats.org/officeDocument/2006/relationships/worksheet" Target="/xl/worksheets/sheet10.xml" Id="R7bd4e34f0a4443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2026-10-12</x:v>
      </x:c>
      <x:c r="C4" s="10" t="n">
        <x:v>7145.06</x:v>
      </x:c>
      <x:c r="D4" s="10" t="n">
        <x:v>7014.37</x:v>
      </x:c>
      <x:c r="E4" s="12" t="n">
        <x:v>130.7</x:v>
      </x:c>
      <x:c r="F4" s="9" t="n">
        <x:v>184</x:v>
      </x:c>
      <x:c r="G4" s="10" t="n">
        <x:v>32150.7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2026-10-12</x:v>
      </x:c>
      <x:c r="C5" s="10" t="n">
        <x:v>7236.78</x:v>
      </x:c>
      <x:c r="D5" s="10" t="n">
        <x:v>7085.92</x:v>
      </x:c>
      <x:c r="E5" s="12" t="n">
        <x:v>150.9</x:v>
      </x:c>
      <x:c r="F5" s="9" t="n">
        <x:v>184</x:v>
      </x:c>
      <x:c r="G5" s="10" t="n">
        <x:v>31919.9</x:v>
      </x:c>
      <x:c r="H5" s="10" t="n">
        <x:v>173.5</x:v>
      </x:c>
      <x:c r="I5" s="10" t="n">
        <x:v>160</x:v>
      </x:c>
    </x:row>
    <x:row r="6">
      <x:c r="A6" s="9" t="str">
        <x:v>上证指数</x:v>
      </x:c>
      <x:c r="B6" s="9" t="str">
        <x:v>2026-10-12</x:v>
      </x:c>
      <x:c r="C6" s="10" t="n">
        <x:v>3828.22</x:v>
      </x:c>
      <x:c r="D6" s="10" t="n">
        <x:v>3791</x:v>
      </x:c>
      <x:c r="E6" s="12" t="n">
        <x:v>37.2</x:v>
      </x:c>
      <x:c r="F6" s="9" t="n">
        <x:v>184</x:v>
      </x:c>
      <x:c r="G6" s="10" t="n">
        <x:v>8791.3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184</x:v>
      </x:c>
      <x:c r="G7" s="10" t="n">
        <x:v>34171.4</x:v>
      </x:c>
      <x:c r="H7" s="10" t="n">
        <x:v>185.7</x:v>
      </x:c>
      <x:c r="I7" s="10" t="n">
        <x:v>190</x:v>
      </x:c>
    </x:row>
    <x:row r="8">
      <x:c r="A8" s="9" t="str">
        <x:v>IC主力</x:v>
      </x:c>
      <x:c r="B8" s="9" t="str">
        <x:v>2026-10-12</x:v>
      </x:c>
      <x:c r="C8" s="10" t="n">
        <x:v>7115.6</x:v>
      </x:c>
      <x:c r="D8" s="10" t="n">
        <x:v>6943.6</x:v>
      </x:c>
      <x:c r="E8" s="12" t="n">
        <x:v>172</x:v>
      </x:c>
      <x:c r="F8" s="9" t="n">
        <x:v>184</x:v>
      </x:c>
      <x:c r="G8" s="10" t="n">
        <x:v>35369.8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2026-10-12</x:v>
      </x:c>
      <x:c r="C9" s="10" t="n">
        <x:v>4273.6</x:v>
      </x:c>
      <x:c r="D9" s="10" t="n">
        <x:v>4213.8</x:v>
      </x:c>
      <x:c r="E9" s="12" t="n">
        <x:v>59.8</x:v>
      </x:c>
      <x:c r="F9" s="9" t="n">
        <x:v>184</x:v>
      </x:c>
      <x:c r="G9" s="10" t="n">
        <x:v>13265.6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184</x:v>
      </x:c>
      <x:c r="G10" s="10" t="n">
        <x:v>7361.8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2026-10-12</x:v>
      </x:c>
      <x:c r="C11" s="10" t="n">
        <x:v>125960</x:v>
      </x:c>
      <x:c r="D11" s="10" t="n">
        <x:v>107100</x:v>
      </x:c>
      <x:c r="E11" s="12" t="n">
        <x:v>18860</x:v>
      </x:c>
      <x:c r="F11" s="9" t="n">
        <x:v>184</x:v>
      </x:c>
      <x:c r="G11" s="10" t="n">
        <x:v>1468300</x:v>
      </x:c>
      <x:c r="H11" s="10" t="n">
        <x:v>7979.9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</x:v>
      </x:c>
      <x:c r="C44" s="23" t="n">
        <x:v>7132.68</x:v>
      </x:c>
      <x:c r="D44" s="23" t="n">
        <x:v>7145.06</x:v>
      </x:c>
      <x:c r="E44" s="23" t="n">
        <x:v>7014.37</x:v>
      </x:c>
      <x:c r="F44" s="23" t="n">
        <x:v>7021.47</x:v>
      </x:c>
      <x:c r="G44" s="23" t="n">
        <x:f>ROUND(F44-F43,1)</x:f>
        <x:v>-134.4</x:v>
      </x:c>
      <x:c r="H44" s="24" t="n">
        <x:f>IFERROR(F44/F43-1,"")</x:f>
        <x:v>-0.018787268146189584</x:v>
      </x:c>
      <x:c r="I44" s="23" t="n">
        <x:f>ROUND(D44-E44,1)</x:f>
        <x:v>130.7</x:v>
      </x:c>
      <x:c r="J44" s="22" t="str">
        <x:v>中证1000</x:v>
      </x:c>
      <x:c r="K44" s="22" t="n">
        <x:v>1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16233.3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405.8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</x:v>
      </x:c>
      <x:c r="C89" s="23" t="n">
        <x:v>7226.07</x:v>
      </x:c>
      <x:c r="D89" s="23" t="n">
        <x:v>7236.78</x:v>
      </x:c>
      <x:c r="E89" s="23" t="n">
        <x:v>7085.92</x:v>
      </x:c>
      <x:c r="F89" s="23" t="n">
        <x:v>7093.02</x:v>
      </x:c>
      <x:c r="G89" s="28" t="n">
        <x:f>ROUND(F89-F88,1)</x:f>
        <x:v>-158</x:v>
      </x:c>
      <x:c r="H89" s="24" t="n">
        <x:f>IFERROR(F89/F88-1,"")</x:f>
        <x:v>-0.02178868874818818</x:v>
      </x:c>
      <x:c r="I89" s="23" t="n">
        <x:f>ROUND(D89-E89,1)</x:f>
        <x:v>150.9</x:v>
      </x:c>
      <x:c r="J89" s="22" t="str">
        <x:v>中证500</x:v>
      </x:c>
      <x:c r="K89" s="22" t="n">
        <x:v>1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16149.5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403.7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</x:v>
      </x:c>
      <x:c r="C134" s="23" t="n">
        <x:v>3806.98</x:v>
      </x:c>
      <x:c r="D134" s="23" t="n">
        <x:v>3828.22</x:v>
      </x:c>
      <x:c r="E134" s="23" t="n">
        <x:v>3791</x:v>
      </x:c>
      <x:c r="F134" s="23" t="n">
        <x:v>3797.24</x:v>
      </x:c>
      <x:c r="G134" s="23" t="n">
        <x:f>ROUND(F134-F133,1)</x:f>
        <x:v>-16.6</x:v>
      </x:c>
      <x:c r="H134" s="24" t="n">
        <x:f>IFERROR(F134/F133-1,"")</x:f>
        <x:v>-0.00433951528531995</x:v>
      </x:c>
      <x:c r="I134" s="23" t="n">
        <x:f>ROUND(D134-E134,1)</x:f>
        <x:v>37.2</x:v>
      </x:c>
      <x:c r="J134" s="22" t="str">
        <x:v>上证指数</x:v>
      </x:c>
      <x:c r="K134" s="22" t="n">
        <x:v>1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4239.3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106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</x:v>
      </x:c>
      <x:c r="C179" s="23" t="n">
        <x:v>7000</x:v>
      </x:c>
      <x:c r="D179" s="23" t="n">
        <x:v>7031.2</x:v>
      </x:c>
      <x:c r="E179" s="23" t="n">
        <x:v>6886.6</x:v>
      </x:c>
      <x:c r="F179" s="23" t="n">
        <x:v>6921</x:v>
      </x:c>
      <x:c r="G179" s="23" t="n">
        <x:f>ROUND(F179-F178,1)</x:f>
        <x:v>-94.8</x:v>
      </x:c>
      <x:c r="H179" s="24" t="n">
        <x:f>IFERROR(F179/F178-1,"")</x:f>
        <x:v>-0.01351235782091853</x:v>
      </x:c>
      <x:c r="I179" s="23" t="n">
        <x:f>ROUND(D179-E179,1)</x:f>
        <x:v>144.6</x:v>
      </x:c>
      <x:c r="J179" s="22" t="str">
        <x:v>IM2612</x:v>
      </x:c>
      <x:c r="K179" s="22" t="n">
        <x:v>1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16907.8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422.7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</x:v>
      </x:c>
      <x:c r="C224" s="23" t="n">
        <x:v>7076.6</x:v>
      </x:c>
      <x:c r="D224" s="23" t="n">
        <x:v>7115.6</x:v>
      </x:c>
      <x:c r="E224" s="23" t="n">
        <x:v>6943.6</x:v>
      </x:c>
      <x:c r="F224" s="23" t="n">
        <x:v>6986</x:v>
      </x:c>
      <x:c r="G224" s="23" t="n">
        <x:f>ROUND(F224-F223,1)</x:f>
        <x:v>-125</x:v>
      </x:c>
      <x:c r="H224" s="24" t="n">
        <x:f>IFERROR(F224/F223-1,"")</x:f>
        <x:v>-0.017578399662494748</x:v>
      </x:c>
      <x:c r="I224" s="26" t="n">
        <x:f>ROUND(D224-E224,1)</x:f>
        <x:v>172</x:v>
      </x:c>
      <x:c r="J224" s="22" t="str">
        <x:v>IC2612</x:v>
      </x:c>
      <x:c r="K224" s="22" t="n">
        <x:v>1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17390.6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434.8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</x:v>
      </x:c>
      <x:c r="C269" s="23" t="n">
        <x:v>4240.4</x:v>
      </x:c>
      <x:c r="D269" s="23" t="n">
        <x:v>4273.6</x:v>
      </x:c>
      <x:c r="E269" s="23" t="n">
        <x:v>4213.8</x:v>
      </x:c>
      <x:c r="F269" s="23" t="n">
        <x:v>4233.6</x:v>
      </x:c>
      <x:c r="G269" s="23" t="n">
        <x:f>ROUND(F269-F268,1)</x:f>
        <x:v>-11.2</x:v>
      </x:c>
      <x:c r="H269" s="24" t="n">
        <x:f>IFERROR(F269/F268-1,"")</x:f>
        <x:v>-0.0026385224274405594</x:v>
      </x:c>
      <x:c r="I269" s="23" t="n">
        <x:f>ROUND(D269-E269,1)</x:f>
        <x:v>59.8</x:v>
      </x:c>
      <x:c r="J269" s="22" t="str">
        <x:v>IF2612</x:v>
      </x:c>
      <x:c r="K269" s="22" t="n">
        <x:v>1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6198.4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155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</x:v>
      </x:c>
      <x:c r="C314" s="23" t="n">
        <x:v>2762</x:v>
      </x:c>
      <x:c r="D314" s="23" t="n">
        <x:v>2794</x:v>
      </x:c>
      <x:c r="E314" s="23" t="n">
        <x:v>2761.2</x:v>
      </x:c>
      <x:c r="F314" s="23" t="n">
        <x:v>2779</x:v>
      </x:c>
      <x:c r="G314" s="23" t="n">
        <x:f>ROUND(F314-F313,1)</x:f>
        <x:v>15</x:v>
      </x:c>
      <x:c r="H314" s="24" t="n">
        <x:f>IFERROR(F314/F313-1,"")</x:f>
        <x:v>0.00542691751085389</x:v>
      </x:c>
      <x:c r="I314" s="23" t="n">
        <x:f>ROUND(D314-E314,1)</x:f>
        <x:v>32.8</x:v>
      </x:c>
      <x:c r="J314" s="22" t="str">
        <x:v>IH2612</x:v>
      </x:c>
      <x:c r="K314" s="22" t="n">
        <x:v>1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3496.6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87.4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</x:v>
      </x:c>
      <x:c r="C359" s="23" t="n">
        <x:v>125960</x:v>
      </x:c>
      <x:c r="D359" s="23" t="n">
        <x:v>125960</x:v>
      </x:c>
      <x:c r="E359" s="23" t="n">
        <x:v>107100</x:v>
      </x:c>
      <x:c r="F359" s="23" t="n">
        <x:v>107100</x:v>
      </x:c>
      <x:c r="G359" s="28" t="n">
        <x:f>ROUND(F359-F358,1)</x:f>
        <x:v>-13900</x:v>
      </x:c>
      <x:c r="H359" s="24" t="n">
        <x:f>IFERROR(F359/F358-1,"")</x:f>
        <x:v>-0.11487603305785121</x:v>
      </x:c>
      <x:c r="I359" s="26" t="n">
        <x:f>ROUND(D359-E359,1)</x:f>
        <x:v>18860</x:v>
      </x:c>
      <x:c r="J359" s="22" t="str">
        <x:v>LC2610</x:v>
      </x:c>
      <x:c r="K359" s="22" t="n">
        <x:v>1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786180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19654.5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659.7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219.9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634.8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211.6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176.6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58.9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678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226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686.6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228.9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257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85.7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127.4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42.5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29860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9953.3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