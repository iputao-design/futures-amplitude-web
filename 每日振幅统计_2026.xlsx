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17e4c1c82b42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ee502befd8e4b5f"/>
    <x:sheet xmlns:r="http://schemas.openxmlformats.org/officeDocument/2006/relationships" name="中证1000" sheetId="2" r:id="Re4fdbc376ad54f2f"/>
    <x:sheet xmlns:r="http://schemas.openxmlformats.org/officeDocument/2006/relationships" name="中证500" sheetId="3" r:id="R66a6112174c94e34"/>
    <x:sheet xmlns:r="http://schemas.openxmlformats.org/officeDocument/2006/relationships" name="上证指数" sheetId="4" r:id="R7d214485518546e4"/>
    <x:sheet xmlns:r="http://schemas.openxmlformats.org/officeDocument/2006/relationships" name="IM主力" sheetId="5" r:id="Rcfbab595b6a94beb"/>
    <x:sheet xmlns:r="http://schemas.openxmlformats.org/officeDocument/2006/relationships" name="IC主力" sheetId="6" r:id="Rb519e8d2d05647e0"/>
    <x:sheet xmlns:r="http://schemas.openxmlformats.org/officeDocument/2006/relationships" name="IF主力" sheetId="7" r:id="Ra692667c59d24f3b"/>
    <x:sheet xmlns:r="http://schemas.openxmlformats.org/officeDocument/2006/relationships" name="IH主力" sheetId="8" r:id="Ree364ef90ee448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53c98615e041d4" /><Relationship Type="http://schemas.openxmlformats.org/officeDocument/2006/relationships/theme" Target="/xl/theme/theme1.xml" Id="R4332f51c5ad94482" /><Relationship Type="http://schemas.openxmlformats.org/officeDocument/2006/relationships/sharedStrings" Target="/xl/sharedStrings.xml" Id="R806a361fafc24e13" /><Relationship Type="http://schemas.openxmlformats.org/officeDocument/2006/relationships/worksheet" Target="/xl/worksheets/sheet1.xml" Id="R4ee502befd8e4b5f" /><Relationship Type="http://schemas.openxmlformats.org/officeDocument/2006/relationships/worksheet" Target="/xl/worksheets/sheet2.xml" Id="Re4fdbc376ad54f2f" /><Relationship Type="http://schemas.openxmlformats.org/officeDocument/2006/relationships/worksheet" Target="/xl/worksheets/sheet3.xml" Id="R66a6112174c94e34" /><Relationship Type="http://schemas.openxmlformats.org/officeDocument/2006/relationships/worksheet" Target="/xl/worksheets/sheet4.xml" Id="R7d214485518546e4" /><Relationship Type="http://schemas.openxmlformats.org/officeDocument/2006/relationships/worksheet" Target="/xl/worksheets/sheet5.xml" Id="Rcfbab595b6a94beb" /><Relationship Type="http://schemas.openxmlformats.org/officeDocument/2006/relationships/worksheet" Target="/xl/worksheets/sheet6.xml" Id="Rb519e8d2d05647e0" /><Relationship Type="http://schemas.openxmlformats.org/officeDocument/2006/relationships/worksheet" Target="/xl/worksheets/sheet7.xml" Id="Ra692667c59d24f3b" /><Relationship Type="http://schemas.openxmlformats.org/officeDocument/2006/relationships/worksheet" Target="/xl/worksheets/sheet8.xml" Id="Ree364ef90ee4481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2026-07-10</x:v>
      </x:c>
      <x:c r="C4" s="10" t="n">
        <x:v>8438.194</x:v>
      </x:c>
      <x:c r="D4" s="10" t="n">
        <x:v>8198.308</x:v>
      </x:c>
      <x:c r="E4" s="12" t="n">
        <x:v>239.9</x:v>
      </x:c>
      <x:c r="F4" s="9" t="n">
        <x:v>124</x:v>
      </x:c>
      <x:c r="G4" s="10" t="n">
        <x:v>20918.9</x:v>
      </x:c>
      <x:c r="H4" s="10" t="n">
        <x:v>168.7</x:v>
      </x:c>
      <x:c r="I4" s="10" t="n">
        <x:v>180</x:v>
      </x:c>
    </x:row>
    <x:row r="5">
      <x:c r="A5" s="9" t="str">
        <x:v>中证500</x:v>
      </x:c>
      <x:c r="B5" s="9" t="str">
        <x:v>2026-07-10</x:v>
      </x:c>
      <x:c r="C5" s="10" t="n">
        <x:v>8783.249</x:v>
      </x:c>
      <x:c r="D5" s="10" t="n">
        <x:v>8503.245</x:v>
      </x:c>
      <x:c r="E5" s="12" t="n">
        <x:v>280</x:v>
      </x:c>
      <x:c r="F5" s="9" t="n">
        <x:v>124</x:v>
      </x:c>
      <x:c r="G5" s="10" t="n">
        <x:v>21158.7</x:v>
      </x:c>
      <x:c r="H5" s="10" t="n">
        <x:v>170.6</x:v>
      </x:c>
      <x:c r="I5" s="10" t="n">
        <x:v>160</x:v>
      </x:c>
    </x:row>
    <x:row r="6">
      <x:c r="A6" s="9" t="str">
        <x:v>上证指数</x:v>
      </x:c>
      <x:c r="B6" s="9" t="str">
        <x:v>2026-07-10</x:v>
      </x:c>
      <x:c r="C6" s="10" t="n">
        <x:v>4074.828</x:v>
      </x:c>
      <x:c r="D6" s="10" t="n">
        <x:v>3995.807</x:v>
      </x:c>
      <x:c r="E6" s="12" t="n">
        <x:v>79</x:v>
      </x:c>
      <x:c r="F6" s="9" t="n">
        <x:v>124</x:v>
      </x:c>
      <x:c r="G6" s="10" t="n">
        <x:v>5952.9</x:v>
      </x:c>
      <x:c r="H6" s="10" t="n">
        <x:v>48</x:v>
      </x:c>
      <x:c r="I6" s="10" t="n">
        <x:v>50</x:v>
      </x:c>
    </x:row>
    <x:row r="7">
      <x:c r="A7" s="9" t="str">
        <x:v>IM主力</x:v>
      </x:c>
      <x:c r="B7" s="9" t="str">
        <x:v>2026-07-10</x:v>
      </x:c>
      <x:c r="C7" s="10" t="n">
        <x:v>8244.8</x:v>
      </x:c>
      <x:c r="D7" s="10" t="n">
        <x:v>8016</x:v>
      </x:c>
      <x:c r="E7" s="12" t="n">
        <x:v>228.8</x:v>
      </x:c>
      <x:c r="F7" s="9" t="n">
        <x:v>124</x:v>
      </x:c>
      <x:c r="G7" s="10" t="n">
        <x:v>22345.6</x:v>
      </x:c>
      <x:c r="H7" s="10" t="n">
        <x:v>180.2</x:v>
      </x:c>
      <x:c r="I7" s="10" t="n">
        <x:v>190</x:v>
      </x:c>
    </x:row>
    <x:row r="8">
      <x:c r="A8" s="9" t="str">
        <x:v>IC主力</x:v>
      </x:c>
      <x:c r="B8" s="9" t="str">
        <x:v>2026-07-10</x:v>
      </x:c>
      <x:c r="C8" s="10" t="n">
        <x:v>8618</x:v>
      </x:c>
      <x:c r="D8" s="10" t="n">
        <x:v>8330</x:v>
      </x:c>
      <x:c r="E8" s="12" t="n">
        <x:v>288</x:v>
      </x:c>
      <x:c r="F8" s="9" t="n">
        <x:v>124</x:v>
      </x:c>
      <x:c r="G8" s="10" t="n">
        <x:v>23831.4</x:v>
      </x:c>
      <x:c r="H8" s="10" t="n">
        <x:v>192.2</x:v>
      </x:c>
      <x:c r="I8" s="10" t="n">
        <x:v>150</x:v>
      </x:c>
    </x:row>
    <x:row r="9">
      <x:c r="A9" s="9" t="str">
        <x:v>IF主力</x:v>
      </x:c>
      <x:c r="B9" s="9" t="str">
        <x:v>2026-07-10</x:v>
      </x:c>
      <x:c r="C9" s="10" t="n">
        <x:v>4822.2</x:v>
      </x:c>
      <x:c r="D9" s="10" t="n">
        <x:v>4703.6</x:v>
      </x:c>
      <x:c r="E9" s="12" t="n">
        <x:v>118.6</x:v>
      </x:c>
      <x:c r="F9" s="9" t="n">
        <x:v>124</x:v>
      </x:c>
      <x:c r="G9" s="10" t="n">
        <x:v>9074.2</x:v>
      </x:c>
      <x:c r="H9" s="10" t="n">
        <x:v>73.2</x:v>
      </x:c>
      <x:c r="I9" s="10" t="n">
        <x:v>90</x:v>
      </x:c>
    </x:row>
    <x:row r="10">
      <x:c r="A10" s="9" t="str">
        <x:v>IH主力</x:v>
      </x:c>
      <x:c r="B10" s="9" t="str">
        <x:v>2026-07-10</x:v>
      </x:c>
      <x:c r="C10" s="10" t="n">
        <x:v>2983.8</x:v>
      </x:c>
      <x:c r="D10" s="10" t="n">
        <x:v>2908.2</x:v>
      </x:c>
      <x:c r="E10" s="12" t="n">
        <x:v>75.6</x:v>
      </x:c>
      <x:c r="F10" s="9" t="n">
        <x:v>124</x:v>
      </x:c>
      <x:c r="G10" s="10" t="n">
        <x:v>5121.6</x:v>
      </x:c>
      <x:c r="H10" s="10" t="n">
        <x:v>41.3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2026-07-10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38" t="str">
        <x:v>合计</x:v>
      </x:c>
      <x:c r="B159" s="37" t="n">
        <x:v>8</x:v>
      </x:c>
      <x:c r="C159" s="37"/>
      <x:c r="D159" s="37"/>
      <x:c r="E159" s="37"/>
      <x:c r="F159" s="37"/>
      <x:c r="G159" s="37"/>
      <x:c r="H159" s="37"/>
      <x:c r="I159" s="37"/>
      <x:c r="J159" s="39" t="n">
        <x:f>ROUND(SUM(J151:J158),1)</x:f>
        <x:v>1860.8</x:v>
      </x:c>
      <x:c r="K159" s="37"/>
    </x:row>
    <x:row r="160">
      <x:c r="A160" s="38" t="str">
        <x:v>均值</x:v>
      </x:c>
      <x:c r="B160" s="37"/>
      <x:c r="C160" s="37"/>
      <x:c r="D160" s="37"/>
      <x:c r="E160" s="37"/>
      <x:c r="F160" s="37"/>
      <x:c r="G160" s="37"/>
      <x:c r="H160" s="37"/>
      <x:c r="I160" s="37"/>
      <x:c r="J160" s="41" t="n">
        <x:f>ROUND(IFERROR(AVERAGE(J151:J158),0),1)</x:f>
        <x:v>232.6</x:v>
      </x:c>
      <x:c r="K160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38" t="str">
        <x:v>合计</x:v>
      </x:c>
      <x:c r="B159" s="37" t="n">
        <x:v>8</x:v>
      </x:c>
      <x:c r="C159" s="37"/>
      <x:c r="D159" s="37"/>
      <x:c r="E159" s="37"/>
      <x:c r="F159" s="37"/>
      <x:c r="G159" s="37"/>
      <x:c r="H159" s="37"/>
      <x:c r="I159" s="37"/>
      <x:c r="J159" s="39" t="n">
        <x:f>ROUND(SUM(J151:J158),1)</x:f>
        <x:v>2024.5</x:v>
      </x:c>
      <x:c r="K159" s="37"/>
    </x:row>
    <x:row r="160">
      <x:c r="A160" s="38" t="str">
        <x:v>均值</x:v>
      </x:c>
      <x:c r="B160" s="37"/>
      <x:c r="C160" s="37"/>
      <x:c r="D160" s="37"/>
      <x:c r="E160" s="37"/>
      <x:c r="F160" s="37"/>
      <x:c r="G160" s="37"/>
      <x:c r="H160" s="37"/>
      <x:c r="I160" s="37"/>
      <x:c r="J160" s="41" t="n">
        <x:f>ROUND(IFERROR(AVERAGE(J151:J158),0),1)</x:f>
        <x:v>253.1</x:v>
      </x:c>
      <x:c r="K160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38" t="str">
        <x:v>合计</x:v>
      </x:c>
      <x:c r="B159" s="37" t="n">
        <x:v>8</x:v>
      </x:c>
      <x:c r="C159" s="37"/>
      <x:c r="D159" s="37"/>
      <x:c r="E159" s="37"/>
      <x:c r="F159" s="37"/>
      <x:c r="G159" s="37"/>
      <x:c r="H159" s="37"/>
      <x:c r="I159" s="37"/>
      <x:c r="J159" s="39" t="n">
        <x:f>ROUND(SUM(J151:J158),1)</x:f>
        <x:v>517.2</x:v>
      </x:c>
      <x:c r="K159" s="37"/>
    </x:row>
    <x:row r="160">
      <x:c r="A160" s="38" t="str">
        <x:v>均值</x:v>
      </x:c>
      <x:c r="B160" s="37"/>
      <x:c r="C160" s="37"/>
      <x:c r="D160" s="37"/>
      <x:c r="E160" s="37"/>
      <x:c r="F160" s="37"/>
      <x:c r="G160" s="37"/>
      <x:c r="H160" s="37"/>
      <x:c r="I160" s="37"/>
      <x:c r="J160" s="41" t="n">
        <x:f>ROUND(IFERROR(AVERAGE(J151:J158),0),1)</x:f>
        <x:v>64.7</x:v>
      </x:c>
      <x:c r="K160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4"/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/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/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/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4"/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4"/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4"/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/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/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/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/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/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/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/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4"/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4"/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/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/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/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/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4"/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4"/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/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4"/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/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4"/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/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/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/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/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/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/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/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/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/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4"/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/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/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/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/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/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/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/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/>
      <x:c r="I58" s="25" t="n">
        <x:v>-0.039385299376600846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/>
      <x:c r="I59" s="25" t="n">
        <x:v>0.00020122748767481546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4"/>
      <x:c r="I60" s="25" t="n">
        <x:v>-0.022885021627602864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/>
      <x:c r="I61" s="25" t="n">
        <x:v>0.009497091676532676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4"/>
      <x:c r="I62" s="25" t="n">
        <x:v>-0.02085511052188771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/>
      <x:c r="I63" s="35" t="n">
        <x:v>-0.01575315714099723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4"/>
      <x:c r="I64" s="25" t="n">
        <x:v>-0.04894179894179895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4"/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/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/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/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/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/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/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/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/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/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4"/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/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/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/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/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/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/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/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/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/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4"/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/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/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/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/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/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/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4"/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4"/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/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/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/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4"/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4"/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/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/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/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/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4"/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4"/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/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/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4"/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/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4"/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/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/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/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/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/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4"/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4"/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/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/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/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4"/>
      <x:c r="I135" s="25" t="n">
        <x:v>0.00583154401717767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/>
      <x:c r="I136" s="25" t="n">
        <x:v>0.012662833854886868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/>
      <x:c r="I137" s="25" t="n">
        <x:v>0.01149838303988493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/>
      <x:c r="I138" s="25" t="n">
        <x:v>0.007696862048549358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8546</x:v>
      </x:c>
      <x:c r="E139" s="34" t="n">
        <x:v>8558</x:v>
      </x:c>
      <x:c r="F139" s="34" t="n">
        <x:v>8367</x:v>
      </x:c>
      <x:c r="G139" s="34" t="n">
        <x:v>8524.2</x:v>
      </x:c>
      <x:c r="H139" s="34"/>
      <x:c r="I139" s="35" t="n">
        <x:v>0.001668625146886038</x:v>
      </x:c>
      <x:c r="J139" s="29" t="n">
        <x:f>ROUND(E139-F139,1)</x:f>
        <x:v>191</x:v>
      </x:c>
      <x:c r="K139" s="33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4"/>
      <x:c r="I140" s="25" t="n">
        <x:v>-0.014218343070317552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/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/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4"/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/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4"/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3857.2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183.7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/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/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/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/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/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/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4"/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/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38" t="str">
        <x:v>合计</x:v>
      </x:c>
      <x:c r="B159" s="37" t="n">
        <x:v>8</x:v>
      </x:c>
      <x:c r="C159" s="37"/>
      <x:c r="D159" s="37"/>
      <x:c r="E159" s="37"/>
      <x:c r="F159" s="37"/>
      <x:c r="G159" s="37"/>
      <x:c r="H159" s="37"/>
      <x:c r="I159" s="37"/>
      <x:c r="J159" s="39" t="n">
        <x:f>ROUND(SUM(J151:J158),1)</x:f>
        <x:v>1596</x:v>
      </x:c>
      <x:c r="K159" s="37"/>
    </x:row>
    <x:row r="160">
      <x:c r="A160" s="38" t="str">
        <x:v>均值</x:v>
      </x:c>
      <x:c r="B160" s="37"/>
      <x:c r="C160" s="37"/>
      <x:c r="D160" s="37"/>
      <x:c r="E160" s="37"/>
      <x:c r="F160" s="37"/>
      <x:c r="G160" s="37"/>
      <x:c r="H160" s="37"/>
      <x:c r="I160" s="37"/>
      <x:c r="J160" s="41" t="n">
        <x:f>ROUND(IFERROR(AVERAGE(J151:J158),0),1)</x:f>
        <x:v>199.5</x:v>
      </x:c>
      <x:c r="K160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4"/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4"/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/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/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4"/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4"/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/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/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/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/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/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/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/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/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4"/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4"/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/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/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/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4"/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4"/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4"/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/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4"/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/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4"/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/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/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/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4"/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/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4"/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/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/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/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4"/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/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/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/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/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/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/>
      <x:c r="I56" s="25" t="n">
        <x:v>-0.023136675562333342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/>
      <x:c r="I57" s="25" t="n">
        <x:v>-0.008805522355294304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/>
      <x:c r="I58" s="25" t="n">
        <x:v>-0.01186140368146471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/>
      <x:c r="I59" s="25" t="n">
        <x:v>-0.0034118643223589595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4"/>
      <x:c r="I60" s="25" t="n">
        <x:v>-0.024189719369267948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/>
      <x:c r="I61" s="25" t="n">
        <x:v>0.009552101206176777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4"/>
      <x:c r="I62" s="25" t="n">
        <x:v>-0.027066105220435288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/>
      <x:c r="I63" s="35" t="n">
        <x:v>-0.014548298787641856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4"/>
      <x:c r="I64" s="25" t="n">
        <x:v>-0.042913458740111654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4"/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/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/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/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/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/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/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4"/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/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/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4"/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/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/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/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/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/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4"/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/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/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/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/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/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/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/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/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4"/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/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4"/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/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/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/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/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4"/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4"/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34"/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/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/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/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4"/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/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/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/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/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/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4"/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/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/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/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/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/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4"/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4"/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/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/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/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4"/>
      <x:c r="I135" s="25" t="n">
        <x:v>0.011013650027102972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/>
      <x:c r="I136" s="25" t="n">
        <x:v>0.008700314381107743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/>
      <x:c r="I137" s="25" t="n">
        <x:v>0.018241121043730324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/>
      <x:c r="I138" s="25" t="n">
        <x:v>0.010487602325305545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8536</x:v>
      </x:c>
      <x:c r="E139" s="34" t="n">
        <x:v>8677</x:v>
      </x:c>
      <x:c r="F139" s="34" t="n">
        <x:v>8432</x:v>
      </x:c>
      <x:c r="G139" s="34" t="n">
        <x:v>8650</x:v>
      </x:c>
      <x:c r="H139" s="34"/>
      <x:c r="I139" s="35" t="n">
        <x:v>0.015568131119825246</x:v>
      </x:c>
      <x:c r="J139" s="29" t="n">
        <x:f>ROUND(E139-F139,1)</x:f>
        <x:v>245</x:v>
      </x:c>
      <x:c r="K139" s="33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4"/>
      <x:c r="I140" s="25" t="n">
        <x:v>-0.02254335260115603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/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/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4"/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/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4"/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4219.8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200.9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/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4"/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/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/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/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/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4"/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4"/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38" t="str">
        <x:v>合计</x:v>
      </x:c>
      <x:c r="B159" s="37" t="n">
        <x:v>8</x:v>
      </x:c>
      <x:c r="C159" s="37"/>
      <x:c r="D159" s="37"/>
      <x:c r="E159" s="37"/>
      <x:c r="F159" s="37"/>
      <x:c r="G159" s="37"/>
      <x:c r="H159" s="37"/>
      <x:c r="I159" s="37"/>
      <x:c r="J159" s="39" t="n">
        <x:f>ROUND(SUM(J151:J158),1)</x:f>
        <x:v>1849.4</x:v>
      </x:c>
      <x:c r="K159" s="37"/>
    </x:row>
    <x:row r="160">
      <x:c r="A160" s="38" t="str">
        <x:v>均值</x:v>
      </x:c>
      <x:c r="B160" s="37"/>
      <x:c r="C160" s="37"/>
      <x:c r="D160" s="37"/>
      <x:c r="E160" s="37"/>
      <x:c r="F160" s="37"/>
      <x:c r="G160" s="37"/>
      <x:c r="H160" s="37"/>
      <x:c r="I160" s="37"/>
      <x:c r="J160" s="41" t="n">
        <x:f>ROUND(IFERROR(AVERAGE(J151:J158),0),1)</x:f>
        <x:v>231.2</x:v>
      </x:c>
      <x:c r="K160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/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/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/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/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/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/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/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/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/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/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/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/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/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/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/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/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/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/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/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/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/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/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/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/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/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/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/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/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/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/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/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/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/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/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/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/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/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/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/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/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/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/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/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/>
      <x:c r="I58" s="25" t="n">
        <x:v>-0.016057015284217657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/>
      <x:c r="I59" s="25" t="n">
        <x:v>0.0011781132734094424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/>
      <x:c r="I60" s="25" t="n">
        <x:v>-0.0067988668555239995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/>
      <x:c r="I61" s="25" t="n">
        <x:v>0.0025889683619291226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/>
      <x:c r="I62" s="25" t="n">
        <x:v>-0.014749649859944092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/>
      <x:c r="I63" s="35" t="n">
        <x:v>-0.0035093954066901523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4"/>
      <x:c r="I64" s="25" t="n">
        <x:v>-0.03165121255349501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/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/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/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/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/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/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/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/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/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/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4"/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/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/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/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/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/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/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/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/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/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/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/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/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/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/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/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/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/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/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/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/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/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/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/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/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/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/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/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/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/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/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/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/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/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/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/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/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/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/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/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/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/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/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/>
      <x:c r="I133" s="25" t="n">
        <x:v>-0.02744948532215008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/>
      <x:c r="I134" s="25" t="n">
        <x:v>0.0174223616011151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/>
      <x:c r="I135" s="25" t="n">
        <x:v>0.024144869215291687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/>
      <x:c r="I136" s="25" t="n">
        <x:v>-0.0036784684195126927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/>
      <x:c r="I137" s="25" t="n">
        <x:v>0.011747430249632984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/>
      <x:c r="I138" s="25" t="n">
        <x:v>0.008252125233257246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4852.4</x:v>
      </x:c>
      <x:c r="E139" s="34" t="n">
        <x:v>4987.4</x:v>
      </x:c>
      <x:c r="F139" s="34" t="n">
        <x:v>4838.8</x:v>
      </x:c>
      <x:c r="G139" s="34" t="n">
        <x:v>4983.8</x:v>
      </x:c>
      <x:c r="H139" s="34"/>
      <x:c r="I139" s="35" t="n">
        <x:v>0.024882783581475776</x:v>
      </x:c>
      <x:c r="J139" s="29" t="n">
        <x:f>ROUND(E139-F139,1)</x:f>
        <x:v>148.6</x:v>
      </x:c>
      <x:c r="K139" s="33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4"/>
      <x:c r="I140" s="25" t="n">
        <x:v>-0.03439142822745711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/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/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4"/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/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/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1929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91.9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/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/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/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/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/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/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/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/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38" t="str">
        <x:v>合计</x:v>
      </x:c>
      <x:c r="B159" s="37" t="n">
        <x:v>8</x:v>
      </x:c>
      <x:c r="C159" s="37"/>
      <x:c r="D159" s="37"/>
      <x:c r="E159" s="37"/>
      <x:c r="F159" s="37"/>
      <x:c r="G159" s="37"/>
      <x:c r="H159" s="37"/>
      <x:c r="I159" s="37"/>
      <x:c r="J159" s="39" t="n">
        <x:f>ROUND(SUM(J151:J158),1)</x:f>
        <x:v>775.4</x:v>
      </x:c>
      <x:c r="K159" s="37"/>
    </x:row>
    <x:row r="160">
      <x:c r="A160" s="38" t="str">
        <x:v>均值</x:v>
      </x:c>
      <x:c r="B160" s="37"/>
      <x:c r="C160" s="37"/>
      <x:c r="D160" s="37"/>
      <x:c r="E160" s="37"/>
      <x:c r="F160" s="37"/>
      <x:c r="G160" s="37"/>
      <x:c r="H160" s="37"/>
      <x:c r="I160" s="37"/>
      <x:c r="J160" s="41" t="n">
        <x:f>ROUND(IFERROR(AVERAGE(J151:J158),0),1)</x:f>
        <x:v>96.9</x:v>
      </x:c>
      <x:c r="K160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/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/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/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/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/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/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/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/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/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/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/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/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/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/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/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/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/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/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/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/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/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/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/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/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/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/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/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/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/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/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/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/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/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/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/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/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/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/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/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/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/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/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/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/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/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/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/>
      <x:c r="I61" s="25" t="n">
        <x:v>-0.006684672518568635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/>
      <x:c r="I62" s="25" t="n">
        <x:v>-0.016450275304194073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/>
      <x:c r="I63" s="35" t="n">
        <x:v>-0.009675858732462461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/>
      <x:c r="I64" s="25" t="n">
        <x:v>-0.03133505478400456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/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/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/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/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/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/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/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/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/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/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/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/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/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/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/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/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/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/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/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/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/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/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/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/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/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/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/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/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/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/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/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/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/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/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/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/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/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/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/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/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/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/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/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/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/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/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/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/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/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/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/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/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/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/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/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/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/>
      <x:c r="I136" s="25" t="n">
        <x:v>-0.02266385353569722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/>
      <x:c r="I137" s="25" t="n">
        <x:v>0.007799442896935904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/>
      <x:c r="I138" s="25" t="n">
        <x:v>0.001865671641791078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2896</x:v>
      </x:c>
      <x:c r="E139" s="34" t="n">
        <x:v>2982.2</x:v>
      </x:c>
      <x:c r="F139" s="34" t="n">
        <x:v>2883.4</x:v>
      </x:c>
      <x:c r="G139" s="34" t="n">
        <x:v>2978</x:v>
      </x:c>
      <x:c r="H139" s="34"/>
      <x:c r="I139" s="35" t="n">
        <x:v>0.026967377060486797</x:v>
      </x:c>
      <x:c r="J139" s="29" t="n">
        <x:f>ROUND(E139-F139,1)</x:f>
        <x:v>98.8</x:v>
      </x:c>
      <x:c r="K139" s="33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/>
      <x:c r="I140" s="25" t="n">
        <x:v>-0.03136333109469447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/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/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/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/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/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991.4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47.2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/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/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/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/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/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/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/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/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38" t="str">
        <x:v>合计</x:v>
      </x:c>
      <x:c r="B159" s="37" t="n">
        <x:v>8</x:v>
      </x:c>
      <x:c r="C159" s="37"/>
      <x:c r="D159" s="37"/>
      <x:c r="E159" s="37"/>
      <x:c r="F159" s="37"/>
      <x:c r="G159" s="37"/>
      <x:c r="H159" s="37"/>
      <x:c r="I159" s="37"/>
      <x:c r="J159" s="39" t="n">
        <x:f>ROUND(SUM(J151:J158),1)</x:f>
        <x:v>444.4</x:v>
      </x:c>
      <x:c r="K159" s="37"/>
    </x:row>
    <x:row r="160">
      <x:c r="A160" s="38" t="str">
        <x:v>均值</x:v>
      </x:c>
      <x:c r="B160" s="37"/>
      <x:c r="C160" s="37"/>
      <x:c r="D160" s="37"/>
      <x:c r="E160" s="37"/>
      <x:c r="F160" s="37"/>
      <x:c r="G160" s="37"/>
      <x:c r="H160" s="37"/>
      <x:c r="I160" s="37"/>
      <x:c r="J160" s="41" t="n">
        <x:f>ROUND(IFERROR(AVERAGE(J151:J158),0),1)</x:f>
        <x:v>55.6</x:v>
      </x:c>
      <x:c r="K160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