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33504b44448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212b9243ed54dfa"/>
    <x:sheet xmlns:r="http://schemas.openxmlformats.org/officeDocument/2006/relationships" name="周振幅统计" sheetId="2" r:id="R4ec31598b6c446e3"/>
    <x:sheet xmlns:r="http://schemas.openxmlformats.org/officeDocument/2006/relationships" name="中证1000" sheetId="3" r:id="Rda6a6f41738e49ef"/>
    <x:sheet xmlns:r="http://schemas.openxmlformats.org/officeDocument/2006/relationships" name="中证500" sheetId="4" r:id="R87fe4b493a9b4547"/>
    <x:sheet xmlns:r="http://schemas.openxmlformats.org/officeDocument/2006/relationships" name="上证指数" sheetId="5" r:id="Rfd4e4fd638544b44"/>
    <x:sheet xmlns:r="http://schemas.openxmlformats.org/officeDocument/2006/relationships" name="IM主力" sheetId="6" r:id="R6f8303c7d0f84a02"/>
    <x:sheet xmlns:r="http://schemas.openxmlformats.org/officeDocument/2006/relationships" name="IC主力" sheetId="7" r:id="Rd413aa8921594fa9"/>
    <x:sheet xmlns:r="http://schemas.openxmlformats.org/officeDocument/2006/relationships" name="IF主力" sheetId="8" r:id="Ra71f146659a94c16"/>
    <x:sheet xmlns:r="http://schemas.openxmlformats.org/officeDocument/2006/relationships" name="IH主力" sheetId="9" r:id="R8e02ac307a004a9a"/>
    <x:sheet xmlns:r="http://schemas.openxmlformats.org/officeDocument/2006/relationships" name="碳酸锂2610" sheetId="10" r:id="R99a9e0a91ffc42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e9d00d15924f2e" /><Relationship Type="http://schemas.openxmlformats.org/officeDocument/2006/relationships/theme" Target="/xl/theme/theme1.xml" Id="Rf753e9a5e85e4ec5" /><Relationship Type="http://schemas.openxmlformats.org/officeDocument/2006/relationships/sharedStrings" Target="/xl/sharedStrings.xml" Id="Rcd99b019807b46f0" /><Relationship Type="http://schemas.openxmlformats.org/officeDocument/2006/relationships/worksheet" Target="/xl/worksheets/sheet1.xml" Id="R3212b9243ed54dfa" /><Relationship Type="http://schemas.openxmlformats.org/officeDocument/2006/relationships/worksheet" Target="/xl/worksheets/sheet2.xml" Id="R4ec31598b6c446e3" /><Relationship Type="http://schemas.openxmlformats.org/officeDocument/2006/relationships/worksheet" Target="/xl/worksheets/sheet3.xml" Id="Rda6a6f41738e49ef" /><Relationship Type="http://schemas.openxmlformats.org/officeDocument/2006/relationships/worksheet" Target="/xl/worksheets/sheet4.xml" Id="R87fe4b493a9b4547" /><Relationship Type="http://schemas.openxmlformats.org/officeDocument/2006/relationships/worksheet" Target="/xl/worksheets/sheet5.xml" Id="Rfd4e4fd638544b44" /><Relationship Type="http://schemas.openxmlformats.org/officeDocument/2006/relationships/worksheet" Target="/xl/worksheets/sheet6.xml" Id="R6f8303c7d0f84a02" /><Relationship Type="http://schemas.openxmlformats.org/officeDocument/2006/relationships/worksheet" Target="/xl/worksheets/sheet7.xml" Id="Rd413aa8921594fa9" /><Relationship Type="http://schemas.openxmlformats.org/officeDocument/2006/relationships/worksheet" Target="/xl/worksheets/sheet8.xml" Id="Ra71f146659a94c16" /><Relationship Type="http://schemas.openxmlformats.org/officeDocument/2006/relationships/worksheet" Target="/xl/worksheets/sheet9.xml" Id="R8e02ac307a004a9a" /><Relationship Type="http://schemas.openxmlformats.org/officeDocument/2006/relationships/worksheet" Target="/xl/worksheets/sheet10.xml" Id="R99a9e0a91ffc42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2026-10-15</x:v>
      </x:c>
      <x:c r="C4" s="10" t="n">
        <x:v>6805.19</x:v>
      </x:c>
      <x:c r="D4" s="10" t="n">
        <x:v>6652.55</x:v>
      </x:c>
      <x:c r="E4" s="12" t="n">
        <x:v>152.6</x:v>
      </x:c>
      <x:c r="F4" s="9" t="n">
        <x:v>187</x:v>
      </x:c>
      <x:c r="G4" s="10" t="n">
        <x:v>32738.2</x:v>
      </x:c>
      <x:c r="H4" s="10" t="n">
        <x:v>175.1</x:v>
      </x:c>
      <x:c r="I4" s="10" t="n">
        <x:v>180</x:v>
      </x:c>
    </x:row>
    <x:row r="5">
      <x:c r="A5" s="9" t="str">
        <x:v>中证500</x:v>
      </x:c>
      <x:c r="B5" s="9" t="str">
        <x:v>2026-10-15</x:v>
      </x:c>
      <x:c r="C5" s="10" t="n">
        <x:v>6870.95</x:v>
      </x:c>
      <x:c r="D5" s="10" t="n">
        <x:v>6725.59</x:v>
      </x:c>
      <x:c r="E5" s="12" t="n">
        <x:v>145.4</x:v>
      </x:c>
      <x:c r="F5" s="9" t="n">
        <x:v>187</x:v>
      </x:c>
      <x:c r="G5" s="10" t="n">
        <x:v>32464.2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2026-10-15</x:v>
      </x:c>
      <x:c r="C6" s="10" t="n">
        <x:v>3724.56</x:v>
      </x:c>
      <x:c r="D6" s="10" t="n">
        <x:v>3674.82</x:v>
      </x:c>
      <x:c r="E6" s="12" t="n">
        <x:v>49.7</x:v>
      </x:c>
      <x:c r="F6" s="9" t="n">
        <x:v>187</x:v>
      </x:c>
      <x:c r="G6" s="10" t="n">
        <x:v>8971.4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2026-10-15</x:v>
      </x:c>
      <x:c r="C7" s="10" t="n">
        <x:v>6706.6</x:v>
      </x:c>
      <x:c r="D7" s="10" t="n">
        <x:v>6532.4</x:v>
      </x:c>
      <x:c r="E7" s="12" t="n">
        <x:v>174.2</x:v>
      </x:c>
      <x:c r="F7" s="9" t="n">
        <x:v>187</x:v>
      </x:c>
      <x:c r="G7" s="10" t="n">
        <x:v>34801.4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2026-10-15</x:v>
      </x:c>
      <x:c r="C8" s="10" t="n">
        <x:v>6769</x:v>
      </x:c>
      <x:c r="D8" s="10" t="n">
        <x:v>6583.2</x:v>
      </x:c>
      <x:c r="E8" s="12" t="n">
        <x:v>185.8</x:v>
      </x:c>
      <x:c r="F8" s="9" t="n">
        <x:v>187</x:v>
      </x:c>
      <x:c r="G8" s="10" t="n">
        <x:v>35972.6</x:v>
      </x:c>
      <x:c r="H8" s="10" t="n">
        <x:v>192.4</x:v>
      </x:c>
      <x:c r="I8" s="10" t="n">
        <x:v>150</x:v>
      </x:c>
    </x:row>
    <x:row r="9">
      <x:c r="A9" s="9" t="str">
        <x:v>IF主力</x:v>
      </x:c>
      <x:c r="B9" s="9" t="str">
        <x:v>2026-10-15</x:v>
      </x:c>
      <x:c r="C9" s="10" t="n">
        <x:v>4113</x:v>
      </x:c>
      <x:c r="D9" s="10" t="n">
        <x:v>4045.2</x:v>
      </x:c>
      <x:c r="E9" s="12" t="n">
        <x:v>67.8</x:v>
      </x:c>
      <x:c r="F9" s="9" t="n">
        <x:v>187</x:v>
      </x:c>
      <x:c r="G9" s="10" t="n">
        <x:v>13516.4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2026-10-15</x:v>
      </x:c>
      <x:c r="C10" s="10" t="n">
        <x:v>2719.8</x:v>
      </x:c>
      <x:c r="D10" s="10" t="n">
        <x:v>2677.6</x:v>
      </x:c>
      <x:c r="E10" s="12" t="n">
        <x:v>42.2</x:v>
      </x:c>
      <x:c r="F10" s="9" t="n">
        <x:v>187</x:v>
      </x:c>
      <x:c r="G10" s="10" t="n">
        <x:v>7494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2026-10-15</x:v>
      </x:c>
      <x:c r="C11" s="10" t="n">
        <x:v>103400</x:v>
      </x:c>
      <x:c r="D11" s="10" t="n">
        <x:v>102000</x:v>
      </x:c>
      <x:c r="E11" s="12" t="n">
        <x:v>1400</x:v>
      </x:c>
      <x:c r="F11" s="9" t="n">
        <x:v>187</x:v>
      </x:c>
      <x:c r="G11" s="10" t="n">
        <x:v>1485400</x:v>
      </x:c>
      <x:c r="H11" s="10" t="n">
        <x:v>7943.3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10月12日-10月15日</x:v>
      </x:c>
      <x:c r="C44" s="23" t="n">
        <x:v>7132.68</x:v>
      </x:c>
      <x:c r="D44" s="23" t="n">
        <x:v>7145.06</x:v>
      </x:c>
      <x:c r="E44" s="23" t="n">
        <x:v>6652.55</x:v>
      </x:c>
      <x:c r="F44" s="23" t="n">
        <x:v>6678.65</x:v>
      </x:c>
      <x:c r="G44" s="28" t="n">
        <x:f>ROUND(F44-F43,1)</x:f>
        <x:v>-477.3</x:v>
      </x:c>
      <x:c r="H44" s="24" t="n">
        <x:f>IFERROR(F44/F43-1,"")</x:f>
        <x:v>-0.06669452242971197</x:v>
      </x:c>
      <x:c r="I44" s="26" t="n">
        <x:f>ROUND(D44-E44,1)</x:f>
        <x:v>492.5</x:v>
      </x:c>
      <x:c r="J44" s="22" t="str">
        <x:v>中证1000</x:v>
      </x:c>
      <x:c r="K44" s="22" t="n">
        <x:v>4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16595.1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414.9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10月12日-10月15日</x:v>
      </x:c>
      <x:c r="C89" s="23" t="n">
        <x:v>7226.07</x:v>
      </x:c>
      <x:c r="D89" s="23" t="n">
        <x:v>7236.78</x:v>
      </x:c>
      <x:c r="E89" s="23" t="n">
        <x:v>6725.59</x:v>
      </x:c>
      <x:c r="F89" s="23" t="n">
        <x:v>6769.25</x:v>
      </x:c>
      <x:c r="G89" s="28" t="n">
        <x:f>ROUND(F89-F88,1)</x:f>
        <x:v>-481.8</x:v>
      </x:c>
      <x:c r="H89" s="24" t="n">
        <x:f>IFERROR(F89/F88-1,"")</x:f>
        <x:v>-0.06644039933747159</x:v>
      </x:c>
      <x:c r="I89" s="26" t="n">
        <x:f>ROUND(D89-E89,1)</x:f>
        <x:v>511.2</x:v>
      </x:c>
      <x:c r="J89" s="22" t="str">
        <x:v>中证500</x:v>
      </x:c>
      <x:c r="K89" s="22" t="n">
        <x:v>4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16509.8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412.7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10月12日-10月15日</x:v>
      </x:c>
      <x:c r="C134" s="23" t="n">
        <x:v>3806.98</x:v>
      </x:c>
      <x:c r="D134" s="23" t="n">
        <x:v>3828.22</x:v>
      </x:c>
      <x:c r="E134" s="23" t="n">
        <x:v>3674.82</x:v>
      </x:c>
      <x:c r="F134" s="23" t="n">
        <x:v>3707.48</x:v>
      </x:c>
      <x:c r="G134" s="23" t="n">
        <x:f>ROUND(F134-F133,1)</x:f>
        <x:v>-106.3</x:v>
      </x:c>
      <x:c r="H134" s="24" t="n">
        <x:f>IFERROR(F134/F133-1,"")</x:f>
        <x:v>-0.027875158307090864</x:v>
      </x:c>
      <x:c r="I134" s="26" t="n">
        <x:f>ROUND(D134-E134,1)</x:f>
        <x:v>153.4</x:v>
      </x:c>
      <x:c r="J134" s="22" t="str">
        <x:v>上证指数</x:v>
      </x:c>
      <x:c r="K134" s="22" t="n">
        <x:v>4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4355.5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108.9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10月12日-10月15日</x:v>
      </x:c>
      <x:c r="C179" s="23" t="n">
        <x:v>7000</x:v>
      </x:c>
      <x:c r="D179" s="23" t="n">
        <x:v>7031.2</x:v>
      </x:c>
      <x:c r="E179" s="23" t="n">
        <x:v>6532.4</x:v>
      </x:c>
      <x:c r="F179" s="23" t="n">
        <x:v>6553.6</x:v>
      </x:c>
      <x:c r="G179" s="28" t="n">
        <x:f>ROUND(F179-F178,1)</x:f>
        <x:v>-462.2</x:v>
      </x:c>
      <x:c r="H179" s="24" t="n">
        <x:f>IFERROR(F179/F178-1,"")</x:f>
        <x:v>-0.06587987114798022</x:v>
      </x:c>
      <x:c r="I179" s="26" t="n">
        <x:f>ROUND(D179-E179,1)</x:f>
        <x:v>498.8</x:v>
      </x:c>
      <x:c r="J179" s="22" t="str">
        <x:v>IM2612</x:v>
      </x:c>
      <x:c r="K179" s="22" t="n">
        <x:v>4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17262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431.6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10月12日-10月15日</x:v>
      </x:c>
      <x:c r="C224" s="23" t="n">
        <x:v>7076.6</x:v>
      </x:c>
      <x:c r="D224" s="23" t="n">
        <x:v>7115.6</x:v>
      </x:c>
      <x:c r="E224" s="23" t="n">
        <x:v>6583.2</x:v>
      </x:c>
      <x:c r="F224" s="23" t="n">
        <x:v>6638.2</x:v>
      </x:c>
      <x:c r="G224" s="28" t="n">
        <x:f>ROUND(F224-F223,1)</x:f>
        <x:v>-472.8</x:v>
      </x:c>
      <x:c r="H224" s="24" t="n">
        <x:f>IFERROR(F224/F223-1,"")</x:f>
        <x:v>-0.0664885388834201</x:v>
      </x:c>
      <x:c r="I224" s="26" t="n">
        <x:f>ROUND(D224-E224,1)</x:f>
        <x:v>532.4</x:v>
      </x:c>
      <x:c r="J224" s="22" t="str">
        <x:v>IC2612</x:v>
      </x:c>
      <x:c r="K224" s="22" t="n">
        <x:v>4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17751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443.8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10月12日-10月15日</x:v>
      </x:c>
      <x:c r="C269" s="23" t="n">
        <x:v>4240.4</x:v>
      </x:c>
      <x:c r="D269" s="23" t="n">
        <x:v>4273.6</x:v>
      </x:c>
      <x:c r="E269" s="23" t="n">
        <x:v>4045.2</x:v>
      </x:c>
      <x:c r="F269" s="23" t="n">
        <x:v>4092.6</x:v>
      </x:c>
      <x:c r="G269" s="28" t="n">
        <x:f>ROUND(F269-F268,1)</x:f>
        <x:v>-152.2</x:v>
      </x:c>
      <x:c r="H269" s="24" t="n">
        <x:f>IFERROR(F269/F268-1,"")</x:f>
        <x:v>-0.03585563513004153</x:v>
      </x:c>
      <x:c r="I269" s="26" t="n">
        <x:f>ROUND(D269-E269,1)</x:f>
        <x:v>228.4</x:v>
      </x:c>
      <x:c r="J269" s="22" t="str">
        <x:v>IF2612</x:v>
      </x:c>
      <x:c r="K269" s="22" t="n">
        <x:v>4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6367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159.2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10月12日-10月15日</x:v>
      </x:c>
      <x:c r="C314" s="23" t="n">
        <x:v>2762</x:v>
      </x:c>
      <x:c r="D314" s="23" t="n">
        <x:v>2794</x:v>
      </x:c>
      <x:c r="E314" s="23" t="n">
        <x:v>2677.6</x:v>
      </x:c>
      <x:c r="F314" s="23" t="n">
        <x:v>2718.6</x:v>
      </x:c>
      <x:c r="G314" s="23" t="n">
        <x:f>ROUND(F314-F313,1)</x:f>
        <x:v>-45.4</x:v>
      </x:c>
      <x:c r="H314" s="24" t="n">
        <x:f>IFERROR(F314/F313-1,"")</x:f>
        <x:v>-0.016425470332851022</x:v>
      </x:c>
      <x:c r="I314" s="26" t="n">
        <x:f>ROUND(D314-E314,1)</x:f>
        <x:v>116.4</x:v>
      </x:c>
      <x:c r="J314" s="22" t="str">
        <x:v>IH2612</x:v>
      </x:c>
      <x:c r="K314" s="22" t="n">
        <x:v>4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3580.2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89.5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10月12日-10月15日</x:v>
      </x:c>
      <x:c r="C359" s="23" t="n">
        <x:v>125960</x:v>
      </x:c>
      <x:c r="D359" s="23" t="n">
        <x:v>125960</x:v>
      </x:c>
      <x:c r="E359" s="23" t="n">
        <x:v>101000</x:v>
      </x:c>
      <x:c r="F359" s="23" t="n">
        <x:v>102000</x:v>
      </x:c>
      <x:c r="G359" s="28" t="n">
        <x:f>ROUND(F359-F358,1)</x:f>
        <x:v>-19000</x:v>
      </x:c>
      <x:c r="H359" s="24" t="n">
        <x:f>IFERROR(F359/F358-1,"")</x:f>
        <x:v>-0.15702479338842978</x:v>
      </x:c>
      <x:c r="I359" s="26" t="n">
        <x:f>ROUND(D359-E359,1)</x:f>
        <x:v>24960</x:v>
      </x:c>
      <x:c r="J359" s="22" t="str">
        <x:v>LC2610</x:v>
      </x:c>
      <x:c r="K359" s="22" t="n">
        <x:v>4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792280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19807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1247.2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207.9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1179.1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196.5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356.7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59.4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1308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218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1289.4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214.9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507.8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84.6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259.6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43.3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46960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7826.7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