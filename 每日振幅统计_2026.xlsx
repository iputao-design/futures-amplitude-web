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bf3685b7284c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e5e02039b324f7d"/>
    <x:sheet xmlns:r="http://schemas.openxmlformats.org/officeDocument/2006/relationships" name="周振幅统计" sheetId="2" r:id="Rd55d72c8ec524da4"/>
    <x:sheet xmlns:r="http://schemas.openxmlformats.org/officeDocument/2006/relationships" name="中证1000" sheetId="3" r:id="R8e3480f46661472d"/>
    <x:sheet xmlns:r="http://schemas.openxmlformats.org/officeDocument/2006/relationships" name="中证500" sheetId="4" r:id="R3a36967479ef441e"/>
    <x:sheet xmlns:r="http://schemas.openxmlformats.org/officeDocument/2006/relationships" name="上证指数" sheetId="5" r:id="Rd5965369eb3745eb"/>
    <x:sheet xmlns:r="http://schemas.openxmlformats.org/officeDocument/2006/relationships" name="IM主力" sheetId="6" r:id="Rcdd086c483c64b84"/>
    <x:sheet xmlns:r="http://schemas.openxmlformats.org/officeDocument/2006/relationships" name="IC主力" sheetId="7" r:id="R4e8ae3574d994590"/>
    <x:sheet xmlns:r="http://schemas.openxmlformats.org/officeDocument/2006/relationships" name="IF主力" sheetId="8" r:id="Re1d3f324c68740f9"/>
    <x:sheet xmlns:r="http://schemas.openxmlformats.org/officeDocument/2006/relationships" name="IH主力" sheetId="9" r:id="R9ce1b4bcbcdc48e8"/>
    <x:sheet xmlns:r="http://schemas.openxmlformats.org/officeDocument/2006/relationships" name="碳酸锂2609" sheetId="10" r:id="R2edaf9963bc248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d87830af96405c" /><Relationship Type="http://schemas.openxmlformats.org/officeDocument/2006/relationships/theme" Target="/xl/theme/theme1.xml" Id="R0b5a1bc0509d450d" /><Relationship Type="http://schemas.openxmlformats.org/officeDocument/2006/relationships/sharedStrings" Target="/xl/sharedStrings.xml" Id="Rb0433b9c06564c3d" /><Relationship Type="http://schemas.openxmlformats.org/officeDocument/2006/relationships/worksheet" Target="/xl/worksheets/sheet1.xml" Id="R8e5e02039b324f7d" /><Relationship Type="http://schemas.openxmlformats.org/officeDocument/2006/relationships/worksheet" Target="/xl/worksheets/sheet2.xml" Id="Rd55d72c8ec524da4" /><Relationship Type="http://schemas.openxmlformats.org/officeDocument/2006/relationships/worksheet" Target="/xl/worksheets/sheet3.xml" Id="R8e3480f46661472d" /><Relationship Type="http://schemas.openxmlformats.org/officeDocument/2006/relationships/worksheet" Target="/xl/worksheets/sheet4.xml" Id="R3a36967479ef441e" /><Relationship Type="http://schemas.openxmlformats.org/officeDocument/2006/relationships/worksheet" Target="/xl/worksheets/sheet5.xml" Id="Rd5965369eb3745eb" /><Relationship Type="http://schemas.openxmlformats.org/officeDocument/2006/relationships/worksheet" Target="/xl/worksheets/sheet6.xml" Id="Rcdd086c483c64b84" /><Relationship Type="http://schemas.openxmlformats.org/officeDocument/2006/relationships/worksheet" Target="/xl/worksheets/sheet7.xml" Id="R4e8ae3574d994590" /><Relationship Type="http://schemas.openxmlformats.org/officeDocument/2006/relationships/worksheet" Target="/xl/worksheets/sheet8.xml" Id="Re1d3f324c68740f9" /><Relationship Type="http://schemas.openxmlformats.org/officeDocument/2006/relationships/worksheet" Target="/xl/worksheets/sheet9.xml" Id="R9ce1b4bcbcdc48e8" /><Relationship Type="http://schemas.openxmlformats.org/officeDocument/2006/relationships/worksheet" Target="/xl/worksheets/sheet10.xml" Id="R2edaf9963bc248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2026-08-21</x:v>
      </x:c>
      <x:c r="C4" s="10" t="n">
        <x:v>7634.08</x:v>
      </x:c>
      <x:c r="D4" s="10" t="n">
        <x:v>7472.49</x:v>
      </x:c>
      <x:c r="E4" s="12" t="n">
        <x:v>161.6</x:v>
      </x:c>
      <x:c r="F4" s="9" t="n">
        <x:v>154</x:v>
      </x:c>
      <x:c r="G4" s="10" t="n">
        <x:v>27663.2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2026-08-21</x:v>
      </x:c>
      <x:c r="C5" s="10" t="n">
        <x:v>7877.34</x:v>
      </x:c>
      <x:c r="D5" s="10" t="n">
        <x:v>7756.28</x:v>
      </x:c>
      <x:c r="E5" s="12" t="n">
        <x:v>121.1</x:v>
      </x:c>
      <x:c r="F5" s="9" t="n">
        <x:v>154</x:v>
      </x:c>
      <x:c r="G5" s="10" t="n">
        <x:v>27746.5</x:v>
      </x:c>
      <x:c r="H5" s="10" t="n">
        <x:v>180.2</x:v>
      </x:c>
      <x:c r="I5" s="10" t="n">
        <x:v>160</x:v>
      </x:c>
    </x:row>
    <x:row r="6">
      <x:c r="A6" s="9" t="str">
        <x:v>上证指数</x:v>
      </x:c>
      <x:c r="B6" s="9" t="str">
        <x:v>2026-08-21</x:v>
      </x:c>
      <x:c r="C6" s="10" t="n">
        <x:v>3912.13</x:v>
      </x:c>
      <x:c r="D6" s="10" t="n">
        <x:v>3883.79</x:v>
      </x:c>
      <x:c r="E6" s="12" t="n">
        <x:v>28.3</x:v>
      </x:c>
      <x:c r="F6" s="9" t="n">
        <x:v>154</x:v>
      </x:c>
      <x:c r="G6" s="10" t="n">
        <x:v>7605.2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2026-08-21</x:v>
      </x:c>
      <x:c r="C7" s="10" t="n">
        <x:v>7575</x:v>
      </x:c>
      <x:c r="D7" s="10" t="n">
        <x:v>7410</x:v>
      </x:c>
      <x:c r="E7" s="12" t="n">
        <x:v>165</x:v>
      </x:c>
      <x:c r="F7" s="9" t="n">
        <x:v>154</x:v>
      </x:c>
      <x:c r="G7" s="10" t="n">
        <x:v>29323.2</x:v>
      </x:c>
      <x:c r="H7" s="10" t="n">
        <x:v>190.4</x:v>
      </x:c>
      <x:c r="I7" s="10" t="n">
        <x:v>190</x:v>
      </x:c>
    </x:row>
    <x:row r="8">
      <x:c r="A8" s="9" t="str">
        <x:v>IC主力</x:v>
      </x:c>
      <x:c r="B8" s="9" t="str">
        <x:v>2026-08-20</x:v>
      </x:c>
      <x:c r="C8" s="10" t="n">
        <x:v>7811</x:v>
      </x:c>
      <x:c r="D8" s="10" t="n">
        <x:v>7713</x:v>
      </x:c>
      <x:c r="E8" s="12" t="n">
        <x:v>98</x:v>
      </x:c>
      <x:c r="F8" s="9" t="n">
        <x:v>153</x:v>
      </x:c>
      <x:c r="G8" s="10" t="n">
        <x:v>30479.6</x:v>
      </x:c>
      <x:c r="H8" s="10" t="n">
        <x:v>199.2</x:v>
      </x:c>
      <x:c r="I8" s="10" t="n">
        <x:v>150</x:v>
      </x:c>
    </x:row>
    <x:row r="9">
      <x:c r="A9" s="9" t="str">
        <x:v>IF主力</x:v>
      </x:c>
      <x:c r="B9" s="9" t="str">
        <x:v>2026-08-20</x:v>
      </x:c>
      <x:c r="C9" s="10" t="n">
        <x:v>4585</x:v>
      </x:c>
      <x:c r="D9" s="10" t="n">
        <x:v>4532.4</x:v>
      </x:c>
      <x:c r="E9" s="12" t="n">
        <x:v>52.6</x:v>
      </x:c>
      <x:c r="F9" s="9" t="n">
        <x:v>153</x:v>
      </x:c>
      <x:c r="G9" s="10" t="n">
        <x:v>11420.2</x:v>
      </x:c>
      <x:c r="H9" s="10" t="n">
        <x:v>74.6</x:v>
      </x:c>
      <x:c r="I9" s="10" t="n">
        <x:v>90</x:v>
      </x:c>
    </x:row>
    <x:row r="10">
      <x:c r="A10" s="9" t="str">
        <x:v>IH主力</x:v>
      </x:c>
      <x:c r="B10" s="9" t="str">
        <x:v>2026-08-20</x:v>
      </x:c>
      <x:c r="C10" s="10" t="n">
        <x:v>2880.8</x:v>
      </x:c>
      <x:c r="D10" s="10" t="n">
        <x:v>2848</x:v>
      </x:c>
      <x:c r="E10" s="12" t="n">
        <x:v>32.8</x:v>
      </x:c>
      <x:c r="F10" s="9" t="n">
        <x:v>153</x:v>
      </x:c>
      <x:c r="G10" s="10" t="n">
        <x:v>6360.6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2026-08-21</x:v>
      </x:c>
      <x:c r="C11" s="10" t="n">
        <x:v>157000</x:v>
      </x:c>
      <x:c r="D11" s="10" t="n">
        <x:v>150020</x:v>
      </x:c>
      <x:c r="E11" s="12" t="n">
        <x:v>6980</x:v>
      </x:c>
      <x:c r="F11" s="9" t="n">
        <x:v>154</x:v>
      </x:c>
      <x:c r="G11" s="10" t="n">
        <x:v>1325420</x:v>
      </x:c>
      <x:c r="H11" s="10" t="n">
        <x:v>8606.6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13493.5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421.7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8月17日-8月21日</x:v>
      </x:c>
      <x:c r="C73" s="23" t="n">
        <x:v>8007.87</x:v>
      </x:c>
      <x:c r="D73" s="23" t="n">
        <x:v>8211.31</x:v>
      </x:c>
      <x:c r="E73" s="23" t="n">
        <x:v>7756.28</x:v>
      </x:c>
      <x:c r="F73" s="23" t="n">
        <x:v>7854.33</x:v>
      </x:c>
      <x:c r="G73" s="23" t="n">
        <x:f>ROUND(F73-F72,1)</x:f>
        <x:v>-136</x:v>
      </x:c>
      <x:c r="H73" s="24" t="n">
        <x:f>IFERROR(F73/F72-1,"")</x:f>
        <x:v>-0.01702057361836118</x:v>
      </x:c>
      <x:c r="I73" s="26" t="n">
        <x:f>ROUND(D73-E73,1)</x:f>
        <x:v>455</x:v>
      </x:c>
      <x:c r="J73" s="22" t="str">
        <x:v>中证500</x:v>
      </x:c>
      <x:c r="K73" s="22" t="n">
        <x:v>5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13580.4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424.4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8月17日-8月21日</x:v>
      </x:c>
      <x:c r="C110" s="23" t="n">
        <x:v>3930.1</x:v>
      </x:c>
      <x:c r="D110" s="23" t="n">
        <x:v>3994.18</x:v>
      </x:c>
      <x:c r="E110" s="23" t="n">
        <x:v>3879.58</x:v>
      </x:c>
      <x:c r="F110" s="23" t="n">
        <x:v>3905.2</x:v>
      </x:c>
      <x:c r="G110" s="23" t="n">
        <x:f>ROUND(F110-F109,1)</x:f>
        <x:v>-22</x:v>
      </x:c>
      <x:c r="H110" s="24" t="n">
        <x:f>IFERROR(F110/F109-1,"")</x:f>
        <x:v>-0.00559689140808417</x:v>
      </x:c>
      <x:c r="I110" s="26" t="n">
        <x:f>ROUND(D110-E110,1)</x:f>
        <x:v>114.6</x:v>
      </x:c>
      <x:c r="J110" s="22" t="str">
        <x:v>上证指数</x:v>
      </x:c>
      <x:c r="K110" s="22" t="n">
        <x:v>5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3558.6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111.2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8月17日-8月21日</x:v>
      </x:c>
      <x:c r="C147" s="23" t="n">
        <x:v>7675</x:v>
      </x:c>
      <x:c r="D147" s="23" t="n">
        <x:v>7882.8</x:v>
      </x:c>
      <x:c r="E147" s="23" t="n">
        <x:v>7410</x:v>
      </x:c>
      <x:c r="F147" s="23" t="n">
        <x:v>7527</x:v>
      </x:c>
      <x:c r="G147" s="23" t="n">
        <x:f>ROUND(F147-F146,1)</x:f>
        <x:v>-123.2</x:v>
      </x:c>
      <x:c r="H147" s="24" t="n">
        <x:f>IFERROR(F147/F146-1,"")</x:f>
        <x:v>-0.016104154139761073</x:v>
      </x:c>
      <x:c r="I147" s="26" t="n">
        <x:f>ROUND(D147-E147,1)</x:f>
        <x:v>472.8</x:v>
      </x:c>
      <x:c r="J147" s="22" t="str">
        <x:v>IM2609</x:v>
      </x:c>
      <x:c r="K147" s="22" t="n">
        <x:v>5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14072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439.8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8月17日-8月20日</x:v>
      </x:c>
      <x:c r="C184" s="23" t="n">
        <x:v>7885</x:v>
      </x:c>
      <x:c r="D184" s="23" t="n">
        <x:v>8091.8</x:v>
      </x:c>
      <x:c r="E184" s="23" t="n">
        <x:v>7680.2</x:v>
      </x:c>
      <x:c r="F184" s="23" t="n">
        <x:v>7761</x:v>
      </x:c>
      <x:c r="G184" s="23" t="n">
        <x:f>ROUND(F184-F183,1)</x:f>
        <x:v>-100.2</x:v>
      </x:c>
      <x:c r="H184" s="24" t="n">
        <x:f>IFERROR(F184/F183-1,"")</x:f>
        <x:v>-0.012746145626621908</x:v>
      </x:c>
      <x:c r="I184" s="26" t="n">
        <x:f>ROUND(D184-E184,1)</x:f>
        <x:v>411.6</x:v>
      </x:c>
      <x:c r="J184" s="22" t="str">
        <x:v>IC2609</x:v>
      </x:c>
      <x:c r="K184" s="22" t="n">
        <x:v>4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14636.4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457.4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8月17日-8月20日</x:v>
      </x:c>
      <x:c r="C221" s="23" t="n">
        <x:v>4624</x:v>
      </x:c>
      <x:c r="D221" s="23" t="n">
        <x:v>4700.6</x:v>
      </x:c>
      <x:c r="E221" s="23" t="n">
        <x:v>4531.8</x:v>
      </x:c>
      <x:c r="F221" s="23" t="n">
        <x:v>4554</x:v>
      </x:c>
      <x:c r="G221" s="23" t="n">
        <x:f>ROUND(F221-F220,1)</x:f>
        <x:v>-66.4</x:v>
      </x:c>
      <x:c r="H221" s="24" t="n">
        <x:f>IFERROR(F221/F220-1,"")</x:f>
        <x:v>-0.014371050125530194</x:v>
      </x:c>
      <x:c r="I221" s="26" t="n">
        <x:f>ROUND(D221-E221,1)</x:f>
        <x:v>168.8</x:v>
      </x:c>
      <x:c r="J221" s="22" t="str">
        <x:v>IF2609</x:v>
      </x:c>
      <x:c r="K221" s="22" t="n">
        <x:v>4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5219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163.1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8月17日-8月20日</x:v>
      </x:c>
      <x:c r="C258" s="23" t="n">
        <x:v>2886</x:v>
      </x:c>
      <x:c r="D258" s="23" t="n">
        <x:v>2921.2</x:v>
      </x:c>
      <x:c r="E258" s="23" t="n">
        <x:v>2843</x:v>
      </x:c>
      <x:c r="F258" s="23" t="n">
        <x:v>2858.8</x:v>
      </x:c>
      <x:c r="G258" s="23" t="n">
        <x:f>ROUND(F258-F257,1)</x:f>
        <x:v>-31.2</x:v>
      </x:c>
      <x:c r="H258" s="24" t="n">
        <x:f>IFERROR(F258/F257-1,"")</x:f>
        <x:v>-0.01079584775086495</x:v>
      </x:c>
      <x:c r="I258" s="26" t="n">
        <x:f>ROUND(D258-E258,1)</x:f>
        <x:v>78.2</x:v>
      </x:c>
      <x:c r="J258" s="22" t="str">
        <x:v>IH2609</x:v>
      </x:c>
      <x:c r="K258" s="22" t="n">
        <x:v>4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2968.4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92.8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8月17日-8月21日</x:v>
      </x:c>
      <x:c r="C295" s="23" t="n">
        <x:v>154300</x:v>
      </x:c>
      <x:c r="D295" s="23" t="n">
        <x:v>157000</x:v>
      </x:c>
      <x:c r="E295" s="23" t="n">
        <x:v>148400</x:v>
      </x:c>
      <x:c r="F295" s="23" t="n">
        <x:v>156140</x:v>
      </x:c>
      <x:c r="G295" s="28" t="n">
        <x:f>ROUND(F295-F294,1)</x:f>
        <x:v>2200</x:v>
      </x:c>
      <x:c r="H295" s="24" t="n">
        <x:f>IFERROR(F295/F294-1,"")</x:f>
        <x:v>0.014291282317786091</x:v>
      </x:c>
      <x:c r="I295" s="26" t="n">
        <x:f>ROUND(D295-E295,1)</x:f>
        <x:v>8600</x:v>
      </x:c>
      <x:c r="J295" s="22" t="str">
        <x:v>LC2609</x:v>
      </x:c>
      <x:c r="K295" s="22" t="n">
        <x:v>5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676680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21146.3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2547.3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169.8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2450.5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163.4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629.9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42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2495.4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166.4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2307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164.8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860.6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61.5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482.8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34.5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31" t="str">
        <x:v>合计</x:v>
      </x:c>
      <x:c r="B194" s="30" t="n">
        <x:v>15</x:v>
      </x:c>
      <x:c r="C194" s="30"/>
      <x:c r="D194" s="30"/>
      <x:c r="E194" s="30"/>
      <x:c r="F194" s="30"/>
      <x:c r="G194" s="30"/>
      <x:c r="H194" s="30"/>
      <x:c r="I194" s="30"/>
      <x:c r="J194" s="32" t="n">
        <x:f>ROUND(SUM(J179:J193),1)</x:f>
        <x:v>74100</x:v>
      </x:c>
      <x:c r="K194" s="30"/>
    </x:row>
    <x:row r="195">
      <x:c r="A195" s="31" t="str">
        <x:v>均值</x:v>
      </x:c>
      <x:c r="B195" s="30"/>
      <x:c r="C195" s="30"/>
      <x:c r="D195" s="30"/>
      <x:c r="E195" s="30"/>
      <x:c r="F195" s="30"/>
      <x:c r="G195" s="30"/>
      <x:c r="H195" s="30"/>
      <x:c r="I195" s="30"/>
      <x:c r="J195" s="34" t="n">
        <x:f>ROUND(IFERROR(AVERAGE(J179:J193),0),1)</x:f>
        <x:v>4940</x:v>
      </x:c>
      <x:c r="K19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