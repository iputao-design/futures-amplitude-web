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a21bb83be047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cc8d898fdde4794"/>
    <x:sheet xmlns:r="http://schemas.openxmlformats.org/officeDocument/2006/relationships" name="周振幅统计" sheetId="2" r:id="R6a2c3a645a954ae4"/>
    <x:sheet xmlns:r="http://schemas.openxmlformats.org/officeDocument/2006/relationships" name="中证1000" sheetId="3" r:id="Rff66c7e90dba4c50"/>
    <x:sheet xmlns:r="http://schemas.openxmlformats.org/officeDocument/2006/relationships" name="中证500" sheetId="4" r:id="R9ddfa99858494736"/>
    <x:sheet xmlns:r="http://schemas.openxmlformats.org/officeDocument/2006/relationships" name="上证指数" sheetId="5" r:id="Ra7bb3dcb38ba44c9"/>
    <x:sheet xmlns:r="http://schemas.openxmlformats.org/officeDocument/2006/relationships" name="IM主力" sheetId="6" r:id="R9718f88a057a486c"/>
    <x:sheet xmlns:r="http://schemas.openxmlformats.org/officeDocument/2006/relationships" name="IC主力" sheetId="7" r:id="R5c8d8da4aae24878"/>
    <x:sheet xmlns:r="http://schemas.openxmlformats.org/officeDocument/2006/relationships" name="IF主力" sheetId="8" r:id="R36406d8973ec4148"/>
    <x:sheet xmlns:r="http://schemas.openxmlformats.org/officeDocument/2006/relationships" name="IH主力" sheetId="9" r:id="R2a9684e87bf34870"/>
    <x:sheet xmlns:r="http://schemas.openxmlformats.org/officeDocument/2006/relationships" name="碳酸锂2610" sheetId="10" r:id="R2851234f53c947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2a3f54390643f2" /><Relationship Type="http://schemas.openxmlformats.org/officeDocument/2006/relationships/theme" Target="/xl/theme/theme1.xml" Id="R6728791edc5d4b06" /><Relationship Type="http://schemas.openxmlformats.org/officeDocument/2006/relationships/sharedStrings" Target="/xl/sharedStrings.xml" Id="R50a00b94350048b2" /><Relationship Type="http://schemas.openxmlformats.org/officeDocument/2006/relationships/worksheet" Target="/xl/worksheets/sheet1.xml" Id="R5cc8d898fdde4794" /><Relationship Type="http://schemas.openxmlformats.org/officeDocument/2006/relationships/worksheet" Target="/xl/worksheets/sheet2.xml" Id="R6a2c3a645a954ae4" /><Relationship Type="http://schemas.openxmlformats.org/officeDocument/2006/relationships/worksheet" Target="/xl/worksheets/sheet3.xml" Id="Rff66c7e90dba4c50" /><Relationship Type="http://schemas.openxmlformats.org/officeDocument/2006/relationships/worksheet" Target="/xl/worksheets/sheet4.xml" Id="R9ddfa99858494736" /><Relationship Type="http://schemas.openxmlformats.org/officeDocument/2006/relationships/worksheet" Target="/xl/worksheets/sheet5.xml" Id="Ra7bb3dcb38ba44c9" /><Relationship Type="http://schemas.openxmlformats.org/officeDocument/2006/relationships/worksheet" Target="/xl/worksheets/sheet6.xml" Id="R9718f88a057a486c" /><Relationship Type="http://schemas.openxmlformats.org/officeDocument/2006/relationships/worksheet" Target="/xl/worksheets/sheet7.xml" Id="R5c8d8da4aae24878" /><Relationship Type="http://schemas.openxmlformats.org/officeDocument/2006/relationships/worksheet" Target="/xl/worksheets/sheet8.xml" Id="R36406d8973ec4148" /><Relationship Type="http://schemas.openxmlformats.org/officeDocument/2006/relationships/worksheet" Target="/xl/worksheets/sheet9.xml" Id="R2a9684e87bf34870" /><Relationship Type="http://schemas.openxmlformats.org/officeDocument/2006/relationships/worksheet" Target="/xl/worksheets/sheet10.xml" Id="R2851234f53c9470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2026-10-27</x:v>
      </x:c>
      <x:c r="C4" s="10" t="n">
        <x:v>6717.99</x:v>
      </x:c>
      <x:c r="D4" s="10" t="n">
        <x:v>6427.17</x:v>
      </x:c>
      <x:c r="E4" s="12" t="n">
        <x:v>290.8</x:v>
      </x:c>
      <x:c r="F4" s="9" t="n">
        <x:v>195</x:v>
      </x:c>
      <x:c r="G4" s="10" t="n">
        <x:v>34468.2</x:v>
      </x:c>
      <x:c r="H4" s="10" t="n">
        <x:v>176.8</x:v>
      </x:c>
      <x:c r="I4" s="10" t="n">
        <x:v>180</x:v>
      </x:c>
    </x:row>
    <x:row r="5">
      <x:c r="A5" s="9" t="str">
        <x:v>中证500</x:v>
      </x:c>
      <x:c r="B5" s="9" t="str">
        <x:v>2026-10-27</x:v>
      </x:c>
      <x:c r="C5" s="10" t="n">
        <x:v>6784.25</x:v>
      </x:c>
      <x:c r="D5" s="10" t="n">
        <x:v>6511.37</x:v>
      </x:c>
      <x:c r="E5" s="12" t="n">
        <x:v>272.9</x:v>
      </x:c>
      <x:c r="F5" s="9" t="n">
        <x:v>195</x:v>
      </x:c>
      <x:c r="G5" s="10" t="n">
        <x:v>34055.5</x:v>
      </x:c>
      <x:c r="H5" s="10" t="n">
        <x:v>174.6</x:v>
      </x:c>
      <x:c r="I5" s="10" t="n">
        <x:v>160</x:v>
      </x:c>
    </x:row>
    <x:row r="6">
      <x:c r="A6" s="9" t="str">
        <x:v>上证指数</x:v>
      </x:c>
      <x:c r="B6" s="9" t="str">
        <x:v>2026-10-27</x:v>
      </x:c>
      <x:c r="C6" s="10" t="n">
        <x:v>3708.2</x:v>
      </x:c>
      <x:c r="D6" s="10" t="n">
        <x:v>3648.3</x:v>
      </x:c>
      <x:c r="E6" s="12" t="n">
        <x:v>59.9</x:v>
      </x:c>
      <x:c r="F6" s="9" t="n">
        <x:v>195</x:v>
      </x:c>
      <x:c r="G6" s="10" t="n">
        <x:v>9445.8</x:v>
      </x:c>
      <x:c r="H6" s="10" t="n">
        <x:v>48.4</x:v>
      </x:c>
      <x:c r="I6" s="10" t="n">
        <x:v>50</x:v>
      </x:c>
    </x:row>
    <x:row r="7">
      <x:c r="A7" s="9" t="str">
        <x:v>IM主力</x:v>
      </x:c>
      <x:c r="B7" s="9" t="str">
        <x:v>2026-10-27</x:v>
      </x:c>
      <x:c r="C7" s="10" t="n">
        <x:v>6670.8</x:v>
      </x:c>
      <x:c r="D7" s="10" t="n">
        <x:v>6333.2</x:v>
      </x:c>
      <x:c r="E7" s="12" t="n">
        <x:v>337.6</x:v>
      </x:c>
      <x:c r="F7" s="9" t="n">
        <x:v>195</x:v>
      </x:c>
      <x:c r="G7" s="10" t="n">
        <x:v>36699</x:v>
      </x:c>
      <x:c r="H7" s="10" t="n">
        <x:v>188.2</x:v>
      </x:c>
      <x:c r="I7" s="10" t="n">
        <x:v>190</x:v>
      </x:c>
    </x:row>
    <x:row r="8">
      <x:c r="A8" s="9" t="str">
        <x:v>IC主力</x:v>
      </x:c>
      <x:c r="B8" s="9" t="str">
        <x:v>2026-10-27</x:v>
      </x:c>
      <x:c r="C8" s="10" t="n">
        <x:v>6732.2</x:v>
      </x:c>
      <x:c r="D8" s="10" t="n">
        <x:v>6405.6</x:v>
      </x:c>
      <x:c r="E8" s="12" t="n">
        <x:v>326.6</x:v>
      </x:c>
      <x:c r="F8" s="9" t="n">
        <x:v>195</x:v>
      </x:c>
      <x:c r="G8" s="10" t="n">
        <x:v>37778.2</x:v>
      </x:c>
      <x:c r="H8" s="10" t="n">
        <x:v>193.7</x:v>
      </x:c>
      <x:c r="I8" s="10" t="n">
        <x:v>150</x:v>
      </x:c>
    </x:row>
    <x:row r="9">
      <x:c r="A9" s="9" t="str">
        <x:v>IF主力</x:v>
      </x:c>
      <x:c r="B9" s="9" t="str">
        <x:v>2026-10-27</x:v>
      </x:c>
      <x:c r="C9" s="10" t="n">
        <x:v>4066.6</x:v>
      </x:c>
      <x:c r="D9" s="10" t="n">
        <x:v>3989.8</x:v>
      </x:c>
      <x:c r="E9" s="12" t="n">
        <x:v>76.8</x:v>
      </x:c>
      <x:c r="F9" s="9" t="n">
        <x:v>195</x:v>
      </x:c>
      <x:c r="G9" s="10" t="n">
        <x:v>14209.4</x:v>
      </x:c>
      <x:c r="H9" s="10" t="n">
        <x:v>72.9</x:v>
      </x:c>
      <x:c r="I9" s="10" t="n">
        <x:v>90</x:v>
      </x:c>
    </x:row>
    <x:row r="10">
      <x:c r="A10" s="9" t="str">
        <x:v>IH主力</x:v>
      </x:c>
      <x:c r="B10" s="9" t="str">
        <x:v>2026-10-26</x:v>
      </x:c>
      <x:c r="C10" s="10" t="n">
        <x:v>2724</x:v>
      </x:c>
      <x:c r="D10" s="10" t="n">
        <x:v>2691.2</x:v>
      </x:c>
      <x:c r="E10" s="12" t="n">
        <x:v>32.8</x:v>
      </x:c>
      <x:c r="F10" s="9" t="n">
        <x:v>194</x:v>
      </x:c>
      <x:c r="G10" s="10" t="n">
        <x:v>7852.6</x:v>
      </x:c>
      <x:c r="H10" s="10" t="n">
        <x:v>40.5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191</x:v>
      </x:c>
      <x:c r="G11" s="10" t="n">
        <x:v>1497420</x:v>
      </x:c>
      <x:c r="H11" s="10" t="n">
        <x:v>7839.9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2026-10-27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10月19日-10月23日</x:v>
      </x:c>
      <x:c r="C45" s="23" t="n">
        <x:v>6639.94</x:v>
      </x:c>
      <x:c r="D45" s="23" t="n">
        <x:v>6880.55</x:v>
      </x:c>
      <x:c r="E45" s="23" t="n">
        <x:v>6301.81</x:v>
      </x:c>
      <x:c r="F45" s="23" t="n">
        <x:v>6734.55</x:v>
      </x:c>
      <x:c r="G45" s="23" t="n">
        <x:f>ROUND(F45-F44,1)</x:f>
        <x:v>52.6</x:v>
      </x:c>
      <x:c r="H45" s="24" t="n">
        <x:f>IFERROR(F45/F44-1,"")</x:f>
        <x:v>0.007873461898789902</x:v>
      </x:c>
      <x:c r="I45" s="26" t="n">
        <x:f>ROUND(D45-E45,1)</x:f>
        <x:v>578.7</x:v>
      </x:c>
      <x:c r="J45" s="22" t="str">
        <x:v>中证1000</x:v>
      </x:c>
      <x:c r="K45" s="22" t="n">
        <x:v>5</x:v>
      </x:c>
    </x:row>
    <x:row r="46">
      <x:c r="A46" s="22" t="n">
        <x:v>42</x:v>
      </x:c>
      <x:c r="B46" s="22" t="str">
        <x:v>10月26日-10月27日</x:v>
      </x:c>
      <x:c r="C46" s="23" t="n">
        <x:v>6684.93</x:v>
      </x:c>
      <x:c r="D46" s="23" t="n">
        <x:v>6717.99</x:v>
      </x:c>
      <x:c r="E46" s="23" t="n">
        <x:v>6427.17</x:v>
      </x:c>
      <x:c r="F46" s="23" t="n">
        <x:v>6427.17</x:v>
      </x:c>
      <x:c r="G46" s="28" t="n">
        <x:f>ROUND(F46-F45,1)</x:f>
        <x:v>-307.4</x:v>
      </x:c>
      <x:c r="H46" s="24" t="n">
        <x:f>IFERROR(F46/F45-1,"")</x:f>
        <x:v>-0.04564224781165782</x:v>
      </x:c>
      <x:c r="I46" s="26" t="n">
        <x:f>ROUND(D46-E46,1)</x:f>
        <x:v>290.8</x:v>
      </x:c>
      <x:c r="J46" s="22" t="str">
        <x:v>中证1000</x:v>
      </x:c>
      <x:c r="K46" s="22" t="n">
        <x:v>2</x:v>
      </x:c>
    </x:row>
    <x:row r="47">
      <x:c r="A47" s="31" t="str">
        <x:v>合计</x:v>
      </x:c>
      <x:c r="B47" s="30" t="n">
        <x:v>42</x:v>
      </x:c>
      <x:c r="C47" s="30"/>
      <x:c r="D47" s="30"/>
      <x:c r="E47" s="30"/>
      <x:c r="F47" s="30"/>
      <x:c r="G47" s="30"/>
      <x:c r="H47" s="30"/>
      <x:c r="I47" s="32" t="n">
        <x:f>ROUND(SUM(I5:I46),1)</x:f>
        <x:v>17490.6</x:v>
      </x:c>
      <x:c r="J47" s="30"/>
      <x:c r="K47" s="30"/>
    </x:row>
    <x:row r="48">
      <x:c r="A48" s="31" t="str">
        <x:v>均值</x:v>
      </x:c>
      <x:c r="B48" s="30"/>
      <x:c r="C48" s="30"/>
      <x:c r="D48" s="30"/>
      <x:c r="E48" s="30"/>
      <x:c r="F48" s="30"/>
      <x:c r="G48" s="30"/>
      <x:c r="H48" s="30"/>
      <x:c r="I48" s="34" t="n">
        <x:f>ROUND(IFERROR(AVERAGE(I5:I46),0),1)</x:f>
        <x:v>416.4</x:v>
      </x:c>
      <x:c r="J48" s="30"/>
      <x:c r="K48" s="30"/>
    </x:row>
    <x:row r="50">
      <x:c r="A50" s="17" t="str">
        <x:v>中证500</x:v>
      </x:c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</x:row>
    <x:row r="51">
      <x:c r="A51" s="20" t="str">
        <x:v>序号</x:v>
      </x:c>
      <x:c r="B51" s="20" t="str">
        <x:v>周期</x:v>
      </x:c>
      <x:c r="C51" s="20" t="str">
        <x:v>开盘</x:v>
      </x:c>
      <x:c r="D51" s="20" t="str">
        <x:v>高点</x:v>
      </x:c>
      <x:c r="E51" s="20" t="str">
        <x:v>低点</x:v>
      </x:c>
      <x:c r="F51" s="20" t="str">
        <x:v>收盘</x:v>
      </x:c>
      <x:c r="G51" s="20" t="str">
        <x:v>涨跌点数</x:v>
      </x:c>
      <x:c r="H51" s="20" t="str">
        <x:v>涨幅</x:v>
      </x:c>
      <x:c r="I51" s="20" t="str">
        <x:v>振幅</x:v>
      </x:c>
      <x:c r="J51" s="20" t="str">
        <x:v>标的</x:v>
      </x:c>
      <x:c r="K51" s="20" t="str">
        <x:v>交易日</x:v>
      </x:c>
    </x:row>
    <x:row r="52">
      <x:c r="A52" s="22" t="n">
        <x:v>1</x:v>
      </x:c>
      <x:c r="B52" s="22" t="str">
        <x:v>1月5日-1月9日</x:v>
      </x:c>
      <x:c r="C52" s="23" t="n">
        <x:v>7523.88</x:v>
      </x:c>
      <x:c r="D52" s="23" t="n">
        <x:v>8064.76</x:v>
      </x:c>
      <x:c r="E52" s="23" t="n">
        <x:v>7523.25</x:v>
      </x:c>
      <x:c r="F52" s="23" t="n">
        <x:v>8056.69</x:v>
      </x:c>
      <x:c r="G52" s="23"/>
      <x:c r="H52" s="24"/>
      <x:c r="I52" s="26" t="n">
        <x:f>ROUND(D52-E52,1)</x:f>
        <x:v>541.5</x:v>
      </x:c>
      <x:c r="J52" s="22" t="str">
        <x:v>中证500</x:v>
      </x:c>
      <x:c r="K52" s="22" t="n">
        <x:v>5</x:v>
      </x:c>
    </x:row>
    <x:row r="53">
      <x:c r="A53" s="22" t="n">
        <x:v>2</x:v>
      </x:c>
      <x:c r="B53" s="22" t="str">
        <x:v>1月12日-1月16日</x:v>
      </x:c>
      <x:c r="C53" s="23" t="n">
        <x:v>8141.63</x:v>
      </x:c>
      <x:c r="D53" s="23" t="n">
        <x:v>8368.22</x:v>
      </x:c>
      <x:c r="E53" s="23" t="n">
        <x:v>8103.24</x:v>
      </x:c>
      <x:c r="F53" s="23" t="n">
        <x:v>8232.67</x:v>
      </x:c>
      <x:c r="G53" s="28" t="n">
        <x:f>ROUND(F53-F52,1)</x:f>
        <x:v>176</x:v>
      </x:c>
      <x:c r="H53" s="24" t="n">
        <x:f>IFERROR(F53/F52-1,"")</x:f>
        <x:v>0.02184271704633045</x:v>
      </x:c>
      <x:c r="I53" s="26" t="n">
        <x:f>ROUND(D53-E53,1)</x:f>
        <x:v>265</x:v>
      </x:c>
      <x:c r="J53" s="22" t="str">
        <x:v>中证500</x:v>
      </x:c>
      <x:c r="K53" s="22" t="n">
        <x:v>5</x:v>
      </x:c>
    </x:row>
    <x:row r="54">
      <x:c r="A54" s="22" t="n">
        <x:v>3</x:v>
      </x:c>
      <x:c r="B54" s="22" t="str">
        <x:v>1月19日-1月23日</x:v>
      </x:c>
      <x:c r="C54" s="23" t="n">
        <x:v>8199.5</x:v>
      </x:c>
      <x:c r="D54" s="23" t="n">
        <x:v>8590.17</x:v>
      </x:c>
      <x:c r="E54" s="23" t="n">
        <x:v>8142.14</x:v>
      </x:c>
      <x:c r="F54" s="23" t="n">
        <x:v>8590.17</x:v>
      </x:c>
      <x:c r="G54" s="28" t="n">
        <x:f>ROUND(F54-F53,1)</x:f>
        <x:v>357.5</x:v>
      </x:c>
      <x:c r="H54" s="24" t="n">
        <x:f>IFERROR(F54/F53-1,"")</x:f>
        <x:v>0.04342455120878164</x:v>
      </x:c>
      <x:c r="I54" s="26" t="n">
        <x:f>ROUND(D54-E54,1)</x:f>
        <x:v>448</x:v>
      </x:c>
      <x:c r="J54" s="22" t="str">
        <x:v>中证500</x:v>
      </x:c>
      <x:c r="K54" s="22" t="n">
        <x:v>5</x:v>
      </x:c>
    </x:row>
    <x:row r="55">
      <x:c r="A55" s="22" t="n">
        <x:v>4</x:v>
      </x:c>
      <x:c r="B55" s="22" t="str">
        <x:v>1月26日-1月30日</x:v>
      </x:c>
      <x:c r="C55" s="23" t="n">
        <x:v>8624.89</x:v>
      </x:c>
      <x:c r="D55" s="23" t="n">
        <x:v>8671.35</x:v>
      </x:c>
      <x:c r="E55" s="23" t="n">
        <x:v>8194.58</x:v>
      </x:c>
      <x:c r="F55" s="23" t="n">
        <x:v>8370.52</x:v>
      </x:c>
      <x:c r="G55" s="28" t="n">
        <x:f>ROUND(F55-F54,1)</x:f>
        <x:v>-219.6</x:v>
      </x:c>
      <x:c r="H55" s="24" t="n">
        <x:f>IFERROR(F55/F54-1,"")</x:f>
        <x:v>-0.02556992469299202</x:v>
      </x:c>
      <x:c r="I55" s="26" t="n">
        <x:f>ROUND(D55-E55,1)</x:f>
        <x:v>476.8</x:v>
      </x:c>
      <x:c r="J55" s="22" t="str">
        <x:v>中证500</x:v>
      </x:c>
      <x:c r="K55" s="22" t="n">
        <x:v>5</x:v>
      </x:c>
    </x:row>
    <x:row r="56">
      <x:c r="A56" s="22" t="n">
        <x:v>5</x:v>
      </x:c>
      <x:c r="B56" s="22" t="str">
        <x:v>2月2日-2月6日</x:v>
      </x:c>
      <x:c r="C56" s="23" t="n">
        <x:v>8279.72</x:v>
      </x:c>
      <x:c r="D56" s="23" t="n">
        <x:v>8324.43</x:v>
      </x:c>
      <x:c r="E56" s="23" t="n">
        <x:v>8014.66</x:v>
      </x:c>
      <x:c r="F56" s="23" t="n">
        <x:v>8146.41</x:v>
      </x:c>
      <x:c r="G56" s="28" t="n">
        <x:f>ROUND(F56-F55,1)</x:f>
        <x:v>-224.1</x:v>
      </x:c>
      <x:c r="H56" s="24" t="n">
        <x:f>IFERROR(F56/F55-1,"")</x:f>
        <x:v>-0.026773724929872955</x:v>
      </x:c>
      <x:c r="I56" s="26" t="n">
        <x:f>ROUND(D56-E56,1)</x:f>
        <x:v>309.8</x:v>
      </x:c>
      <x:c r="J56" s="22" t="str">
        <x:v>中证500</x:v>
      </x:c>
      <x:c r="K56" s="22" t="n">
        <x:v>5</x:v>
      </x:c>
    </x:row>
    <x:row r="57">
      <x:c r="A57" s="22" t="n">
        <x:v>6</x:v>
      </x:c>
      <x:c r="B57" s="22" t="str">
        <x:v>2月9日-2月13日</x:v>
      </x:c>
      <x:c r="C57" s="23" t="n">
        <x:v>8280.11</x:v>
      </x:c>
      <x:c r="D57" s="23" t="n">
        <x:v>8437.42</x:v>
      </x:c>
      <x:c r="E57" s="23" t="n">
        <x:v>8229</x:v>
      </x:c>
      <x:c r="F57" s="23" t="n">
        <x:v>8299.58</x:v>
      </x:c>
      <x:c r="G57" s="28" t="n">
        <x:f>ROUND(F57-F56,1)</x:f>
        <x:v>153.2</x:v>
      </x:c>
      <x:c r="H57" s="24" t="n">
        <x:f>IFERROR(F57/F56-1,"")</x:f>
        <x:v>0.018802147203492048</x:v>
      </x:c>
      <x:c r="I57" s="26" t="n">
        <x:f>ROUND(D57-E57,1)</x:f>
        <x:v>208.4</x:v>
      </x:c>
      <x:c r="J57" s="22" t="str">
        <x:v>中证500</x:v>
      </x:c>
      <x:c r="K57" s="22" t="n">
        <x:v>5</x:v>
      </x:c>
    </x:row>
    <x:row r="58">
      <x:c r="A58" s="22" t="n">
        <x:v>7</x:v>
      </x:c>
      <x:c r="B58" s="22" t="str">
        <x:v>2月24日-2月27日</x:v>
      </x:c>
      <x:c r="C58" s="23" t="n">
        <x:v>8403.31</x:v>
      </x:c>
      <x:c r="D58" s="23" t="n">
        <x:v>8658.45</x:v>
      </x:c>
      <x:c r="E58" s="23" t="n">
        <x:v>8328.57</x:v>
      </x:c>
      <x:c r="F58" s="23" t="n">
        <x:v>8658.45</x:v>
      </x:c>
      <x:c r="G58" s="28" t="n">
        <x:f>ROUND(F58-F57,1)</x:f>
        <x:v>358.9</x:v>
      </x:c>
      <x:c r="H58" s="24" t="n">
        <x:f>IFERROR(F58/F57-1,"")</x:f>
        <x:v>0.04323953742237574</x:v>
      </x:c>
      <x:c r="I58" s="26" t="n">
        <x:f>ROUND(D58-E58,1)</x:f>
        <x:v>329.9</x:v>
      </x:c>
      <x:c r="J58" s="22" t="str">
        <x:v>中证500</x:v>
      </x:c>
      <x:c r="K58" s="22" t="n">
        <x:v>4</x:v>
      </x:c>
    </x:row>
    <x:row r="59">
      <x:c r="A59" s="22" t="n">
        <x:v>8</x:v>
      </x:c>
      <x:c r="B59" s="22" t="str">
        <x:v>3月2日-3月6日</x:v>
      </x:c>
      <x:c r="C59" s="23" t="n">
        <x:v>8585.85</x:v>
      </x:c>
      <x:c r="D59" s="23" t="n">
        <x:v>8683.98</x:v>
      </x:c>
      <x:c r="E59" s="23" t="n">
        <x:v>8167.98</x:v>
      </x:c>
      <x:c r="F59" s="23" t="n">
        <x:v>8360.33</x:v>
      </x:c>
      <x:c r="G59" s="28" t="n">
        <x:f>ROUND(F59-F58,1)</x:f>
        <x:v>-298.1</x:v>
      </x:c>
      <x:c r="H59" s="24" t="n">
        <x:f>IFERROR(F59/F58-1,"")</x:f>
        <x:v>-0.03443110487442913</x:v>
      </x:c>
      <x:c r="I59" s="26" t="n">
        <x:f>ROUND(D59-E59,1)</x:f>
        <x:v>516</x:v>
      </x:c>
      <x:c r="J59" s="22" t="str">
        <x:v>中证500</x:v>
      </x:c>
      <x:c r="K59" s="22" t="n">
        <x:v>5</x:v>
      </x:c>
    </x:row>
    <x:row r="60">
      <x:c r="A60" s="22" t="n">
        <x:v>9</x:v>
      </x:c>
      <x:c r="B60" s="22" t="str">
        <x:v>3月9日-3月13日</x:v>
      </x:c>
      <x:c r="C60" s="23" t="n">
        <x:v>8234.19</x:v>
      </x:c>
      <x:c r="D60" s="23" t="n">
        <x:v>8439.62</x:v>
      </x:c>
      <x:c r="E60" s="23" t="n">
        <x:v>8066.14</x:v>
      </x:c>
      <x:c r="F60" s="23" t="n">
        <x:v>8239.8</x:v>
      </x:c>
      <x:c r="G60" s="23" t="n">
        <x:f>ROUND(F60-F59,1)</x:f>
        <x:v>-120.5</x:v>
      </x:c>
      <x:c r="H60" s="24" t="n">
        <x:f>IFERROR(F60/F59-1,"")</x:f>
        <x:v>-0.014416895026871046</x:v>
      </x:c>
      <x:c r="I60" s="26" t="n">
        <x:f>ROUND(D60-E60,1)</x:f>
        <x:v>373.5</x:v>
      </x:c>
      <x:c r="J60" s="22" t="str">
        <x:v>中证500</x:v>
      </x:c>
      <x:c r="K60" s="22" t="n">
        <x:v>5</x:v>
      </x:c>
    </x:row>
    <x:row r="61">
      <x:c r="A61" s="22" t="n">
        <x:v>10</x:v>
      </x:c>
      <x:c r="B61" s="22" t="str">
        <x:v>3月16日-3月20日</x:v>
      </x:c>
      <x:c r="C61" s="23" t="n">
        <x:v>8227.69</x:v>
      </x:c>
      <x:c r="D61" s="23" t="n">
        <x:v>8233.66</x:v>
      </x:c>
      <x:c r="E61" s="23" t="n">
        <x:v>7757.83</x:v>
      </x:c>
      <x:c r="F61" s="23" t="n">
        <x:v>7760.04</x:v>
      </x:c>
      <x:c r="G61" s="28" t="n">
        <x:f>ROUND(F61-F60,1)</x:f>
        <x:v>-479.8</x:v>
      </x:c>
      <x:c r="H61" s="24" t="n">
        <x:f>IFERROR(F61/F60-1,"")</x:f>
        <x:v>-0.058224714192091964</x:v>
      </x:c>
      <x:c r="I61" s="26" t="n">
        <x:f>ROUND(D61-E61,1)</x:f>
        <x:v>475.8</x:v>
      </x:c>
      <x:c r="J61" s="22" t="str">
        <x:v>中证500</x:v>
      </x:c>
      <x:c r="K61" s="22" t="n">
        <x:v>5</x:v>
      </x:c>
    </x:row>
    <x:row r="62">
      <x:c r="A62" s="22" t="n">
        <x:v>11</x:v>
      </x:c>
      <x:c r="B62" s="22" t="str">
        <x:v>3月23日-3月27日</x:v>
      </x:c>
      <x:c r="C62" s="23" t="n">
        <x:v>7623.24</x:v>
      </x:c>
      <x:c r="D62" s="23" t="n">
        <x:v>7806.91</x:v>
      </x:c>
      <x:c r="E62" s="23" t="n">
        <x:v>7379.86</x:v>
      </x:c>
      <x:c r="F62" s="23" t="n">
        <x:v>7737.61</x:v>
      </x:c>
      <x:c r="G62" s="23" t="n">
        <x:f>ROUND(F62-F61,1)</x:f>
        <x:v>-22.4</x:v>
      </x:c>
      <x:c r="H62" s="24" t="n">
        <x:f>IFERROR(F62/F61-1,"")</x:f>
        <x:v>-0.002890449018304042</x:v>
      </x:c>
      <x:c r="I62" s="26" t="n">
        <x:f>ROUND(D62-E62,1)</x:f>
        <x:v>427.1</x:v>
      </x:c>
      <x:c r="J62" s="22" t="str">
        <x:v>中证500</x:v>
      </x:c>
      <x:c r="K62" s="22" t="n">
        <x:v>5</x:v>
      </x:c>
    </x:row>
    <x:row r="63">
      <x:c r="A63" s="22" t="n">
        <x:v>12</x:v>
      </x:c>
      <x:c r="B63" s="22" t="str">
        <x:v>3月30日-4月3日</x:v>
      </x:c>
      <x:c r="C63" s="23" t="n">
        <x:v>7655.15</x:v>
      </x:c>
      <x:c r="D63" s="23" t="n">
        <x:v>7788.89</x:v>
      </x:c>
      <x:c r="E63" s="23" t="n">
        <x:v>7518.35</x:v>
      </x:c>
      <x:c r="F63" s="23" t="n">
        <x:v>7534.94</x:v>
      </x:c>
      <x:c r="G63" s="28" t="n">
        <x:f>ROUND(F63-F62,1)</x:f>
        <x:v>-202.7</x:v>
      </x:c>
      <x:c r="H63" s="24" t="n">
        <x:f>IFERROR(F63/F62-1,"")</x:f>
        <x:v>-0.026192842492707702</x:v>
      </x:c>
      <x:c r="I63" s="26" t="n">
        <x:f>ROUND(D63-E63,1)</x:f>
        <x:v>270.5</x:v>
      </x:c>
      <x:c r="J63" s="22" t="str">
        <x:v>中证500</x:v>
      </x:c>
      <x:c r="K63" s="22" t="n">
        <x:v>5</x:v>
      </x:c>
    </x:row>
    <x:row r="64">
      <x:c r="A64" s="22" t="n">
        <x:v>13</x:v>
      </x:c>
      <x:c r="B64" s="22" t="str">
        <x:v>4月7日-4月10日</x:v>
      </x:c>
      <x:c r="C64" s="23" t="n">
        <x:v>7562.14</x:v>
      </x:c>
      <x:c r="D64" s="23" t="n">
        <x:v>8070.65</x:v>
      </x:c>
      <x:c r="E64" s="23" t="n">
        <x:v>7529.4</x:v>
      </x:c>
      <x:c r="F64" s="23" t="n">
        <x:v>7969.36</x:v>
      </x:c>
      <x:c r="G64" s="28" t="n">
        <x:f>ROUND(F64-F63,1)</x:f>
        <x:v>434.4</x:v>
      </x:c>
      <x:c r="H64" s="24" t="n">
        <x:f>IFERROR(F64/F63-1,"")</x:f>
        <x:v>0.05765407554671964</x:v>
      </x:c>
      <x:c r="I64" s="26" t="n">
        <x:f>ROUND(D64-E64,1)</x:f>
        <x:v>541.3</x:v>
      </x:c>
      <x:c r="J64" s="22" t="str">
        <x:v>中证500</x:v>
      </x:c>
      <x:c r="K64" s="22" t="n">
        <x:v>4</x:v>
      </x:c>
    </x:row>
    <x:row r="65">
      <x:c r="A65" s="22" t="n">
        <x:v>14</x:v>
      </x:c>
      <x:c r="B65" s="22" t="str">
        <x:v>4月13日-4月17日</x:v>
      </x:c>
      <x:c r="C65" s="23" t="n">
        <x:v>7917.92</x:v>
      </x:c>
      <x:c r="D65" s="23" t="n">
        <x:v>8230.11</x:v>
      </x:c>
      <x:c r="E65" s="23" t="n">
        <x:v>7917.92</x:v>
      </x:c>
      <x:c r="F65" s="23" t="n">
        <x:v>8214.19</x:v>
      </x:c>
      <x:c r="G65" s="28" t="n">
        <x:f>ROUND(F65-F64,1)</x:f>
        <x:v>244.8</x:v>
      </x:c>
      <x:c r="H65" s="24" t="n">
        <x:f>IFERROR(F65/F64-1,"")</x:f>
        <x:v>0.030721413011835397</x:v>
      </x:c>
      <x:c r="I65" s="26" t="n">
        <x:f>ROUND(D65-E65,1)</x:f>
        <x:v>312.2</x:v>
      </x:c>
      <x:c r="J65" s="22" t="str">
        <x:v>中证500</x:v>
      </x:c>
      <x:c r="K65" s="22" t="n">
        <x:v>5</x:v>
      </x:c>
    </x:row>
    <x:row r="66">
      <x:c r="A66" s="22" t="n">
        <x:v>15</x:v>
      </x:c>
      <x:c r="B66" s="22" t="str">
        <x:v>4月20日-4月24日</x:v>
      </x:c>
      <x:c r="C66" s="23" t="n">
        <x:v>8223.58</x:v>
      </x:c>
      <x:c r="D66" s="23" t="n">
        <x:v>8401.5</x:v>
      </x:c>
      <x:c r="E66" s="23" t="n">
        <x:v>8165.8</x:v>
      </x:c>
      <x:c r="F66" s="23" t="n">
        <x:v>8247.88</x:v>
      </x:c>
      <x:c r="G66" s="23" t="n">
        <x:f>ROUND(F66-F65,1)</x:f>
        <x:v>33.7</x:v>
      </x:c>
      <x:c r="H66" s="24" t="n">
        <x:f>IFERROR(F66/F65-1,"")</x:f>
        <x:v>0.004101439095029358</x:v>
      </x:c>
      <x:c r="I66" s="26" t="n">
        <x:f>ROUND(D66-E66,1)</x:f>
        <x:v>235.7</x:v>
      </x:c>
      <x:c r="J66" s="22" t="str">
        <x:v>中证500</x:v>
      </x:c>
      <x:c r="K66" s="22" t="n">
        <x:v>5</x:v>
      </x:c>
    </x:row>
    <x:row r="67">
      <x:c r="A67" s="22" t="n">
        <x:v>16</x:v>
      </x:c>
      <x:c r="B67" s="22" t="str">
        <x:v>4月27日-4月30日</x:v>
      </x:c>
      <x:c r="C67" s="23" t="n">
        <x:v>8236.43</x:v>
      </x:c>
      <x:c r="D67" s="23" t="n">
        <x:v>8375.19</x:v>
      </x:c>
      <x:c r="E67" s="23" t="n">
        <x:v>8157.35</x:v>
      </x:c>
      <x:c r="F67" s="23" t="n">
        <x:v>8349.51</x:v>
      </x:c>
      <x:c r="G67" s="23" t="n">
        <x:f>ROUND(F67-F66,1)</x:f>
        <x:v>101.6</x:v>
      </x:c>
      <x:c r="H67" s="24" t="n">
        <x:f>IFERROR(F67/F66-1,"")</x:f>
        <x:v>0.012321954247637157</x:v>
      </x:c>
      <x:c r="I67" s="26" t="n">
        <x:f>ROUND(D67-E67,1)</x:f>
        <x:v>217.8</x:v>
      </x:c>
      <x:c r="J67" s="22" t="str">
        <x:v>中证500</x:v>
      </x:c>
      <x:c r="K67" s="22" t="n">
        <x:v>4</x:v>
      </x:c>
    </x:row>
    <x:row r="68">
      <x:c r="A68" s="22" t="n">
        <x:v>17</x:v>
      </x:c>
      <x:c r="B68" s="22" t="str">
        <x:v>5月6日-5月8日</x:v>
      </x:c>
      <x:c r="C68" s="23" t="n">
        <x:v>8441.34</x:v>
      </x:c>
      <x:c r="D68" s="23" t="n">
        <x:v>8706.33</x:v>
      </x:c>
      <x:c r="E68" s="23" t="n">
        <x:v>8441.34</x:v>
      </x:c>
      <x:c r="F68" s="23" t="n">
        <x:v>8694.17</x:v>
      </x:c>
      <x:c r="G68" s="28" t="n">
        <x:f>ROUND(F68-F67,1)</x:f>
        <x:v>344.7</x:v>
      </x:c>
      <x:c r="H68" s="24" t="n">
        <x:f>IFERROR(F68/F67-1,"")</x:f>
        <x:v>0.04127906907111911</x:v>
      </x:c>
      <x:c r="I68" s="26" t="n">
        <x:f>ROUND(D68-E68,1)</x:f>
        <x:v>265</x:v>
      </x:c>
      <x:c r="J68" s="22" t="str">
        <x:v>中证500</x:v>
      </x:c>
      <x:c r="K68" s="22" t="n">
        <x:v>3</x:v>
      </x:c>
    </x:row>
    <x:row r="69">
      <x:c r="A69" s="22" t="n">
        <x:v>18</x:v>
      </x:c>
      <x:c r="B69" s="22" t="str">
        <x:v>5月11日-5月15日</x:v>
      </x:c>
      <x:c r="C69" s="23" t="n">
        <x:v>8771.18</x:v>
      </x:c>
      <x:c r="D69" s="23" t="n">
        <x:v>8956.66</x:v>
      </x:c>
      <x:c r="E69" s="23" t="n">
        <x:v>8473.04</x:v>
      </x:c>
      <x:c r="F69" s="23" t="n">
        <x:v>8536.34</x:v>
      </x:c>
      <x:c r="G69" s="28" t="n">
        <x:f>ROUND(F69-F68,1)</x:f>
        <x:v>-157.8</x:v>
      </x:c>
      <x:c r="H69" s="24" t="n">
        <x:f>IFERROR(F69/F68-1,"")</x:f>
        <x:v>-0.01815354427162108</x:v>
      </x:c>
      <x:c r="I69" s="26" t="n">
        <x:f>ROUND(D69-E69,1)</x:f>
        <x:v>483.6</x:v>
      </x:c>
      <x:c r="J69" s="22" t="str">
        <x:v>中证500</x:v>
      </x:c>
      <x:c r="K69" s="22" t="n">
        <x:v>5</x:v>
      </x:c>
    </x:row>
    <x:row r="70">
      <x:c r="A70" s="22" t="n">
        <x:v>19</x:v>
      </x:c>
      <x:c r="B70" s="22" t="str">
        <x:v>5月18日-5月22日</x:v>
      </x:c>
      <x:c r="C70" s="23" t="n">
        <x:v>8493.02</x:v>
      </x:c>
      <x:c r="D70" s="23" t="n">
        <x:v>8790.38</x:v>
      </x:c>
      <x:c r="E70" s="23" t="n">
        <x:v>8406.29</x:v>
      </x:c>
      <x:c r="F70" s="23" t="n">
        <x:v>8576.94</x:v>
      </x:c>
      <x:c r="G70" s="23" t="n">
        <x:f>ROUND(F70-F69,1)</x:f>
        <x:v>40.6</x:v>
      </x:c>
      <x:c r="H70" s="24" t="n">
        <x:f>IFERROR(F70/F69-1,"")</x:f>
        <x:v>0.004756136704958003</x:v>
      </x:c>
      <x:c r="I70" s="26" t="n">
        <x:f>ROUND(D70-E70,1)</x:f>
        <x:v>384.1</x:v>
      </x:c>
      <x:c r="J70" s="22" t="str">
        <x:v>中证500</x:v>
      </x:c>
      <x:c r="K70" s="22" t="n">
        <x:v>5</x:v>
      </x:c>
    </x:row>
    <x:row r="71">
      <x:c r="A71" s="22" t="n">
        <x:v>20</x:v>
      </x:c>
      <x:c r="B71" s="22" t="str">
        <x:v>5月25日-5月29日</x:v>
      </x:c>
      <x:c r="C71" s="23" t="n">
        <x:v>8631.21</x:v>
      </x:c>
      <x:c r="D71" s="23" t="n">
        <x:v>8722.58</x:v>
      </x:c>
      <x:c r="E71" s="23" t="n">
        <x:v>8296.24</x:v>
      </x:c>
      <x:c r="F71" s="23" t="n">
        <x:v>8359.56</x:v>
      </x:c>
      <x:c r="G71" s="28" t="n">
        <x:f>ROUND(F71-F70,1)</x:f>
        <x:v>-217.4</x:v>
      </x:c>
      <x:c r="H71" s="24" t="n">
        <x:f>IFERROR(F71/F70-1,"")</x:f>
        <x:v>-0.02534470335574235</x:v>
      </x:c>
      <x:c r="I71" s="26" t="n">
        <x:f>ROUND(D71-E71,1)</x:f>
        <x:v>426.3</x:v>
      </x:c>
      <x:c r="J71" s="22" t="str">
        <x:v>中证500</x:v>
      </x:c>
      <x:c r="K71" s="22" t="n">
        <x:v>5</x:v>
      </x:c>
    </x:row>
    <x:row r="72">
      <x:c r="A72" s="22" t="n">
        <x:v>21</x:v>
      </x:c>
      <x:c r="B72" s="22" t="str">
        <x:v>6月1日-6月5日</x:v>
      </x:c>
      <x:c r="C72" s="23" t="n">
        <x:v>8358.49</x:v>
      </x:c>
      <x:c r="D72" s="23" t="n">
        <x:v>8462.67</x:v>
      </x:c>
      <x:c r="E72" s="23" t="n">
        <x:v>8142.51</x:v>
      </x:c>
      <x:c r="F72" s="23" t="n">
        <x:v>8251.14</x:v>
      </x:c>
      <x:c r="G72" s="23" t="n">
        <x:f>ROUND(F72-F71,1)</x:f>
        <x:v>-108.4</x:v>
      </x:c>
      <x:c r="H72" s="24" t="n">
        <x:f>IFERROR(F72/F71-1,"")</x:f>
        <x:v>-0.012969582131116986</x:v>
      </x:c>
      <x:c r="I72" s="26" t="n">
        <x:f>ROUND(D72-E72,1)</x:f>
        <x:v>320.2</x:v>
      </x:c>
      <x:c r="J72" s="22" t="str">
        <x:v>中证500</x:v>
      </x:c>
      <x:c r="K72" s="22" t="n">
        <x:v>5</x:v>
      </x:c>
    </x:row>
    <x:row r="73">
      <x:c r="A73" s="22" t="n">
        <x:v>22</x:v>
      </x:c>
      <x:c r="B73" s="22" t="str">
        <x:v>6月8日-6月12日</x:v>
      </x:c>
      <x:c r="C73" s="23" t="n">
        <x:v>7978.66</x:v>
      </x:c>
      <x:c r="D73" s="23" t="n">
        <x:v>8258.91</x:v>
      </x:c>
      <x:c r="E73" s="23" t="n">
        <x:v>7889.4</x:v>
      </x:c>
      <x:c r="F73" s="23" t="n">
        <x:v>8106.2</x:v>
      </x:c>
      <x:c r="G73" s="23" t="n">
        <x:f>ROUND(F73-F72,1)</x:f>
        <x:v>-144.9</x:v>
      </x:c>
      <x:c r="H73" s="24" t="n">
        <x:f>IFERROR(F73/F72-1,"")</x:f>
        <x:v>-0.017566057538715762</x:v>
      </x:c>
      <x:c r="I73" s="26" t="n">
        <x:f>ROUND(D73-E73,1)</x:f>
        <x:v>369.5</x:v>
      </x:c>
      <x:c r="J73" s="22" t="str">
        <x:v>中证500</x:v>
      </x:c>
      <x:c r="K73" s="22" t="n">
        <x:v>5</x:v>
      </x:c>
    </x:row>
    <x:row r="74">
      <x:c r="A74" s="22" t="n">
        <x:v>23</x:v>
      </x:c>
      <x:c r="B74" s="22" t="str">
        <x:v>6月15日-6月18日</x:v>
      </x:c>
      <x:c r="C74" s="23" t="n">
        <x:v>8175.05</x:v>
      </x:c>
      <x:c r="D74" s="23" t="n">
        <x:v>8716.34</x:v>
      </x:c>
      <x:c r="E74" s="23" t="n">
        <x:v>8174.59</x:v>
      </x:c>
      <x:c r="F74" s="23" t="n">
        <x:v>8673.09</x:v>
      </x:c>
      <x:c r="G74" s="28" t="n">
        <x:f>ROUND(F74-F73,1)</x:f>
        <x:v>566.9</x:v>
      </x:c>
      <x:c r="H74" s="24" t="n">
        <x:f>IFERROR(F74/F73-1,"")</x:f>
        <x:v>0.06993289087365229</x:v>
      </x:c>
      <x:c r="I74" s="26" t="n">
        <x:f>ROUND(D74-E74,1)</x:f>
        <x:v>541.8</x:v>
      </x:c>
      <x:c r="J74" s="22" t="str">
        <x:v>中证500</x:v>
      </x:c>
      <x:c r="K74" s="22" t="n">
        <x:v>4</x:v>
      </x:c>
    </x:row>
    <x:row r="75">
      <x:c r="A75" s="22" t="n">
        <x:v>24</x:v>
      </x:c>
      <x:c r="B75" s="22" t="str">
        <x:v>6月22日-6月26日</x:v>
      </x:c>
      <x:c r="C75" s="23" t="n">
        <x:v>8709.66</x:v>
      </x:c>
      <x:c r="D75" s="23" t="n">
        <x:v>8940.96</x:v>
      </x:c>
      <x:c r="E75" s="23" t="n">
        <x:v>8605.22</x:v>
      </x:c>
      <x:c r="F75" s="23" t="n">
        <x:v>8703.57</x:v>
      </x:c>
      <x:c r="G75" s="23" t="n">
        <x:f>ROUND(F75-F74,1)</x:f>
        <x:v>30.5</x:v>
      </x:c>
      <x:c r="H75" s="24" t="n">
        <x:f>IFERROR(F75/F74-1,"")</x:f>
        <x:v>0.0035143184263046745</x:v>
      </x:c>
      <x:c r="I75" s="26" t="n">
        <x:f>ROUND(D75-E75,1)</x:f>
        <x:v>335.7</x:v>
      </x:c>
      <x:c r="J75" s="22" t="str">
        <x:v>中证500</x:v>
      </x:c>
      <x:c r="K75" s="22" t="n">
        <x:v>5</x:v>
      </x:c>
    </x:row>
    <x:row r="76">
      <x:c r="A76" s="22" t="n">
        <x:v>25</x:v>
      </x:c>
      <x:c r="B76" s="22" t="str">
        <x:v>6月29日-7月3日</x:v>
      </x:c>
      <x:c r="C76" s="23" t="n">
        <x:v>8731.58</x:v>
      </x:c>
      <x:c r="D76" s="23" t="n">
        <x:v>9147.56</x:v>
      </x:c>
      <x:c r="E76" s="23" t="n">
        <x:v>8587.88</x:v>
      </x:c>
      <x:c r="F76" s="23" t="n">
        <x:v>8745.26</x:v>
      </x:c>
      <x:c r="G76" s="23" t="n">
        <x:f>ROUND(F76-F75,1)</x:f>
        <x:v>41.7</x:v>
      </x:c>
      <x:c r="H76" s="24" t="n">
        <x:f>IFERROR(F76/F75-1,"")</x:f>
        <x:v>0.004789988475993212</x:v>
      </x:c>
      <x:c r="I76" s="26" t="n">
        <x:f>ROUND(D76-E76,1)</x:f>
        <x:v>559.7</x:v>
      </x:c>
      <x:c r="J76" s="22" t="str">
        <x:v>中证500</x:v>
      </x:c>
      <x:c r="K76" s="22" t="n">
        <x:v>5</x:v>
      </x:c>
    </x:row>
    <x:row r="77">
      <x:c r="A77" s="22" t="n">
        <x:v>26</x:v>
      </x:c>
      <x:c r="B77" s="22" t="str">
        <x:v>7月6日-7月10日</x:v>
      </x:c>
      <x:c r="C77" s="23" t="n">
        <x:v>8790.97</x:v>
      </x:c>
      <x:c r="D77" s="23" t="n">
        <x:v>8823.05</x:v>
      </x:c>
      <x:c r="E77" s="23" t="n">
        <x:v>8281.95</x:v>
      </x:c>
      <x:c r="F77" s="23" t="n">
        <x:v>8503.97</x:v>
      </x:c>
      <x:c r="G77" s="28" t="n">
        <x:f>ROUND(F77-F76,1)</x:f>
        <x:v>-241.3</x:v>
      </x:c>
      <x:c r="H77" s="24" t="n">
        <x:f>IFERROR(F77/F76-1,"")</x:f>
        <x:v>-0.027590946409826733</x:v>
      </x:c>
      <x:c r="I77" s="26" t="n">
        <x:f>ROUND(D77-E77,1)</x:f>
        <x:v>541.1</x:v>
      </x:c>
      <x:c r="J77" s="22" t="str">
        <x:v>中证500</x:v>
      </x:c>
      <x:c r="K77" s="22" t="n">
        <x:v>5</x:v>
      </x:c>
    </x:row>
    <x:row r="78">
      <x:c r="A78" s="22" t="n">
        <x:v>27</x:v>
      </x:c>
      <x:c r="B78" s="22" t="str">
        <x:v>7月13日-7月17日</x:v>
      </x:c>
      <x:c r="C78" s="23" t="n">
        <x:v>8409.14</x:v>
      </x:c>
      <x:c r="D78" s="23" t="n">
        <x:v>8457.69</x:v>
      </x:c>
      <x:c r="E78" s="23" t="n">
        <x:v>7474.15</x:v>
      </x:c>
      <x:c r="F78" s="23" t="n">
        <x:v>7513.76</x:v>
      </x:c>
      <x:c r="G78" s="28" t="n">
        <x:f>ROUND(F78-F77,1)</x:f>
        <x:v>-990.2</x:v>
      </x:c>
      <x:c r="H78" s="24" t="n">
        <x:f>IFERROR(F78/F77-1,"")</x:f>
        <x:v>-0.11644090936350893</x:v>
      </x:c>
      <x:c r="I78" s="26" t="n">
        <x:f>ROUND(D78-E78,1)</x:f>
        <x:v>983.5</x:v>
      </x:c>
      <x:c r="J78" s="22" t="str">
        <x:v>中证500</x:v>
      </x:c>
      <x:c r="K78" s="22" t="n">
        <x:v>5</x:v>
      </x:c>
    </x:row>
    <x:row r="79">
      <x:c r="A79" s="22" t="n">
        <x:v>28</x:v>
      </x:c>
      <x:c r="B79" s="22" t="str">
        <x:v>7月20日-7月24日</x:v>
      </x:c>
      <x:c r="C79" s="23" t="n">
        <x:v>7597.77</x:v>
      </x:c>
      <x:c r="D79" s="23" t="n">
        <x:v>7889.45</x:v>
      </x:c>
      <x:c r="E79" s="23" t="n">
        <x:v>7253.52</x:v>
      </x:c>
      <x:c r="F79" s="23" t="n">
        <x:v>7532.7</x:v>
      </x:c>
      <x:c r="G79" s="23" t="n">
        <x:f>ROUND(F79-F78,1)</x:f>
        <x:v>18.9</x:v>
      </x:c>
      <x:c r="H79" s="24" t="n">
        <x:f>IFERROR(F79/F78-1,"")</x:f>
        <x:v>0.002520708673154237</x:v>
      </x:c>
      <x:c r="I79" s="26" t="n">
        <x:f>ROUND(D79-E79,1)</x:f>
        <x:v>635.9</x:v>
      </x:c>
      <x:c r="J79" s="22" t="str">
        <x:v>中证500</x:v>
      </x:c>
      <x:c r="K79" s="22" t="n">
        <x:v>5</x:v>
      </x:c>
    </x:row>
    <x:row r="80">
      <x:c r="A80" s="22" t="n">
        <x:v>29</x:v>
      </x:c>
      <x:c r="B80" s="22" t="str">
        <x:v>7月27日-7月31日</x:v>
      </x:c>
      <x:c r="C80" s="23" t="n">
        <x:v>7512.4</x:v>
      </x:c>
      <x:c r="D80" s="23" t="n">
        <x:v>7721.4</x:v>
      </x:c>
      <x:c r="E80" s="23" t="n">
        <x:v>7221.95</x:v>
      </x:c>
      <x:c r="F80" s="23" t="n">
        <x:v>7493.99</x:v>
      </x:c>
      <x:c r="G80" s="23" t="n">
        <x:f>ROUND(F80-F79,1)</x:f>
        <x:v>-38.7</x:v>
      </x:c>
      <x:c r="H80" s="24" t="n">
        <x:f>IFERROR(F80/F79-1,"")</x:f>
        <x:v>-0.005138927608958288</x:v>
      </x:c>
      <x:c r="I80" s="26" t="n">
        <x:f>ROUND(D80-E80,1)</x:f>
        <x:v>499.4</x:v>
      </x:c>
      <x:c r="J80" s="22" t="str">
        <x:v>中证500</x:v>
      </x:c>
      <x:c r="K80" s="22" t="n">
        <x:v>5</x:v>
      </x:c>
    </x:row>
    <x:row r="81">
      <x:c r="A81" s="22" t="n">
        <x:v>30</x:v>
      </x:c>
      <x:c r="B81" s="22" t="str">
        <x:v>8月3日-8月7日</x:v>
      </x:c>
      <x:c r="C81" s="23" t="n">
        <x:v>7457.12</x:v>
      </x:c>
      <x:c r="D81" s="23" t="n">
        <x:v>7983.17</x:v>
      </x:c>
      <x:c r="E81" s="23" t="n">
        <x:v>7397.94</x:v>
      </x:c>
      <x:c r="F81" s="23" t="n">
        <x:v>7980.12</x:v>
      </x:c>
      <x:c r="G81" s="28" t="n">
        <x:f>ROUND(F81-F80,1)</x:f>
        <x:v>486.1</x:v>
      </x:c>
      <x:c r="H81" s="24" t="n">
        <x:f>IFERROR(F81/F80-1,"")</x:f>
        <x:v>0.06486931527797601</x:v>
      </x:c>
      <x:c r="I81" s="26" t="n">
        <x:f>ROUND(D81-E81,1)</x:f>
        <x:v>585.2</x:v>
      </x:c>
      <x:c r="J81" s="22" t="str">
        <x:v>中证500</x:v>
      </x:c>
      <x:c r="K81" s="22" t="n">
        <x:v>5</x:v>
      </x:c>
    </x:row>
    <x:row r="82">
      <x:c r="A82" s="22" t="n">
        <x:v>31</x:v>
      </x:c>
      <x:c r="B82" s="22" t="str">
        <x:v>8月10日-8月14日</x:v>
      </x:c>
      <x:c r="C82" s="23" t="n">
        <x:v>8003.92</x:v>
      </x:c>
      <x:c r="D82" s="23" t="n">
        <x:v>8142.33</x:v>
      </x:c>
      <x:c r="E82" s="23" t="n">
        <x:v>7897.24</x:v>
      </x:c>
      <x:c r="F82" s="23" t="n">
        <x:v>7990.33</x:v>
      </x:c>
      <x:c r="G82" s="23" t="n">
        <x:f>ROUND(F82-F81,1)</x:f>
        <x:v>10.2</x:v>
      </x:c>
      <x:c r="H82" s="24" t="n">
        <x:f>IFERROR(F82/F81-1,"")</x:f>
        <x:v>0.0012794293820144187</x:v>
      </x:c>
      <x:c r="I82" s="26" t="n">
        <x:f>ROUND(D82-E82,1)</x:f>
        <x:v>245.1</x:v>
      </x:c>
      <x:c r="J82" s="22" t="str">
        <x:v>中证500</x:v>
      </x:c>
      <x:c r="K82" s="22" t="n">
        <x:v>5</x:v>
      </x:c>
    </x:row>
    <x:row r="83">
      <x:c r="A83" s="22" t="n">
        <x:v>32</x:v>
      </x:c>
      <x:c r="B83" s="22" t="str">
        <x:v>8月17日-8月21日</x:v>
      </x:c>
      <x:c r="C83" s="23" t="n">
        <x:v>8007.87</x:v>
      </x:c>
      <x:c r="D83" s="23" t="n">
        <x:v>8211.31</x:v>
      </x:c>
      <x:c r="E83" s="23" t="n">
        <x:v>7756.28</x:v>
      </x:c>
      <x:c r="F83" s="23" t="n">
        <x:v>7854.33</x:v>
      </x:c>
      <x:c r="G83" s="23" t="n">
        <x:f>ROUND(F83-F82,1)</x:f>
        <x:v>-136</x:v>
      </x:c>
      <x:c r="H83" s="24" t="n">
        <x:f>IFERROR(F83/F82-1,"")</x:f>
        <x:v>-0.01702057361836118</x:v>
      </x:c>
      <x:c r="I83" s="26" t="n">
        <x:f>ROUND(D83-E83,1)</x:f>
        <x:v>455</x:v>
      </x:c>
      <x:c r="J83" s="22" t="str">
        <x:v>中证500</x:v>
      </x:c>
      <x:c r="K83" s="22" t="n">
        <x:v>5</x:v>
      </x:c>
    </x:row>
    <x:row r="84">
      <x:c r="A84" s="22" t="n">
        <x:v>33</x:v>
      </x:c>
      <x:c r="B84" s="22" t="str">
        <x:v>8月24日-8月28日</x:v>
      </x:c>
      <x:c r="C84" s="23" t="n">
        <x:v>7861.05</x:v>
      </x:c>
      <x:c r="D84" s="23" t="n">
        <x:v>7986.43</x:v>
      </x:c>
      <x:c r="E84" s="23" t="n">
        <x:v>7572.86</x:v>
      </x:c>
      <x:c r="F84" s="23" t="n">
        <x:v>7895.45</x:v>
      </x:c>
      <x:c r="G84" s="23" t="n">
        <x:f>ROUND(F84-F83,1)</x:f>
        <x:v>41.1</x:v>
      </x:c>
      <x:c r="H84" s="24" t="n">
        <x:f>IFERROR(F84/F83-1,"")</x:f>
        <x:v>0.005235328793162575</x:v>
      </x:c>
      <x:c r="I84" s="26" t="n">
        <x:f>ROUND(D84-E84,1)</x:f>
        <x:v>413.6</x:v>
      </x:c>
      <x:c r="J84" s="22" t="str">
        <x:v>中证500</x:v>
      </x:c>
      <x:c r="K84" s="22" t="n">
        <x:v>5</x:v>
      </x:c>
    </x:row>
    <x:row r="85">
      <x:c r="A85" s="22" t="n">
        <x:v>34</x:v>
      </x:c>
      <x:c r="B85" s="22" t="str">
        <x:v>8月31日-9月4日</x:v>
      </x:c>
      <x:c r="C85" s="23" t="n">
        <x:v>7797.23</x:v>
      </x:c>
      <x:c r="D85" s="23" t="n">
        <x:v>7955.57</x:v>
      </x:c>
      <x:c r="E85" s="23" t="n">
        <x:v>7610.58</x:v>
      </x:c>
      <x:c r="F85" s="23" t="n">
        <x:v>7652.69</x:v>
      </x:c>
      <x:c r="G85" s="28" t="n">
        <x:f>ROUND(F85-F84,1)</x:f>
        <x:v>-242.8</x:v>
      </x:c>
      <x:c r="H85" s="24" t="n">
        <x:f>IFERROR(F85/F84-1,"")</x:f>
        <x:v>-0.03074682253703087</x:v>
      </x:c>
      <x:c r="I85" s="26" t="n">
        <x:f>ROUND(D85-E85,1)</x:f>
        <x:v>345</x:v>
      </x:c>
      <x:c r="J85" s="22" t="str">
        <x:v>中证500</x:v>
      </x:c>
      <x:c r="K85" s="22" t="n">
        <x:v>5</x:v>
      </x:c>
    </x:row>
    <x:row r="86">
      <x:c r="A86" s="22" t="n">
        <x:v>35</x:v>
      </x:c>
      <x:c r="B86" s="22" t="str">
        <x:v>9月7日-9月11日</x:v>
      </x:c>
      <x:c r="C86" s="23" t="n">
        <x:v>7687.47</x:v>
      </x:c>
      <x:c r="D86" s="23" t="n">
        <x:v>7830.16</x:v>
      </x:c>
      <x:c r="E86" s="23" t="n">
        <x:v>7451.12</x:v>
      </x:c>
      <x:c r="F86" s="23" t="n">
        <x:v>7580.54</x:v>
      </x:c>
      <x:c r="G86" s="23" t="n">
        <x:f>ROUND(F86-F85,1)</x:f>
        <x:v>-72.1</x:v>
      </x:c>
      <x:c r="H86" s="24" t="n">
        <x:f>IFERROR(F86/F85-1,"")</x:f>
        <x:v>-0.009428057323633832</x:v>
      </x:c>
      <x:c r="I86" s="26" t="n">
        <x:f>ROUND(D86-E86,1)</x:f>
        <x:v>379</x:v>
      </x:c>
      <x:c r="J86" s="22" t="str">
        <x:v>中证500</x:v>
      </x:c>
      <x:c r="K86" s="22" t="n">
        <x:v>5</x:v>
      </x:c>
    </x:row>
    <x:row r="87">
      <x:c r="A87" s="22" t="n">
        <x:v>36</x:v>
      </x:c>
      <x:c r="B87" s="22" t="str">
        <x:v>9月14日-9月18日</x:v>
      </x:c>
      <x:c r="C87" s="23" t="n">
        <x:v>7511.04</x:v>
      </x:c>
      <x:c r="D87" s="23" t="n">
        <x:v>7819.98</x:v>
      </x:c>
      <x:c r="E87" s="23" t="n">
        <x:v>7487.46</x:v>
      </x:c>
      <x:c r="F87" s="23" t="n">
        <x:v>7799.61</x:v>
      </x:c>
      <x:c r="G87" s="28" t="n">
        <x:f>ROUND(F87-F86,1)</x:f>
        <x:v>219.1</x:v>
      </x:c>
      <x:c r="H87" s="24" t="n">
        <x:f>IFERROR(F87/F86-1,"")</x:f>
        <x:v>0.028898996641400165</x:v>
      </x:c>
      <x:c r="I87" s="26" t="n">
        <x:f>ROUND(D87-E87,1)</x:f>
        <x:v>332.5</x:v>
      </x:c>
      <x:c r="J87" s="22" t="str">
        <x:v>中证500</x:v>
      </x:c>
      <x:c r="K87" s="22" t="n">
        <x:v>5</x:v>
      </x:c>
    </x:row>
    <x:row r="88">
      <x:c r="A88" s="22" t="n">
        <x:v>37</x:v>
      </x:c>
      <x:c r="B88" s="22" t="str">
        <x:v>9月21日-9月24日</x:v>
      </x:c>
      <x:c r="C88" s="23" t="n">
        <x:v>7829.82</x:v>
      </x:c>
      <x:c r="D88" s="23" t="n">
        <x:v>7922.62</x:v>
      </x:c>
      <x:c r="E88" s="23" t="n">
        <x:v>7624.07</x:v>
      </x:c>
      <x:c r="F88" s="23" t="n">
        <x:v>7624.07</x:v>
      </x:c>
      <x:c r="G88" s="28" t="n">
        <x:f>ROUND(F88-F87,1)</x:f>
        <x:v>-175.5</x:v>
      </x:c>
      <x:c r="H88" s="24" t="n">
        <x:f>IFERROR(F88/F87-1,"")</x:f>
        <x:v>-0.02250625351780411</x:v>
      </x:c>
      <x:c r="I88" s="26" t="n">
        <x:f>ROUND(D88-E88,1)</x:f>
        <x:v>298.6</x:v>
      </x:c>
      <x:c r="J88" s="22" t="str">
        <x:v>中证500</x:v>
      </x:c>
      <x:c r="K88" s="22" t="n">
        <x:v>4</x:v>
      </x:c>
    </x:row>
    <x:row r="89">
      <x:c r="A89" s="22" t="n">
        <x:v>38</x:v>
      </x:c>
      <x:c r="B89" s="22" t="str">
        <x:v>9月28日-9月30日</x:v>
      </x:c>
      <x:c r="C89" s="23" t="n">
        <x:v>7599.2</x:v>
      </x:c>
      <x:c r="D89" s="23" t="n">
        <x:v>7601.09</x:v>
      </x:c>
      <x:c r="E89" s="23" t="n">
        <x:v>7364.43</x:v>
      </x:c>
      <x:c r="F89" s="23" t="n">
        <x:v>7435.16</x:v>
      </x:c>
      <x:c r="G89" s="28" t="n">
        <x:f>ROUND(F89-F88,1)</x:f>
        <x:v>-188.9</x:v>
      </x:c>
      <x:c r="H89" s="24" t="n">
        <x:f>IFERROR(F89/F88-1,"")</x:f>
        <x:v>-0.02477810408351444</x:v>
      </x:c>
      <x:c r="I89" s="26" t="n">
        <x:f>ROUND(D89-E89,1)</x:f>
        <x:v>236.7</x:v>
      </x:c>
      <x:c r="J89" s="22" t="str">
        <x:v>中证500</x:v>
      </x:c>
      <x:c r="K89" s="22" t="n">
        <x:v>3</x:v>
      </x:c>
    </x:row>
    <x:row r="90">
      <x:c r="A90" s="22" t="n">
        <x:v>39</x:v>
      </x:c>
      <x:c r="B90" s="22" t="str">
        <x:v>10月8日-10月9日</x:v>
      </x:c>
      <x:c r="C90" s="23" t="n">
        <x:v>7420.44</x:v>
      </x:c>
      <x:c r="D90" s="23" t="n">
        <x:v>7461.24</x:v>
      </x:c>
      <x:c r="E90" s="23" t="n">
        <x:v>7048.45</x:v>
      </x:c>
      <x:c r="F90" s="23" t="n">
        <x:v>7251.01</x:v>
      </x:c>
      <x:c r="G90" s="28" t="n">
        <x:f>ROUND(F90-F89,1)</x:f>
        <x:v>-184.1</x:v>
      </x:c>
      <x:c r="H90" s="24" t="n">
        <x:f>IFERROR(F90/F89-1,"")</x:f>
        <x:v>-0.024767456248419584</x:v>
      </x:c>
      <x:c r="I90" s="26" t="n">
        <x:f>ROUND(D90-E90,1)</x:f>
        <x:v>412.8</x:v>
      </x:c>
      <x:c r="J90" s="22" t="str">
        <x:v>中证500</x:v>
      </x:c>
      <x:c r="K90" s="22" t="n">
        <x:v>2</x:v>
      </x:c>
    </x:row>
    <x:row r="91">
      <x:c r="A91" s="22" t="n">
        <x:v>40</x:v>
      </x:c>
      <x:c r="B91" s="22" t="str">
        <x:v>10月12日-10月16日</x:v>
      </x:c>
      <x:c r="C91" s="23" t="n">
        <x:v>7226.07</x:v>
      </x:c>
      <x:c r="D91" s="23" t="n">
        <x:v>7236.78</x:v>
      </x:c>
      <x:c r="E91" s="23" t="n">
        <x:v>6719.82</x:v>
      </x:c>
      <x:c r="F91" s="23" t="n">
        <x:v>6772.75</x:v>
      </x:c>
      <x:c r="G91" s="28" t="n">
        <x:f>ROUND(F91-F90,1)</x:f>
        <x:v>-478.3</x:v>
      </x:c>
      <x:c r="H91" s="24" t="n">
        <x:f>IFERROR(F91/F90-1,"")</x:f>
        <x:v>-0.06595770796068412</x:v>
      </x:c>
      <x:c r="I91" s="26" t="n">
        <x:f>ROUND(D91-E91,1)</x:f>
        <x:v>517</x:v>
      </x:c>
      <x:c r="J91" s="22" t="str">
        <x:v>中证500</x:v>
      </x:c>
      <x:c r="K91" s="22" t="n">
        <x:v>5</x:v>
      </x:c>
    </x:row>
    <x:row r="92">
      <x:c r="A92" s="22" t="n">
        <x:v>41</x:v>
      </x:c>
      <x:c r="B92" s="22" t="str">
        <x:v>10月19日-10月23日</x:v>
      </x:c>
      <x:c r="C92" s="23" t="n">
        <x:v>6735.53</x:v>
      </x:c>
      <x:c r="D92" s="23" t="n">
        <x:v>6941.51</x:v>
      </x:c>
      <x:c r="E92" s="23" t="n">
        <x:v>6440.29</x:v>
      </x:c>
      <x:c r="F92" s="23" t="n">
        <x:v>6814.44</x:v>
      </x:c>
      <x:c r="G92" s="23" t="n">
        <x:f>ROUND(F92-F91,1)</x:f>
        <x:v>41.7</x:v>
      </x:c>
      <x:c r="H92" s="24" t="n">
        <x:f>IFERROR(F92/F91-1,"")</x:f>
        <x:v>0.006155549813591232</x:v>
      </x:c>
      <x:c r="I92" s="26" t="n">
        <x:f>ROUND(D92-E92,1)</x:f>
        <x:v>501.2</x:v>
      </x:c>
      <x:c r="J92" s="22" t="str">
        <x:v>中证500</x:v>
      </x:c>
      <x:c r="K92" s="22" t="n">
        <x:v>5</x:v>
      </x:c>
    </x:row>
    <x:row r="93">
      <x:c r="A93" s="22" t="n">
        <x:v>42</x:v>
      </x:c>
      <x:c r="B93" s="22" t="str">
        <x:v>10月26日-10月27日</x:v>
      </x:c>
      <x:c r="C93" s="23" t="n">
        <x:v>6756.46</x:v>
      </x:c>
      <x:c r="D93" s="23" t="n">
        <x:v>6787.32</x:v>
      </x:c>
      <x:c r="E93" s="23" t="n">
        <x:v>6511.37</x:v>
      </x:c>
      <x:c r="F93" s="23" t="n">
        <x:v>6511.42</x:v>
      </x:c>
      <x:c r="G93" s="28" t="n">
        <x:f>ROUND(F93-F92,1)</x:f>
        <x:v>-303</x:v>
      </x:c>
      <x:c r="H93" s="24" t="n">
        <x:f>IFERROR(F93/F92-1,"")</x:f>
        <x:v>-0.04446733700788319</x:v>
      </x:c>
      <x:c r="I93" s="26" t="n">
        <x:f>ROUND(D93-E93,1)</x:f>
        <x:v>275.9</x:v>
      </x:c>
      <x:c r="J93" s="22" t="str">
        <x:v>中证500</x:v>
      </x:c>
      <x:c r="K93" s="22" t="n">
        <x:v>2</x:v>
      </x:c>
    </x:row>
    <x:row r="94">
      <x:c r="A94" s="31" t="str">
        <x:v>合计</x:v>
      </x:c>
      <x:c r="B94" s="30" t="n">
        <x:v>42</x:v>
      </x:c>
      <x:c r="C94" s="30"/>
      <x:c r="D94" s="30"/>
      <x:c r="E94" s="30"/>
      <x:c r="F94" s="30"/>
      <x:c r="G94" s="30"/>
      <x:c r="H94" s="30"/>
      <x:c r="I94" s="32" t="n">
        <x:f>ROUND(SUM(I52:I93),1)</x:f>
        <x:v>17292.7</x:v>
      </x:c>
      <x:c r="J94" s="30"/>
      <x:c r="K94" s="30"/>
    </x:row>
    <x:row r="95">
      <x:c r="A95" s="31" t="str">
        <x:v>均值</x:v>
      </x:c>
      <x:c r="B95" s="30"/>
      <x:c r="C95" s="30"/>
      <x:c r="D95" s="30"/>
      <x:c r="E95" s="30"/>
      <x:c r="F95" s="30"/>
      <x:c r="G95" s="30"/>
      <x:c r="H95" s="30"/>
      <x:c r="I95" s="34" t="n">
        <x:f>ROUND(IFERROR(AVERAGE(I52:I93),0),1)</x:f>
        <x:v>411.7</x:v>
      </x:c>
      <x:c r="J95" s="30"/>
      <x:c r="K95" s="30"/>
    </x:row>
    <x:row r="97">
      <x:c r="A97" s="17" t="str">
        <x:v>上证指数</x:v>
      </x:c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</x:row>
    <x:row r="98">
      <x:c r="A98" s="20" t="str">
        <x:v>序号</x:v>
      </x:c>
      <x:c r="B98" s="20" t="str">
        <x:v>周期</x:v>
      </x:c>
      <x:c r="C98" s="20" t="str">
        <x:v>开盘</x:v>
      </x:c>
      <x:c r="D98" s="20" t="str">
        <x:v>高点</x:v>
      </x:c>
      <x:c r="E98" s="20" t="str">
        <x:v>低点</x:v>
      </x:c>
      <x:c r="F98" s="20" t="str">
        <x:v>收盘</x:v>
      </x:c>
      <x:c r="G98" s="20" t="str">
        <x:v>涨跌点数</x:v>
      </x:c>
      <x:c r="H98" s="20" t="str">
        <x:v>涨幅</x:v>
      </x:c>
      <x:c r="I98" s="20" t="str">
        <x:v>振幅</x:v>
      </x:c>
      <x:c r="J98" s="20" t="str">
        <x:v>标的</x:v>
      </x:c>
      <x:c r="K98" s="20" t="str">
        <x:v>交易日</x:v>
      </x:c>
    </x:row>
    <x:row r="99">
      <x:c r="A99" s="22" t="n">
        <x:v>1</x:v>
      </x:c>
      <x:c r="B99" s="22" t="str">
        <x:v>1月5日-1月9日</x:v>
      </x:c>
      <x:c r="C99" s="23" t="n">
        <x:v>3986.97</x:v>
      </x:c>
      <x:c r="D99" s="23" t="n">
        <x:v>4121.72</x:v>
      </x:c>
      <x:c r="E99" s="23" t="n">
        <x:v>3983.58</x:v>
      </x:c>
      <x:c r="F99" s="23" t="n">
        <x:v>4120.43</x:v>
      </x:c>
      <x:c r="G99" s="23"/>
      <x:c r="H99" s="24"/>
      <x:c r="I99" s="26" t="n">
        <x:f>ROUND(D99-E99,1)</x:f>
        <x:v>138.1</x:v>
      </x:c>
      <x:c r="J99" s="22" t="str">
        <x:v>上证指数</x:v>
      </x:c>
      <x:c r="K99" s="22" t="n">
        <x:v>5</x:v>
      </x:c>
    </x:row>
    <x:row r="100">
      <x:c r="A100" s="22" t="n">
        <x:v>2</x:v>
      </x:c>
      <x:c r="B100" s="22" t="str">
        <x:v>1月12日-1月16日</x:v>
      </x:c>
      <x:c r="C100" s="23" t="n">
        <x:v>4134.89</x:v>
      </x:c>
      <x:c r="D100" s="23" t="n">
        <x:v>4190.87</x:v>
      </x:c>
      <x:c r="E100" s="23" t="n">
        <x:v>4091.81</x:v>
      </x:c>
      <x:c r="F100" s="23" t="n">
        <x:v>4101.91</x:v>
      </x:c>
      <x:c r="G100" s="23" t="n">
        <x:f>ROUND(F100-F99,1)</x:f>
        <x:v>-18.5</x:v>
      </x:c>
      <x:c r="H100" s="24" t="n">
        <x:f>IFERROR(F100/F99-1,"")</x:f>
        <x:v>-0.004494676526479169</x:v>
      </x:c>
      <x:c r="I100" s="26" t="n">
        <x:f>ROUND(D100-E100,1)</x:f>
        <x:v>99.1</x:v>
      </x:c>
      <x:c r="J100" s="22" t="str">
        <x:v>上证指数</x:v>
      </x:c>
      <x:c r="K100" s="22" t="n">
        <x:v>5</x:v>
      </x:c>
    </x:row>
    <x:row r="101">
      <x:c r="A101" s="22" t="n">
        <x:v>3</x:v>
      </x:c>
      <x:c r="B101" s="22" t="str">
        <x:v>1月19日-1月23日</x:v>
      </x:c>
      <x:c r="C101" s="23" t="n">
        <x:v>4090.72</x:v>
      </x:c>
      <x:c r="D101" s="23" t="n">
        <x:v>4143.75</x:v>
      </x:c>
      <x:c r="E101" s="23" t="n">
        <x:v>4080.29</x:v>
      </x:c>
      <x:c r="F101" s="23" t="n">
        <x:v>4136.16</x:v>
      </x:c>
      <x:c r="G101" s="23" t="n">
        <x:f>ROUND(F101-F100,1)</x:f>
        <x:v>34.3</x:v>
      </x:c>
      <x:c r="H101" s="24" t="n">
        <x:f>IFERROR(F101/F100-1,"")</x:f>
        <x:v>0.008349768766257704</x:v>
      </x:c>
      <x:c r="I101" s="26" t="n">
        <x:f>ROUND(D101-E101,1)</x:f>
        <x:v>63.5</x:v>
      </x:c>
      <x:c r="J101" s="22" t="str">
        <x:v>上证指数</x:v>
      </x:c>
      <x:c r="K101" s="22" t="n">
        <x:v>5</x:v>
      </x:c>
    </x:row>
    <x:row r="102">
      <x:c r="A102" s="22" t="n">
        <x:v>4</x:v>
      </x:c>
      <x:c r="B102" s="22" t="str">
        <x:v>1月26日-1月30日</x:v>
      </x:c>
      <x:c r="C102" s="23" t="n">
        <x:v>4144.78</x:v>
      </x:c>
      <x:c r="D102" s="23" t="n">
        <x:v>4170.21</x:v>
      </x:c>
      <x:c r="E102" s="23" t="n">
        <x:v>4064.78</x:v>
      </x:c>
      <x:c r="F102" s="23" t="n">
        <x:v>4117.95</x:v>
      </x:c>
      <x:c r="G102" s="23" t="n">
        <x:f>ROUND(F102-F101,1)</x:f>
        <x:v>-18.2</x:v>
      </x:c>
      <x:c r="H102" s="24" t="n">
        <x:f>IFERROR(F102/F101-1,"")</x:f>
        <x:v>-0.004402634327492216</x:v>
      </x:c>
      <x:c r="I102" s="26" t="n">
        <x:f>ROUND(D102-E102,1)</x:f>
        <x:v>105.4</x:v>
      </x:c>
      <x:c r="J102" s="22" t="str">
        <x:v>上证指数</x:v>
      </x:c>
      <x:c r="K102" s="22" t="n">
        <x:v>5</x:v>
      </x:c>
    </x:row>
    <x:row r="103">
      <x:c r="A103" s="22" t="n">
        <x:v>5</x:v>
      </x:c>
      <x:c r="B103" s="22" t="str">
        <x:v>2月2日-2月6日</x:v>
      </x:c>
      <x:c r="C103" s="23" t="n">
        <x:v>4079.71</x:v>
      </x:c>
      <x:c r="D103" s="23" t="n">
        <x:v>4104.62</x:v>
      </x:c>
      <x:c r="E103" s="23" t="n">
        <x:v>4002.78</x:v>
      </x:c>
      <x:c r="F103" s="23" t="n">
        <x:v>4065.58</x:v>
      </x:c>
      <x:c r="G103" s="23" t="n">
        <x:f>ROUND(F103-F102,1)</x:f>
        <x:v>-52.4</x:v>
      </x:c>
      <x:c r="H103" s="24" t="n">
        <x:f>IFERROR(F103/F102-1,"")</x:f>
        <x:v>-0.012717492927306062</x:v>
      </x:c>
      <x:c r="I103" s="26" t="n">
        <x:f>ROUND(D103-E103,1)</x:f>
        <x:v>101.8</x:v>
      </x:c>
      <x:c r="J103" s="22" t="str">
        <x:v>上证指数</x:v>
      </x:c>
      <x:c r="K103" s="22" t="n">
        <x:v>5</x:v>
      </x:c>
    </x:row>
    <x:row r="104">
      <x:c r="A104" s="22" t="n">
        <x:v>6</x:v>
      </x:c>
      <x:c r="B104" s="22" t="str">
        <x:v>2月9日-2月13日</x:v>
      </x:c>
      <x:c r="C104" s="23" t="n">
        <x:v>4103.54</x:v>
      </x:c>
      <x:c r="D104" s="23" t="n">
        <x:v>4142.56</x:v>
      </x:c>
      <x:c r="E104" s="23" t="n">
        <x:v>4079.77</x:v>
      </x:c>
      <x:c r="F104" s="23" t="n">
        <x:v>4082.07</x:v>
      </x:c>
      <x:c r="G104" s="23" t="n">
        <x:f>ROUND(F104-F103,1)</x:f>
        <x:v>16.5</x:v>
      </x:c>
      <x:c r="H104" s="24" t="n">
        <x:f>IFERROR(F104/F103-1,"")</x:f>
        <x:v>0.004056001849674695</x:v>
      </x:c>
      <x:c r="I104" s="26" t="n">
        <x:f>ROUND(D104-E104,1)</x:f>
        <x:v>62.8</x:v>
      </x:c>
      <x:c r="J104" s="22" t="str">
        <x:v>上证指数</x:v>
      </x:c>
      <x:c r="K104" s="22" t="n">
        <x:v>5</x:v>
      </x:c>
    </x:row>
    <x:row r="105">
      <x:c r="A105" s="22" t="n">
        <x:v>7</x:v>
      </x:c>
      <x:c r="B105" s="22" t="str">
        <x:v>2月24日-2月27日</x:v>
      </x:c>
      <x:c r="C105" s="23" t="n">
        <x:v>4129.13</x:v>
      </x:c>
      <x:c r="D105" s="23" t="n">
        <x:v>4167.84</x:v>
      </x:c>
      <x:c r="E105" s="23" t="n">
        <x:v>4105.94</x:v>
      </x:c>
      <x:c r="F105" s="23" t="n">
        <x:v>4162.88</x:v>
      </x:c>
      <x:c r="G105" s="23" t="n">
        <x:f>ROUND(F105-F104,1)</x:f>
        <x:v>80.8</x:v>
      </x:c>
      <x:c r="H105" s="24" t="n">
        <x:f>IFERROR(F105/F104-1,"")</x:f>
        <x:v>0.01979632882336646</x:v>
      </x:c>
      <x:c r="I105" s="26" t="n">
        <x:f>ROUND(D105-E105,1)</x:f>
        <x:v>61.9</x:v>
      </x:c>
      <x:c r="J105" s="22" t="str">
        <x:v>上证指数</x:v>
      </x:c>
      <x:c r="K105" s="22" t="n">
        <x:v>4</x:v>
      </x:c>
    </x:row>
    <x:row r="106">
      <x:c r="A106" s="22" t="n">
        <x:v>8</x:v>
      </x:c>
      <x:c r="B106" s="22" t="str">
        <x:v>3月2日-3月6日</x:v>
      </x:c>
      <x:c r="C106" s="23" t="n">
        <x:v>4151.8</x:v>
      </x:c>
      <x:c r="D106" s="23" t="n">
        <x:v>4197.23</x:v>
      </x:c>
      <x:c r="E106" s="23" t="n">
        <x:v>4055.41</x:v>
      </x:c>
      <x:c r="F106" s="23" t="n">
        <x:v>4124.19</x:v>
      </x:c>
      <x:c r="G106" s="23" t="n">
        <x:f>ROUND(F106-F105,1)</x:f>
        <x:v>-38.7</x:v>
      </x:c>
      <x:c r="H106" s="24" t="n">
        <x:f>IFERROR(F106/F105-1,"")</x:f>
        <x:v>-0.00929404642939513</x:v>
      </x:c>
      <x:c r="I106" s="26" t="n">
        <x:f>ROUND(D106-E106,1)</x:f>
        <x:v>141.8</x:v>
      </x:c>
      <x:c r="J106" s="22" t="str">
        <x:v>上证指数</x:v>
      </x:c>
      <x:c r="K106" s="22" t="n">
        <x:v>5</x:v>
      </x:c>
    </x:row>
    <x:row r="107">
      <x:c r="A107" s="22" t="n">
        <x:v>9</x:v>
      </x:c>
      <x:c r="B107" s="22" t="str">
        <x:v>3月9日-3月13日</x:v>
      </x:c>
      <x:c r="C107" s="23" t="n">
        <x:v>4098.7</x:v>
      </x:c>
      <x:c r="D107" s="23" t="n">
        <x:v>4141.65</x:v>
      </x:c>
      <x:c r="E107" s="23" t="n">
        <x:v>4052.55</x:v>
      </x:c>
      <x:c r="F107" s="23" t="n">
        <x:v>4095.45</x:v>
      </x:c>
      <x:c r="G107" s="23" t="n">
        <x:f>ROUND(F107-F106,1)</x:f>
        <x:v>-28.7</x:v>
      </x:c>
      <x:c r="H107" s="24" t="n">
        <x:f>IFERROR(F107/F106-1,"")</x:f>
        <x:v>-0.006968641114982521</x:v>
      </x:c>
      <x:c r="I107" s="26" t="n">
        <x:f>ROUND(D107-E107,1)</x:f>
        <x:v>89.1</x:v>
      </x:c>
      <x:c r="J107" s="22" t="str">
        <x:v>上证指数</x:v>
      </x:c>
      <x:c r="K107" s="22" t="n">
        <x:v>5</x:v>
      </x:c>
    </x:row>
    <x:row r="108">
      <x:c r="A108" s="22" t="n">
        <x:v>10</x:v>
      </x:c>
      <x:c r="B108" s="22" t="str">
        <x:v>3月16日-3月20日</x:v>
      </x:c>
      <x:c r="C108" s="23" t="n">
        <x:v>4092.25</x:v>
      </x:c>
      <x:c r="D108" s="23" t="n">
        <x:v>4108.4</x:v>
      </x:c>
      <x:c r="E108" s="23" t="n">
        <x:v>3955.71</x:v>
      </x:c>
      <x:c r="F108" s="23" t="n">
        <x:v>3957.05</x:v>
      </x:c>
      <x:c r="G108" s="23" t="n">
        <x:f>ROUND(F108-F107,1)</x:f>
        <x:v>-138.4</x:v>
      </x:c>
      <x:c r="H108" s="24" t="n">
        <x:f>IFERROR(F108/F107-1,"")</x:f>
        <x:v>-0.03379360021487254</x:v>
      </x:c>
      <x:c r="I108" s="26" t="n">
        <x:f>ROUND(D108-E108,1)</x:f>
        <x:v>152.7</x:v>
      </x:c>
      <x:c r="J108" s="22" t="str">
        <x:v>上证指数</x:v>
      </x:c>
      <x:c r="K108" s="22" t="n">
        <x:v>5</x:v>
      </x:c>
    </x:row>
    <x:row r="109">
      <x:c r="A109" s="22" t="n">
        <x:v>11</x:v>
      </x:c>
      <x:c r="B109" s="22" t="str">
        <x:v>3月23日-3月27日</x:v>
      </x:c>
      <x:c r="C109" s="23" t="n">
        <x:v>3904.95</x:v>
      </x:c>
      <x:c r="D109" s="23" t="n">
        <x:v>3937.1</x:v>
      </x:c>
      <x:c r="E109" s="23" t="n">
        <x:v>3794.68</x:v>
      </x:c>
      <x:c r="F109" s="23" t="n">
        <x:v>3913.72</x:v>
      </x:c>
      <x:c r="G109" s="23" t="n">
        <x:f>ROUND(F109-F108,1)</x:f>
        <x:v>-43.3</x:v>
      </x:c>
      <x:c r="H109" s="24" t="n">
        <x:f>IFERROR(F109/F108-1,"")</x:f>
        <x:v>-0.010950076445837231</x:v>
      </x:c>
      <x:c r="I109" s="26" t="n">
        <x:f>ROUND(D109-E109,1)</x:f>
        <x:v>142.4</x:v>
      </x:c>
      <x:c r="J109" s="22" t="str">
        <x:v>上证指数</x:v>
      </x:c>
      <x:c r="K109" s="22" t="n">
        <x:v>5</x:v>
      </x:c>
    </x:row>
    <x:row r="110">
      <x:c r="A110" s="22" t="n">
        <x:v>12</x:v>
      </x:c>
      <x:c r="B110" s="22" t="str">
        <x:v>3月30日-4月3日</x:v>
      </x:c>
      <x:c r="C110" s="23" t="n">
        <x:v>3884.28</x:v>
      </x:c>
      <x:c r="D110" s="23" t="n">
        <x:v>3955.94</x:v>
      </x:c>
      <x:c r="E110" s="23" t="n">
        <x:v>3871.3</x:v>
      </x:c>
      <x:c r="F110" s="23" t="n">
        <x:v>3880.1</x:v>
      </x:c>
      <x:c r="G110" s="23" t="n">
        <x:f>ROUND(F110-F109,1)</x:f>
        <x:v>-33.6</x:v>
      </x:c>
      <x:c r="H110" s="24" t="n">
        <x:f>IFERROR(F110/F109-1,"")</x:f>
        <x:v>-0.00859029261163291</x:v>
      </x:c>
      <x:c r="I110" s="26" t="n">
        <x:f>ROUND(D110-E110,1)</x:f>
        <x:v>84.6</x:v>
      </x:c>
      <x:c r="J110" s="22" t="str">
        <x:v>上证指数</x:v>
      </x:c>
      <x:c r="K110" s="22" t="n">
        <x:v>5</x:v>
      </x:c>
    </x:row>
    <x:row r="111">
      <x:c r="A111" s="22" t="n">
        <x:v>13</x:v>
      </x:c>
      <x:c r="B111" s="22" t="str">
        <x:v>4月7日-4月10日</x:v>
      </x:c>
      <x:c r="C111" s="23" t="n">
        <x:v>3884.15</x:v>
      </x:c>
      <x:c r="D111" s="23" t="n">
        <x:v>4011.02</x:v>
      </x:c>
      <x:c r="E111" s="23" t="n">
        <x:v>3875.68</x:v>
      </x:c>
      <x:c r="F111" s="23" t="n">
        <x:v>3986.22</x:v>
      </x:c>
      <x:c r="G111" s="23" t="n">
        <x:f>ROUND(F111-F110,1)</x:f>
        <x:v>106.1</x:v>
      </x:c>
      <x:c r="H111" s="24" t="n">
        <x:f>IFERROR(F111/F110-1,"")</x:f>
        <x:v>0.02734981057189234</x:v>
      </x:c>
      <x:c r="I111" s="26" t="n">
        <x:f>ROUND(D111-E111,1)</x:f>
        <x:v>135.3</x:v>
      </x:c>
      <x:c r="J111" s="22" t="str">
        <x:v>上证指数</x:v>
      </x:c>
      <x:c r="K111" s="22" t="n">
        <x:v>4</x:v>
      </x:c>
    </x:row>
    <x:row r="112">
      <x:c r="A112" s="22" t="n">
        <x:v>14</x:v>
      </x:c>
      <x:c r="B112" s="22" t="str">
        <x:v>4月13日-4月17日</x:v>
      </x:c>
      <x:c r="C112" s="23" t="n">
        <x:v>3971.2</x:v>
      </x:c>
      <x:c r="D112" s="23" t="n">
        <x:v>4058.6</x:v>
      </x:c>
      <x:c r="E112" s="23" t="n">
        <x:v>3966.2</x:v>
      </x:c>
      <x:c r="F112" s="23" t="n">
        <x:v>4051.43</x:v>
      </x:c>
      <x:c r="G112" s="23" t="n">
        <x:f>ROUND(F112-F111,1)</x:f>
        <x:v>65.2</x:v>
      </x:c>
      <x:c r="H112" s="24" t="n">
        <x:f>IFERROR(F112/F111-1,"")</x:f>
        <x:v>0.016358856259815147</x:v>
      </x:c>
      <x:c r="I112" s="26" t="n">
        <x:f>ROUND(D112-E112,1)</x:f>
        <x:v>92.4</x:v>
      </x:c>
      <x:c r="J112" s="22" t="str">
        <x:v>上证指数</x:v>
      </x:c>
      <x:c r="K112" s="22" t="n">
        <x:v>5</x:v>
      </x:c>
    </x:row>
    <x:row r="113">
      <x:c r="A113" s="22" t="n">
        <x:v>15</x:v>
      </x:c>
      <x:c r="B113" s="22" t="str">
        <x:v>4月20日-4月24日</x:v>
      </x:c>
      <x:c r="C113" s="23" t="n">
        <x:v>4053.37</x:v>
      </x:c>
      <x:c r="D113" s="23" t="n">
        <x:v>4114.84</x:v>
      </x:c>
      <x:c r="E113" s="23" t="n">
        <x:v>4051.69</x:v>
      </x:c>
      <x:c r="F113" s="23" t="n">
        <x:v>4079.9</x:v>
      </x:c>
      <x:c r="G113" s="23" t="n">
        <x:f>ROUND(F113-F112,1)</x:f>
        <x:v>28.5</x:v>
      </x:c>
      <x:c r="H113" s="24" t="n">
        <x:f>IFERROR(F113/F112-1,"")</x:f>
        <x:v>0.007027148438946362</x:v>
      </x:c>
      <x:c r="I113" s="26" t="n">
        <x:f>ROUND(D113-E113,1)</x:f>
        <x:v>63.2</x:v>
      </x:c>
      <x:c r="J113" s="22" t="str">
        <x:v>上证指数</x:v>
      </x:c>
      <x:c r="K113" s="22" t="n">
        <x:v>5</x:v>
      </x:c>
    </x:row>
    <x:row r="114">
      <x:c r="A114" s="22" t="n">
        <x:v>16</x:v>
      </x:c>
      <x:c r="B114" s="22" t="str">
        <x:v>4月27日-4月30日</x:v>
      </x:c>
      <x:c r="C114" s="23" t="n">
        <x:v>4074.81</x:v>
      </x:c>
      <x:c r="D114" s="23" t="n">
        <x:v>4118.76</x:v>
      </x:c>
      <x:c r="E114" s="23" t="n">
        <x:v>4061.82</x:v>
      </x:c>
      <x:c r="F114" s="23" t="n">
        <x:v>4112.16</x:v>
      </x:c>
      <x:c r="G114" s="23" t="n">
        <x:f>ROUND(F114-F113,1)</x:f>
        <x:v>32.3</x:v>
      </x:c>
      <x:c r="H114" s="24" t="n">
        <x:f>IFERROR(F114/F113-1,"")</x:f>
        <x:v>0.007907056545503499</x:v>
      </x:c>
      <x:c r="I114" s="26" t="n">
        <x:f>ROUND(D114-E114,1)</x:f>
        <x:v>56.9</x:v>
      </x:c>
      <x:c r="J114" s="22" t="str">
        <x:v>上证指数</x:v>
      </x:c>
      <x:c r="K114" s="22" t="n">
        <x:v>4</x:v>
      </x:c>
    </x:row>
    <x:row r="115">
      <x:c r="A115" s="22" t="n">
        <x:v>17</x:v>
      </x:c>
      <x:c r="B115" s="22" t="str">
        <x:v>5月6日-5月8日</x:v>
      </x:c>
      <x:c r="C115" s="23" t="n">
        <x:v>4135.45</x:v>
      </x:c>
      <x:c r="D115" s="23" t="n">
        <x:v>4183.06</x:v>
      </x:c>
      <x:c r="E115" s="23" t="n">
        <x:v>4129.91</x:v>
      </x:c>
      <x:c r="F115" s="23" t="n">
        <x:v>4179.95</x:v>
      </x:c>
      <x:c r="G115" s="23" t="n">
        <x:f>ROUND(F115-F114,1)</x:f>
        <x:v>67.8</x:v>
      </x:c>
      <x:c r="H115" s="24" t="n">
        <x:f>IFERROR(F115/F114-1,"")</x:f>
        <x:v>0.016485253492082075</x:v>
      </x:c>
      <x:c r="I115" s="26" t="n">
        <x:f>ROUND(D115-E115,1)</x:f>
        <x:v>53.2</x:v>
      </x:c>
      <x:c r="J115" s="22" t="str">
        <x:v>上证指数</x:v>
      </x:c>
      <x:c r="K115" s="22" t="n">
        <x:v>3</x:v>
      </x:c>
    </x:row>
    <x:row r="116">
      <x:c r="A116" s="22" t="n">
        <x:v>18</x:v>
      </x:c>
      <x:c r="B116" s="22" t="str">
        <x:v>5月11日-5月15日</x:v>
      </x:c>
      <x:c r="C116" s="23" t="n">
        <x:v>4201.35</x:v>
      </x:c>
      <x:c r="D116" s="23" t="n">
        <x:v>4258.86</x:v>
      </x:c>
      <x:c r="E116" s="23" t="n">
        <x:v>4114.09</x:v>
      </x:c>
      <x:c r="F116" s="23" t="n">
        <x:v>4135.39</x:v>
      </x:c>
      <x:c r="G116" s="23" t="n">
        <x:f>ROUND(F116-F115,1)</x:f>
        <x:v>-44.6</x:v>
      </x:c>
      <x:c r="H116" s="24" t="n">
        <x:f>IFERROR(F116/F115-1,"")</x:f>
        <x:v>-0.010660414598260615</x:v>
      </x:c>
      <x:c r="I116" s="26" t="n">
        <x:f>ROUND(D116-E116,1)</x:f>
        <x:v>144.8</x:v>
      </x:c>
      <x:c r="J116" s="22" t="str">
        <x:v>上证指数</x:v>
      </x:c>
      <x:c r="K116" s="22" t="n">
        <x:v>5</x:v>
      </x:c>
    </x:row>
    <x:row r="117">
      <x:c r="A117" s="22" t="n">
        <x:v>19</x:v>
      </x:c>
      <x:c r="B117" s="22" t="str">
        <x:v>5月18日-5月22日</x:v>
      </x:c>
      <x:c r="C117" s="23" t="n">
        <x:v>4120.14</x:v>
      </x:c>
      <x:c r="D117" s="23" t="n">
        <x:v>4199.53</x:v>
      </x:c>
      <x:c r="E117" s="23" t="n">
        <x:v>4067.75</x:v>
      </x:c>
      <x:c r="F117" s="23" t="n">
        <x:v>4112.9</x:v>
      </x:c>
      <x:c r="G117" s="23" t="n">
        <x:f>ROUND(F117-F116,1)</x:f>
        <x:v>-22.5</x:v>
      </x:c>
      <x:c r="H117" s="24" t="n">
        <x:f>IFERROR(F117/F116-1,"")</x:f>
        <x:v>-0.00543842297824404</x:v>
      </x:c>
      <x:c r="I117" s="26" t="n">
        <x:f>ROUND(D117-E117,1)</x:f>
        <x:v>131.8</x:v>
      </x:c>
      <x:c r="J117" s="22" t="str">
        <x:v>上证指数</x:v>
      </x:c>
      <x:c r="K117" s="22" t="n">
        <x:v>5</x:v>
      </x:c>
    </x:row>
    <x:row r="118">
      <x:c r="A118" s="22" t="n">
        <x:v>20</x:v>
      </x:c>
      <x:c r="B118" s="22" t="str">
        <x:v>5月25日-5月29日</x:v>
      </x:c>
      <x:c r="C118" s="23" t="n">
        <x:v>4126.34</x:v>
      </x:c>
      <x:c r="D118" s="23" t="n">
        <x:v>4153.88</x:v>
      </x:c>
      <x:c r="E118" s="23" t="n">
        <x:v>4055.83</x:v>
      </x:c>
      <x:c r="F118" s="23" t="n">
        <x:v>4068.57</x:v>
      </x:c>
      <x:c r="G118" s="23" t="n">
        <x:f>ROUND(F118-F117,1)</x:f>
        <x:v>-44.3</x:v>
      </x:c>
      <x:c r="H118" s="24" t="n">
        <x:f>IFERROR(F118/F117-1,"")</x:f>
        <x:v>-0.010778282963359032</x:v>
      </x:c>
      <x:c r="I118" s="26" t="n">
        <x:f>ROUND(D118-E118,1)</x:f>
        <x:v>98.1</x:v>
      </x:c>
      <x:c r="J118" s="22" t="str">
        <x:v>上证指数</x:v>
      </x:c>
      <x:c r="K118" s="22" t="n">
        <x:v>5</x:v>
      </x:c>
    </x:row>
    <x:row r="119">
      <x:c r="A119" s="22" t="n">
        <x:v>21</x:v>
      </x:c>
      <x:c r="B119" s="22" t="str">
        <x:v>6月1日-6月5日</x:v>
      </x:c>
      <x:c r="C119" s="23" t="n">
        <x:v>4067.16</x:v>
      </x:c>
      <x:c r="D119" s="23" t="n">
        <x:v>4107.05</x:v>
      </x:c>
      <x:c r="E119" s="23" t="n">
        <x:v>4015.06</x:v>
      </x:c>
      <x:c r="F119" s="23" t="n">
        <x:v>4027.74</x:v>
      </x:c>
      <x:c r="G119" s="23" t="n">
        <x:f>ROUND(F119-F118,1)</x:f>
        <x:v>-40.8</x:v>
      </x:c>
      <x:c r="H119" s="24" t="n">
        <x:f>IFERROR(F119/F118-1,"")</x:f>
        <x:v>-0.010035467006835441</x:v>
      </x:c>
      <x:c r="I119" s="26" t="n">
        <x:f>ROUND(D119-E119,1)</x:f>
        <x:v>92</x:v>
      </x:c>
      <x:c r="J119" s="22" t="str">
        <x:v>上证指数</x:v>
      </x:c>
      <x:c r="K119" s="22" t="n">
        <x:v>5</x:v>
      </x:c>
    </x:row>
    <x:row r="120">
      <x:c r="A120" s="22" t="n">
        <x:v>22</x:v>
      </x:c>
      <x:c r="B120" s="22" t="str">
        <x:v>6月8日-6月12日</x:v>
      </x:c>
      <x:c r="C120" s="23" t="n">
        <x:v>3938.71</x:v>
      </x:c>
      <x:c r="D120" s="23" t="n">
        <x:v>4060.27</x:v>
      </x:c>
      <x:c r="E120" s="23" t="n">
        <x:v>3927.85</x:v>
      </x:c>
      <x:c r="F120" s="23" t="n">
        <x:v>4031.51</x:v>
      </x:c>
      <x:c r="G120" s="23" t="n">
        <x:f>ROUND(F120-F119,1)</x:f>
        <x:v>3.8</x:v>
      </x:c>
      <x:c r="H120" s="24" t="n">
        <x:f>IFERROR(F120/F119-1,"")</x:f>
        <x:v>0.0009360087791170368</x:v>
      </x:c>
      <x:c r="I120" s="26" t="n">
        <x:f>ROUND(D120-E120,1)</x:f>
        <x:v>132.4</x:v>
      </x:c>
      <x:c r="J120" s="22" t="str">
        <x:v>上证指数</x:v>
      </x:c>
      <x:c r="K120" s="22" t="n">
        <x:v>5</x:v>
      </x:c>
    </x:row>
    <x:row r="121">
      <x:c r="A121" s="22" t="n">
        <x:v>23</x:v>
      </x:c>
      <x:c r="B121" s="22" t="str">
        <x:v>6月15日-6月18日</x:v>
      </x:c>
      <x:c r="C121" s="23" t="n">
        <x:v>4053.58</x:v>
      </x:c>
      <x:c r="D121" s="23" t="n">
        <x:v>4117.45</x:v>
      </x:c>
      <x:c r="E121" s="23" t="n">
        <x:v>4051.07</x:v>
      </x:c>
      <x:c r="F121" s="23" t="n">
        <x:v>4090.48</x:v>
      </x:c>
      <x:c r="G121" s="23" t="n">
        <x:f>ROUND(F121-F120,1)</x:f>
        <x:v>59</x:v>
      </x:c>
      <x:c r="H121" s="24" t="n">
        <x:f>IFERROR(F121/F120-1,"")</x:f>
        <x:v>0.014627273651807826</x:v>
      </x:c>
      <x:c r="I121" s="26" t="n">
        <x:f>ROUND(D121-E121,1)</x:f>
        <x:v>66.4</x:v>
      </x:c>
      <x:c r="J121" s="22" t="str">
        <x:v>上证指数</x:v>
      </x:c>
      <x:c r="K121" s="22" t="n">
        <x:v>4</x:v>
      </x:c>
    </x:row>
    <x:row r="122">
      <x:c r="A122" s="22" t="n">
        <x:v>24</x:v>
      </x:c>
      <x:c r="B122" s="22" t="str">
        <x:v>6月22日-6月26日</x:v>
      </x:c>
      <x:c r="C122" s="23" t="n">
        <x:v>4093.95</x:v>
      </x:c>
      <x:c r="D122" s="23" t="n">
        <x:v>4175.35</x:v>
      </x:c>
      <x:c r="E122" s="23" t="n">
        <x:v>4007.86</x:v>
      </x:c>
      <x:c r="F122" s="23" t="n">
        <x:v>4027.26</x:v>
      </x:c>
      <x:c r="G122" s="23" t="n">
        <x:f>ROUND(F122-F121,1)</x:f>
        <x:v>-63.2</x:v>
      </x:c>
      <x:c r="H122" s="24" t="n">
        <x:f>IFERROR(F122/F121-1,"")</x:f>
        <x:v>-0.015455398877393334</x:v>
      </x:c>
      <x:c r="I122" s="26" t="n">
        <x:f>ROUND(D122-E122,1)</x:f>
        <x:v>167.5</x:v>
      </x:c>
      <x:c r="J122" s="22" t="str">
        <x:v>上证指数</x:v>
      </x:c>
      <x:c r="K122" s="22" t="n">
        <x:v>5</x:v>
      </x:c>
    </x:row>
    <x:row r="123">
      <x:c r="A123" s="22" t="n">
        <x:v>25</x:v>
      </x:c>
      <x:c r="B123" s="22" t="str">
        <x:v>6月29日-7月3日</x:v>
      </x:c>
      <x:c r="C123" s="23" t="n">
        <x:v>4026.69</x:v>
      </x:c>
      <x:c r="D123" s="23" t="n">
        <x:v>4143.31</x:v>
      </x:c>
      <x:c r="E123" s="23" t="n">
        <x:v>3992.55</x:v>
      </x:c>
      <x:c r="F123" s="23" t="n">
        <x:v>4043.64</x:v>
      </x:c>
      <x:c r="G123" s="23" t="n">
        <x:f>ROUND(F123-F122,1)</x:f>
        <x:v>16.4</x:v>
      </x:c>
      <x:c r="H123" s="24" t="n">
        <x:f>IFERROR(F123/F122-1,"")</x:f>
        <x:v>0.004067281476735962</x:v>
      </x:c>
      <x:c r="I123" s="26" t="n">
        <x:f>ROUND(D123-E123,1)</x:f>
        <x:v>150.8</x:v>
      </x:c>
      <x:c r="J123" s="22" t="str">
        <x:v>上证指数</x:v>
      </x:c>
      <x:c r="K123" s="22" t="n">
        <x:v>5</x:v>
      </x:c>
    </x:row>
    <x:row r="124">
      <x:c r="A124" s="22" t="n">
        <x:v>26</x:v>
      </x:c>
      <x:c r="B124" s="22" t="str">
        <x:v>7月6日-7月10日</x:v>
      </x:c>
      <x:c r="C124" s="23" t="n">
        <x:v>4059.19</x:v>
      </x:c>
      <x:c r="D124" s="23" t="n">
        <x:v>4074.83</x:v>
      </x:c>
      <x:c r="E124" s="23" t="n">
        <x:v>3938.88</x:v>
      </x:c>
      <x:c r="F124" s="23" t="n">
        <x:v>3996.16</x:v>
      </x:c>
      <x:c r="G124" s="23" t="n">
        <x:f>ROUND(F124-F123,1)</x:f>
        <x:v>-47.5</x:v>
      </x:c>
      <x:c r="H124" s="24" t="n">
        <x:f>IFERROR(F124/F123-1,"")</x:f>
        <x:v>-0.011741895915561185</x:v>
      </x:c>
      <x:c r="I124" s="26" t="n">
        <x:f>ROUND(D124-E124,1)</x:f>
        <x:v>135.9</x:v>
      </x:c>
      <x:c r="J124" s="22" t="str">
        <x:v>上证指数</x:v>
      </x:c>
      <x:c r="K124" s="22" t="n">
        <x:v>5</x:v>
      </x:c>
    </x:row>
    <x:row r="125">
      <x:c r="A125" s="22" t="n">
        <x:v>27</x:v>
      </x:c>
      <x:c r="B125" s="22" t="str">
        <x:v>7月13日-7月17日</x:v>
      </x:c>
      <x:c r="C125" s="23" t="n">
        <x:v>3966.02</x:v>
      </x:c>
      <x:c r="D125" s="23" t="n">
        <x:v>3983.05</x:v>
      </x:c>
      <x:c r="E125" s="23" t="n">
        <x:v>3745.17</x:v>
      </x:c>
      <x:c r="F125" s="23" t="n">
        <x:v>3764.15</x:v>
      </x:c>
      <x:c r="G125" s="28" t="n">
        <x:f>ROUND(F125-F124,1)</x:f>
        <x:v>-232</x:v>
      </x:c>
      <x:c r="H125" s="24" t="n">
        <x:f>IFERROR(F125/F124-1,"")</x:f>
        <x:v>-0.05805823590647019</x:v>
      </x:c>
      <x:c r="I125" s="26" t="n">
        <x:f>ROUND(D125-E125,1)</x:f>
        <x:v>237.9</x:v>
      </x:c>
      <x:c r="J125" s="22" t="str">
        <x:v>上证指数</x:v>
      </x:c>
      <x:c r="K125" s="22" t="n">
        <x:v>5</x:v>
      </x:c>
    </x:row>
    <x:row r="126">
      <x:c r="A126" s="22" t="n">
        <x:v>28</x:v>
      </x:c>
      <x:c r="B126" s="22" t="str">
        <x:v>7月20日-7月24日</x:v>
      </x:c>
      <x:c r="C126" s="23" t="n">
        <x:v>3791.66</x:v>
      </x:c>
      <x:c r="D126" s="23" t="n">
        <x:v>3884.44</x:v>
      </x:c>
      <x:c r="E126" s="23" t="n">
        <x:v>3741.11</x:v>
      </x:c>
      <x:c r="F126" s="23" t="n">
        <x:v>3814.2</x:v>
      </x:c>
      <x:c r="G126" s="23" t="n">
        <x:f>ROUND(F126-F125,1)</x:f>
        <x:v>50</x:v>
      </x:c>
      <x:c r="H126" s="24" t="n">
        <x:f>IFERROR(F126/F125-1,"")</x:f>
        <x:v>0.013296494560524952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29</x:v>
      </x:c>
      <x:c r="B127" s="22" t="str">
        <x:v>7月27日-7月31日</x:v>
      </x:c>
      <x:c r="C127" s="23" t="n">
        <x:v>3808.9</x:v>
      </x:c>
      <x:c r="D127" s="23" t="n">
        <x:v>3858.31</x:v>
      </x:c>
      <x:c r="E127" s="23" t="n">
        <x:v>3767.5</x:v>
      </x:c>
      <x:c r="F127" s="23" t="n">
        <x:v>3832.26</x:v>
      </x:c>
      <x:c r="G127" s="23" t="n">
        <x:f>ROUND(F127-F126,1)</x:f>
        <x:v>18.1</x:v>
      </x:c>
      <x:c r="H127" s="24" t="n">
        <x:f>IFERROR(F127/F126-1,"")</x:f>
        <x:v>0.004734937863772215</x:v>
      </x:c>
      <x:c r="I127" s="26" t="n">
        <x:f>ROUND(D127-E127,1)</x:f>
        <x:v>90.8</x:v>
      </x:c>
      <x:c r="J127" s="22" t="str">
        <x:v>上证指数</x:v>
      </x:c>
      <x:c r="K127" s="22" t="n">
        <x:v>5</x:v>
      </x:c>
    </x:row>
    <x:row r="128">
      <x:c r="A128" s="22" t="n">
        <x:v>30</x:v>
      </x:c>
      <x:c r="B128" s="22" t="str">
        <x:v>8月3日-8月7日</x:v>
      </x:c>
      <x:c r="C128" s="23" t="n">
        <x:v>3812.61</x:v>
      </x:c>
      <x:c r="D128" s="23" t="n">
        <x:v>3940.93</x:v>
      </x:c>
      <x:c r="E128" s="23" t="n">
        <x:v>3797.64</x:v>
      </x:c>
      <x:c r="F128" s="23" t="n">
        <x:v>3940.04</x:v>
      </x:c>
      <x:c r="G128" s="23" t="n">
        <x:f>ROUND(F128-F127,1)</x:f>
        <x:v>107.8</x:v>
      </x:c>
      <x:c r="H128" s="24" t="n">
        <x:f>IFERROR(F128/F127-1,"")</x:f>
        <x:v>0.028124396570170074</x:v>
      </x:c>
      <x:c r="I128" s="26" t="n">
        <x:f>ROUND(D128-E128,1)</x:f>
        <x:v>143.3</x:v>
      </x:c>
      <x:c r="J128" s="22" t="str">
        <x:v>上证指数</x:v>
      </x:c>
      <x:c r="K128" s="22" t="n">
        <x:v>5</x:v>
      </x:c>
    </x:row>
    <x:row r="129">
      <x:c r="A129" s="22" t="n">
        <x:v>31</x:v>
      </x:c>
      <x:c r="B129" s="22" t="str">
        <x:v>8月10日-8月14日</x:v>
      </x:c>
      <x:c r="C129" s="23" t="n">
        <x:v>3943.82</x:v>
      </x:c>
      <x:c r="D129" s="23" t="n">
        <x:v>3968.48</x:v>
      </x:c>
      <x:c r="E129" s="23" t="n">
        <x:v>3903.7</x:v>
      </x:c>
      <x:c r="F129" s="23" t="n">
        <x:v>3927.18</x:v>
      </x:c>
      <x:c r="G129" s="23" t="n">
        <x:f>ROUND(F129-F128,1)</x:f>
        <x:v>-12.9</x:v>
      </x:c>
      <x:c r="H129" s="24" t="n">
        <x:f>IFERROR(F129/F128-1,"")</x:f>
        <x:v>-0.003263926254555849</x:v>
      </x:c>
      <x:c r="I129" s="26" t="n">
        <x:f>ROUND(D129-E129,1)</x:f>
        <x:v>64.8</x:v>
      </x:c>
      <x:c r="J129" s="22" t="str">
        <x:v>上证指数</x:v>
      </x:c>
      <x:c r="K129" s="22" t="n">
        <x:v>5</x:v>
      </x:c>
    </x:row>
    <x:row r="130">
      <x:c r="A130" s="22" t="n">
        <x:v>32</x:v>
      </x:c>
      <x:c r="B130" s="22" t="str">
        <x:v>8月17日-8月21日</x:v>
      </x:c>
      <x:c r="C130" s="23" t="n">
        <x:v>3930.1</x:v>
      </x:c>
      <x:c r="D130" s="23" t="n">
        <x:v>3994.18</x:v>
      </x:c>
      <x:c r="E130" s="23" t="n">
        <x:v>3879.58</x:v>
      </x:c>
      <x:c r="F130" s="23" t="n">
        <x:v>3905.2</x:v>
      </x:c>
      <x:c r="G130" s="23" t="n">
        <x:f>ROUND(F130-F129,1)</x:f>
        <x:v>-22</x:v>
      </x:c>
      <x:c r="H130" s="24" t="n">
        <x:f>IFERROR(F130/F129-1,"")</x:f>
        <x:v>-0.00559689140808417</x:v>
      </x:c>
      <x:c r="I130" s="26" t="n">
        <x:f>ROUND(D130-E130,1)</x:f>
        <x:v>114.6</x:v>
      </x:c>
      <x:c r="J130" s="22" t="str">
        <x:v>上证指数</x:v>
      </x:c>
      <x:c r="K130" s="22" t="n">
        <x:v>5</x:v>
      </x:c>
    </x:row>
    <x:row r="131">
      <x:c r="A131" s="22" t="n">
        <x:v>33</x:v>
      </x:c>
      <x:c r="B131" s="22" t="str">
        <x:v>8月24日-8月28日</x:v>
      </x:c>
      <x:c r="C131" s="23" t="n">
        <x:v>3902.7</x:v>
      </x:c>
      <x:c r="D131" s="23" t="n">
        <x:v>3970.31</x:v>
      </x:c>
      <x:c r="E131" s="23" t="n">
        <x:v>3850.86</x:v>
      </x:c>
      <x:c r="F131" s="23" t="n">
        <x:v>3952.18</x:v>
      </x:c>
      <x:c r="G131" s="23" t="n">
        <x:f>ROUND(F131-F130,1)</x:f>
        <x:v>47</x:v>
      </x:c>
      <x:c r="H131" s="24" t="n">
        <x:f>IFERROR(F131/F130-1,"")</x:f>
        <x:v>0.012030113694561084</x:v>
      </x:c>
      <x:c r="I131" s="26" t="n">
        <x:f>ROUND(D131-E131,1)</x:f>
        <x:v>119.4</x:v>
      </x:c>
      <x:c r="J131" s="22" t="str">
        <x:v>上证指数</x:v>
      </x:c>
      <x:c r="K131" s="22" t="n">
        <x:v>5</x:v>
      </x:c>
    </x:row>
    <x:row r="132">
      <x:c r="A132" s="22" t="n">
        <x:v>34</x:v>
      </x:c>
      <x:c r="B132" s="22" t="str">
        <x:v>8月31日-9月4日</x:v>
      </x:c>
      <x:c r="C132" s="23" t="n">
        <x:v>3926.53</x:v>
      </x:c>
      <x:c r="D132" s="23" t="n">
        <x:v>3995.18</x:v>
      </x:c>
      <x:c r="E132" s="23" t="n">
        <x:v>3915.22</x:v>
      </x:c>
      <x:c r="F132" s="23" t="n">
        <x:v>3930.12</x:v>
      </x:c>
      <x:c r="G132" s="23" t="n">
        <x:f>ROUND(F132-F131,1)</x:f>
        <x:v>-22.1</x:v>
      </x:c>
      <x:c r="H132" s="24" t="n">
        <x:f>IFERROR(F132/F131-1,"")</x:f>
        <x:v>-0.00558172957709413</x:v>
      </x:c>
      <x:c r="I132" s="26" t="n">
        <x:f>ROUND(D132-E132,1)</x:f>
        <x:v>80</x:v>
      </x:c>
      <x:c r="J132" s="22" t="str">
        <x:v>上证指数</x:v>
      </x:c>
      <x:c r="K132" s="22" t="n">
        <x:v>5</x:v>
      </x:c>
    </x:row>
    <x:row r="133">
      <x:c r="A133" s="22" t="n">
        <x:v>35</x:v>
      </x:c>
      <x:c r="B133" s="22" t="str">
        <x:v>9月7日-9月11日</x:v>
      </x:c>
      <x:c r="C133" s="23" t="n">
        <x:v>3942.51</x:v>
      </x:c>
      <x:c r="D133" s="23" t="n">
        <x:v>3958.12</x:v>
      </x:c>
      <x:c r="E133" s="23" t="n">
        <x:v>3852.03</x:v>
      </x:c>
      <x:c r="F133" s="23" t="n">
        <x:v>3888.11</x:v>
      </x:c>
      <x:c r="G133" s="23" t="n">
        <x:f>ROUND(F133-F132,1)</x:f>
        <x:v>-42</x:v>
      </x:c>
      <x:c r="H133" s="24" t="n">
        <x:f>IFERROR(F133/F132-1,"")</x:f>
        <x:v>-0.010689241040986008</x:v>
      </x:c>
      <x:c r="I133" s="26" t="n">
        <x:f>ROUND(D133-E133,1)</x:f>
        <x:v>106.1</x:v>
      </x:c>
      <x:c r="J133" s="22" t="str">
        <x:v>上证指数</x:v>
      </x:c>
      <x:c r="K133" s="22" t="n">
        <x:v>5</x:v>
      </x:c>
    </x:row>
    <x:row r="134">
      <x:c r="A134" s="22" t="n">
        <x:v>36</x:v>
      </x:c>
      <x:c r="B134" s="22" t="str">
        <x:v>9月14日-9月18日</x:v>
      </x:c>
      <x:c r="C134" s="23" t="n">
        <x:v>3867.02</x:v>
      </x:c>
      <x:c r="D134" s="23" t="n">
        <x:v>3919.67</x:v>
      </x:c>
      <x:c r="E134" s="23" t="n">
        <x:v>3842.72</x:v>
      </x:c>
      <x:c r="F134" s="23" t="n">
        <x:v>3911.87</x:v>
      </x:c>
      <x:c r="G134" s="23" t="n">
        <x:f>ROUND(F134-F133,1)</x:f>
        <x:v>23.8</x:v>
      </x:c>
      <x:c r="H134" s="24" t="n">
        <x:f>IFERROR(F134/F133-1,"")</x:f>
        <x:v>0.0061109382193405</x:v>
      </x:c>
      <x:c r="I134" s="26" t="n">
        <x:f>ROUND(D134-E134,1)</x:f>
        <x:v>77</x:v>
      </x:c>
      <x:c r="J134" s="22" t="str">
        <x:v>上证指数</x:v>
      </x:c>
      <x:c r="K134" s="22" t="n">
        <x:v>5</x:v>
      </x:c>
    </x:row>
    <x:row r="135">
      <x:c r="A135" s="22" t="n">
        <x:v>37</x:v>
      </x:c>
      <x:c r="B135" s="22" t="str">
        <x:v>9月21日-9月24日</x:v>
      </x:c>
      <x:c r="C135" s="23" t="n">
        <x:v>3920.27</x:v>
      </x:c>
      <x:c r="D135" s="23" t="n">
        <x:v>3967.68</x:v>
      </x:c>
      <x:c r="E135" s="23" t="n">
        <x:v>3888.37</x:v>
      </x:c>
      <x:c r="F135" s="23" t="n">
        <x:v>3888.37</x:v>
      </x:c>
      <x:c r="G135" s="23" t="n">
        <x:f>ROUND(F135-F134,1)</x:f>
        <x:v>-23.5</x:v>
      </x:c>
      <x:c r="H135" s="24" t="n">
        <x:f>IFERROR(F135/F134-1,"")</x:f>
        <x:v>-0.00600735709519995</x:v>
      </x:c>
      <x:c r="I135" s="26" t="n">
        <x:f>ROUND(D135-E135,1)</x:f>
        <x:v>79.3</x:v>
      </x:c>
      <x:c r="J135" s="22" t="str">
        <x:v>上证指数</x:v>
      </x:c>
      <x:c r="K135" s="22" t="n">
        <x:v>4</x:v>
      </x:c>
    </x:row>
    <x:row r="136">
      <x:c r="A136" s="22" t="n">
        <x:v>38</x:v>
      </x:c>
      <x:c r="B136" s="22" t="str">
        <x:v>9月28日-9月30日</x:v>
      </x:c>
      <x:c r="C136" s="23" t="n">
        <x:v>3878.41</x:v>
      </x:c>
      <x:c r="D136" s="23" t="n">
        <x:v>3878.41</x:v>
      </x:c>
      <x:c r="E136" s="23" t="n">
        <x:v>3806.67</x:v>
      </x:c>
      <x:c r="F136" s="23" t="n">
        <x:v>3842.19</x:v>
      </x:c>
      <x:c r="G136" s="23" t="n">
        <x:f>ROUND(F136-F135,1)</x:f>
        <x:v>-46.2</x:v>
      </x:c>
      <x:c r="H136" s="24" t="n">
        <x:f>IFERROR(F136/F135-1,"")</x:f>
        <x:v>-0.011876441799520077</x:v>
      </x:c>
      <x:c r="I136" s="26" t="n">
        <x:f>ROUND(D136-E136,1)</x:f>
        <x:v>71.7</x:v>
      </x:c>
      <x:c r="J136" s="22" t="str">
        <x:v>上证指数</x:v>
      </x:c>
      <x:c r="K136" s="22" t="n">
        <x:v>3</x:v>
      </x:c>
    </x:row>
    <x:row r="137">
      <x:c r="A137" s="22" t="n">
        <x:v>39</x:v>
      </x:c>
      <x:c r="B137" s="22" t="str">
        <x:v>10月8日-10月9日</x:v>
      </x:c>
      <x:c r="C137" s="23" t="n">
        <x:v>3838.98</x:v>
      </x:c>
      <x:c r="D137" s="23" t="n">
        <x:v>3864.12</x:v>
      </x:c>
      <x:c r="E137" s="23" t="n">
        <x:v>3754.14</x:v>
      </x:c>
      <x:c r="F137" s="23" t="n">
        <x:v>3813.79</x:v>
      </x:c>
      <x:c r="G137" s="23" t="n">
        <x:f>ROUND(F137-F136,1)</x:f>
        <x:v>-28.4</x:v>
      </x:c>
      <x:c r="H137" s="24" t="n">
        <x:f>IFERROR(F137/F136-1,"")</x:f>
        <x:v>-0.0073916178013060385</x:v>
      </x:c>
      <x:c r="I137" s="26" t="n">
        <x:f>ROUND(D137-E137,1)</x:f>
        <x:v>110</x:v>
      </x:c>
      <x:c r="J137" s="22" t="str">
        <x:v>上证指数</x:v>
      </x:c>
      <x:c r="K137" s="22" t="n">
        <x:v>2</x:v>
      </x:c>
    </x:row>
    <x:row r="138">
      <x:c r="A138" s="22" t="n">
        <x:v>40</x:v>
      </x:c>
      <x:c r="B138" s="22" t="str">
        <x:v>10月12日-10月16日</x:v>
      </x:c>
      <x:c r="C138" s="23" t="n">
        <x:v>3806.98</x:v>
      </x:c>
      <x:c r="D138" s="23" t="n">
        <x:v>3828.22</x:v>
      </x:c>
      <x:c r="E138" s="23" t="n">
        <x:v>3674.82</x:v>
      </x:c>
      <x:c r="F138" s="23" t="n">
        <x:v>3716.28</x:v>
      </x:c>
      <x:c r="G138" s="23" t="n">
        <x:f>ROUND(F138-F137,1)</x:f>
        <x:v>-97.5</x:v>
      </x:c>
      <x:c r="H138" s="24" t="n">
        <x:f>IFERROR(F138/F137-1,"")</x:f>
        <x:v>-0.02556774232456427</x:v>
      </x:c>
      <x:c r="I138" s="26" t="n">
        <x:f>ROUND(D138-E138,1)</x:f>
        <x:v>153.4</x:v>
      </x:c>
      <x:c r="J138" s="22" t="str">
        <x:v>上证指数</x:v>
      </x:c>
      <x:c r="K138" s="22" t="n">
        <x:v>5</x:v>
      </x:c>
    </x:row>
    <x:row r="139">
      <x:c r="A139" s="22" t="n">
        <x:v>41</x:v>
      </x:c>
      <x:c r="B139" s="22" t="str">
        <x:v>10月19日-10月23日</x:v>
      </x:c>
      <x:c r="C139" s="23" t="n">
        <x:v>3694.12</x:v>
      </x:c>
      <x:c r="D139" s="23" t="n">
        <x:v>3743.8</x:v>
      </x:c>
      <x:c r="E139" s="23" t="n">
        <x:v>3574.27</x:v>
      </x:c>
      <x:c r="F139" s="23" t="n">
        <x:v>3690.48</x:v>
      </x:c>
      <x:c r="G139" s="23" t="n">
        <x:f>ROUND(F139-F138,1)</x:f>
        <x:v>-25.8</x:v>
      </x:c>
      <x:c r="H139" s="24" t="n">
        <x:f>IFERROR(F139/F138-1,"")</x:f>
        <x:v>-0.0069424262972650475</x:v>
      </x:c>
      <x:c r="I139" s="26" t="n">
        <x:f>ROUND(D139-E139,1)</x:f>
        <x:v>169.5</x:v>
      </x:c>
      <x:c r="J139" s="22" t="str">
        <x:v>上证指数</x:v>
      </x:c>
      <x:c r="K139" s="22" t="n">
        <x:v>5</x:v>
      </x:c>
    </x:row>
    <x:row r="140">
      <x:c r="A140" s="22" t="n">
        <x:v>42</x:v>
      </x:c>
      <x:c r="B140" s="22" t="str">
        <x:v>10月26日-10月27日</x:v>
      </x:c>
      <x:c r="C140" s="23" t="n">
        <x:v>3671</x:v>
      </x:c>
      <x:c r="D140" s="23" t="n">
        <x:v>3708.2</x:v>
      </x:c>
      <x:c r="E140" s="23" t="n">
        <x:v>3648.3</x:v>
      </x:c>
      <x:c r="F140" s="23" t="n">
        <x:v>3648.3</x:v>
      </x:c>
      <x:c r="G140" s="23" t="n">
        <x:f>ROUND(F140-F139,1)</x:f>
        <x:v>-42.2</x:v>
      </x:c>
      <x:c r="H140" s="24" t="n">
        <x:f>IFERROR(F140/F139-1,"")</x:f>
        <x:v>-0.01142940755674049</x:v>
      </x:c>
      <x:c r="I140" s="26" t="n">
        <x:f>ROUND(D140-E140,1)</x:f>
        <x:v>59.9</x:v>
      </x:c>
      <x:c r="J140" s="22" t="str">
        <x:v>上证指数</x:v>
      </x:c>
      <x:c r="K140" s="22" t="n">
        <x:v>2</x:v>
      </x:c>
    </x:row>
    <x:row r="141">
      <x:c r="A141" s="31" t="str">
        <x:v>合计</x:v>
      </x:c>
      <x:c r="B141" s="30" t="n">
        <x:v>42</x:v>
      </x:c>
      <x:c r="C141" s="30"/>
      <x:c r="D141" s="30"/>
      <x:c r="E141" s="30"/>
      <x:c r="F141" s="30"/>
      <x:c r="G141" s="30"/>
      <x:c r="H141" s="30"/>
      <x:c r="I141" s="32" t="n">
        <x:f>ROUND(SUM(I99:I140),1)</x:f>
        <x:v>4584.9</x:v>
      </x:c>
      <x:c r="J141" s="30"/>
      <x:c r="K141" s="30"/>
    </x:row>
    <x:row r="142">
      <x:c r="A142" s="31" t="str">
        <x:v>均值</x:v>
      </x:c>
      <x:c r="B142" s="30"/>
      <x:c r="C142" s="30"/>
      <x:c r="D142" s="30"/>
      <x:c r="E142" s="30"/>
      <x:c r="F142" s="30"/>
      <x:c r="G142" s="30"/>
      <x:c r="H142" s="30"/>
      <x:c r="I142" s="34" t="n">
        <x:f>ROUND(IFERROR(AVERAGE(I99:I140),0),1)</x:f>
        <x:v>109.2</x:v>
      </x:c>
      <x:c r="J142" s="30"/>
      <x:c r="K142" s="30"/>
    </x:row>
    <x:row r="144">
      <x:c r="A144" s="17" t="str">
        <x:v>IM主力</x:v>
      </x:c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</x:row>
    <x:row r="145">
      <x:c r="A145" s="20" t="str">
        <x:v>序号</x:v>
      </x:c>
      <x:c r="B145" s="20" t="str">
        <x:v>周期</x:v>
      </x:c>
      <x:c r="C145" s="20" t="str">
        <x:v>开盘</x:v>
      </x:c>
      <x:c r="D145" s="20" t="str">
        <x:v>高点</x:v>
      </x:c>
      <x:c r="E145" s="20" t="str">
        <x:v>低点</x:v>
      </x:c>
      <x:c r="F145" s="20" t="str">
        <x:v>收盘</x:v>
      </x:c>
      <x:c r="G145" s="20" t="str">
        <x:v>涨跌点数</x:v>
      </x:c>
      <x:c r="H145" s="20" t="str">
        <x:v>涨幅</x:v>
      </x:c>
      <x:c r="I145" s="20" t="str">
        <x:v>振幅</x:v>
      </x:c>
      <x:c r="J145" s="20" t="str">
        <x:v>标的</x:v>
      </x:c>
      <x:c r="K145" s="20" t="str">
        <x:v>交易日</x:v>
      </x:c>
    </x:row>
    <x:row r="146">
      <x:c r="A146" s="22" t="n">
        <x:v>1</x:v>
      </x:c>
      <x:c r="B146" s="22" t="str">
        <x:v>1月5日-1月9日</x:v>
      </x:c>
      <x:c r="C146" s="23" t="n">
        <x:v>7491.6</x:v>
      </x:c>
      <x:c r="D146" s="23" t="n">
        <x:v>8049.4</x:v>
      </x:c>
      <x:c r="E146" s="23" t="n">
        <x:v>7462.2</x:v>
      </x:c>
      <x:c r="F146" s="23" t="n">
        <x:v>8048.4</x:v>
      </x:c>
      <x:c r="G146" s="23"/>
      <x:c r="H146" s="24"/>
      <x:c r="I146" s="26" t="n">
        <x:f>ROUND(D146-E146,1)</x:f>
        <x:v>587.2</x:v>
      </x:c>
      <x:c r="J146" s="22" t="str">
        <x:v>IM2603</x:v>
      </x:c>
      <x:c r="K146" s="22" t="n">
        <x:v>5</x:v>
      </x:c>
    </x:row>
    <x:row r="147">
      <x:c r="A147" s="22" t="n">
        <x:v>2</x:v>
      </x:c>
      <x:c r="B147" s="22" t="str">
        <x:v>1月12日-1月16日</x:v>
      </x:c>
      <x:c r="C147" s="23" t="n">
        <x:v>8131</x:v>
      </x:c>
      <x:c r="D147" s="23" t="n">
        <x:v>8419</x:v>
      </x:c>
      <x:c r="E147" s="23" t="n">
        <x:v>8056.2</x:v>
      </x:c>
      <x:c r="F147" s="23" t="n">
        <x:v>8179.2</x:v>
      </x:c>
      <x:c r="G147" s="23" t="n">
        <x:f>ROUND(F147-F146,1)</x:f>
        <x:v>130.8</x:v>
      </x:c>
      <x:c r="H147" s="24" t="n">
        <x:f>IFERROR(F147/F146-1,"")</x:f>
        <x:v>0.016251677352020266</x:v>
      </x:c>
      <x:c r="I147" s="26" t="n">
        <x:f>ROUND(D147-E147,1)</x:f>
        <x:v>362.8</x:v>
      </x:c>
      <x:c r="J147" s="22" t="str">
        <x:v>IM2603</x:v>
      </x:c>
      <x:c r="K147" s="22" t="n">
        <x:v>5</x:v>
      </x:c>
    </x:row>
    <x:row r="148">
      <x:c r="A148" s="22" t="n">
        <x:v>3</x:v>
      </x:c>
      <x:c r="B148" s="22" t="str">
        <x:v>1月19日-1月23日</x:v>
      </x:c>
      <x:c r="C148" s="23" t="n">
        <x:v>8158</x:v>
      </x:c>
      <x:c r="D148" s="23" t="n">
        <x:v>8518.2</x:v>
      </x:c>
      <x:c r="E148" s="23" t="n">
        <x:v>8016.8</x:v>
      </x:c>
      <x:c r="F148" s="23" t="n">
        <x:v>8516.6</x:v>
      </x:c>
      <x:c r="G148" s="28" t="n">
        <x:f>ROUND(F148-F147,1)</x:f>
        <x:v>337.4</x:v>
      </x:c>
      <x:c r="H148" s="24" t="n">
        <x:f>IFERROR(F148/F147-1,"")</x:f>
        <x:v>0.04125097809076683</x:v>
      </x:c>
      <x:c r="I148" s="26" t="n">
        <x:f>ROUND(D148-E148,1)</x:f>
        <x:v>501.4</x:v>
      </x:c>
      <x:c r="J148" s="22" t="str">
        <x:v>IM2603</x:v>
      </x:c>
      <x:c r="K148" s="22" t="n">
        <x:v>5</x:v>
      </x:c>
    </x:row>
    <x:row r="149">
      <x:c r="A149" s="22" t="n">
        <x:v>4</x:v>
      </x:c>
      <x:c r="B149" s="22" t="str">
        <x:v>1月26日-1月30日</x:v>
      </x:c>
      <x:c r="C149" s="23" t="n">
        <x:v>8541.8</x:v>
      </x:c>
      <x:c r="D149" s="23" t="n">
        <x:v>8568</x:v>
      </x:c>
      <x:c r="E149" s="23" t="n">
        <x:v>8050</x:v>
      </x:c>
      <x:c r="F149" s="23" t="n">
        <x:v>8260.6</x:v>
      </x:c>
      <x:c r="G149" s="28" t="n">
        <x:f>ROUND(F149-F148,1)</x:f>
        <x:v>-256</x:v>
      </x:c>
      <x:c r="H149" s="24" t="n">
        <x:f>IFERROR(F149/F148-1,"")</x:f>
        <x:v>-0.03005894370993123</x:v>
      </x:c>
      <x:c r="I149" s="26" t="n">
        <x:f>ROUND(D149-E149,1)</x:f>
        <x:v>518</x:v>
      </x:c>
      <x:c r="J149" s="22" t="str">
        <x:v>IM2603</x:v>
      </x:c>
      <x:c r="K149" s="22" t="n">
        <x:v>5</x:v>
      </x:c>
    </x:row>
    <x:row r="150">
      <x:c r="A150" s="22" t="n">
        <x:v>5</x:v>
      </x:c>
      <x:c r="B150" s="22" t="str">
        <x:v>2月2日-2月6日</x:v>
      </x:c>
      <x:c r="C150" s="23" t="n">
        <x:v>8180.2</x:v>
      </x:c>
      <x:c r="D150" s="23" t="n">
        <x:v>8240</x:v>
      </x:c>
      <x:c r="E150" s="23" t="n">
        <x:v>7840</x:v>
      </x:c>
      <x:c r="F150" s="23" t="n">
        <x:v>7990.8</x:v>
      </x:c>
      <x:c r="G150" s="28" t="n">
        <x:f>ROUND(F150-F149,1)</x:f>
        <x:v>-269.8</x:v>
      </x:c>
      <x:c r="H150" s="24" t="n">
        <x:f>IFERROR(F150/F149-1,"")</x:f>
        <x:v>-0.03266106578214656</x:v>
      </x:c>
      <x:c r="I150" s="26" t="n">
        <x:f>ROUND(D150-E150,1)</x:f>
        <x:v>400</x:v>
      </x:c>
      <x:c r="J150" s="22" t="str">
        <x:v>IM2603</x:v>
      </x:c>
      <x:c r="K150" s="22" t="n">
        <x:v>5</x:v>
      </x:c>
    </x:row>
    <x:row r="151">
      <x:c r="A151" s="22" t="n">
        <x:v>6</x:v>
      </x:c>
      <x:c r="B151" s="22" t="str">
        <x:v>2月9日-2月13日</x:v>
      </x:c>
      <x:c r="C151" s="23" t="n">
        <x:v>8155</x:v>
      </x:c>
      <x:c r="D151" s="23" t="n">
        <x:v>8351.8</x:v>
      </x:c>
      <x:c r="E151" s="23" t="n">
        <x:v>8120.4</x:v>
      </x:c>
      <x:c r="F151" s="23" t="n">
        <x:v>8189</x:v>
      </x:c>
      <x:c r="G151" s="28" t="n">
        <x:f>ROUND(F151-F150,1)</x:f>
        <x:v>198.2</x:v>
      </x:c>
      <x:c r="H151" s="24" t="n">
        <x:f>IFERROR(F151/F150-1,"")</x:f>
        <x:v>0.02480352405266051</x:v>
      </x:c>
      <x:c r="I151" s="26" t="n">
        <x:f>ROUND(D151-E151,1)</x:f>
        <x:v>231.4</x:v>
      </x:c>
      <x:c r="J151" s="22" t="str">
        <x:v>IM2603</x:v>
      </x:c>
      <x:c r="K151" s="22" t="n">
        <x:v>5</x:v>
      </x:c>
    </x:row>
    <x:row r="152">
      <x:c r="A152" s="22" t="n">
        <x:v>7</x:v>
      </x:c>
      <x:c r="B152" s="22" t="str">
        <x:v>2月24日-2月27日</x:v>
      </x:c>
      <x:c r="C152" s="23" t="n">
        <x:v>8307.8</x:v>
      </x:c>
      <x:c r="D152" s="23" t="n">
        <x:v>8538.8</x:v>
      </x:c>
      <x:c r="E152" s="23" t="n">
        <x:v>8227.2</x:v>
      </x:c>
      <x:c r="F152" s="23" t="n">
        <x:v>8531.4</x:v>
      </x:c>
      <x:c r="G152" s="28" t="n">
        <x:f>ROUND(F152-F151,1)</x:f>
        <x:v>342.4</x:v>
      </x:c>
      <x:c r="H152" s="24" t="n">
        <x:f>IFERROR(F152/F151-1,"")</x:f>
        <x:v>0.04181218708022949</x:v>
      </x:c>
      <x:c r="I152" s="26" t="n">
        <x:f>ROUND(D152-E152,1)</x:f>
        <x:v>311.6</x:v>
      </x:c>
      <x:c r="J152" s="22" t="str">
        <x:v>IM2603</x:v>
      </x:c>
      <x:c r="K152" s="22" t="n">
        <x:v>4</x:v>
      </x:c>
    </x:row>
    <x:row r="153">
      <x:c r="A153" s="22" t="n">
        <x:v>8</x:v>
      </x:c>
      <x:c r="B153" s="22" t="str">
        <x:v>3月2日-3月6日</x:v>
      </x:c>
      <x:c r="C153" s="23" t="n">
        <x:v>8480</x:v>
      </x:c>
      <x:c r="D153" s="23" t="n">
        <x:v>8514.6</x:v>
      </x:c>
      <x:c r="E153" s="23" t="n">
        <x:v>8037.2</x:v>
      </x:c>
      <x:c r="F153" s="23" t="n">
        <x:v>8211.8</x:v>
      </x:c>
      <x:c r="G153" s="28" t="n">
        <x:f>ROUND(F153-F152,1)</x:f>
        <x:v>-319.6</x:v>
      </x:c>
      <x:c r="H153" s="24" t="n">
        <x:f>IFERROR(F153/F152-1,"")</x:f>
        <x:v>-0.03746161239655865</x:v>
      </x:c>
      <x:c r="I153" s="26" t="n">
        <x:f>ROUND(D153-E153,1)</x:f>
        <x:v>477.4</x:v>
      </x:c>
      <x:c r="J153" s="22" t="str">
        <x:v>IM2603</x:v>
      </x:c>
      <x:c r="K153" s="22" t="n">
        <x:v>5</x:v>
      </x:c>
    </x:row>
    <x:row r="154">
      <x:c r="A154" s="22" t="n">
        <x:v>9</x:v>
      </x:c>
      <x:c r="B154" s="22" t="str">
        <x:v>3月9日-3月13日</x:v>
      </x:c>
      <x:c r="C154" s="23" t="n">
        <x:v>8064</x:v>
      </x:c>
      <x:c r="D154" s="23" t="n">
        <x:v>8368</x:v>
      </x:c>
      <x:c r="E154" s="23" t="n">
        <x:v>7850</x:v>
      </x:c>
      <x:c r="F154" s="23" t="n">
        <x:v>8187</x:v>
      </x:c>
      <x:c r="G154" s="23" t="n">
        <x:f>ROUND(F154-F153,1)</x:f>
        <x:v>-24.8</x:v>
      </x:c>
      <x:c r="H154" s="24" t="n">
        <x:f>IFERROR(F154/F153-1,"")</x:f>
        <x:v>-0.003020044326456972</x:v>
      </x:c>
      <x:c r="I154" s="26" t="n">
        <x:f>ROUND(D154-E154,1)</x:f>
        <x:v>518</x:v>
      </x:c>
      <x:c r="J154" s="22" t="str">
        <x:v>IM2603</x:v>
      </x:c>
      <x:c r="K154" s="22" t="n">
        <x:v>5</x:v>
      </x:c>
    </x:row>
    <x:row r="155">
      <x:c r="A155" s="22" t="n">
        <x:v>10</x:v>
      </x:c>
      <x:c r="B155" s="22" t="str">
        <x:v>3月16日-3月20日</x:v>
      </x:c>
      <x:c r="C155" s="23" t="n">
        <x:v>8202.4</x:v>
      </x:c>
      <x:c r="D155" s="23" t="n">
        <x:v>8220</x:v>
      </x:c>
      <x:c r="E155" s="23" t="n">
        <x:v>7866</x:v>
      </x:c>
      <x:c r="F155" s="23" t="n">
        <x:v>7876.2</x:v>
      </x:c>
      <x:c r="G155" s="28" t="n">
        <x:f>ROUND(F155-F154,1)</x:f>
        <x:v>-310.8</x:v>
      </x:c>
      <x:c r="H155" s="24" t="n">
        <x:f>IFERROR(F155/F154-1,"")</x:f>
        <x:v>-0.03796262367167458</x:v>
      </x:c>
      <x:c r="I155" s="26" t="n">
        <x:f>ROUND(D155-E155,1)</x:f>
        <x:v>354</x:v>
      </x:c>
      <x:c r="J155" s="22" t="str">
        <x:v>IM2603</x:v>
      </x:c>
      <x:c r="K155" s="22" t="n">
        <x:v>5</x:v>
      </x:c>
    </x:row>
    <x:row r="156">
      <x:c r="A156" s="22" t="n">
        <x:v>11</x:v>
      </x:c>
      <x:c r="B156" s="22" t="str">
        <x:v>3月23日-3月27日</x:v>
      </x:c>
      <x:c r="C156" s="23" t="n">
        <x:v>7459.8</x:v>
      </x:c>
      <x:c r="D156" s="23" t="n">
        <x:v>7589</x:v>
      </x:c>
      <x:c r="E156" s="23" t="n">
        <x:v>7120.2</x:v>
      </x:c>
      <x:c r="F156" s="23" t="n">
        <x:v>7523.8</x:v>
      </x:c>
      <x:c r="G156" s="28" t="n">
        <x:f>ROUND(F156-F155,1)</x:f>
        <x:v>-352.4</x:v>
      </x:c>
      <x:c r="H156" s="24" t="n">
        <x:f>IFERROR(F156/F155-1,"")</x:f>
        <x:v>-0.04474238846144074</x:v>
      </x:c>
      <x:c r="I156" s="26" t="n">
        <x:f>ROUND(D156-E156,1)</x:f>
        <x:v>468.8</x:v>
      </x:c>
      <x:c r="J156" s="22" t="str">
        <x:v>IM2606</x:v>
      </x:c>
      <x:c r="K156" s="22" t="n">
        <x:v>5</x:v>
      </x:c>
    </x:row>
    <x:row r="157">
      <x:c r="A157" s="22" t="n">
        <x:v>12</x:v>
      </x:c>
      <x:c r="B157" s="22" t="str">
        <x:v>3月30日-4月3日</x:v>
      </x:c>
      <x:c r="C157" s="23" t="n">
        <x:v>7445</x:v>
      </x:c>
      <x:c r="D157" s="23" t="n">
        <x:v>7567.6</x:v>
      </x:c>
      <x:c r="E157" s="23" t="n">
        <x:v>7280.2</x:v>
      </x:c>
      <x:c r="F157" s="23" t="n">
        <x:v>7309.4</x:v>
      </x:c>
      <x:c r="G157" s="28" t="n">
        <x:f>ROUND(F157-F156,1)</x:f>
        <x:v>-214.4</x:v>
      </x:c>
      <x:c r="H157" s="24" t="n">
        <x:f>IFERROR(F157/F156-1,"")</x:f>
        <x:v>-0.02849623860283379</x:v>
      </x:c>
      <x:c r="I157" s="26" t="n">
        <x:f>ROUND(D157-E157,1)</x:f>
        <x:v>287.4</x:v>
      </x:c>
      <x:c r="J157" s="22" t="str">
        <x:v>IM2606</x:v>
      </x:c>
      <x:c r="K157" s="22" t="n">
        <x:v>5</x:v>
      </x:c>
    </x:row>
    <x:row r="158">
      <x:c r="A158" s="22" t="n">
        <x:v>13</x:v>
      </x:c>
      <x:c r="B158" s="22" t="str">
        <x:v>4月7日-4月10日</x:v>
      </x:c>
      <x:c r="C158" s="23" t="n">
        <x:v>7344.2</x:v>
      </x:c>
      <x:c r="D158" s="23" t="n">
        <x:v>7869.6</x:v>
      </x:c>
      <x:c r="E158" s="23" t="n">
        <x:v>7332.8</x:v>
      </x:c>
      <x:c r="F158" s="23" t="n">
        <x:v>7785.8</x:v>
      </x:c>
      <x:c r="G158" s="28" t="n">
        <x:f>ROUND(F158-F157,1)</x:f>
        <x:v>476.4</x:v>
      </x:c>
      <x:c r="H158" s="24" t="n">
        <x:f>IFERROR(F158/F157-1,"")</x:f>
        <x:v>0.06517634826387941</x:v>
      </x:c>
      <x:c r="I158" s="26" t="n">
        <x:f>ROUND(D158-E158,1)</x:f>
        <x:v>536.8</x:v>
      </x:c>
      <x:c r="J158" s="22" t="str">
        <x:v>IM2606</x:v>
      </x:c>
      <x:c r="K158" s="22" t="n">
        <x:v>4</x:v>
      </x:c>
    </x:row>
    <x:row r="159">
      <x:c r="A159" s="22" t="n">
        <x:v>14</x:v>
      </x:c>
      <x:c r="B159" s="22" t="str">
        <x:v>4月13日-4月17日</x:v>
      </x:c>
      <x:c r="C159" s="23" t="n">
        <x:v>7758</x:v>
      </x:c>
      <x:c r="D159" s="23" t="n">
        <x:v>8165.8</x:v>
      </x:c>
      <x:c r="E159" s="23" t="n">
        <x:v>7751</x:v>
      </x:c>
      <x:c r="F159" s="23" t="n">
        <x:v>8132</x:v>
      </x:c>
      <x:c r="G159" s="28" t="n">
        <x:f>ROUND(F159-F158,1)</x:f>
        <x:v>346.2</x:v>
      </x:c>
      <x:c r="H159" s="24" t="n">
        <x:f>IFERROR(F159/F158-1,"")</x:f>
        <x:v>0.04446556551670988</x:v>
      </x:c>
      <x:c r="I159" s="26" t="n">
        <x:f>ROUND(D159-E159,1)</x:f>
        <x:v>414.8</x:v>
      </x:c>
      <x:c r="J159" s="22" t="str">
        <x:v>IM2606</x:v>
      </x:c>
      <x:c r="K159" s="22" t="n">
        <x:v>5</x:v>
      </x:c>
    </x:row>
    <x:row r="160">
      <x:c r="A160" s="22" t="n">
        <x:v>15</x:v>
      </x:c>
      <x:c r="B160" s="22" t="str">
        <x:v>4月20日-4月24日</x:v>
      </x:c>
      <x:c r="C160" s="23" t="n">
        <x:v>8130</x:v>
      </x:c>
      <x:c r="D160" s="23" t="n">
        <x:v>8337</x:v>
      </x:c>
      <x:c r="E160" s="23" t="n">
        <x:v>8092</x:v>
      </x:c>
      <x:c r="F160" s="23" t="n">
        <x:v>8163</x:v>
      </x:c>
      <x:c r="G160" s="23" t="n">
        <x:f>ROUND(F160-F159,1)</x:f>
        <x:v>31</x:v>
      </x:c>
      <x:c r="H160" s="24" t="n">
        <x:f>IFERROR(F160/F159-1,"")</x:f>
        <x:v>0.0038121003443187806</x:v>
      </x:c>
      <x:c r="I160" s="26" t="n">
        <x:f>ROUND(D160-E160,1)</x:f>
        <x:v>245</x:v>
      </x:c>
      <x:c r="J160" s="22" t="str">
        <x:v>IM2606</x:v>
      </x:c>
      <x:c r="K160" s="22" t="n">
        <x:v>5</x:v>
      </x:c>
    </x:row>
    <x:row r="161">
      <x:c r="A161" s="22" t="n">
        <x:v>16</x:v>
      </x:c>
      <x:c r="B161" s="22" t="str">
        <x:v>4月27日-4月30日</x:v>
      </x:c>
      <x:c r="C161" s="23" t="n">
        <x:v>8181.4</x:v>
      </x:c>
      <x:c r="D161" s="23" t="n">
        <x:v>8292</x:v>
      </x:c>
      <x:c r="E161" s="23" t="n">
        <x:v>8056</x:v>
      </x:c>
      <x:c r="F161" s="23" t="n">
        <x:v>8279.2</x:v>
      </x:c>
      <x:c r="G161" s="23" t="n">
        <x:f>ROUND(F161-F160,1)</x:f>
        <x:v>116.2</x:v>
      </x:c>
      <x:c r="H161" s="24" t="n">
        <x:f>IFERROR(F161/F160-1,"")</x:f>
        <x:v>0.014234962636285875</x:v>
      </x:c>
      <x:c r="I161" s="26" t="n">
        <x:f>ROUND(D161-E161,1)</x:f>
        <x:v>236</x:v>
      </x:c>
      <x:c r="J161" s="22" t="str">
        <x:v>IM2606</x:v>
      </x:c>
      <x:c r="K161" s="22" t="n">
        <x:v>4</x:v>
      </x:c>
    </x:row>
    <x:row r="162">
      <x:c r="A162" s="22" t="n">
        <x:v>17</x:v>
      </x:c>
      <x:c r="B162" s="22" t="str">
        <x:v>5月6日-5月8日</x:v>
      </x:c>
      <x:c r="C162" s="23" t="n">
        <x:v>8398</x:v>
      </x:c>
      <x:c r="D162" s="23" t="n">
        <x:v>8670</x:v>
      </x:c>
      <x:c r="E162" s="23" t="n">
        <x:v>8381</x:v>
      </x:c>
      <x:c r="F162" s="23" t="n">
        <x:v>8642.2</x:v>
      </x:c>
      <x:c r="G162" s="28" t="n">
        <x:f>ROUND(F162-F161,1)</x:f>
        <x:v>363</x:v>
      </x:c>
      <x:c r="H162" s="24" t="n">
        <x:f>IFERROR(F162/F161-1,"")</x:f>
        <x:v>0.04384481592424394</x:v>
      </x:c>
      <x:c r="I162" s="26" t="n">
        <x:f>ROUND(D162-E162,1)</x:f>
        <x:v>289</x:v>
      </x:c>
      <x:c r="J162" s="22" t="str">
        <x:v>IM2606</x:v>
      </x:c>
      <x:c r="K162" s="22" t="n">
        <x:v>3</x:v>
      </x:c>
    </x:row>
    <x:row r="163">
      <x:c r="A163" s="22" t="n">
        <x:v>18</x:v>
      </x:c>
      <x:c r="B163" s="22" t="str">
        <x:v>5月11日-5月15日</x:v>
      </x:c>
      <x:c r="C163" s="23" t="n">
        <x:v>8720</x:v>
      </x:c>
      <x:c r="D163" s="23" t="n">
        <x:v>8908.8</x:v>
      </x:c>
      <x:c r="E163" s="23" t="n">
        <x:v>8505.6</x:v>
      </x:c>
      <x:c r="F163" s="23" t="n">
        <x:v>8582.6</x:v>
      </x:c>
      <x:c r="G163" s="23" t="n">
        <x:f>ROUND(F163-F162,1)</x:f>
        <x:v>-59.6</x:v>
      </x:c>
      <x:c r="H163" s="24" t="n">
        <x:f>IFERROR(F163/F162-1,"")</x:f>
        <x:v>-0.006896392122376249</x:v>
      </x:c>
      <x:c r="I163" s="26" t="n">
        <x:f>ROUND(D163-E163,1)</x:f>
        <x:v>403.2</x:v>
      </x:c>
      <x:c r="J163" s="22" t="str">
        <x:v>IM2606</x:v>
      </x:c>
      <x:c r="K163" s="22" t="n">
        <x:v>5</x:v>
      </x:c>
    </x:row>
    <x:row r="164">
      <x:c r="A164" s="22" t="n">
        <x:v>19</x:v>
      </x:c>
      <x:c r="B164" s="22" t="str">
        <x:v>5月18日-5月22日</x:v>
      </x:c>
      <x:c r="C164" s="23" t="n">
        <x:v>8563</x:v>
      </x:c>
      <x:c r="D164" s="23" t="n">
        <x:v>8814.2</x:v>
      </x:c>
      <x:c r="E164" s="23" t="n">
        <x:v>8426.2</x:v>
      </x:c>
      <x:c r="F164" s="23" t="n">
        <x:v>8589.8</x:v>
      </x:c>
      <x:c r="G164" s="23" t="n">
        <x:f>ROUND(F164-F163,1)</x:f>
        <x:v>7.2</x:v>
      </x:c>
      <x:c r="H164" s="24" t="n">
        <x:f>IFERROR(F164/F163-1,"")</x:f>
        <x:v>0.0008389066250318322</x:v>
      </x:c>
      <x:c r="I164" s="26" t="n">
        <x:f>ROUND(D164-E164,1)</x:f>
        <x:v>388</x:v>
      </x:c>
      <x:c r="J164" s="22" t="str">
        <x:v>IM2606</x:v>
      </x:c>
      <x:c r="K164" s="22" t="n">
        <x:v>5</x:v>
      </x:c>
    </x:row>
    <x:row r="165">
      <x:c r="A165" s="22" t="n">
        <x:v>20</x:v>
      </x:c>
      <x:c r="B165" s="22" t="str">
        <x:v>5月25日-5月29日</x:v>
      </x:c>
      <x:c r="C165" s="23" t="n">
        <x:v>8670</x:v>
      </x:c>
      <x:c r="D165" s="23" t="n">
        <x:v>8691.4</x:v>
      </x:c>
      <x:c r="E165" s="23" t="n">
        <x:v>8291.6</x:v>
      </x:c>
      <x:c r="F165" s="23" t="n">
        <x:v>8344.8</x:v>
      </x:c>
      <x:c r="G165" s="28" t="n">
        <x:f>ROUND(F165-F164,1)</x:f>
        <x:v>-245</x:v>
      </x:c>
      <x:c r="H165" s="24" t="n">
        <x:f>IFERROR(F165/F164-1,"")</x:f>
        <x:v>-0.028522200749726445</x:v>
      </x:c>
      <x:c r="I165" s="26" t="n">
        <x:f>ROUND(D165-E165,1)</x:f>
        <x:v>399.8</x:v>
      </x:c>
      <x:c r="J165" s="22" t="str">
        <x:v>IM2606</x:v>
      </x:c>
      <x:c r="K165" s="22" t="n">
        <x:v>5</x:v>
      </x:c>
    </x:row>
    <x:row r="166">
      <x:c r="A166" s="22" t="n">
        <x:v>21</x:v>
      </x:c>
      <x:c r="B166" s="22" t="str">
        <x:v>6月1日-6月5日</x:v>
      </x:c>
      <x:c r="C166" s="23" t="n">
        <x:v>8355</x:v>
      </x:c>
      <x:c r="D166" s="23" t="n">
        <x:v>8493.4</x:v>
      </x:c>
      <x:c r="E166" s="23" t="n">
        <x:v>8190</x:v>
      </x:c>
      <x:c r="F166" s="23" t="n">
        <x:v>8291.8</x:v>
      </x:c>
      <x:c r="G166" s="23" t="n">
        <x:f>ROUND(F166-F165,1)</x:f>
        <x:v>-53</x:v>
      </x:c>
      <x:c r="H166" s="24" t="n">
        <x:f>IFERROR(F166/F165-1,"")</x:f>
        <x:v>-0.006351260665324543</x:v>
      </x:c>
      <x:c r="I166" s="26" t="n">
        <x:f>ROUND(D166-E166,1)</x:f>
        <x:v>303.4</x:v>
      </x:c>
      <x:c r="J166" s="22" t="str">
        <x:v>IM2606</x:v>
      </x:c>
      <x:c r="K166" s="22" t="n">
        <x:v>5</x:v>
      </x:c>
    </x:row>
    <x:row r="167">
      <x:c r="A167" s="22" t="n">
        <x:v>22</x:v>
      </x:c>
      <x:c r="B167" s="22" t="str">
        <x:v>6月8日-6月12日</x:v>
      </x:c>
      <x:c r="C167" s="23" t="n">
        <x:v>8117.8</x:v>
      </x:c>
      <x:c r="D167" s="23" t="n">
        <x:v>8323.8</x:v>
      </x:c>
      <x:c r="E167" s="23" t="n">
        <x:v>7962</x:v>
      </x:c>
      <x:c r="F167" s="23" t="n">
        <x:v>8196.8</x:v>
      </x:c>
      <x:c r="G167" s="23" t="n">
        <x:f>ROUND(F167-F166,1)</x:f>
        <x:v>-95</x:v>
      </x:c>
      <x:c r="H167" s="24" t="n">
        <x:f>IFERROR(F167/F166-1,"")</x:f>
        <x:v>-0.011457102197351632</x:v>
      </x:c>
      <x:c r="I167" s="26" t="n">
        <x:f>ROUND(D167-E167,1)</x:f>
        <x:v>361.8</x:v>
      </x:c>
      <x:c r="J167" s="22" t="str">
        <x:v>IM2606</x:v>
      </x:c>
      <x:c r="K167" s="22" t="n">
        <x:v>5</x:v>
      </x:c>
    </x:row>
    <x:row r="168">
      <x:c r="A168" s="22" t="n">
        <x:v>23</x:v>
      </x:c>
      <x:c r="B168" s="22" t="str">
        <x:v>6月15日-6月18日</x:v>
      </x:c>
      <x:c r="C168" s="23" t="n">
        <x:v>8292</x:v>
      </x:c>
      <x:c r="D168" s="23" t="n">
        <x:v>8788</x:v>
      </x:c>
      <x:c r="E168" s="23" t="n">
        <x:v>8285</x:v>
      </x:c>
      <x:c r="F168" s="23" t="n">
        <x:v>8766</x:v>
      </x:c>
      <x:c r="G168" s="28" t="n">
        <x:f>ROUND(F168-F167,1)</x:f>
        <x:v>569.2</x:v>
      </x:c>
      <x:c r="H168" s="24" t="n">
        <x:f>IFERROR(F168/F167-1,"")</x:f>
        <x:v>0.06944173335935977</x:v>
      </x:c>
      <x:c r="I168" s="26" t="n">
        <x:f>ROUND(D168-E168,1)</x:f>
        <x:v>503</x:v>
      </x:c>
      <x:c r="J168" s="22" t="str">
        <x:v>IM2606</x:v>
      </x:c>
      <x:c r="K168" s="22" t="n">
        <x:v>4</x:v>
      </x:c>
    </x:row>
    <x:row r="169">
      <x:c r="A169" s="22" t="n">
        <x:v>24</x:v>
      </x:c>
      <x:c r="B169" s="22" t="str">
        <x:v>6月22日-6月26日</x:v>
      </x:c>
      <x:c r="C169" s="23" t="n">
        <x:v>8790</x:v>
      </x:c>
      <x:c r="D169" s="23" t="n">
        <x:v>8802.4</x:v>
      </x:c>
      <x:c r="E169" s="23" t="n">
        <x:v>8260.2</x:v>
      </x:c>
      <x:c r="F169" s="23" t="n">
        <x:v>8319.2</x:v>
      </x:c>
      <x:c r="G169" s="28" t="n">
        <x:f>ROUND(F169-F168,1)</x:f>
        <x:v>-446.8</x:v>
      </x:c>
      <x:c r="H169" s="24" t="n">
        <x:f>IFERROR(F169/F168-1,"")</x:f>
        <x:v>-0.05096965548710919</x:v>
      </x:c>
      <x:c r="I169" s="26" t="n">
        <x:f>ROUND(D169-E169,1)</x:f>
        <x:v>542.2</x:v>
      </x:c>
      <x:c r="J169" s="22" t="str">
        <x:v>IM2606/IM2609</x:v>
      </x:c>
      <x:c r="K169" s="22" t="n">
        <x:v>5</x:v>
      </x:c>
    </x:row>
    <x:row r="170">
      <x:c r="A170" s="22" t="n">
        <x:v>25</x:v>
      </x:c>
      <x:c r="B170" s="22" t="str">
        <x:v>6月29日-7月3日</x:v>
      </x:c>
      <x:c r="C170" s="23" t="n">
        <x:v>8335</x:v>
      </x:c>
      <x:c r="D170" s="23" t="n">
        <x:v>8629</x:v>
      </x:c>
      <x:c r="E170" s="23" t="n">
        <x:v>8145.2</x:v>
      </x:c>
      <x:c r="F170" s="23" t="n">
        <x:v>8373</x:v>
      </x:c>
      <x:c r="G170" s="23" t="n">
        <x:f>ROUND(F170-F169,1)</x:f>
        <x:v>53.8</x:v>
      </x:c>
      <x:c r="H170" s="24" t="n">
        <x:f>IFERROR(F170/F169-1,"")</x:f>
        <x:v>0.006466967977690086</x:v>
      </x:c>
      <x:c r="I170" s="26" t="n">
        <x:f>ROUND(D170-E170,1)</x:f>
        <x:v>483.8</x:v>
      </x:c>
      <x:c r="J170" s="22" t="str">
        <x:v>IM2609</x:v>
      </x:c>
      <x:c r="K170" s="22" t="n">
        <x:v>5</x:v>
      </x:c>
    </x:row>
    <x:row r="171">
      <x:c r="A171" s="22" t="n">
        <x:v>26</x:v>
      </x:c>
      <x:c r="B171" s="22" t="str">
        <x:v>7月6日-7月10日</x:v>
      </x:c>
      <x:c r="C171" s="23" t="n">
        <x:v>8403</x:v>
      </x:c>
      <x:c r="D171" s="23" t="n">
        <x:v>8419.8</x:v>
      </x:c>
      <x:c r="E171" s="23" t="n">
        <x:v>7868.2</x:v>
      </x:c>
      <x:c r="F171" s="23" t="n">
        <x:v>8019.4</x:v>
      </x:c>
      <x:c r="G171" s="28" t="n">
        <x:f>ROUND(F171-F170,1)</x:f>
        <x:v>-353.6</x:v>
      </x:c>
      <x:c r="H171" s="24" t="n">
        <x:f>IFERROR(F171/F170-1,"")</x:f>
        <x:v>-0.04223098053266461</x:v>
      </x:c>
      <x:c r="I171" s="26" t="n">
        <x:f>ROUND(D171-E171,1)</x:f>
        <x:v>551.6</x:v>
      </x:c>
      <x:c r="J171" s="22" t="str">
        <x:v>IM2609</x:v>
      </x:c>
      <x:c r="K171" s="22" t="n">
        <x:v>5</x:v>
      </x:c>
    </x:row>
    <x:row r="172">
      <x:c r="A172" s="22" t="n">
        <x:v>27</x:v>
      </x:c>
      <x:c r="B172" s="22" t="str">
        <x:v>7月13日-7月17日</x:v>
      </x:c>
      <x:c r="C172" s="23" t="n">
        <x:v>7995</x:v>
      </x:c>
      <x:c r="D172" s="23" t="n">
        <x:v>8029.8</x:v>
      </x:c>
      <x:c r="E172" s="23" t="n">
        <x:v>7018.8</x:v>
      </x:c>
      <x:c r="F172" s="23" t="n">
        <x:v>7065.2</x:v>
      </x:c>
      <x:c r="G172" s="28" t="n">
        <x:f>ROUND(F172-F171,1)</x:f>
        <x:v>-954.2</x:v>
      </x:c>
      <x:c r="H172" s="24" t="n">
        <x:f>IFERROR(F172/F171-1,"")</x:f>
        <x:v>-0.1189864578397386</x:v>
      </x:c>
      <x:c r="I172" s="26" t="n">
        <x:f>ROUND(D172-E172,1)</x:f>
        <x:v>1011</x:v>
      </x:c>
      <x:c r="J172" s="22" t="str">
        <x:v>IM2609</x:v>
      </x:c>
      <x:c r="K172" s="22" t="n">
        <x:v>5</x:v>
      </x:c>
    </x:row>
    <x:row r="173">
      <x:c r="A173" s="22" t="n">
        <x:v>28</x:v>
      </x:c>
      <x:c r="B173" s="22" t="str">
        <x:v>7月20日-7月24日</x:v>
      </x:c>
      <x:c r="C173" s="23" t="n">
        <x:v>7165.2</x:v>
      </x:c>
      <x:c r="D173" s="23" t="n">
        <x:v>7237</x:v>
      </x:c>
      <x:c r="E173" s="23" t="n">
        <x:v>6641.8</x:v>
      </x:c>
      <x:c r="F173" s="23" t="n">
        <x:v>6880.2</x:v>
      </x:c>
      <x:c r="G173" s="28" t="n">
        <x:f>ROUND(F173-F172,1)</x:f>
        <x:v>-185</x:v>
      </x:c>
      <x:c r="H173" s="24" t="n">
        <x:f>IFERROR(F173/F172-1,"")</x:f>
        <x:v>-0.02618467983921191</x:v>
      </x:c>
      <x:c r="I173" s="26" t="n">
        <x:f>ROUND(D173-E173,1)</x:f>
        <x:v>595.2</x:v>
      </x:c>
      <x:c r="J173" s="22" t="str">
        <x:v>IM2609</x:v>
      </x:c>
      <x:c r="K173" s="22" t="n">
        <x:v>5</x:v>
      </x:c>
    </x:row>
    <x:row r="174">
      <x:c r="A174" s="22" t="n">
        <x:v>29</x:v>
      </x:c>
      <x:c r="B174" s="22" t="str">
        <x:v>7月27日-7月31日</x:v>
      </x:c>
      <x:c r="C174" s="23" t="n">
        <x:v>6880.4</x:v>
      </x:c>
      <x:c r="D174" s="23" t="n">
        <x:v>7205</x:v>
      </x:c>
      <x:c r="E174" s="23" t="n">
        <x:v>6757.6</x:v>
      </x:c>
      <x:c r="F174" s="23" t="n">
        <x:v>6987.8</x:v>
      </x:c>
      <x:c r="G174" s="23" t="n">
        <x:f>ROUND(F174-F173,1)</x:f>
        <x:v>107.6</x:v>
      </x:c>
      <x:c r="H174" s="24" t="n">
        <x:f>IFERROR(F174/F173-1,"")</x:f>
        <x:v>0.015639080259294946</x:v>
      </x:c>
      <x:c r="I174" s="26" t="n">
        <x:f>ROUND(D174-E174,1)</x:f>
        <x:v>447.4</x:v>
      </x:c>
      <x:c r="J174" s="22" t="str">
        <x:v>IM2609</x:v>
      </x:c>
      <x:c r="K174" s="22" t="n">
        <x:v>5</x:v>
      </x:c>
    </x:row>
    <x:row r="175">
      <x:c r="A175" s="22" t="n">
        <x:v>30</x:v>
      </x:c>
      <x:c r="B175" s="22" t="str">
        <x:v>8月3日-8月7日</x:v>
      </x:c>
      <x:c r="C175" s="23" t="n">
        <x:v>7000</x:v>
      </x:c>
      <x:c r="D175" s="23" t="n">
        <x:v>7594.2</x:v>
      </x:c>
      <x:c r="E175" s="23" t="n">
        <x:v>6976</x:v>
      </x:c>
      <x:c r="F175" s="23" t="n">
        <x:v>7590.6</x:v>
      </x:c>
      <x:c r="G175" s="28" t="n">
        <x:f>ROUND(F175-F174,1)</x:f>
        <x:v>602.8</x:v>
      </x:c>
      <x:c r="H175" s="24" t="n">
        <x:f>IFERROR(F175/F174-1,"")</x:f>
        <x:v>0.08626463264546791</x:v>
      </x:c>
      <x:c r="I175" s="26" t="n">
        <x:f>ROUND(D175-E175,1)</x:f>
        <x:v>618.2</x:v>
      </x:c>
      <x:c r="J175" s="22" t="str">
        <x:v>IM2609</x:v>
      </x:c>
      <x:c r="K175" s="22" t="n">
        <x:v>5</x:v>
      </x:c>
    </x:row>
    <x:row r="176">
      <x:c r="A176" s="22" t="n">
        <x:v>31</x:v>
      </x:c>
      <x:c r="B176" s="22" t="str">
        <x:v>8月10日-8月14日</x:v>
      </x:c>
      <x:c r="C176" s="23" t="n">
        <x:v>7628.8</x:v>
      </x:c>
      <x:c r="D176" s="23" t="n">
        <x:v>7776</x:v>
      </x:c>
      <x:c r="E176" s="23" t="n">
        <x:v>7525</x:v>
      </x:c>
      <x:c r="F176" s="23" t="n">
        <x:v>7650.2</x:v>
      </x:c>
      <x:c r="G176" s="23" t="n">
        <x:f>ROUND(F176-F175,1)</x:f>
        <x:v>59.6</x:v>
      </x:c>
      <x:c r="H176" s="24" t="n">
        <x:f>IFERROR(F176/F175-1,"")</x:f>
        <x:v>0.007851816720680693</x:v>
      </x:c>
      <x:c r="I176" s="26" t="n">
        <x:f>ROUND(D176-E176,1)</x:f>
        <x:v>251</x:v>
      </x:c>
      <x:c r="J176" s="22" t="str">
        <x:v>IM2609</x:v>
      </x:c>
      <x:c r="K176" s="22" t="n">
        <x:v>5</x:v>
      </x:c>
    </x:row>
    <x:row r="177">
      <x:c r="A177" s="22" t="n">
        <x:v>32</x:v>
      </x:c>
      <x:c r="B177" s="22" t="str">
        <x:v>8月17日-8月21日</x:v>
      </x:c>
      <x:c r="C177" s="23" t="n">
        <x:v>7675</x:v>
      </x:c>
      <x:c r="D177" s="23" t="n">
        <x:v>7882.8</x:v>
      </x:c>
      <x:c r="E177" s="23" t="n">
        <x:v>7410</x:v>
      </x:c>
      <x:c r="F177" s="23" t="n">
        <x:v>7527</x:v>
      </x:c>
      <x:c r="G177" s="23" t="n">
        <x:f>ROUND(F177-F176,1)</x:f>
        <x:v>-123.2</x:v>
      </x:c>
      <x:c r="H177" s="24" t="n">
        <x:f>IFERROR(F177/F176-1,"")</x:f>
        <x:v>-0.016104154139761073</x:v>
      </x:c>
      <x:c r="I177" s="26" t="n">
        <x:f>ROUND(D177-E177,1)</x:f>
        <x:v>472.8</x:v>
      </x:c>
      <x:c r="J177" s="22" t="str">
        <x:v>IM2609</x:v>
      </x:c>
      <x:c r="K177" s="22" t="n">
        <x:v>5</x:v>
      </x:c>
    </x:row>
    <x:row r="178">
      <x:c r="A178" s="22" t="n">
        <x:v>33</x:v>
      </x:c>
      <x:c r="B178" s="22" t="str">
        <x:v>8月24日-8月28日</x:v>
      </x:c>
      <x:c r="C178" s="23" t="n">
        <x:v>7534.8</x:v>
      </x:c>
      <x:c r="D178" s="23" t="n">
        <x:v>7753.8</x:v>
      </x:c>
      <x:c r="E178" s="23" t="n">
        <x:v>7300.2</x:v>
      </x:c>
      <x:c r="F178" s="23" t="n">
        <x:v>7666.6</x:v>
      </x:c>
      <x:c r="G178" s="23" t="n">
        <x:f>ROUND(F178-F177,1)</x:f>
        <x:v>139.6</x:v>
      </x:c>
      <x:c r="H178" s="24" t="n">
        <x:f>IFERROR(F178/F177-1,"")</x:f>
        <x:v>0.01854656569682489</x:v>
      </x:c>
      <x:c r="I178" s="26" t="n">
        <x:f>ROUND(D178-E178,1)</x:f>
        <x:v>453.6</x:v>
      </x:c>
      <x:c r="J178" s="22" t="str">
        <x:v>IM2609</x:v>
      </x:c>
      <x:c r="K178" s="22" t="n">
        <x:v>5</x:v>
      </x:c>
    </x:row>
    <x:row r="179">
      <x:c r="A179" s="22" t="n">
        <x:v>34</x:v>
      </x:c>
      <x:c r="B179" s="22" t="str">
        <x:v>8月31日-9月4日</x:v>
      </x:c>
      <x:c r="C179" s="23" t="n">
        <x:v>7582</x:v>
      </x:c>
      <x:c r="D179" s="23" t="n">
        <x:v>7735</x:v>
      </x:c>
      <x:c r="E179" s="23" t="n">
        <x:v>7432</x:v>
      </x:c>
      <x:c r="F179" s="23" t="n">
        <x:v>7468.2</x:v>
      </x:c>
      <x:c r="G179" s="28" t="n">
        <x:f>ROUND(F179-F178,1)</x:f>
        <x:v>-198.4</x:v>
      </x:c>
      <x:c r="H179" s="24" t="n">
        <x:f>IFERROR(F179/F178-1,"")</x:f>
        <x:v>-0.025878485899877512</x:v>
      </x:c>
      <x:c r="I179" s="26" t="n">
        <x:f>ROUND(D179-E179,1)</x:f>
        <x:v>303</x:v>
      </x:c>
      <x:c r="J179" s="22" t="str">
        <x:v>IM2609</x:v>
      </x:c>
      <x:c r="K179" s="22" t="n">
        <x:v>5</x:v>
      </x:c>
    </x:row>
    <x:row r="180">
      <x:c r="A180" s="22" t="n">
        <x:v>35</x:v>
      </x:c>
      <x:c r="B180" s="22" t="str">
        <x:v>9月7日-9月11日</x:v>
      </x:c>
      <x:c r="C180" s="23" t="n">
        <x:v>7527.2</x:v>
      </x:c>
      <x:c r="D180" s="23" t="n">
        <x:v>7714.6</x:v>
      </x:c>
      <x:c r="E180" s="23" t="n">
        <x:v>7259.4</x:v>
      </x:c>
      <x:c r="F180" s="23" t="n">
        <x:v>7415.2</x:v>
      </x:c>
      <x:c r="G180" s="23" t="n">
        <x:f>ROUND(F180-F179,1)</x:f>
        <x:v>-53</x:v>
      </x:c>
      <x:c r="H180" s="24" t="n">
        <x:f>IFERROR(F180/F179-1,"")</x:f>
        <x:v>-0.007096756915990432</x:v>
      </x:c>
      <x:c r="I180" s="26" t="n">
        <x:f>ROUND(D180-E180,1)</x:f>
        <x:v>455.2</x:v>
      </x:c>
      <x:c r="J180" s="22" t="str">
        <x:v>IM2609</x:v>
      </x:c>
      <x:c r="K180" s="22" t="n">
        <x:v>5</x:v>
      </x:c>
    </x:row>
    <x:row r="181">
      <x:c r="A181" s="22" t="n">
        <x:v>36</x:v>
      </x:c>
      <x:c r="B181" s="22" t="str">
        <x:v>9月14日-9月18日</x:v>
      </x:c>
      <x:c r="C181" s="23" t="n">
        <x:v>7312</x:v>
      </x:c>
      <x:c r="D181" s="23" t="n">
        <x:v>7712.4</x:v>
      </x:c>
      <x:c r="E181" s="23" t="n">
        <x:v>7283.4</x:v>
      </x:c>
      <x:c r="F181" s="23" t="n">
        <x:v>7679.2</x:v>
      </x:c>
      <x:c r="G181" s="28" t="n">
        <x:f>ROUND(F181-F180,1)</x:f>
        <x:v>264</x:v>
      </x:c>
      <x:c r="H181" s="24" t="n">
        <x:f>IFERROR(F181/F180-1,"")</x:f>
        <x:v>0.03560254612148017</x:v>
      </x:c>
      <x:c r="I181" s="26" t="n">
        <x:f>ROUND(D181-E181,1)</x:f>
        <x:v>429</x:v>
      </x:c>
      <x:c r="J181" s="22" t="str">
        <x:v>IM2609</x:v>
      </x:c>
      <x:c r="K181" s="22" t="n">
        <x:v>5</x:v>
      </x:c>
    </x:row>
    <x:row r="182">
      <x:c r="A182" s="22" t="n">
        <x:v>37</x:v>
      </x:c>
      <x:c r="B182" s="22" t="str">
        <x:v>9月21日-9月24日</x:v>
      </x:c>
      <x:c r="C182" s="23" t="n">
        <x:v>7549</x:v>
      </x:c>
      <x:c r="D182" s="23" t="n">
        <x:v>7687</x:v>
      </x:c>
      <x:c r="E182" s="23" t="n">
        <x:v>7386</x:v>
      </x:c>
      <x:c r="F182" s="23" t="n">
        <x:v>7391</x:v>
      </x:c>
      <x:c r="G182" s="28" t="n">
        <x:f>ROUND(F182-F181,1)</x:f>
        <x:v>-288.2</x:v>
      </x:c>
      <x:c r="H182" s="24" t="n">
        <x:f>IFERROR(F182/F181-1,"")</x:f>
        <x:v>-0.03752995103656631</x:v>
      </x:c>
      <x:c r="I182" s="26" t="n">
        <x:f>ROUND(D182-E182,1)</x:f>
        <x:v>301</x:v>
      </x:c>
      <x:c r="J182" s="22" t="str">
        <x:v>IM2612</x:v>
      </x:c>
      <x:c r="K182" s="22" t="n">
        <x:v>4</x:v>
      </x:c>
    </x:row>
    <x:row r="183">
      <x:c r="A183" s="22" t="n">
        <x:v>38</x:v>
      </x:c>
      <x:c r="B183" s="22" t="str">
        <x:v>9月28日-9月30日</x:v>
      </x:c>
      <x:c r="C183" s="23" t="n">
        <x:v>7390</x:v>
      </x:c>
      <x:c r="D183" s="23" t="n">
        <x:v>7393</x:v>
      </x:c>
      <x:c r="E183" s="23" t="n">
        <x:v>7076.2</x:v>
      </x:c>
      <x:c r="F183" s="23" t="n">
        <x:v>7168.8</x:v>
      </x:c>
      <x:c r="G183" s="28" t="n">
        <x:f>ROUND(F183-F182,1)</x:f>
        <x:v>-222.2</x:v>
      </x:c>
      <x:c r="H183" s="24" t="n">
        <x:f>IFERROR(F183/F182-1,"")</x:f>
        <x:v>-0.030063590853740996</x:v>
      </x:c>
      <x:c r="I183" s="26" t="n">
        <x:f>ROUND(D183-E183,1)</x:f>
        <x:v>316.8</x:v>
      </x:c>
      <x:c r="J183" s="22" t="str">
        <x:v>IM2612</x:v>
      </x:c>
      <x:c r="K183" s="22" t="n">
        <x:v>3</x:v>
      </x:c>
    </x:row>
    <x:row r="184">
      <x:c r="A184" s="22" t="n">
        <x:v>39</x:v>
      </x:c>
      <x:c r="B184" s="22" t="str">
        <x:v>10月8日-10月9日</x:v>
      </x:c>
      <x:c r="C184" s="23" t="n">
        <x:v>7182.8</x:v>
      </x:c>
      <x:c r="D184" s="23" t="n">
        <x:v>7251.8</x:v>
      </x:c>
      <x:c r="E184" s="23" t="n">
        <x:v>6819.2</x:v>
      </x:c>
      <x:c r="F184" s="23" t="n">
        <x:v>7015.8</x:v>
      </x:c>
      <x:c r="G184" s="28" t="n">
        <x:f>ROUND(F184-F183,1)</x:f>
        <x:v>-153</x:v>
      </x:c>
      <x:c r="H184" s="24" t="n">
        <x:f>IFERROR(F184/F183-1,"")</x:f>
        <x:v>-0.021342484097756964</x:v>
      </x:c>
      <x:c r="I184" s="26" t="n">
        <x:f>ROUND(D184-E184,1)</x:f>
        <x:v>432.6</x:v>
      </x:c>
      <x:c r="J184" s="22" t="str">
        <x:v>IM2612</x:v>
      </x:c>
      <x:c r="K184" s="22" t="n">
        <x:v>2</x:v>
      </x:c>
    </x:row>
    <x:row r="185">
      <x:c r="A185" s="22" t="n">
        <x:v>40</x:v>
      </x:c>
      <x:c r="B185" s="22" t="str">
        <x:v>10月12日-10月16日</x:v>
      </x:c>
      <x:c r="C185" s="23" t="n">
        <x:v>7000</x:v>
      </x:c>
      <x:c r="D185" s="23" t="n">
        <x:v>7031.2</x:v>
      </x:c>
      <x:c r="E185" s="23" t="n">
        <x:v>6519.6</x:v>
      </x:c>
      <x:c r="F185" s="23" t="n">
        <x:v>6583.6</x:v>
      </x:c>
      <x:c r="G185" s="28" t="n">
        <x:f>ROUND(F185-F184,1)</x:f>
        <x:v>-432.2</x:v>
      </x:c>
      <x:c r="H185" s="24" t="n">
        <x:f>IFERROR(F185/F184-1,"")</x:f>
        <x:v>-0.06160380854642378</x:v>
      </x:c>
      <x:c r="I185" s="26" t="n">
        <x:f>ROUND(D185-E185,1)</x:f>
        <x:v>511.6</x:v>
      </x:c>
      <x:c r="J185" s="22" t="str">
        <x:v>IM2612</x:v>
      </x:c>
      <x:c r="K185" s="22" t="n">
        <x:v>5</x:v>
      </x:c>
    </x:row>
    <x:row r="186">
      <x:c r="A186" s="22" t="n">
        <x:v>41</x:v>
      </x:c>
      <x:c r="B186" s="22" t="str">
        <x:v>10月19日-10月23日</x:v>
      </x:c>
      <x:c r="C186" s="23" t="n">
        <x:v>6577.2</x:v>
      </x:c>
      <x:c r="D186" s="23" t="n">
        <x:v>6799.6</x:v>
      </x:c>
      <x:c r="E186" s="23" t="n">
        <x:v>6212.6</x:v>
      </x:c>
      <x:c r="F186" s="23" t="n">
        <x:v>6660</x:v>
      </x:c>
      <x:c r="G186" s="23" t="n">
        <x:f>ROUND(F186-F185,1)</x:f>
        <x:v>76.4</x:v>
      </x:c>
      <x:c r="H186" s="24" t="n">
        <x:f>IFERROR(F186/F185-1,"")</x:f>
        <x:v>0.011604593231666405</x:v>
      </x:c>
      <x:c r="I186" s="26" t="n">
        <x:f>ROUND(D186-E186,1)</x:f>
        <x:v>587</x:v>
      </x:c>
      <x:c r="J186" s="22" t="str">
        <x:v>IM2612</x:v>
      </x:c>
      <x:c r="K186" s="22" t="n">
        <x:v>5</x:v>
      </x:c>
    </x:row>
    <x:row r="187">
      <x:c r="A187" s="22" t="n">
        <x:v>42</x:v>
      </x:c>
      <x:c r="B187" s="22" t="str">
        <x:v>10月26日-10月27日</x:v>
      </x:c>
      <x:c r="C187" s="23" t="n">
        <x:v>6618</x:v>
      </x:c>
      <x:c r="D187" s="23" t="n">
        <x:v>6670.8</x:v>
      </x:c>
      <x:c r="E187" s="23" t="n">
        <x:v>6333.2</x:v>
      </x:c>
      <x:c r="F187" s="23" t="n">
        <x:v>6339.2</x:v>
      </x:c>
      <x:c r="G187" s="28" t="n">
        <x:f>ROUND(F187-F186,1)</x:f>
        <x:v>-320.8</x:v>
      </x:c>
      <x:c r="H187" s="24" t="n">
        <x:f>IFERROR(F187/F186-1,"")</x:f>
        <x:v>-0.04816816816816816</x:v>
      </x:c>
      <x:c r="I187" s="26" t="n">
        <x:f>ROUND(D187-E187,1)</x:f>
        <x:v>337.6</x:v>
      </x:c>
      <x:c r="J187" s="22" t="str">
        <x:v>IM2612</x:v>
      </x:c>
      <x:c r="K187" s="22" t="n">
        <x:v>2</x:v>
      </x:c>
    </x:row>
    <x:row r="188">
      <x:c r="A188" s="31" t="str">
        <x:v>合计</x:v>
      </x:c>
      <x:c r="B188" s="30" t="n">
        <x:v>42</x:v>
      </x:c>
      <x:c r="C188" s="30"/>
      <x:c r="D188" s="30"/>
      <x:c r="E188" s="30"/>
      <x:c r="F188" s="30"/>
      <x:c r="G188" s="30"/>
      <x:c r="H188" s="30"/>
      <x:c r="I188" s="32" t="n">
        <x:f>ROUND(SUM(I146:I187),1)</x:f>
        <x:v>18199.4</x:v>
      </x:c>
      <x:c r="J188" s="30"/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4" t="n">
        <x:f>ROUND(IFERROR(AVERAGE(I146:I187),0),1)</x:f>
        <x:v>433.3</x:v>
      </x:c>
      <x:c r="J189" s="30"/>
      <x:c r="K189" s="30"/>
    </x:row>
    <x:row r="191">
      <x:c r="A191" s="17" t="str">
        <x:v>IC主力</x:v>
      </x:c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</x:row>
    <x:row r="192">
      <x:c r="A192" s="20" t="str">
        <x:v>序号</x:v>
      </x:c>
      <x:c r="B192" s="20" t="str">
        <x:v>周期</x:v>
      </x:c>
      <x:c r="C192" s="20" t="str">
        <x:v>开盘</x:v>
      </x:c>
      <x:c r="D192" s="20" t="str">
        <x:v>高点</x:v>
      </x:c>
      <x:c r="E192" s="20" t="str">
        <x:v>低点</x:v>
      </x:c>
      <x:c r="F192" s="20" t="str">
        <x:v>收盘</x:v>
      </x:c>
      <x:c r="G192" s="20" t="str">
        <x:v>涨跌点数</x:v>
      </x:c>
      <x:c r="H192" s="20" t="str">
        <x:v>涨幅</x:v>
      </x:c>
      <x:c r="I192" s="20" t="str">
        <x:v>振幅</x:v>
      </x:c>
      <x:c r="J192" s="20" t="str">
        <x:v>标的</x:v>
      </x:c>
      <x:c r="K192" s="20" t="str">
        <x:v>交易日</x:v>
      </x:c>
    </x:row>
    <x:row r="193">
      <x:c r="A193" s="22" t="n">
        <x:v>1</x:v>
      </x:c>
      <x:c r="B193" s="22" t="str">
        <x:v>1月5日-1月9日</x:v>
      </x:c>
      <x:c r="C193" s="23" t="n">
        <x:v>7424.4</x:v>
      </x:c>
      <x:c r="D193" s="23" t="n">
        <x:v>8037.8</x:v>
      </x:c>
      <x:c r="E193" s="23" t="n">
        <x:v>7422</x:v>
      </x:c>
      <x:c r="F193" s="23" t="n">
        <x:v>8037.8</x:v>
      </x:c>
      <x:c r="G193" s="23"/>
      <x:c r="H193" s="24"/>
      <x:c r="I193" s="26" t="n">
        <x:f>ROUND(D193-E193,1)</x:f>
        <x:v>615.8</x:v>
      </x:c>
      <x:c r="J193" s="22" t="str">
        <x:v>IC2603</x:v>
      </x:c>
      <x:c r="K193" s="22" t="n">
        <x:v>5</x:v>
      </x:c>
    </x:row>
    <x:row r="194">
      <x:c r="A194" s="22" t="n">
        <x:v>2</x:v>
      </x:c>
      <x:c r="B194" s="22" t="str">
        <x:v>1月12日-1月16日</x:v>
      </x:c>
      <x:c r="C194" s="23" t="n">
        <x:v>8099</x:v>
      </x:c>
      <x:c r="D194" s="23" t="n">
        <x:v>8388.6</x:v>
      </x:c>
      <x:c r="E194" s="23" t="n">
        <x:v>8044</x:v>
      </x:c>
      <x:c r="F194" s="23" t="n">
        <x:v>8210.4</x:v>
      </x:c>
      <x:c r="G194" s="28" t="n">
        <x:f>ROUND(F194-F193,1)</x:f>
        <x:v>172.6</x:v>
      </x:c>
      <x:c r="H194" s="24" t="n">
        <x:f>IFERROR(F194/F193-1,"")</x:f>
        <x:v>0.02147353753514647</x:v>
      </x:c>
      <x:c r="I194" s="26" t="n">
        <x:f>ROUND(D194-E194,1)</x:f>
        <x:v>344.6</x:v>
      </x:c>
      <x:c r="J194" s="22" t="str">
        <x:v>IC2603</x:v>
      </x:c>
      <x:c r="K194" s="22" t="n">
        <x:v>5</x:v>
      </x:c>
    </x:row>
    <x:row r="195">
      <x:c r="A195" s="22" t="n">
        <x:v>3</x:v>
      </x:c>
      <x:c r="B195" s="22" t="str">
        <x:v>1月19日-1月23日</x:v>
      </x:c>
      <x:c r="C195" s="23" t="n">
        <x:v>8182.6</x:v>
      </x:c>
      <x:c r="D195" s="23" t="n">
        <x:v>8660</x:v>
      </x:c>
      <x:c r="E195" s="23" t="n">
        <x:v>8112</x:v>
      </x:c>
      <x:c r="F195" s="23" t="n">
        <x:v>8658.2</x:v>
      </x:c>
      <x:c r="G195" s="28" t="n">
        <x:f>ROUND(F195-F194,1)</x:f>
        <x:v>447.8</x:v>
      </x:c>
      <x:c r="H195" s="24" t="n">
        <x:f>IFERROR(F195/F194-1,"")</x:f>
        <x:v>0.05454058267563111</x:v>
      </x:c>
      <x:c r="I195" s="26" t="n">
        <x:f>ROUND(D195-E195,1)</x:f>
        <x:v>548</x:v>
      </x:c>
      <x:c r="J195" s="22" t="str">
        <x:v>IC2603</x:v>
      </x:c>
      <x:c r="K195" s="22" t="n">
        <x:v>5</x:v>
      </x:c>
    </x:row>
    <x:row r="196">
      <x:c r="A196" s="22" t="n">
        <x:v>4</x:v>
      </x:c>
      <x:c r="B196" s="22" t="str">
        <x:v>1月26日-1月30日</x:v>
      </x:c>
      <x:c r="C196" s="23" t="n">
        <x:v>8695</x:v>
      </x:c>
      <x:c r="D196" s="23" t="n">
        <x:v>8728.2</x:v>
      </x:c>
      <x:c r="E196" s="23" t="n">
        <x:v>8135</x:v>
      </x:c>
      <x:c r="F196" s="23" t="n">
        <x:v>8362.4</x:v>
      </x:c>
      <x:c r="G196" s="28" t="n">
        <x:f>ROUND(F196-F195,1)</x:f>
        <x:v>-295.8</x:v>
      </x:c>
      <x:c r="H196" s="24" t="n">
        <x:f>IFERROR(F196/F195-1,"")</x:f>
        <x:v>-0.03416414497239628</x:v>
      </x:c>
      <x:c r="I196" s="26" t="n">
        <x:f>ROUND(D196-E196,1)</x:f>
        <x:v>593.2</x:v>
      </x:c>
      <x:c r="J196" s="22" t="str">
        <x:v>IC2603</x:v>
      </x:c>
      <x:c r="K196" s="22" t="n">
        <x:v>5</x:v>
      </x:c>
    </x:row>
    <x:row r="197">
      <x:c r="A197" s="22" t="n">
        <x:v>5</x:v>
      </x:c>
      <x:c r="B197" s="22" t="str">
        <x:v>2月2日-2月6日</x:v>
      </x:c>
      <x:c r="C197" s="23" t="n">
        <x:v>8262.2</x:v>
      </x:c>
      <x:c r="D197" s="23" t="n">
        <x:v>8334.4</x:v>
      </x:c>
      <x:c r="E197" s="23" t="n">
        <x:v>7832</x:v>
      </x:c>
      <x:c r="F197" s="23" t="n">
        <x:v>8117.4</x:v>
      </x:c>
      <x:c r="G197" s="28" t="n">
        <x:f>ROUND(F197-F196,1)</x:f>
        <x:v>-245</x:v>
      </x:c>
      <x:c r="H197" s="24" t="n">
        <x:f>IFERROR(F197/F196-1,"")</x:f>
        <x:v>-0.029297809241366157</x:v>
      </x:c>
      <x:c r="I197" s="26" t="n">
        <x:f>ROUND(D197-E197,1)</x:f>
        <x:v>502.4</x:v>
      </x:c>
      <x:c r="J197" s="22" t="str">
        <x:v>IC2603</x:v>
      </x:c>
      <x:c r="K197" s="22" t="n">
        <x:v>5</x:v>
      </x:c>
    </x:row>
    <x:row r="198">
      <x:c r="A198" s="22" t="n">
        <x:v>6</x:v>
      </x:c>
      <x:c r="B198" s="22" t="str">
        <x:v>2月9日-2月13日</x:v>
      </x:c>
      <x:c r="C198" s="23" t="n">
        <x:v>8260</x:v>
      </x:c>
      <x:c r="D198" s="23" t="n">
        <x:v>8458.8</x:v>
      </x:c>
      <x:c r="E198" s="23" t="n">
        <x:v>8220</x:v>
      </x:c>
      <x:c r="F198" s="23" t="n">
        <x:v>8274.8</x:v>
      </x:c>
      <x:c r="G198" s="28" t="n">
        <x:f>ROUND(F198-F197,1)</x:f>
        <x:v>157.4</x:v>
      </x:c>
      <x:c r="H198" s="24" t="n">
        <x:f>IFERROR(F198/F197-1,"")</x:f>
        <x:v>0.019390445216448615</x:v>
      </x:c>
      <x:c r="I198" s="26" t="n">
        <x:f>ROUND(D198-E198,1)</x:f>
        <x:v>238.8</x:v>
      </x:c>
      <x:c r="J198" s="22" t="str">
        <x:v>IC2603</x:v>
      </x:c>
      <x:c r="K198" s="22" t="n">
        <x:v>5</x:v>
      </x:c>
    </x:row>
    <x:row r="199">
      <x:c r="A199" s="22" t="n">
        <x:v>7</x:v>
      </x:c>
      <x:c r="B199" s="22" t="str">
        <x:v>2月24日-2月27日</x:v>
      </x:c>
      <x:c r="C199" s="23" t="n">
        <x:v>8360</x:v>
      </x:c>
      <x:c r="D199" s="23" t="n">
        <x:v>8650</x:v>
      </x:c>
      <x:c r="E199" s="23" t="n">
        <x:v>8314</x:v>
      </x:c>
      <x:c r="F199" s="23" t="n">
        <x:v>8645.4</x:v>
      </x:c>
      <x:c r="G199" s="28" t="n">
        <x:f>ROUND(F199-F198,1)</x:f>
        <x:v>370.6</x:v>
      </x:c>
      <x:c r="H199" s="24" t="n">
        <x:f>IFERROR(F199/F198-1,"")</x:f>
        <x:v>0.04478658094455468</x:v>
      </x:c>
      <x:c r="I199" s="26" t="n">
        <x:f>ROUND(D199-E199,1)</x:f>
        <x:v>336</x:v>
      </x:c>
      <x:c r="J199" s="22" t="str">
        <x:v>IC2603</x:v>
      </x:c>
      <x:c r="K199" s="22" t="n">
        <x:v>4</x:v>
      </x:c>
    </x:row>
    <x:row r="200">
      <x:c r="A200" s="22" t="n">
        <x:v>8</x:v>
      </x:c>
      <x:c r="B200" s="22" t="str">
        <x:v>3月2日-3月6日</x:v>
      </x:c>
      <x:c r="C200" s="23" t="n">
        <x:v>8600</x:v>
      </x:c>
      <x:c r="D200" s="23" t="n">
        <x:v>8686</x:v>
      </x:c>
      <x:c r="E200" s="23" t="n">
        <x:v>8180.6</x:v>
      </x:c>
      <x:c r="F200" s="23" t="n">
        <x:v>8322.6</x:v>
      </x:c>
      <x:c r="G200" s="28" t="n">
        <x:f>ROUND(F200-F199,1)</x:f>
        <x:v>-322.8</x:v>
      </x:c>
      <x:c r="H200" s="24" t="n">
        <x:f>IFERROR(F200/F199-1,"")</x:f>
        <x:v>-0.03733777500173496</x:v>
      </x:c>
      <x:c r="I200" s="26" t="n">
        <x:f>ROUND(D200-E200,1)</x:f>
        <x:v>505.4</x:v>
      </x:c>
      <x:c r="J200" s="22" t="str">
        <x:v>IC2603</x:v>
      </x:c>
      <x:c r="K200" s="22" t="n">
        <x:v>5</x:v>
      </x:c>
    </x:row>
    <x:row r="201">
      <x:c r="A201" s="22" t="n">
        <x:v>9</x:v>
      </x:c>
      <x:c r="B201" s="22" t="str">
        <x:v>3月9日-3月13日</x:v>
      </x:c>
      <x:c r="C201" s="23" t="n">
        <x:v>8201.8</x:v>
      </x:c>
      <x:c r="D201" s="23" t="n">
        <x:v>8434.4</x:v>
      </x:c>
      <x:c r="E201" s="23" t="n">
        <x:v>7710</x:v>
      </x:c>
      <x:c r="F201" s="23" t="n">
        <x:v>8213.8</x:v>
      </x:c>
      <x:c r="G201" s="23" t="n">
        <x:f>ROUND(F201-F200,1)</x:f>
        <x:v>-108.8</x:v>
      </x:c>
      <x:c r="H201" s="24" t="n">
        <x:f>IFERROR(F201/F200-1,"")</x:f>
        <x:v>-0.013072837815106042</x:v>
      </x:c>
      <x:c r="I201" s="26" t="n">
        <x:f>ROUND(D201-E201,1)</x:f>
        <x:v>724.4</x:v>
      </x:c>
      <x:c r="J201" s="22" t="str">
        <x:v>IC2603</x:v>
      </x:c>
      <x:c r="K201" s="22" t="n">
        <x:v>5</x:v>
      </x:c>
    </x:row>
    <x:row r="202">
      <x:c r="A202" s="22" t="n">
        <x:v>10</x:v>
      </x:c>
      <x:c r="B202" s="22" t="str">
        <x:v>3月16日-3月20日</x:v>
      </x:c>
      <x:c r="C202" s="23" t="n">
        <x:v>8225.2</x:v>
      </x:c>
      <x:c r="D202" s="23" t="n">
        <x:v>8229.6</x:v>
      </x:c>
      <x:c r="E202" s="23" t="n">
        <x:v>7827.8</x:v>
      </x:c>
      <x:c r="F202" s="23" t="n">
        <x:v>7844.4</x:v>
      </x:c>
      <x:c r="G202" s="28" t="n">
        <x:f>ROUND(F202-F201,1)</x:f>
        <x:v>-369.4</x:v>
      </x:c>
      <x:c r="H202" s="24" t="n">
        <x:f>IFERROR(F202/F201-1,"")</x:f>
        <x:v>-0.04497309406121397</x:v>
      </x:c>
      <x:c r="I202" s="26" t="n">
        <x:f>ROUND(D202-E202,1)</x:f>
        <x:v>401.8</x:v>
      </x:c>
      <x:c r="J202" s="22" t="str">
        <x:v>IC2603</x:v>
      </x:c>
      <x:c r="K202" s="22" t="n">
        <x:v>5</x:v>
      </x:c>
    </x:row>
    <x:row r="203">
      <x:c r="A203" s="22" t="n">
        <x:v>11</x:v>
      </x:c>
      <x:c r="B203" s="22" t="str">
        <x:v>3月23日-3月27日</x:v>
      </x:c>
      <x:c r="C203" s="23" t="n">
        <x:v>7460</x:v>
      </x:c>
      <x:c r="D203" s="23" t="n">
        <x:v>7652</x:v>
      </x:c>
      <x:c r="E203" s="23" t="n">
        <x:v>7171</x:v>
      </x:c>
      <x:c r="F203" s="23" t="n">
        <x:v>7559.2</x:v>
      </x:c>
      <x:c r="G203" s="28" t="n">
        <x:f>ROUND(F203-F202,1)</x:f>
        <x:v>-285.2</x:v>
      </x:c>
      <x:c r="H203" s="24" t="n">
        <x:f>IFERROR(F203/F202-1,"")</x:f>
        <x:v>-0.03635714649941357</x:v>
      </x:c>
      <x:c r="I203" s="26" t="n">
        <x:f>ROUND(D203-E203,1)</x:f>
        <x:v>481</x:v>
      </x:c>
      <x:c r="J203" s="22" t="str">
        <x:v>IC2606</x:v>
      </x:c>
      <x:c r="K203" s="22" t="n">
        <x:v>5</x:v>
      </x:c>
    </x:row>
    <x:row r="204">
      <x:c r="A204" s="22" t="n">
        <x:v>12</x:v>
      </x:c>
      <x:c r="B204" s="22" t="str">
        <x:v>3月30日-4月3日</x:v>
      </x:c>
      <x:c r="C204" s="23" t="n">
        <x:v>7470.8</x:v>
      </x:c>
      <x:c r="D204" s="23" t="n">
        <x:v>7619</x:v>
      </x:c>
      <x:c r="E204" s="23" t="n">
        <x:v>7325.2</x:v>
      </x:c>
      <x:c r="F204" s="23" t="n">
        <x:v>7352</x:v>
      </x:c>
      <x:c r="G204" s="28" t="n">
        <x:f>ROUND(F204-F203,1)</x:f>
        <x:v>-207.2</x:v>
      </x:c>
      <x:c r="H204" s="24" t="n">
        <x:f>IFERROR(F204/F203-1,"")</x:f>
        <x:v>-0.02741030796909727</x:v>
      </x:c>
      <x:c r="I204" s="26" t="n">
        <x:f>ROUND(D204-E204,1)</x:f>
        <x:v>293.8</x:v>
      </x:c>
      <x:c r="J204" s="22" t="str">
        <x:v>IC2606</x:v>
      </x:c>
      <x:c r="K204" s="22" t="n">
        <x:v>5</x:v>
      </x:c>
    </x:row>
    <x:row r="205">
      <x:c r="A205" s="22" t="n">
        <x:v>13</x:v>
      </x:c>
      <x:c r="B205" s="22" t="str">
        <x:v>4月7日-4月10日</x:v>
      </x:c>
      <x:c r="C205" s="23" t="n">
        <x:v>7380</x:v>
      </x:c>
      <x:c r="D205" s="23" t="n">
        <x:v>7945.4</x:v>
      </x:c>
      <x:c r="E205" s="23" t="n">
        <x:v>7355.6</x:v>
      </x:c>
      <x:c r="F205" s="23" t="n">
        <x:v>7828.6</x:v>
      </x:c>
      <x:c r="G205" s="28" t="n">
        <x:f>ROUND(F205-F204,1)</x:f>
        <x:v>476.6</x:v>
      </x:c>
      <x:c r="H205" s="24" t="n">
        <x:f>IFERROR(F205/F204-1,"")</x:f>
        <x:v>0.06482589771490765</x:v>
      </x:c>
      <x:c r="I205" s="26" t="n">
        <x:f>ROUND(D205-E205,1)</x:f>
        <x:v>589.8</x:v>
      </x:c>
      <x:c r="J205" s="22" t="str">
        <x:v>IC2606</x:v>
      </x:c>
      <x:c r="K205" s="22" t="n">
        <x:v>4</x:v>
      </x:c>
    </x:row>
    <x:row r="206">
      <x:c r="A206" s="22" t="n">
        <x:v>14</x:v>
      </x:c>
      <x:c r="B206" s="22" t="str">
        <x:v>4月13日-4月17日</x:v>
      </x:c>
      <x:c r="C206" s="23" t="n">
        <x:v>7792</x:v>
      </x:c>
      <x:c r="D206" s="23" t="n">
        <x:v>8119.6</x:v>
      </x:c>
      <x:c r="E206" s="23" t="n">
        <x:v>7792</x:v>
      </x:c>
      <x:c r="F206" s="23" t="n">
        <x:v>8098.8</x:v>
      </x:c>
      <x:c r="G206" s="28" t="n">
        <x:f>ROUND(F206-F205,1)</x:f>
        <x:v>270.2</x:v>
      </x:c>
      <x:c r="H206" s="24" t="n">
        <x:f>IFERROR(F206/F205-1,"")</x:f>
        <x:v>0.034514472574917576</x:v>
      </x:c>
      <x:c r="I206" s="26" t="n">
        <x:f>ROUND(D206-E206,1)</x:f>
        <x:v>327.6</x:v>
      </x:c>
      <x:c r="J206" s="22" t="str">
        <x:v>IC2606</x:v>
      </x:c>
      <x:c r="K206" s="22" t="n">
        <x:v>5</x:v>
      </x:c>
    </x:row>
    <x:row r="207">
      <x:c r="A207" s="22" t="n">
        <x:v>15</x:v>
      </x:c>
      <x:c r="B207" s="22" t="str">
        <x:v>4月20日-4月24日</x:v>
      </x:c>
      <x:c r="C207" s="23" t="n">
        <x:v>8076.4</x:v>
      </x:c>
      <x:c r="D207" s="23" t="n">
        <x:v>8288.2</x:v>
      </x:c>
      <x:c r="E207" s="23" t="n">
        <x:v>8042</x:v>
      </x:c>
      <x:c r="F207" s="23" t="n">
        <x:v>8132.8</x:v>
      </x:c>
      <x:c r="G207" s="23" t="n">
        <x:f>ROUND(F207-F206,1)</x:f>
        <x:v>34</x:v>
      </x:c>
      <x:c r="H207" s="24" t="n">
        <x:f>IFERROR(F207/F206-1,"")</x:f>
        <x:v>0.004198152812762368</x:v>
      </x:c>
      <x:c r="I207" s="26" t="n">
        <x:f>ROUND(D207-E207,1)</x:f>
        <x:v>246.2</x:v>
      </x:c>
      <x:c r="J207" s="22" t="str">
        <x:v>IC2606</x:v>
      </x:c>
      <x:c r="K207" s="22" t="n">
        <x:v>5</x:v>
      </x:c>
    </x:row>
    <x:row r="208">
      <x:c r="A208" s="22" t="n">
        <x:v>16</x:v>
      </x:c>
      <x:c r="B208" s="22" t="str">
        <x:v>4月27日-4月30日</x:v>
      </x:c>
      <x:c r="C208" s="23" t="n">
        <x:v>8145.2</x:v>
      </x:c>
      <x:c r="D208" s="23" t="n">
        <x:v>8287.8</x:v>
      </x:c>
      <x:c r="E208" s="23" t="n">
        <x:v>8056.2</x:v>
      </x:c>
      <x:c r="F208" s="23" t="n">
        <x:v>8270</x:v>
      </x:c>
      <x:c r="G208" s="23" t="n">
        <x:f>ROUND(F208-F207,1)</x:f>
        <x:v>137.2</x:v>
      </x:c>
      <x:c r="H208" s="24" t="n">
        <x:f>IFERROR(F208/F207-1,"")</x:f>
        <x:v>0.016869958685815423</x:v>
      </x:c>
      <x:c r="I208" s="26" t="n">
        <x:f>ROUND(D208-E208,1)</x:f>
        <x:v>231.6</x:v>
      </x:c>
      <x:c r="J208" s="22" t="str">
        <x:v>IC2606</x:v>
      </x:c>
      <x:c r="K208" s="22" t="n">
        <x:v>4</x:v>
      </x:c>
    </x:row>
    <x:row r="209">
      <x:c r="A209" s="22" t="n">
        <x:v>17</x:v>
      </x:c>
      <x:c r="B209" s="22" t="str">
        <x:v>5月6日-5月8日</x:v>
      </x:c>
      <x:c r="C209" s="23" t="n">
        <x:v>8377.6</x:v>
      </x:c>
      <x:c r="D209" s="23" t="n">
        <x:v>8648</x:v>
      </x:c>
      <x:c r="E209" s="23" t="n">
        <x:v>8375.4</x:v>
      </x:c>
      <x:c r="F209" s="23" t="n">
        <x:v>8620.8</x:v>
      </x:c>
      <x:c r="G209" s="28" t="n">
        <x:f>ROUND(F209-F208,1)</x:f>
        <x:v>350.8</x:v>
      </x:c>
      <x:c r="H209" s="24" t="n">
        <x:f>IFERROR(F209/F208-1,"")</x:f>
        <x:v>0.042418379685610574</x:v>
      </x:c>
      <x:c r="I209" s="26" t="n">
        <x:f>ROUND(D209-E209,1)</x:f>
        <x:v>272.6</x:v>
      </x:c>
      <x:c r="J209" s="22" t="str">
        <x:v>IC2606</x:v>
      </x:c>
      <x:c r="K209" s="22" t="n">
        <x:v>3</x:v>
      </x:c>
    </x:row>
    <x:row r="210">
      <x:c r="A210" s="22" t="n">
        <x:v>18</x:v>
      </x:c>
      <x:c r="B210" s="22" t="str">
        <x:v>5月11日-5月15日</x:v>
      </x:c>
      <x:c r="C210" s="23" t="n">
        <x:v>8691</x:v>
      </x:c>
      <x:c r="D210" s="23" t="n">
        <x:v>8886.8</x:v>
      </x:c>
      <x:c r="E210" s="23" t="n">
        <x:v>8378.2</x:v>
      </x:c>
      <x:c r="F210" s="23" t="n">
        <x:v>8448.8</x:v>
      </x:c>
      <x:c r="G210" s="28" t="n">
        <x:f>ROUND(F210-F209,1)</x:f>
        <x:v>-172</x:v>
      </x:c>
      <x:c r="H210" s="24" t="n">
        <x:f>IFERROR(F210/F209-1,"")</x:f>
        <x:v>-0.01995174461766891</x:v>
      </x:c>
      <x:c r="I210" s="26" t="n">
        <x:f>ROUND(D210-E210,1)</x:f>
        <x:v>508.6</x:v>
      </x:c>
      <x:c r="J210" s="22" t="str">
        <x:v>IC2606</x:v>
      </x:c>
      <x:c r="K210" s="22" t="n">
        <x:v>5</x:v>
      </x:c>
    </x:row>
    <x:row r="211">
      <x:c r="A211" s="22" t="n">
        <x:v>19</x:v>
      </x:c>
      <x:c r="B211" s="22" t="str">
        <x:v>5月18日-5月22日</x:v>
      </x:c>
      <x:c r="C211" s="23" t="n">
        <x:v>8418.4</x:v>
      </x:c>
      <x:c r="D211" s="23" t="n">
        <x:v>8728</x:v>
      </x:c>
      <x:c r="E211" s="23" t="n">
        <x:v>8310</x:v>
      </x:c>
      <x:c r="F211" s="23" t="n">
        <x:v>8469.2</x:v>
      </x:c>
      <x:c r="G211" s="23" t="n">
        <x:f>ROUND(F211-F210,1)</x:f>
        <x:v>20.4</x:v>
      </x:c>
      <x:c r="H211" s="24" t="n">
        <x:f>IFERROR(F211/F210-1,"")</x:f>
        <x:v>0.0024145440772656013</x:v>
      </x:c>
      <x:c r="I211" s="26" t="n">
        <x:f>ROUND(D211-E211,1)</x:f>
        <x:v>418</x:v>
      </x:c>
      <x:c r="J211" s="22" t="str">
        <x:v>IC2606</x:v>
      </x:c>
      <x:c r="K211" s="22" t="n">
        <x:v>5</x:v>
      </x:c>
    </x:row>
    <x:row r="212">
      <x:c r="A212" s="22" t="n">
        <x:v>20</x:v>
      </x:c>
      <x:c r="B212" s="22" t="str">
        <x:v>5月25日-5月29日</x:v>
      </x:c>
      <x:c r="C212" s="23" t="n">
        <x:v>8543</x:v>
      </x:c>
      <x:c r="D212" s="23" t="n">
        <x:v>8658.2</x:v>
      </x:c>
      <x:c r="E212" s="23" t="n">
        <x:v>8218.2</x:v>
      </x:c>
      <x:c r="F212" s="23" t="n">
        <x:v>8274.6</x:v>
      </x:c>
      <x:c r="G212" s="28" t="n">
        <x:f>ROUND(F212-F211,1)</x:f>
        <x:v>-194.6</x:v>
      </x:c>
      <x:c r="H212" s="24" t="n">
        <x:f>IFERROR(F212/F211-1,"")</x:f>
        <x:v>-0.022977376847872377</x:v>
      </x:c>
      <x:c r="I212" s="26" t="n">
        <x:f>ROUND(D212-E212,1)</x:f>
        <x:v>440</x:v>
      </x:c>
      <x:c r="J212" s="22" t="str">
        <x:v>IC2606</x:v>
      </x:c>
      <x:c r="K212" s="22" t="n">
        <x:v>5</x:v>
      </x:c>
    </x:row>
    <x:row r="213">
      <x:c r="A213" s="22" t="n">
        <x:v>21</x:v>
      </x:c>
      <x:c r="B213" s="22" t="str">
        <x:v>6月1日-6月5日</x:v>
      </x:c>
      <x:c r="C213" s="23" t="n">
        <x:v>8298</x:v>
      </x:c>
      <x:c r="D213" s="23" t="n">
        <x:v>8425</x:v>
      </x:c>
      <x:c r="E213" s="23" t="n">
        <x:v>8101.6</x:v>
      </x:c>
      <x:c r="F213" s="23" t="n">
        <x:v>8190.6</x:v>
      </x:c>
      <x:c r="G213" s="23" t="n">
        <x:f>ROUND(F213-F212,1)</x:f>
        <x:v>-84</x:v>
      </x:c>
      <x:c r="H213" s="24" t="n">
        <x:f>IFERROR(F213/F212-1,"")</x:f>
        <x:v>-0.010151548111086983</x:v>
      </x:c>
      <x:c r="I213" s="26" t="n">
        <x:f>ROUND(D213-E213,1)</x:f>
        <x:v>323.4</x:v>
      </x:c>
      <x:c r="J213" s="22" t="str">
        <x:v>IC2606</x:v>
      </x:c>
      <x:c r="K213" s="22" t="n">
        <x:v>5</x:v>
      </x:c>
    </x:row>
    <x:row r="214">
      <x:c r="A214" s="22" t="n">
        <x:v>22</x:v>
      </x:c>
      <x:c r="B214" s="22" t="str">
        <x:v>6月8日-6月12日</x:v>
      </x:c>
      <x:c r="C214" s="23" t="n">
        <x:v>8050</x:v>
      </x:c>
      <x:c r="D214" s="23" t="n">
        <x:v>8237.6</x:v>
      </x:c>
      <x:c r="E214" s="23" t="n">
        <x:v>7838</x:v>
      </x:c>
      <x:c r="F214" s="23" t="n">
        <x:v>8117.2</x:v>
      </x:c>
      <x:c r="G214" s="23" t="n">
        <x:f>ROUND(F214-F213,1)</x:f>
        <x:v>-73.4</x:v>
      </x:c>
      <x:c r="H214" s="24" t="n">
        <x:f>IFERROR(F214/F213-1,"")</x:f>
        <x:v>-0.008961492442556174</x:v>
      </x:c>
      <x:c r="I214" s="26" t="n">
        <x:f>ROUND(D214-E214,1)</x:f>
        <x:v>399.6</x:v>
      </x:c>
      <x:c r="J214" s="22" t="str">
        <x:v>IC2606</x:v>
      </x:c>
      <x:c r="K214" s="22" t="n">
        <x:v>5</x:v>
      </x:c>
    </x:row>
    <x:row r="215">
      <x:c r="A215" s="22" t="n">
        <x:v>23</x:v>
      </x:c>
      <x:c r="B215" s="22" t="str">
        <x:v>6月15日-6月18日</x:v>
      </x:c>
      <x:c r="C215" s="23" t="n">
        <x:v>8181.2</x:v>
      </x:c>
      <x:c r="D215" s="23" t="n">
        <x:v>8718</x:v>
      </x:c>
      <x:c r="E215" s="23" t="n">
        <x:v>8181.2</x:v>
      </x:c>
      <x:c r="F215" s="23" t="n">
        <x:v>8682.8</x:v>
      </x:c>
      <x:c r="G215" s="28" t="n">
        <x:f>ROUND(F215-F214,1)</x:f>
        <x:v>565.6</x:v>
      </x:c>
      <x:c r="H215" s="24" t="n">
        <x:f>IFERROR(F215/F214-1,"")</x:f>
        <x:v>0.06967919972404268</x:v>
      </x:c>
      <x:c r="I215" s="26" t="n">
        <x:f>ROUND(D215-E215,1)</x:f>
        <x:v>536.8</x:v>
      </x:c>
      <x:c r="J215" s="22" t="str">
        <x:v>IC2606</x:v>
      </x:c>
      <x:c r="K215" s="22" t="n">
        <x:v>4</x:v>
      </x:c>
    </x:row>
    <x:row r="216">
      <x:c r="A216" s="22" t="n">
        <x:v>24</x:v>
      </x:c>
      <x:c r="B216" s="22" t="str">
        <x:v>6月22日-6月26日</x:v>
      </x:c>
      <x:c r="C216" s="23" t="n">
        <x:v>8692.8</x:v>
      </x:c>
      <x:c r="D216" s="23" t="n">
        <x:v>8778.8</x:v>
      </x:c>
      <x:c r="E216" s="23" t="n">
        <x:v>8377</x:v>
      </x:c>
      <x:c r="F216" s="23" t="n">
        <x:v>8447</x:v>
      </x:c>
      <x:c r="G216" s="28" t="n">
        <x:f>ROUND(F216-F215,1)</x:f>
        <x:v>-235.8</x:v>
      </x:c>
      <x:c r="H216" s="24" t="n">
        <x:f>IFERROR(F216/F215-1,"")</x:f>
        <x:v>-0.027157138250333945</x:v>
      </x:c>
      <x:c r="I216" s="26" t="n">
        <x:f>ROUND(D216-E216,1)</x:f>
        <x:v>401.8</x:v>
      </x:c>
      <x:c r="J216" s="22" t="str">
        <x:v>IC2606/IC2609</x:v>
      </x:c>
      <x:c r="K216" s="22" t="n">
        <x:v>5</x:v>
      </x:c>
    </x:row>
    <x:row r="217">
      <x:c r="A217" s="22" t="n">
        <x:v>25</x:v>
      </x:c>
      <x:c r="B217" s="22" t="str">
        <x:v>6月29日-7月3日</x:v>
      </x:c>
      <x:c r="C217" s="23" t="n">
        <x:v>8463.8</x:v>
      </x:c>
      <x:c r="D217" s="23" t="n">
        <x:v>8873.8</x:v>
      </x:c>
      <x:c r="E217" s="23" t="n">
        <x:v>8350.4</x:v>
      </x:c>
      <x:c r="F217" s="23" t="n">
        <x:v>8538</x:v>
      </x:c>
      <x:c r="G217" s="23" t="n">
        <x:f>ROUND(F217-F216,1)</x:f>
        <x:v>91</x:v>
      </x:c>
      <x:c r="H217" s="24" t="n">
        <x:f>IFERROR(F217/F216-1,"")</x:f>
        <x:v>0.010773055522670827</x:v>
      </x:c>
      <x:c r="I217" s="26" t="n">
        <x:f>ROUND(D217-E217,1)</x:f>
        <x:v>523.4</x:v>
      </x:c>
      <x:c r="J217" s="22" t="str">
        <x:v>IC2609</x:v>
      </x:c>
      <x:c r="K217" s="22" t="n">
        <x:v>5</x:v>
      </x:c>
    </x:row>
    <x:row r="218">
      <x:c r="A218" s="22" t="n">
        <x:v>26</x:v>
      </x:c>
      <x:c r="B218" s="22" t="str">
        <x:v>7月6日-7月10日</x:v>
      </x:c>
      <x:c r="C218" s="23" t="n">
        <x:v>8574.4</x:v>
      </x:c>
      <x:c r="D218" s="23" t="n">
        <x:v>8618</x:v>
      </x:c>
      <x:c r="E218" s="23" t="n">
        <x:v>8173</x:v>
      </x:c>
      <x:c r="F218" s="23" t="n">
        <x:v>8333</x:v>
      </x:c>
      <x:c r="G218" s="28" t="n">
        <x:f>ROUND(F218-F217,1)</x:f>
        <x:v>-205</x:v>
      </x:c>
      <x:c r="H218" s="24" t="n">
        <x:f>IFERROR(F218/F217-1,"")</x:f>
        <x:v>-0.024010306863434083</x:v>
      </x:c>
      <x:c r="I218" s="26" t="n">
        <x:f>ROUND(D218-E218,1)</x:f>
        <x:v>445</x:v>
      </x:c>
      <x:c r="J218" s="22" t="str">
        <x:v>IC2609</x:v>
      </x:c>
      <x:c r="K218" s="22" t="n">
        <x:v>5</x:v>
      </x:c>
    </x:row>
    <x:row r="219">
      <x:c r="A219" s="22" t="n">
        <x:v>27</x:v>
      </x:c>
      <x:c r="B219" s="22" t="str">
        <x:v>7月13日-7月17日</x:v>
      </x:c>
      <x:c r="C219" s="23" t="n">
        <x:v>8303</x:v>
      </x:c>
      <x:c r="D219" s="23" t="n">
        <x:v>8328</x:v>
      </x:c>
      <x:c r="E219" s="23" t="n">
        <x:v>7362.8</x:v>
      </x:c>
      <x:c r="F219" s="23" t="n">
        <x:v>7389</x:v>
      </x:c>
      <x:c r="G219" s="28" t="n">
        <x:f>ROUND(F219-F218,1)</x:f>
        <x:v>-944</x:v>
      </x:c>
      <x:c r="H219" s="24" t="n">
        <x:f>IFERROR(F219/F218-1,"")</x:f>
        <x:v>-0.11328453138125527</x:v>
      </x:c>
      <x:c r="I219" s="26" t="n">
        <x:f>ROUND(D219-E219,1)</x:f>
        <x:v>965.2</x:v>
      </x:c>
      <x:c r="J219" s="22" t="str">
        <x:v>IC2609</x:v>
      </x:c>
      <x:c r="K219" s="22" t="n">
        <x:v>5</x:v>
      </x:c>
    </x:row>
    <x:row r="220">
      <x:c r="A220" s="22" t="n">
        <x:v>28</x:v>
      </x:c>
      <x:c r="B220" s="22" t="str">
        <x:v>7月20日-7月24日</x:v>
      </x:c>
      <x:c r="C220" s="23" t="n">
        <x:v>7490</x:v>
      </x:c>
      <x:c r="D220" s="23" t="n">
        <x:v>7765.6</x:v>
      </x:c>
      <x:c r="E220" s="23" t="n">
        <x:v>7092</x:v>
      </x:c>
      <x:c r="F220" s="23" t="n">
        <x:v>7416</x:v>
      </x:c>
      <x:c r="G220" s="23" t="n">
        <x:f>ROUND(F220-F219,1)</x:f>
        <x:v>27</x:v>
      </x:c>
      <x:c r="H220" s="24" t="n">
        <x:f>IFERROR(F220/F219-1,"")</x:f>
        <x:v>0.0036540803897686658</x:v>
      </x:c>
      <x:c r="I220" s="26" t="n">
        <x:f>ROUND(D220-E220,1)</x:f>
        <x:v>673.6</x:v>
      </x:c>
      <x:c r="J220" s="22" t="str">
        <x:v>IC2609</x:v>
      </x:c>
      <x:c r="K220" s="22" t="n">
        <x:v>5</x:v>
      </x:c>
    </x:row>
    <x:row r="221">
      <x:c r="A221" s="22" t="n">
        <x:v>29</x:v>
      </x:c>
      <x:c r="B221" s="22" t="str">
        <x:v>7月27日-7月31日</x:v>
      </x:c>
      <x:c r="C221" s="23" t="n">
        <x:v>7447</x:v>
      </x:c>
      <x:c r="D221" s="23" t="n">
        <x:v>7666.6</x:v>
      </x:c>
      <x:c r="E221" s="23" t="n">
        <x:v>7106</x:v>
      </x:c>
      <x:c r="F221" s="23" t="n">
        <x:v>7395</x:v>
      </x:c>
      <x:c r="G221" s="23" t="n">
        <x:f>ROUND(F221-F220,1)</x:f>
        <x:v>-21</x:v>
      </x:c>
      <x:c r="H221" s="24" t="n">
        <x:f>IFERROR(F221/F220-1,"")</x:f>
        <x:v>-0.0028317152103559673</x:v>
      </x:c>
      <x:c r="I221" s="26" t="n">
        <x:f>ROUND(D221-E221,1)</x:f>
        <x:v>560.6</x:v>
      </x:c>
      <x:c r="J221" s="22" t="str">
        <x:v>IC2609</x:v>
      </x:c>
      <x:c r="K221" s="22" t="n">
        <x:v>5</x:v>
      </x:c>
    </x:row>
    <x:row r="222">
      <x:c r="A222" s="22" t="n">
        <x:v>30</x:v>
      </x:c>
      <x:c r="B222" s="22" t="str">
        <x:v>8月3日-8月7日</x:v>
      </x:c>
      <x:c r="C222" s="23" t="n">
        <x:v>7391</x:v>
      </x:c>
      <x:c r="D222" s="23" t="n">
        <x:v>7882.6</x:v>
      </x:c>
      <x:c r="E222" s="23" t="n">
        <x:v>7335</x:v>
      </x:c>
      <x:c r="F222" s="23" t="n">
        <x:v>7877.8</x:v>
      </x:c>
      <x:c r="G222" s="28" t="n">
        <x:f>ROUND(F222-F221,1)</x:f>
        <x:v>482.8</x:v>
      </x:c>
      <x:c r="H222" s="24" t="n">
        <x:f>IFERROR(F222/F221-1,"")</x:f>
        <x:v>0.06528735632183902</x:v>
      </x:c>
      <x:c r="I222" s="26" t="n">
        <x:f>ROUND(D222-E222,1)</x:f>
        <x:v>547.6</x:v>
      </x:c>
      <x:c r="J222" s="22" t="str">
        <x:v>IC2609</x:v>
      </x:c>
      <x:c r="K222" s="22" t="n">
        <x:v>5</x:v>
      </x:c>
    </x:row>
    <x:row r="223">
      <x:c r="A223" s="22" t="n">
        <x:v>31</x:v>
      </x:c>
      <x:c r="B223" s="22" t="str">
        <x:v>8月10日-8月14日</x:v>
      </x:c>
      <x:c r="C223" s="23" t="n">
        <x:v>7888</x:v>
      </x:c>
      <x:c r="D223" s="23" t="n">
        <x:v>8024</x:v>
      </x:c>
      <x:c r="E223" s="23" t="n">
        <x:v>7795.8</x:v>
      </x:c>
      <x:c r="F223" s="23" t="n">
        <x:v>7861.2</x:v>
      </x:c>
      <x:c r="G223" s="23" t="n">
        <x:f>ROUND(F223-F222,1)</x:f>
        <x:v>-16.6</x:v>
      </x:c>
      <x:c r="H223" s="24" t="n">
        <x:f>IFERROR(F223/F222-1,"")</x:f>
        <x:v>-0.0021071872857905127</x:v>
      </x:c>
      <x:c r="I223" s="26" t="n">
        <x:f>ROUND(D223-E223,1)</x:f>
        <x:v>228.2</x:v>
      </x:c>
      <x:c r="J223" s="22" t="str">
        <x:v>IC2609</x:v>
      </x:c>
      <x:c r="K223" s="22" t="n">
        <x:v>5</x:v>
      </x:c>
    </x:row>
    <x:row r="224">
      <x:c r="A224" s="22" t="n">
        <x:v>32</x:v>
      </x:c>
      <x:c r="B224" s="22" t="str">
        <x:v>8月17日-8月21日</x:v>
      </x:c>
      <x:c r="C224" s="23" t="n">
        <x:v>7885</x:v>
      </x:c>
      <x:c r="D224" s="23" t="n">
        <x:v>8091.8</x:v>
      </x:c>
      <x:c r="E224" s="23" t="n">
        <x:v>7669.6</x:v>
      </x:c>
      <x:c r="F224" s="23" t="n">
        <x:v>7762</x:v>
      </x:c>
      <x:c r="G224" s="23" t="n">
        <x:f>ROUND(F224-F223,1)</x:f>
        <x:v>-99.2</x:v>
      </x:c>
      <x:c r="H224" s="24" t="n">
        <x:f>IFERROR(F224/F223-1,"")</x:f>
        <x:v>-0.012618938584439965</x:v>
      </x:c>
      <x:c r="I224" s="26" t="n">
        <x:f>ROUND(D224-E224,1)</x:f>
        <x:v>422.2</x:v>
      </x:c>
      <x:c r="J224" s="22" t="str">
        <x:v>IC2609</x:v>
      </x:c>
      <x:c r="K224" s="22" t="n">
        <x:v>5</x:v>
      </x:c>
    </x:row>
    <x:row r="225">
      <x:c r="A225" s="22" t="n">
        <x:v>33</x:v>
      </x:c>
      <x:c r="B225" s="22" t="str">
        <x:v>8月24日-8月28日</x:v>
      </x:c>
      <x:c r="C225" s="23" t="n">
        <x:v>7757</x:v>
      </x:c>
      <x:c r="D225" s="23" t="n">
        <x:v>7931</x:v>
      </x:c>
      <x:c r="E225" s="23" t="n">
        <x:v>7496</x:v>
      </x:c>
      <x:c r="F225" s="23" t="n">
        <x:v>7853.8</x:v>
      </x:c>
      <x:c r="G225" s="23" t="n">
        <x:f>ROUND(F225-F224,1)</x:f>
        <x:v>91.8</x:v>
      </x:c>
      <x:c r="H225" s="24" t="n">
        <x:f>IFERROR(F225/F224-1,"")</x:f>
        <x:v>0.011826848750322139</x:v>
      </x:c>
      <x:c r="I225" s="26" t="n">
        <x:f>ROUND(D225-E225,1)</x:f>
        <x:v>435</x:v>
      </x:c>
      <x:c r="J225" s="22" t="str">
        <x:v>IC2609</x:v>
      </x:c>
      <x:c r="K225" s="22" t="n">
        <x:v>5</x:v>
      </x:c>
    </x:row>
    <x:row r="226">
      <x:c r="A226" s="22" t="n">
        <x:v>34</x:v>
      </x:c>
      <x:c r="B226" s="22" t="str">
        <x:v>8月31日-9月4日</x:v>
      </x:c>
      <x:c r="C226" s="23" t="n">
        <x:v>7761</x:v>
      </x:c>
      <x:c r="D226" s="23" t="n">
        <x:v>7913</x:v>
      </x:c>
      <x:c r="E226" s="23" t="n">
        <x:v>7568</x:v>
      </x:c>
      <x:c r="F226" s="23" t="n">
        <x:v>7608</x:v>
      </x:c>
      <x:c r="G226" s="28" t="n">
        <x:f>ROUND(F226-F225,1)</x:f>
        <x:v>-245.8</x:v>
      </x:c>
      <x:c r="H226" s="24" t="n">
        <x:f>IFERROR(F226/F225-1,"")</x:f>
        <x:v>-0.03129695179403602</x:v>
      </x:c>
      <x:c r="I226" s="26" t="n">
        <x:f>ROUND(D226-E226,1)</x:f>
        <x:v>345</x:v>
      </x:c>
      <x:c r="J226" s="22" t="str">
        <x:v>IC2609</x:v>
      </x:c>
      <x:c r="K226" s="22" t="n">
        <x:v>5</x:v>
      </x:c>
    </x:row>
    <x:row r="227">
      <x:c r="A227" s="22" t="n">
        <x:v>35</x:v>
      </x:c>
      <x:c r="B227" s="22" t="str">
        <x:v>9月7日-9月11日</x:v>
      </x:c>
      <x:c r="C227" s="23" t="n">
        <x:v>7665.6</x:v>
      </x:c>
      <x:c r="D227" s="23" t="n">
        <x:v>7817.2</x:v>
      </x:c>
      <x:c r="E227" s="23" t="n">
        <x:v>7418.8</x:v>
      </x:c>
      <x:c r="F227" s="23" t="n">
        <x:v>7569</x:v>
      </x:c>
      <x:c r="G227" s="23" t="n">
        <x:f>ROUND(F227-F226,1)</x:f>
        <x:v>-39</x:v>
      </x:c>
      <x:c r="H227" s="24" t="n">
        <x:f>IFERROR(F227/F226-1,"")</x:f>
        <x:v>-0.005126182965299653</x:v>
      </x:c>
      <x:c r="I227" s="26" t="n">
        <x:f>ROUND(D227-E227,1)</x:f>
        <x:v>398.4</x:v>
      </x:c>
      <x:c r="J227" s="22" t="str">
        <x:v>IC2609</x:v>
      </x:c>
      <x:c r="K227" s="22" t="n">
        <x:v>5</x:v>
      </x:c>
    </x:row>
    <x:row r="228">
      <x:c r="A228" s="22" t="n">
        <x:v>36</x:v>
      </x:c>
      <x:c r="B228" s="22" t="str">
        <x:v>9月14日-9月18日</x:v>
      </x:c>
      <x:c r="C228" s="23" t="n">
        <x:v>7482.2</x:v>
      </x:c>
      <x:c r="D228" s="23" t="n">
        <x:v>7820</x:v>
      </x:c>
      <x:c r="E228" s="23" t="n">
        <x:v>7452.2</x:v>
      </x:c>
      <x:c r="F228" s="23" t="n">
        <x:v>7789.8</x:v>
      </x:c>
      <x:c r="G228" s="28" t="n">
        <x:f>ROUND(F228-F227,1)</x:f>
        <x:v>220.8</x:v>
      </x:c>
      <x:c r="H228" s="24" t="n">
        <x:f>IFERROR(F228/F227-1,"")</x:f>
        <x:v>0.02917162108600868</x:v>
      </x:c>
      <x:c r="I228" s="26" t="n">
        <x:f>ROUND(D228-E228,1)</x:f>
        <x:v>367.8</x:v>
      </x:c>
      <x:c r="J228" s="22" t="str">
        <x:v>IC2609</x:v>
      </x:c>
      <x:c r="K228" s="22" t="n">
        <x:v>5</x:v>
      </x:c>
    </x:row>
    <x:row r="229">
      <x:c r="A229" s="22" t="n">
        <x:v>37</x:v>
      </x:c>
      <x:c r="B229" s="22" t="str">
        <x:v>9月21日-9月24日</x:v>
      </x:c>
      <x:c r="C229" s="23" t="n">
        <x:v>7688</x:v>
      </x:c>
      <x:c r="D229" s="23" t="n">
        <x:v>7780</x:v>
      </x:c>
      <x:c r="E229" s="23" t="n">
        <x:v>7450</x:v>
      </x:c>
      <x:c r="F229" s="23" t="n">
        <x:v>7451.6</x:v>
      </x:c>
      <x:c r="G229" s="28" t="n">
        <x:f>ROUND(F229-F228,1)</x:f>
        <x:v>-338.2</x:v>
      </x:c>
      <x:c r="H229" s="24" t="n">
        <x:f>IFERROR(F229/F228-1,"")</x:f>
        <x:v>-0.04341574879971244</x:v>
      </x:c>
      <x:c r="I229" s="26" t="n">
        <x:f>ROUND(D229-E229,1)</x:f>
        <x:v>330</x:v>
      </x:c>
      <x:c r="J229" s="22" t="str">
        <x:v>IC2612</x:v>
      </x:c>
      <x:c r="K229" s="22" t="n">
        <x:v>4</x:v>
      </x:c>
    </x:row>
    <x:row r="230">
      <x:c r="A230" s="22" t="n">
        <x:v>38</x:v>
      </x:c>
      <x:c r="B230" s="22" t="str">
        <x:v>9月28日-9月30日</x:v>
      </x:c>
      <x:c r="C230" s="23" t="n">
        <x:v>7440.8</x:v>
      </x:c>
      <x:c r="D230" s="23" t="n">
        <x:v>7458.4</x:v>
      </x:c>
      <x:c r="E230" s="23" t="n">
        <x:v>7186</x:v>
      </x:c>
      <x:c r="F230" s="23" t="n">
        <x:v>7310.2</x:v>
      </x:c>
      <x:c r="G230" s="23" t="n">
        <x:f>ROUND(F230-F229,1)</x:f>
        <x:v>-141.4</x:v>
      </x:c>
      <x:c r="H230" s="24" t="n">
        <x:f>IFERROR(F230/F229-1,"")</x:f>
        <x:v>-0.018975790434269224</x:v>
      </x:c>
      <x:c r="I230" s="26" t="n">
        <x:f>ROUND(D230-E230,1)</x:f>
        <x:v>272.4</x:v>
      </x:c>
      <x:c r="J230" s="22" t="str">
        <x:v>IC2612</x:v>
      </x:c>
      <x:c r="K230" s="22" t="n">
        <x:v>3</x:v>
      </x:c>
    </x:row>
    <x:row r="231">
      <x:c r="A231" s="22" t="n">
        <x:v>39</x:v>
      </x:c>
      <x:c r="B231" s="22" t="str">
        <x:v>10月8日-10月9日</x:v>
      </x:c>
      <x:c r="C231" s="23" t="n">
        <x:v>7295</x:v>
      </x:c>
      <x:c r="D231" s="23" t="n">
        <x:v>7355</x:v>
      </x:c>
      <x:c r="E231" s="23" t="n">
        <x:v>6932</x:v>
      </x:c>
      <x:c r="F231" s="23" t="n">
        <x:v>7111</x:v>
      </x:c>
      <x:c r="G231" s="28" t="n">
        <x:f>ROUND(F231-F230,1)</x:f>
        <x:v>-199.2</x:v>
      </x:c>
      <x:c r="H231" s="24" t="n">
        <x:f>IFERROR(F231/F230-1,"")</x:f>
        <x:v>-0.027249596454269387</x:v>
      </x:c>
      <x:c r="I231" s="26" t="n">
        <x:f>ROUND(D231-E231,1)</x:f>
        <x:v>423</x:v>
      </x:c>
      <x:c r="J231" s="22" t="str">
        <x:v>IC2612</x:v>
      </x:c>
      <x:c r="K231" s="22" t="n">
        <x:v>2</x:v>
      </x:c>
    </x:row>
    <x:row r="232">
      <x:c r="A232" s="22" t="n">
        <x:v>40</x:v>
      </x:c>
      <x:c r="B232" s="22" t="str">
        <x:v>10月12日-10月16日</x:v>
      </x:c>
      <x:c r="C232" s="23" t="n">
        <x:v>7076.6</x:v>
      </x:c>
      <x:c r="D232" s="23" t="n">
        <x:v>7115.6</x:v>
      </x:c>
      <x:c r="E232" s="23" t="n">
        <x:v>6583.2</x:v>
      </x:c>
      <x:c r="F232" s="23" t="n">
        <x:v>6667.8</x:v>
      </x:c>
      <x:c r="G232" s="28" t="n">
        <x:f>ROUND(F232-F231,1)</x:f>
        <x:v>-443.2</x:v>
      </x:c>
      <x:c r="H232" s="24" t="n">
        <x:f>IFERROR(F232/F231-1,"")</x:f>
        <x:v>-0.062325973843341265</x:v>
      </x:c>
      <x:c r="I232" s="26" t="n">
        <x:f>ROUND(D232-E232,1)</x:f>
        <x:v>532.4</x:v>
      </x:c>
      <x:c r="J232" s="22" t="str">
        <x:v>IC2612</x:v>
      </x:c>
      <x:c r="K232" s="22" t="n">
        <x:v>5</x:v>
      </x:c>
    </x:row>
    <x:row r="233">
      <x:c r="A233" s="22" t="n">
        <x:v>41</x:v>
      </x:c>
      <x:c r="B233" s="22" t="str">
        <x:v>10月19日-10月23日</x:v>
      </x:c>
      <x:c r="C233" s="23" t="n">
        <x:v>6670.2</x:v>
      </x:c>
      <x:c r="D233" s="23" t="n">
        <x:v>6864</x:v>
      </x:c>
      <x:c r="E233" s="23" t="n">
        <x:v>6340</x:v>
      </x:c>
      <x:c r="F233" s="23" t="n">
        <x:v>6742</x:v>
      </x:c>
      <x:c r="G233" s="23" t="n">
        <x:f>ROUND(F233-F232,1)</x:f>
        <x:v>74.2</x:v>
      </x:c>
      <x:c r="H233" s="24" t="n">
        <x:f>IFERROR(F233/F232-1,"")</x:f>
        <x:v>0.011128108221602373</x:v>
      </x:c>
      <x:c r="I233" s="26" t="n">
        <x:f>ROUND(D233-E233,1)</x:f>
        <x:v>524</x:v>
      </x:c>
      <x:c r="J233" s="22" t="str">
        <x:v>IC2612</x:v>
      </x:c>
      <x:c r="K233" s="22" t="n">
        <x:v>5</x:v>
      </x:c>
    </x:row>
    <x:row r="234">
      <x:c r="A234" s="22" t="n">
        <x:v>42</x:v>
      </x:c>
      <x:c r="B234" s="22" t="str">
        <x:v>10月26日-10月27日</x:v>
      </x:c>
      <x:c r="C234" s="23" t="n">
        <x:v>6700</x:v>
      </x:c>
      <x:c r="D234" s="23" t="n">
        <x:v>6732.2</x:v>
      </x:c>
      <x:c r="E234" s="23" t="n">
        <x:v>6405.6</x:v>
      </x:c>
      <x:c r="F234" s="23" t="n">
        <x:v>6407.6</x:v>
      </x:c>
      <x:c r="G234" s="28" t="n">
        <x:f>ROUND(F234-F233,1)</x:f>
        <x:v>-334.4</x:v>
      </x:c>
      <x:c r="H234" s="24" t="n">
        <x:f>IFERROR(F234/F233-1,"")</x:f>
        <x:v>-0.049599525363393626</x:v>
      </x:c>
      <x:c r="I234" s="26" t="n">
        <x:f>ROUND(D234-E234,1)</x:f>
        <x:v>326.6</x:v>
      </x:c>
      <x:c r="J234" s="22" t="str">
        <x:v>IC2612</x:v>
      </x:c>
      <x:c r="K234" s="22" t="n">
        <x:v>2</x:v>
      </x:c>
    </x:row>
    <x:row r="235">
      <x:c r="A235" s="31" t="str">
        <x:v>合计</x:v>
      </x:c>
      <x:c r="B235" s="30" t="n">
        <x:v>42</x:v>
      </x:c>
      <x:c r="C235" s="30"/>
      <x:c r="D235" s="30"/>
      <x:c r="E235" s="30"/>
      <x:c r="F235" s="30"/>
      <x:c r="G235" s="30"/>
      <x:c r="H235" s="30"/>
      <x:c r="I235" s="32" t="n">
        <x:f>ROUND(SUM(I193:I234),1)</x:f>
        <x:v>18601.6</x:v>
      </x:c>
      <x:c r="J235" s="30"/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4" t="n">
        <x:f>ROUND(IFERROR(AVERAGE(I193:I234),0),1)</x:f>
        <x:v>442.9</x:v>
      </x:c>
      <x:c r="J236" s="30"/>
      <x:c r="K236" s="30"/>
    </x:row>
    <x:row r="238">
      <x:c r="A238" s="17" t="str">
        <x:v>IF主力</x:v>
      </x:c>
      <x:c r="B238" s="17"/>
      <x:c r="C238" s="17"/>
      <x:c r="D238" s="17"/>
      <x:c r="E238" s="17"/>
      <x:c r="F238" s="17"/>
      <x:c r="G238" s="17"/>
      <x:c r="H238" s="17"/>
      <x:c r="I238" s="17"/>
      <x:c r="J238" s="17"/>
      <x:c r="K238" s="17"/>
    </x:row>
    <x:row r="239">
      <x:c r="A239" s="20" t="str">
        <x:v>序号</x:v>
      </x:c>
      <x:c r="B239" s="20" t="str">
        <x:v>周期</x:v>
      </x:c>
      <x:c r="C239" s="20" t="str">
        <x:v>开盘</x:v>
      </x:c>
      <x:c r="D239" s="20" t="str">
        <x:v>高点</x:v>
      </x:c>
      <x:c r="E239" s="20" t="str">
        <x:v>低点</x:v>
      </x:c>
      <x:c r="F239" s="20" t="str">
        <x:v>收盘</x:v>
      </x:c>
      <x:c r="G239" s="20" t="str">
        <x:v>涨跌点数</x:v>
      </x:c>
      <x:c r="H239" s="20" t="str">
        <x:v>涨幅</x:v>
      </x:c>
      <x:c r="I239" s="20" t="str">
        <x:v>振幅</x:v>
      </x:c>
      <x:c r="J239" s="20" t="str">
        <x:v>标的</x:v>
      </x:c>
      <x:c r="K239" s="20" t="str">
        <x:v>交易日</x:v>
      </x:c>
    </x:row>
    <x:row r="240">
      <x:c r="A240" s="22" t="n">
        <x:v>1</x:v>
      </x:c>
      <x:c r="B240" s="22" t="str">
        <x:v>1月5日-1月9日</x:v>
      </x:c>
      <x:c r="C240" s="23" t="n">
        <x:v>4627</x:v>
      </x:c>
      <x:c r="D240" s="23" t="n">
        <x:v>4785.8</x:v>
      </x:c>
      <x:c r="E240" s="23" t="n">
        <x:v>4627</x:v>
      </x:c>
      <x:c r="F240" s="23" t="n">
        <x:v>4743.8</x:v>
      </x:c>
      <x:c r="G240" s="23"/>
      <x:c r="H240" s="24"/>
      <x:c r="I240" s="26" t="n">
        <x:f>ROUND(D240-E240,1)</x:f>
        <x:v>158.8</x:v>
      </x:c>
      <x:c r="J240" s="22" t="str">
        <x:v>IF2603</x:v>
      </x:c>
      <x:c r="K240" s="22" t="n">
        <x:v>5</x:v>
      </x:c>
    </x:row>
    <x:row r="241">
      <x:c r="A241" s="22" t="n">
        <x:v>2</x:v>
      </x:c>
      <x:c r="B241" s="22" t="str">
        <x:v>1月12日-1月16日</x:v>
      </x:c>
      <x:c r="C241" s="23" t="n">
        <x:v>4762</x:v>
      </x:c>
      <x:c r="D241" s="23" t="n">
        <x:v>4833.2</x:v>
      </x:c>
      <x:c r="E241" s="23" t="n">
        <x:v>4707</x:v>
      </x:c>
      <x:c r="F241" s="23" t="n">
        <x:v>4723.2</x:v>
      </x:c>
      <x:c r="G241" s="23" t="n">
        <x:f>ROUND(F241-F240,1)</x:f>
        <x:v>-20.6</x:v>
      </x:c>
      <x:c r="H241" s="24" t="n">
        <x:f>IFERROR(F241/F240-1,"")</x:f>
        <x:v>-0.004342510223871221</x:v>
      </x:c>
      <x:c r="I241" s="26" t="n">
        <x:f>ROUND(D241-E241,1)</x:f>
        <x:v>126.2</x:v>
      </x:c>
      <x:c r="J241" s="22" t="str">
        <x:v>IF2603</x:v>
      </x:c>
      <x:c r="K241" s="22" t="n">
        <x:v>5</x:v>
      </x:c>
    </x:row>
    <x:row r="242">
      <x:c r="A242" s="22" t="n">
        <x:v>3</x:v>
      </x:c>
      <x:c r="B242" s="22" t="str">
        <x:v>1月19日-1月23日</x:v>
      </x:c>
      <x:c r="C242" s="23" t="n">
        <x:v>4711.8</x:v>
      </x:c>
      <x:c r="D242" s="23" t="n">
        <x:v>4763</x:v>
      </x:c>
      <x:c r="E242" s="23" t="n">
        <x:v>4672.8</x:v>
      </x:c>
      <x:c r="F242" s="23" t="n">
        <x:v>4709.2</x:v>
      </x:c>
      <x:c r="G242" s="23" t="n">
        <x:f>ROUND(F242-F241,1)</x:f>
        <x:v>-14</x:v>
      </x:c>
      <x:c r="H242" s="24" t="n">
        <x:f>IFERROR(F242/F241-1,"")</x:f>
        <x:v>-0.002964092140921415</x:v>
      </x:c>
      <x:c r="I242" s="26" t="n">
        <x:f>ROUND(D242-E242,1)</x:f>
        <x:v>90.2</x:v>
      </x:c>
      <x:c r="J242" s="22" t="str">
        <x:v>IF2603</x:v>
      </x:c>
      <x:c r="K242" s="22" t="n">
        <x:v>5</x:v>
      </x:c>
    </x:row>
    <x:row r="243">
      <x:c r="A243" s="22" t="n">
        <x:v>4</x:v>
      </x:c>
      <x:c r="B243" s="22" t="str">
        <x:v>1月26日-1月30日</x:v>
      </x:c>
      <x:c r="C243" s="23" t="n">
        <x:v>4726.8</x:v>
      </x:c>
      <x:c r="D243" s="23" t="n">
        <x:v>4793</x:v>
      </x:c>
      <x:c r="E243" s="23" t="n">
        <x:v>4640</x:v>
      </x:c>
      <x:c r="F243" s="23" t="n">
        <x:v>4711</x:v>
      </x:c>
      <x:c r="G243" s="23" t="n">
        <x:f>ROUND(F243-F242,1)</x:f>
        <x:v>1.8</x:v>
      </x:c>
      <x:c r="H243" s="24" t="n">
        <x:f>IFERROR(F243/F242-1,"")</x:f>
        <x:v>0.00038223052747810016</x:v>
      </x:c>
      <x:c r="I243" s="26" t="n">
        <x:f>ROUND(D243-E243,1)</x:f>
        <x:v>153</x:v>
      </x:c>
      <x:c r="J243" s="22" t="str">
        <x:v>IF2603</x:v>
      </x:c>
      <x:c r="K243" s="22" t="n">
        <x:v>5</x:v>
      </x:c>
    </x:row>
    <x:row r="244">
      <x:c r="A244" s="22" t="n">
        <x:v>5</x:v>
      </x:c>
      <x:c r="B244" s="22" t="str">
        <x:v>2月2日-2月6日</x:v>
      </x:c>
      <x:c r="C244" s="23" t="n">
        <x:v>4680.6</x:v>
      </x:c>
      <x:c r="D244" s="23" t="n">
        <x:v>4724</x:v>
      </x:c>
      <x:c r="E244" s="23" t="n">
        <x:v>4555.6</x:v>
      </x:c>
      <x:c r="F244" s="23" t="n">
        <x:v>4637.6</x:v>
      </x:c>
      <x:c r="G244" s="23" t="n">
        <x:f>ROUND(F244-F243,1)</x:f>
        <x:v>-73.4</x:v>
      </x:c>
      <x:c r="H244" s="24" t="n">
        <x:f>IFERROR(F244/F243-1,"")</x:f>
        <x:v>-0.015580556145192048</x:v>
      </x:c>
      <x:c r="I244" s="26" t="n">
        <x:f>ROUND(D244-E244,1)</x:f>
        <x:v>168.4</x:v>
      </x:c>
      <x:c r="J244" s="22" t="str">
        <x:v>IF2603</x:v>
      </x:c>
      <x:c r="K244" s="22" t="n">
        <x:v>5</x:v>
      </x:c>
    </x:row>
    <x:row r="245">
      <x:c r="A245" s="22" t="n">
        <x:v>6</x:v>
      </x:c>
      <x:c r="B245" s="22" t="str">
        <x:v>2月9日-2月13日</x:v>
      </x:c>
      <x:c r="C245" s="23" t="n">
        <x:v>4688.8</x:v>
      </x:c>
      <x:c r="D245" s="23" t="n">
        <x:v>4733.8</x:v>
      </x:c>
      <x:c r="E245" s="23" t="n">
        <x:v>4624</x:v>
      </x:c>
      <x:c r="F245" s="23" t="n">
        <x:v>4627</x:v>
      </x:c>
      <x:c r="G245" s="23" t="n">
        <x:f>ROUND(F245-F244,1)</x:f>
        <x:v>-10.6</x:v>
      </x:c>
      <x:c r="H245" s="24" t="n">
        <x:f>IFERROR(F245/F244-1,"")</x:f>
        <x:v>-0.0022856649991375155</x:v>
      </x:c>
      <x:c r="I245" s="26" t="n">
        <x:f>ROUND(D245-E245,1)</x:f>
        <x:v>109.8</x:v>
      </x:c>
      <x:c r="J245" s="22" t="str">
        <x:v>IF2603</x:v>
      </x:c>
      <x:c r="K245" s="22" t="n">
        <x:v>5</x:v>
      </x:c>
    </x:row>
    <x:row r="246">
      <x:c r="A246" s="22" t="n">
        <x:v>7</x:v>
      </x:c>
      <x:c r="B246" s="22" t="str">
        <x:v>2月24日-2月27日</x:v>
      </x:c>
      <x:c r="C246" s="23" t="n">
        <x:v>4680.2</x:v>
      </x:c>
      <x:c r="D246" s="23" t="n">
        <x:v>4768</x:v>
      </x:c>
      <x:c r="E246" s="23" t="n">
        <x:v>4671.2</x:v>
      </x:c>
      <x:c r="F246" s="23" t="n">
        <x:v>4713.8</x:v>
      </x:c>
      <x:c r="G246" s="23" t="n">
        <x:f>ROUND(F246-F245,1)</x:f>
        <x:v>86.8</x:v>
      </x:c>
      <x:c r="H246" s="24" t="n">
        <x:f>IFERROR(F246/F245-1,"")</x:f>
        <x:v>0.01875945537065049</x:v>
      </x:c>
      <x:c r="I246" s="26" t="n">
        <x:f>ROUND(D246-E246,1)</x:f>
        <x:v>96.8</x:v>
      </x:c>
      <x:c r="J246" s="22" t="str">
        <x:v>IF2603</x:v>
      </x:c>
      <x:c r="K246" s="22" t="n">
        <x:v>4</x:v>
      </x:c>
    </x:row>
    <x:row r="247">
      <x:c r="A247" s="22" t="n">
        <x:v>8</x:v>
      </x:c>
      <x:c r="B247" s="22" t="str">
        <x:v>3月2日-3月6日</x:v>
      </x:c>
      <x:c r="C247" s="23" t="n">
        <x:v>4681.2</x:v>
      </x:c>
      <x:c r="D247" s="23" t="n">
        <x:v>4725</x:v>
      </x:c>
      <x:c r="E247" s="23" t="n">
        <x:v>4560.2</x:v>
      </x:c>
      <x:c r="F247" s="23" t="n">
        <x:v>4646</x:v>
      </x:c>
      <x:c r="G247" s="23" t="n">
        <x:f>ROUND(F247-F246,1)</x:f>
        <x:v>-67.8</x:v>
      </x:c>
      <x:c r="H247" s="24" t="n">
        <x:f>IFERROR(F247/F246-1,"")</x:f>
        <x:v>-0.014383300097585816</x:v>
      </x:c>
      <x:c r="I247" s="26" t="n">
        <x:f>ROUND(D247-E247,1)</x:f>
        <x:v>164.8</x:v>
      </x:c>
      <x:c r="J247" s="22" t="str">
        <x:v>IF2603</x:v>
      </x:c>
      <x:c r="K247" s="22" t="n">
        <x:v>5</x:v>
      </x:c>
    </x:row>
    <x:row r="248">
      <x:c r="A248" s="22" t="n">
        <x:v>9</x:v>
      </x:c>
      <x:c r="B248" s="22" t="str">
        <x:v>3月9日-3月13日</x:v>
      </x:c>
      <x:c r="C248" s="23" t="n">
        <x:v>4600</x:v>
      </x:c>
      <x:c r="D248" s="23" t="n">
        <x:v>4699</x:v>
      </x:c>
      <x:c r="E248" s="23" t="n">
        <x:v>4500</x:v>
      </x:c>
      <x:c r="F248" s="23" t="n">
        <x:v>4658</x:v>
      </x:c>
      <x:c r="G248" s="23" t="n">
        <x:f>ROUND(F248-F247,1)</x:f>
        <x:v>12</x:v>
      </x:c>
      <x:c r="H248" s="24" t="n">
        <x:f>IFERROR(F248/F247-1,"")</x:f>
        <x:v>0.00258286698235044</x:v>
      </x:c>
      <x:c r="I248" s="26" t="n">
        <x:f>ROUND(D248-E248,1)</x:f>
        <x:v>199</x:v>
      </x:c>
      <x:c r="J248" s="22" t="str">
        <x:v>IF2603</x:v>
      </x:c>
      <x:c r="K248" s="22" t="n">
        <x:v>5</x:v>
      </x:c>
    </x:row>
    <x:row r="249">
      <x:c r="A249" s="22" t="n">
        <x:v>10</x:v>
      </x:c>
      <x:c r="B249" s="22" t="str">
        <x:v>3月16日-3月20日</x:v>
      </x:c>
      <x:c r="C249" s="23" t="n">
        <x:v>4665</x:v>
      </x:c>
      <x:c r="D249" s="23" t="n">
        <x:v>4718.4</x:v>
      </x:c>
      <x:c r="E249" s="23" t="n">
        <x:v>4570</x:v>
      </x:c>
      <x:c r="F249" s="23" t="n">
        <x:v>4596.8</x:v>
      </x:c>
      <x:c r="G249" s="23" t="n">
        <x:f>ROUND(F249-F248,1)</x:f>
        <x:v>-61.2</x:v>
      </x:c>
      <x:c r="H249" s="24" t="n">
        <x:f>IFERROR(F249/F248-1,"")</x:f>
        <x:v>-0.0131386861313868</x:v>
      </x:c>
      <x:c r="I249" s="26" t="n">
        <x:f>ROUND(D249-E249,1)</x:f>
        <x:v>148.4</x:v>
      </x:c>
      <x:c r="J249" s="22" t="str">
        <x:v>IF2603</x:v>
      </x:c>
      <x:c r="K249" s="22" t="n">
        <x:v>5</x:v>
      </x:c>
    </x:row>
    <x:row r="250">
      <x:c r="A250" s="22" t="n">
        <x:v>11</x:v>
      </x:c>
      <x:c r="B250" s="22" t="str">
        <x:v>3月23日-3月27日</x:v>
      </x:c>
      <x:c r="C250" s="23" t="n">
        <x:v>4434.4</x:v>
      </x:c>
      <x:c r="D250" s="23" t="n">
        <x:v>4466.2</x:v>
      </x:c>
      <x:c r="E250" s="23" t="n">
        <x:v>4307.2</x:v>
      </x:c>
      <x:c r="F250" s="23" t="n">
        <x:v>4427.4</x:v>
      </x:c>
      <x:c r="G250" s="28" t="n">
        <x:f>ROUND(F250-F249,1)</x:f>
        <x:v>-169.4</x:v>
      </x:c>
      <x:c r="H250" s="24" t="n">
        <x:f>IFERROR(F250/F249-1,"")</x:f>
        <x:v>-0.0368517229376959</x:v>
      </x:c>
      <x:c r="I250" s="26" t="n">
        <x:f>ROUND(D250-E250,1)</x:f>
        <x:v>159</x:v>
      </x:c>
      <x:c r="J250" s="22" t="str">
        <x:v>IF2606</x:v>
      </x:c>
      <x:c r="K250" s="22" t="n">
        <x:v>5</x:v>
      </x:c>
    </x:row>
    <x:row r="251">
      <x:c r="A251" s="22" t="n">
        <x:v>12</x:v>
      </x:c>
      <x:c r="B251" s="22" t="str">
        <x:v>3月30日-4月3日</x:v>
      </x:c>
      <x:c r="C251" s="23" t="n">
        <x:v>4387.2</x:v>
      </x:c>
      <x:c r="D251" s="23" t="n">
        <x:v>4459.8</x:v>
      </x:c>
      <x:c r="E251" s="23" t="n">
        <x:v>4346</x:v>
      </x:c>
      <x:c r="F251" s="23" t="n">
        <x:v>4362.2</x:v>
      </x:c>
      <x:c r="G251" s="23" t="n">
        <x:f>ROUND(F251-F250,1)</x:f>
        <x:v>-65.2</x:v>
      </x:c>
      <x:c r="H251" s="24" t="n">
        <x:f>IFERROR(F251/F250-1,"")</x:f>
        <x:v>-0.014726476035596514</x:v>
      </x:c>
      <x:c r="I251" s="26" t="n">
        <x:f>ROUND(D251-E251,1)</x:f>
        <x:v>113.8</x:v>
      </x:c>
      <x:c r="J251" s="22" t="str">
        <x:v>IF2606</x:v>
      </x:c>
      <x:c r="K251" s="22" t="n">
        <x:v>5</x:v>
      </x:c>
    </x:row>
    <x:row r="252">
      <x:c r="A252" s="22" t="n">
        <x:v>13</x:v>
      </x:c>
      <x:c r="B252" s="22" t="str">
        <x:v>4月7日-4月10日</x:v>
      </x:c>
      <x:c r="C252" s="23" t="n">
        <x:v>4369.8</x:v>
      </x:c>
      <x:c r="D252" s="23" t="n">
        <x:v>4591.8</x:v>
      </x:c>
      <x:c r="E252" s="23" t="n">
        <x:v>4347</x:v>
      </x:c>
      <x:c r="F252" s="23" t="n">
        <x:v>4562</x:v>
      </x:c>
      <x:c r="G252" s="28" t="n">
        <x:f>ROUND(F252-F251,1)</x:f>
        <x:v>199.8</x:v>
      </x:c>
      <x:c r="H252" s="24" t="n">
        <x:f>IFERROR(F252/F251-1,"")</x:f>
        <x:v>0.045802576681491125</x:v>
      </x:c>
      <x:c r="I252" s="26" t="n">
        <x:f>ROUND(D252-E252,1)</x:f>
        <x:v>244.8</x:v>
      </x:c>
      <x:c r="J252" s="22" t="str">
        <x:v>IF2606</x:v>
      </x:c>
      <x:c r="K252" s="22" t="n">
        <x:v>4</x:v>
      </x:c>
    </x:row>
    <x:row r="253">
      <x:c r="A253" s="22" t="n">
        <x:v>14</x:v>
      </x:c>
      <x:c r="B253" s="22" t="str">
        <x:v>4月13日-4月17日</x:v>
      </x:c>
      <x:c r="C253" s="23" t="n">
        <x:v>4542</x:v>
      </x:c>
      <x:c r="D253" s="23" t="n">
        <x:v>4685</x:v>
      </x:c>
      <x:c r="E253" s="23" t="n">
        <x:v>4541.6</x:v>
      </x:c>
      <x:c r="F253" s="23" t="n">
        <x:v>4667</x:v>
      </x:c>
      <x:c r="G253" s="23" t="n">
        <x:f>ROUND(F253-F252,1)</x:f>
        <x:v>105</x:v>
      </x:c>
      <x:c r="H253" s="24" t="n">
        <x:f>IFERROR(F253/F252-1,"")</x:f>
        <x:v>0.0230162209557212</x:v>
      </x:c>
      <x:c r="I253" s="26" t="n">
        <x:f>ROUND(D253-E253,1)</x:f>
        <x:v>143.4</x:v>
      </x:c>
      <x:c r="J253" s="22" t="str">
        <x:v>IF2606</x:v>
      </x:c>
      <x:c r="K253" s="22" t="n">
        <x:v>5</x:v>
      </x:c>
    </x:row>
    <x:row r="254">
      <x:c r="A254" s="22" t="n">
        <x:v>15</x:v>
      </x:c>
      <x:c r="B254" s="22" t="str">
        <x:v>4月20日-4月24日</x:v>
      </x:c>
      <x:c r="C254" s="23" t="n">
        <x:v>4665</x:v>
      </x:c>
      <x:c r="D254" s="23" t="n">
        <x:v>4763</x:v>
      </x:c>
      <x:c r="E254" s="23" t="n">
        <x:v>4656.8</x:v>
      </x:c>
      <x:c r="F254" s="23" t="n">
        <x:v>4713.6</x:v>
      </x:c>
      <x:c r="G254" s="23" t="n">
        <x:f>ROUND(F254-F253,1)</x:f>
        <x:v>46.6</x:v>
      </x:c>
      <x:c r="H254" s="24" t="n">
        <x:f>IFERROR(F254/F253-1,"")</x:f>
        <x:v>0.009985001071352029</x:v>
      </x:c>
      <x:c r="I254" s="26" t="n">
        <x:f>ROUND(D254-E254,1)</x:f>
        <x:v>106.2</x:v>
      </x:c>
      <x:c r="J254" s="22" t="str">
        <x:v>IF2606</x:v>
      </x:c>
      <x:c r="K254" s="22" t="n">
        <x:v>5</x:v>
      </x:c>
    </x:row>
    <x:row r="255">
      <x:c r="A255" s="22" t="n">
        <x:v>16</x:v>
      </x:c>
      <x:c r="B255" s="22" t="str">
        <x:v>4月27日-4月30日</x:v>
      </x:c>
      <x:c r="C255" s="23" t="n">
        <x:v>4720</x:v>
      </x:c>
      <x:c r="D255" s="23" t="n">
        <x:v>4776.6</x:v>
      </x:c>
      <x:c r="E255" s="23" t="n">
        <x:v>4687.2</x:v>
      </x:c>
      <x:c r="F255" s="23" t="n">
        <x:v>4763.4</x:v>
      </x:c>
      <x:c r="G255" s="23" t="n">
        <x:f>ROUND(F255-F254,1)</x:f>
        <x:v>49.8</x:v>
      </x:c>
      <x:c r="H255" s="24" t="n">
        <x:f>IFERROR(F255/F254-1,"")</x:f>
        <x:v>0.010565173116089399</x:v>
      </x:c>
      <x:c r="I255" s="23" t="n">
        <x:f>ROUND(D255-E255,1)</x:f>
        <x:v>89.4</x:v>
      </x:c>
      <x:c r="J255" s="22" t="str">
        <x:v>IF2606</x:v>
      </x:c>
      <x:c r="K255" s="22" t="n">
        <x:v>4</x:v>
      </x:c>
    </x:row>
    <x:row r="256">
      <x:c r="A256" s="22" t="n">
        <x:v>17</x:v>
      </x:c>
      <x:c r="B256" s="22" t="str">
        <x:v>5月6日-5月8日</x:v>
      </x:c>
      <x:c r="C256" s="23" t="n">
        <x:v>4808.2</x:v>
      </x:c>
      <x:c r="D256" s="23" t="n">
        <x:v>4869</x:v>
      </x:c>
      <x:c r="E256" s="23" t="n">
        <x:v>4797</x:v>
      </x:c>
      <x:c r="F256" s="23" t="n">
        <x:v>4836.8</x:v>
      </x:c>
      <x:c r="G256" s="23" t="n">
        <x:f>ROUND(F256-F255,1)</x:f>
        <x:v>73.4</x:v>
      </x:c>
      <x:c r="H256" s="24" t="n">
        <x:f>IFERROR(F256/F255-1,"")</x:f>
        <x:v>0.015409161523281867</x:v>
      </x:c>
      <x:c r="I256" s="23" t="n">
        <x:f>ROUND(D256-E256,1)</x:f>
        <x:v>72</x:v>
      </x:c>
      <x:c r="J256" s="22" t="str">
        <x:v>IF2606</x:v>
      </x:c>
      <x:c r="K256" s="22" t="n">
        <x:v>3</x:v>
      </x:c>
    </x:row>
    <x:row r="257">
      <x:c r="A257" s="22" t="n">
        <x:v>18</x:v>
      </x:c>
      <x:c r="B257" s="22" t="str">
        <x:v>5月11日-5月15日</x:v>
      </x:c>
      <x:c r="C257" s="23" t="n">
        <x:v>4860</x:v>
      </x:c>
      <x:c r="D257" s="23" t="n">
        <x:v>4995</x:v>
      </x:c>
      <x:c r="E257" s="23" t="n">
        <x:v>4794</x:v>
      </x:c>
      <x:c r="F257" s="23" t="n">
        <x:v>4824</x:v>
      </x:c>
      <x:c r="G257" s="23" t="n">
        <x:f>ROUND(F257-F256,1)</x:f>
        <x:v>-12.8</x:v>
      </x:c>
      <x:c r="H257" s="24" t="n">
        <x:f>IFERROR(F257/F256-1,"")</x:f>
        <x:v>-0.0026463777704267555</x:v>
      </x:c>
      <x:c r="I257" s="26" t="n">
        <x:f>ROUND(D257-E257,1)</x:f>
        <x:v>201</x:v>
      </x:c>
      <x:c r="J257" s="22" t="str">
        <x:v>IF2606</x:v>
      </x:c>
      <x:c r="K257" s="22" t="n">
        <x:v>5</x:v>
      </x:c>
    </x:row>
    <x:row r="258">
      <x:c r="A258" s="22" t="n">
        <x:v>19</x:v>
      </x:c>
      <x:c r="B258" s="22" t="str">
        <x:v>5月18日-5月22日</x:v>
      </x:c>
      <x:c r="C258" s="23" t="n">
        <x:v>4810</x:v>
      </x:c>
      <x:c r="D258" s="23" t="n">
        <x:v>4900.8</x:v>
      </x:c>
      <x:c r="E258" s="23" t="n">
        <x:v>4735</x:v>
      </x:c>
      <x:c r="F258" s="23" t="n">
        <x:v>4788.2</x:v>
      </x:c>
      <x:c r="G258" s="23" t="n">
        <x:f>ROUND(F258-F257,1)</x:f>
        <x:v>-35.8</x:v>
      </x:c>
      <x:c r="H258" s="24" t="n">
        <x:f>IFERROR(F258/F257-1,"")</x:f>
        <x:v>-0.007421227197346614</x:v>
      </x:c>
      <x:c r="I258" s="26" t="n">
        <x:f>ROUND(D258-E258,1)</x:f>
        <x:v>165.8</x:v>
      </x:c>
      <x:c r="J258" s="22" t="str">
        <x:v>IF2606</x:v>
      </x:c>
      <x:c r="K258" s="22" t="n">
        <x:v>5</x:v>
      </x:c>
    </x:row>
    <x:row r="259">
      <x:c r="A259" s="22" t="n">
        <x:v>20</x:v>
      </x:c>
      <x:c r="B259" s="22" t="str">
        <x:v>5月25日-5月29日</x:v>
      </x:c>
      <x:c r="C259" s="23" t="n">
        <x:v>4817.8</x:v>
      </x:c>
      <x:c r="D259" s="23" t="n">
        <x:v>4928.4</x:v>
      </x:c>
      <x:c r="E259" s="23" t="n">
        <x:v>4793.2</x:v>
      </x:c>
      <x:c r="F259" s="23" t="n">
        <x:v>4847.8</x:v>
      </x:c>
      <x:c r="G259" s="23" t="n">
        <x:f>ROUND(F259-F258,1)</x:f>
        <x:v>59.6</x:v>
      </x:c>
      <x:c r="H259" s="24" t="n">
        <x:f>IFERROR(F259/F258-1,"")</x:f>
        <x:v>0.01244726619606551</x:v>
      </x:c>
      <x:c r="I259" s="26" t="n">
        <x:f>ROUND(D259-E259,1)</x:f>
        <x:v>135.2</x:v>
      </x:c>
      <x:c r="J259" s="22" t="str">
        <x:v>IF2606</x:v>
      </x:c>
      <x:c r="K259" s="22" t="n">
        <x:v>5</x:v>
      </x:c>
    </x:row>
    <x:row r="260">
      <x:c r="A260" s="22" t="n">
        <x:v>21</x:v>
      </x:c>
      <x:c r="B260" s="22" t="str">
        <x:v>6月1日-6月5日</x:v>
      </x:c>
      <x:c r="C260" s="23" t="n">
        <x:v>4860</x:v>
      </x:c>
      <x:c r="D260" s="23" t="n">
        <x:v>4964.6</x:v>
      </x:c>
      <x:c r="E260" s="23" t="n">
        <x:v>4762.2</x:v>
      </x:c>
      <x:c r="F260" s="23" t="n">
        <x:v>4776.8</x:v>
      </x:c>
      <x:c r="G260" s="23" t="n">
        <x:f>ROUND(F260-F259,1)</x:f>
        <x:v>-71</x:v>
      </x:c>
      <x:c r="H260" s="24" t="n">
        <x:f>IFERROR(F260/F259-1,"")</x:f>
        <x:v>-0.014645818721894521</x:v>
      </x:c>
      <x:c r="I260" s="26" t="n">
        <x:f>ROUND(D260-E260,1)</x:f>
        <x:v>202.4</x:v>
      </x:c>
      <x:c r="J260" s="22" t="str">
        <x:v>IF2606</x:v>
      </x:c>
      <x:c r="K260" s="22" t="n">
        <x:v>5</x:v>
      </x:c>
    </x:row>
    <x:row r="261">
      <x:c r="A261" s="22" t="n">
        <x:v>22</x:v>
      </x:c>
      <x:c r="B261" s="22" t="str">
        <x:v>6月8日-6月12日</x:v>
      </x:c>
      <x:c r="C261" s="23" t="n">
        <x:v>4700</x:v>
      </x:c>
      <x:c r="D261" s="23" t="n">
        <x:v>4793</x:v>
      </x:c>
      <x:c r="E261" s="23" t="n">
        <x:v>4640.2</x:v>
      </x:c>
      <x:c r="F261" s="23" t="n">
        <x:v>4769.8</x:v>
      </x:c>
      <x:c r="G261" s="23" t="n">
        <x:f>ROUND(F261-F260,1)</x:f>
        <x:v>-7</x:v>
      </x:c>
      <x:c r="H261" s="24" t="n">
        <x:f>IFERROR(F261/F260-1,"")</x:f>
        <x:v>-0.0014654161781946229</x:v>
      </x:c>
      <x:c r="I261" s="26" t="n">
        <x:f>ROUND(D261-E261,1)</x:f>
        <x:v>152.8</x:v>
      </x:c>
      <x:c r="J261" s="22" t="str">
        <x:v>IF2606</x:v>
      </x:c>
      <x:c r="K261" s="22" t="n">
        <x:v>5</x:v>
      </x:c>
    </x:row>
    <x:row r="262">
      <x:c r="A262" s="22" t="n">
        <x:v>23</x:v>
      </x:c>
      <x:c r="B262" s="22" t="str">
        <x:v>6月15日-6月18日</x:v>
      </x:c>
      <x:c r="C262" s="23" t="n">
        <x:v>4819</x:v>
      </x:c>
      <x:c r="D262" s="23" t="n">
        <x:v>4971</x:v>
      </x:c>
      <x:c r="E262" s="23" t="n">
        <x:v>4804.8</x:v>
      </x:c>
      <x:c r="F262" s="23" t="n">
        <x:v>4960.6</x:v>
      </x:c>
      <x:c r="G262" s="28" t="n">
        <x:f>ROUND(F262-F261,1)</x:f>
        <x:v>190.8</x:v>
      </x:c>
      <x:c r="H262" s="24" t="n">
        <x:f>IFERROR(F262/F261-1,"")</x:f>
        <x:v>0.040001677219170695</x:v>
      </x:c>
      <x:c r="I262" s="26" t="n">
        <x:f>ROUND(D262-E262,1)</x:f>
        <x:v>166.2</x:v>
      </x:c>
      <x:c r="J262" s="22" t="str">
        <x:v>IF2606</x:v>
      </x:c>
      <x:c r="K262" s="22" t="n">
        <x:v>4</x:v>
      </x:c>
    </x:row>
    <x:row r="263">
      <x:c r="A263" s="22" t="n">
        <x:v>24</x:v>
      </x:c>
      <x:c r="B263" s="22" t="str">
        <x:v>6月22日-6月26日</x:v>
      </x:c>
      <x:c r="C263" s="23" t="n">
        <x:v>4956</x:v>
      </x:c>
      <x:c r="D263" s="23" t="n">
        <x:v>5030.2</x:v>
      </x:c>
      <x:c r="E263" s="23" t="n">
        <x:v>4717</x:v>
      </x:c>
      <x:c r="F263" s="23" t="n">
        <x:v>4748.2</x:v>
      </x:c>
      <x:c r="G263" s="28" t="n">
        <x:f>ROUND(F263-F262,1)</x:f>
        <x:v>-212.4</x:v>
      </x:c>
      <x:c r="H263" s="24" t="n">
        <x:f>IFERROR(F263/F262-1,"")</x:f>
        <x:v>-0.04281740112083221</x:v>
      </x:c>
      <x:c r="I263" s="26" t="n">
        <x:f>ROUND(D263-E263,1)</x:f>
        <x:v>313.2</x:v>
      </x:c>
      <x:c r="J263" s="22" t="str">
        <x:v>IF2606/IF2609</x:v>
      </x:c>
      <x:c r="K263" s="22" t="n">
        <x:v>5</x:v>
      </x:c>
    </x:row>
    <x:row r="264">
      <x:c r="A264" s="22" t="n">
        <x:v>25</x:v>
      </x:c>
      <x:c r="B264" s="22" t="str">
        <x:v>6月29日-7月3日</x:v>
      </x:c>
      <x:c r="C264" s="23" t="n">
        <x:v>4759.4</x:v>
      </x:c>
      <x:c r="D264" s="23" t="n">
        <x:v>4899.6</x:v>
      </x:c>
      <x:c r="E264" s="23" t="n">
        <x:v>4705</x:v>
      </x:c>
      <x:c r="F264" s="23" t="n">
        <x:v>4752.2</x:v>
      </x:c>
      <x:c r="G264" s="23" t="n">
        <x:f>ROUND(F264-F263,1)</x:f>
        <x:v>4</x:v>
      </x:c>
      <x:c r="H264" s="24" t="n">
        <x:f>IFERROR(F264/F263-1,"")</x:f>
        <x:v>0.0008424244977043305</x:v>
      </x:c>
      <x:c r="I264" s="26" t="n">
        <x:f>ROUND(D264-E264,1)</x:f>
        <x:v>194.6</x:v>
      </x:c>
      <x:c r="J264" s="22" t="str">
        <x:v>IF2609</x:v>
      </x:c>
      <x:c r="K264" s="22" t="n">
        <x:v>5</x:v>
      </x:c>
    </x:row>
    <x:row r="265">
      <x:c r="A265" s="22" t="n">
        <x:v>26</x:v>
      </x:c>
      <x:c r="B265" s="22" t="str">
        <x:v>7月6日-7月10日</x:v>
      </x:c>
      <x:c r="C265" s="23" t="n">
        <x:v>4781</x:v>
      </x:c>
      <x:c r="D265" s="23" t="n">
        <x:v>4822.2</x:v>
      </x:c>
      <x:c r="E265" s="23" t="n">
        <x:v>4665.2</x:v>
      </x:c>
      <x:c r="F265" s="23" t="n">
        <x:v>4704.6</x:v>
      </x:c>
      <x:c r="G265" s="23" t="n">
        <x:f>ROUND(F265-F264,1)</x:f>
        <x:v>-47.6</x:v>
      </x:c>
      <x:c r="H265" s="24" t="n">
        <x:f>IFERROR(F265/F264-1,"")</x:f>
        <x:v>-0.010016413450612216</x:v>
      </x:c>
      <x:c r="I265" s="26" t="n">
        <x:f>ROUND(D265-E265,1)</x:f>
        <x:v>157</x:v>
      </x:c>
      <x:c r="J265" s="22" t="str">
        <x:v>IF2609</x:v>
      </x:c>
      <x:c r="K265" s="22" t="n">
        <x:v>5</x:v>
      </x:c>
    </x:row>
    <x:row r="266">
      <x:c r="A266" s="22" t="n">
        <x:v>27</x:v>
      </x:c>
      <x:c r="B266" s="22" t="str">
        <x:v>7月13日-7月17日</x:v>
      </x:c>
      <x:c r="C266" s="23" t="n">
        <x:v>4691</x:v>
      </x:c>
      <x:c r="D266" s="23" t="n">
        <x:v>4739.4</x:v>
      </x:c>
      <x:c r="E266" s="23" t="n">
        <x:v>4441.4</x:v>
      </x:c>
      <x:c r="F266" s="23" t="n">
        <x:v>4473.8</x:v>
      </x:c>
      <x:c r="G266" s="28" t="n">
        <x:f>ROUND(F266-F265,1)</x:f>
        <x:v>-230.8</x:v>
      </x:c>
      <x:c r="H266" s="24" t="n">
        <x:f>IFERROR(F266/F265-1,"")</x:f>
        <x:v>-0.04905836840539046</x:v>
      </x:c>
      <x:c r="I266" s="26" t="n">
        <x:f>ROUND(D266-E266,1)</x:f>
        <x:v>298</x:v>
      </x:c>
      <x:c r="J266" s="22" t="str">
        <x:v>IF2609</x:v>
      </x:c>
      <x:c r="K266" s="22" t="n">
        <x:v>5</x:v>
      </x:c>
    </x:row>
    <x:row r="267">
      <x:c r="A267" s="22" t="n">
        <x:v>28</x:v>
      </x:c>
      <x:c r="B267" s="22" t="str">
        <x:v>7月20日-7月24日</x:v>
      </x:c>
      <x:c r="C267" s="23" t="n">
        <x:v>4530</x:v>
      </x:c>
      <x:c r="D267" s="23" t="n">
        <x:v>4707.8</x:v>
      </x:c>
      <x:c r="E267" s="23" t="n">
        <x:v>4465</x:v>
      </x:c>
      <x:c r="F267" s="23" t="n">
        <x:v>4578.2</x:v>
      </x:c>
      <x:c r="G267" s="23" t="n">
        <x:f>ROUND(F267-F266,1)</x:f>
        <x:v>104.4</x:v>
      </x:c>
      <x:c r="H267" s="24" t="n">
        <x:f>IFERROR(F267/F266-1,"")</x:f>
        <x:v>0.023335866601099653</x:v>
      </x:c>
      <x:c r="I267" s="26" t="n">
        <x:f>ROUND(D267-E267,1)</x:f>
        <x:v>242.8</x:v>
      </x:c>
      <x:c r="J267" s="22" t="str">
        <x:v>IF2609</x:v>
      </x:c>
      <x:c r="K267" s="22" t="n">
        <x:v>5</x:v>
      </x:c>
    </x:row>
    <x:row r="268">
      <x:c r="A268" s="22" t="n">
        <x:v>29</x:v>
      </x:c>
      <x:c r="B268" s="22" t="str">
        <x:v>7月27日-7月31日</x:v>
      </x:c>
      <x:c r="C268" s="23" t="n">
        <x:v>4589.4</x:v>
      </x:c>
      <x:c r="D268" s="23" t="n">
        <x:v>4652.2</x:v>
      </x:c>
      <x:c r="E268" s="23" t="n">
        <x:v>4420</x:v>
      </x:c>
      <x:c r="F268" s="23" t="n">
        <x:v>4538</x:v>
      </x:c>
      <x:c r="G268" s="23" t="n">
        <x:f>ROUND(F268-F267,1)</x:f>
        <x:v>-40.2</x:v>
      </x:c>
      <x:c r="H268" s="24" t="n">
        <x:f>IFERROR(F268/F267-1,"")</x:f>
        <x:v>-0.008780743523655543</x:v>
      </x:c>
      <x:c r="I268" s="26" t="n">
        <x:f>ROUND(D268-E268,1)</x:f>
        <x:v>232.2</x:v>
      </x:c>
      <x:c r="J268" s="22" t="str">
        <x:v>IF2609</x:v>
      </x:c>
      <x:c r="K268" s="22" t="n">
        <x:v>5</x:v>
      </x:c>
    </x:row>
    <x:row r="269">
      <x:c r="A269" s="22" t="n">
        <x:v>30</x:v>
      </x:c>
      <x:c r="B269" s="22" t="str">
        <x:v>8月3日-8月7日</x:v>
      </x:c>
      <x:c r="C269" s="23" t="n">
        <x:v>4526.4</x:v>
      </x:c>
      <x:c r="D269" s="23" t="n">
        <x:v>4656.2</x:v>
      </x:c>
      <x:c r="E269" s="23" t="n">
        <x:v>4494.2</x:v>
      </x:c>
      <x:c r="F269" s="23" t="n">
        <x:v>4645.6</x:v>
      </x:c>
      <x:c r="G269" s="23" t="n">
        <x:f>ROUND(F269-F268,1)</x:f>
        <x:v>107.6</x:v>
      </x:c>
      <x:c r="H269" s="24" t="n">
        <x:f>IFERROR(F269/F268-1,"")</x:f>
        <x:v>0.02371088585279857</x:v>
      </x:c>
      <x:c r="I269" s="26" t="n">
        <x:f>ROUND(D269-E269,1)</x:f>
        <x:v>162</x:v>
      </x:c>
      <x:c r="J269" s="22" t="str">
        <x:v>IF2609</x:v>
      </x:c>
      <x:c r="K269" s="22" t="n">
        <x:v>5</x:v>
      </x:c>
    </x:row>
    <x:row r="270">
      <x:c r="A270" s="22" t="n">
        <x:v>31</x:v>
      </x:c>
      <x:c r="B270" s="22" t="str">
        <x:v>8月10日-8月14日</x:v>
      </x:c>
      <x:c r="C270" s="23" t="n">
        <x:v>4656.8</x:v>
      </x:c>
      <x:c r="D270" s="23" t="n">
        <x:v>4681</x:v>
      </x:c>
      <x:c r="E270" s="23" t="n">
        <x:v>4598</x:v>
      </x:c>
      <x:c r="F270" s="23" t="n">
        <x:v>4620.4</x:v>
      </x:c>
      <x:c r="G270" s="23" t="n">
        <x:f>ROUND(F270-F269,1)</x:f>
        <x:v>-25.2</x:v>
      </x:c>
      <x:c r="H270" s="24" t="n">
        <x:f>IFERROR(F270/F269-1,"")</x:f>
        <x:v>-0.005424487687274104</x:v>
      </x:c>
      <x:c r="I270" s="23" t="n">
        <x:f>ROUND(D270-E270,1)</x:f>
        <x:v>83</x:v>
      </x:c>
      <x:c r="J270" s="22" t="str">
        <x:v>IF2609</x:v>
      </x:c>
      <x:c r="K270" s="22" t="n">
        <x:v>5</x:v>
      </x:c>
    </x:row>
    <x:row r="271">
      <x:c r="A271" s="22" t="n">
        <x:v>32</x:v>
      </x:c>
      <x:c r="B271" s="22" t="str">
        <x:v>8月17日-8月21日</x:v>
      </x:c>
      <x:c r="C271" s="23" t="n">
        <x:v>4624</x:v>
      </x:c>
      <x:c r="D271" s="23" t="n">
        <x:v>4700.6</x:v>
      </x:c>
      <x:c r="E271" s="23" t="n">
        <x:v>4531.8</x:v>
      </x:c>
      <x:c r="F271" s="23" t="n">
        <x:v>4576</x:v>
      </x:c>
      <x:c r="G271" s="23" t="n">
        <x:f>ROUND(F271-F270,1)</x:f>
        <x:v>-44.4</x:v>
      </x:c>
      <x:c r="H271" s="24" t="n">
        <x:f>IFERROR(F271/F270-1,"")</x:f>
        <x:v>-0.00960955761405935</x:v>
      </x:c>
      <x:c r="I271" s="26" t="n">
        <x:f>ROUND(D271-E271,1)</x:f>
        <x:v>168.8</x:v>
      </x:c>
      <x:c r="J271" s="22" t="str">
        <x:v>IF2609</x:v>
      </x:c>
      <x:c r="K271" s="22" t="n">
        <x:v>5</x:v>
      </x:c>
    </x:row>
    <x:row r="272">
      <x:c r="A272" s="22" t="n">
        <x:v>33</x:v>
      </x:c>
      <x:c r="B272" s="22" t="str">
        <x:v>8月24日-8月28日</x:v>
      </x:c>
      <x:c r="C272" s="23" t="n">
        <x:v>4607.4</x:v>
      </x:c>
      <x:c r="D272" s="23" t="n">
        <x:v>4620</x:v>
      </x:c>
      <x:c r="E272" s="23" t="n">
        <x:v>4486.4</x:v>
      </x:c>
      <x:c r="F272" s="23" t="n">
        <x:v>4593.6</x:v>
      </x:c>
      <x:c r="G272" s="23" t="n">
        <x:f>ROUND(F272-F271,1)</x:f>
        <x:v>17.6</x:v>
      </x:c>
      <x:c r="H272" s="24" t="n">
        <x:f>IFERROR(F272/F271-1,"")</x:f>
        <x:v>0.0038461538461538325</x:v>
      </x:c>
      <x:c r="I272" s="26" t="n">
        <x:f>ROUND(D272-E272,1)</x:f>
        <x:v>133.6</x:v>
      </x:c>
      <x:c r="J272" s="22" t="str">
        <x:v>IF2609</x:v>
      </x:c>
      <x:c r="K272" s="22" t="n">
        <x:v>5</x:v>
      </x:c>
    </x:row>
    <x:row r="273">
      <x:c r="A273" s="22" t="n">
        <x:v>34</x:v>
      </x:c>
      <x:c r="B273" s="22" t="str">
        <x:v>8月31日-9月4日</x:v>
      </x:c>
      <x:c r="C273" s="23" t="n">
        <x:v>4553</x:v>
      </x:c>
      <x:c r="D273" s="23" t="n">
        <x:v>4617.8</x:v>
      </x:c>
      <x:c r="E273" s="23" t="n">
        <x:v>4497.6</x:v>
      </x:c>
      <x:c r="F273" s="23" t="n">
        <x:v>4537.4</x:v>
      </x:c>
      <x:c r="G273" s="23" t="n">
        <x:f>ROUND(F273-F272,1)</x:f>
        <x:v>-56.2</x:v>
      </x:c>
      <x:c r="H273" s="24" t="n">
        <x:f>IFERROR(F273/F272-1,"")</x:f>
        <x:v>-0.01223441309648221</x:v>
      </x:c>
      <x:c r="I273" s="26" t="n">
        <x:f>ROUND(D273-E273,1)</x:f>
        <x:v>120.2</x:v>
      </x:c>
      <x:c r="J273" s="22" t="str">
        <x:v>IF2609</x:v>
      </x:c>
      <x:c r="K273" s="22" t="n">
        <x:v>5</x:v>
      </x:c>
    </x:row>
    <x:row r="274">
      <x:c r="A274" s="22" t="n">
        <x:v>35</x:v>
      </x:c>
      <x:c r="B274" s="22" t="str">
        <x:v>9月7日-9月11日</x:v>
      </x:c>
      <x:c r="C274" s="23" t="n">
        <x:v>4562</x:v>
      </x:c>
      <x:c r="D274" s="23" t="n">
        <x:v>4584</x:v>
      </x:c>
      <x:c r="E274" s="23" t="n">
        <x:v>4451.6</x:v>
      </x:c>
      <x:c r="F274" s="23" t="n">
        <x:v>4503.4</x:v>
      </x:c>
      <x:c r="G274" s="23" t="n">
        <x:f>ROUND(F274-F273,1)</x:f>
        <x:v>-34</x:v>
      </x:c>
      <x:c r="H274" s="24" t="n">
        <x:f>IFERROR(F274/F273-1,"")</x:f>
        <x:v>-0.007493278088773314</x:v>
      </x:c>
      <x:c r="I274" s="26" t="n">
        <x:f>ROUND(D274-E274,1)</x:f>
        <x:v>132.4</x:v>
      </x:c>
      <x:c r="J274" s="22" t="str">
        <x:v>IF2609</x:v>
      </x:c>
      <x:c r="K274" s="22" t="n">
        <x:v>5</x:v>
      </x:c>
    </x:row>
    <x:row r="275">
      <x:c r="A275" s="22" t="n">
        <x:v>36</x:v>
      </x:c>
      <x:c r="B275" s="22" t="str">
        <x:v>9月14日-9月18日</x:v>
      </x:c>
      <x:c r="C275" s="23" t="n">
        <x:v>4468</x:v>
      </x:c>
      <x:c r="D275" s="23" t="n">
        <x:v>4520.6</x:v>
      </x:c>
      <x:c r="E275" s="23" t="n">
        <x:v>4412.2</x:v>
      </x:c>
      <x:c r="F275" s="23" t="n">
        <x:v>4508</x:v>
      </x:c>
      <x:c r="G275" s="23" t="n">
        <x:f>ROUND(F275-F274,1)</x:f>
        <x:v>4.6</x:v>
      </x:c>
      <x:c r="H275" s="24" t="n">
        <x:f>IFERROR(F275/F274-1,"")</x:f>
        <x:v>0.0010214504596528506</x:v>
      </x:c>
      <x:c r="I275" s="26" t="n">
        <x:f>ROUND(D275-E275,1)</x:f>
        <x:v>108.4</x:v>
      </x:c>
      <x:c r="J275" s="22" t="str">
        <x:v>IF2609</x:v>
      </x:c>
      <x:c r="K275" s="22" t="n">
        <x:v>5</x:v>
      </x:c>
    </x:row>
    <x:row r="276">
      <x:c r="A276" s="22" t="n">
        <x:v>37</x:v>
      </x:c>
      <x:c r="B276" s="22" t="str">
        <x:v>9月21日-9月24日</x:v>
      </x:c>
      <x:c r="C276" s="23" t="n">
        <x:v>4451</x:v>
      </x:c>
      <x:c r="D276" s="23" t="n">
        <x:v>4520</x:v>
      </x:c>
      <x:c r="E276" s="23" t="n">
        <x:v>4367</x:v>
      </x:c>
      <x:c r="F276" s="23" t="n">
        <x:v>4375</x:v>
      </x:c>
      <x:c r="G276" s="23" t="n">
        <x:f>ROUND(F276-F275,1)</x:f>
        <x:v>-133</x:v>
      </x:c>
      <x:c r="H276" s="24" t="n">
        <x:f>IFERROR(F276/F275-1,"")</x:f>
        <x:v>-0.029503105590062084</x:v>
      </x:c>
      <x:c r="I276" s="26" t="n">
        <x:f>ROUND(D276-E276,1)</x:f>
        <x:v>153</x:v>
      </x:c>
      <x:c r="J276" s="22" t="str">
        <x:v>IF2612</x:v>
      </x:c>
      <x:c r="K276" s="22" t="n">
        <x:v>4</x:v>
      </x:c>
    </x:row>
    <x:row r="277">
      <x:c r="A277" s="22" t="n">
        <x:v>38</x:v>
      </x:c>
      <x:c r="B277" s="22" t="str">
        <x:v>9月28日-9月30日</x:v>
      </x:c>
      <x:c r="C277" s="23" t="n">
        <x:v>4365</x:v>
      </x:c>
      <x:c r="D277" s="23" t="n">
        <x:v>4366.8</x:v>
      </x:c>
      <x:c r="E277" s="23" t="n">
        <x:v>4246</x:v>
      </x:c>
      <x:c r="F277" s="23" t="n">
        <x:v>4300.8</x:v>
      </x:c>
      <x:c r="G277" s="23" t="n">
        <x:f>ROUND(F277-F276,1)</x:f>
        <x:v>-74.2</x:v>
      </x:c>
      <x:c r="H277" s="24" t="n">
        <x:f>IFERROR(F277/F276-1,"")</x:f>
        <x:v>-0.016959999999999975</x:v>
      </x:c>
      <x:c r="I277" s="26" t="n">
        <x:f>ROUND(D277-E277,1)</x:f>
        <x:v>120.8</x:v>
      </x:c>
      <x:c r="J277" s="22" t="str">
        <x:v>IF2612</x:v>
      </x:c>
      <x:c r="K277" s="22" t="n">
        <x:v>3</x:v>
      </x:c>
    </x:row>
    <x:row r="278">
      <x:c r="A278" s="22" t="n">
        <x:v>39</x:v>
      </x:c>
      <x:c r="B278" s="22" t="str">
        <x:v>10月8日-10月9日</x:v>
      </x:c>
      <x:c r="C278" s="23" t="n">
        <x:v>4300.8</x:v>
      </x:c>
      <x:c r="D278" s="23" t="n">
        <x:v>4331.6</x:v>
      </x:c>
      <x:c r="E278" s="23" t="n">
        <x:v>4180.4</x:v>
      </x:c>
      <x:c r="F278" s="23" t="n">
        <x:v>4244.8</x:v>
      </x:c>
      <x:c r="G278" s="23" t="n">
        <x:f>ROUND(F278-F277,1)</x:f>
        <x:v>-56</x:v>
      </x:c>
      <x:c r="H278" s="24" t="n">
        <x:f>IFERROR(F278/F277-1,"")</x:f>
        <x:v>-0.01302083333333337</x:v>
      </x:c>
      <x:c r="I278" s="26" t="n">
        <x:f>ROUND(D278-E278,1)</x:f>
        <x:v>151.2</x:v>
      </x:c>
      <x:c r="J278" s="22" t="str">
        <x:v>IF2612</x:v>
      </x:c>
      <x:c r="K278" s="22" t="n">
        <x:v>2</x:v>
      </x:c>
    </x:row>
    <x:row r="279">
      <x:c r="A279" s="22" t="n">
        <x:v>40</x:v>
      </x:c>
      <x:c r="B279" s="22" t="str">
        <x:v>10月12日-10月16日</x:v>
      </x:c>
      <x:c r="C279" s="23" t="n">
        <x:v>4240.4</x:v>
      </x:c>
      <x:c r="D279" s="23" t="n">
        <x:v>4273.6</x:v>
      </x:c>
      <x:c r="E279" s="23" t="n">
        <x:v>4045.2</x:v>
      </x:c>
      <x:c r="F279" s="23" t="n">
        <x:v>4088.8</x:v>
      </x:c>
      <x:c r="G279" s="28" t="n">
        <x:f>ROUND(F279-F278,1)</x:f>
        <x:v>-156</x:v>
      </x:c>
      <x:c r="H279" s="24" t="n">
        <x:f>IFERROR(F279/F278-1,"")</x:f>
        <x:v>-0.03675084809649454</x:v>
      </x:c>
      <x:c r="I279" s="26" t="n">
        <x:f>ROUND(D279-E279,1)</x:f>
        <x:v>228.4</x:v>
      </x:c>
      <x:c r="J279" s="22" t="str">
        <x:v>IF2612</x:v>
      </x:c>
      <x:c r="K279" s="22" t="n">
        <x:v>5</x:v>
      </x:c>
    </x:row>
    <x:row r="280">
      <x:c r="A280" s="22" t="n">
        <x:v>41</x:v>
      </x:c>
      <x:c r="B280" s="22" t="str">
        <x:v>10月19日-10月23日</x:v>
      </x:c>
      <x:c r="C280" s="23" t="n">
        <x:v>4086.4</x:v>
      </x:c>
      <x:c r="D280" s="23" t="n">
        <x:v>4140.2</x:v>
      </x:c>
      <x:c r="E280" s="23" t="n">
        <x:v>3897.6</x:v>
      </x:c>
      <x:c r="F280" s="23" t="n">
        <x:v>4055</x:v>
      </x:c>
      <x:c r="G280" s="23" t="n">
        <x:f>ROUND(F280-F279,1)</x:f>
        <x:v>-33.8</x:v>
      </x:c>
      <x:c r="H280" s="24" t="n">
        <x:f>IFERROR(F280/F279-1,"")</x:f>
        <x:v>-0.00826648405400121</x:v>
      </x:c>
      <x:c r="I280" s="26" t="n">
        <x:f>ROUND(D280-E280,1)</x:f>
        <x:v>242.6</x:v>
      </x:c>
      <x:c r="J280" s="22" t="str">
        <x:v>IF2612</x:v>
      </x:c>
      <x:c r="K280" s="22" t="n">
        <x:v>5</x:v>
      </x:c>
    </x:row>
    <x:row r="281">
      <x:c r="A281" s="22" t="n">
        <x:v>42</x:v>
      </x:c>
      <x:c r="B281" s="22" t="str">
        <x:v>10月26日-10月27日</x:v>
      </x:c>
      <x:c r="C281" s="23" t="n">
        <x:v>4034</x:v>
      </x:c>
      <x:c r="D281" s="23" t="n">
        <x:v>4066.6</x:v>
      </x:c>
      <x:c r="E281" s="23" t="n">
        <x:v>3989.8</x:v>
      </x:c>
      <x:c r="F281" s="23" t="n">
        <x:v>3991.2</x:v>
      </x:c>
      <x:c r="G281" s="23" t="n">
        <x:f>ROUND(F281-F280,1)</x:f>
        <x:v>-63.8</x:v>
      </x:c>
      <x:c r="H281" s="24" t="n">
        <x:f>IFERROR(F281/F280-1,"")</x:f>
        <x:v>-0.015733662145499427</x:v>
      </x:c>
      <x:c r="I281" s="23" t="n">
        <x:f>ROUND(D281-E281,1)</x:f>
        <x:v>76.8</x:v>
      </x:c>
      <x:c r="J281" s="22" t="str">
        <x:v>IF2612</x:v>
      </x:c>
      <x:c r="K281" s="22" t="n">
        <x:v>2</x:v>
      </x:c>
    </x:row>
    <x:row r="282">
      <x:c r="A282" s="31" t="str">
        <x:v>合计</x:v>
      </x:c>
      <x:c r="B282" s="30" t="n">
        <x:v>42</x:v>
      </x:c>
      <x:c r="C282" s="30"/>
      <x:c r="D282" s="30"/>
      <x:c r="E282" s="30"/>
      <x:c r="F282" s="30"/>
      <x:c r="G282" s="30"/>
      <x:c r="H282" s="30"/>
      <x:c r="I282" s="32" t="n">
        <x:f>ROUND(SUM(I240:I281),1)</x:f>
        <x:v>6686.4</x:v>
      </x:c>
      <x:c r="J282" s="30"/>
      <x:c r="K282" s="30"/>
    </x:row>
    <x:row r="283">
      <x:c r="A283" s="31" t="str">
        <x:v>均值</x:v>
      </x:c>
      <x:c r="B283" s="30"/>
      <x:c r="C283" s="30"/>
      <x:c r="D283" s="30"/>
      <x:c r="E283" s="30"/>
      <x:c r="F283" s="30"/>
      <x:c r="G283" s="30"/>
      <x:c r="H283" s="30"/>
      <x:c r="I283" s="34" t="n">
        <x:f>ROUND(IFERROR(AVERAGE(I240:I281),0),1)</x:f>
        <x:v>159.2</x:v>
      </x:c>
      <x:c r="J283" s="30"/>
      <x:c r="K283" s="30"/>
    </x:row>
    <x:row r="285">
      <x:c r="A285" s="17" t="str">
        <x:v>IH主力</x:v>
      </x:c>
      <x:c r="B285" s="17"/>
      <x:c r="C285" s="17"/>
      <x:c r="D285" s="17"/>
      <x:c r="E285" s="17"/>
      <x:c r="F285" s="17"/>
      <x:c r="G285" s="17"/>
      <x:c r="H285" s="17"/>
      <x:c r="I285" s="17"/>
      <x:c r="J285" s="17"/>
      <x:c r="K285" s="17"/>
    </x:row>
    <x:row r="286">
      <x:c r="A286" s="20" t="str">
        <x:v>序号</x:v>
      </x:c>
      <x:c r="B286" s="20" t="str">
        <x:v>周期</x:v>
      </x:c>
      <x:c r="C286" s="20" t="str">
        <x:v>开盘</x:v>
      </x:c>
      <x:c r="D286" s="20" t="str">
        <x:v>高点</x:v>
      </x:c>
      <x:c r="E286" s="20" t="str">
        <x:v>低点</x:v>
      </x:c>
      <x:c r="F286" s="20" t="str">
        <x:v>收盘</x:v>
      </x:c>
      <x:c r="G286" s="20" t="str">
        <x:v>涨跌点数</x:v>
      </x:c>
      <x:c r="H286" s="20" t="str">
        <x:v>涨幅</x:v>
      </x:c>
      <x:c r="I286" s="20" t="str">
        <x:v>振幅</x:v>
      </x:c>
      <x:c r="J286" s="20" t="str">
        <x:v>标的</x:v>
      </x:c>
      <x:c r="K286" s="20" t="str">
        <x:v>交易日</x:v>
      </x:c>
    </x:row>
    <x:row r="287">
      <x:c r="A287" s="22" t="n">
        <x:v>1</x:v>
      </x:c>
      <x:c r="B287" s="22" t="str">
        <x:v>1月5日-1月9日</x:v>
      </x:c>
      <x:c r="C287" s="23" t="n">
        <x:v>3040.8</x:v>
      </x:c>
      <x:c r="D287" s="23" t="n">
        <x:v>3165.6</x:v>
      </x:c>
      <x:c r="E287" s="23" t="n">
        <x:v>3040.8</x:v>
      </x:c>
      <x:c r="F287" s="23" t="n">
        <x:v>3134.8</x:v>
      </x:c>
      <x:c r="G287" s="23"/>
      <x:c r="H287" s="24"/>
      <x:c r="I287" s="26" t="n">
        <x:f>ROUND(D287-E287,1)</x:f>
        <x:v>124.8</x:v>
      </x:c>
      <x:c r="J287" s="22" t="str">
        <x:v>IH2603</x:v>
      </x:c>
      <x:c r="K287" s="22" t="n">
        <x:v>5</x:v>
      </x:c>
    </x:row>
    <x:row r="288">
      <x:c r="A288" s="22" t="n">
        <x:v>2</x:v>
      </x:c>
      <x:c r="B288" s="22" t="str">
        <x:v>1月12日-1月16日</x:v>
      </x:c>
      <x:c r="C288" s="23" t="n">
        <x:v>3148.4</x:v>
      </x:c>
      <x:c r="D288" s="23" t="n">
        <x:v>3181.2</x:v>
      </x:c>
      <x:c r="E288" s="23" t="n">
        <x:v>3074.4</x:v>
      </x:c>
      <x:c r="F288" s="23" t="n">
        <x:v>3084.4</x:v>
      </x:c>
      <x:c r="G288" s="23" t="n">
        <x:f>ROUND(F288-F287,1)</x:f>
        <x:v>-50.4</x:v>
      </x:c>
      <x:c r="H288" s="24" t="n">
        <x:f>IFERROR(F288/F287-1,"")</x:f>
        <x:v>-0.016077580706903127</x:v>
      </x:c>
      <x:c r="I288" s="26" t="n">
        <x:f>ROUND(D288-E288,1)</x:f>
        <x:v>106.8</x:v>
      </x:c>
      <x:c r="J288" s="22" t="str">
        <x:v>IH2603</x:v>
      </x:c>
      <x:c r="K288" s="22" t="n">
        <x:v>5</x:v>
      </x:c>
    </x:row>
    <x:row r="289">
      <x:c r="A289" s="22" t="n">
        <x:v>3</x:v>
      </x:c>
      <x:c r="B289" s="22" t="str">
        <x:v>1月19日-1月23日</x:v>
      </x:c>
      <x:c r="C289" s="23" t="n">
        <x:v>3081.2</x:v>
      </x:c>
      <x:c r="D289" s="23" t="n">
        <x:v>3102.6</x:v>
      </x:c>
      <x:c r="E289" s="23" t="n">
        <x:v>3036.2</x:v>
      </x:c>
      <x:c r="F289" s="23" t="n">
        <x:v>3037.8</x:v>
      </x:c>
      <x:c r="G289" s="23" t="n">
        <x:f>ROUND(F289-F288,1)</x:f>
        <x:v>-46.6</x:v>
      </x:c>
      <x:c r="H289" s="24" t="n">
        <x:f>IFERROR(F289/F288-1,"")</x:f>
        <x:v>-0.015108286862923093</x:v>
      </x:c>
      <x:c r="I289" s="26" t="n">
        <x:f>ROUND(D289-E289,1)</x:f>
        <x:v>66.4</x:v>
      </x:c>
      <x:c r="J289" s="22" t="str">
        <x:v>IH2603</x:v>
      </x:c>
      <x:c r="K289" s="22" t="n">
        <x:v>5</x:v>
      </x:c>
    </x:row>
    <x:row r="290">
      <x:c r="A290" s="22" t="n">
        <x:v>4</x:v>
      </x:c>
      <x:c r="B290" s="22" t="str">
        <x:v>1月26日-1月30日</x:v>
      </x:c>
      <x:c r="C290" s="23" t="n">
        <x:v>3049.8</x:v>
      </x:c>
      <x:c r="D290" s="23" t="n">
        <x:v>3136.6</x:v>
      </x:c>
      <x:c r="E290" s="23" t="n">
        <x:v>3044</x:v>
      </x:c>
      <x:c r="F290" s="23" t="n">
        <x:v>3074</x:v>
      </x:c>
      <x:c r="G290" s="23" t="n">
        <x:f>ROUND(F290-F289,1)</x:f>
        <x:v>36.2</x:v>
      </x:c>
      <x:c r="H290" s="24" t="n">
        <x:f>IFERROR(F290/F289-1,"")</x:f>
        <x:v>0.011916518533148901</x:v>
      </x:c>
      <x:c r="I290" s="26" t="n">
        <x:f>ROUND(D290-E290,1)</x:f>
        <x:v>92.6</x:v>
      </x:c>
      <x:c r="J290" s="22" t="str">
        <x:v>IH2603</x:v>
      </x:c>
      <x:c r="K290" s="22" t="n">
        <x:v>5</x:v>
      </x:c>
    </x:row>
    <x:row r="291">
      <x:c r="A291" s="22" t="n">
        <x:v>5</x:v>
      </x:c>
      <x:c r="B291" s="22" t="str">
        <x:v>2月2日-2月6日</x:v>
      </x:c>
      <x:c r="C291" s="23" t="n">
        <x:v>3039.4</x:v>
      </x:c>
      <x:c r="D291" s="23" t="n">
        <x:v>3081</x:v>
      </x:c>
      <x:c r="E291" s="23" t="n">
        <x:v>2984</x:v>
      </x:c>
      <x:c r="F291" s="23" t="n">
        <x:v>3036.2</x:v>
      </x:c>
      <x:c r="G291" s="23" t="n">
        <x:f>ROUND(F291-F290,1)</x:f>
        <x:v>-37.8</x:v>
      </x:c>
      <x:c r="H291" s="24" t="n">
        <x:f>IFERROR(F291/F290-1,"")</x:f>
        <x:v>-0.012296681847755453</x:v>
      </x:c>
      <x:c r="I291" s="26" t="n">
        <x:f>ROUND(D291-E291,1)</x:f>
        <x:v>97</x:v>
      </x:c>
      <x:c r="J291" s="22" t="str">
        <x:v>IH2603</x:v>
      </x:c>
      <x:c r="K291" s="22" t="n">
        <x:v>5</x:v>
      </x:c>
    </x:row>
    <x:row r="292">
      <x:c r="A292" s="22" t="n">
        <x:v>6</x:v>
      </x:c>
      <x:c r="B292" s="22" t="str">
        <x:v>2月9日-2月13日</x:v>
      </x:c>
      <x:c r="C292" s="23" t="n">
        <x:v>3060.6</x:v>
      </x:c>
      <x:c r="D292" s="23" t="n">
        <x:v>3098</x:v>
      </x:c>
      <x:c r="E292" s="23" t="n">
        <x:v>3020</x:v>
      </x:c>
      <x:c r="F292" s="23" t="n">
        <x:v>3020</x:v>
      </x:c>
      <x:c r="G292" s="23" t="n">
        <x:f>ROUND(F292-F291,1)</x:f>
        <x:v>-16.2</x:v>
      </x:c>
      <x:c r="H292" s="24" t="n">
        <x:f>IFERROR(F292/F291-1,"")</x:f>
        <x:v>-0.005335616889532879</x:v>
      </x:c>
      <x:c r="I292" s="26" t="n">
        <x:f>ROUND(D292-E292,1)</x:f>
        <x:v>78</x:v>
      </x:c>
      <x:c r="J292" s="22" t="str">
        <x:v>IH2603</x:v>
      </x:c>
      <x:c r="K292" s="22" t="n">
        <x:v>5</x:v>
      </x:c>
    </x:row>
    <x:row r="293">
      <x:c r="A293" s="22" t="n">
        <x:v>7</x:v>
      </x:c>
      <x:c r="B293" s="22" t="str">
        <x:v>2月24日-2月27日</x:v>
      </x:c>
      <x:c r="C293" s="23" t="n">
        <x:v>3049.2</x:v>
      </x:c>
      <x:c r="D293" s="23" t="n">
        <x:v>3086.4</x:v>
      </x:c>
      <x:c r="E293" s="23" t="n">
        <x:v>3022</x:v>
      </x:c>
      <x:c r="F293" s="23" t="n">
        <x:v>3045.4</x:v>
      </x:c>
      <x:c r="G293" s="23" t="n">
        <x:f>ROUND(F293-F292,1)</x:f>
        <x:v>25.4</x:v>
      </x:c>
      <x:c r="H293" s="24" t="n">
        <x:f>IFERROR(F293/F292-1,"")</x:f>
        <x:v>0.008410596026490191</x:v>
      </x:c>
      <x:c r="I293" s="26" t="n">
        <x:f>ROUND(D293-E293,1)</x:f>
        <x:v>64.4</x:v>
      </x:c>
      <x:c r="J293" s="22" t="str">
        <x:v>IH2603</x:v>
      </x:c>
      <x:c r="K293" s="22" t="n">
        <x:v>4</x:v>
      </x:c>
    </x:row>
    <x:row r="294">
      <x:c r="A294" s="22" t="n">
        <x:v>8</x:v>
      </x:c>
      <x:c r="B294" s="22" t="str">
        <x:v>3月2日-3月6日</x:v>
      </x:c>
      <x:c r="C294" s="23" t="n">
        <x:v>3038</x:v>
      </x:c>
      <x:c r="D294" s="23" t="n">
        <x:v>3056</x:v>
      </x:c>
      <x:c r="E294" s="23" t="n">
        <x:v>2950</x:v>
      </x:c>
      <x:c r="F294" s="23" t="n">
        <x:v>2990</x:v>
      </x:c>
      <x:c r="G294" s="23" t="n">
        <x:f>ROUND(F294-F293,1)</x:f>
        <x:v>-55.4</x:v>
      </x:c>
      <x:c r="H294" s="24" t="n">
        <x:f>IFERROR(F294/F293-1,"")</x:f>
        <x:v>-0.018191370591712164</x:v>
      </x:c>
      <x:c r="I294" s="26" t="n">
        <x:f>ROUND(D294-E294,1)</x:f>
        <x:v>106</x:v>
      </x:c>
      <x:c r="J294" s="22" t="str">
        <x:v>IH2603</x:v>
      </x:c>
      <x:c r="K294" s="22" t="n">
        <x:v>5</x:v>
      </x:c>
    </x:row>
    <x:row r="295">
      <x:c r="A295" s="22" t="n">
        <x:v>9</x:v>
      </x:c>
      <x:c r="B295" s="22" t="str">
        <x:v>3月9日-3月13日</x:v>
      </x:c>
      <x:c r="C295" s="23" t="n">
        <x:v>2965.4</x:v>
      </x:c>
      <x:c r="D295" s="23" t="n">
        <x:v>2989</x:v>
      </x:c>
      <x:c r="E295" s="23" t="n">
        <x:v>2912.6</x:v>
      </x:c>
      <x:c r="F295" s="23" t="n">
        <x:v>2957</x:v>
      </x:c>
      <x:c r="G295" s="23" t="n">
        <x:f>ROUND(F295-F294,1)</x:f>
        <x:v>-33</x:v>
      </x:c>
      <x:c r="H295" s="24" t="n">
        <x:f>IFERROR(F295/F294-1,"")</x:f>
        <x:v>-0.011036789297658833</x:v>
      </x:c>
      <x:c r="I295" s="26" t="n">
        <x:f>ROUND(D295-E295,1)</x:f>
        <x:v>76.4</x:v>
      </x:c>
      <x:c r="J295" s="22" t="str">
        <x:v>IH2603</x:v>
      </x:c>
      <x:c r="K295" s="22" t="n">
        <x:v>5</x:v>
      </x:c>
    </x:row>
    <x:row r="296">
      <x:c r="A296" s="22" t="n">
        <x:v>10</x:v>
      </x:c>
      <x:c r="B296" s="22" t="str">
        <x:v>3月16日-3月20日</x:v>
      </x:c>
      <x:c r="C296" s="23" t="n">
        <x:v>2953</x:v>
      </x:c>
      <x:c r="D296" s="23" t="n">
        <x:v>2996.6</x:v>
      </x:c>
      <x:c r="E296" s="23" t="n">
        <x:v>2896</x:v>
      </x:c>
      <x:c r="F296" s="23" t="n">
        <x:v>2898.4</x:v>
      </x:c>
      <x:c r="G296" s="23" t="n">
        <x:f>ROUND(F296-F295,1)</x:f>
        <x:v>-58.6</x:v>
      </x:c>
      <x:c r="H296" s="24" t="n">
        <x:f>IFERROR(F296/F295-1,"")</x:f>
        <x:v>-0.019817382482245516</x:v>
      </x:c>
      <x:c r="I296" s="26" t="n">
        <x:f>ROUND(D296-E296,1)</x:f>
        <x:v>100.6</x:v>
      </x:c>
      <x:c r="J296" s="22" t="str">
        <x:v>IH2603</x:v>
      </x:c>
      <x:c r="K296" s="22" t="n">
        <x:v>5</x:v>
      </x:c>
    </x:row>
    <x:row r="297">
      <x:c r="A297" s="22" t="n">
        <x:v>11</x:v>
      </x:c>
      <x:c r="B297" s="22" t="str">
        <x:v>3月23日-3月27日</x:v>
      </x:c>
      <x:c r="C297" s="23" t="n">
        <x:v>2830</x:v>
      </x:c>
      <x:c r="D297" s="23" t="n">
        <x:v>2847.6</x:v>
      </x:c>
      <x:c r="E297" s="23" t="n">
        <x:v>2750.8</x:v>
      </x:c>
      <x:c r="F297" s="23" t="n">
        <x:v>2814.4</x:v>
      </x:c>
      <x:c r="G297" s="23" t="n">
        <x:f>ROUND(F297-F296,1)</x:f>
        <x:v>-84</x:v>
      </x:c>
      <x:c r="H297" s="24" t="n">
        <x:f>IFERROR(F297/F296-1,"")</x:f>
        <x:v>-0.028981507038365995</x:v>
      </x:c>
      <x:c r="I297" s="26" t="n">
        <x:f>ROUND(D297-E297,1)</x:f>
        <x:v>96.8</x:v>
      </x:c>
      <x:c r="J297" s="22" t="str">
        <x:v>IH2606</x:v>
      </x:c>
      <x:c r="K297" s="22" t="n">
        <x:v>5</x:v>
      </x:c>
    </x:row>
    <x:row r="298">
      <x:c r="A298" s="22" t="n">
        <x:v>12</x:v>
      </x:c>
      <x:c r="B298" s="22" t="str">
        <x:v>3月30日-4月3日</x:v>
      </x:c>
      <x:c r="C298" s="23" t="n">
        <x:v>2794.8</x:v>
      </x:c>
      <x:c r="D298" s="23" t="n">
        <x:v>2865.4</x:v>
      </x:c>
      <x:c r="E298" s="23" t="n">
        <x:v>2780.4</x:v>
      </x:c>
      <x:c r="F298" s="23" t="n">
        <x:v>2804.4</x:v>
      </x:c>
      <x:c r="G298" s="23" t="n">
        <x:f>ROUND(F298-F297,1)</x:f>
        <x:v>-10</x:v>
      </x:c>
      <x:c r="H298" s="24" t="n">
        <x:f>IFERROR(F298/F297-1,"")</x:f>
        <x:v>-0.0035531552018192025</x:v>
      </x:c>
      <x:c r="I298" s="26" t="n">
        <x:f>ROUND(D298-E298,1)</x:f>
        <x:v>85</x:v>
      </x:c>
      <x:c r="J298" s="22" t="str">
        <x:v>IH2606</x:v>
      </x:c>
      <x:c r="K298" s="22" t="n">
        <x:v>5</x:v>
      </x:c>
    </x:row>
    <x:row r="299">
      <x:c r="A299" s="22" t="n">
        <x:v>13</x:v>
      </x:c>
      <x:c r="B299" s="22" t="str">
        <x:v>4月7日-4月10日</x:v>
      </x:c>
      <x:c r="C299" s="23" t="n">
        <x:v>2810.4</x:v>
      </x:c>
      <x:c r="D299" s="23" t="n">
        <x:v>2896</x:v>
      </x:c>
      <x:c r="E299" s="23" t="n">
        <x:v>2797.2</x:v>
      </x:c>
      <x:c r="F299" s="23" t="n">
        <x:v>2873.2</x:v>
      </x:c>
      <x:c r="G299" s="23" t="n">
        <x:f>ROUND(F299-F298,1)</x:f>
        <x:v>68.8</x:v>
      </x:c>
      <x:c r="H299" s="24" t="n">
        <x:f>IFERROR(F299/F298-1,"")</x:f>
        <x:v>0.02453287690771644</x:v>
      </x:c>
      <x:c r="I299" s="26" t="n">
        <x:f>ROUND(D299-E299,1)</x:f>
        <x:v>98.8</x:v>
      </x:c>
      <x:c r="J299" s="22" t="str">
        <x:v>IH2606</x:v>
      </x:c>
      <x:c r="K299" s="22" t="n">
        <x:v>4</x:v>
      </x:c>
    </x:row>
    <x:row r="300">
      <x:c r="A300" s="22" t="n">
        <x:v>14</x:v>
      </x:c>
      <x:c r="B300" s="22" t="str">
        <x:v>4月13日-4月17日</x:v>
      </x:c>
      <x:c r="C300" s="23" t="n">
        <x:v>2864.6</x:v>
      </x:c>
      <x:c r="D300" s="23" t="n">
        <x:v>2930.8</x:v>
      </x:c>
      <x:c r="E300" s="23" t="n">
        <x:v>2860</x:v>
      </x:c>
      <x:c r="F300" s="23" t="n">
        <x:v>2888</x:v>
      </x:c>
      <x:c r="G300" s="23" t="n">
        <x:f>ROUND(F300-F299,1)</x:f>
        <x:v>14.8</x:v>
      </x:c>
      <x:c r="H300" s="24" t="n">
        <x:f>IFERROR(F300/F299-1,"")</x:f>
        <x:v>0.005151051092858294</x:v>
      </x:c>
      <x:c r="I300" s="26" t="n">
        <x:f>ROUND(D300-E300,1)</x:f>
        <x:v>70.8</x:v>
      </x:c>
      <x:c r="J300" s="22" t="str">
        <x:v>IH2606</x:v>
      </x:c>
      <x:c r="K300" s="22" t="n">
        <x:v>5</x:v>
      </x:c>
    </x:row>
    <x:row r="301">
      <x:c r="A301" s="22" t="n">
        <x:v>15</x:v>
      </x:c>
      <x:c r="B301" s="22" t="str">
        <x:v>4月20日-4月24日</x:v>
      </x:c>
      <x:c r="C301" s="23" t="n">
        <x:v>2900.8</x:v>
      </x:c>
      <x:c r="D301" s="23" t="n">
        <x:v>2934.2</x:v>
      </x:c>
      <x:c r="E301" s="23" t="n">
        <x:v>2891</x:v>
      </x:c>
      <x:c r="F301" s="23" t="n">
        <x:v>2929</x:v>
      </x:c>
      <x:c r="G301" s="23" t="n">
        <x:f>ROUND(F301-F300,1)</x:f>
        <x:v>41</x:v>
      </x:c>
      <x:c r="H301" s="24" t="n">
        <x:f>IFERROR(F301/F300-1,"")</x:f>
        <x:v>0.014196675900276956</x:v>
      </x:c>
      <x:c r="I301" s="23" t="n">
        <x:f>ROUND(D301-E301,1)</x:f>
        <x:v>43.2</x:v>
      </x:c>
      <x:c r="J301" s="22" t="str">
        <x:v>IH2606</x:v>
      </x:c>
      <x:c r="K301" s="22" t="n">
        <x:v>5</x:v>
      </x:c>
    </x:row>
    <x:row r="302">
      <x:c r="A302" s="22" t="n">
        <x:v>16</x:v>
      </x:c>
      <x:c r="B302" s="22" t="str">
        <x:v>4月27日-4月30日</x:v>
      </x:c>
      <x:c r="C302" s="23" t="n">
        <x:v>2929.2</x:v>
      </x:c>
      <x:c r="D302" s="23" t="n">
        <x:v>2970</x:v>
      </x:c>
      <x:c r="E302" s="23" t="n">
        <x:v>2917</x:v>
      </x:c>
      <x:c r="F302" s="23" t="n">
        <x:v>2968.8</x:v>
      </x:c>
      <x:c r="G302" s="23" t="n">
        <x:f>ROUND(F302-F301,1)</x:f>
        <x:v>39.8</x:v>
      </x:c>
      <x:c r="H302" s="24" t="n">
        <x:f>IFERROR(F302/F301-1,"")</x:f>
        <x:v>0.013588255377261937</x:v>
      </x:c>
      <x:c r="I302" s="23" t="n">
        <x:f>ROUND(D302-E302,1)</x:f>
        <x:v>53</x:v>
      </x:c>
      <x:c r="J302" s="22" t="str">
        <x:v>IH2606</x:v>
      </x:c>
      <x:c r="K302" s="22" t="n">
        <x:v>4</x:v>
      </x:c>
    </x:row>
    <x:row r="303">
      <x:c r="A303" s="22" t="n">
        <x:v>17</x:v>
      </x:c>
      <x:c r="B303" s="22" t="str">
        <x:v>5月6日-5月8日</x:v>
      </x:c>
      <x:c r="C303" s="23" t="n">
        <x:v>2995.2</x:v>
      </x:c>
      <x:c r="D303" s="23" t="n">
        <x:v>3024.8</x:v>
      </x:c>
      <x:c r="E303" s="23" t="n">
        <x:v>2969.2</x:v>
      </x:c>
      <x:c r="F303" s="23" t="n">
        <x:v>2981.6</x:v>
      </x:c>
      <x:c r="G303" s="23" t="n">
        <x:f>ROUND(F303-F302,1)</x:f>
        <x:v>12.8</x:v>
      </x:c>
      <x:c r="H303" s="24" t="n">
        <x:f>IFERROR(F303/F302-1,"")</x:f>
        <x:v>0.0043115063325247505</x:v>
      </x:c>
      <x:c r="I303" s="23" t="n">
        <x:f>ROUND(D303-E303,1)</x:f>
        <x:v>55.6</x:v>
      </x:c>
      <x:c r="J303" s="22" t="str">
        <x:v>IH2606</x:v>
      </x:c>
      <x:c r="K303" s="22" t="n">
        <x:v>3</x:v>
      </x:c>
    </x:row>
    <x:row r="304">
      <x:c r="A304" s="22" t="n">
        <x:v>18</x:v>
      </x:c>
      <x:c r="B304" s="22" t="str">
        <x:v>5月11日-5月15日</x:v>
      </x:c>
      <x:c r="C304" s="23" t="n">
        <x:v>2997.6</x:v>
      </x:c>
      <x:c r="D304" s="23" t="n">
        <x:v>3041.8</x:v>
      </x:c>
      <x:c r="E304" s="23" t="n">
        <x:v>2927</x:v>
      </x:c>
      <x:c r="F304" s="23" t="n">
        <x:v>2945</x:v>
      </x:c>
      <x:c r="G304" s="23" t="n">
        <x:f>ROUND(F304-F303,1)</x:f>
        <x:v>-36.6</x:v>
      </x:c>
      <x:c r="H304" s="24" t="n">
        <x:f>IFERROR(F304/F303-1,"")</x:f>
        <x:v>-0.012275288435739218</x:v>
      </x:c>
      <x:c r="I304" s="26" t="n">
        <x:f>ROUND(D304-E304,1)</x:f>
        <x:v>114.8</x:v>
      </x:c>
      <x:c r="J304" s="22" t="str">
        <x:v>IH2606</x:v>
      </x:c>
      <x:c r="K304" s="22" t="n">
        <x:v>5</x:v>
      </x:c>
    </x:row>
    <x:row r="305">
      <x:c r="A305" s="22" t="n">
        <x:v>19</x:v>
      </x:c>
      <x:c r="B305" s="22" t="str">
        <x:v>5月18日-5月22日</x:v>
      </x:c>
      <x:c r="C305" s="23" t="n">
        <x:v>2936</x:v>
      </x:c>
      <x:c r="D305" s="23" t="n">
        <x:v>2981.8</x:v>
      </x:c>
      <x:c r="E305" s="23" t="n">
        <x:v>2893.2</x:v>
      </x:c>
      <x:c r="F305" s="23" t="n">
        <x:v>2899.2</x:v>
      </x:c>
      <x:c r="G305" s="23" t="n">
        <x:f>ROUND(F305-F304,1)</x:f>
        <x:v>-45.8</x:v>
      </x:c>
      <x:c r="H305" s="24" t="n">
        <x:f>IFERROR(F305/F304-1,"")</x:f>
        <x:v>-0.015551782682512783</x:v>
      </x:c>
      <x:c r="I305" s="26" t="n">
        <x:f>ROUND(D305-E305,1)</x:f>
        <x:v>88.6</x:v>
      </x:c>
      <x:c r="J305" s="22" t="str">
        <x:v>IH2606</x:v>
      </x:c>
      <x:c r="K305" s="22" t="n">
        <x:v>5</x:v>
      </x:c>
    </x:row>
    <x:row r="306">
      <x:c r="A306" s="22" t="n">
        <x:v>20</x:v>
      </x:c>
      <x:c r="B306" s="22" t="str">
        <x:v>5月25日-5月29日</x:v>
      </x:c>
      <x:c r="C306" s="23" t="n">
        <x:v>2910.8</x:v>
      </x:c>
      <x:c r="D306" s="23" t="n">
        <x:v>2960</x:v>
      </x:c>
      <x:c r="E306" s="23" t="n">
        <x:v>2871</x:v>
      </x:c>
      <x:c r="F306" s="23" t="n">
        <x:v>2900.6</x:v>
      </x:c>
      <x:c r="G306" s="23" t="n">
        <x:f>ROUND(F306-F305,1)</x:f>
        <x:v>1.4</x:v>
      </x:c>
      <x:c r="H306" s="24" t="n">
        <x:f>IFERROR(F306/F305-1,"")</x:f>
        <x:v>0.0004828918322297149</x:v>
      </x:c>
      <x:c r="I306" s="26" t="n">
        <x:f>ROUND(D306-E306,1)</x:f>
        <x:v>89</x:v>
      </x:c>
      <x:c r="J306" s="22" t="str">
        <x:v>IH2606</x:v>
      </x:c>
      <x:c r="K306" s="22" t="n">
        <x:v>5</x:v>
      </x:c>
    </x:row>
    <x:row r="307">
      <x:c r="A307" s="22" t="n">
        <x:v>21</x:v>
      </x:c>
      <x:c r="B307" s="22" t="str">
        <x:v>6月1日-6月5日</x:v>
      </x:c>
      <x:c r="C307" s="23" t="n">
        <x:v>2901</x:v>
      </x:c>
      <x:c r="D307" s="23" t="n">
        <x:v>2924.2</x:v>
      </x:c>
      <x:c r="E307" s="23" t="n">
        <x:v>2841.6</x:v>
      </x:c>
      <x:c r="F307" s="23" t="n">
        <x:v>2844</x:v>
      </x:c>
      <x:c r="G307" s="23" t="n">
        <x:f>ROUND(F307-F306,1)</x:f>
        <x:v>-56.6</x:v>
      </x:c>
      <x:c r="H307" s="24" t="n">
        <x:f>IFERROR(F307/F306-1,"")</x:f>
        <x:v>-0.019513204164655518</x:v>
      </x:c>
      <x:c r="I307" s="26" t="n">
        <x:f>ROUND(D307-E307,1)</x:f>
        <x:v>82.6</x:v>
      </x:c>
      <x:c r="J307" s="22" t="str">
        <x:v>IH2606</x:v>
      </x:c>
      <x:c r="K307" s="22" t="n">
        <x:v>5</x:v>
      </x:c>
    </x:row>
    <x:row r="308">
      <x:c r="A308" s="22" t="n">
        <x:v>22</x:v>
      </x:c>
      <x:c r="B308" s="22" t="str">
        <x:v>6月8日-6月12日</x:v>
      </x:c>
      <x:c r="C308" s="23" t="n">
        <x:v>2808.4</x:v>
      </x:c>
      <x:c r="D308" s="23" t="n">
        <x:v>2902.6</x:v>
      </x:c>
      <x:c r="E308" s="23" t="n">
        <x:v>2791.2</x:v>
      </x:c>
      <x:c r="F308" s="23" t="n">
        <x:v>2897.2</x:v>
      </x:c>
      <x:c r="G308" s="23" t="n">
        <x:f>ROUND(F308-F307,1)</x:f>
        <x:v>53.2</x:v>
      </x:c>
      <x:c r="H308" s="24" t="n">
        <x:f>IFERROR(F308/F307-1,"")</x:f>
        <x:v>0.01870604781997187</x:v>
      </x:c>
      <x:c r="I308" s="26" t="n">
        <x:f>ROUND(D308-E308,1)</x:f>
        <x:v>111.4</x:v>
      </x:c>
      <x:c r="J308" s="22" t="str">
        <x:v>IH2606</x:v>
      </x:c>
      <x:c r="K308" s="22" t="n">
        <x:v>5</x:v>
      </x:c>
    </x:row>
    <x:row r="309">
      <x:c r="A309" s="22" t="n">
        <x:v>23</x:v>
      </x:c>
      <x:c r="B309" s="22" t="str">
        <x:v>6月15日-6月18日</x:v>
      </x:c>
      <x:c r="C309" s="23" t="n">
        <x:v>2926.2</x:v>
      </x:c>
      <x:c r="D309" s="23" t="n">
        <x:v>2954.6</x:v>
      </x:c>
      <x:c r="E309" s="23" t="n">
        <x:v>2903.4</x:v>
      </x:c>
      <x:c r="F309" s="23" t="n">
        <x:v>2941</x:v>
      </x:c>
      <x:c r="G309" s="23" t="n">
        <x:f>ROUND(F309-F308,1)</x:f>
        <x:v>43.8</x:v>
      </x:c>
      <x:c r="H309" s="24" t="n">
        <x:f>IFERROR(F309/F308-1,"")</x:f>
        <x:v>0.01511804500897429</x:v>
      </x:c>
      <x:c r="I309" s="23" t="n">
        <x:f>ROUND(D309-E309,1)</x:f>
        <x:v>51.2</x:v>
      </x:c>
      <x:c r="J309" s="22" t="str">
        <x:v>IH2606</x:v>
      </x:c>
      <x:c r="K309" s="22" t="n">
        <x:v>4</x:v>
      </x:c>
    </x:row>
    <x:row r="310">
      <x:c r="A310" s="22" t="n">
        <x:v>24</x:v>
      </x:c>
      <x:c r="B310" s="22" t="str">
        <x:v>6月22日-6月26日</x:v>
      </x:c>
      <x:c r="C310" s="23" t="n">
        <x:v>2936</x:v>
      </x:c>
      <x:c r="D310" s="23" t="n">
        <x:v>2996</x:v>
      </x:c>
      <x:c r="E310" s="23" t="n">
        <x:v>2834.8</x:v>
      </x:c>
      <x:c r="F310" s="23" t="n">
        <x:v>2859</x:v>
      </x:c>
      <x:c r="G310" s="23" t="n">
        <x:f>ROUND(F310-F309,1)</x:f>
        <x:v>-82</x:v>
      </x:c>
      <x:c r="H310" s="24" t="n">
        <x:f>IFERROR(F310/F309-1,"")</x:f>
        <x:v>-0.02788167290037402</x:v>
      </x:c>
      <x:c r="I310" s="26" t="n">
        <x:f>ROUND(D310-E310,1)</x:f>
        <x:v>161.2</x:v>
      </x:c>
      <x:c r="J310" s="22" t="str">
        <x:v>IH2606/IH2609</x:v>
      </x:c>
      <x:c r="K310" s="22" t="n">
        <x:v>5</x:v>
      </x:c>
    </x:row>
    <x:row r="311">
      <x:c r="A311" s="22" t="n">
        <x:v>25</x:v>
      </x:c>
      <x:c r="B311" s="22" t="str">
        <x:v>6月29日-7月3日</x:v>
      </x:c>
      <x:c r="C311" s="23" t="n">
        <x:v>2870</x:v>
      </x:c>
      <x:c r="D311" s="23" t="n">
        <x:v>2976</x:v>
      </x:c>
      <x:c r="E311" s="23" t="n">
        <x:v>2861.8</x:v>
      </x:c>
      <x:c r="F311" s="23" t="n">
        <x:v>2886.6</x:v>
      </x:c>
      <x:c r="G311" s="23" t="n">
        <x:f>ROUND(F311-F310,1)</x:f>
        <x:v>27.6</x:v>
      </x:c>
      <x:c r="H311" s="24" t="n">
        <x:f>IFERROR(F311/F310-1,"")</x:f>
        <x:v>0.009653725078698772</x:v>
      </x:c>
      <x:c r="I311" s="26" t="n">
        <x:f>ROUND(D311-E311,1)</x:f>
        <x:v>114.2</x:v>
      </x:c>
      <x:c r="J311" s="22" t="str">
        <x:v>IH2609</x:v>
      </x:c>
      <x:c r="K311" s="22" t="n">
        <x:v>5</x:v>
      </x:c>
    </x:row>
    <x:row r="312">
      <x:c r="A312" s="22" t="n">
        <x:v>26</x:v>
      </x:c>
      <x:c r="B312" s="22" t="str">
        <x:v>7月6日-7月10日</x:v>
      </x:c>
      <x:c r="C312" s="23" t="n">
        <x:v>2899</x:v>
      </x:c>
      <x:c r="D312" s="23" t="n">
        <x:v>2983.8</x:v>
      </x:c>
      <x:c r="E312" s="23" t="n">
        <x:v>2862.4</x:v>
      </x:c>
      <x:c r="F312" s="23" t="n">
        <x:v>2910.2</x:v>
      </x:c>
      <x:c r="G312" s="23" t="n">
        <x:f>ROUND(F312-F311,1)</x:f>
        <x:v>23.6</x:v>
      </x:c>
      <x:c r="H312" s="24" t="n">
        <x:f>IFERROR(F312/F311-1,"")</x:f>
        <x:v>0.008175708445922414</x:v>
      </x:c>
      <x:c r="I312" s="26" t="n">
        <x:f>ROUND(D312-E312,1)</x:f>
        <x:v>121.4</x:v>
      </x:c>
      <x:c r="J312" s="22" t="str">
        <x:v>IH2609</x:v>
      </x:c>
      <x:c r="K312" s="22" t="n">
        <x:v>5</x:v>
      </x:c>
    </x:row>
    <x:row r="313">
      <x:c r="A313" s="22" t="n">
        <x:v>27</x:v>
      </x:c>
      <x:c r="B313" s="22" t="str">
        <x:v>7月13日-7月17日</x:v>
      </x:c>
      <x:c r="C313" s="23" t="n">
        <x:v>2895.8</x:v>
      </x:c>
      <x:c r="D313" s="23" t="n">
        <x:v>2924</x:v>
      </x:c>
      <x:c r="E313" s="23" t="n">
        <x:v>2782.6</x:v>
      </x:c>
      <x:c r="F313" s="23" t="n">
        <x:v>2796.4</x:v>
      </x:c>
      <x:c r="G313" s="23" t="n">
        <x:f>ROUND(F313-F312,1)</x:f>
        <x:v>-113.8</x:v>
      </x:c>
      <x:c r="H313" s="24" t="n">
        <x:f>IFERROR(F313/F312-1,"")</x:f>
        <x:v>-0.039103841660366845</x:v>
      </x:c>
      <x:c r="I313" s="26" t="n">
        <x:f>ROUND(D313-E313,1)</x:f>
        <x:v>141.4</x:v>
      </x:c>
      <x:c r="J313" s="22" t="str">
        <x:v>IH2609</x:v>
      </x:c>
      <x:c r="K313" s="22" t="n">
        <x:v>5</x:v>
      </x:c>
    </x:row>
    <x:row r="314">
      <x:c r="A314" s="22" t="n">
        <x:v>28</x:v>
      </x:c>
      <x:c r="B314" s="22" t="str">
        <x:v>7月20日-7月24日</x:v>
      </x:c>
      <x:c r="C314" s="23" t="n">
        <x:v>2820</x:v>
      </x:c>
      <x:c r="D314" s="23" t="n">
        <x:v>2978</x:v>
      </x:c>
      <x:c r="E314" s="23" t="n">
        <x:v>2820</x:v>
      </x:c>
      <x:c r="F314" s="23" t="n">
        <x:v>2910</x:v>
      </x:c>
      <x:c r="G314" s="23" t="n">
        <x:f>ROUND(F314-F313,1)</x:f>
        <x:v>113.6</x:v>
      </x:c>
      <x:c r="H314" s="24" t="n">
        <x:f>IFERROR(F314/F313-1,"")</x:f>
        <x:v>0.040623658990130096</x:v>
      </x:c>
      <x:c r="I314" s="26" t="n">
        <x:f>ROUND(D314-E314,1)</x:f>
        <x:v>158</x:v>
      </x:c>
      <x:c r="J314" s="22" t="str">
        <x:v>IH2609</x:v>
      </x:c>
      <x:c r="K314" s="22" t="n">
        <x:v>5</x:v>
      </x:c>
    </x:row>
    <x:row r="315">
      <x:c r="A315" s="22" t="n">
        <x:v>29</x:v>
      </x:c>
      <x:c r="B315" s="22" t="str">
        <x:v>7月27日-7月31日</x:v>
      </x:c>
      <x:c r="C315" s="23" t="n">
        <x:v>2929.6</x:v>
      </x:c>
      <x:c r="D315" s="23" t="n">
        <x:v>2930</x:v>
      </x:c>
      <x:c r="E315" s="23" t="n">
        <x:v>2847.2</x:v>
      </x:c>
      <x:c r="F315" s="23" t="n">
        <x:v>2891.8</x:v>
      </x:c>
      <x:c r="G315" s="23" t="n">
        <x:f>ROUND(F315-F314,1)</x:f>
        <x:v>-18.2</x:v>
      </x:c>
      <x:c r="H315" s="24" t="n">
        <x:f>IFERROR(F315/F314-1,"")</x:f>
        <x:v>-0.006254295532646004</x:v>
      </x:c>
      <x:c r="I315" s="26" t="n">
        <x:f>ROUND(D315-E315,1)</x:f>
        <x:v>82.8</x:v>
      </x:c>
      <x:c r="J315" s="22" t="str">
        <x:v>IH2609</x:v>
      </x:c>
      <x:c r="K315" s="22" t="n">
        <x:v>5</x:v>
      </x:c>
    </x:row>
    <x:row r="316">
      <x:c r="A316" s="22" t="n">
        <x:v>30</x:v>
      </x:c>
      <x:c r="B316" s="22" t="str">
        <x:v>8月3日-8月7日</x:v>
      </x:c>
      <x:c r="C316" s="23" t="n">
        <x:v>2882.4</x:v>
      </x:c>
      <x:c r="D316" s="23" t="n">
        <x:v>2930.6</x:v>
      </x:c>
      <x:c r="E316" s="23" t="n">
        <x:v>2845.8</x:v>
      </x:c>
      <x:c r="F316" s="23" t="n">
        <x:v>2930</x:v>
      </x:c>
      <x:c r="G316" s="23" t="n">
        <x:f>ROUND(F316-F315,1)</x:f>
        <x:v>38.2</x:v>
      </x:c>
      <x:c r="H316" s="24" t="n">
        <x:f>IFERROR(F316/F315-1,"")</x:f>
        <x:v>0.013209765543951812</x:v>
      </x:c>
      <x:c r="I316" s="26" t="n">
        <x:f>ROUND(D316-E316,1)</x:f>
        <x:v>84.8</x:v>
      </x:c>
      <x:c r="J316" s="22" t="str">
        <x:v>IH2609</x:v>
      </x:c>
      <x:c r="K316" s="22" t="n">
        <x:v>5</x:v>
      </x:c>
    </x:row>
    <x:row r="317">
      <x:c r="A317" s="22" t="n">
        <x:v>31</x:v>
      </x:c>
      <x:c r="B317" s="22" t="str">
        <x:v>8月10日-8月14日</x:v>
      </x:c>
      <x:c r="C317" s="23" t="n">
        <x:v>2930</x:v>
      </x:c>
      <x:c r="D317" s="23" t="n">
        <x:v>2949.6</x:v>
      </x:c>
      <x:c r="E317" s="23" t="n">
        <x:v>2877</x:v>
      </x:c>
      <x:c r="F317" s="23" t="n">
        <x:v>2890</x:v>
      </x:c>
      <x:c r="G317" s="23" t="n">
        <x:f>ROUND(F317-F316,1)</x:f>
        <x:v>-40</x:v>
      </x:c>
      <x:c r="H317" s="24" t="n">
        <x:f>IFERROR(F317/F316-1,"")</x:f>
        <x:v>-0.013651877133105783</x:v>
      </x:c>
      <x:c r="I317" s="26" t="n">
        <x:f>ROUND(D317-E317,1)</x:f>
        <x:v>72.6</x:v>
      </x:c>
      <x:c r="J317" s="22" t="str">
        <x:v>IH2609</x:v>
      </x:c>
      <x:c r="K317" s="22" t="n">
        <x:v>5</x:v>
      </x:c>
    </x:row>
    <x:row r="318">
      <x:c r="A318" s="22" t="n">
        <x:v>32</x:v>
      </x:c>
      <x:c r="B318" s="22" t="str">
        <x:v>8月17日-8月21日</x:v>
      </x:c>
      <x:c r="C318" s="23" t="n">
        <x:v>2886</x:v>
      </x:c>
      <x:c r="D318" s="23" t="n">
        <x:v>2921.2</x:v>
      </x:c>
      <x:c r="E318" s="23" t="n">
        <x:v>2843</x:v>
      </x:c>
      <x:c r="F318" s="23" t="n">
        <x:v>2861</x:v>
      </x:c>
      <x:c r="G318" s="23" t="n">
        <x:f>ROUND(F318-F317,1)</x:f>
        <x:v>-29</x:v>
      </x:c>
      <x:c r="H318" s="24" t="n">
        <x:f>IFERROR(F318/F317-1,"")</x:f>
        <x:v>-0.01003460207612461</x:v>
      </x:c>
      <x:c r="I318" s="26" t="n">
        <x:f>ROUND(D318-E318,1)</x:f>
        <x:v>78.2</x:v>
      </x:c>
      <x:c r="J318" s="22" t="str">
        <x:v>IH2609</x:v>
      </x:c>
      <x:c r="K318" s="22" t="n">
        <x:v>5</x:v>
      </x:c>
    </x:row>
    <x:row r="319">
      <x:c r="A319" s="22" t="n">
        <x:v>33</x:v>
      </x:c>
      <x:c r="B319" s="22" t="str">
        <x:v>8月24日-8月28日</x:v>
      </x:c>
      <x:c r="C319" s="23" t="n">
        <x:v>2856.4</x:v>
      </x:c>
      <x:c r="D319" s="23" t="n">
        <x:v>2918.2</x:v>
      </x:c>
      <x:c r="E319" s="23" t="n">
        <x:v>2837.4</x:v>
      </x:c>
      <x:c r="F319" s="23" t="n">
        <x:v>2911.4</x:v>
      </x:c>
      <x:c r="G319" s="23" t="n">
        <x:f>ROUND(F319-F318,1)</x:f>
        <x:v>50.4</x:v>
      </x:c>
      <x:c r="H319" s="24" t="n">
        <x:f>IFERROR(F319/F318-1,"")</x:f>
        <x:v>0.01761621810555747</x:v>
      </x:c>
      <x:c r="I319" s="26" t="n">
        <x:f>ROUND(D319-E319,1)</x:f>
        <x:v>80.8</x:v>
      </x:c>
      <x:c r="J319" s="22" t="str">
        <x:v>IH2609</x:v>
      </x:c>
      <x:c r="K319" s="22" t="n">
        <x:v>5</x:v>
      </x:c>
    </x:row>
    <x:row r="320">
      <x:c r="A320" s="22" t="n">
        <x:v>34</x:v>
      </x:c>
      <x:c r="B320" s="22" t="str">
        <x:v>8月31日-9月4日</x:v>
      </x:c>
      <x:c r="C320" s="23" t="n">
        <x:v>2886</x:v>
      </x:c>
      <x:c r="D320" s="23" t="n">
        <x:v>2949.4</x:v>
      </x:c>
      <x:c r="E320" s="23" t="n">
        <x:v>2877.6</x:v>
      </x:c>
      <x:c r="F320" s="23" t="n">
        <x:v>2915.8</x:v>
      </x:c>
      <x:c r="G320" s="23" t="n">
        <x:f>ROUND(F320-F319,1)</x:f>
        <x:v>4.4</x:v>
      </x:c>
      <x:c r="H320" s="24" t="n">
        <x:f>IFERROR(F320/F319-1,"")</x:f>
        <x:v>0.0015113004053033396</x:v>
      </x:c>
      <x:c r="I320" s="26" t="n">
        <x:f>ROUND(D320-E320,1)</x:f>
        <x:v>71.8</x:v>
      </x:c>
      <x:c r="J320" s="22" t="str">
        <x:v>IH2609</x:v>
      </x:c>
      <x:c r="K320" s="22" t="n">
        <x:v>5</x:v>
      </x:c>
    </x:row>
    <x:row r="321">
      <x:c r="A321" s="22" t="n">
        <x:v>35</x:v>
      </x:c>
      <x:c r="B321" s="22" t="str">
        <x:v>9月7日-9月11日</x:v>
      </x:c>
      <x:c r="C321" s="23" t="n">
        <x:v>2923.2</x:v>
      </x:c>
      <x:c r="D321" s="23" t="n">
        <x:v>2931.4</x:v>
      </x:c>
      <x:c r="E321" s="23" t="n">
        <x:v>2836.8</x:v>
      </x:c>
      <x:c r="F321" s="23" t="n">
        <x:v>2867</x:v>
      </x:c>
      <x:c r="G321" s="23" t="n">
        <x:f>ROUND(F321-F320,1)</x:f>
        <x:v>-48.8</x:v>
      </x:c>
      <x:c r="H321" s="24" t="n">
        <x:f>IFERROR(F321/F320-1,"")</x:f>
        <x:v>-0.01673640167364021</x:v>
      </x:c>
      <x:c r="I321" s="26" t="n">
        <x:f>ROUND(D321-E321,1)</x:f>
        <x:v>94.6</x:v>
      </x:c>
      <x:c r="J321" s="22" t="str">
        <x:v>IH2609</x:v>
      </x:c>
      <x:c r="K321" s="22" t="n">
        <x:v>5</x:v>
      </x:c>
    </x:row>
    <x:row r="322">
      <x:c r="A322" s="22" t="n">
        <x:v>36</x:v>
      </x:c>
      <x:c r="B322" s="22" t="str">
        <x:v>9月14日-9月18日</x:v>
      </x:c>
      <x:c r="C322" s="23" t="n">
        <x:v>2849.2</x:v>
      </x:c>
      <x:c r="D322" s="23" t="n">
        <x:v>2873.2</x:v>
      </x:c>
      <x:c r="E322" s="23" t="n">
        <x:v>2829.4</x:v>
      </x:c>
      <x:c r="F322" s="23" t="n">
        <x:v>2862.2</x:v>
      </x:c>
      <x:c r="G322" s="23" t="n">
        <x:f>ROUND(F322-F321,1)</x:f>
        <x:v>-4.8</x:v>
      </x:c>
      <x:c r="H322" s="24" t="n">
        <x:f>IFERROR(F322/F321-1,"")</x:f>
        <x:v>-0.0016742239274503135</x:v>
      </x:c>
      <x:c r="I322" s="23" t="n">
        <x:f>ROUND(D322-E322,1)</x:f>
        <x:v>43.8</x:v>
      </x:c>
      <x:c r="J322" s="22" t="str">
        <x:v>IH2609</x:v>
      </x:c>
      <x:c r="K322" s="22" t="n">
        <x:v>5</x:v>
      </x:c>
    </x:row>
    <x:row r="323">
      <x:c r="A323" s="22" t="n">
        <x:v>37</x:v>
      </x:c>
      <x:c r="B323" s="22" t="str">
        <x:v>9月21日-9月24日</x:v>
      </x:c>
      <x:c r="C323" s="23" t="n">
        <x:v>2830</x:v>
      </x:c>
      <x:c r="D323" s="23" t="n">
        <x:v>2881.2</x:v>
      </x:c>
      <x:c r="E323" s="23" t="n">
        <x:v>2798</x:v>
      </x:c>
      <x:c r="F323" s="23" t="n">
        <x:v>2804.6</x:v>
      </x:c>
      <x:c r="G323" s="23" t="n">
        <x:f>ROUND(F323-F322,1)</x:f>
        <x:v>-57.6</x:v>
      </x:c>
      <x:c r="H323" s="24" t="n">
        <x:f>IFERROR(F323/F322-1,"")</x:f>
        <x:v>-0.02012437984766957</x:v>
      </x:c>
      <x:c r="I323" s="26" t="n">
        <x:f>ROUND(D323-E323,1)</x:f>
        <x:v>83.2</x:v>
      </x:c>
      <x:c r="J323" s="22" t="str">
        <x:v>IH2612</x:v>
      </x:c>
      <x:c r="K323" s="22" t="n">
        <x:v>4</x:v>
      </x:c>
    </x:row>
    <x:row r="324">
      <x:c r="A324" s="22" t="n">
        <x:v>38</x:v>
      </x:c>
      <x:c r="B324" s="22" t="str">
        <x:v>9月28日-9月30日</x:v>
      </x:c>
      <x:c r="C324" s="23" t="n">
        <x:v>2802</x:v>
      </x:c>
      <x:c r="D324" s="23" t="n">
        <x:v>2803.8</x:v>
      </x:c>
      <x:c r="E324" s="23" t="n">
        <x:v>2746</x:v>
      </x:c>
      <x:c r="F324" s="23" t="n">
        <x:v>2778.8</x:v>
      </x:c>
      <x:c r="G324" s="23" t="n">
        <x:f>ROUND(F324-F323,1)</x:f>
        <x:v>-25.8</x:v>
      </x:c>
      <x:c r="H324" s="24" t="n">
        <x:f>IFERROR(F324/F323-1,"")</x:f>
        <x:v>-0.009199172787563215</x:v>
      </x:c>
      <x:c r="I324" s="23" t="n">
        <x:f>ROUND(D324-E324,1)</x:f>
        <x:v>57.8</x:v>
      </x:c>
      <x:c r="J324" s="22" t="str">
        <x:v>IH2612</x:v>
      </x:c>
      <x:c r="K324" s="22" t="n">
        <x:v>3</x:v>
      </x:c>
    </x:row>
    <x:row r="325">
      <x:c r="A325" s="22" t="n">
        <x:v>39</x:v>
      </x:c>
      <x:c r="B325" s="22" t="str">
        <x:v>10月8日-10月9日</x:v>
      </x:c>
      <x:c r="C325" s="23" t="n">
        <x:v>2764</x:v>
      </x:c>
      <x:c r="D325" s="23" t="n">
        <x:v>2798.4</x:v>
      </x:c>
      <x:c r="E325" s="23" t="n">
        <x:v>2735</x:v>
      </x:c>
      <x:c r="F325" s="23" t="n">
        <x:v>2764</x:v>
      </x:c>
      <x:c r="G325" s="23" t="n">
        <x:f>ROUND(F325-F324,1)</x:f>
        <x:v>-14.8</x:v>
      </x:c>
      <x:c r="H325" s="24" t="n">
        <x:f>IFERROR(F325/F324-1,"")</x:f>
        <x:v>-0.005326040017273659</x:v>
      </x:c>
      <x:c r="I325" s="26" t="n">
        <x:f>ROUND(D325-E325,1)</x:f>
        <x:v>63.4</x:v>
      </x:c>
      <x:c r="J325" s="22" t="str">
        <x:v>IH2612</x:v>
      </x:c>
      <x:c r="K325" s="22" t="n">
        <x:v>2</x:v>
      </x:c>
    </x:row>
    <x:row r="326">
      <x:c r="A326" s="22" t="n">
        <x:v>40</x:v>
      </x:c>
      <x:c r="B326" s="22" t="str">
        <x:v>10月12日-10月16日</x:v>
      </x:c>
      <x:c r="C326" s="23" t="n">
        <x:v>2762</x:v>
      </x:c>
      <x:c r="D326" s="23" t="n">
        <x:v>2794</x:v>
      </x:c>
      <x:c r="E326" s="23" t="n">
        <x:v>2677.6</x:v>
      </x:c>
      <x:c r="F326" s="23" t="n">
        <x:v>2704.6</x:v>
      </x:c>
      <x:c r="G326" s="23" t="n">
        <x:f>ROUND(F326-F325,1)</x:f>
        <x:v>-59.4</x:v>
      </x:c>
      <x:c r="H326" s="24" t="n">
        <x:f>IFERROR(F326/F325-1,"")</x:f>
        <x:v>-0.0214905933429812</x:v>
      </x:c>
      <x:c r="I326" s="26" t="n">
        <x:f>ROUND(D326-E326,1)</x:f>
        <x:v>116.4</x:v>
      </x:c>
      <x:c r="J326" s="22" t="str">
        <x:v>IH2612</x:v>
      </x:c>
      <x:c r="K326" s="22" t="n">
        <x:v>5</x:v>
      </x:c>
    </x:row>
    <x:row r="327">
      <x:c r="A327" s="22" t="n">
        <x:v>41</x:v>
      </x:c>
      <x:c r="B327" s="22" t="str">
        <x:v>10月19日-10月23日</x:v>
      </x:c>
      <x:c r="C327" s="23" t="n">
        <x:v>2690</x:v>
      </x:c>
      <x:c r="D327" s="23" t="n">
        <x:v>2754.6</x:v>
      </x:c>
      <x:c r="E327" s="23" t="n">
        <x:v>2638</x:v>
      </x:c>
      <x:c r="F327" s="23" t="n">
        <x:v>2719</x:v>
      </x:c>
      <x:c r="G327" s="23" t="n">
        <x:f>ROUND(F327-F326,1)</x:f>
        <x:v>14.4</x:v>
      </x:c>
      <x:c r="H327" s="24" t="n">
        <x:f>IFERROR(F327/F326-1,"")</x:f>
        <x:v>0.0053242623678178</x:v>
      </x:c>
      <x:c r="I327" s="26" t="n">
        <x:f>ROUND(D327-E327,1)</x:f>
        <x:v>116.6</x:v>
      </x:c>
      <x:c r="J327" s="22" t="str">
        <x:v>IH2612</x:v>
      </x:c>
      <x:c r="K327" s="22" t="n">
        <x:v>5</x:v>
      </x:c>
    </x:row>
    <x:row r="328">
      <x:c r="A328" s="22" t="n">
        <x:v>42</x:v>
      </x:c>
      <x:c r="B328" s="22" t="str">
        <x:v>10月26日</x:v>
      </x:c>
      <x:c r="C328" s="23" t="n">
        <x:v>2711</x:v>
      </x:c>
      <x:c r="D328" s="23" t="n">
        <x:v>2724</x:v>
      </x:c>
      <x:c r="E328" s="23" t="n">
        <x:v>2691.2</x:v>
      </x:c>
      <x:c r="F328" s="23" t="n">
        <x:v>2721.8</x:v>
      </x:c>
      <x:c r="G328" s="23" t="n">
        <x:f>ROUND(F328-F327,1)</x:f>
        <x:v>2.8</x:v>
      </x:c>
      <x:c r="H328" s="24" t="n">
        <x:f>IFERROR(F328/F327-1,"")</x:f>
        <x:v>0.0010297903641045547</x:v>
      </x:c>
      <x:c r="I328" s="23" t="n">
        <x:f>ROUND(D328-E328,1)</x:f>
        <x:v>32.8</x:v>
      </x:c>
      <x:c r="J328" s="22" t="str">
        <x:v>IH2612</x:v>
      </x:c>
      <x:c r="K328" s="22" t="n">
        <x:v>1</x:v>
      </x:c>
    </x:row>
    <x:row r="329">
      <x:c r="A329" s="31" t="str">
        <x:v>合计</x:v>
      </x:c>
      <x:c r="B329" s="30" t="n">
        <x:v>42</x:v>
      </x:c>
      <x:c r="C329" s="30"/>
      <x:c r="D329" s="30"/>
      <x:c r="E329" s="30"/>
      <x:c r="F329" s="30"/>
      <x:c r="G329" s="30"/>
      <x:c r="H329" s="30"/>
      <x:c r="I329" s="32" t="n">
        <x:f>ROUND(SUM(I287:I328),1)</x:f>
        <x:v>3729.6</x:v>
      </x:c>
      <x:c r="J329" s="30"/>
      <x:c r="K329" s="30"/>
    </x:row>
    <x:row r="330">
      <x:c r="A330" s="31" t="str">
        <x:v>均值</x:v>
      </x:c>
      <x:c r="B330" s="30"/>
      <x:c r="C330" s="30"/>
      <x:c r="D330" s="30"/>
      <x:c r="E330" s="30"/>
      <x:c r="F330" s="30"/>
      <x:c r="G330" s="30"/>
      <x:c r="H330" s="30"/>
      <x:c r="I330" s="34" t="n">
        <x:f>ROUND(IFERROR(AVERAGE(I287:I328),0),1)</x:f>
        <x:v>88.8</x:v>
      </x:c>
      <x:c r="J330" s="30"/>
      <x:c r="K330" s="30"/>
    </x:row>
    <x:row r="332">
      <x:c r="A332" s="17" t="str">
        <x:v>碳酸锂2610</x:v>
      </x:c>
      <x:c r="B332" s="17"/>
      <x:c r="C332" s="17"/>
      <x:c r="D332" s="17"/>
      <x:c r="E332" s="17"/>
      <x:c r="F332" s="17"/>
      <x:c r="G332" s="17"/>
      <x:c r="H332" s="17"/>
      <x:c r="I332" s="17"/>
      <x:c r="J332" s="17"/>
      <x:c r="K332" s="17"/>
    </x:row>
    <x:row r="333">
      <x:c r="A333" s="20" t="str">
        <x:v>序号</x:v>
      </x:c>
      <x:c r="B333" s="20" t="str">
        <x:v>周期</x:v>
      </x:c>
      <x:c r="C333" s="20" t="str">
        <x:v>开盘</x:v>
      </x:c>
      <x:c r="D333" s="20" t="str">
        <x:v>高点</x:v>
      </x:c>
      <x:c r="E333" s="20" t="str">
        <x:v>低点</x:v>
      </x:c>
      <x:c r="F333" s="20" t="str">
        <x:v>收盘</x:v>
      </x:c>
      <x:c r="G333" s="20" t="str">
        <x:v>涨跌点数</x:v>
      </x:c>
      <x:c r="H333" s="20" t="str">
        <x:v>涨幅</x:v>
      </x:c>
      <x:c r="I333" s="20" t="str">
        <x:v>振幅</x:v>
      </x:c>
      <x:c r="J333" s="20" t="str">
        <x:v>标的</x:v>
      </x:c>
      <x:c r="K333" s="20" t="str">
        <x:v>交易日</x:v>
      </x:c>
    </x:row>
    <x:row r="334">
      <x:c r="A334" s="22" t="n">
        <x:v>1</x:v>
      </x:c>
      <x:c r="B334" s="22" t="str">
        <x:v>1月5日-1月9日</x:v>
      </x:c>
      <x:c r="C334" s="23" t="n">
        <x:v>132800</x:v>
      </x:c>
      <x:c r="D334" s="23" t="n">
        <x:v>150100</x:v>
      </x:c>
      <x:c r="E334" s="23" t="n">
        <x:v>123500</x:v>
      </x:c>
      <x:c r="F334" s="23" t="n">
        <x:v>145600</x:v>
      </x:c>
      <x:c r="G334" s="23"/>
      <x:c r="H334" s="24"/>
      <x:c r="I334" s="26" t="n">
        <x:f>ROUND(D334-E334,1)</x:f>
        <x:v>26600</x:v>
      </x:c>
      <x:c r="J334" s="22" t="str">
        <x:v>LC2610</x:v>
      </x:c>
      <x:c r="K334" s="22" t="n">
        <x:v>5</x:v>
      </x:c>
    </x:row>
    <x:row r="335">
      <x:c r="A335" s="22" t="n">
        <x:v>2</x:v>
      </x:c>
      <x:c r="B335" s="22" t="str">
        <x:v>1月12日-1月16日</x:v>
      </x:c>
      <x:c r="C335" s="23" t="n">
        <x:v>149180</x:v>
      </x:c>
      <x:c r="D335" s="23" t="n">
        <x:v>175360</x:v>
      </x:c>
      <x:c r="E335" s="23" t="n">
        <x:v>148180</x:v>
      </x:c>
      <x:c r="F335" s="23" t="n">
        <x:v>148180</x:v>
      </x:c>
      <x:c r="G335" s="28" t="n">
        <x:f>ROUND(F335-F334,1)</x:f>
        <x:v>2580</x:v>
      </x:c>
      <x:c r="H335" s="24" t="n">
        <x:f>IFERROR(F335/F334-1,"")</x:f>
        <x:v>0.017719780219780157</x:v>
      </x:c>
      <x:c r="I335" s="26" t="n">
        <x:f>ROUND(D335-E335,1)</x:f>
        <x:v>27180</x:v>
      </x:c>
      <x:c r="J335" s="22" t="str">
        <x:v>LC2610</x:v>
      </x:c>
      <x:c r="K335" s="22" t="n">
        <x:v>5</x:v>
      </x:c>
    </x:row>
    <x:row r="336">
      <x:c r="A336" s="22" t="n">
        <x:v>3</x:v>
      </x:c>
      <x:c r="B336" s="22" t="str">
        <x:v>1月19日-1月23日</x:v>
      </x:c>
      <x:c r="C336" s="23" t="n">
        <x:v>143000</x:v>
      </x:c>
      <x:c r="D336" s="23" t="n">
        <x:v>183460</x:v>
      </x:c>
      <x:c r="E336" s="23" t="n">
        <x:v>143000</x:v>
      </x:c>
      <x:c r="F336" s="23" t="n">
        <x:v>183460</x:v>
      </x:c>
      <x:c r="G336" s="28" t="n">
        <x:f>ROUND(F336-F335,1)</x:f>
        <x:v>35280</x:v>
      </x:c>
      <x:c r="H336" s="24" t="n">
        <x:f>IFERROR(F336/F335-1,"")</x:f>
        <x:v>0.23808881090565537</x:v>
      </x:c>
      <x:c r="I336" s="26" t="n">
        <x:f>ROUND(D336-E336,1)</x:f>
        <x:v>40460</x:v>
      </x:c>
      <x:c r="J336" s="22" t="str">
        <x:v>LC2610</x:v>
      </x:c>
      <x:c r="K336" s="22" t="n">
        <x:v>5</x:v>
      </x:c>
    </x:row>
    <x:row r="337">
      <x:c r="A337" s="22" t="n">
        <x:v>4</x:v>
      </x:c>
      <x:c r="B337" s="22" t="str">
        <x:v>1月26日-1月30日</x:v>
      </x:c>
      <x:c r="C337" s="23" t="n">
        <x:v>189980</x:v>
      </x:c>
      <x:c r="D337" s="23" t="n">
        <x:v>190020</x:v>
      </x:c>
      <x:c r="E337" s="23" t="n">
        <x:v>148520</x:v>
      </x:c>
      <x:c r="F337" s="23" t="n">
        <x:v>148540</x:v>
      </x:c>
      <x:c r="G337" s="28" t="n">
        <x:f>ROUND(F337-F336,1)</x:f>
        <x:v>-34920</x:v>
      </x:c>
      <x:c r="H337" s="24" t="n">
        <x:f>IFERROR(F337/F336-1,"")</x:f>
        <x:v>-0.19034121879428756</x:v>
      </x:c>
      <x:c r="I337" s="26" t="n">
        <x:f>ROUND(D337-E337,1)</x:f>
        <x:v>41500</x:v>
      </x:c>
      <x:c r="J337" s="22" t="str">
        <x:v>LC2610</x:v>
      </x:c>
      <x:c r="K337" s="22" t="n">
        <x:v>5</x:v>
      </x:c>
    </x:row>
    <x:row r="338">
      <x:c r="A338" s="22" t="n">
        <x:v>5</x:v>
      </x:c>
      <x:c r="B338" s="22" t="str">
        <x:v>2月2日-2月6日</x:v>
      </x:c>
      <x:c r="C338" s="23" t="n">
        <x:v>153000</x:v>
      </x:c>
      <x:c r="D338" s="23" t="n">
        <x:v>153000</x:v>
      </x:c>
      <x:c r="E338" s="23" t="n">
        <x:v>124760</x:v>
      </x:c>
      <x:c r="F338" s="23" t="n">
        <x:v>131160</x:v>
      </x:c>
      <x:c r="G338" s="28" t="n">
        <x:f>ROUND(F338-F337,1)</x:f>
        <x:v>-17380</x:v>
      </x:c>
      <x:c r="H338" s="24" t="n">
        <x:f>IFERROR(F338/F337-1,"")</x:f>
        <x:v>-0.11700552039854584</x:v>
      </x:c>
      <x:c r="I338" s="26" t="n">
        <x:f>ROUND(D338-E338,1)</x:f>
        <x:v>28240</x:v>
      </x:c>
      <x:c r="J338" s="22" t="str">
        <x:v>LC2610</x:v>
      </x:c>
      <x:c r="K338" s="22" t="n">
        <x:v>5</x:v>
      </x:c>
    </x:row>
    <x:row r="339">
      <x:c r="A339" s="22" t="n">
        <x:v>6</x:v>
      </x:c>
      <x:c r="B339" s="22" t="str">
        <x:v>2月9日-2月13日</x:v>
      </x:c>
      <x:c r="C339" s="23" t="n">
        <x:v>134660</x:v>
      </x:c>
      <x:c r="D339" s="23" t="n">
        <x:v>152380</x:v>
      </x:c>
      <x:c r="E339" s="23" t="n">
        <x:v>133580</x:v>
      </x:c>
      <x:c r="F339" s="23" t="n">
        <x:v>152380</x:v>
      </x:c>
      <x:c r="G339" s="28" t="n">
        <x:f>ROUND(F339-F338,1)</x:f>
        <x:v>21220</x:v>
      </x:c>
      <x:c r="H339" s="24" t="n">
        <x:f>IFERROR(F339/F338-1,"")</x:f>
        <x:v>0.1617871302226288</x:v>
      </x:c>
      <x:c r="I339" s="26" t="n">
        <x:f>ROUND(D339-E339,1)</x:f>
        <x:v>18800</x:v>
      </x:c>
      <x:c r="J339" s="22" t="str">
        <x:v>LC2610</x:v>
      </x:c>
      <x:c r="K339" s="22" t="n">
        <x:v>5</x:v>
      </x:c>
    </x:row>
    <x:row r="340">
      <x:c r="A340" s="22" t="n">
        <x:v>7</x:v>
      </x:c>
      <x:c r="B340" s="22" t="str">
        <x:v>2月24日-2月27日</x:v>
      </x:c>
      <x:c r="C340" s="23" t="n">
        <x:v>165060</x:v>
      </x:c>
      <x:c r="D340" s="23" t="n">
        <x:v>187920</x:v>
      </x:c>
      <x:c r="E340" s="23" t="n">
        <x:v>155680</x:v>
      </x:c>
      <x:c r="F340" s="23" t="n">
        <x:v>175400</x:v>
      </x:c>
      <x:c r="G340" s="28" t="n">
        <x:f>ROUND(F340-F339,1)</x:f>
        <x:v>23020</x:v>
      </x:c>
      <x:c r="H340" s="24" t="n">
        <x:f>IFERROR(F340/F339-1,"")</x:f>
        <x:v>0.1510696941855887</x:v>
      </x:c>
      <x:c r="I340" s="26" t="n">
        <x:f>ROUND(D340-E340,1)</x:f>
        <x:v>32240</x:v>
      </x:c>
      <x:c r="J340" s="22" t="str">
        <x:v>LC2610</x:v>
      </x:c>
      <x:c r="K340" s="22" t="n">
        <x:v>4</x:v>
      </x:c>
    </x:row>
    <x:row r="341">
      <x:c r="A341" s="22" t="n">
        <x:v>8</x:v>
      </x:c>
      <x:c r="B341" s="22" t="str">
        <x:v>3月2日-3月6日</x:v>
      </x:c>
      <x:c r="C341" s="23" t="n">
        <x:v>175800</x:v>
      </x:c>
      <x:c r="D341" s="23" t="n">
        <x:v>177260</x:v>
      </x:c>
      <x:c r="E341" s="23" t="n">
        <x:v>144980</x:v>
      </x:c>
      <x:c r="F341" s="23" t="n">
        <x:v>156580</x:v>
      </x:c>
      <x:c r="G341" s="28" t="n">
        <x:f>ROUND(F341-F340,1)</x:f>
        <x:v>-18820</x:v>
      </x:c>
      <x:c r="H341" s="24" t="n">
        <x:f>IFERROR(F341/F340-1,"")</x:f>
        <x:v>-0.1072976054732041</x:v>
      </x:c>
      <x:c r="I341" s="26" t="n">
        <x:f>ROUND(D341-E341,1)</x:f>
        <x:v>32280</x:v>
      </x:c>
      <x:c r="J341" s="22" t="str">
        <x:v>LC2610</x:v>
      </x:c>
      <x:c r="K341" s="22" t="n">
        <x:v>5</x:v>
      </x:c>
    </x:row>
    <x:row r="342">
      <x:c r="A342" s="22" t="n">
        <x:v>9</x:v>
      </x:c>
      <x:c r="B342" s="22" t="str">
        <x:v>3月9日-3月13日</x:v>
      </x:c>
      <x:c r="C342" s="23" t="n">
        <x:v>145120</x:v>
      </x:c>
      <x:c r="D342" s="23" t="n">
        <x:v>166800</x:v>
      </x:c>
      <x:c r="E342" s="23" t="n">
        <x:v>139860</x:v>
      </x:c>
      <x:c r="F342" s="23" t="n">
        <x:v>151880</x:v>
      </x:c>
      <x:c r="G342" s="28" t="n">
        <x:f>ROUND(F342-F341,1)</x:f>
        <x:v>-4700</x:v>
      </x:c>
      <x:c r="H342" s="24" t="n">
        <x:f>IFERROR(F342/F341-1,"")</x:f>
        <x:v>-0.030016604930387047</x:v>
      </x:c>
      <x:c r="I342" s="26" t="n">
        <x:f>ROUND(D342-E342,1)</x:f>
        <x:v>26940</x:v>
      </x:c>
      <x:c r="J342" s="22" t="str">
        <x:v>LC2610</x:v>
      </x:c>
      <x:c r="K342" s="22" t="n">
        <x:v>5</x:v>
      </x:c>
    </x:row>
    <x:row r="343">
      <x:c r="A343" s="22" t="n">
        <x:v>10</x:v>
      </x:c>
      <x:c r="B343" s="22" t="str">
        <x:v>3月16日-3月20日</x:v>
      </x:c>
      <x:c r="C343" s="23" t="n">
        <x:v>149140</x:v>
      </x:c>
      <x:c r="D343" s="23" t="n">
        <x:v>159120</x:v>
      </x:c>
      <x:c r="E343" s="23" t="n">
        <x:v>139640</x:v>
      </x:c>
      <x:c r="F343" s="23" t="n">
        <x:v>143900</x:v>
      </x:c>
      <x:c r="G343" s="28" t="n">
        <x:f>ROUND(F343-F342,1)</x:f>
        <x:v>-7980</x:v>
      </x:c>
      <x:c r="H343" s="24" t="n">
        <x:f>IFERROR(F343/F342-1,"")</x:f>
        <x:v>-0.052541480115881</x:v>
      </x:c>
      <x:c r="I343" s="26" t="n">
        <x:f>ROUND(D343-E343,1)</x:f>
        <x:v>19480</x:v>
      </x:c>
      <x:c r="J343" s="22" t="str">
        <x:v>LC2610</x:v>
      </x:c>
      <x:c r="K343" s="22" t="n">
        <x:v>5</x:v>
      </x:c>
    </x:row>
    <x:row r="344">
      <x:c r="A344" s="22" t="n">
        <x:v>11</x:v>
      </x:c>
      <x:c r="B344" s="22" t="str">
        <x:v>3月23日-3月27日</x:v>
      </x:c>
      <x:c r="C344" s="23" t="n">
        <x:v>144460</x:v>
      </x:c>
      <x:c r="D344" s="23" t="n">
        <x:v>170800</x:v>
      </x:c>
      <x:c r="E344" s="23" t="n">
        <x:v>139980</x:v>
      </x:c>
      <x:c r="F344" s="23" t="n">
        <x:v>166540</x:v>
      </x:c>
      <x:c r="G344" s="28" t="n">
        <x:f>ROUND(F344-F343,1)</x:f>
        <x:v>22640</x:v>
      </x:c>
      <x:c r="H344" s="24" t="n">
        <x:f>IFERROR(F344/F343-1,"")</x:f>
        <x:v>0.15733148019457954</x:v>
      </x:c>
      <x:c r="I344" s="26" t="n">
        <x:f>ROUND(D344-E344,1)</x:f>
        <x:v>30820</x:v>
      </x:c>
      <x:c r="J344" s="22" t="str">
        <x:v>LC2610</x:v>
      </x:c>
      <x:c r="K344" s="22" t="n">
        <x:v>5</x:v>
      </x:c>
    </x:row>
    <x:row r="345">
      <x:c r="A345" s="22" t="n">
        <x:v>12</x:v>
      </x:c>
      <x:c r="B345" s="22" t="str">
        <x:v>3月30日-4月3日</x:v>
      </x:c>
      <x:c r="C345" s="23" t="n">
        <x:v>172000</x:v>
      </x:c>
      <x:c r="D345" s="23" t="n">
        <x:v>174540</x:v>
      </x:c>
      <x:c r="E345" s="23" t="n">
        <x:v>153840</x:v>
      </x:c>
      <x:c r="F345" s="23" t="n">
        <x:v>157680</x:v>
      </x:c>
      <x:c r="G345" s="28" t="n">
        <x:f>ROUND(F345-F344,1)</x:f>
        <x:v>-8860</x:v>
      </x:c>
      <x:c r="H345" s="24" t="n">
        <x:f>IFERROR(F345/F344-1,"")</x:f>
        <x:v>-0.05320043232856975</x:v>
      </x:c>
      <x:c r="I345" s="26" t="n">
        <x:f>ROUND(D345-E345,1)</x:f>
        <x:v>20700</x:v>
      </x:c>
      <x:c r="J345" s="22" t="str">
        <x:v>LC2610</x:v>
      </x:c>
      <x:c r="K345" s="22" t="n">
        <x:v>5</x:v>
      </x:c>
    </x:row>
    <x:row r="346">
      <x:c r="A346" s="22" t="n">
        <x:v>13</x:v>
      </x:c>
      <x:c r="B346" s="22" t="str">
        <x:v>4月7日-4月10日</x:v>
      </x:c>
      <x:c r="C346" s="23" t="n">
        <x:v>156200</x:v>
      </x:c>
      <x:c r="D346" s="23" t="n">
        <x:v>164160</x:v>
      </x:c>
      <x:c r="E346" s="23" t="n">
        <x:v>151640</x:v>
      </x:c>
      <x:c r="F346" s="23" t="n">
        <x:v>156500</x:v>
      </x:c>
      <x:c r="G346" s="28" t="n">
        <x:f>ROUND(F346-F345,1)</x:f>
        <x:v>-1180</x:v>
      </x:c>
      <x:c r="H346" s="24" t="n">
        <x:f>IFERROR(F346/F345-1,"")</x:f>
        <x:v>-0.007483510908168456</x:v>
      </x:c>
      <x:c r="I346" s="26" t="n">
        <x:f>ROUND(D346-E346,1)</x:f>
        <x:v>12520</x:v>
      </x:c>
      <x:c r="J346" s="22" t="str">
        <x:v>LC2610</x:v>
      </x:c>
      <x:c r="K346" s="22" t="n">
        <x:v>4</x:v>
      </x:c>
    </x:row>
    <x:row r="347">
      <x:c r="A347" s="22" t="n">
        <x:v>14</x:v>
      </x:c>
      <x:c r="B347" s="22" t="str">
        <x:v>4月13日-4月17日</x:v>
      </x:c>
      <x:c r="C347" s="23" t="n">
        <x:v>156660</x:v>
      </x:c>
      <x:c r="D347" s="23" t="n">
        <x:v>176500</x:v>
      </x:c>
      <x:c r="E347" s="23" t="n">
        <x:v>153040</x:v>
      </x:c>
      <x:c r="F347" s="23" t="n">
        <x:v>176360</x:v>
      </x:c>
      <x:c r="G347" s="28" t="n">
        <x:f>ROUND(F347-F346,1)</x:f>
        <x:v>19860</x:v>
      </x:c>
      <x:c r="H347" s="24" t="n">
        <x:f>IFERROR(F347/F346-1,"")</x:f>
        <x:v>0.12690095846645377</x:v>
      </x:c>
      <x:c r="I347" s="26" t="n">
        <x:f>ROUND(D347-E347,1)</x:f>
        <x:v>23460</x:v>
      </x:c>
      <x:c r="J347" s="22" t="str">
        <x:v>LC2610</x:v>
      </x:c>
      <x:c r="K347" s="22" t="n">
        <x:v>5</x:v>
      </x:c>
    </x:row>
    <x:row r="348">
      <x:c r="A348" s="22" t="n">
        <x:v>15</x:v>
      </x:c>
      <x:c r="B348" s="22" t="str">
        <x:v>4月20日-4月24日</x:v>
      </x:c>
      <x:c r="C348" s="23" t="n">
        <x:v>174080</x:v>
      </x:c>
      <x:c r="D348" s="23" t="n">
        <x:v>180920</x:v>
      </x:c>
      <x:c r="E348" s="23" t="n">
        <x:v>169000</x:v>
      </x:c>
      <x:c r="F348" s="23" t="n">
        <x:v>176960</x:v>
      </x:c>
      <x:c r="G348" s="28" t="n">
        <x:f>ROUND(F348-F347,1)</x:f>
        <x:v>600</x:v>
      </x:c>
      <x:c r="H348" s="24" t="n">
        <x:f>IFERROR(F348/F347-1,"")</x:f>
        <x:v>0.0034021320027217694</x:v>
      </x:c>
      <x:c r="I348" s="26" t="n">
        <x:f>ROUND(D348-E348,1)</x:f>
        <x:v>11920</x:v>
      </x:c>
      <x:c r="J348" s="22" t="str">
        <x:v>LC2610</x:v>
      </x:c>
      <x:c r="K348" s="22" t="n">
        <x:v>5</x:v>
      </x:c>
    </x:row>
    <x:row r="349">
      <x:c r="A349" s="22" t="n">
        <x:v>16</x:v>
      </x:c>
      <x:c r="B349" s="22" t="str">
        <x:v>4月27日-4月30日</x:v>
      </x:c>
      <x:c r="C349" s="23" t="n">
        <x:v>176960</x:v>
      </x:c>
      <x:c r="D349" s="23" t="n">
        <x:v>188840</x:v>
      </x:c>
      <x:c r="E349" s="23" t="n">
        <x:v>172640</x:v>
      </x:c>
      <x:c r="F349" s="23" t="n">
        <x:v>188840</x:v>
      </x:c>
      <x:c r="G349" s="28" t="n">
        <x:f>ROUND(F349-F348,1)</x:f>
        <x:v>11880</x:v>
      </x:c>
      <x:c r="H349" s="24" t="n">
        <x:f>IFERROR(F349/F348-1,"")</x:f>
        <x:v>0.06713381555153708</x:v>
      </x:c>
      <x:c r="I349" s="26" t="n">
        <x:f>ROUND(D349-E349,1)</x:f>
        <x:v>16200</x:v>
      </x:c>
      <x:c r="J349" s="22" t="str">
        <x:v>LC2610</x:v>
      </x:c>
      <x:c r="K349" s="22" t="n">
        <x:v>4</x:v>
      </x:c>
    </x:row>
    <x:row r="350">
      <x:c r="A350" s="22" t="n">
        <x:v>17</x:v>
      </x:c>
      <x:c r="B350" s="22" t="str">
        <x:v>5月6日-5月8日</x:v>
      </x:c>
      <x:c r="C350" s="23" t="n">
        <x:v>191300</x:v>
      </x:c>
      <x:c r="D350" s="23" t="n">
        <x:v>204640</x:v>
      </x:c>
      <x:c r="E350" s="23" t="n">
        <x:v>191300</x:v>
      </x:c>
      <x:c r="F350" s="23" t="n">
        <x:v>196100</x:v>
      </x:c>
      <x:c r="G350" s="28" t="n">
        <x:f>ROUND(F350-F349,1)</x:f>
        <x:v>7260</x:v>
      </x:c>
      <x:c r="H350" s="24" t="n">
        <x:f>IFERROR(F350/F349-1,"")</x:f>
        <x:v>0.038445244651556854</x:v>
      </x:c>
      <x:c r="I350" s="26" t="n">
        <x:f>ROUND(D350-E350,1)</x:f>
        <x:v>13340</x:v>
      </x:c>
      <x:c r="J350" s="22" t="str">
        <x:v>LC2610</x:v>
      </x:c>
      <x:c r="K350" s="22" t="n">
        <x:v>3</x:v>
      </x:c>
    </x:row>
    <x:row r="351">
      <x:c r="A351" s="22" t="n">
        <x:v>18</x:v>
      </x:c>
      <x:c r="B351" s="22" t="str">
        <x:v>5月11日-5月15日</x:v>
      </x:c>
      <x:c r="C351" s="23" t="n">
        <x:v>195080</x:v>
      </x:c>
      <x:c r="D351" s="23" t="n">
        <x:v>209040</x:v>
      </x:c>
      <x:c r="E351" s="23" t="n">
        <x:v>187240</x:v>
      </x:c>
      <x:c r="F351" s="23" t="n">
        <x:v>189440</x:v>
      </x:c>
      <x:c r="G351" s="28" t="n">
        <x:f>ROUND(F351-F350,1)</x:f>
        <x:v>-6660</x:v>
      </x:c>
      <x:c r="H351" s="24" t="n">
        <x:f>IFERROR(F351/F350-1,"")</x:f>
        <x:v>-0.03396226415094339</x:v>
      </x:c>
      <x:c r="I351" s="26" t="n">
        <x:f>ROUND(D351-E351,1)</x:f>
        <x:v>21800</x:v>
      </x:c>
      <x:c r="J351" s="22" t="str">
        <x:v>LC2610</x:v>
      </x:c>
      <x:c r="K351" s="22" t="n">
        <x:v>5</x:v>
      </x:c>
    </x:row>
    <x:row r="352">
      <x:c r="A352" s="22" t="n">
        <x:v>19</x:v>
      </x:c>
      <x:c r="B352" s="22" t="str">
        <x:v>5月18日-5月22日</x:v>
      </x:c>
      <x:c r="C352" s="23" t="n">
        <x:v>190060</x:v>
      </x:c>
      <x:c r="D352" s="23" t="n">
        <x:v>193820</x:v>
      </x:c>
      <x:c r="E352" s="23" t="n">
        <x:v>175520</x:v>
      </x:c>
      <x:c r="F352" s="23" t="n">
        <x:v>185280</x:v>
      </x:c>
      <x:c r="G352" s="28" t="n">
        <x:f>ROUND(F352-F351,1)</x:f>
        <x:v>-4160</x:v>
      </x:c>
      <x:c r="H352" s="24" t="n">
        <x:f>IFERROR(F352/F351-1,"")</x:f>
        <x:v>-0.02195945945945943</x:v>
      </x:c>
      <x:c r="I352" s="26" t="n">
        <x:f>ROUND(D352-E352,1)</x:f>
        <x:v>18300</x:v>
      </x:c>
      <x:c r="J352" s="22" t="str">
        <x:v>LC2610</x:v>
      </x:c>
      <x:c r="K352" s="22" t="n">
        <x:v>5</x:v>
      </x:c>
    </x:row>
    <x:row r="353">
      <x:c r="A353" s="22" t="n">
        <x:v>20</x:v>
      </x:c>
      <x:c r="B353" s="22" t="str">
        <x:v>5月25日-5月29日</x:v>
      </x:c>
      <x:c r="C353" s="23" t="n">
        <x:v>185380</x:v>
      </x:c>
      <x:c r="D353" s="23" t="n">
        <x:v>188320</x:v>
      </x:c>
      <x:c r="E353" s="23" t="n">
        <x:v>172500</x:v>
      </x:c>
      <x:c r="F353" s="23" t="n">
        <x:v>178620</x:v>
      </x:c>
      <x:c r="G353" s="28" t="n">
        <x:f>ROUND(F353-F352,1)</x:f>
        <x:v>-6660</x:v>
      </x:c>
      <x:c r="H353" s="24" t="n">
        <x:f>IFERROR(F353/F352-1,"")</x:f>
        <x:v>-0.035945595854922296</x:v>
      </x:c>
      <x:c r="I353" s="26" t="n">
        <x:f>ROUND(D353-E353,1)</x:f>
        <x:v>15820</x:v>
      </x:c>
      <x:c r="J353" s="22" t="str">
        <x:v>LC2610</x:v>
      </x:c>
      <x:c r="K353" s="22" t="n">
        <x:v>5</x:v>
      </x:c>
    </x:row>
    <x:row r="354">
      <x:c r="A354" s="22" t="n">
        <x:v>21</x:v>
      </x:c>
      <x:c r="B354" s="22" t="str">
        <x:v>6月1日-6月5日</x:v>
      </x:c>
      <x:c r="C354" s="23" t="n">
        <x:v>180920</x:v>
      </x:c>
      <x:c r="D354" s="23" t="n">
        <x:v>182940</x:v>
      </x:c>
      <x:c r="E354" s="23" t="n">
        <x:v>158140</x:v>
      </x:c>
      <x:c r="F354" s="23" t="n">
        <x:v>165460</x:v>
      </x:c>
      <x:c r="G354" s="28" t="n">
        <x:f>ROUND(F354-F353,1)</x:f>
        <x:v>-13160</x:v>
      </x:c>
      <x:c r="H354" s="24" t="n">
        <x:f>IFERROR(F354/F353-1,"")</x:f>
        <x:v>-0.07367596013884226</x:v>
      </x:c>
      <x:c r="I354" s="26" t="n">
        <x:f>ROUND(D354-E354,1)</x:f>
        <x:v>24800</x:v>
      </x:c>
      <x:c r="J354" s="22" t="str">
        <x:v>LC2610</x:v>
      </x:c>
      <x:c r="K354" s="22" t="n">
        <x:v>5</x:v>
      </x:c>
    </x:row>
    <x:row r="355">
      <x:c r="A355" s="22" t="n">
        <x:v>22</x:v>
      </x:c>
      <x:c r="B355" s="22" t="str">
        <x:v>6月8日-6月12日</x:v>
      </x:c>
      <x:c r="C355" s="23" t="n">
        <x:v>162800</x:v>
      </x:c>
      <x:c r="D355" s="23" t="n">
        <x:v>178860</x:v>
      </x:c>
      <x:c r="E355" s="23" t="n">
        <x:v>161280</x:v>
      </x:c>
      <x:c r="F355" s="23" t="n">
        <x:v>175780</x:v>
      </x:c>
      <x:c r="G355" s="28" t="n">
        <x:f>ROUND(F355-F354,1)</x:f>
        <x:v>10320</x:v>
      </x:c>
      <x:c r="H355" s="24" t="n">
        <x:f>IFERROR(F355/F354-1,"")</x:f>
        <x:v>0.06237157016801653</x:v>
      </x:c>
      <x:c r="I355" s="26" t="n">
        <x:f>ROUND(D355-E355,1)</x:f>
        <x:v>17580</x:v>
      </x:c>
      <x:c r="J355" s="22" t="str">
        <x:v>LC2610</x:v>
      </x:c>
      <x:c r="K355" s="22" t="n">
        <x:v>5</x:v>
      </x:c>
    </x:row>
    <x:row r="356">
      <x:c r="A356" s="22" t="n">
        <x:v>23</x:v>
      </x:c>
      <x:c r="B356" s="22" t="str">
        <x:v>6月15日-6月18日</x:v>
      </x:c>
      <x:c r="C356" s="23" t="n">
        <x:v>176460</x:v>
      </x:c>
      <x:c r="D356" s="23" t="n">
        <x:v>178560</x:v>
      </x:c>
      <x:c r="E356" s="23" t="n">
        <x:v>160560</x:v>
      </x:c>
      <x:c r="F356" s="23" t="n">
        <x:v>161400</x:v>
      </x:c>
      <x:c r="G356" s="28" t="n">
        <x:f>ROUND(F356-F355,1)</x:f>
        <x:v>-14380</x:v>
      </x:c>
      <x:c r="H356" s="24" t="n">
        <x:f>IFERROR(F356/F355-1,"")</x:f>
        <x:v>-0.0818068039594948</x:v>
      </x:c>
      <x:c r="I356" s="26" t="n">
        <x:f>ROUND(D356-E356,1)</x:f>
        <x:v>18000</x:v>
      </x:c>
      <x:c r="J356" s="22" t="str">
        <x:v>LC2610</x:v>
      </x:c>
      <x:c r="K356" s="22" t="n">
        <x:v>4</x:v>
      </x:c>
    </x:row>
    <x:row r="357">
      <x:c r="A357" s="22" t="n">
        <x:v>24</x:v>
      </x:c>
      <x:c r="B357" s="22" t="str">
        <x:v>6月22日-6月26日</x:v>
      </x:c>
      <x:c r="C357" s="23" t="n">
        <x:v>161000</x:v>
      </x:c>
      <x:c r="D357" s="23" t="n">
        <x:v>163880</x:v>
      </x:c>
      <x:c r="E357" s="23" t="n">
        <x:v>145360</x:v>
      </x:c>
      <x:c r="F357" s="23" t="n">
        <x:v>151140</x:v>
      </x:c>
      <x:c r="G357" s="28" t="n">
        <x:f>ROUND(F357-F356,1)</x:f>
        <x:v>-10260</x:v>
      </x:c>
      <x:c r="H357" s="24" t="n">
        <x:f>IFERROR(F357/F356-1,"")</x:f>
        <x:v>-0.06356877323420074</x:v>
      </x:c>
      <x:c r="I357" s="26" t="n">
        <x:f>ROUND(D357-E357,1)</x:f>
        <x:v>18520</x:v>
      </x:c>
      <x:c r="J357" s="22" t="str">
        <x:v>LC2610</x:v>
      </x:c>
      <x:c r="K357" s="22" t="n">
        <x:v>5</x:v>
      </x:c>
    </x:row>
    <x:row r="358">
      <x:c r="A358" s="22" t="n">
        <x:v>25</x:v>
      </x:c>
      <x:c r="B358" s="22" t="str">
        <x:v>6月29日-7月3日</x:v>
      </x:c>
      <x:c r="C358" s="23" t="n">
        <x:v>148420</x:v>
      </x:c>
      <x:c r="D358" s="23" t="n">
        <x:v>172120</x:v>
      </x:c>
      <x:c r="E358" s="23" t="n">
        <x:v>146000</x:v>
      </x:c>
      <x:c r="F358" s="23" t="n">
        <x:v>168600</x:v>
      </x:c>
      <x:c r="G358" s="28" t="n">
        <x:f>ROUND(F358-F357,1)</x:f>
        <x:v>17460</x:v>
      </x:c>
      <x:c r="H358" s="24" t="n">
        <x:f>IFERROR(F358/F357-1,"")</x:f>
        <x:v>0.1155220325526003</x:v>
      </x:c>
      <x:c r="I358" s="26" t="n">
        <x:f>ROUND(D358-E358,1)</x:f>
        <x:v>26120</x:v>
      </x:c>
      <x:c r="J358" s="22" t="str">
        <x:v>LC2610</x:v>
      </x:c>
      <x:c r="K358" s="22" t="n">
        <x:v>5</x:v>
      </x:c>
    </x:row>
    <x:row r="359">
      <x:c r="A359" s="22" t="n">
        <x:v>26</x:v>
      </x:c>
      <x:c r="B359" s="22" t="str">
        <x:v>7月6日-7月10日</x:v>
      </x:c>
      <x:c r="C359" s="23" t="n">
        <x:v>174900</x:v>
      </x:c>
      <x:c r="D359" s="23" t="n">
        <x:v>174900</x:v>
      </x:c>
      <x:c r="E359" s="23" t="n">
        <x:v>150860</x:v>
      </x:c>
      <x:c r="F359" s="23" t="n">
        <x:v>151600</x:v>
      </x:c>
      <x:c r="G359" s="28" t="n">
        <x:f>ROUND(F359-F358,1)</x:f>
        <x:v>-17000</x:v>
      </x:c>
      <x:c r="H359" s="24" t="n">
        <x:f>IFERROR(F359/F358-1,"")</x:f>
        <x:v>-0.10083036773428233</x:v>
      </x:c>
      <x:c r="I359" s="26" t="n">
        <x:f>ROUND(D359-E359,1)</x:f>
        <x:v>24040</x:v>
      </x:c>
      <x:c r="J359" s="22" t="str">
        <x:v>LC2610</x:v>
      </x:c>
      <x:c r="K359" s="22" t="n">
        <x:v>5</x:v>
      </x:c>
    </x:row>
    <x:row r="360">
      <x:c r="A360" s="22" t="n">
        <x:v>27</x:v>
      </x:c>
      <x:c r="B360" s="22" t="str">
        <x:v>7月13日-7月17日</x:v>
      </x:c>
      <x:c r="C360" s="23" t="n">
        <x:v>150300</x:v>
      </x:c>
      <x:c r="D360" s="23" t="n">
        <x:v>155660</x:v>
      </x:c>
      <x:c r="E360" s="23" t="n">
        <x:v>145460</x:v>
      </x:c>
      <x:c r="F360" s="23" t="n">
        <x:v>149740</x:v>
      </x:c>
      <x:c r="G360" s="28" t="n">
        <x:f>ROUND(F360-F359,1)</x:f>
        <x:v>-1860</x:v>
      </x:c>
      <x:c r="H360" s="24" t="n">
        <x:f>IFERROR(F360/F359-1,"")</x:f>
        <x:v>-0.012269129287598934</x:v>
      </x:c>
      <x:c r="I360" s="26" t="n">
        <x:f>ROUND(D360-E360,1)</x:f>
        <x:v>10200</x:v>
      </x:c>
      <x:c r="J360" s="22" t="str">
        <x:v>LC2610</x:v>
      </x:c>
      <x:c r="K360" s="22" t="n">
        <x:v>5</x:v>
      </x:c>
    </x:row>
    <x:row r="361">
      <x:c r="A361" s="22" t="n">
        <x:v>28</x:v>
      </x:c>
      <x:c r="B361" s="22" t="str">
        <x:v>7月20日-7月24日</x:v>
      </x:c>
      <x:c r="C361" s="23" t="n">
        <x:v>152520</x:v>
      </x:c>
      <x:c r="D361" s="23" t="n">
        <x:v>153880</x:v>
      </x:c>
      <x:c r="E361" s="23" t="n">
        <x:v>135040</x:v>
      </x:c>
      <x:c r="F361" s="23" t="n">
        <x:v>142920</x:v>
      </x:c>
      <x:c r="G361" s="28" t="n">
        <x:f>ROUND(F361-F360,1)</x:f>
        <x:v>-6820</x:v>
      </x:c>
      <x:c r="H361" s="24" t="n">
        <x:f>IFERROR(F361/F360-1,"")</x:f>
        <x:v>-0.04554561239481769</x:v>
      </x:c>
      <x:c r="I361" s="26" t="n">
        <x:f>ROUND(D361-E361,1)</x:f>
        <x:v>18840</x:v>
      </x:c>
      <x:c r="J361" s="22" t="str">
        <x:v>LC2610</x:v>
      </x:c>
      <x:c r="K361" s="22" t="n">
        <x:v>5</x:v>
      </x:c>
    </x:row>
    <x:row r="362">
      <x:c r="A362" s="22" t="n">
        <x:v>29</x:v>
      </x:c>
      <x:c r="B362" s="22" t="str">
        <x:v>7月27日-7月31日</x:v>
      </x:c>
      <x:c r="C362" s="23" t="n">
        <x:v>144340</x:v>
      </x:c>
      <x:c r="D362" s="23" t="n">
        <x:v>148600</x:v>
      </x:c>
      <x:c r="E362" s="23" t="n">
        <x:v>137000</x:v>
      </x:c>
      <x:c r="F362" s="23" t="n">
        <x:v>137000</x:v>
      </x:c>
      <x:c r="G362" s="28" t="n">
        <x:f>ROUND(F362-F361,1)</x:f>
        <x:v>-5920</x:v>
      </x:c>
      <x:c r="H362" s="24" t="n">
        <x:f>IFERROR(F362/F361-1,"")</x:f>
        <x:v>-0.04142177441925554</x:v>
      </x:c>
      <x:c r="I362" s="26" t="n">
        <x:f>ROUND(D362-E362,1)</x:f>
        <x:v>11600</x:v>
      </x:c>
      <x:c r="J362" s="22" t="str">
        <x:v>LC2610</x:v>
      </x:c>
      <x:c r="K362" s="22" t="n">
        <x:v>5</x:v>
      </x:c>
    </x:row>
    <x:row r="363">
      <x:c r="A363" s="22" t="n">
        <x:v>30</x:v>
      </x:c>
      <x:c r="B363" s="22" t="str">
        <x:v>8月3日-8月7日</x:v>
      </x:c>
      <x:c r="C363" s="23" t="n">
        <x:v>137200</x:v>
      </x:c>
      <x:c r="D363" s="23" t="n">
        <x:v>144100</x:v>
      </x:c>
      <x:c r="E363" s="23" t="n">
        <x:v>135040</x:v>
      </x:c>
      <x:c r="F363" s="23" t="n">
        <x:v>139320</x:v>
      </x:c>
      <x:c r="G363" s="28" t="n">
        <x:f>ROUND(F363-F362,1)</x:f>
        <x:v>2320</x:v>
      </x:c>
      <x:c r="H363" s="24" t="n">
        <x:f>IFERROR(F363/F362-1,"")</x:f>
        <x:v>0.016934306569343027</x:v>
      </x:c>
      <x:c r="I363" s="26" t="n">
        <x:f>ROUND(D363-E363,1)</x:f>
        <x:v>9060</x:v>
      </x:c>
      <x:c r="J363" s="22" t="str">
        <x:v>LC2610</x:v>
      </x:c>
      <x:c r="K363" s="22" t="n">
        <x:v>5</x:v>
      </x:c>
    </x:row>
    <x:row r="364">
      <x:c r="A364" s="22" t="n">
        <x:v>31</x:v>
      </x:c>
      <x:c r="B364" s="22" t="str">
        <x:v>8月10日-8月14日</x:v>
      </x:c>
      <x:c r="C364" s="23" t="n">
        <x:v>139320</x:v>
      </x:c>
      <x:c r="D364" s="23" t="n">
        <x:v>154560</x:v>
      </x:c>
      <x:c r="E364" s="23" t="n">
        <x:v>139300</x:v>
      </x:c>
      <x:c r="F364" s="23" t="n">
        <x:v>153980</x:v>
      </x:c>
      <x:c r="G364" s="28" t="n">
        <x:f>ROUND(F364-F363,1)</x:f>
        <x:v>14660</x:v>
      </x:c>
      <x:c r="H364" s="24" t="n">
        <x:f>IFERROR(F364/F363-1,"")</x:f>
        <x:v>0.10522538041917895</x:v>
      </x:c>
      <x:c r="I364" s="26" t="n">
        <x:f>ROUND(D364-E364,1)</x:f>
        <x:v>15260</x:v>
      </x:c>
      <x:c r="J364" s="22" t="str">
        <x:v>LC2610</x:v>
      </x:c>
      <x:c r="K364" s="22" t="n">
        <x:v>5</x:v>
      </x:c>
    </x:row>
    <x:row r="365">
      <x:c r="A365" s="22" t="n">
        <x:v>32</x:v>
      </x:c>
      <x:c r="B365" s="22" t="str">
        <x:v>8月17日-8月21日</x:v>
      </x:c>
      <x:c r="C365" s="23" t="n">
        <x:v>152940</x:v>
      </x:c>
      <x:c r="D365" s="23" t="n">
        <x:v>157400</x:v>
      </x:c>
      <x:c r="E365" s="23" t="n">
        <x:v>148700</x:v>
      </x:c>
      <x:c r="F365" s="23" t="n">
        <x:v>156380</x:v>
      </x:c>
      <x:c r="G365" s="28" t="n">
        <x:f>ROUND(F365-F364,1)</x:f>
        <x:v>2400</x:v>
      </x:c>
      <x:c r="H365" s="24" t="n">
        <x:f>IFERROR(F365/F364-1,"")</x:f>
        <x:v>0.015586439797376173</x:v>
      </x:c>
      <x:c r="I365" s="26" t="n">
        <x:f>ROUND(D365-E365,1)</x:f>
        <x:v>8700</x:v>
      </x:c>
      <x:c r="J365" s="22" t="str">
        <x:v>LC2610</x:v>
      </x:c>
      <x:c r="K365" s="22" t="n">
        <x:v>5</x:v>
      </x:c>
    </x:row>
    <x:row r="366">
      <x:c r="A366" s="22" t="n">
        <x:v>33</x:v>
      </x:c>
      <x:c r="B366" s="22" t="str">
        <x:v>8月24日-8月28日</x:v>
      </x:c>
      <x:c r="C366" s="23" t="n">
        <x:v>158800</x:v>
      </x:c>
      <x:c r="D366" s="23" t="n">
        <x:v>160500</x:v>
      </x:c>
      <x:c r="E366" s="23" t="n">
        <x:v>147600</x:v>
      </x:c>
      <x:c r="F366" s="23" t="n">
        <x:v>157940</x:v>
      </x:c>
      <x:c r="G366" s="28" t="n">
        <x:f>ROUND(F366-F365,1)</x:f>
        <x:v>1560</x:v>
      </x:c>
      <x:c r="H366" s="24" t="n">
        <x:f>IFERROR(F366/F365-1,"")</x:f>
        <x:v>0.009975700217419003</x:v>
      </x:c>
      <x:c r="I366" s="26" t="n">
        <x:f>ROUND(D366-E366,1)</x:f>
        <x:v>12900</x:v>
      </x:c>
      <x:c r="J366" s="22" t="str">
        <x:v>LC2610</x:v>
      </x:c>
      <x:c r="K366" s="22" t="n">
        <x:v>5</x:v>
      </x:c>
    </x:row>
    <x:row r="367">
      <x:c r="A367" s="22" t="n">
        <x:v>34</x:v>
      </x:c>
      <x:c r="B367" s="22" t="str">
        <x:v>8月31日-9月4日</x:v>
      </x:c>
      <x:c r="C367" s="23" t="n">
        <x:v>157500</x:v>
      </x:c>
      <x:c r="D367" s="23" t="n">
        <x:v>161280</x:v>
      </x:c>
      <x:c r="E367" s="23" t="n">
        <x:v>140220</x:v>
      </x:c>
      <x:c r="F367" s="23" t="n">
        <x:v>142000</x:v>
      </x:c>
      <x:c r="G367" s="28" t="n">
        <x:f>ROUND(F367-F366,1)</x:f>
        <x:v>-15940</x:v>
      </x:c>
      <x:c r="H367" s="24" t="n">
        <x:f>IFERROR(F367/F366-1,"")</x:f>
        <x:v>-0.10092440167152084</x:v>
      </x:c>
      <x:c r="I367" s="26" t="n">
        <x:f>ROUND(D367-E367,1)</x:f>
        <x:v>21060</x:v>
      </x:c>
      <x:c r="J367" s="22" t="str">
        <x:v>LC2610</x:v>
      </x:c>
      <x:c r="K367" s="22" t="n">
        <x:v>5</x:v>
      </x:c>
    </x:row>
    <x:row r="368">
      <x:c r="A368" s="22" t="n">
        <x:v>35</x:v>
      </x:c>
      <x:c r="B368" s="22" t="str">
        <x:v>9月7日-9月11日</x:v>
      </x:c>
      <x:c r="C368" s="23" t="n">
        <x:v>141000</x:v>
      </x:c>
      <x:c r="D368" s="23" t="n">
        <x:v>143540</x:v>
      </x:c>
      <x:c r="E368" s="23" t="n">
        <x:v>127120</x:v>
      </x:c>
      <x:c r="F368" s="23" t="n">
        <x:v>134340</x:v>
      </x:c>
      <x:c r="G368" s="28" t="n">
        <x:f>ROUND(F368-F367,1)</x:f>
        <x:v>-7660</x:v>
      </x:c>
      <x:c r="H368" s="24" t="n">
        <x:f>IFERROR(F368/F367-1,"")</x:f>
        <x:v>-0.05394366197183098</x:v>
      </x:c>
      <x:c r="I368" s="26" t="n">
        <x:f>ROUND(D368-E368,1)</x:f>
        <x:v>16420</x:v>
      </x:c>
      <x:c r="J368" s="22" t="str">
        <x:v>LC2610</x:v>
      </x:c>
      <x:c r="K368" s="22" t="n">
        <x:v>5</x:v>
      </x:c>
    </x:row>
    <x:row r="369">
      <x:c r="A369" s="22" t="n">
        <x:v>36</x:v>
      </x:c>
      <x:c r="B369" s="22" t="str">
        <x:v>9月14日-9月18日</x:v>
      </x:c>
      <x:c r="C369" s="23" t="n">
        <x:v>133600</x:v>
      </x:c>
      <x:c r="D369" s="23" t="n">
        <x:v>135900</x:v>
      </x:c>
      <x:c r="E369" s="23" t="n">
        <x:v>126200</x:v>
      </x:c>
      <x:c r="F369" s="23" t="n">
        <x:v>128580</x:v>
      </x:c>
      <x:c r="G369" s="28" t="n">
        <x:f>ROUND(F369-F368,1)</x:f>
        <x:v>-5760</x:v>
      </x:c>
      <x:c r="H369" s="24" t="n">
        <x:f>IFERROR(F369/F368-1,"")</x:f>
        <x:v>-0.04287628405538191</x:v>
      </x:c>
      <x:c r="I369" s="26" t="n">
        <x:f>ROUND(D369-E369,1)</x:f>
        <x:v>9700</x:v>
      </x:c>
      <x:c r="J369" s="22" t="str">
        <x:v>LC2610</x:v>
      </x:c>
      <x:c r="K369" s="22" t="n">
        <x:v>5</x:v>
      </x:c>
    </x:row>
    <x:row r="370">
      <x:c r="A370" s="22" t="n">
        <x:v>37</x:v>
      </x:c>
      <x:c r="B370" s="22" t="str">
        <x:v>9月21日-9月24日</x:v>
      </x:c>
      <x:c r="C370" s="23" t="n">
        <x:v>128500</x:v>
      </x:c>
      <x:c r="D370" s="23" t="n">
        <x:v>136560</x:v>
      </x:c>
      <x:c r="E370" s="23" t="n">
        <x:v>125000</x:v>
      </x:c>
      <x:c r="F370" s="23" t="n">
        <x:v>125980</x:v>
      </x:c>
      <x:c r="G370" s="28" t="n">
        <x:f>ROUND(F370-F369,1)</x:f>
        <x:v>-2600</x:v>
      </x:c>
      <x:c r="H370" s="24" t="n">
        <x:f>IFERROR(F370/F369-1,"")</x:f>
        <x:v>-0.02022087416394458</x:v>
      </x:c>
      <x:c r="I370" s="26" t="n">
        <x:f>ROUND(D370-E370,1)</x:f>
        <x:v>11560</x:v>
      </x:c>
      <x:c r="J370" s="22" t="str">
        <x:v>LC2610</x:v>
      </x:c>
      <x:c r="K370" s="22" t="n">
        <x:v>4</x:v>
      </x:c>
    </x:row>
    <x:row r="371">
      <x:c r="A371" s="22" t="n">
        <x:v>38</x:v>
      </x:c>
      <x:c r="B371" s="22" t="str">
        <x:v>9月28日-9月30日</x:v>
      </x:c>
      <x:c r="C371" s="23" t="n">
        <x:v>124280</x:v>
      </x:c>
      <x:c r="D371" s="23" t="n">
        <x:v>124660</x:v>
      </x:c>
      <x:c r="E371" s="23" t="n">
        <x:v>118100</x:v>
      </x:c>
      <x:c r="F371" s="23" t="n">
        <x:v>119780</x:v>
      </x:c>
      <x:c r="G371" s="28" t="n">
        <x:f>ROUND(F371-F370,1)</x:f>
        <x:v>-6200</x:v>
      </x:c>
      <x:c r="H371" s="24" t="n">
        <x:f>IFERROR(F371/F370-1,"")</x:f>
        <x:v>-0.049214160977932964</x:v>
      </x:c>
      <x:c r="I371" s="26" t="n">
        <x:f>ROUND(D371-E371,1)</x:f>
        <x:v>6560</x:v>
      </x:c>
      <x:c r="J371" s="22" t="str">
        <x:v>LC2610</x:v>
      </x:c>
      <x:c r="K371" s="22" t="n">
        <x:v>3</x:v>
      </x:c>
    </x:row>
    <x:row r="372">
      <x:c r="A372" s="22" t="n">
        <x:v>39</x:v>
      </x:c>
      <x:c r="B372" s="22" t="str">
        <x:v>10月8日-10月9日</x:v>
      </x:c>
      <x:c r="C372" s="23" t="n">
        <x:v>120020</x:v>
      </x:c>
      <x:c r="D372" s="23" t="n">
        <x:v>126800</x:v>
      </x:c>
      <x:c r="E372" s="23" t="n">
        <x:v>119000</x:v>
      </x:c>
      <x:c r="F372" s="23" t="n">
        <x:v>121000</x:v>
      </x:c>
      <x:c r="G372" s="28" t="n">
        <x:f>ROUND(F372-F371,1)</x:f>
        <x:v>1220</x:v>
      </x:c>
      <x:c r="H372" s="24" t="n">
        <x:f>IFERROR(F372/F371-1,"")</x:f>
        <x:v>0.010185339789614334</x:v>
      </x:c>
      <x:c r="I372" s="26" t="n">
        <x:f>ROUND(D372-E372,1)</x:f>
        <x:v>7800</x:v>
      </x:c>
      <x:c r="J372" s="22" t="str">
        <x:v>LC2610</x:v>
      </x:c>
      <x:c r="K372" s="22" t="n">
        <x:v>2</x:v>
      </x:c>
    </x:row>
    <x:row r="373">
      <x:c r="A373" s="22" t="n">
        <x:v>40</x:v>
      </x:c>
      <x:c r="B373" s="22" t="str">
        <x:v>10月12日-10月16日</x:v>
      </x:c>
      <x:c r="C373" s="23" t="n">
        <x:v>125960</x:v>
      </x:c>
      <x:c r="D373" s="23" t="n">
        <x:v>125960</x:v>
      </x:c>
      <x:c r="E373" s="23" t="n">
        <x:v>99500</x:v>
      </x:c>
      <x:c r="F373" s="23" t="n">
        <x:v>99500</x:v>
      </x:c>
      <x:c r="G373" s="28" t="n">
        <x:f>ROUND(F373-F372,1)</x:f>
        <x:v>-21500</x:v>
      </x:c>
      <x:c r="H373" s="24" t="n">
        <x:f>IFERROR(F373/F372-1,"")</x:f>
        <x:v>-0.1776859504132231</x:v>
      </x:c>
      <x:c r="I373" s="26" t="n">
        <x:f>ROUND(D373-E373,1)</x:f>
        <x:v>26460</x:v>
      </x:c>
      <x:c r="J373" s="22" t="str">
        <x:v>LC2610</x:v>
      </x:c>
      <x:c r="K373" s="22" t="n">
        <x:v>5</x:v>
      </x:c>
    </x:row>
    <x:row r="374">
      <x:c r="A374" s="22" t="n">
        <x:v>41</x:v>
      </x:c>
      <x:c r="B374" s="22" t="str">
        <x:v>10月19日-10月21日</x:v>
      </x:c>
      <x:c r="C374" s="23" t="n">
        <x:v>99600</x:v>
      </x:c>
      <x:c r="D374" s="23" t="n">
        <x:v>103420</x:v>
      </x:c>
      <x:c r="E374" s="23" t="n">
        <x:v>98000</x:v>
      </x:c>
      <x:c r="F374" s="23" t="n">
        <x:v>98540</x:v>
      </x:c>
      <x:c r="G374" s="28" t="n">
        <x:f>ROUND(F374-F373,1)</x:f>
        <x:v>-960</x:v>
      </x:c>
      <x:c r="H374" s="24" t="n">
        <x:f>IFERROR(F374/F373-1,"")</x:f>
        <x:v>-0.00964824120603014</x:v>
      </x:c>
      <x:c r="I374" s="23" t="n">
        <x:f>ROUND(D374-E374,1)</x:f>
        <x:v>5420</x:v>
      </x:c>
      <x:c r="J374" s="22" t="str">
        <x:v>LC2610</x:v>
      </x:c>
      <x:c r="K374" s="22" t="n">
        <x:v>3</x:v>
      </x:c>
    </x:row>
    <x:row r="375">
      <x:c r="A375" s="31" t="str">
        <x:v>合计</x:v>
      </x:c>
      <x:c r="B375" s="30" t="n">
        <x:v>41</x:v>
      </x:c>
      <x:c r="C375" s="30"/>
      <x:c r="D375" s="30"/>
      <x:c r="E375" s="30"/>
      <x:c r="F375" s="30"/>
      <x:c r="G375" s="30"/>
      <x:c r="H375" s="30"/>
      <x:c r="I375" s="32" t="n">
        <x:f>ROUND(SUM(I334:I374),1)</x:f>
        <x:v>799200</x:v>
      </x:c>
      <x:c r="J375" s="30"/>
      <x:c r="K375" s="30"/>
    </x:row>
    <x:row r="376">
      <x:c r="A376" s="31" t="str">
        <x:v>均值</x:v>
      </x:c>
      <x:c r="B376" s="30"/>
      <x:c r="C376" s="30"/>
      <x:c r="D376" s="30"/>
      <x:c r="E376" s="30"/>
      <x:c r="F376" s="30"/>
      <x:c r="G376" s="30"/>
      <x:c r="H376" s="30"/>
      <x:c r="I376" s="34" t="n">
        <x:f>ROUND(IFERROR(AVERAGE(I334:I374),0),1)</x:f>
        <x:v>19492.7</x:v>
      </x:c>
      <x:c r="J376" s="30"/>
      <x:c r="K376" s="30"/>
    </x:row>
  </x:sheetData>
  <x:mergeCells>
    <x:mergeCell ref="A1:K1"/>
    <x:mergeCell ref="A3:K3"/>
    <x:mergeCell ref="A50:K50"/>
    <x:mergeCell ref="A97:K97"/>
    <x:mergeCell ref="A144:K144"/>
    <x:mergeCell ref="A191:K191"/>
    <x:mergeCell ref="A238:K238"/>
    <x:mergeCell ref="A285:K285"/>
    <x:mergeCell ref="A332:K33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6678.64</x:v>
      </x:c>
      <x:c r="E239" s="23" t="n">
        <x:v>6817.38</x:v>
      </x:c>
      <x:c r="F239" s="23" t="n">
        <x:v>6642.3</x:v>
      </x:c>
      <x:c r="G239" s="23" t="n">
        <x:v>6766.9</x:v>
      </x:c>
      <x:c r="H239" s="23" t="n">
        <x:v>68.6</x:v>
      </x:c>
      <x:c r="I239" s="24" t="n">
        <x:v>0.01024140453547906</x:v>
      </x:c>
      <x:c r="J239" s="23" t="n">
        <x:f>ROUND(E239-F239,1)</x:f>
        <x:v>175.1</x:v>
      </x:c>
      <x:c r="K239" s="22" t="str">
        <x:v>中证1000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6798.97</x:v>
      </x:c>
      <x:c r="E240" s="23" t="n">
        <x:v>6880.55</x:v>
      </x:c>
      <x:c r="F240" s="23" t="n">
        <x:v>6763.45</x:v>
      </x:c>
      <x:c r="G240" s="23" t="n">
        <x:v>6780.26</x:v>
      </x:c>
      <x:c r="H240" s="23" t="n">
        <x:v>13.4</x:v>
      </x:c>
      <x:c r="I240" s="24" t="n">
        <x:v>0.0019743161565857203</x:v>
      </x:c>
      <x:c r="J240" s="23" t="n">
        <x:f>ROUND(E240-F240,1)</x:f>
        <x:v>117.1</x:v>
      </x:c>
      <x:c r="K240" s="22" t="str">
        <x:v>中证1000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6782.28</x:v>
      </x:c>
      <x:c r="E241" s="23" t="n">
        <x:v>6782.9</x:v>
      </x:c>
      <x:c r="F241" s="23" t="n">
        <x:v>6578.27</x:v>
      </x:c>
      <x:c r="G241" s="23" t="n">
        <x:v>6578.27</x:v>
      </x:c>
      <x:c r="H241" s="28" t="n">
        <x:v>-202</x:v>
      </x:c>
      <x:c r="I241" s="24" t="n">
        <x:v>-0.029790892974605687</x:v>
      </x:c>
      <x:c r="J241" s="26" t="n">
        <x:f>ROUND(E241-F241,1)</x:f>
        <x:v>204.6</x:v>
      </x:c>
      <x:c r="K241" s="22" t="str">
        <x:v>中证1000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6480.18</x:v>
      </x:c>
      <x:c r="E242" s="23" t="n">
        <x:v>6753.34</x:v>
      </x:c>
      <x:c r="F242" s="23" t="n">
        <x:v>6301.81</x:v>
      </x:c>
      <x:c r="G242" s="23" t="n">
        <x:v>6734.55</x:v>
      </x:c>
      <x:c r="H242" s="28" t="n">
        <x:v>156.3</x:v>
      </x:c>
      <x:c r="I242" s="24" t="n">
        <x:v>0.0237570060213399</x:v>
      </x:c>
      <x:c r="J242" s="26" t="n">
        <x:f>ROUND(E242-F242,1)</x:f>
        <x:v>451.5</x:v>
      </x:c>
      <x:c r="K242" s="22" t="str">
        <x:v>中证1000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6684.93</x:v>
      </x:c>
      <x:c r="E243" s="23" t="n">
        <x:v>6704.68</x:v>
      </x:c>
      <x:c r="F243" s="23" t="n">
        <x:v>6589.13</x:v>
      </x:c>
      <x:c r="G243" s="23" t="n">
        <x:v>6630.78</x:v>
      </x:c>
      <x:c r="H243" s="23" t="n">
        <x:v>-103.8</x:v>
      </x:c>
      <x:c r="I243" s="24" t="n">
        <x:v>-0.015408601911040876</x:v>
      </x:c>
      <x:c r="J243" s="23" t="n">
        <x:f>ROUND(E243-F243,1)</x:f>
        <x:v>115.6</x:v>
      </x:c>
      <x:c r="K243" s="22" t="str">
        <x:v>中证1000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6664.61</x:v>
      </x:c>
      <x:c r="E244" s="23" t="n">
        <x:v>6717.99</x:v>
      </x:c>
      <x:c r="F244" s="23" t="n">
        <x:v>6427.17</x:v>
      </x:c>
      <x:c r="G244" s="23" t="n">
        <x:v>6427.17</x:v>
      </x:c>
      <x:c r="H244" s="28" t="n">
        <x:v>-203.6</x:v>
      </x:c>
      <x:c r="I244" s="24" t="n">
        <x:v>-0.030706794675739446</x:v>
      </x:c>
      <x:c r="J244" s="26" t="n">
        <x:f>ROUND(E244-F244,1)</x:f>
        <x:v>290.8</x:v>
      </x:c>
      <x:c r="K244" s="22" t="str">
        <x:v>中证1000</x:v>
      </x:c>
    </x:row>
    <x:row r="245">
      <x:c r="A245" s="31" t="str">
        <x:v>合计</x:v>
      </x:c>
      <x:c r="B245" s="30" t="n">
        <x:v>14</x:v>
      </x:c>
      <x:c r="C245" s="30"/>
      <x:c r="D245" s="30"/>
      <x:c r="E245" s="30"/>
      <x:c r="F245" s="30"/>
      <x:c r="G245" s="30"/>
      <x:c r="H245" s="30"/>
      <x:c r="I245" s="30"/>
      <x:c r="J245" s="32" t="n">
        <x:f>ROUND(SUM(J231:J244),1)</x:f>
        <x:v>2977.2</x:v>
      </x:c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0"/>
      <x:c r="J246" s="34" t="n">
        <x:f>ROUND(IFERROR(AVERAGE(J231:J244),0),1)</x:f>
        <x:v>212.7</x:v>
      </x:c>
      <x:c r="K24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6773.45</x:v>
      </x:c>
      <x:c r="E239" s="23" t="n">
        <x:v>6902.09</x:v>
      </x:c>
      <x:c r="F239" s="23" t="n">
        <x:v>6745.14</x:v>
      </x:c>
      <x:c r="G239" s="23" t="n">
        <x:v>6841.44</x:v>
      </x:c>
      <x:c r="H239" s="23" t="n">
        <x:v>40.8</x:v>
      </x:c>
      <x:c r="I239" s="24" t="n">
        <x:v>0.005996476812544671</x:v>
      </x:c>
      <x:c r="J239" s="23" t="n">
        <x:f>ROUND(E239-F239,1)</x:f>
        <x:v>156.9</x:v>
      </x:c>
      <x:c r="K239" s="22" t="str">
        <x:v>中证500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6875.71</x:v>
      </x:c>
      <x:c r="E240" s="23" t="n">
        <x:v>6941.51</x:v>
      </x:c>
      <x:c r="F240" s="23" t="n">
        <x:v>6821.39</x:v>
      </x:c>
      <x:c r="G240" s="23" t="n">
        <x:v>6840.56</x:v>
      </x:c>
      <x:c r="H240" s="23" t="n">
        <x:v>-0.9</x:v>
      </x:c>
      <x:c r="I240" s="24" t="n">
        <x:v>-0.00012862789120404727</x:v>
      </x:c>
      <x:c r="J240" s="23" t="n">
        <x:f>ROUND(E240-F240,1)</x:f>
        <x:v>120.1</x:v>
      </x:c>
      <x:c r="K240" s="22" t="str">
        <x:v>中证500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6841.53</x:v>
      </x:c>
      <x:c r="E241" s="23" t="n">
        <x:v>6842.87</x:v>
      </x:c>
      <x:c r="F241" s="23" t="n">
        <x:v>6652.78</x:v>
      </x:c>
      <x:c r="G241" s="23" t="n">
        <x:v>6655.25</x:v>
      </x:c>
      <x:c r="H241" s="28" t="n">
        <x:v>-185.3</x:v>
      </x:c>
      <x:c r="I241" s="24" t="n">
        <x:v>-0.02708988737764162</x:v>
      </x:c>
      <x:c r="J241" s="26" t="n">
        <x:f>ROUND(E241-F241,1)</x:f>
        <x:v>190.1</x:v>
      </x:c>
      <x:c r="K241" s="22" t="str">
        <x:v>中证500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6559.61</x:v>
      </x:c>
      <x:c r="E242" s="23" t="n">
        <x:v>6835.39</x:v>
      </x:c>
      <x:c r="F242" s="23" t="n">
        <x:v>6440.29</x:v>
      </x:c>
      <x:c r="G242" s="23" t="n">
        <x:v>6814.44</x:v>
      </x:c>
      <x:c r="H242" s="28" t="n">
        <x:v>159.2</x:v>
      </x:c>
      <x:c r="I242" s="24" t="n">
        <x:v>0.023919462078809905</x:v>
      </x:c>
      <x:c r="J242" s="26" t="n">
        <x:f>ROUND(E242-F242,1)</x:f>
        <x:v>395.1</x:v>
      </x:c>
      <x:c r="K242" s="22" t="str">
        <x:v>中证500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6756.46</x:v>
      </x:c>
      <x:c r="E243" s="23" t="n">
        <x:v>6787.32</x:v>
      </x:c>
      <x:c r="F243" s="23" t="n">
        <x:v>6674.4</x:v>
      </x:c>
      <x:c r="G243" s="23" t="n">
        <x:v>6712.73</x:v>
      </x:c>
      <x:c r="H243" s="23" t="n">
        <x:v>-101.7</x:v>
      </x:c>
      <x:c r="I243" s="24" t="n">
        <x:v>-0.0149256578677045</x:v>
      </x:c>
      <x:c r="J243" s="23" t="n">
        <x:f>ROUND(E243-F243,1)</x:f>
        <x:v>112.9</x:v>
      </x:c>
      <x:c r="K243" s="22" t="str">
        <x:v>中证500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6745.72</x:v>
      </x:c>
      <x:c r="E244" s="23" t="n">
        <x:v>6784.25</x:v>
      </x:c>
      <x:c r="F244" s="23" t="n">
        <x:v>6511.37</x:v>
      </x:c>
      <x:c r="G244" s="23" t="n">
        <x:v>6511.42</x:v>
      </x:c>
      <x:c r="H244" s="28" t="n">
        <x:v>-201.3</x:v>
      </x:c>
      <x:c r="I244" s="24" t="n">
        <x:v>-0.029989289007601894</x:v>
      </x:c>
      <x:c r="J244" s="26" t="n">
        <x:f>ROUND(E244-F244,1)</x:f>
        <x:v>272.9</x:v>
      </x:c>
      <x:c r="K244" s="22" t="str">
        <x:v>中证500</x:v>
      </x:c>
    </x:row>
    <x:row r="245">
      <x:c r="A245" s="31" t="str">
        <x:v>合计</x:v>
      </x:c>
      <x:c r="B245" s="30" t="n">
        <x:v>14</x:v>
      </x:c>
      <x:c r="C245" s="30"/>
      <x:c r="D245" s="30"/>
      <x:c r="E245" s="30"/>
      <x:c r="F245" s="30"/>
      <x:c r="G245" s="30"/>
      <x:c r="H245" s="30"/>
      <x:c r="I245" s="30"/>
      <x:c r="J245" s="32" t="n">
        <x:f>ROUND(SUM(J231:J244),1)</x:f>
        <x:v>2770.4</x:v>
      </x:c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0"/>
      <x:c r="J246" s="34" t="n">
        <x:f>ROUND(IFERROR(AVERAGE(J231:J244),0),1)</x:f>
        <x:v>197.9</x:v>
      </x:c>
      <x:c r="K24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3718.44</x:v>
      </x:c>
      <x:c r="E239" s="23" t="n">
        <x:v>3740.07</x:v>
      </x:c>
      <x:c r="F239" s="23" t="n">
        <x:v>3702.44</x:v>
      </x:c>
      <x:c r="G239" s="23" t="n">
        <x:v>3735.37</x:v>
      </x:c>
      <x:c r="H239" s="23" t="n">
        <x:v>4.4</x:v>
      </x:c>
      <x:c r="I239" s="24" t="n">
        <x:v>0.0011927353038927446</x:v>
      </x:c>
      <x:c r="J239" s="23" t="n">
        <x:f>ROUND(E239-F239,1)</x:f>
        <x:v>37.6</x:v>
      </x:c>
      <x:c r="K239" s="22" t="str">
        <x:v>上证指数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3740.57</x:v>
      </x:c>
      <x:c r="E240" s="23" t="n">
        <x:v>3743.08</x:v>
      </x:c>
      <x:c r="F240" s="23" t="n">
        <x:v>3703.12</x:v>
      </x:c>
      <x:c r="G240" s="23" t="n">
        <x:v>3713.03</x:v>
      </x:c>
      <x:c r="H240" s="23" t="n">
        <x:v>-22.3</x:v>
      </x:c>
      <x:c r="I240" s="24" t="n">
        <x:v>-0.00598066590458235</x:v>
      </x:c>
      <x:c r="J240" s="23" t="n">
        <x:f>ROUND(E240-F240,1)</x:f>
        <x:v>40</x:v>
      </x:c>
      <x:c r="K240" s="22" t="str">
        <x:v>上证指数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3714.48</x:v>
      </x:c>
      <x:c r="E241" s="23" t="n">
        <x:v>3714.48</x:v>
      </x:c>
      <x:c r="F241" s="23" t="n">
        <x:v>3649.86</x:v>
      </x:c>
      <x:c r="G241" s="23" t="n">
        <x:v>3658.03</x:v>
      </x:c>
      <x:c r="H241" s="23" t="n">
        <x:v>-55</x:v>
      </x:c>
      <x:c r="I241" s="24" t="n">
        <x:v>-0.014812700139777979</x:v>
      </x:c>
      <x:c r="J241" s="26" t="n">
        <x:f>ROUND(E241-F241,1)</x:f>
        <x:v>64.6</x:v>
      </x:c>
      <x:c r="K241" s="22" t="str">
        <x:v>上证指数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3623.57</x:v>
      </x:c>
      <x:c r="E242" s="23" t="n">
        <x:v>3691.4</x:v>
      </x:c>
      <x:c r="F242" s="23" t="n">
        <x:v>3574.27</x:v>
      </x:c>
      <x:c r="G242" s="23" t="n">
        <x:v>3690.48</x:v>
      </x:c>
      <x:c r="H242" s="23" t="n">
        <x:v>32.4</x:v>
      </x:c>
      <x:c r="I242" s="24" t="n">
        <x:v>0.008870894989926326</x:v>
      </x:c>
      <x:c r="J242" s="26" t="n">
        <x:f>ROUND(E242-F242,1)</x:f>
        <x:v>117.1</x:v>
      </x:c>
      <x:c r="K242" s="22" t="str">
        <x:v>上证指数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3671</x:v>
      </x:c>
      <x:c r="E243" s="23" t="n">
        <x:v>3699.01</x:v>
      </x:c>
      <x:c r="F243" s="23" t="n">
        <x:v>3664.82</x:v>
      </x:c>
      <x:c r="G243" s="23" t="n">
        <x:v>3697.52</x:v>
      </x:c>
      <x:c r="H243" s="23" t="n">
        <x:v>7</x:v>
      </x:c>
      <x:c r="I243" s="24" t="n">
        <x:v>0.0019076109340789849</x:v>
      </x:c>
      <x:c r="J243" s="23" t="n">
        <x:f>ROUND(E243-F243,1)</x:f>
        <x:v>34.2</x:v>
      </x:c>
      <x:c r="K243" s="22" t="str">
        <x:v>上证指数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3698.44</x:v>
      </x:c>
      <x:c r="E244" s="23" t="n">
        <x:v>3708.2</x:v>
      </x:c>
      <x:c r="F244" s="23" t="n">
        <x:v>3648.3</x:v>
      </x:c>
      <x:c r="G244" s="23" t="n">
        <x:v>3648.3</x:v>
      </x:c>
      <x:c r="H244" s="23" t="n">
        <x:v>-49.2</x:v>
      </x:c>
      <x:c r="I244" s="24" t="n">
        <x:v>-0.01331162508924899</x:v>
      </x:c>
      <x:c r="J244" s="26" t="n">
        <x:f>ROUND(E244-F244,1)</x:f>
        <x:v>59.9</x:v>
      </x:c>
      <x:c r="K244" s="22" t="str">
        <x:v>上证指数</x:v>
      </x:c>
    </x:row>
    <x:row r="245">
      <x:c r="A245" s="31" t="str">
        <x:v>合计</x:v>
      </x:c>
      <x:c r="B245" s="30" t="n">
        <x:v>14</x:v>
      </x:c>
      <x:c r="C245" s="30"/>
      <x:c r="D245" s="30"/>
      <x:c r="E245" s="30"/>
      <x:c r="F245" s="30"/>
      <x:c r="G245" s="30"/>
      <x:c r="H245" s="30"/>
      <x:c r="I245" s="30"/>
      <x:c r="J245" s="32" t="n">
        <x:f>ROUND(SUM(J231:J244),1)</x:f>
        <x:v>831.1</x:v>
      </x:c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0"/>
      <x:c r="J246" s="34" t="n">
        <x:f>ROUND(IFERROR(AVERAGE(J231:J244),0),1)</x:f>
        <x:v>59.4</x:v>
      </x:c>
      <x:c r="K24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6590</x:v>
      </x:c>
      <x:c r="E239" s="23" t="n">
        <x:v>6735.6</x:v>
      </x:c>
      <x:c r="F239" s="23" t="n">
        <x:v>6543</x:v>
      </x:c>
      <x:c r="G239" s="23" t="n">
        <x:v>6663.8</x:v>
      </x:c>
      <x:c r="H239" s="23" t="n">
        <x:v>42</x:v>
      </x:c>
      <x:c r="I239" s="24" t="n">
        <x:v>0.006342686278655307</x:v>
      </x:c>
      <x:c r="J239" s="26" t="n">
        <x:f>ROUND(E239-F239,1)</x:f>
        <x:v>192.6</x:v>
      </x:c>
      <x:c r="K239" s="22" t="str">
        <x:v>IM2612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6722</x:v>
      </x:c>
      <x:c r="E240" s="23" t="n">
        <x:v>6799.6</x:v>
      </x:c>
      <x:c r="F240" s="23" t="n">
        <x:v>6658.2</x:v>
      </x:c>
      <x:c r="G240" s="23" t="n">
        <x:v>6659.2</x:v>
      </x:c>
      <x:c r="H240" s="23" t="n">
        <x:v>-4.6</x:v>
      </x:c>
      <x:c r="I240" s="24" t="n">
        <x:v>-0.0006902968276358834</x:v>
      </x:c>
      <x:c r="J240" s="23" t="n">
        <x:f>ROUND(E240-F240,1)</x:f>
        <x:v>141.4</x:v>
      </x:c>
      <x:c r="K240" s="22" t="str">
        <x:v>IM2612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6670</x:v>
      </x:c>
      <x:c r="E241" s="23" t="n">
        <x:v>6689</x:v>
      </x:c>
      <x:c r="F241" s="23" t="n">
        <x:v>6466.8</x:v>
      </x:c>
      <x:c r="G241" s="23" t="n">
        <x:v>6471.6</x:v>
      </x:c>
      <x:c r="H241" s="28" t="n">
        <x:v>-187.6</x:v>
      </x:c>
      <x:c r="I241" s="24" t="n">
        <x:v>-0.02817155213839495</x:v>
      </x:c>
      <x:c r="J241" s="26" t="n">
        <x:f>ROUND(E241-F241,1)</x:f>
        <x:v>222.2</x:v>
      </x:c>
      <x:c r="K241" s="22" t="str">
        <x:v>IM2612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6420</x:v>
      </x:c>
      <x:c r="E242" s="23" t="n">
        <x:v>6677</x:v>
      </x:c>
      <x:c r="F242" s="23" t="n">
        <x:v>6212.6</x:v>
      </x:c>
      <x:c r="G242" s="23" t="n">
        <x:v>6660</x:v>
      </x:c>
      <x:c r="H242" s="28" t="n">
        <x:v>188.4</x:v>
      </x:c>
      <x:c r="I242" s="24" t="n">
        <x:v>0.029111811607639426</x:v>
      </x:c>
      <x:c r="J242" s="26" t="n">
        <x:f>ROUND(E242-F242,1)</x:f>
        <x:v>464.4</x:v>
      </x:c>
      <x:c r="K242" s="22" t="str">
        <x:v>IM2612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6618</x:v>
      </x:c>
      <x:c r="E243" s="23" t="n">
        <x:v>6630</x:v>
      </x:c>
      <x:c r="F243" s="23" t="n">
        <x:v>6494</x:v>
      </x:c>
      <x:c r="G243" s="23" t="n">
        <x:v>6555.8</x:v>
      </x:c>
      <x:c r="H243" s="23" t="n">
        <x:v>-104.2</x:v>
      </x:c>
      <x:c r="I243" s="24" t="n">
        <x:v>-0.015645645645645634</x:v>
      </x:c>
      <x:c r="J243" s="23" t="n">
        <x:f>ROUND(E243-F243,1)</x:f>
        <x:v>136</x:v>
      </x:c>
      <x:c r="K243" s="22" t="str">
        <x:v>IM2612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6622.4</x:v>
      </x:c>
      <x:c r="E244" s="23" t="n">
        <x:v>6670.8</x:v>
      </x:c>
      <x:c r="F244" s="23" t="n">
        <x:v>6333.2</x:v>
      </x:c>
      <x:c r="G244" s="23" t="n">
        <x:v>6339.2</x:v>
      </x:c>
      <x:c r="H244" s="28" t="n">
        <x:v>-216.6</x:v>
      </x:c>
      <x:c r="I244" s="24" t="n">
        <x:v>-0.0330394459867599</x:v>
      </x:c>
      <x:c r="J244" s="26" t="n">
        <x:f>ROUND(E244-F244,1)</x:f>
        <x:v>337.6</x:v>
      </x:c>
      <x:c r="K244" s="22" t="str">
        <x:v>IM2612</x:v>
      </x:c>
    </x:row>
    <x:row r="245">
      <x:c r="A245" s="31" t="str">
        <x:v>合计</x:v>
      </x:c>
      <x:c r="B245" s="30" t="n">
        <x:v>14</x:v>
      </x:c>
      <x:c r="C245" s="30"/>
      <x:c r="D245" s="30"/>
      <x:c r="E245" s="30"/>
      <x:c r="F245" s="30"/>
      <x:c r="G245" s="30"/>
      <x:c r="H245" s="30"/>
      <x:c r="I245" s="30"/>
      <x:c r="J245" s="32" t="n">
        <x:f>ROUND(SUM(J231:J244),1)</x:f>
        <x:v>3205.6</x:v>
      </x:c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0"/>
      <x:c r="J246" s="34" t="n">
        <x:f>ROUND(IFERROR(AVERAGE(J231:J244),0),1)</x:f>
        <x:v>229</x:v>
      </x:c>
      <x:c r="K24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6666</x:v>
      </x:c>
      <x:c r="E239" s="23" t="n">
        <x:v>6828</x:v>
      </x:c>
      <x:c r="F239" s="23" t="n">
        <x:v>6645</x:v>
      </x:c>
      <x:c r="G239" s="23" t="n">
        <x:v>6737.8</x:v>
      </x:c>
      <x:c r="H239" s="23" t="n">
        <x:v>18</x:v>
      </x:c>
      <x:c r="I239" s="24" t="n">
        <x:v>0.0026786511503318344</x:v>
      </x:c>
      <x:c r="J239" s="26" t="n">
        <x:f>ROUND(E239-F239,1)</x:f>
        <x:v>183</x:v>
      </x:c>
      <x:c r="K239" s="22" t="str">
        <x:v>IC2612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6800</x:v>
      </x:c>
      <x:c r="E240" s="23" t="n">
        <x:v>6864</x:v>
      </x:c>
      <x:c r="F240" s="23" t="n">
        <x:v>6726</x:v>
      </x:c>
      <x:c r="G240" s="23" t="n">
        <x:v>6735</x:v>
      </x:c>
      <x:c r="H240" s="23" t="n">
        <x:v>-2.8</x:v>
      </x:c>
      <x:c r="I240" s="24" t="n">
        <x:v>-0.0004155659117219823</x:v>
      </x:c>
      <x:c r="J240" s="23" t="n">
        <x:f>ROUND(E240-F240,1)</x:f>
        <x:v>138</x:v>
      </x:c>
      <x:c r="K240" s="22" t="str">
        <x:v>IC2612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6741.8</x:v>
      </x:c>
      <x:c r="E241" s="23" t="n">
        <x:v>6753.6</x:v>
      </x:c>
      <x:c r="F241" s="23" t="n">
        <x:v>6543</x:v>
      </x:c>
      <x:c r="G241" s="23" t="n">
        <x:v>6543</x:v>
      </x:c>
      <x:c r="H241" s="28" t="n">
        <x:v>-192</x:v>
      </x:c>
      <x:c r="I241" s="24" t="n">
        <x:v>-0.02850779510022272</x:v>
      </x:c>
      <x:c r="J241" s="26" t="n">
        <x:f>ROUND(E241-F241,1)</x:f>
        <x:v>210.6</x:v>
      </x:c>
      <x:c r="K241" s="22" t="str">
        <x:v>IC2612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6500</x:v>
      </x:c>
      <x:c r="E242" s="23" t="n">
        <x:v>6766.6</x:v>
      </x:c>
      <x:c r="F242" s="23" t="n">
        <x:v>6340</x:v>
      </x:c>
      <x:c r="G242" s="23" t="n">
        <x:v>6742</x:v>
      </x:c>
      <x:c r="H242" s="28" t="n">
        <x:v>199</x:v>
      </x:c>
      <x:c r="I242" s="24" t="n">
        <x:v>0.03041418309643884</x:v>
      </x:c>
      <x:c r="J242" s="26" t="n">
        <x:f>ROUND(E242-F242,1)</x:f>
        <x:v>426.6</x:v>
      </x:c>
      <x:c r="K242" s="22" t="str">
        <x:v>IC2612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6700</x:v>
      </x:c>
      <x:c r="E243" s="23" t="n">
        <x:v>6711.4</x:v>
      </x:c>
      <x:c r="F243" s="23" t="n">
        <x:v>6573.6</x:v>
      </x:c>
      <x:c r="G243" s="23" t="n">
        <x:v>6637</x:v>
      </x:c>
      <x:c r="H243" s="23" t="n">
        <x:v>-105</x:v>
      </x:c>
      <x:c r="I243" s="24" t="n">
        <x:v>-0.015574013645802465</x:v>
      </x:c>
      <x:c r="J243" s="23" t="n">
        <x:f>ROUND(E243-F243,1)</x:f>
        <x:v>137.8</x:v>
      </x:c>
      <x:c r="K243" s="22" t="str">
        <x:v>IC2612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6700</x:v>
      </x:c>
      <x:c r="E244" s="23" t="n">
        <x:v>6732.2</x:v>
      </x:c>
      <x:c r="F244" s="23" t="n">
        <x:v>6405.6</x:v>
      </x:c>
      <x:c r="G244" s="23" t="n">
        <x:v>6407.6</x:v>
      </x:c>
      <x:c r="H244" s="28" t="n">
        <x:v>-229.4</x:v>
      </x:c>
      <x:c r="I244" s="24" t="n">
        <x:v>-0.03456380894982669</x:v>
      </x:c>
      <x:c r="J244" s="26" t="n">
        <x:f>ROUND(E244-F244,1)</x:f>
        <x:v>326.6</x:v>
      </x:c>
      <x:c r="K244" s="22" t="str">
        <x:v>IC2612</x:v>
      </x:c>
    </x:row>
    <x:row r="245">
      <x:c r="A245" s="31" t="str">
        <x:v>合计</x:v>
      </x:c>
      <x:c r="B245" s="30" t="n">
        <x:v>14</x:v>
      </x:c>
      <x:c r="C245" s="30"/>
      <x:c r="D245" s="30"/>
      <x:c r="E245" s="30"/>
      <x:c r="F245" s="30"/>
      <x:c r="G245" s="30"/>
      <x:c r="H245" s="30"/>
      <x:c r="I245" s="30"/>
      <x:c r="J245" s="32" t="n">
        <x:f>ROUND(SUM(J231:J244),1)</x:f>
        <x:v>3095</x:v>
      </x:c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0"/>
      <x:c r="J246" s="34" t="n">
        <x:f>ROUND(IFERROR(AVERAGE(J231:J244),0),1)</x:f>
        <x:v>221.1</x:v>
      </x:c>
      <x:c r="K24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4104</x:v>
      </x:c>
      <x:c r="E239" s="23" t="n">
        <x:v>4123.2</x:v>
      </x:c>
      <x:c r="F239" s="23" t="n">
        <x:v>4049</x:v>
      </x:c>
      <x:c r="G239" s="23" t="n">
        <x:v>4082.8</x:v>
      </x:c>
      <x:c r="H239" s="23" t="n">
        <x:v>-27.6</x:v>
      </x:c>
      <x:c r="I239" s="24" t="n">
        <x:v>-0.006714674970805579</x:v>
      </x:c>
      <x:c r="J239" s="23" t="n">
        <x:f>ROUND(E239-F239,1)</x:f>
        <x:v>74.2</x:v>
      </x:c>
      <x:c r="K239" s="22" t="str">
        <x:v>IF2612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4100</x:v>
      </x:c>
      <x:c r="E240" s="23" t="n">
        <x:v>4107</x:v>
      </x:c>
      <x:c r="F240" s="23" t="n">
        <x:v>4038</x:v>
      </x:c>
      <x:c r="G240" s="23" t="n">
        <x:v>4047.6</x:v>
      </x:c>
      <x:c r="H240" s="23" t="n">
        <x:v>-35.2</x:v>
      </x:c>
      <x:c r="I240" s="24" t="n">
        <x:v>-0.00862153424120704</x:v>
      </x:c>
      <x:c r="J240" s="23" t="n">
        <x:f>ROUND(E240-F240,1)</x:f>
        <x:v>69</x:v>
      </x:c>
      <x:c r="K240" s="22" t="str">
        <x:v>IF2612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4060</x:v>
      </x:c>
      <x:c r="E241" s="23" t="n">
        <x:v>4060</x:v>
      </x:c>
      <x:c r="F241" s="23" t="n">
        <x:v>3959</x:v>
      </x:c>
      <x:c r="G241" s="23" t="n">
        <x:v>3970</x:v>
      </x:c>
      <x:c r="H241" s="23" t="n">
        <x:v>-77.6</x:v>
      </x:c>
      <x:c r="I241" s="24" t="n">
        <x:v>-0.019171854926376075</x:v>
      </x:c>
      <x:c r="J241" s="26" t="n">
        <x:f>ROUND(E241-F241,1)</x:f>
        <x:v>101</x:v>
      </x:c>
      <x:c r="K241" s="22" t="str">
        <x:v>IF2612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3941.8</x:v>
      </x:c>
      <x:c r="E242" s="23" t="n">
        <x:v>4063</x:v>
      </x:c>
      <x:c r="F242" s="23" t="n">
        <x:v>3897.6</x:v>
      </x:c>
      <x:c r="G242" s="23" t="n">
        <x:v>4055</x:v>
      </x:c>
      <x:c r="H242" s="23" t="n">
        <x:v>85</x:v>
      </x:c>
      <x:c r="I242" s="24" t="n">
        <x:v>0.021410579345088054</x:v>
      </x:c>
      <x:c r="J242" s="26" t="n">
        <x:f>ROUND(E242-F242,1)</x:f>
        <x:v>165.4</x:v>
      </x:c>
      <x:c r="K242" s="22" t="str">
        <x:v>IF2612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4034</x:v>
      </x:c>
      <x:c r="E243" s="23" t="n">
        <x:v>4049.8</x:v>
      </x:c>
      <x:c r="F243" s="23" t="n">
        <x:v>3996.4</x:v>
      </x:c>
      <x:c r="G243" s="23" t="n">
        <x:v>4049</x:v>
      </x:c>
      <x:c r="H243" s="23" t="n">
        <x:v>-6</x:v>
      </x:c>
      <x:c r="I243" s="24" t="n">
        <x:v>-0.0014796547472256671</x:v>
      </x:c>
      <x:c r="J243" s="23" t="n">
        <x:f>ROUND(E243-F243,1)</x:f>
        <x:v>53.4</x:v>
      </x:c>
      <x:c r="K243" s="22" t="str">
        <x:v>IF2612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4059.6</x:v>
      </x:c>
      <x:c r="E244" s="23" t="n">
        <x:v>4066.6</x:v>
      </x:c>
      <x:c r="F244" s="23" t="n">
        <x:v>3989.8</x:v>
      </x:c>
      <x:c r="G244" s="23" t="n">
        <x:v>3991.2</x:v>
      </x:c>
      <x:c r="H244" s="23" t="n">
        <x:v>-57.8</x:v>
      </x:c>
      <x:c r="I244" s="24" t="n">
        <x:v>-0.014275129661644903</x:v>
      </x:c>
      <x:c r="J244" s="23" t="n">
        <x:f>ROUND(E244-F244,1)</x:f>
        <x:v>76.8</x:v>
      </x:c>
      <x:c r="K244" s="22" t="str">
        <x:v>IF2612</x:v>
      </x:c>
    </x:row>
    <x:row r="245">
      <x:c r="A245" s="31" t="str">
        <x:v>合计</x:v>
      </x:c>
      <x:c r="B245" s="30" t="n">
        <x:v>14</x:v>
      </x:c>
      <x:c r="C245" s="30"/>
      <x:c r="D245" s="30"/>
      <x:c r="E245" s="30"/>
      <x:c r="F245" s="30"/>
      <x:c r="G245" s="30"/>
      <x:c r="H245" s="30"/>
      <x:c r="I245" s="30"/>
      <x:c r="J245" s="32" t="n">
        <x:f>ROUND(SUM(J231:J244),1)</x:f>
        <x:v>1200.8</x:v>
      </x:c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0"/>
      <x:c r="J246" s="34" t="n">
        <x:f>ROUND(IFERROR(AVERAGE(J231:J244),0),1)</x:f>
        <x:v>85.8</x:v>
      </x:c>
      <x:c r="K24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2730.8</x:v>
      </x:c>
      <x:c r="E239" s="23" t="n">
        <x:v>2737.4</x:v>
      </x:c>
      <x:c r="F239" s="23" t="n">
        <x:v>2690.8</x:v>
      </x:c>
      <x:c r="G239" s="23" t="n">
        <x:v>2717.6</x:v>
      </x:c>
      <x:c r="H239" s="23" t="n">
        <x:v>-19.6</x:v>
      </x:c>
      <x:c r="I239" s="24" t="n">
        <x:v>-0.007160602075113265</x:v>
      </x:c>
      <x:c r="J239" s="23" t="n">
        <x:f>ROUND(E239-F239,1)</x:f>
        <x:v>46.6</x:v>
      </x:c>
      <x:c r="K239" s="22" t="str">
        <x:v>IH2612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2730</x:v>
      </x:c>
      <x:c r="E240" s="23" t="n">
        <x:v>2732</x:v>
      </x:c>
      <x:c r="F240" s="23" t="n">
        <x:v>2697</x:v>
      </x:c>
      <x:c r="G240" s="23" t="n">
        <x:v>2701</x:v>
      </x:c>
      <x:c r="H240" s="23" t="n">
        <x:v>-16.6</x:v>
      </x:c>
      <x:c r="I240" s="24" t="n">
        <x:v>-0.006108330880188362</x:v>
      </x:c>
      <x:c r="J240" s="23" t="n">
        <x:f>ROUND(E240-F240,1)</x:f>
        <x:v>35</x:v>
      </x:c>
      <x:c r="K240" s="22" t="str">
        <x:v>IH2612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2713</x:v>
      </x:c>
      <x:c r="E241" s="23" t="n">
        <x:v>2713</x:v>
      </x:c>
      <x:c r="F241" s="23" t="n">
        <x:v>2669.2</x:v>
      </x:c>
      <x:c r="G241" s="23" t="n">
        <x:v>2679.2</x:v>
      </x:c>
      <x:c r="H241" s="23" t="n">
        <x:v>-21.8</x:v>
      </x:c>
      <x:c r="I241" s="24" t="n">
        <x:v>-0.008071084783413562</x:v>
      </x:c>
      <x:c r="J241" s="23" t="n">
        <x:f>ROUND(E241-F241,1)</x:f>
        <x:v>43.8</x:v>
      </x:c>
      <x:c r="K241" s="22" t="str">
        <x:v>IH2612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2659.6</x:v>
      </x:c>
      <x:c r="E242" s="23" t="n">
        <x:v>2721.2</x:v>
      </x:c>
      <x:c r="F242" s="23" t="n">
        <x:v>2638</x:v>
      </x:c>
      <x:c r="G242" s="23" t="n">
        <x:v>2719</x:v>
      </x:c>
      <x:c r="H242" s="23" t="n">
        <x:v>39.8</x:v>
      </x:c>
      <x:c r="I242" s="24" t="n">
        <x:v>0.014855180650940714</x:v>
      </x:c>
      <x:c r="J242" s="26" t="n">
        <x:f>ROUND(E242-F242,1)</x:f>
        <x:v>83.2</x:v>
      </x:c>
      <x:c r="K242" s="22" t="str">
        <x:v>IH2612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2711</x:v>
      </x:c>
      <x:c r="E243" s="23" t="n">
        <x:v>2724</x:v>
      </x:c>
      <x:c r="F243" s="23" t="n">
        <x:v>2691.2</x:v>
      </x:c>
      <x:c r="G243" s="23" t="n">
        <x:v>2721.8</x:v>
      </x:c>
      <x:c r="H243" s="23" t="n">
        <x:v>2.8</x:v>
      </x:c>
      <x:c r="I243" s="24" t="n">
        <x:v>0.0010297903641045547</x:v>
      </x:c>
      <x:c r="J243" s="23" t="n">
        <x:f>ROUND(E243-F243,1)</x:f>
        <x:v>32.8</x:v>
      </x:c>
      <x:c r="K243" s="22" t="str">
        <x:v>IH2612</x:v>
      </x:c>
    </x:row>
    <x:row r="244">
      <x:c r="A244" s="31" t="str">
        <x:v>合计</x:v>
      </x:c>
      <x:c r="B244" s="30" t="n">
        <x:v>13</x:v>
      </x:c>
      <x:c r="C244" s="30"/>
      <x:c r="D244" s="30"/>
      <x:c r="E244" s="30"/>
      <x:c r="F244" s="30"/>
      <x:c r="G244" s="30"/>
      <x:c r="H244" s="30"/>
      <x:c r="I244" s="30"/>
      <x:c r="J244" s="32" t="n">
        <x:f>ROUND(SUM(J231:J243),1)</x:f>
        <x:v>618.2</x:v>
      </x:c>
      <x:c r="K244" s="30"/>
    </x:row>
    <x:row r="245">
      <x:c r="A245" s="31" t="str">
        <x:v>均值</x:v>
      </x:c>
      <x:c r="B245" s="30"/>
      <x:c r="C245" s="30"/>
      <x:c r="D245" s="30"/>
      <x:c r="E245" s="30"/>
      <x:c r="F245" s="30"/>
      <x:c r="G245" s="30"/>
      <x:c r="H245" s="30"/>
      <x:c r="I245" s="30"/>
      <x:c r="J245" s="34" t="n">
        <x:f>ROUND(IFERROR(AVERAGE(J231:J243),0),1)</x:f>
        <x:v>47.6</x:v>
      </x:c>
      <x:c r="K24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101540</x:v>
      </x:c>
      <x:c r="E239" s="23" t="n">
        <x:v>103420</x:v>
      </x:c>
      <x:c r="F239" s="23" t="n">
        <x:v>101520</x:v>
      </x:c>
      <x:c r="G239" s="23" t="n">
        <x:v>103400</x:v>
      </x:c>
      <x:c r="H239" s="28" t="n">
        <x:v>220</x:v>
      </x:c>
      <x:c r="I239" s="24" t="n">
        <x:v>0.002132196162046851</x:v>
      </x:c>
      <x:c r="J239" s="23" t="n">
        <x:f>ROUND(E239-F239,1)</x:f>
        <x:v>1900</x:v>
      </x:c>
      <x:c r="K239" s="22" t="str">
        <x:v>LC2610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101600</x:v>
      </x:c>
      <x:c r="E240" s="23" t="n">
        <x:v>101660</x:v>
      </x:c>
      <x:c r="F240" s="23" t="n">
        <x:v>98000</x:v>
      </x:c>
      <x:c r="G240" s="23" t="n">
        <x:v>98540</x:v>
      </x:c>
      <x:c r="H240" s="28" t="n">
        <x:v>-4860</x:v>
      </x:c>
      <x:c r="I240" s="24" t="n">
        <x:v>-0.04700193423597676</x:v>
      </x:c>
      <x:c r="J240" s="23" t="n">
        <x:f>ROUND(E240-F240,1)</x:f>
        <x:v>3660</x:v>
      </x:c>
      <x:c r="K240" s="22" t="str">
        <x:v>LC2610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58980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5898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