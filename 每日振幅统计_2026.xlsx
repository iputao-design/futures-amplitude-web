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337ddb088a41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ad68763f8bc40cc"/>
    <x:sheet xmlns:r="http://schemas.openxmlformats.org/officeDocument/2006/relationships" name="周振幅统计" sheetId="2" r:id="Ra35ad29e59554802"/>
    <x:sheet xmlns:r="http://schemas.openxmlformats.org/officeDocument/2006/relationships" name="中证1000" sheetId="3" r:id="Rd86fdd2ffa8649b3"/>
    <x:sheet xmlns:r="http://schemas.openxmlformats.org/officeDocument/2006/relationships" name="中证500" sheetId="4" r:id="R73ca806ec516410b"/>
    <x:sheet xmlns:r="http://schemas.openxmlformats.org/officeDocument/2006/relationships" name="上证指数" sheetId="5" r:id="Rcfc0e6b9c6614839"/>
    <x:sheet xmlns:r="http://schemas.openxmlformats.org/officeDocument/2006/relationships" name="IM主力" sheetId="6" r:id="R3f0a0eb5cc6b4461"/>
    <x:sheet xmlns:r="http://schemas.openxmlformats.org/officeDocument/2006/relationships" name="IC主力" sheetId="7" r:id="R22f90d37c1f34844"/>
    <x:sheet xmlns:r="http://schemas.openxmlformats.org/officeDocument/2006/relationships" name="IF主力" sheetId="8" r:id="R49a5523920454040"/>
    <x:sheet xmlns:r="http://schemas.openxmlformats.org/officeDocument/2006/relationships" name="IH主力" sheetId="9" r:id="R9e9b8900080e4d7a"/>
    <x:sheet xmlns:r="http://schemas.openxmlformats.org/officeDocument/2006/relationships" name="碳酸锂2609" sheetId="10" r:id="R70ae6648aaa143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b570a6bbcc4716" /><Relationship Type="http://schemas.openxmlformats.org/officeDocument/2006/relationships/theme" Target="/xl/theme/theme1.xml" Id="R106a13d9873a4e26" /><Relationship Type="http://schemas.openxmlformats.org/officeDocument/2006/relationships/sharedStrings" Target="/xl/sharedStrings.xml" Id="Rea0fb37effed4cd4" /><Relationship Type="http://schemas.openxmlformats.org/officeDocument/2006/relationships/worksheet" Target="/xl/worksheets/sheet1.xml" Id="R7ad68763f8bc40cc" /><Relationship Type="http://schemas.openxmlformats.org/officeDocument/2006/relationships/worksheet" Target="/xl/worksheets/sheet2.xml" Id="Ra35ad29e59554802" /><Relationship Type="http://schemas.openxmlformats.org/officeDocument/2006/relationships/worksheet" Target="/xl/worksheets/sheet3.xml" Id="Rd86fdd2ffa8649b3" /><Relationship Type="http://schemas.openxmlformats.org/officeDocument/2006/relationships/worksheet" Target="/xl/worksheets/sheet4.xml" Id="R73ca806ec516410b" /><Relationship Type="http://schemas.openxmlformats.org/officeDocument/2006/relationships/worksheet" Target="/xl/worksheets/sheet5.xml" Id="Rcfc0e6b9c6614839" /><Relationship Type="http://schemas.openxmlformats.org/officeDocument/2006/relationships/worksheet" Target="/xl/worksheets/sheet6.xml" Id="R3f0a0eb5cc6b4461" /><Relationship Type="http://schemas.openxmlformats.org/officeDocument/2006/relationships/worksheet" Target="/xl/worksheets/sheet7.xml" Id="R22f90d37c1f34844" /><Relationship Type="http://schemas.openxmlformats.org/officeDocument/2006/relationships/worksheet" Target="/xl/worksheets/sheet8.xml" Id="R49a5523920454040" /><Relationship Type="http://schemas.openxmlformats.org/officeDocument/2006/relationships/worksheet" Target="/xl/worksheets/sheet9.xml" Id="R9e9b8900080e4d7a" /><Relationship Type="http://schemas.openxmlformats.org/officeDocument/2006/relationships/worksheet" Target="/xl/worksheets/sheet10.xml" Id="R70ae6648aaa143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2026-08-21</x:v>
      </x:c>
      <x:c r="C4" s="10" t="n">
        <x:v>7634.08</x:v>
      </x:c>
      <x:c r="D4" s="10" t="n">
        <x:v>7472.49</x:v>
      </x:c>
      <x:c r="E4" s="12" t="n">
        <x:v>161.6</x:v>
      </x:c>
      <x:c r="F4" s="9" t="n">
        <x:v>154</x:v>
      </x:c>
      <x:c r="G4" s="10" t="n">
        <x:v>27663.2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2026-08-21</x:v>
      </x:c>
      <x:c r="C5" s="10" t="n">
        <x:v>7877.34</x:v>
      </x:c>
      <x:c r="D5" s="10" t="n">
        <x:v>7756.28</x:v>
      </x:c>
      <x:c r="E5" s="12" t="n">
        <x:v>121.1</x:v>
      </x:c>
      <x:c r="F5" s="9" t="n">
        <x:v>154</x:v>
      </x:c>
      <x:c r="G5" s="10" t="n">
        <x:v>27746.5</x:v>
      </x:c>
      <x:c r="H5" s="10" t="n">
        <x:v>180.2</x:v>
      </x:c>
      <x:c r="I5" s="10" t="n">
        <x:v>160</x:v>
      </x:c>
    </x:row>
    <x:row r="6">
      <x:c r="A6" s="9" t="str">
        <x:v>上证指数</x:v>
      </x:c>
      <x:c r="B6" s="9" t="str">
        <x:v>2026-08-21</x:v>
      </x:c>
      <x:c r="C6" s="10" t="n">
        <x:v>3912.13</x:v>
      </x:c>
      <x:c r="D6" s="10" t="n">
        <x:v>3883.79</x:v>
      </x:c>
      <x:c r="E6" s="12" t="n">
        <x:v>28.3</x:v>
      </x:c>
      <x:c r="F6" s="9" t="n">
        <x:v>154</x:v>
      </x:c>
      <x:c r="G6" s="10" t="n">
        <x:v>7605.2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2026-08-21</x:v>
      </x:c>
      <x:c r="C7" s="10" t="n">
        <x:v>7575</x:v>
      </x:c>
      <x:c r="D7" s="10" t="n">
        <x:v>7410</x:v>
      </x:c>
      <x:c r="E7" s="12" t="n">
        <x:v>165</x:v>
      </x:c>
      <x:c r="F7" s="9" t="n">
        <x:v>154</x:v>
      </x:c>
      <x:c r="G7" s="10" t="n">
        <x:v>29323.2</x:v>
      </x:c>
      <x:c r="H7" s="10" t="n">
        <x:v>190.4</x:v>
      </x:c>
      <x:c r="I7" s="10" t="n">
        <x:v>190</x:v>
      </x:c>
    </x:row>
    <x:row r="8">
      <x:c r="A8" s="9" t="str">
        <x:v>IC主力</x:v>
      </x:c>
      <x:c r="B8" s="9" t="str">
        <x:v>2026-08-21</x:v>
      </x:c>
      <x:c r="C8" s="10" t="n">
        <x:v>7797.2</x:v>
      </x:c>
      <x:c r="D8" s="10" t="n">
        <x:v>7669.6</x:v>
      </x:c>
      <x:c r="E8" s="12" t="n">
        <x:v>127.6</x:v>
      </x:c>
      <x:c r="F8" s="9" t="n">
        <x:v>154</x:v>
      </x:c>
      <x:c r="G8" s="10" t="n">
        <x:v>30607.2</x:v>
      </x:c>
      <x:c r="H8" s="10" t="n">
        <x:v>198.7</x:v>
      </x:c>
      <x:c r="I8" s="10" t="n">
        <x:v>150</x:v>
      </x:c>
    </x:row>
    <x:row r="9">
      <x:c r="A9" s="9" t="str">
        <x:v>IF主力</x:v>
      </x:c>
      <x:c r="B9" s="9" t="str">
        <x:v>2026-08-21</x:v>
      </x:c>
      <x:c r="C9" s="10" t="n">
        <x:v>4595.8</x:v>
      </x:c>
      <x:c r="D9" s="10" t="n">
        <x:v>4542.4</x:v>
      </x:c>
      <x:c r="E9" s="12" t="n">
        <x:v>53.4</x:v>
      </x:c>
      <x:c r="F9" s="9" t="n">
        <x:v>154</x:v>
      </x:c>
      <x:c r="G9" s="10" t="n">
        <x:v>11473.6</x:v>
      </x:c>
      <x:c r="H9" s="10" t="n">
        <x:v>74.5</x:v>
      </x:c>
      <x:c r="I9" s="10" t="n">
        <x:v>90</x:v>
      </x:c>
    </x:row>
    <x:row r="10">
      <x:c r="A10" s="9" t="str">
        <x:v>IH主力</x:v>
      </x:c>
      <x:c r="B10" s="9" t="str">
        <x:v>2026-08-21</x:v>
      </x:c>
      <x:c r="C10" s="10" t="n">
        <x:v>2873</x:v>
      </x:c>
      <x:c r="D10" s="10" t="n">
        <x:v>2847.2</x:v>
      </x:c>
      <x:c r="E10" s="12" t="n">
        <x:v>25.8</x:v>
      </x:c>
      <x:c r="F10" s="9" t="n">
        <x:v>154</x:v>
      </x:c>
      <x:c r="G10" s="10" t="n">
        <x:v>6386.4</x:v>
      </x:c>
      <x:c r="H10" s="10" t="n">
        <x:v>41.5</x:v>
      </x:c>
      <x:c r="I10" s="10" t="n">
        <x:v>60</x:v>
      </x:c>
    </x:row>
    <x:row r="11">
      <x:c r="A11" s="9" t="str">
        <x:v>碳酸锂2609</x:v>
      </x:c>
      <x:c r="B11" s="9" t="str">
        <x:v>2026-08-21</x:v>
      </x:c>
      <x:c r="C11" s="10" t="n">
        <x:v>157000</x:v>
      </x:c>
      <x:c r="D11" s="10" t="n">
        <x:v>150020</x:v>
      </x:c>
      <x:c r="E11" s="12" t="n">
        <x:v>6980</x:v>
      </x:c>
      <x:c r="F11" s="9" t="n">
        <x:v>154</x:v>
      </x:c>
      <x:c r="G11" s="10" t="n">
        <x:v>1325420</x:v>
      </x:c>
      <x:c r="H11" s="10" t="n">
        <x:v>8606.6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13493.5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421.7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8月17日-8月21日</x:v>
      </x:c>
      <x:c r="C73" s="23" t="n">
        <x:v>8007.87</x:v>
      </x:c>
      <x:c r="D73" s="23" t="n">
        <x:v>8211.31</x:v>
      </x:c>
      <x:c r="E73" s="23" t="n">
        <x:v>7756.28</x:v>
      </x:c>
      <x:c r="F73" s="23" t="n">
        <x:v>7854.33</x:v>
      </x:c>
      <x:c r="G73" s="23" t="n">
        <x:f>ROUND(F73-F72,1)</x:f>
        <x:v>-136</x:v>
      </x:c>
      <x:c r="H73" s="24" t="n">
        <x:f>IFERROR(F73/F72-1,"")</x:f>
        <x:v>-0.01702057361836118</x:v>
      </x:c>
      <x:c r="I73" s="26" t="n">
        <x:f>ROUND(D73-E73,1)</x:f>
        <x:v>455</x:v>
      </x:c>
      <x:c r="J73" s="22" t="str">
        <x:v>中证500</x:v>
      </x:c>
      <x:c r="K73" s="22" t="n">
        <x:v>5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13580.4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424.4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8月17日-8月21日</x:v>
      </x:c>
      <x:c r="C110" s="23" t="n">
        <x:v>3930.1</x:v>
      </x:c>
      <x:c r="D110" s="23" t="n">
        <x:v>3994.18</x:v>
      </x:c>
      <x:c r="E110" s="23" t="n">
        <x:v>3879.58</x:v>
      </x:c>
      <x:c r="F110" s="23" t="n">
        <x:v>3905.2</x:v>
      </x:c>
      <x:c r="G110" s="23" t="n">
        <x:f>ROUND(F110-F109,1)</x:f>
        <x:v>-22</x:v>
      </x:c>
      <x:c r="H110" s="24" t="n">
        <x:f>IFERROR(F110/F109-1,"")</x:f>
        <x:v>-0.00559689140808417</x:v>
      </x:c>
      <x:c r="I110" s="26" t="n">
        <x:f>ROUND(D110-E110,1)</x:f>
        <x:v>114.6</x:v>
      </x:c>
      <x:c r="J110" s="22" t="str">
        <x:v>上证指数</x:v>
      </x:c>
      <x:c r="K110" s="22" t="n">
        <x:v>5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3558.6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111.2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8月17日-8月21日</x:v>
      </x:c>
      <x:c r="C147" s="23" t="n">
        <x:v>7675</x:v>
      </x:c>
      <x:c r="D147" s="23" t="n">
        <x:v>7882.8</x:v>
      </x:c>
      <x:c r="E147" s="23" t="n">
        <x:v>7410</x:v>
      </x:c>
      <x:c r="F147" s="23" t="n">
        <x:v>7527</x:v>
      </x:c>
      <x:c r="G147" s="23" t="n">
        <x:f>ROUND(F147-F146,1)</x:f>
        <x:v>-123.2</x:v>
      </x:c>
      <x:c r="H147" s="24" t="n">
        <x:f>IFERROR(F147/F146-1,"")</x:f>
        <x:v>-0.016104154139761073</x:v>
      </x:c>
      <x:c r="I147" s="26" t="n">
        <x:f>ROUND(D147-E147,1)</x:f>
        <x:v>472.8</x:v>
      </x:c>
      <x:c r="J147" s="22" t="str">
        <x:v>IM2609</x:v>
      </x:c>
      <x:c r="K147" s="22" t="n">
        <x:v>5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14072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439.8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8月17日-8月21日</x:v>
      </x:c>
      <x:c r="C184" s="23" t="n">
        <x:v>7885</x:v>
      </x:c>
      <x:c r="D184" s="23" t="n">
        <x:v>8091.8</x:v>
      </x:c>
      <x:c r="E184" s="23" t="n">
        <x:v>7669.6</x:v>
      </x:c>
      <x:c r="F184" s="23" t="n">
        <x:v>7762</x:v>
      </x:c>
      <x:c r="G184" s="23" t="n">
        <x:f>ROUND(F184-F183,1)</x:f>
        <x:v>-99.2</x:v>
      </x:c>
      <x:c r="H184" s="24" t="n">
        <x:f>IFERROR(F184/F183-1,"")</x:f>
        <x:v>-0.012618938584439965</x:v>
      </x:c>
      <x:c r="I184" s="26" t="n">
        <x:f>ROUND(D184-E184,1)</x:f>
        <x:v>422.2</x:v>
      </x:c>
      <x:c r="J184" s="22" t="str">
        <x:v>IC2609</x:v>
      </x:c>
      <x:c r="K184" s="22" t="n">
        <x:v>5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14647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457.7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8月17日-8月21日</x:v>
      </x:c>
      <x:c r="C221" s="23" t="n">
        <x:v>4624</x:v>
      </x:c>
      <x:c r="D221" s="23" t="n">
        <x:v>4700.6</x:v>
      </x:c>
      <x:c r="E221" s="23" t="n">
        <x:v>4531.8</x:v>
      </x:c>
      <x:c r="F221" s="23" t="n">
        <x:v>4576</x:v>
      </x:c>
      <x:c r="G221" s="23" t="n">
        <x:f>ROUND(F221-F220,1)</x:f>
        <x:v>-44.4</x:v>
      </x:c>
      <x:c r="H221" s="24" t="n">
        <x:f>IFERROR(F221/F220-1,"")</x:f>
        <x:v>-0.00960955761405935</x:v>
      </x:c>
      <x:c r="I221" s="26" t="n">
        <x:f>ROUND(D221-E221,1)</x:f>
        <x:v>168.8</x:v>
      </x:c>
      <x:c r="J221" s="22" t="str">
        <x:v>IF2609</x:v>
      </x:c>
      <x:c r="K221" s="22" t="n">
        <x:v>5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5219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163.1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8月17日-8月21日</x:v>
      </x:c>
      <x:c r="C258" s="23" t="n">
        <x:v>2886</x:v>
      </x:c>
      <x:c r="D258" s="23" t="n">
        <x:v>2921.2</x:v>
      </x:c>
      <x:c r="E258" s="23" t="n">
        <x:v>2843</x:v>
      </x:c>
      <x:c r="F258" s="23" t="n">
        <x:v>2861</x:v>
      </x:c>
      <x:c r="G258" s="23" t="n">
        <x:f>ROUND(F258-F257,1)</x:f>
        <x:v>-29</x:v>
      </x:c>
      <x:c r="H258" s="24" t="n">
        <x:f>IFERROR(F258/F257-1,"")</x:f>
        <x:v>-0.01003460207612461</x:v>
      </x:c>
      <x:c r="I258" s="26" t="n">
        <x:f>ROUND(D258-E258,1)</x:f>
        <x:v>78.2</x:v>
      </x:c>
      <x:c r="J258" s="22" t="str">
        <x:v>IH2609</x:v>
      </x:c>
      <x:c r="K258" s="22" t="n">
        <x:v>5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2968.4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92.8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8月17日-8月21日</x:v>
      </x:c>
      <x:c r="C295" s="23" t="n">
        <x:v>154300</x:v>
      </x:c>
      <x:c r="D295" s="23" t="n">
        <x:v>157000</x:v>
      </x:c>
      <x:c r="E295" s="23" t="n">
        <x:v>148400</x:v>
      </x:c>
      <x:c r="F295" s="23" t="n">
        <x:v>156140</x:v>
      </x:c>
      <x:c r="G295" s="28" t="n">
        <x:f>ROUND(F295-F294,1)</x:f>
        <x:v>2200</x:v>
      </x:c>
      <x:c r="H295" s="24" t="n">
        <x:f>IFERROR(F295/F294-1,"")</x:f>
        <x:v>0.014291282317786091</x:v>
      </x:c>
      <x:c r="I295" s="26" t="n">
        <x:f>ROUND(D295-E295,1)</x:f>
        <x:v>8600</x:v>
      </x:c>
      <x:c r="J295" s="22" t="str">
        <x:v>LC2609</x:v>
      </x:c>
      <x:c r="K295" s="22" t="n">
        <x:v>5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676680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21146.3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2547.3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169.8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2450.5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163.4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629.9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42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2495.4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166.4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2434.6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162.3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914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60.9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508.6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33.9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74100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4940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