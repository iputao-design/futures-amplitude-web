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94bc139f3946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a63821484bc4d6b"/>
    <x:sheet xmlns:r="http://schemas.openxmlformats.org/officeDocument/2006/relationships" name="周振幅统计" sheetId="2" r:id="R7b33455d46a84cd8"/>
    <x:sheet xmlns:r="http://schemas.openxmlformats.org/officeDocument/2006/relationships" name="中证1000" sheetId="3" r:id="R4c28221fa0b8450b"/>
    <x:sheet xmlns:r="http://schemas.openxmlformats.org/officeDocument/2006/relationships" name="中证500" sheetId="4" r:id="Re830c6d529d2404e"/>
    <x:sheet xmlns:r="http://schemas.openxmlformats.org/officeDocument/2006/relationships" name="上证指数" sheetId="5" r:id="Rd8886f40b4304293"/>
    <x:sheet xmlns:r="http://schemas.openxmlformats.org/officeDocument/2006/relationships" name="IM主力" sheetId="6" r:id="Raa37f8c76d104e7e"/>
    <x:sheet xmlns:r="http://schemas.openxmlformats.org/officeDocument/2006/relationships" name="IC主力" sheetId="7" r:id="R9e97e3f11f704713"/>
    <x:sheet xmlns:r="http://schemas.openxmlformats.org/officeDocument/2006/relationships" name="IF主力" sheetId="8" r:id="R2f4eb58303f648d7"/>
    <x:sheet xmlns:r="http://schemas.openxmlformats.org/officeDocument/2006/relationships" name="IH主力" sheetId="9" r:id="R5d5930b2857c40bb"/>
    <x:sheet xmlns:r="http://schemas.openxmlformats.org/officeDocument/2006/relationships" name="碳酸锂2609" sheetId="10" r:id="R58f09ba7cf6e45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d1863d2e7641ee" /><Relationship Type="http://schemas.openxmlformats.org/officeDocument/2006/relationships/theme" Target="/xl/theme/theme1.xml" Id="R025eed43e9ce4872" /><Relationship Type="http://schemas.openxmlformats.org/officeDocument/2006/relationships/sharedStrings" Target="/xl/sharedStrings.xml" Id="R6fada6c155e54573" /><Relationship Type="http://schemas.openxmlformats.org/officeDocument/2006/relationships/worksheet" Target="/xl/worksheets/sheet1.xml" Id="R8a63821484bc4d6b" /><Relationship Type="http://schemas.openxmlformats.org/officeDocument/2006/relationships/worksheet" Target="/xl/worksheets/sheet2.xml" Id="R7b33455d46a84cd8" /><Relationship Type="http://schemas.openxmlformats.org/officeDocument/2006/relationships/worksheet" Target="/xl/worksheets/sheet3.xml" Id="R4c28221fa0b8450b" /><Relationship Type="http://schemas.openxmlformats.org/officeDocument/2006/relationships/worksheet" Target="/xl/worksheets/sheet4.xml" Id="Re830c6d529d2404e" /><Relationship Type="http://schemas.openxmlformats.org/officeDocument/2006/relationships/worksheet" Target="/xl/worksheets/sheet5.xml" Id="Rd8886f40b4304293" /><Relationship Type="http://schemas.openxmlformats.org/officeDocument/2006/relationships/worksheet" Target="/xl/worksheets/sheet6.xml" Id="Raa37f8c76d104e7e" /><Relationship Type="http://schemas.openxmlformats.org/officeDocument/2006/relationships/worksheet" Target="/xl/worksheets/sheet7.xml" Id="R9e97e3f11f704713" /><Relationship Type="http://schemas.openxmlformats.org/officeDocument/2006/relationships/worksheet" Target="/xl/worksheets/sheet8.xml" Id="R2f4eb58303f648d7" /><Relationship Type="http://schemas.openxmlformats.org/officeDocument/2006/relationships/worksheet" Target="/xl/worksheets/sheet9.xml" Id="R5d5930b2857c40bb" /><Relationship Type="http://schemas.openxmlformats.org/officeDocument/2006/relationships/worksheet" Target="/xl/worksheets/sheet10.xml" Id="R58f09ba7cf6e45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2026-08-31</x:v>
      </x:c>
      <x:c r="C4" s="10" t="n">
        <x:v>7771.55</x:v>
      </x:c>
      <x:c r="D4" s="10" t="n">
        <x:v>7604.95</x:v>
      </x:c>
      <x:c r="E4" s="12" t="n">
        <x:v>166.6</x:v>
      </x:c>
      <x:c r="F4" s="9" t="n">
        <x:v>160</x:v>
      </x:c>
      <x:c r="G4" s="10" t="n">
        <x:v>28730.8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2026-08-31</x:v>
      </x:c>
      <x:c r="C5" s="10" t="n">
        <x:v>7953.93</x:v>
      </x:c>
      <x:c r="D5" s="10" t="n">
        <x:v>7764.98</x:v>
      </x:c>
      <x:c r="E5" s="12" t="n">
        <x:v>189</x:v>
      </x:c>
      <x:c r="F5" s="9" t="n">
        <x:v>160</x:v>
      </x:c>
      <x:c r="G5" s="10" t="n">
        <x:v>28783.7</x:v>
      </x:c>
      <x:c r="H5" s="10" t="n">
        <x:v>179.9</x:v>
      </x:c>
      <x:c r="I5" s="10" t="n">
        <x:v>160</x:v>
      </x:c>
    </x:row>
    <x:row r="6">
      <x:c r="A6" s="9" t="str">
        <x:v>上证指数</x:v>
      </x:c>
      <x:c r="B6" s="9" t="str">
        <x:v>2026-08-31</x:v>
      </x:c>
      <x:c r="C6" s="10" t="n">
        <x:v>3986.3</x:v>
      </x:c>
      <x:c r="D6" s="10" t="n">
        <x:v>3926.5</x:v>
      </x:c>
      <x:c r="E6" s="12" t="n">
        <x:v>59.8</x:v>
      </x:c>
      <x:c r="F6" s="9" t="n">
        <x:v>160</x:v>
      </x:c>
      <x:c r="G6" s="10" t="n">
        <x:v>7881.1</x:v>
      </x:c>
      <x:c r="H6" s="10" t="n">
        <x:v>49.3</x:v>
      </x:c>
      <x:c r="I6" s="10" t="n">
        <x:v>50</x:v>
      </x:c>
    </x:row>
    <x:row r="7">
      <x:c r="A7" s="9" t="str">
        <x:v>IM主力</x:v>
      </x:c>
      <x:c r="B7" s="9" t="str">
        <x:v>2026-08-31</x:v>
      </x:c>
      <x:c r="C7" s="10" t="n">
        <x:v>7735</x:v>
      </x:c>
      <x:c r="D7" s="10" t="n">
        <x:v>7552.8</x:v>
      </x:c>
      <x:c r="E7" s="12" t="n">
        <x:v>182.2</x:v>
      </x:c>
      <x:c r="F7" s="9" t="n">
        <x:v>160</x:v>
      </x:c>
      <x:c r="G7" s="10" t="n">
        <x:v>30443.8</x:v>
      </x:c>
      <x:c r="H7" s="10" t="n">
        <x:v>190.3</x:v>
      </x:c>
      <x:c r="I7" s="10" t="n">
        <x:v>190</x:v>
      </x:c>
    </x:row>
    <x:row r="8">
      <x:c r="A8" s="9" t="str">
        <x:v>IC主力</x:v>
      </x:c>
      <x:c r="B8" s="9" t="str">
        <x:v>2026-08-31</x:v>
      </x:c>
      <x:c r="C8" s="10" t="n">
        <x:v>7913</x:v>
      </x:c>
      <x:c r="D8" s="10" t="n">
        <x:v>7694</x:v>
      </x:c>
      <x:c r="E8" s="12" t="n">
        <x:v>219</x:v>
      </x:c>
      <x:c r="F8" s="9" t="n">
        <x:v>160</x:v>
      </x:c>
      <x:c r="G8" s="10" t="n">
        <x:v>31744.2</x:v>
      </x:c>
      <x:c r="H8" s="10" t="n">
        <x:v>198.4</x:v>
      </x:c>
      <x:c r="I8" s="10" t="n">
        <x:v>150</x:v>
      </x:c>
    </x:row>
    <x:row r="9">
      <x:c r="A9" s="9" t="str">
        <x:v>IF主力</x:v>
      </x:c>
      <x:c r="B9" s="9" t="str">
        <x:v>2026-08-31</x:v>
      </x:c>
      <x:c r="C9" s="10" t="n">
        <x:v>4608.6</x:v>
      </x:c>
      <x:c r="D9" s="10" t="n">
        <x:v>4530</x:v>
      </x:c>
      <x:c r="E9" s="12" t="n">
        <x:v>78.6</x:v>
      </x:c>
      <x:c r="F9" s="9" t="n">
        <x:v>160</x:v>
      </x:c>
      <x:c r="G9" s="10" t="n">
        <x:v>11886.6</x:v>
      </x:c>
      <x:c r="H9" s="10" t="n">
        <x:v>74.3</x:v>
      </x:c>
      <x:c r="I9" s="10" t="n">
        <x:v>90</x:v>
      </x:c>
    </x:row>
    <x:row r="10">
      <x:c r="A10" s="9" t="str">
        <x:v>IH主力</x:v>
      </x:c>
      <x:c r="B10" s="9" t="str">
        <x:v>2026-08-31</x:v>
      </x:c>
      <x:c r="C10" s="10" t="n">
        <x:v>2921.4</x:v>
      </x:c>
      <x:c r="D10" s="10" t="n">
        <x:v>2877.6</x:v>
      </x:c>
      <x:c r="E10" s="12" t="n">
        <x:v>43.8</x:v>
      </x:c>
      <x:c r="F10" s="9" t="n">
        <x:v>160</x:v>
      </x:c>
      <x:c r="G10" s="10" t="n">
        <x:v>6576.6</x:v>
      </x:c>
      <x:c r="H10" s="10" t="n">
        <x:v>41.1</x:v>
      </x:c>
      <x:c r="I10" s="10" t="n">
        <x:v>60</x:v>
      </x:c>
    </x:row>
    <x:row r="11">
      <x:c r="A11" s="9" t="str">
        <x:v>碳酸锂2609</x:v>
      </x:c>
      <x:c r="B11" s="9" t="str">
        <x:v>2026-08-31</x:v>
      </x:c>
      <x:c r="C11" s="10" t="n">
        <x:v>159900</x:v>
      </x:c>
      <x:c r="D11" s="10" t="n">
        <x:v>156180</x:v>
      </x:c>
      <x:c r="E11" s="12" t="n">
        <x:v>3720</x:v>
      </x:c>
      <x:c r="F11" s="9" t="n">
        <x:v>160</x:v>
      </x:c>
      <x:c r="G11" s="10" t="n">
        <x:v>1361760</x:v>
      </x:c>
      <x:c r="H11" s="10" t="n">
        <x:v>8511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2026-08-31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</x:v>
      </x:c>
      <x:c r="C38" s="23" t="n">
        <x:v>7607.23</x:v>
      </x:c>
      <x:c r="D38" s="23" t="n">
        <x:v>7771.55</x:v>
      </x:c>
      <x:c r="E38" s="23" t="n">
        <x:v>7604.95</x:v>
      </x:c>
      <x:c r="F38" s="23" t="n">
        <x:v>7770.42</x:v>
      </x:c>
      <x:c r="G38" s="23" t="n">
        <x:f>ROUND(F38-F37,1)</x:f>
        <x:v>65.4</x:v>
      </x:c>
      <x:c r="H38" s="24" t="n">
        <x:f>IFERROR(F38/F37-1,"")</x:f>
        <x:v>0.00848666390656505</x:v>
      </x:c>
      <x:c r="I38" s="23" t="n">
        <x:f>ROUND(D38-E38,1)</x:f>
        <x:v>166.6</x:v>
      </x:c>
      <x:c r="J38" s="22" t="str">
        <x:v>中证1000</x:v>
      </x:c>
      <x:c r="K38" s="22" t="n">
        <x:v>1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14114.7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415.1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</x:v>
      </x:c>
      <x:c r="C77" s="23" t="n">
        <x:v>7797.23</x:v>
      </x:c>
      <x:c r="D77" s="23" t="n">
        <x:v>7953.93</x:v>
      </x:c>
      <x:c r="E77" s="23" t="n">
        <x:v>7764.98</x:v>
      </x:c>
      <x:c r="F77" s="23" t="n">
        <x:v>7952.1</x:v>
      </x:c>
      <x:c r="G77" s="23" t="n">
        <x:f>ROUND(F77-F76,1)</x:f>
        <x:v>56.7</x:v>
      </x:c>
      <x:c r="H77" s="24" t="n">
        <x:f>IFERROR(F77/F76-1,"")</x:f>
        <x:v>0.007175018523326804</x:v>
      </x:c>
      <x:c r="I77" s="26" t="n">
        <x:f>ROUND(D77-E77,1)</x:f>
        <x:v>189</x:v>
      </x:c>
      <x:c r="J77" s="22" t="str">
        <x:v>中证500</x:v>
      </x:c>
      <x:c r="K77" s="22" t="n">
        <x:v>1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14183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417.1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</x:v>
      </x:c>
      <x:c r="C116" s="23" t="n">
        <x:v>3926.53</x:v>
      </x:c>
      <x:c r="D116" s="23" t="n">
        <x:v>3986.3</x:v>
      </x:c>
      <x:c r="E116" s="23" t="n">
        <x:v>3926.5</x:v>
      </x:c>
      <x:c r="F116" s="23" t="n">
        <x:v>3986.3</x:v>
      </x:c>
      <x:c r="G116" s="23" t="n">
        <x:f>ROUND(F116-F115,1)</x:f>
        <x:v>34.1</x:v>
      </x:c>
      <x:c r="H116" s="24" t="n">
        <x:f>IFERROR(F116/F115-1,"")</x:f>
        <x:v>0.008633210025859261</x:v>
      </x:c>
      <x:c r="I116" s="26" t="n">
        <x:f>ROUND(D116-E116,1)</x:f>
        <x:v>59.8</x:v>
      </x:c>
      <x:c r="J116" s="22" t="str">
        <x:v>上证指数</x:v>
      </x:c>
      <x:c r="K116" s="22" t="n">
        <x:v>1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3737.8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109.9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</x:v>
      </x:c>
      <x:c r="C155" s="23" t="n">
        <x:v>7582</x:v>
      </x:c>
      <x:c r="D155" s="23" t="n">
        <x:v>7735</x:v>
      </x:c>
      <x:c r="E155" s="23" t="n">
        <x:v>7552.8</x:v>
      </x:c>
      <x:c r="F155" s="23" t="n">
        <x:v>7713.6</x:v>
      </x:c>
      <x:c r="G155" s="23" t="n">
        <x:f>ROUND(F155-F154,1)</x:f>
        <x:v>47</x:v>
      </x:c>
      <x:c r="H155" s="24" t="n">
        <x:f>IFERROR(F155/F154-1,"")</x:f>
        <x:v>0.006130488091200759</x:v>
      </x:c>
      <x:c r="I155" s="23" t="n">
        <x:f>ROUND(D155-E155,1)</x:f>
        <x:v>182.2</x:v>
      </x:c>
      <x:c r="J155" s="22" t="str">
        <x:v>IM2609</x:v>
      </x:c>
      <x:c r="K155" s="22" t="n">
        <x:v>1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14707.8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432.6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</x:v>
      </x:c>
      <x:c r="C194" s="23" t="n">
        <x:v>7761</x:v>
      </x:c>
      <x:c r="D194" s="23" t="n">
        <x:v>7913</x:v>
      </x:c>
      <x:c r="E194" s="23" t="n">
        <x:v>7694</x:v>
      </x:c>
      <x:c r="F194" s="23" t="n">
        <x:v>7895.8</x:v>
      </x:c>
      <x:c r="G194" s="23" t="n">
        <x:f>ROUND(F194-F193,1)</x:f>
        <x:v>42</x:v>
      </x:c>
      <x:c r="H194" s="24" t="n">
        <x:f>IFERROR(F194/F193-1,"")</x:f>
        <x:v>0.005347729761389308</x:v>
      </x:c>
      <x:c r="I194" s="26" t="n">
        <x:f>ROUND(D194-E194,1)</x:f>
        <x:v>219</x:v>
      </x:c>
      <x:c r="J194" s="22" t="str">
        <x:v>IC2609</x:v>
      </x:c>
      <x:c r="K194" s="22" t="n">
        <x:v>1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15301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450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</x:v>
      </x:c>
      <x:c r="C233" s="23" t="n">
        <x:v>4553</x:v>
      </x:c>
      <x:c r="D233" s="23" t="n">
        <x:v>4608.6</x:v>
      </x:c>
      <x:c r="E233" s="23" t="n">
        <x:v>4530</x:v>
      </x:c>
      <x:c r="F233" s="23" t="n">
        <x:v>4601.6</x:v>
      </x:c>
      <x:c r="G233" s="23" t="n">
        <x:f>ROUND(F233-F232,1)</x:f>
        <x:v>8</x:v>
      </x:c>
      <x:c r="H233" s="24" t="n">
        <x:f>IFERROR(F233/F232-1,"")</x:f>
        <x:v>0.0017415534656914922</x:v>
      </x:c>
      <x:c r="I233" s="23" t="n">
        <x:f>ROUND(D233-E233,1)</x:f>
        <x:v>78.6</x:v>
      </x:c>
      <x:c r="J233" s="22" t="str">
        <x:v>IF2609</x:v>
      </x:c>
      <x:c r="K233" s="22" t="n">
        <x:v>1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5431.2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159.7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</x:v>
      </x:c>
      <x:c r="C272" s="23" t="n">
        <x:v>2886</x:v>
      </x:c>
      <x:c r="D272" s="23" t="n">
        <x:v>2921.4</x:v>
      </x:c>
      <x:c r="E272" s="23" t="n">
        <x:v>2877.6</x:v>
      </x:c>
      <x:c r="F272" s="23" t="n">
        <x:v>2918</x:v>
      </x:c>
      <x:c r="G272" s="23" t="n">
        <x:f>ROUND(F272-F271,1)</x:f>
        <x:v>6.6</x:v>
      </x:c>
      <x:c r="H272" s="24" t="n">
        <x:f>IFERROR(F272/F271-1,"")</x:f>
        <x:v>0.0022669506079548984</x:v>
      </x:c>
      <x:c r="I272" s="23" t="n">
        <x:f>ROUND(D272-E272,1)</x:f>
        <x:v>43.8</x:v>
      </x:c>
      <x:c r="J272" s="22" t="str">
        <x:v>IH2609</x:v>
      </x:c>
      <x:c r="K272" s="22" t="n">
        <x:v>1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3093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</x:v>
      </x:c>
      <x:c r="C311" s="23" t="n">
        <x:v>158000</x:v>
      </x:c>
      <x:c r="D311" s="23" t="n">
        <x:v>159900</x:v>
      </x:c>
      <x:c r="E311" s="23" t="n">
        <x:v>156180</x:v>
      </x:c>
      <x:c r="F311" s="23" t="n">
        <x:v>159000</x:v>
      </x:c>
      <x:c r="G311" s="28" t="n">
        <x:f>ROUND(F311-F310,1)</x:f>
        <x:v>1920</x:v>
      </x:c>
      <x:c r="H311" s="24" t="n">
        <x:f>IFERROR(F311/F310-1,"")</x:f>
        <x:v>0.012223071046600475</x:v>
      </x:c>
      <x:c r="I311" s="23" t="n">
        <x:f>ROUND(D311-E311,1)</x:f>
        <x:v>3720</x:v>
      </x:c>
      <x:c r="J311" s="22" t="str">
        <x:v>LC2609</x:v>
      </x:c>
      <x:c r="K311" s="22" t="n">
        <x:v>1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693400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20394.1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