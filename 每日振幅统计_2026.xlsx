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003c11c46b4d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672664bd997443c"/>
    <x:sheet xmlns:r="http://schemas.openxmlformats.org/officeDocument/2006/relationships" name="周振幅统计" sheetId="2" r:id="R6778a1c4e4494e27"/>
    <x:sheet xmlns:r="http://schemas.openxmlformats.org/officeDocument/2006/relationships" name="中证1000" sheetId="3" r:id="Rb2602ea99f1f489d"/>
    <x:sheet xmlns:r="http://schemas.openxmlformats.org/officeDocument/2006/relationships" name="中证500" sheetId="4" r:id="Rf4f1db16609c4c36"/>
    <x:sheet xmlns:r="http://schemas.openxmlformats.org/officeDocument/2006/relationships" name="上证指数" sheetId="5" r:id="R5970f753efa84c7c"/>
    <x:sheet xmlns:r="http://schemas.openxmlformats.org/officeDocument/2006/relationships" name="IM主力" sheetId="6" r:id="R3da2f6c06e5642d7"/>
    <x:sheet xmlns:r="http://schemas.openxmlformats.org/officeDocument/2006/relationships" name="IC主力" sheetId="7" r:id="Rd663970eaf1c4032"/>
    <x:sheet xmlns:r="http://schemas.openxmlformats.org/officeDocument/2006/relationships" name="IF主力" sheetId="8" r:id="R5620653c9d0f4842"/>
    <x:sheet xmlns:r="http://schemas.openxmlformats.org/officeDocument/2006/relationships" name="IH主力" sheetId="9" r:id="Rb0e63f5515eb4c9d"/>
    <x:sheet xmlns:r="http://schemas.openxmlformats.org/officeDocument/2006/relationships" name="碳酸锂2610" sheetId="10" r:id="R01e76696386547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6c14556d2246c9" /><Relationship Type="http://schemas.openxmlformats.org/officeDocument/2006/relationships/theme" Target="/xl/theme/theme1.xml" Id="Rcde348ed54a74097" /><Relationship Type="http://schemas.openxmlformats.org/officeDocument/2006/relationships/sharedStrings" Target="/xl/sharedStrings.xml" Id="R156ad73083c74d9a" /><Relationship Type="http://schemas.openxmlformats.org/officeDocument/2006/relationships/worksheet" Target="/xl/worksheets/sheet1.xml" Id="R0672664bd997443c" /><Relationship Type="http://schemas.openxmlformats.org/officeDocument/2006/relationships/worksheet" Target="/xl/worksheets/sheet2.xml" Id="R6778a1c4e4494e27" /><Relationship Type="http://schemas.openxmlformats.org/officeDocument/2006/relationships/worksheet" Target="/xl/worksheets/sheet3.xml" Id="Rb2602ea99f1f489d" /><Relationship Type="http://schemas.openxmlformats.org/officeDocument/2006/relationships/worksheet" Target="/xl/worksheets/sheet4.xml" Id="Rf4f1db16609c4c36" /><Relationship Type="http://schemas.openxmlformats.org/officeDocument/2006/relationships/worksheet" Target="/xl/worksheets/sheet5.xml" Id="R5970f753efa84c7c" /><Relationship Type="http://schemas.openxmlformats.org/officeDocument/2006/relationships/worksheet" Target="/xl/worksheets/sheet6.xml" Id="R3da2f6c06e5642d7" /><Relationship Type="http://schemas.openxmlformats.org/officeDocument/2006/relationships/worksheet" Target="/xl/worksheets/sheet7.xml" Id="Rd663970eaf1c4032" /><Relationship Type="http://schemas.openxmlformats.org/officeDocument/2006/relationships/worksheet" Target="/xl/worksheets/sheet8.xml" Id="R5620653c9d0f4842" /><Relationship Type="http://schemas.openxmlformats.org/officeDocument/2006/relationships/worksheet" Target="/xl/worksheets/sheet9.xml" Id="Rb0e63f5515eb4c9d" /><Relationship Type="http://schemas.openxmlformats.org/officeDocument/2006/relationships/worksheet" Target="/xl/worksheets/sheet10.xml" Id="R01e76696386547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2026-10-14</x:v>
      </x:c>
      <x:c r="C4" s="10" t="n">
        <x:v>7035.18</x:v>
      </x:c>
      <x:c r="D4" s="10" t="n">
        <x:v>6891.6</x:v>
      </x:c>
      <x:c r="E4" s="12" t="n">
        <x:v>143.6</x:v>
      </x:c>
      <x:c r="F4" s="9" t="n">
        <x:v>186</x:v>
      </x:c>
      <x:c r="G4" s="10" t="n">
        <x:v>32585.6</x:v>
      </x:c>
      <x:c r="H4" s="10" t="n">
        <x:v>175.2</x:v>
      </x:c>
      <x:c r="I4" s="10" t="n">
        <x:v>180</x:v>
      </x:c>
    </x:row>
    <x:row r="5">
      <x:c r="A5" s="9" t="str">
        <x:v>中证500</x:v>
      </x:c>
      <x:c r="B5" s="9" t="str">
        <x:v>2026-10-14</x:v>
      </x:c>
      <x:c r="C5" s="10" t="n">
        <x:v>7120.11</x:v>
      </x:c>
      <x:c r="D5" s="10" t="n">
        <x:v>6969.02</x:v>
      </x:c>
      <x:c r="E5" s="12" t="n">
        <x:v>151.1</x:v>
      </x:c>
      <x:c r="F5" s="9" t="n">
        <x:v>186</x:v>
      </x:c>
      <x:c r="G5" s="10" t="n">
        <x:v>32318.8</x:v>
      </x:c>
      <x:c r="H5" s="10" t="n">
        <x:v>173.8</x:v>
      </x:c>
      <x:c r="I5" s="10" t="n">
        <x:v>160</x:v>
      </x:c>
    </x:row>
    <x:row r="6">
      <x:c r="A6" s="9" t="str">
        <x:v>上证指数</x:v>
      </x:c>
      <x:c r="B6" s="9" t="str">
        <x:v>2026-10-14</x:v>
      </x:c>
      <x:c r="C6" s="10" t="n">
        <x:v>3811.81</x:v>
      </x:c>
      <x:c r="D6" s="10" t="n">
        <x:v>3761.96</x:v>
      </x:c>
      <x:c r="E6" s="12" t="n">
        <x:v>49.8</x:v>
      </x:c>
      <x:c r="F6" s="9" t="n">
        <x:v>186</x:v>
      </x:c>
      <x:c r="G6" s="10" t="n">
        <x:v>8921.7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2026-10-14</x:v>
      </x:c>
      <x:c r="C7" s="10" t="n">
        <x:v>6925.2</x:v>
      </x:c>
      <x:c r="D7" s="10" t="n">
        <x:v>6761</x:v>
      </x:c>
      <x:c r="E7" s="12" t="n">
        <x:v>164.2</x:v>
      </x:c>
      <x:c r="F7" s="9" t="n">
        <x:v>186</x:v>
      </x:c>
      <x:c r="G7" s="10" t="n">
        <x:v>34627.2</x:v>
      </x:c>
      <x:c r="H7" s="10" t="n">
        <x:v>186.2</x:v>
      </x:c>
      <x:c r="I7" s="10" t="n">
        <x:v>190</x:v>
      </x:c>
    </x:row>
    <x:row r="8">
      <x:c r="A8" s="9" t="str">
        <x:v>IC主力</x:v>
      </x:c>
      <x:c r="B8" s="9" t="str">
        <x:v>2026-10-14</x:v>
      </x:c>
      <x:c r="C8" s="10" t="n">
        <x:v>6994.8</x:v>
      </x:c>
      <x:c r="D8" s="10" t="n">
        <x:v>6828.6</x:v>
      </x:c>
      <x:c r="E8" s="12" t="n">
        <x:v>166.2</x:v>
      </x:c>
      <x:c r="F8" s="9" t="n">
        <x:v>186</x:v>
      </x:c>
      <x:c r="G8" s="10" t="n">
        <x:v>35786.8</x:v>
      </x:c>
      <x:c r="H8" s="10" t="n">
        <x:v>192.4</x:v>
      </x:c>
      <x:c r="I8" s="10" t="n">
        <x:v>150</x:v>
      </x:c>
    </x:row>
    <x:row r="9">
      <x:c r="A9" s="9" t="str">
        <x:v>IF主力</x:v>
      </x:c>
      <x:c r="B9" s="9" t="str">
        <x:v>2026-10-14</x:v>
      </x:c>
      <x:c r="C9" s="10" t="n">
        <x:v>4217.6</x:v>
      </x:c>
      <x:c r="D9" s="10" t="n">
        <x:v>4141</x:v>
      </x:c>
      <x:c r="E9" s="12" t="n">
        <x:v>76.6</x:v>
      </x:c>
      <x:c r="F9" s="9" t="n">
        <x:v>186</x:v>
      </x:c>
      <x:c r="G9" s="10" t="n">
        <x:v>13448.6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2026-10-14</x:v>
      </x:c>
      <x:c r="C10" s="10" t="n">
        <x:v>2760.8</x:v>
      </x:c>
      <x:c r="D10" s="10" t="n">
        <x:v>2722.4</x:v>
      </x:c>
      <x:c r="E10" s="12" t="n">
        <x:v>38.4</x:v>
      </x:c>
      <x:c r="F10" s="9" t="n">
        <x:v>186</x:v>
      </x:c>
      <x:c r="G10" s="10" t="n">
        <x:v>7451.8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2026-10-14</x:v>
      </x:c>
      <x:c r="C11" s="10" t="n">
        <x:v>108380</x:v>
      </x:c>
      <x:c r="D11" s="10" t="n">
        <x:v>103000</x:v>
      </x:c>
      <x:c r="E11" s="12" t="n">
        <x:v>5380</x:v>
      </x:c>
      <x:c r="F11" s="9" t="n">
        <x:v>186</x:v>
      </x:c>
      <x:c r="G11" s="10" t="n">
        <x:v>1484000</x:v>
      </x:c>
      <x:c r="H11" s="10" t="n">
        <x:v>7978.5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10月12日-10月14日</x:v>
      </x:c>
      <x:c r="C44" s="23" t="n">
        <x:v>7132.68</x:v>
      </x:c>
      <x:c r="D44" s="23" t="n">
        <x:v>7145.06</x:v>
      </x:c>
      <x:c r="E44" s="23" t="n">
        <x:v>6796.58</x:v>
      </x:c>
      <x:c r="F44" s="23" t="n">
        <x:v>6905.17</x:v>
      </x:c>
      <x:c r="G44" s="28" t="n">
        <x:f>ROUND(F44-F43,1)</x:f>
        <x:v>-250.7</x:v>
      </x:c>
      <x:c r="H44" s="24" t="n">
        <x:f>IFERROR(F44/F43-1,"")</x:f>
        <x:v>-0.03503956869217184</x:v>
      </x:c>
      <x:c r="I44" s="26" t="n">
        <x:f>ROUND(D44-E44,1)</x:f>
        <x:v>348.5</x:v>
      </x:c>
      <x:c r="J44" s="22" t="str">
        <x:v>中证1000</x:v>
      </x:c>
      <x:c r="K44" s="22" t="n">
        <x:v>3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16451.1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411.3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10月12日-10月14日</x:v>
      </x:c>
      <x:c r="C89" s="23" t="n">
        <x:v>7226.07</x:v>
      </x:c>
      <x:c r="D89" s="23" t="n">
        <x:v>7236.78</x:v>
      </x:c>
      <x:c r="E89" s="23" t="n">
        <x:v>6904.6</x:v>
      </x:c>
      <x:c r="F89" s="23" t="n">
        <x:v>6980.11</x:v>
      </x:c>
      <x:c r="G89" s="28" t="n">
        <x:f>ROUND(F89-F88,1)</x:f>
        <x:v>-270.9</x:v>
      </x:c>
      <x:c r="H89" s="24" t="n">
        <x:f>IFERROR(F89/F88-1,"")</x:f>
        <x:v>-0.03736031256335337</x:v>
      </x:c>
      <x:c r="I89" s="26" t="n">
        <x:f>ROUND(D89-E89,1)</x:f>
        <x:v>332.2</x:v>
      </x:c>
      <x:c r="J89" s="22" t="str">
        <x:v>中证500</x:v>
      </x:c>
      <x:c r="K89" s="22" t="n">
        <x:v>3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16330.8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408.3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10月12日-10月14日</x:v>
      </x:c>
      <x:c r="C134" s="23" t="n">
        <x:v>3806.98</x:v>
      </x:c>
      <x:c r="D134" s="23" t="n">
        <x:v>3828.22</x:v>
      </x:c>
      <x:c r="E134" s="23" t="n">
        <x:v>3741.53</x:v>
      </x:c>
      <x:c r="F134" s="23" t="n">
        <x:v>3767.23</x:v>
      </x:c>
      <x:c r="G134" s="23" t="n">
        <x:f>ROUND(F134-F133,1)</x:f>
        <x:v>-46.6</x:v>
      </x:c>
      <x:c r="H134" s="24" t="n">
        <x:f>IFERROR(F134/F133-1,"")</x:f>
        <x:v>-0.01220832819845874</x:v>
      </x:c>
      <x:c r="I134" s="26" t="n">
        <x:f>ROUND(D134-E134,1)</x:f>
        <x:v>86.7</x:v>
      </x:c>
      <x:c r="J134" s="22" t="str">
        <x:v>上证指数</x:v>
      </x:c>
      <x:c r="K134" s="22" t="n">
        <x:v>3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4288.8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107.2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10月12日-10月14日</x:v>
      </x:c>
      <x:c r="C179" s="23" t="n">
        <x:v>7000</x:v>
      </x:c>
      <x:c r="D179" s="23" t="n">
        <x:v>7031.2</x:v>
      </x:c>
      <x:c r="E179" s="23" t="n">
        <x:v>6680</x:v>
      </x:c>
      <x:c r="F179" s="23" t="n">
        <x:v>6805.8</x:v>
      </x:c>
      <x:c r="G179" s="28" t="n">
        <x:f>ROUND(F179-F178,1)</x:f>
        <x:v>-210</x:v>
      </x:c>
      <x:c r="H179" s="24" t="n">
        <x:f>IFERROR(F179/F178-1,"")</x:f>
        <x:v>-0.029932438210895418</x:v>
      </x:c>
      <x:c r="I179" s="26" t="n">
        <x:f>ROUND(D179-E179,1)</x:f>
        <x:v>351.2</x:v>
      </x:c>
      <x:c r="J179" s="22" t="str">
        <x:v>IM2612</x:v>
      </x:c>
      <x:c r="K179" s="22" t="n">
        <x:v>3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17114.4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427.9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10月12日-10月14日</x:v>
      </x:c>
      <x:c r="C224" s="23" t="n">
        <x:v>7076.6</x:v>
      </x:c>
      <x:c r="D224" s="23" t="n">
        <x:v>7115.6</x:v>
      </x:c>
      <x:c r="E224" s="23" t="n">
        <x:v>6778.4</x:v>
      </x:c>
      <x:c r="F224" s="23" t="n">
        <x:v>6874.6</x:v>
      </x:c>
      <x:c r="G224" s="28" t="n">
        <x:f>ROUND(F224-F223,1)</x:f>
        <x:v>-236.4</x:v>
      </x:c>
      <x:c r="H224" s="24" t="n">
        <x:f>IFERROR(F224/F223-1,"")</x:f>
        <x:v>-0.033244269441709995</x:v>
      </x:c>
      <x:c r="I224" s="26" t="n">
        <x:f>ROUND(D224-E224,1)</x:f>
        <x:v>337.2</x:v>
      </x:c>
      <x:c r="J224" s="22" t="str">
        <x:v>IC2612</x:v>
      </x:c>
      <x:c r="K224" s="22" t="n">
        <x:v>3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17555.8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438.9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10月12日-10月14日</x:v>
      </x:c>
      <x:c r="C269" s="23" t="n">
        <x:v>4240.4</x:v>
      </x:c>
      <x:c r="D269" s="23" t="n">
        <x:v>4273.6</x:v>
      </x:c>
      <x:c r="E269" s="23" t="n">
        <x:v>4141</x:v>
      </x:c>
      <x:c r="F269" s="23" t="n">
        <x:v>4160.6</x:v>
      </x:c>
      <x:c r="G269" s="23" t="n">
        <x:f>ROUND(F269-F268,1)</x:f>
        <x:v>-84.2</x:v>
      </x:c>
      <x:c r="H269" s="24" t="n">
        <x:f>IFERROR(F269/F268-1,"")</x:f>
        <x:v>-0.019836034677723324</x:v>
      </x:c>
      <x:c r="I269" s="26" t="n">
        <x:f>ROUND(D269-E269,1)</x:f>
        <x:v>132.6</x:v>
      </x:c>
      <x:c r="J269" s="22" t="str">
        <x:v>IF2612</x:v>
      </x:c>
      <x:c r="K269" s="22" t="n">
        <x:v>3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6271.2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156.8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10月12日-10月14日</x:v>
      </x:c>
      <x:c r="C314" s="23" t="n">
        <x:v>2762</x:v>
      </x:c>
      <x:c r="D314" s="23" t="n">
        <x:v>2794</x:v>
      </x:c>
      <x:c r="E314" s="23" t="n">
        <x:v>2722.4</x:v>
      </x:c>
      <x:c r="F314" s="23" t="n">
        <x:v>2733.8</x:v>
      </x:c>
      <x:c r="G314" s="23" t="n">
        <x:f>ROUND(F314-F313,1)</x:f>
        <x:v>-30.2</x:v>
      </x:c>
      <x:c r="H314" s="24" t="n">
        <x:f>IFERROR(F314/F313-1,"")</x:f>
        <x:v>-0.010926193921852345</x:v>
      </x:c>
      <x:c r="I314" s="26" t="n">
        <x:f>ROUND(D314-E314,1)</x:f>
        <x:v>71.6</x:v>
      </x:c>
      <x:c r="J314" s="22" t="str">
        <x:v>IH2612</x:v>
      </x:c>
      <x:c r="K314" s="22" t="n">
        <x:v>3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3535.4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88.4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10月12日-10月14日</x:v>
      </x:c>
      <x:c r="C359" s="23" t="n">
        <x:v>125960</x:v>
      </x:c>
      <x:c r="D359" s="23" t="n">
        <x:v>125960</x:v>
      </x:c>
      <x:c r="E359" s="23" t="n">
        <x:v>101000</x:v>
      </x:c>
      <x:c r="F359" s="23" t="n">
        <x:v>103000</x:v>
      </x:c>
      <x:c r="G359" s="28" t="n">
        <x:f>ROUND(F359-F358,1)</x:f>
        <x:v>-18000</x:v>
      </x:c>
      <x:c r="H359" s="24" t="n">
        <x:f>IFERROR(F359/F358-1,"")</x:f>
        <x:v>-0.14876033057851235</x:v>
      </x:c>
      <x:c r="I359" s="26" t="n">
        <x:f>ROUND(D359-E359,1)</x:f>
        <x:v>24960</x:v>
      </x:c>
      <x:c r="J359" s="22" t="str">
        <x:v>LC2610</x:v>
      </x:c>
      <x:c r="K359" s="22" t="n">
        <x:v>3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792280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19807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1094.6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218.9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1033.7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206.7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307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61.4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1133.8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226.8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1103.6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220.7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440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88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217.4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43.5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45560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9112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