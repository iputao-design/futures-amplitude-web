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455163ebd94c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948bf0b4fcd49b0"/>
    <x:sheet xmlns:r="http://schemas.openxmlformats.org/officeDocument/2006/relationships" name="周振幅统计" sheetId="2" r:id="Rbc545cff208f4604"/>
    <x:sheet xmlns:r="http://schemas.openxmlformats.org/officeDocument/2006/relationships" name="中证1000" sheetId="3" r:id="R23d17b16aab549e5"/>
    <x:sheet xmlns:r="http://schemas.openxmlformats.org/officeDocument/2006/relationships" name="中证500" sheetId="4" r:id="Rae1d0531a5b04e1c"/>
    <x:sheet xmlns:r="http://schemas.openxmlformats.org/officeDocument/2006/relationships" name="上证指数" sheetId="5" r:id="R3e5cdf7f07014e1b"/>
    <x:sheet xmlns:r="http://schemas.openxmlformats.org/officeDocument/2006/relationships" name="IM主力" sheetId="6" r:id="R8c9840a3c0cd4f52"/>
    <x:sheet xmlns:r="http://schemas.openxmlformats.org/officeDocument/2006/relationships" name="IC主力" sheetId="7" r:id="R45c740eaca294b42"/>
    <x:sheet xmlns:r="http://schemas.openxmlformats.org/officeDocument/2006/relationships" name="IF主力" sheetId="8" r:id="R903c71150416465f"/>
    <x:sheet xmlns:r="http://schemas.openxmlformats.org/officeDocument/2006/relationships" name="IH主力" sheetId="9" r:id="R236cfb8ac50c4219"/>
    <x:sheet xmlns:r="http://schemas.openxmlformats.org/officeDocument/2006/relationships" name="碳酸锂2610" sheetId="10" r:id="R7ba8d188a4dc4b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9bdfdf63b4427" /><Relationship Type="http://schemas.openxmlformats.org/officeDocument/2006/relationships/theme" Target="/xl/theme/theme1.xml" Id="R15ace7e78935441b" /><Relationship Type="http://schemas.openxmlformats.org/officeDocument/2006/relationships/sharedStrings" Target="/xl/sharedStrings.xml" Id="R8412ff260d954be8" /><Relationship Type="http://schemas.openxmlformats.org/officeDocument/2006/relationships/worksheet" Target="/xl/worksheets/sheet1.xml" Id="R3948bf0b4fcd49b0" /><Relationship Type="http://schemas.openxmlformats.org/officeDocument/2006/relationships/worksheet" Target="/xl/worksheets/sheet2.xml" Id="Rbc545cff208f4604" /><Relationship Type="http://schemas.openxmlformats.org/officeDocument/2006/relationships/worksheet" Target="/xl/worksheets/sheet3.xml" Id="R23d17b16aab549e5" /><Relationship Type="http://schemas.openxmlformats.org/officeDocument/2006/relationships/worksheet" Target="/xl/worksheets/sheet4.xml" Id="Rae1d0531a5b04e1c" /><Relationship Type="http://schemas.openxmlformats.org/officeDocument/2006/relationships/worksheet" Target="/xl/worksheets/sheet5.xml" Id="R3e5cdf7f07014e1b" /><Relationship Type="http://schemas.openxmlformats.org/officeDocument/2006/relationships/worksheet" Target="/xl/worksheets/sheet6.xml" Id="R8c9840a3c0cd4f52" /><Relationship Type="http://schemas.openxmlformats.org/officeDocument/2006/relationships/worksheet" Target="/xl/worksheets/sheet7.xml" Id="R45c740eaca294b42" /><Relationship Type="http://schemas.openxmlformats.org/officeDocument/2006/relationships/worksheet" Target="/xl/worksheets/sheet8.xml" Id="R903c71150416465f" /><Relationship Type="http://schemas.openxmlformats.org/officeDocument/2006/relationships/worksheet" Target="/xl/worksheets/sheet9.xml" Id="R236cfb8ac50c4219" /><Relationship Type="http://schemas.openxmlformats.org/officeDocument/2006/relationships/worksheet" Target="/xl/worksheets/sheet10.xml" Id="R7ba8d188a4dc4b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2026-10-19</x:v>
      </x:c>
      <x:c r="C4" s="10" t="n">
        <x:v>6746.32</x:v>
      </x:c>
      <x:c r="D4" s="10" t="n">
        <x:v>6578.94</x:v>
      </x:c>
      <x:c r="E4" s="12" t="n">
        <x:v>167.4</x:v>
      </x:c>
      <x:c r="F4" s="9" t="n">
        <x:v>189</x:v>
      </x:c>
      <x:c r="G4" s="10" t="n">
        <x:v>33113.5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2026-10-19</x:v>
      </x:c>
      <x:c r="C5" s="10" t="n">
        <x:v>6848</x:v>
      </x:c>
      <x:c r="D5" s="10" t="n">
        <x:v>6692.83</x:v>
      </x:c>
      <x:c r="E5" s="12" t="n">
        <x:v>155.2</x:v>
      </x:c>
      <x:c r="F5" s="9" t="n">
        <x:v>189</x:v>
      </x:c>
      <x:c r="G5" s="10" t="n">
        <x:v>32807.5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2026-10-19</x:v>
      </x:c>
      <x:c r="C6" s="10" t="n">
        <x:v>3743.8</x:v>
      </x:c>
      <x:c r="D6" s="10" t="n">
        <x:v>3692.29</x:v>
      </x:c>
      <x:c r="E6" s="12" t="n">
        <x:v>51.5</x:v>
      </x:c>
      <x:c r="F6" s="9" t="n">
        <x:v>189</x:v>
      </x:c>
      <x:c r="G6" s="10" t="n">
        <x:v>9092.4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2026-10-19</x:v>
      </x:c>
      <x:c r="C7" s="10" t="n">
        <x:v>6680</x:v>
      </x:c>
      <x:c r="D7" s="10" t="n">
        <x:v>6505</x:v>
      </x:c>
      <x:c r="E7" s="12" t="n">
        <x:v>175</x:v>
      </x:c>
      <x:c r="F7" s="9" t="n">
        <x:v>189</x:v>
      </x:c>
      <x:c r="G7" s="10" t="n">
        <x:v>35204.8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2026-10-19</x:v>
      </x:c>
      <x:c r="C8" s="10" t="n">
        <x:v>6779.4</x:v>
      </x:c>
      <x:c r="D8" s="10" t="n">
        <x:v>6608.2</x:v>
      </x:c>
      <x:c r="E8" s="12" t="n">
        <x:v>171.2</x:v>
      </x:c>
      <x:c r="F8" s="9" t="n">
        <x:v>189</x:v>
      </x:c>
      <x:c r="G8" s="10" t="n">
        <x:v>36355.6</x:v>
      </x:c>
      <x:c r="H8" s="10" t="n">
        <x:v>192.4</x:v>
      </x:c>
      <x:c r="I8" s="10" t="n">
        <x:v>150</x:v>
      </x:c>
    </x:row>
    <x:row r="9">
      <x:c r="A9" s="9" t="str">
        <x:v>IF主力</x:v>
      </x:c>
      <x:c r="B9" s="9" t="str">
        <x:v>2026-10-19</x:v>
      </x:c>
      <x:c r="C9" s="10" t="n">
        <x:v>4140.2</x:v>
      </x:c>
      <x:c r="D9" s="10" t="n">
        <x:v>4082</x:v>
      </x:c>
      <x:c r="E9" s="12" t="n">
        <x:v>58.2</x:v>
      </x:c>
      <x:c r="F9" s="9" t="n">
        <x:v>189</x:v>
      </x:c>
      <x:c r="G9" s="10" t="n">
        <x:v>13669.6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2026-10-19</x:v>
      </x:c>
      <x:c r="C10" s="10" t="n">
        <x:v>2754.6</x:v>
      </x:c>
      <x:c r="D10" s="10" t="n">
        <x:v>2690</x:v>
      </x:c>
      <x:c r="E10" s="12" t="n">
        <x:v>64.6</x:v>
      </x:c>
      <x:c r="F10" s="9" t="n">
        <x:v>189</x:v>
      </x:c>
      <x:c r="G10" s="10" t="n">
        <x:v>7611.2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2026-10-19</x:v>
      </x:c>
      <x:c r="C11" s="10" t="n">
        <x:v>103280</x:v>
      </x:c>
      <x:c r="D11" s="10" t="n">
        <x:v>99600</x:v>
      </x:c>
      <x:c r="E11" s="12" t="n">
        <x:v>3680</x:v>
      </x:c>
      <x:c r="F11" s="9" t="n">
        <x:v>189</x:v>
      </x:c>
      <x:c r="G11" s="10" t="n">
        <x:v>1491860</x:v>
      </x:c>
      <x:c r="H11" s="10" t="n">
        <x:v>7893.4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</x:v>
      </x:c>
      <x:c r="C45" s="23" t="n">
        <x:v>6639.94</x:v>
      </x:c>
      <x:c r="D45" s="23" t="n">
        <x:v>6746.32</x:v>
      </x:c>
      <x:c r="E45" s="23" t="n">
        <x:v>6578.94</x:v>
      </x:c>
      <x:c r="F45" s="23" t="n">
        <x:v>6698.3</x:v>
      </x:c>
      <x:c r="G45" s="23" t="n">
        <x:f>ROUND(F45-F44,1)</x:f>
        <x:v>16.4</x:v>
      </x:c>
      <x:c r="H45" s="24" t="n">
        <x:f>IFERROR(F45/F44-1,"")</x:f>
        <x:v>0.002448390736822015</x:v>
      </x:c>
      <x:c r="I45" s="23" t="n">
        <x:f>ROUND(D45-E45,1)</x:f>
        <x:v>167.4</x:v>
      </x:c>
      <x:c r="J45" s="22" t="str">
        <x:v>中证1000</x:v>
      </x:c>
      <x:c r="K45" s="22" t="n">
        <x:v>1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16788.5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409.5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</x:v>
      </x:c>
      <x:c r="C91" s="23" t="n">
        <x:v>6735.53</x:v>
      </x:c>
      <x:c r="D91" s="23" t="n">
        <x:v>6848</x:v>
      </x:c>
      <x:c r="E91" s="23" t="n">
        <x:v>6692.83</x:v>
      </x:c>
      <x:c r="F91" s="23" t="n">
        <x:v>6800.66</x:v>
      </x:c>
      <x:c r="G91" s="23" t="n">
        <x:f>ROUND(F91-F90,1)</x:f>
        <x:v>27.9</x:v>
      </x:c>
      <x:c r="H91" s="24" t="n">
        <x:f>IFERROR(F91/F90-1,"")</x:f>
        <x:v>0.004120925768705375</x:v>
      </x:c>
      <x:c r="I91" s="23" t="n">
        <x:f>ROUND(D91-E91,1)</x:f>
        <x:v>155.2</x:v>
      </x:c>
      <x:c r="J91" s="22" t="str">
        <x:v>中证500</x:v>
      </x:c>
      <x:c r="K91" s="22" t="n">
        <x:v>1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16670.8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406.6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</x:v>
      </x:c>
      <x:c r="C137" s="23" t="n">
        <x:v>3694.12</x:v>
      </x:c>
      <x:c r="D137" s="23" t="n">
        <x:v>3743.8</x:v>
      </x:c>
      <x:c r="E137" s="23" t="n">
        <x:v>3692.29</x:v>
      </x:c>
      <x:c r="F137" s="23" t="n">
        <x:v>3730.92</x:v>
      </x:c>
      <x:c r="G137" s="23" t="n">
        <x:f>ROUND(F137-F136,1)</x:f>
        <x:v>14.6</x:v>
      </x:c>
      <x:c r="H137" s="24" t="n">
        <x:f>IFERROR(F137/F136-1,"")</x:f>
        <x:v>0.003939423294262001</x:v>
      </x:c>
      <x:c r="I137" s="26" t="n">
        <x:f>ROUND(D137-E137,1)</x:f>
        <x:v>51.5</x:v>
      </x:c>
      <x:c r="J137" s="22" t="str">
        <x:v>上证指数</x:v>
      </x:c>
      <x:c r="K137" s="22" t="n">
        <x:v>1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4407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107.5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</x:v>
      </x:c>
      <x:c r="C183" s="23" t="n">
        <x:v>6577.2</x:v>
      </x:c>
      <x:c r="D183" s="23" t="n">
        <x:v>6680</x:v>
      </x:c>
      <x:c r="E183" s="23" t="n">
        <x:v>6505</x:v>
      </x:c>
      <x:c r="F183" s="23" t="n">
        <x:v>6621.8</x:v>
      </x:c>
      <x:c r="G183" s="23" t="n">
        <x:f>ROUND(F183-F182,1)</x:f>
        <x:v>38.2</x:v>
      </x:c>
      <x:c r="H183" s="24" t="n">
        <x:f>IFERROR(F183/F182-1,"")</x:f>
        <x:v>0.005802296615833313</x:v>
      </x:c>
      <x:c r="I183" s="23" t="n">
        <x:f>ROUND(D183-E183,1)</x:f>
        <x:v>175</x:v>
      </x:c>
      <x:c r="J183" s="22" t="str">
        <x:v>IM2612</x:v>
      </x:c>
      <x:c r="K183" s="22" t="n">
        <x:v>1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17449.8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425.6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</x:v>
      </x:c>
      <x:c r="C229" s="23" t="n">
        <x:v>6670.2</x:v>
      </x:c>
      <x:c r="D229" s="23" t="n">
        <x:v>6779.4</x:v>
      </x:c>
      <x:c r="E229" s="23" t="n">
        <x:v>6608.2</x:v>
      </x:c>
      <x:c r="F229" s="23" t="n">
        <x:v>6719.8</x:v>
      </x:c>
      <x:c r="G229" s="23" t="n">
        <x:f>ROUND(F229-F228,1)</x:f>
        <x:v>52</x:v>
      </x:c>
      <x:c r="H229" s="24" t="n">
        <x:f>IFERROR(F229/F228-1,"")</x:f>
        <x:v>0.007798674225381719</x:v>
      </x:c>
      <x:c r="I229" s="26" t="n">
        <x:f>ROUND(D229-E229,1)</x:f>
        <x:v>171.2</x:v>
      </x:c>
      <x:c r="J229" s="22" t="str">
        <x:v>IC2612</x:v>
      </x:c>
      <x:c r="K229" s="22" t="n">
        <x:v>1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17922.2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437.1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</x:v>
      </x:c>
      <x:c r="C275" s="23" t="n">
        <x:v>4086.4</x:v>
      </x:c>
      <x:c r="D275" s="23" t="n">
        <x:v>4140.2</x:v>
      </x:c>
      <x:c r="E275" s="23" t="n">
        <x:v>4082</x:v>
      </x:c>
      <x:c r="F275" s="23" t="n">
        <x:v>4110.4</x:v>
      </x:c>
      <x:c r="G275" s="23" t="n">
        <x:f>ROUND(F275-F274,1)</x:f>
        <x:v>21.6</x:v>
      </x:c>
      <x:c r="H275" s="24" t="n">
        <x:f>IFERROR(F275/F274-1,"")</x:f>
        <x:v>0.00528272353746817</x:v>
      </x:c>
      <x:c r="I275" s="23" t="n">
        <x:f>ROUND(D275-E275,1)</x:f>
        <x:v>58.2</x:v>
      </x:c>
      <x:c r="J275" s="22" t="str">
        <x:v>IF2612</x:v>
      </x:c>
      <x:c r="K275" s="22" t="n">
        <x:v>1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6425.2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156.7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</x:v>
      </x:c>
      <x:c r="C321" s="23" t="n">
        <x:v>2690</x:v>
      </x:c>
      <x:c r="D321" s="23" t="n">
        <x:v>2754.6</x:v>
      </x:c>
      <x:c r="E321" s="23" t="n">
        <x:v>2690</x:v>
      </x:c>
      <x:c r="F321" s="23" t="n">
        <x:v>2737.2</x:v>
      </x:c>
      <x:c r="G321" s="23" t="n">
        <x:f>ROUND(F321-F320,1)</x:f>
        <x:v>32.6</x:v>
      </x:c>
      <x:c r="H321" s="24" t="n">
        <x:f>IFERROR(F321/F320-1,"")</x:f>
        <x:v>0.01205353841603185</x:v>
      </x:c>
      <x:c r="I321" s="26" t="n">
        <x:f>ROUND(D321-E321,1)</x:f>
        <x:v>64.6</x:v>
      </x:c>
      <x:c r="J321" s="22" t="str">
        <x:v>IH2612</x:v>
      </x:c>
      <x:c r="K321" s="22" t="n">
        <x:v>1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3644.8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88.9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</x:v>
      </x:c>
      <x:c r="C367" s="23" t="n">
        <x:v>99600</x:v>
      </x:c>
      <x:c r="D367" s="23" t="n">
        <x:v>103280</x:v>
      </x:c>
      <x:c r="E367" s="23" t="n">
        <x:v>99600</x:v>
      </x:c>
      <x:c r="F367" s="23" t="n">
        <x:v>103180</x:v>
      </x:c>
      <x:c r="G367" s="28" t="n">
        <x:f>ROUND(F367-F366,1)</x:f>
        <x:v>3680</x:v>
      </x:c>
      <x:c r="H367" s="24" t="n">
        <x:f>IFERROR(F367/F366-1,"")</x:f>
        <x:v>0.036984924623115534</x:v>
      </x:c>
      <x:c r="I367" s="23" t="n">
        <x:f>ROUND(D367-E367,1)</x:f>
        <x:v>3680</x:v>
      </x:c>
      <x:c r="J367" s="22" t="str">
        <x:v>LC2610</x:v>
      </x:c>
      <x:c r="K367" s="22" t="n">
        <x:v>1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797460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19450.2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1622.5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202.8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1522.4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190.3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477.7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59.7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1711.4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213.9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1672.4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209.1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661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82.6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376.8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47.1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53420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6677.5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