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4c2000b2354f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9a2429961a14493a"/>
    <x:sheet xmlns:r="http://schemas.openxmlformats.org/officeDocument/2006/relationships" name="中证1000" sheetId="2" r:id="R221b58d075904301"/>
    <x:sheet xmlns:r="http://schemas.openxmlformats.org/officeDocument/2006/relationships" name="中证500" sheetId="3" r:id="R9da707cf8e3d467a"/>
    <x:sheet xmlns:r="http://schemas.openxmlformats.org/officeDocument/2006/relationships" name="上证指数" sheetId="4" r:id="Rb48f6db8ff43401c"/>
    <x:sheet xmlns:r="http://schemas.openxmlformats.org/officeDocument/2006/relationships" name="IM主力" sheetId="5" r:id="R602768505bd24b47"/>
    <x:sheet xmlns:r="http://schemas.openxmlformats.org/officeDocument/2006/relationships" name="IC主力" sheetId="6" r:id="R30e2c3fa536e466d"/>
    <x:sheet xmlns:r="http://schemas.openxmlformats.org/officeDocument/2006/relationships" name="IF主力" sheetId="7" r:id="Ra81581c160c54bde"/>
    <x:sheet xmlns:r="http://schemas.openxmlformats.org/officeDocument/2006/relationships" name="IH主力" sheetId="8" r:id="Ra69471f60d1742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eeba1649bf451f" /><Relationship Type="http://schemas.openxmlformats.org/officeDocument/2006/relationships/theme" Target="/xl/theme/theme1.xml" Id="Ra09e845b8bb24d08" /><Relationship Type="http://schemas.openxmlformats.org/officeDocument/2006/relationships/sharedStrings" Target="/xl/sharedStrings.xml" Id="R5ba1ae7435e1441e" /><Relationship Type="http://schemas.openxmlformats.org/officeDocument/2006/relationships/worksheet" Target="/xl/worksheets/sheet1.xml" Id="R9a2429961a14493a" /><Relationship Type="http://schemas.openxmlformats.org/officeDocument/2006/relationships/worksheet" Target="/xl/worksheets/sheet2.xml" Id="R221b58d075904301" /><Relationship Type="http://schemas.openxmlformats.org/officeDocument/2006/relationships/worksheet" Target="/xl/worksheets/sheet3.xml" Id="R9da707cf8e3d467a" /><Relationship Type="http://schemas.openxmlformats.org/officeDocument/2006/relationships/worksheet" Target="/xl/worksheets/sheet4.xml" Id="Rb48f6db8ff43401c" /><Relationship Type="http://schemas.openxmlformats.org/officeDocument/2006/relationships/worksheet" Target="/xl/worksheets/sheet5.xml" Id="R602768505bd24b47" /><Relationship Type="http://schemas.openxmlformats.org/officeDocument/2006/relationships/worksheet" Target="/xl/worksheets/sheet6.xml" Id="R30e2c3fa536e466d" /><Relationship Type="http://schemas.openxmlformats.org/officeDocument/2006/relationships/worksheet" Target="/xl/worksheets/sheet7.xml" Id="Ra81581c160c54bde" /><Relationship Type="http://schemas.openxmlformats.org/officeDocument/2006/relationships/worksheet" Target="/xl/worksheets/sheet8.xml" Id="Ra69471f60d17429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2026-07-17</x:v>
      </x:c>
      <x:c r="C4" s="10" t="n">
        <x:v>7605.613</x:v>
      </x:c>
      <x:c r="D4" s="10" t="n">
        <x:v>7163.309</x:v>
      </x:c>
      <x:c r="E4" s="12" t="n">
        <x:v>442.3</x:v>
      </x:c>
      <x:c r="F4" s="9" t="n">
        <x:v>129</x:v>
      </x:c>
      <x:c r="G4" s="10" t="n">
        <x:v>22480.7</x:v>
      </x:c>
      <x:c r="H4" s="10" t="n">
        <x:v>174.3</x:v>
      </x:c>
      <x:c r="I4" s="10" t="n">
        <x:v>180</x:v>
      </x:c>
    </x:row>
    <x:row r="5">
      <x:c r="A5" s="9" t="str">
        <x:v>中证500</x:v>
      </x:c>
      <x:c r="B5" s="9" t="str">
        <x:v>2026-07-17</x:v>
      </x:c>
      <x:c r="C5" s="10" t="n">
        <x:v>7908.739</x:v>
      </x:c>
      <x:c r="D5" s="10" t="n">
        <x:v>7474.151</x:v>
      </x:c>
      <x:c r="E5" s="12" t="n">
        <x:v>434.6</x:v>
      </x:c>
      <x:c r="F5" s="9" t="n">
        <x:v>129</x:v>
      </x:c>
      <x:c r="G5" s="10" t="n">
        <x:v>22694.1</x:v>
      </x:c>
      <x:c r="H5" s="10" t="n">
        <x:v>175.9</x:v>
      </x:c>
      <x:c r="I5" s="10" t="n">
        <x:v>160</x:v>
      </x:c>
    </x:row>
    <x:row r="6">
      <x:c r="A6" s="9" t="str">
        <x:v>上证指数</x:v>
      </x:c>
      <x:c r="B6" s="9" t="str">
        <x:v>2026-07-17</x:v>
      </x:c>
      <x:c r="C6" s="10" t="n">
        <x:v>3869.215</x:v>
      </x:c>
      <x:c r="D6" s="10" t="n">
        <x:v>3745.174</x:v>
      </x:c>
      <x:c r="E6" s="12" t="n">
        <x:v>124</x:v>
      </x:c>
      <x:c r="F6" s="9" t="n">
        <x:v>129</x:v>
      </x:c>
      <x:c r="G6" s="10" t="n">
        <x:v>6367.9</x:v>
      </x:c>
      <x:c r="H6" s="10" t="n">
        <x:v>49.4</x:v>
      </x:c>
      <x:c r="I6" s="10" t="n">
        <x:v>50</x:v>
      </x:c>
    </x:row>
    <x:row r="7">
      <x:c r="A7" s="9" t="str">
        <x:v>IM主力</x:v>
      </x:c>
      <x:c r="B7" s="9" t="str">
        <x:v>2026-07-17</x:v>
      </x:c>
      <x:c r="C7" s="10" t="n">
        <x:v>7534.6</x:v>
      </x:c>
      <x:c r="D7" s="10" t="n">
        <x:v>7018.8</x:v>
      </x:c>
      <x:c r="E7" s="12" t="n">
        <x:v>515.8</x:v>
      </x:c>
      <x:c r="F7" s="9" t="n">
        <x:v>129</x:v>
      </x:c>
      <x:c r="G7" s="10" t="n">
        <x:v>23885.6</x:v>
      </x:c>
      <x:c r="H7" s="10" t="n">
        <x:v>185.2</x:v>
      </x:c>
      <x:c r="I7" s="10" t="n">
        <x:v>190</x:v>
      </x:c>
    </x:row>
    <x:row r="8">
      <x:c r="A8" s="9" t="str">
        <x:v>IC主力</x:v>
      </x:c>
      <x:c r="B8" s="9" t="str">
        <x:v>2026-07-17</x:v>
      </x:c>
      <x:c r="C8" s="10" t="n">
        <x:v>7848.2</x:v>
      </x:c>
      <x:c r="D8" s="10" t="n">
        <x:v>7362.8</x:v>
      </x:c>
      <x:c r="E8" s="12" t="n">
        <x:v>485.4</x:v>
      </x:c>
      <x:c r="F8" s="9" t="n">
        <x:v>129</x:v>
      </x:c>
      <x:c r="G8" s="10" t="n">
        <x:v>25300.2</x:v>
      </x:c>
      <x:c r="H8" s="10" t="n">
        <x:v>196.1</x:v>
      </x:c>
      <x:c r="I8" s="10" t="n">
        <x:v>150</x:v>
      </x:c>
    </x:row>
    <x:row r="9">
      <x:c r="A9" s="9" t="str">
        <x:v>IF主力</x:v>
      </x:c>
      <x:c r="B9" s="9" t="str">
        <x:v>2026-07-17</x:v>
      </x:c>
      <x:c r="C9" s="10" t="n">
        <x:v>4633.8</x:v>
      </x:c>
      <x:c r="D9" s="10" t="n">
        <x:v>4441.4</x:v>
      </x:c>
      <x:c r="E9" s="12" t="n">
        <x:v>192.4</x:v>
      </x:c>
      <x:c r="F9" s="9" t="n">
        <x:v>129</x:v>
      </x:c>
      <x:c r="G9" s="10" t="n">
        <x:v>9581.4</x:v>
      </x:c>
      <x:c r="H9" s="10" t="n">
        <x:v>74.3</x:v>
      </x:c>
      <x:c r="I9" s="10" t="n">
        <x:v>90</x:v>
      </x:c>
    </x:row>
    <x:row r="10">
      <x:c r="A10" s="9" t="str">
        <x:v>IH主力</x:v>
      </x:c>
      <x:c r="B10" s="9" t="str">
        <x:v>2026-07-17</x:v>
      </x:c>
      <x:c r="C10" s="10" t="n">
        <x:v>2864.8</x:v>
      </x:c>
      <x:c r="D10" s="10" t="n">
        <x:v>2782.6</x:v>
      </x:c>
      <x:c r="E10" s="12" t="n">
        <x:v>82.2</x:v>
      </x:c>
      <x:c r="F10" s="9" t="n">
        <x:v>129</x:v>
      </x:c>
      <x:c r="G10" s="10" t="n">
        <x:v>5387.4</x:v>
      </x:c>
      <x:c r="H10" s="10" t="n">
        <x:v>41.8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2026-07-17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8124.363</x:v>
      </x:c>
      <x:c r="E159" s="24" t="n">
        <x:v>8171.504</x:v>
      </x:c>
      <x:c r="F159" s="24" t="n">
        <x:v>7769.292</x:v>
      </x:c>
      <x:c r="G159" s="24" t="n">
        <x:v>7787.853</x:v>
      </x:c>
      <x:c r="H159" s="27" t="n">
        <x:v>-410.5</x:v>
      </x:c>
      <x:c r="I159" s="25" t="n">
        <x:v>-0.050065818459126055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7799.813</x:v>
      </x:c>
      <x:c r="E160" s="24" t="n">
        <x:v>7934.103</x:v>
      </x:c>
      <x:c r="F160" s="24" t="n">
        <x:v>7657.671</x:v>
      </x:c>
      <x:c r="G160" s="24" t="n">
        <x:v>7925.123</x:v>
      </x:c>
      <x:c r="H160" s="24" t="n">
        <x:v>137.3</x:v>
      </x:c>
      <x:c r="I160" s="25" t="n">
        <x:v>0.017626167314662933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7959.374</x:v>
      </x:c>
      <x:c r="E161" s="24" t="n">
        <x:v>7979.077</x:v>
      </x:c>
      <x:c r="F161" s="24" t="n">
        <x:v>7783.219</x:v>
      </x:c>
      <x:c r="G161" s="24" t="n">
        <x:v>7817.831</x:v>
      </x:c>
      <x:c r="H161" s="24" t="n">
        <x:v>-107.3</x:v>
      </x:c>
      <x:c r="I161" s="25" t="n">
        <x:v>-0.01353821259304111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7713.135</x:v>
      </x:c>
      <x:c r="E162" s="24" t="n">
        <x:v>7836.39</x:v>
      </x:c>
      <x:c r="F162" s="24" t="n">
        <x:v>7591.421</x:v>
      </x:c>
      <x:c r="G162" s="24" t="n">
        <x:v>7631.762</x:v>
      </x:c>
      <x:c r="H162" s="27" t="n">
        <x:v>-186.1</x:v>
      </x:c>
      <x:c r="I162" s="25" t="n">
        <x:v>-0.02380059123815803</x:v>
      </x:c>
      <x:c r="J162" s="29" t="n">
        <x:f>ROUND(E162-F162,1)</x:f>
        <x:v>245</x:v>
      </x:c>
      <x:c r="K162" s="23" t="str">
        <x:v>中证1000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7599.388</x:v>
      </x:c>
      <x:c r="E163" s="34" t="n">
        <x:v>7605.613</x:v>
      </x:c>
      <x:c r="F163" s="34" t="n">
        <x:v>7163.309</x:v>
      </x:c>
      <x:c r="G163" s="34" t="n">
        <x:v>7167.996</x:v>
      </x:c>
      <x:c r="H163" s="27" t="n">
        <x:v>-463.8</x:v>
      </x:c>
      <x:c r="I163" s="35" t="n">
        <x:v>-0.06076788034008396</x:v>
      </x:c>
      <x:c r="J163" s="29" t="n">
        <x:f>ROUND(E163-F163,1)</x:f>
        <x:v>442.3</x:v>
      </x:c>
      <x:c r="K163" s="33" t="str">
        <x:v>中证1000</x:v>
      </x:c>
    </x:row>
    <x:row r="164">
      <x:c r="A164" s="38" t="str">
        <x:v>合计</x:v>
      </x:c>
      <x:c r="B164" s="37" t="n">
        <x:v>13</x:v>
      </x:c>
      <x:c r="C164" s="37"/>
      <x:c r="D164" s="37"/>
      <x:c r="E164" s="37"/>
      <x:c r="F164" s="37"/>
      <x:c r="G164" s="37"/>
      <x:c r="H164" s="37"/>
      <x:c r="I164" s="37"/>
      <x:c r="J164" s="39" t="n">
        <x:f>ROUND(SUM(J151:J163),1)</x:f>
        <x:v>3422.6</x:v>
      </x:c>
      <x:c r="K164" s="37"/>
    </x:row>
    <x:row r="165">
      <x:c r="A165" s="38" t="str">
        <x:v>均值</x:v>
      </x:c>
      <x:c r="B165" s="37"/>
      <x:c r="C165" s="37"/>
      <x:c r="D165" s="37"/>
      <x:c r="E165" s="37"/>
      <x:c r="F165" s="37"/>
      <x:c r="G165" s="37"/>
      <x:c r="H165" s="37"/>
      <x:c r="I165" s="37"/>
      <x:c r="J165" s="41" t="n">
        <x:f>ROUND(IFERROR(AVERAGE(J151:J163),0),1)</x:f>
        <x:v>263.3</x:v>
      </x:c>
      <x:c r="K16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8409.143</x:v>
      </x:c>
      <x:c r="E159" s="24" t="n">
        <x:v>8457.692</x:v>
      </x:c>
      <x:c r="F159" s="24" t="n">
        <x:v>8106.269</x:v>
      </x:c>
      <x:c r="G159" s="24" t="n">
        <x:v>8138.144</x:v>
      </x:c>
      <x:c r="H159" s="27" t="n">
        <x:v>-365.8</x:v>
      </x:c>
      <x:c r="I159" s="25" t="n">
        <x:v>-0.04301837341637216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8135.046</x:v>
      </x:c>
      <x:c r="E160" s="24" t="n">
        <x:v>8275.96</x:v>
      </x:c>
      <x:c r="F160" s="24" t="n">
        <x:v>7955.308</x:v>
      </x:c>
      <x:c r="G160" s="24" t="n">
        <x:v>8275.939</x:v>
      </x:c>
      <x:c r="H160" s="24" t="n">
        <x:v>137.8</x:v>
      </x:c>
      <x:c r="I160" s="25" t="n">
        <x:v>0.016931993339021734</x:v>
      </x:c>
      <x:c r="J160" s="29" t="n">
        <x:f>ROUND(E160-F160,1)</x:f>
        <x:v>320.7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8294.142</x:v>
      </x:c>
      <x:c r="E161" s="24" t="n">
        <x:v>8305.272</x:v>
      </x:c>
      <x:c r="F161" s="24" t="n">
        <x:v>8117.459</x:v>
      </x:c>
      <x:c r="G161" s="24" t="n">
        <x:v>8147.579</x:v>
      </x:c>
      <x:c r="H161" s="24" t="n">
        <x:v>-128.4</x:v>
      </x:c>
      <x:c r="I161" s="25" t="n">
        <x:v>-0.015510022488082642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8006.449</x:v>
      </x:c>
      <x:c r="E162" s="24" t="n">
        <x:v>8148.042</x:v>
      </x:c>
      <x:c r="F162" s="24" t="n">
        <x:v>7907.097</x:v>
      </x:c>
      <x:c r="G162" s="24" t="n">
        <x:v>7955.664</x:v>
      </x:c>
      <x:c r="H162" s="27" t="n">
        <x:v>-191.9</x:v>
      </x:c>
      <x:c r="I162" s="25" t="n">
        <x:v>-0.02355484985171663</x:v>
      </x:c>
      <x:c r="J162" s="29" t="n">
        <x:f>ROUND(E162-F162,1)</x:f>
        <x:v>240.9</x:v>
      </x:c>
      <x:c r="K162" s="23" t="str">
        <x:v>中证500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7900.097</x:v>
      </x:c>
      <x:c r="E163" s="34" t="n">
        <x:v>7908.739</x:v>
      </x:c>
      <x:c r="F163" s="34" t="n">
        <x:v>7474.151</x:v>
      </x:c>
      <x:c r="G163" s="34" t="n">
        <x:v>7513.763</x:v>
      </x:c>
      <x:c r="H163" s="27" t="n">
        <x:v>-441.9</x:v>
      </x:c>
      <x:c r="I163" s="35" t="n">
        <x:v>-0.05554545792783605</x:v>
      </x:c>
      <x:c r="J163" s="29" t="n">
        <x:f>ROUND(E163-F163,1)</x:f>
        <x:v>434.6</x:v>
      </x:c>
      <x:c r="K163" s="33" t="str">
        <x:v>中证500</x:v>
      </x:c>
    </x:row>
    <x:row r="164">
      <x:c r="A164" s="38" t="str">
        <x:v>合计</x:v>
      </x:c>
      <x:c r="B164" s="37" t="n">
        <x:v>13</x:v>
      </x:c>
      <x:c r="C164" s="37"/>
      <x:c r="D164" s="37"/>
      <x:c r="E164" s="37"/>
      <x:c r="F164" s="37"/>
      <x:c r="G164" s="37"/>
      <x:c r="H164" s="37"/>
      <x:c r="I164" s="37"/>
      <x:c r="J164" s="39" t="n">
        <x:f>ROUND(SUM(J151:J163),1)</x:f>
        <x:v>3559.9</x:v>
      </x:c>
      <x:c r="K164" s="37"/>
    </x:row>
    <x:row r="165">
      <x:c r="A165" s="38" t="str">
        <x:v>均值</x:v>
      </x:c>
      <x:c r="B165" s="37"/>
      <x:c r="C165" s="37"/>
      <x:c r="D165" s="37"/>
      <x:c r="E165" s="37"/>
      <x:c r="F165" s="37"/>
      <x:c r="G165" s="37"/>
      <x:c r="H165" s="37"/>
      <x:c r="I165" s="37"/>
      <x:c r="J165" s="41" t="n">
        <x:f>ROUND(IFERROR(AVERAGE(J151:J163),0),1)</x:f>
        <x:v>273.8</x:v>
      </x:c>
      <x:c r="K16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3966.023</x:v>
      </x:c>
      <x:c r="E159" s="24" t="n">
        <x:v>3983.054</x:v>
      </x:c>
      <x:c r="F159" s="24" t="n">
        <x:v>3900.668</x:v>
      </x:c>
      <x:c r="G159" s="24" t="n">
        <x:v>3913.794</x:v>
      </x:c>
      <x:c r="H159" s="24" t="n">
        <x:v>-82.4</x:v>
      </x:c>
      <x:c r="I159" s="25" t="n">
        <x:v>-0.020611777000031473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3909.274</x:v>
      </x:c>
      <x:c r="E160" s="24" t="n">
        <x:v>3967.126</x:v>
      </x:c>
      <x:c r="F160" s="24" t="n">
        <x:v>3869.304</x:v>
      </x:c>
      <x:c r="G160" s="24" t="n">
        <x:v>3967.126</x:v>
      </x:c>
      <x:c r="H160" s="24" t="n">
        <x:v>53.3</x:v>
      </x:c>
      <x:c r="I160" s="25" t="n">
        <x:v>0.01362667529256778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3963.727</x:v>
      </x:c>
      <x:c r="E161" s="24" t="n">
        <x:v>3981.672</x:v>
      </x:c>
      <x:c r="F161" s="24" t="n">
        <x:v>3943.695</x:v>
      </x:c>
      <x:c r="G161" s="24" t="n">
        <x:v>3955.578</x:v>
      </x:c>
      <x:c r="H161" s="24" t="n">
        <x:v>-11.5</x:v>
      </x:c>
      <x:c r="I161" s="25" t="n">
        <x:v>-0.002910923424161549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3912.381</x:v>
      </x:c>
      <x:c r="E162" s="24" t="n">
        <x:v>3940.451</x:v>
      </x:c>
      <x:c r="F162" s="24" t="n">
        <x:v>3867.601</x:v>
      </x:c>
      <x:c r="G162" s="24" t="n">
        <x:v>3882.413</x:v>
      </x:c>
      <x:c r="H162" s="24" t="n">
        <x:v>-73.2</x:v>
      </x:c>
      <x:c r="I162" s="25" t="n">
        <x:v>-0.01849666470993616</x:v>
      </x:c>
      <x:c r="J162" s="29" t="n">
        <x:f>ROUND(E162-F162,1)</x:f>
        <x:v>72.8</x:v>
      </x:c>
      <x:c r="K162" s="23" t="str">
        <x:v>上证指数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3865.317</x:v>
      </x:c>
      <x:c r="E163" s="34" t="n">
        <x:v>3869.215</x:v>
      </x:c>
      <x:c r="F163" s="34" t="n">
        <x:v>3745.174</x:v>
      </x:c>
      <x:c r="G163" s="34" t="n">
        <x:v>3764.155</x:v>
      </x:c>
      <x:c r="H163" s="34" t="n">
        <x:v>-118.3</x:v>
      </x:c>
      <x:c r="I163" s="35" t="n">
        <x:v>-0.030459922733619527</x:v>
      </x:c>
      <x:c r="J163" s="29" t="n">
        <x:f>ROUND(E163-F163,1)</x:f>
        <x:v>124</x:v>
      </x:c>
      <x:c r="K163" s="33" t="str">
        <x:v>上证指数</x:v>
      </x:c>
    </x:row>
    <x:row r="164">
      <x:c r="A164" s="38" t="str">
        <x:v>合计</x:v>
      </x:c>
      <x:c r="B164" s="37" t="n">
        <x:v>13</x:v>
      </x:c>
      <x:c r="C164" s="37"/>
      <x:c r="D164" s="37"/>
      <x:c r="E164" s="37"/>
      <x:c r="F164" s="37"/>
      <x:c r="G164" s="37"/>
      <x:c r="H164" s="37"/>
      <x:c r="I164" s="37"/>
      <x:c r="J164" s="39" t="n">
        <x:f>ROUND(SUM(J151:J163),1)</x:f>
        <x:v>932.2</x:v>
      </x:c>
      <x:c r="K164" s="37"/>
    </x:row>
    <x:row r="165">
      <x:c r="A165" s="38" t="str">
        <x:v>均值</x:v>
      </x:c>
      <x:c r="B165" s="37"/>
      <x:c r="C165" s="37"/>
      <x:c r="D165" s="37"/>
      <x:c r="E165" s="37"/>
      <x:c r="F165" s="37"/>
      <x:c r="G165" s="37"/>
      <x:c r="H165" s="37"/>
      <x:c r="I165" s="37"/>
      <x:c r="J165" s="41" t="n">
        <x:f>ROUND(IFERROR(AVERAGE(J151:J163),0),1)</x:f>
        <x:v>71.7</x:v>
      </x:c>
      <x:c r="K16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7" t="n">
        <x:v>202.8</x:v>
      </x:c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 t="n">
        <x:v>123.4</x:v>
      </x:c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 t="n">
        <x:v>-2.2</x:v>
      </x:c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 t="n">
        <x:v>60.4</x:v>
      </x:c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7" t="n">
        <x:v>227.8</x:v>
      </x:c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7" t="n">
        <x:v>263</x:v>
      </x:c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7" t="n">
        <x:v>-151</x:v>
      </x:c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 t="n">
        <x:v>-4.4</x:v>
      </x:c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 t="n">
        <x:v>39.4</x:v>
      </x:c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 t="n">
        <x:v>-16.2</x:v>
      </x:c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 t="n">
        <x:v>7.4</x:v>
      </x:c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 t="n">
        <x:v>-65.8</x:v>
      </x:c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 t="n">
        <x:v>110.2</x:v>
      </x:c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 t="n">
        <x:v>61.6</x:v>
      </x:c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7" t="n">
        <x:v>224</x:v>
      </x:c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7" t="n">
        <x:v>-227.4</x:v>
      </x:c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 t="n">
        <x:v>68</x:v>
      </x:c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 t="n">
        <x:v>20.6</x:v>
      </x:c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 t="n">
        <x:v>-48.8</x:v>
      </x:c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 t="n">
        <x:v>-68.4</x:v>
      </x:c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7" t="n">
        <x:v>-388.8</x:v>
      </x:c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7" t="n">
        <x:v>311.2</x:v>
      </x:c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 t="n">
        <x:v>20.4</x:v>
      </x:c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7" t="n">
        <x:v>-163.6</x:v>
      </x:c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 t="n">
        <x:v>-49</x:v>
      </x:c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7" t="n">
        <x:v>241.8</x:v>
      </x:c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 t="n">
        <x:v>-3.6</x:v>
      </x:c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 t="n">
        <x:v>12</x:v>
      </x:c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 t="n">
        <x:v>97</x:v>
      </x:c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 t="n">
        <x:v>-149</x:v>
      </x:c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 t="n">
        <x:v>82</x:v>
      </x:c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 t="n">
        <x:v>134.6</x:v>
      </x:c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 t="n">
        <x:v>37.8</x:v>
      </x:c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 t="n">
        <x:v>88</x:v>
      </x:c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 t="n">
        <x:v>-107.6</x:v>
      </x:c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7" t="n">
        <x:v>-294.4</x:v>
      </x:c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 t="n">
        <x:v>-65.2</x:v>
      </x:c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 t="n">
        <x:v>65.8</x:v>
      </x:c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 t="n">
        <x:v>81.8</x:v>
      </x:c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 t="n">
        <x:v>-20.8</x:v>
      </x:c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 t="n">
        <x:v>122.6</x:v>
      </x:c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 t="n">
        <x:v>-0.6</x:v>
      </x:c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 t="n">
        <x:v>-35.8</x:v>
      </x:c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 t="n">
        <x:v>-90.2</x:v>
      </x:c>
      <x:c r="I58" s="25" t="n">
        <x:v>-0.010897404919538056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 t="n">
        <x:v>0</x:v>
      </x:c>
      <x:c r="I59" s="25" t="n">
        <x:v>0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7" t="n">
        <x:v>-173</x:v>
      </x:c>
      <x:c r="I60" s="25" t="n">
        <x:v>-0.02113106143886645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 t="n">
        <x:v>66.4</x:v>
      </x:c>
      <x:c r="I61" s="25" t="n">
        <x:v>0.008285500374344945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7" t="n">
        <x:v>-156.6</x:v>
      </x:c>
      <x:c r="I62" s="25" t="n">
        <x:v>-0.019380228701549318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 t="n">
        <x:v>-47.6</x:v>
      </x:c>
      <x:c r="I63" s="35" t="n">
        <x:v>-0.006007218758676491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7" t="n">
        <x:v>-686.2</x:v>
      </x:c>
      <x:c r="I64" s="25" t="n">
        <x:v>-0.08712323201543892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7" t="n">
        <x:v>197.2</x:v>
      </x:c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 t="n">
        <x:v>90.2</x:v>
      </x:c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 t="n">
        <x:v>-101.8</x:v>
      </x:c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 t="n">
        <x:v>148.2</x:v>
      </x:c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 t="n">
        <x:v>-14.4</x:v>
      </x:c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 t="n">
        <x:v>-130</x:v>
      </x:c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 t="n">
        <x:v>139.2</x:v>
      </x:c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 t="n">
        <x:v>-147</x:v>
      </x:c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 t="n">
        <x:v>-62.2</x:v>
      </x:c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 t="n">
        <x:v>67.2</x:v>
      </x:c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7" t="n">
        <x:v>401.4</x:v>
      </x:c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 t="n">
        <x:v>-68.6</x:v>
      </x:c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 t="n">
        <x:v>76.4</x:v>
      </x:c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 t="n">
        <x:v>9.8</x:v>
      </x:c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 t="n">
        <x:v>117.4</x:v>
      </x:c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 t="n">
        <x:v>-8.4</x:v>
      </x:c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 t="n">
        <x:v>147.6</x:v>
      </x:c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 t="n">
        <x:v>79.8</x:v>
      </x:c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 t="n">
        <x:v>27.2</x:v>
      </x:c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 t="n">
        <x:v>10.8</x:v>
      </x:c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7" t="n">
        <x:v>152.8</x:v>
      </x:c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 t="n">
        <x:v>-103.6</x:v>
      </x:c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 t="n">
        <x:v>-56.2</x:v>
      </x:c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 t="n">
        <x:v>36.2</x:v>
      </x:c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 t="n">
        <x:v>-95.6</x:v>
      </x:c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 t="n">
        <x:v>142.4</x:v>
      </x:c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 t="n">
        <x:v>33.2</x:v>
      </x:c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7" t="n">
        <x:v>182.4</x:v>
      </x:c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7" t="n">
        <x:v>166</x:v>
      </x:c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 t="n">
        <x:v>14.6</x:v>
      </x:c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 t="n">
        <x:v>80.8</x:v>
      </x:c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 t="n">
        <x:v>-21.2</x:v>
      </x:c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7" t="n">
        <x:v>168.8</x:v>
      </x:c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7" t="n">
        <x:v>-180.8</x:v>
      </x:c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 t="n">
        <x:v>-107.2</x:v>
      </x:c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 t="n">
        <x:v>50</x:v>
      </x:c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 t="n">
        <x:v>86</x:v>
      </x:c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 t="n">
        <x:v>-13.6</x:v>
      </x:c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7" t="n">
        <x:v>-266.8</x:v>
      </x:c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7" t="n">
        <x:v>151.6</x:v>
      </x:c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 t="n">
        <x:v>71.6</x:v>
      </x:c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 t="n">
        <x:v>-65.4</x:v>
      </x:c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7" t="n">
        <x:v>-154.8</x:v>
      </x:c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 t="n">
        <x:v>83.2</x:v>
      </x:c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7" t="n">
        <x:v>-179.6</x:v>
      </x:c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 t="n">
        <x:v>-39</x:v>
      </x:c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 t="n">
        <x:v>18.8</x:v>
      </x:c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 t="n">
        <x:v>43.8</x:v>
      </x:c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 t="n">
        <x:v>-13.6</x:v>
      </x:c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 t="n">
        <x:v>-63</x:v>
      </x:c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7" t="n">
        <x:v>-219</x:v>
      </x:c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7" t="n">
        <x:v>160.6</x:v>
      </x:c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 t="n">
        <x:v>-71.2</x:v>
      </x:c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 t="n">
        <x:v>-35.8</x:v>
      </x:c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 t="n">
        <x:v>70.4</x:v>
      </x:c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7" t="n">
        <x:v>278.4</x:v>
      </x:c>
      <x:c r="I135" s="25" t="n">
        <x:v>0.03396447394105029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 t="n">
        <x:v>127.2</x:v>
      </x:c>
      <x:c r="I136" s="25" t="n">
        <x:v>0.01500849537474025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 t="n">
        <x:v>92.6</x:v>
      </x:c>
      <x:c r="I137" s="25" t="n">
        <x:v>0.010764437831302986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 t="n">
        <x:v>71</x:v>
      </x:c>
      <x:c r="I138" s="25" t="n">
        <x:v>0.0081656124209315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8790</x:v>
      </x:c>
      <x:c r="E139" s="34" t="n">
        <x:v>8802.4</x:v>
      </x:c>
      <x:c r="F139" s="34" t="n">
        <x:v>8620.4</x:v>
      </x:c>
      <x:c r="G139" s="34" t="n">
        <x:v>8774.2</x:v>
      </x:c>
      <x:c r="H139" s="34" t="n">
        <x:v>8.2</x:v>
      </x:c>
      <x:c r="I139" s="35" t="n">
        <x:v>0.0009354323522701158</x:v>
      </x:c>
      <x:c r="J139" s="34" t="n">
        <x:f>ROUND(E139-F139,1)</x:f>
        <x:v>182</x:v>
      </x:c>
      <x:c r="K139" s="33" t="str">
        <x:v>IM2606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7" t="n">
        <x:v>-371.2</x:v>
      </x:c>
      <x:c r="I140" s="25" t="n">
        <x:v>-0.042305851245697745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 t="n">
        <x:v>69.4</x:v>
      </x:c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 t="n">
        <x:v>51.4</x:v>
      </x:c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7" t="n">
        <x:v>-204.6</x:v>
      </x:c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 t="n">
        <x:v>-10.6</x:v>
      </x:c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7" t="n">
        <x:v>195.6</x:v>
      </x:c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3848.2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 t="n">
        <x:v>13.4</x:v>
      </x:c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 t="n">
        <x:v>-147.4</x:v>
      </x:c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 t="n">
        <x:v>2.8</x:v>
      </x:c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 t="n">
        <x:v>-108</x:v>
      </x:c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 t="n">
        <x:v>-149.8</x:v>
      </x:c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 t="n">
        <x:v>-141.2</x:v>
      </x:c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7" t="n">
        <x:v>153.4</x:v>
      </x:c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 t="n">
        <x:v>-108</x:v>
      </x:c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7" t="n">
        <x:v>-335</x:v>
      </x:c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 t="n">
        <x:v>103.6</x:v>
      </x:c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 t="n">
        <x:v>-64.8</x:v>
      </x:c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7" t="n">
        <x:v>-170.6</x:v>
      </x:c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7520</x:v>
      </x:c>
      <x:c r="E163" s="34" t="n">
        <x:v>7534.6</x:v>
      </x:c>
      <x:c r="F163" s="34" t="n">
        <x:v>7018.8</x:v>
      </x:c>
      <x:c r="G163" s="34" t="n">
        <x:v>7065.2</x:v>
      </x:c>
      <x:c r="H163" s="27" t="n">
        <x:v>-487.4</x:v>
      </x:c>
      <x:c r="I163" s="35" t="n">
        <x:v>-0.06453406773826242</x:v>
      </x:c>
      <x:c r="J163" s="29" t="n">
        <x:f>ROUND(E163-F163,1)</x:f>
        <x:v>515.8</x:v>
      </x:c>
      <x:c r="K163" s="33" t="str">
        <x:v>IM2609</x:v>
      </x:c>
    </x:row>
    <x:row r="164">
      <x:c r="A164" s="38" t="str">
        <x:v>合计</x:v>
      </x:c>
      <x:c r="B164" s="37" t="n">
        <x:v>13</x:v>
      </x:c>
      <x:c r="C164" s="37"/>
      <x:c r="D164" s="37"/>
      <x:c r="E164" s="37"/>
      <x:c r="F164" s="37"/>
      <x:c r="G164" s="37"/>
      <x:c r="H164" s="37"/>
      <x:c r="I164" s="37"/>
      <x:c r="J164" s="39" t="n">
        <x:f>ROUND(SUM(J151:J163),1)</x:f>
        <x:v>3145</x:v>
      </x:c>
      <x:c r="K164" s="37"/>
    </x:row>
    <x:row r="165">
      <x:c r="A165" s="38" t="str">
        <x:v>均值</x:v>
      </x:c>
      <x:c r="B165" s="37"/>
      <x:c r="C165" s="37"/>
      <x:c r="D165" s="37"/>
      <x:c r="E165" s="37"/>
      <x:c r="F165" s="37"/>
      <x:c r="G165" s="37"/>
      <x:c r="H165" s="37"/>
      <x:c r="I165" s="37"/>
      <x:c r="J165" s="41" t="n">
        <x:f>ROUND(IFERROR(AVERAGE(J151:J163),0),1)</x:f>
        <x:v>241.9</x:v>
      </x:c>
      <x:c r="K16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7" t="n">
        <x:v>233.2</x:v>
      </x:c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7" t="n">
        <x:v>190.4</x:v>
      </x:c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 t="n">
        <x:v>16.2</x:v>
      </x:c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 t="n">
        <x:v>11.8</x:v>
      </x:c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7" t="n">
        <x:v>223.4</x:v>
      </x:c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7" t="n">
        <x:v>198.8</x:v>
      </x:c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 t="n">
        <x:v>-105.4</x:v>
      </x:c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 t="n">
        <x:v>66.6</x:v>
      </x:c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 t="n">
        <x:v>9</x:v>
      </x:c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 t="n">
        <x:v>3.6</x:v>
      </x:c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 t="n">
        <x:v>55.6</x:v>
      </x:c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 t="n">
        <x:v>-17.2</x:v>
      </x:c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 t="n">
        <x:v>122.2</x:v>
      </x:c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 t="n">
        <x:v>29</x:v>
      </x:c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7" t="n">
        <x:v>258.2</x:v>
      </x:c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7" t="n">
        <x:v>-188.2</x:v>
      </x:c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 t="n">
        <x:v>77.6</x:v>
      </x:c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 t="n">
        <x:v>74.4</x:v>
      </x:c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 t="n">
        <x:v>-104.4</x:v>
      </x:c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7" t="n">
        <x:v>-155.2</x:v>
      </x:c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7" t="n">
        <x:v>-459.2</x:v>
      </x:c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7" t="n">
        <x:v>378.8</x:v>
      </x:c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 t="n">
        <x:v>31.6</x:v>
      </x:c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7" t="n">
        <x:v>-193.4</x:v>
      </x:c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 t="n">
        <x:v>-2.8</x:v>
      </x:c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7" t="n">
        <x:v>194.2</x:v>
      </x:c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 t="n">
        <x:v>-20.8</x:v>
      </x:c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 t="n">
        <x:v>45.6</x:v>
      </x:c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 t="n">
        <x:v>112.4</x:v>
      </x:c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7" t="n">
        <x:v>-174</x:v>
      </x:c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 t="n">
        <x:v>96.8</x:v>
      </x:c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7" t="n">
        <x:v>157.4</x:v>
      </x:c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 t="n">
        <x:v>8.4</x:v>
      </x:c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 t="n">
        <x:v>108</x:v>
      </x:c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 t="n">
        <x:v>-18.4</x:v>
      </x:c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7" t="n">
        <x:v>-360.8</x:v>
      </x:c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 t="n">
        <x:v>-46.8</x:v>
      </x:c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 t="n">
        <x:v>36.2</x:v>
      </x:c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 t="n">
        <x:v>67</x:v>
      </x:c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 t="n">
        <x:v>-55.6</x:v>
      </x:c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 t="n">
        <x:v>126.6</x:v>
      </x:c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 t="n">
        <x:v>-33.6</x:v>
      </x:c>
      <x:c r="I56" s="25" t="n">
        <x:v>-0.004003049942813641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 t="n">
        <x:v>-59</x:v>
      </x:c>
      <x:c r="I57" s="25" t="n">
        <x:v>-0.00705741626794254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 t="n">
        <x:v>-87.2</x:v>
      </x:c>
      <x:c r="I58" s="25" t="n">
        <x:v>-0.01050475846283594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 t="n">
        <x:v>-35.4</x:v>
      </x:c>
      <x:c r="I59" s="25" t="n">
        <x:v>-0.004309820058925218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7" t="n">
        <x:v>-178.4</x:v>
      </x:c>
      <x:c r="I60" s="25" t="n">
        <x:v>-0.021813557664090766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 t="n">
        <x:v>86</x:v>
      </x:c>
      <x:c r="I61" s="25" t="n">
        <x:v>0.010750000000000037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7" t="n">
        <x:v>-199.6</x:v>
      </x:c>
      <x:c r="I62" s="25" t="n">
        <x:v>-0.024684640118723733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 t="n">
        <x:v>-42</x:v>
      </x:c>
      <x:c r="I63" s="35" t="n">
        <x:v>-0.00532562385879487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7" t="n">
        <x:v>-609.4</x:v>
      </x:c>
      <x:c r="I64" s="25" t="n">
        <x:v>-0.07768599255519859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7" t="n">
        <x:v>174.6</x:v>
      </x:c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 t="n">
        <x:v>120.4</x:v>
      </x:c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 t="n">
        <x:v>-116.2</x:v>
      </x:c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 t="n">
        <x:v>145.4</x:v>
      </x:c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 t="n">
        <x:v>1.4</x:v>
      </x:c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 t="n">
        <x:v>-135.6</x:v>
      </x:c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 t="n">
        <x:v>140.8</x:v>
      </x:c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7" t="n">
        <x:v>-156.2</x:v>
      </x:c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 t="n">
        <x:v>-57.6</x:v>
      </x:c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 t="n">
        <x:v>36.8</x:v>
      </x:c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7" t="n">
        <x:v>443</x:v>
      </x:c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 t="n">
        <x:v>-83</x:v>
      </x:c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 t="n">
        <x:v>79.8</x:v>
      </x:c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 t="n">
        <x:v>-19.8</x:v>
      </x:c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 t="n">
        <x:v>129.6</x:v>
      </x:c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 t="n">
        <x:v>-34.4</x:v>
      </x:c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7" t="n">
        <x:v>161</x:v>
      </x:c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 t="n">
        <x:v>33.8</x:v>
      </x:c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 t="n">
        <x:v>47.4</x:v>
      </x:c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 t="n">
        <x:v>-21.8</x:v>
      </x:c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 t="n">
        <x:v>139.8</x:v>
      </x:c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 t="n">
        <x:v>-87.2</x:v>
      </x:c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 t="n">
        <x:v>-44.2</x:v>
      </x:c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 t="n">
        <x:v>53.6</x:v>
      </x:c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 t="n">
        <x:v>-91.8</x:v>
      </x:c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7" t="n">
        <x:v>175.4</x:v>
      </x:c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 t="n">
        <x:v>0</x:v>
      </x:c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7" t="n">
        <x:v>227.6</x:v>
      </x:c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 t="n">
        <x:v>127.2</x:v>
      </x:c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 t="n">
        <x:v>-4</x:v>
      </x:c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 t="n">
        <x:v>117.8</x:v>
      </x:c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 t="n">
        <x:v>-43.2</x:v>
      </x:c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7" t="n">
        <x:v>154.8</x:v>
      </x:c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7" t="n">
        <x:v>-242.2</x:v>
      </x:c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27" t="n">
        <x:v>-159.2</x:v>
      </x:c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 t="n">
        <x:v>30.4</x:v>
      </x:c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 t="n">
        <x:v>56</x:v>
      </x:c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 t="n">
        <x:v>38.6</x:v>
      </x:c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7" t="n">
        <x:v>-247</x:v>
      </x:c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 t="n">
        <x:v>142.4</x:v>
      </x:c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 t="n">
        <x:v>113.6</x:v>
      </x:c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 t="n">
        <x:v>-17.8</x:v>
      </x:c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 t="n">
        <x:v>-149.2</x:v>
      </x:c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 t="n">
        <x:v>42.2</x:v>
      </x:c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7" t="n">
        <x:v>-183.4</x:v>
      </x:c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 t="n">
        <x:v>-49.4</x:v>
      </x:c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 t="n">
        <x:v>35.2</x:v>
      </x:c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 t="n">
        <x:v>53.8</x:v>
      </x:c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 t="n">
        <x:v>-14</x:v>
      </x:c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 t="n">
        <x:v>-109.6</x:v>
      </x:c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7" t="n">
        <x:v>-255.6</x:v>
      </x:c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7" t="n">
        <x:v>177.4</x:v>
      </x:c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 t="n">
        <x:v>-88.2</x:v>
      </x:c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 t="n">
        <x:v>-33.4</x:v>
      </x:c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 t="n">
        <x:v>126.4</x:v>
      </x:c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7" t="n">
        <x:v>267.6</x:v>
      </x:c>
      <x:c r="I135" s="25" t="n">
        <x:v>0.03296703296703285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 t="n">
        <x:v>91</x:v>
      </x:c>
      <x:c r="I136" s="25" t="n">
        <x:v>0.010852972044652187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 t="n">
        <x:v>137.4</x:v>
      </x:c>
      <x:c r="I137" s="25" t="n">
        <x:v>0.01621085915193854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 t="n">
        <x:v>69.6</x:v>
      </x:c>
      <x:c r="I138" s="25" t="n">
        <x:v>0.008080620443040809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8692.8</x:v>
      </x:c>
      <x:c r="E139" s="34" t="n">
        <x:v>8778.8</x:v>
      </x:c>
      <x:c r="F139" s="34" t="n">
        <x:v>8607.4</x:v>
      </x:c>
      <x:c r="G139" s="34" t="n">
        <x:v>8778.2</x:v>
      </x:c>
      <x:c r="H139" s="34" t="n">
        <x:v>95.4</x:v>
      </x:c>
      <x:c r="I139" s="35" t="n">
        <x:v>0.010987239139448324</x:v>
      </x:c>
      <x:c r="J139" s="29" t="n">
        <x:f>ROUND(E139-F139,1)</x:f>
        <x:v>171.4</x:v>
      </x:c>
      <x:c r="K139" s="33" t="str">
        <x:v>IC2606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7" t="n">
        <x:v>-323.2</x:v>
      </x:c>
      <x:c r="I140" s="25" t="n">
        <x:v>-0.03681848214896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 t="n">
        <x:v>140</x:v>
      </x:c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 t="n">
        <x:v>104.4</x:v>
      </x:c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7" t="n">
        <x:v>-252.4</x:v>
      </x:c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 t="n">
        <x:v>90.6</x:v>
      </x:c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7" t="n">
        <x:v>245.4</x:v>
      </x:c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4146.2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197.4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 t="n">
        <x:v>-70</x:v>
      </x:c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7" t="n">
        <x:v>-225</x:v>
      </x:c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 t="n">
        <x:v>50</x:v>
      </x:c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 t="n">
        <x:v>-71</x:v>
      </x:c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 t="n">
        <x:v>-144.4</x:v>
      </x:c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 t="n">
        <x:v>-67.4</x:v>
      </x:c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7" t="n">
        <x:v>-169.4</x:v>
      </x:c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7" t="n">
        <x:v>-311.4</x:v>
      </x:c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 t="n">
        <x:v>95.4</x:v>
      </x:c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 t="n">
        <x:v>-70.6</x:v>
      </x:c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7" t="n">
        <x:v>-176.8</x:v>
      </x:c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7842</x:v>
      </x:c>
      <x:c r="E163" s="34" t="n">
        <x:v>7848.2</x:v>
      </x:c>
      <x:c r="F163" s="34" t="n">
        <x:v>7362.8</x:v>
      </x:c>
      <x:c r="G163" s="34" t="n">
        <x:v>7389</x:v>
      </x:c>
      <x:c r="H163" s="27" t="n">
        <x:v>-480.6</x:v>
      </x:c>
      <x:c r="I163" s="35" t="n">
        <x:v>-0.06107044830741082</x:v>
      </x:c>
      <x:c r="J163" s="29" t="n">
        <x:f>ROUND(E163-F163,1)</x:f>
        <x:v>485.4</x:v>
      </x:c>
      <x:c r="K163" s="33" t="str">
        <x:v>IC2609</x:v>
      </x:c>
    </x:row>
    <x:row r="164">
      <x:c r="A164" s="38" t="str">
        <x:v>合计</x:v>
      </x:c>
      <x:c r="B164" s="37" t="n">
        <x:v>13</x:v>
      </x:c>
      <x:c r="C164" s="37"/>
      <x:c r="D164" s="37"/>
      <x:c r="E164" s="37"/>
      <x:c r="F164" s="37"/>
      <x:c r="G164" s="37"/>
      <x:c r="H164" s="37"/>
      <x:c r="I164" s="37"/>
      <x:c r="J164" s="39" t="n">
        <x:f>ROUND(SUM(J151:J163),1)</x:f>
        <x:v>3391.8</x:v>
      </x:c>
      <x:c r="K164" s="37"/>
    </x:row>
    <x:row r="165">
      <x:c r="A165" s="38" t="str">
        <x:v>均值</x:v>
      </x:c>
      <x:c r="B165" s="37"/>
      <x:c r="C165" s="37"/>
      <x:c r="D165" s="37"/>
      <x:c r="E165" s="37"/>
      <x:c r="F165" s="37"/>
      <x:c r="G165" s="37"/>
      <x:c r="H165" s="37"/>
      <x:c r="I165" s="37"/>
      <x:c r="J165" s="41" t="n">
        <x:f>ROUND(IFERROR(AVERAGE(J151:J163),0),1)</x:f>
        <x:v>260.9</x:v>
      </x:c>
      <x:c r="K16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 t="n">
        <x:v>97.2</x:v>
      </x:c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 t="n">
        <x:v>81</x:v>
      </x:c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 t="n">
        <x:v>-25</x:v>
      </x:c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 t="n">
        <x:v>-34.6</x:v>
      </x:c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 t="n">
        <x:v>25.4</x:v>
      </x:c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 t="n">
        <x:v>30.2</x:v>
      </x:c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 t="n">
        <x:v>-15.4</x:v>
      </x:c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 t="n">
        <x:v>-18.6</x:v>
      </x:c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 t="n">
        <x:v>6.6</x:v>
      </x:c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 t="n">
        <x:v>-23.4</x:v>
      </x:c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 t="n">
        <x:v>5.4</x:v>
      </x:c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 t="n">
        <x:v>-20</x:v>
      </x:c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 t="n">
        <x:v>14.2</x:v>
      </x:c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 t="n">
        <x:v>-3.4</x:v>
      </x:c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 t="n">
        <x:v>-10.2</x:v>
      </x:c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 t="n">
        <x:v>10.2</x:v>
      </x:c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 t="n">
        <x:v>-1.2</x:v>
      </x:c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 t="n">
        <x:v>14.6</x:v>
      </x:c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 t="n">
        <x:v>51.2</x:v>
      </x:c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 t="n">
        <x:v>-73</x:v>
      </x:c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 t="n">
        <x:v>-133.6</x:v>
      </x:c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 t="n">
        <x:v>75.6</x:v>
      </x:c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 t="n">
        <x:v>40.6</x:v>
      </x:c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 t="n">
        <x:v>-28.4</x:v>
      </x:c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 t="n">
        <x:v>-27.6</x:v>
      </x:c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 t="n">
        <x:v>83.6</x:v>
      </x:c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 t="n">
        <x:v>2.8</x:v>
      </x:c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 t="n">
        <x:v>-9.2</x:v>
      </x:c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 t="n">
        <x:v>2</x:v>
      </x:c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 t="n">
        <x:v>-89.8</x:v>
      </x:c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 t="n">
        <x:v>56.4</x:v>
      </x:c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 t="n">
        <x:v>48</x:v>
      </x:c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 t="n">
        <x:v>-19.2</x:v>
      </x:c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 t="n">
        <x:v>1.6</x:v>
      </x:c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 t="n">
        <x:v>-2.6</x:v>
      </x:c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 t="n">
        <x:v>-59.8</x:v>
      </x:c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 t="n">
        <x:v>-60.4</x:v>
      </x:c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 t="n">
        <x:v>38</x:v>
      </x:c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 t="n">
        <x:v>17</x:v>
      </x:c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 t="n">
        <x:v>-46.8</x:v>
      </x:c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 t="n">
        <x:v>64.8</x:v>
      </x:c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 t="n">
        <x:v>23</x:v>
      </x:c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 t="n">
        <x:v>-28.6</x:v>
      </x:c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 t="n">
        <x:v>-0.4</x:v>
      </x:c>
      <x:c r="I58" s="25" t="n">
        <x:v>-0.00008586639189411827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 t="n">
        <x:v>4.8</x:v>
      </x:c>
      <x:c r="I59" s="25" t="n">
        <x:v>0.0010304851867755094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 t="n">
        <x:v>-34</x:v>
      </x:c>
      <x:c r="I60" s="25" t="n">
        <x:v>-0.007291756026421847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 t="n">
        <x:v>22.6</x:v>
      </x:c>
      <x:c r="I61" s="25" t="n">
        <x:v>0.004882474939509107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 t="n">
        <x:v>-64.8</x:v>
      </x:c>
      <x:c r="I62" s="25" t="n">
        <x:v>-0.013931289504235167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 t="n">
        <x:v>10.2</x:v>
      </x:c>
      <x:c r="I63" s="35" t="n">
        <x:v>0.002223869532987255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7" t="n">
        <x:v>-252.4</x:v>
      </x:c>
      <x:c r="I64" s="25" t="n">
        <x:v>-0.05490776192133673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 t="n">
        <x:v>44</x:v>
      </x:c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 t="n">
        <x:v>61.6</x:v>
      </x:c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 t="n">
        <x:v>-54</x:v>
      </x:c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 t="n">
        <x:v>31.4</x:v>
      </x:c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 t="n">
        <x:v>-13.4</x:v>
      </x:c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 t="n">
        <x:v>-38.2</x:v>
      </x:c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 t="n">
        <x:v>72.4</x:v>
      </x:c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 t="n">
        <x:v>-58</x:v>
      </x:c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 t="n">
        <x:v>-28</x:v>
      </x:c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 t="n">
        <x:v>-2.2</x:v>
      </x:c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7" t="n">
        <x:v>179.6</x:v>
      </x:c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 t="n">
        <x:v>-39.6</x:v>
      </x:c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 t="n">
        <x:v>62</x:v>
      </x:c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 t="n">
        <x:v>8.6</x:v>
      </x:c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 t="n">
        <x:v>69</x:v>
      </x:c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 t="n">
        <x:v>-14.4</x:v>
      </x:c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 t="n">
        <x:v>52.6</x:v>
      </x:c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 t="n">
        <x:v>-10.8</x:v>
      </x:c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 t="n">
        <x:v>29.6</x:v>
      </x:c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 t="n">
        <x:v>11.2</x:v>
      </x:c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 t="n">
        <x:v>37</x:v>
      </x:c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 t="n">
        <x:v>-20.4</x:v>
      </x:c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 t="n">
        <x:v>-10.8</x:v>
      </x:c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 t="n">
        <x:v>2</x:v>
      </x:c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 t="n">
        <x:v>-13.2</x:v>
      </x:c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 t="n">
        <x:v>63.6</x:v>
      </x:c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 t="n">
        <x:v>-2.6</x:v>
      </x:c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 t="n">
        <x:v>76</x:v>
      </x:c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 t="n">
        <x:v>23</x:v>
      </x:c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 t="n">
        <x:v>-25.6</x:v>
      </x:c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 t="n">
        <x:v>75.8</x:v>
      </x:c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 t="n">
        <x:v>-1</x:v>
      </x:c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 t="n">
        <x:v>57.2</x:v>
      </x:c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 t="n">
        <x:v>-84.4</x:v>
      </x:c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 t="n">
        <x:v>-60.4</x:v>
      </x:c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 t="n">
        <x:v>-22</x:v>
      </x:c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 t="n">
        <x:v>11.2</x:v>
      </x:c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 t="n">
        <x:v>-6.6</x:v>
      </x:c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 t="n">
        <x:v>-63.6</x:v>
      </x:c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 t="n">
        <x:v>45.2</x:v>
      </x:c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 t="n">
        <x:v>64.4</x:v>
      </x:c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 t="n">
        <x:v>46.6</x:v>
      </x:c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 t="n">
        <x:v>-42</x:v>
      </x:c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 t="n">
        <x:v>-1.2</x:v>
      </x:c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 t="n">
        <x:v>-8.2</x:v>
      </x:c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 t="n">
        <x:v>-36.8</x:v>
      </x:c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 t="n">
        <x:v>67.6</x:v>
      </x:c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 t="n">
        <x:v>35.2</x:v>
      </x:c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 t="n">
        <x:v>-42.8</x:v>
      </x:c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 t="n">
        <x:v>-94.2</x:v>
      </x:c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 t="n">
        <x:v>-94.2</x:v>
      </x:c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 t="n">
        <x:v>61</x:v>
      </x:c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 t="n">
        <x:v>-22.2</x:v>
      </x:c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 t="n">
        <x:v>-28</x:v>
      </x:c>
      <x:c r="I133" s="25" t="n">
        <x:v>-0.0059304443597237855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 t="n">
        <x:v>76.4</x:v>
      </x:c>
      <x:c r="I134" s="25" t="n">
        <x:v>0.016278177866791754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 t="n">
        <x:v>110.2</x:v>
      </x:c>
      <x:c r="I135" s="25" t="n">
        <x:v>0.02310369407522317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 t="n">
        <x:v>-4.8</x:v>
      </x:c>
      <x:c r="I136" s="25" t="n">
        <x:v>-0.0009836065573770592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 t="n">
        <x:v>52.8</x:v>
      </x:c>
      <x:c r="I137" s="25" t="n">
        <x:v>0.010830324909747224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 t="n">
        <x:v>32.6</x:v>
      </x:c>
      <x:c r="I138" s="25" t="n">
        <x:v>0.006615259740259782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4956</x:v>
      </x:c>
      <x:c r="E139" s="34" t="n">
        <x:v>5030.2</x:v>
      </x:c>
      <x:c r="F139" s="34" t="n">
        <x:v>4925.2</x:v>
      </x:c>
      <x:c r="G139" s="34" t="n">
        <x:v>5029.2</x:v>
      </x:c>
      <x:c r="H139" s="34" t="n">
        <x:v>68.6</x:v>
      </x:c>
      <x:c r="I139" s="35" t="n">
        <x:v>0.013828972301737519</x:v>
      </x:c>
      <x:c r="J139" s="29" t="n">
        <x:f>ROUND(E139-F139,1)</x:f>
        <x:v>105</x:v>
      </x:c>
      <x:c r="K139" s="33" t="str">
        <x:v>IF2606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7" t="n">
        <x:v>-216.8</x:v>
      </x:c>
      <x:c r="I140" s="25" t="n">
        <x:v>-0.04310824783265732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 t="n">
        <x:v>18.4</x:v>
      </x:c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 t="n">
        <x:v>76.2</x:v>
      </x:c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7" t="n">
        <x:v>-158.8</x:v>
      </x:c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 t="n">
        <x:v>48.2</x:v>
      </x:c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 t="n">
        <x:v>59.4</x:v>
      </x:c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1885.4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89.8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 t="n">
        <x:v>-24.6</x:v>
      </x:c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 t="n">
        <x:v>-111.8</x:v>
      </x:c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 t="n">
        <x:v>32.8</x:v>
      </x:c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 t="n">
        <x:v>1</x:v>
      </x:c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 t="n">
        <x:v>-49.8</x:v>
      </x:c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 t="n">
        <x:v>-35.4</x:v>
      </x:c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 t="n">
        <x:v>112.8</x:v>
      </x:c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 t="n">
        <x:v>-76.2</x:v>
      </x:c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 t="n">
        <x:v>-70</x:v>
      </x:c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 t="n">
        <x:v>55.4</x:v>
      </x:c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 t="n">
        <x:v>27.4</x:v>
      </x:c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 t="n">
        <x:v>-71.8</x:v>
      </x:c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4615.8</x:v>
      </x:c>
      <x:c r="E163" s="34" t="n">
        <x:v>4633.8</x:v>
      </x:c>
      <x:c r="F163" s="34" t="n">
        <x:v>4441.4</x:v>
      </x:c>
      <x:c r="G163" s="34" t="n">
        <x:v>4473.8</x:v>
      </x:c>
      <x:c r="H163" s="27" t="n">
        <x:v>-171.8</x:v>
      </x:c>
      <x:c r="I163" s="35" t="n">
        <x:v>-0.036981229550542505</x:v>
      </x:c>
      <x:c r="J163" s="29" t="n">
        <x:f>ROUND(E163-F163,1)</x:f>
        <x:v>192.4</x:v>
      </x:c>
      <x:c r="K163" s="33" t="str">
        <x:v>IF2609</x:v>
      </x:c>
    </x:row>
    <x:row r="164">
      <x:c r="A164" s="38" t="str">
        <x:v>合计</x:v>
      </x:c>
      <x:c r="B164" s="37" t="n">
        <x:v>13</x:v>
      </x:c>
      <x:c r="C164" s="37"/>
      <x:c r="D164" s="37"/>
      <x:c r="E164" s="37"/>
      <x:c r="F164" s="37"/>
      <x:c r="G164" s="37"/>
      <x:c r="H164" s="37"/>
      <x:c r="I164" s="37"/>
      <x:c r="J164" s="39" t="n">
        <x:f>ROUND(SUM(J151:J163),1)</x:f>
        <x:v>1326.2</x:v>
      </x:c>
      <x:c r="K164" s="37"/>
    </x:row>
    <x:row r="165">
      <x:c r="A165" s="38" t="str">
        <x:v>均值</x:v>
      </x:c>
      <x:c r="B165" s="37"/>
      <x:c r="C165" s="37"/>
      <x:c r="D165" s="37"/>
      <x:c r="E165" s="37"/>
      <x:c r="F165" s="37"/>
      <x:c r="G165" s="37"/>
      <x:c r="H165" s="37"/>
      <x:c r="I165" s="37"/>
      <x:c r="J165" s="41" t="n">
        <x:f>ROUND(IFERROR(AVERAGE(J151:J163),0),1)</x:f>
        <x:v>102</x:v>
      </x:c>
      <x:c r="K16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 t="n">
        <x:v>73.8</x:v>
      </x:c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 t="n">
        <x:v>63</x:v>
      </x:c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 t="n">
        <x:v>-18</x:v>
      </x:c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 t="n">
        <x:v>-21.4</x:v>
      </x:c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 t="n">
        <x:v>12.4</x:v>
      </x:c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 t="n">
        <x:v>5.4</x:v>
      </x:c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 t="n">
        <x:v>-2.6</x:v>
      </x:c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 t="n">
        <x:v>-23.6</x:v>
      </x:c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 t="n">
        <x:v>-6</x:v>
      </x:c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 t="n">
        <x:v>-23.6</x:v>
      </x:c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 t="n">
        <x:v>-6.8</x:v>
      </x:c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 t="n">
        <x:v>-2.2</x:v>
      </x:c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 t="n">
        <x:v>-1.8</x:v>
      </x:c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 t="n">
        <x:v>-12.4</x:v>
      </x:c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 t="n">
        <x:v>-23.4</x:v>
      </x:c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 t="n">
        <x:v>20.4</x:v>
      </x:c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 t="n">
        <x:v>5.8</x:v>
      </x:c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 t="n">
        <x:v>5.8</x:v>
      </x:c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 t="n">
        <x:v>60.6</x:v>
      </x:c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 t="n">
        <x:v>-56.4</x:v>
      </x:c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 t="n">
        <x:v>-69.8</x:v>
      </x:c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 t="n">
        <x:v>28.8</x:v>
      </x:c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 t="n">
        <x:v>38.8</x:v>
      </x:c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 t="n">
        <x:v>-10.4</x:v>
      </x:c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 t="n">
        <x:v>-25.2</x:v>
      </x:c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 t="n">
        <x:v>47.8</x:v>
      </x:c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 t="n">
        <x:v>9.6</x:v>
      </x:c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 t="n">
        <x:v>-2.2</x:v>
      </x:c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 t="n">
        <x:v>-8.4</x:v>
      </x:c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 t="n">
        <x:v>-63</x:v>
      </x:c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 t="n">
        <x:v>17.4</x:v>
      </x:c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 t="n">
        <x:v>20.8</x:v>
      </x:c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 t="n">
        <x:v>-23.6</x:v>
      </x:c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 t="n">
        <x:v>10.8</x:v>
      </x:c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 t="n">
        <x:v>0.4</x:v>
      </x:c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 t="n">
        <x:v>-26.8</x:v>
      </x:c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 t="n">
        <x:v>-46.8</x:v>
      </x:c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 t="n">
        <x:v>14.8</x:v>
      </x:c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 t="n">
        <x:v>3</x:v>
      </x:c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 t="n">
        <x:v>-27.6</x:v>
      </x:c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 t="n">
        <x:v>19</x:v>
      </x:c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 t="n">
        <x:v>2.4</x:v>
      </x:c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 t="n">
        <x:v>-17.4</x:v>
      </x:c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 t="n">
        <x:v>-9.4</x:v>
      </x:c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 t="n">
        <x:v>-5</x:v>
      </x:c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 t="n">
        <x:v>10</x:v>
      </x:c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 t="n">
        <x:v>-3.4</x:v>
      </x:c>
      <x:c r="I61" s="25" t="n">
        <x:v>-0.0011478730587440866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 t="n">
        <x:v>-38.4</x:v>
      </x:c>
      <x:c r="I62" s="25" t="n">
        <x:v>-0.01297911174204014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 t="n">
        <x:v>-21.8</x:v>
      </x:c>
      <x:c r="I63" s="35" t="n">
        <x:v>-0.007465242106704961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 t="n">
        <x:v>-122.4</x:v>
      </x:c>
      <x:c r="I64" s="25" t="n">
        <x:v>-0.04223019597019051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 t="n">
        <x:v>34.6</x:v>
      </x:c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 t="n">
        <x:v>19.4</x:v>
      </x:c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 t="n">
        <x:v>-25.2</x:v>
      </x:c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 t="n">
        <x:v>9.6</x:v>
      </x:c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 t="n">
        <x:v>-2</x:v>
      </x:c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 t="n">
        <x:v>-8.4</x:v>
      </x:c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 t="n">
        <x:v>49.8</x:v>
      </x:c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 t="n">
        <x:v>-26.2</x:v>
      </x:c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 t="n">
        <x:v>-23.2</x:v>
      </x:c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 t="n">
        <x:v>-6</x:v>
      </x:c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 t="n">
        <x:v>87.6</x:v>
      </x:c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 t="n">
        <x:v>-25.4</x:v>
      </x:c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 t="n">
        <x:v>12.6</x:v>
      </x:c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 t="n">
        <x:v>-0.2</x:v>
      </x:c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 t="n">
        <x:v>25.4</x:v>
      </x:c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 t="n">
        <x:v>9.2</x:v>
      </x:c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 t="n">
        <x:v>12.4</x:v>
      </x:c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 t="n">
        <x:v>-32</x:v>
      </x:c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 t="n">
        <x:v>30</x:v>
      </x:c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 t="n">
        <x:v>-1.4</x:v>
      </x:c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 t="n">
        <x:v>1.2</x:v>
      </x:c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 t="n">
        <x:v>-6.6</x:v>
      </x:c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 t="n">
        <x:v>17.8</x:v>
      </x:c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 t="n">
        <x:v>-6.6</x:v>
      </x:c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 t="n">
        <x:v>7.8</x:v>
      </x:c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 t="n">
        <x:v>16.8</x:v>
      </x:c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 t="n">
        <x:v>21.8</x:v>
      </x:c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 t="n">
        <x:v>38.8</x:v>
      </x:c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 t="n">
        <x:v>4.4</x:v>
      </x:c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 t="n">
        <x:v>-30.4</x:v>
      </x:c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 t="n">
        <x:v>41.2</x:v>
      </x:c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 t="n">
        <x:v>6.4</x:v>
      </x:c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 t="n">
        <x:v>3.8</x:v>
      </x:c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 t="n">
        <x:v>-48.4</x:v>
      </x:c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 t="n">
        <x:v>-39.6</x:v>
      </x:c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 t="n">
        <x:v>-22.6</x:v>
      </x:c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 t="n">
        <x:v>9</x:v>
      </x:c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 t="n">
        <x:v>3.4</x:v>
      </x:c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 t="n">
        <x:v>-31</x:v>
      </x:c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 t="n">
        <x:v>-4.6</x:v>
      </x:c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 t="n">
        <x:v>44</x:v>
      </x:c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 t="n">
        <x:v>12.4</x:v>
      </x:c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 t="n">
        <x:v>-44.8</x:v>
      </x:c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 t="n">
        <x:v>-20.4</x:v>
      </x:c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 t="n">
        <x:v>10.2</x:v>
      </x:c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 t="n">
        <x:v>-20.4</x:v>
      </x:c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 t="n">
        <x:v>22.6</x:v>
      </x:c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 t="n">
        <x:v>5</x:v>
      </x:c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 t="n">
        <x:v>-36</x:v>
      </x:c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 t="n">
        <x:v>-27.8</x:v>
      </x:c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 t="n">
        <x:v>-31</x:v>
      </x:c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 t="n">
        <x:v>4.2</x:v>
      </x:c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 t="n">
        <x:v>16.6</x:v>
      </x:c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 t="n">
        <x:v>2</x:v>
      </x:c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 t="n">
        <x:v>61.4</x:v>
      </x:c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 t="n">
        <x:v>41.4</x:v>
      </x:c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 t="n">
        <x:v>-27.6</x:v>
      </x:c>
      <x:c r="I136" s="25" t="n">
        <x:v>-0.00939222759137004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 t="n">
        <x:v>24</x:v>
      </x:c>
      <x:c r="I137" s="25" t="n">
        <x:v>0.008244589488148435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 t="n">
        <x:v>6</x:v>
      </x:c>
      <x:c r="I138" s="25" t="n">
        <x:v>0.002044293015332155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2936</x:v>
      </x:c>
      <x:c r="E139" s="34" t="n">
        <x:v>2996</x:v>
      </x:c>
      <x:c r="F139" s="34" t="n">
        <x:v>2918.2</x:v>
      </x:c>
      <x:c r="G139" s="34" t="n">
        <x:v>2995.6</x:v>
      </x:c>
      <x:c r="H139" s="34" t="n">
        <x:v>54.6</x:v>
      </x:c>
      <x:c r="I139" s="35" t="n">
        <x:v>0.018565113906834352</x:v>
      </x:c>
      <x:c r="J139" s="29" t="n">
        <x:f>ROUND(E139-F139,1)</x:f>
        <x:v>77.8</x:v>
      </x:c>
      <x:c r="K139" s="33" t="str">
        <x:v>IH2606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 t="n">
        <x:v>-111</x:v>
      </x:c>
      <x:c r="I140" s="25" t="n">
        <x:v>-0.037054346374682856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 t="n">
        <x:v>11.6</x:v>
      </x:c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 t="n">
        <x:v>28.6</x:v>
      </x:c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 t="n">
        <x:v>-65.8</x:v>
      </x:c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 t="n">
        <x:v>69</x:v>
      </x:c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 t="n">
        <x:v>10</x:v>
      </x:c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970.4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46.2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 t="n">
        <x:v>-3.4</x:v>
      </x:c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 t="n">
        <x:v>-63.6</x:v>
      </x:c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 t="n">
        <x:v>15.6</x:v>
      </x:c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 t="n">
        <x:v>18.6</x:v>
      </x:c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 t="n">
        <x:v>-34.6</x:v>
      </x:c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 t="n">
        <x:v>-2.6</x:v>
      </x:c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 t="n">
        <x:v>-29.6</x:v>
      </x:c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 t="n">
        <x:v>-37.6</x:v>
      </x:c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 t="n">
        <x:v>18.6</x:v>
      </x:c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 t="n">
        <x:v>22.8</x:v>
      </x:c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 t="n">
        <x:v>-46.2</x:v>
      </x:c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2855</x:v>
      </x:c>
      <x:c r="E163" s="34" t="n">
        <x:v>2864.8</x:v>
      </x:c>
      <x:c r="F163" s="34" t="n">
        <x:v>2782.6</x:v>
      </x:c>
      <x:c r="G163" s="34" t="n">
        <x:v>2796.4</x:v>
      </x:c>
      <x:c r="H163" s="34" t="n">
        <x:v>-71.4</x:v>
      </x:c>
      <x:c r="I163" s="35" t="n">
        <x:v>-0.024897133691331397</x:v>
      </x:c>
      <x:c r="J163" s="29" t="n">
        <x:f>ROUND(E163-F163,1)</x:f>
        <x:v>82.2</x:v>
      </x:c>
      <x:c r="K163" s="33" t="str">
        <x:v>IH2609</x:v>
      </x:c>
    </x:row>
    <x:row r="164">
      <x:c r="A164" s="38" t="str">
        <x:v>合计</x:v>
      </x:c>
      <x:c r="B164" s="37" t="n">
        <x:v>13</x:v>
      </x:c>
      <x:c r="C164" s="37"/>
      <x:c r="D164" s="37"/>
      <x:c r="E164" s="37"/>
      <x:c r="F164" s="37"/>
      <x:c r="G164" s="37"/>
      <x:c r="H164" s="37"/>
      <x:c r="I164" s="37"/>
      <x:c r="J164" s="39" t="n">
        <x:f>ROUND(SUM(J151:J163),1)</x:f>
        <x:v>731.2</x:v>
      </x:c>
      <x:c r="K164" s="37"/>
    </x:row>
    <x:row r="165">
      <x:c r="A165" s="38" t="str">
        <x:v>均值</x:v>
      </x:c>
      <x:c r="B165" s="37"/>
      <x:c r="C165" s="37"/>
      <x:c r="D165" s="37"/>
      <x:c r="E165" s="37"/>
      <x:c r="F165" s="37"/>
      <x:c r="G165" s="37"/>
      <x:c r="H165" s="37"/>
      <x:c r="I165" s="37"/>
      <x:c r="J165" s="41" t="n">
        <x:f>ROUND(IFERROR(AVERAGE(J151:J163),0),1)</x:f>
        <x:v>56.2</x:v>
      </x:c>
      <x:c r="K165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