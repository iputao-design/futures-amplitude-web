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209b85a48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be68e81ffd4c4574"/>
    <x:sheet xmlns:r="http://schemas.openxmlformats.org/officeDocument/2006/relationships" name="周振幅统计" sheetId="2" r:id="R3b4157313d3d41ee"/>
    <x:sheet xmlns:r="http://schemas.openxmlformats.org/officeDocument/2006/relationships" name="中证1000" sheetId="3" r:id="Re28eea784cdb4800"/>
    <x:sheet xmlns:r="http://schemas.openxmlformats.org/officeDocument/2006/relationships" name="中证500" sheetId="4" r:id="R8cf3a852d7384fcd"/>
    <x:sheet xmlns:r="http://schemas.openxmlformats.org/officeDocument/2006/relationships" name="上证指数" sheetId="5" r:id="R64f28f8900224fe1"/>
    <x:sheet xmlns:r="http://schemas.openxmlformats.org/officeDocument/2006/relationships" name="IM主力" sheetId="6" r:id="Rf2ad2f1cd6a64219"/>
    <x:sheet xmlns:r="http://schemas.openxmlformats.org/officeDocument/2006/relationships" name="IC主力" sheetId="7" r:id="R00ab0d11f2084c6c"/>
    <x:sheet xmlns:r="http://schemas.openxmlformats.org/officeDocument/2006/relationships" name="IF主力" sheetId="8" r:id="Rdf53ac72e88842fa"/>
    <x:sheet xmlns:r="http://schemas.openxmlformats.org/officeDocument/2006/relationships" name="IH主力" sheetId="9" r:id="Raf4f53a63cfa4071"/>
    <x:sheet xmlns:r="http://schemas.openxmlformats.org/officeDocument/2006/relationships" name="碳酸锂2610" sheetId="10" r:id="R15d45c2e6e13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%"/>
  </x:numFmts>
  <x:fonts count="10">
    <x:font>
      <x:sz val="11"/>
      <x:name val="Carlito"/>
    </x:font>
    <x:font>
      <x:b/>
      <x:sz val="18"/>
      <x:color rgb="FF7030A0"/>
      <x:name val="Carlito"/>
    </x:font>
    <x:font>
      <x:b/>
      <x:sz val="11"/>
      <x:name val="Carlito"/>
    </x:font>
    <x:font>
      <x:b/>
      <x:sz val="11"/>
      <x:color rgb="FFB91C1C"/>
      <x:name val="Carlito"/>
    </x:font>
    <x:font>
      <x:b/>
      <x:sz val="14"/>
      <x:color rgb="FF7030A0"/>
      <x:name val="Carlito"/>
    </x:font>
    <x:font>
      <x:b/>
      <x:sz val="11"/>
      <x:color rgb="FF111827"/>
      <x:name val="Carlito"/>
    </x:font>
    <x:font>
      <x:sz val="11"/>
      <x:color rgb="FF1F2937"/>
      <x:name val="Carlito"/>
    </x:font>
    <x:font>
      <x:b/>
      <x:sz val="11"/>
      <x:color rgb="FFE11D48"/>
      <x:name val="Carlito"/>
    </x:font>
    <x:font>
      <x:b/>
      <x:sz val="11"/>
      <x:color rgb="FF1D4ED8"/>
      <x:name val="Carlito"/>
    </x:font>
    <x:font>
      <x:b/>
      <x:sz val="11"/>
      <x:color rgb="FF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FEF9C3"/>
      </x:patternFill>
    </x:fill>
    <x:fill>
      <x:patternFill patternType="solid">
        <x:fgColor rgb="FFFFFF00"/>
      </x:patternFill>
    </x:fill>
    <x:fill>
      <x:patternFill patternType="solid">
        <x:fgColor rgb="FFBFDBFE"/>
      </x:patternFill>
    </x:fill>
    <x:fill>
      <x:patternFill patternType="solid">
        <x:fgColor rgb="FFDBEAFE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200" fontId="0" fillId="4" borderId="2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200" fontId="6" fillId="5" borderId="2" xfId="0" applyNumberFormat="1" applyFont="1" applyFill="1" applyBorder="1" applyAlignment="1">
      <x:alignment horizontal="center" vertical="center"/>
    </x:xf>
    <x:xf numFmtId="200" fontId="7" fillId="5" borderId="2" xfId="0" applyNumberFormat="1" applyFont="1" applyFill="1" applyBorder="1" applyAlignment="1">
      <x:alignment horizontal="center" vertical="center"/>
    </x:xf>
    <x:xf numFmtId="200" fontId="6" fillId="6" borderId="2" xfId="0" applyNumberFormat="1" applyFont="1" applyFill="1" applyBorder="1" applyAlignment="1">
      <x:alignment horizontal="center" vertical="center"/>
    </x:xf>
    <x:xf numFmtId="200" fontId="8" fillId="6" borderId="2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200" fontId="7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horizontal="center" vertical="center"/>
    </x:xf>
    <x:xf numFmtId="200" fontId="6" fillId="7" borderId="2" xfId="0" applyNumberFormat="1" applyFont="1" applyFill="1" applyBorder="1" applyAlignment="1">
      <x:alignment horizontal="center" vertical="center"/>
    </x:xf>
    <x:xf numFmtId="201" fontId="6" fillId="7" borderId="2" xfId="0" applyNumberFormat="1" applyFont="1" applyFill="1" applyBorder="1" applyAlignment="1">
      <x:alignment horizontal="center" vertical="center"/>
    </x:xf>
    <x:xf numFmtId="0" fontId="9" fillId="7" borderId="2" xfId="0" applyNumberFormat="1" applyFont="1" applyFill="1" applyBorder="1" applyAlignment="1">
      <x:alignment horizontal="center" vertical="center"/>
    </x:xf>
    <x:xf numFmtId="200" fontId="9" fillId="7" borderId="2" xfId="0" applyNumberFormat="1" applyFont="1" applyFill="1" applyBorder="1" applyAlignment="1">
      <x:alignment horizontal="center" vertical="center"/>
    </x:xf>
    <x:xf numFmtId="201" fontId="9" fillId="7" borderId="2" xfId="0" applyNumberFormat="1" applyFont="1" applyFill="1" applyBorder="1" applyAlignment="1">
      <x:alignment horizontal="center" vertical="center"/>
    </x:xf>
    <x:xf numFmtId="200" fontId="9" fillId="5" borderId="2" xfId="0" applyNumberFormat="1" applyFont="1" applyFill="1" applyBorder="1" applyAlignment="1">
      <x:alignment horizontal="center" vertical="center"/>
    </x:xf>
    <x:xf numFmtId="200" fontId="9" fillId="6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8ec5b820749ce" /><Relationship Type="http://schemas.openxmlformats.org/officeDocument/2006/relationships/theme" Target="/xl/theme/theme1.xml" Id="R924dd6f22a8546c3" /><Relationship Type="http://schemas.openxmlformats.org/officeDocument/2006/relationships/sharedStrings" Target="/xl/sharedStrings.xml" Id="R4723660994274531" /><Relationship Type="http://schemas.openxmlformats.org/officeDocument/2006/relationships/worksheet" Target="/xl/worksheets/sheet1.xml" Id="Rbe68e81ffd4c4574" /><Relationship Type="http://schemas.openxmlformats.org/officeDocument/2006/relationships/worksheet" Target="/xl/worksheets/sheet2.xml" Id="R3b4157313d3d41ee" /><Relationship Type="http://schemas.openxmlformats.org/officeDocument/2006/relationships/worksheet" Target="/xl/worksheets/sheet3.xml" Id="Re28eea784cdb4800" /><Relationship Type="http://schemas.openxmlformats.org/officeDocument/2006/relationships/worksheet" Target="/xl/worksheets/sheet4.xml" Id="R8cf3a852d7384fcd" /><Relationship Type="http://schemas.openxmlformats.org/officeDocument/2006/relationships/worksheet" Target="/xl/worksheets/sheet5.xml" Id="R64f28f8900224fe1" /><Relationship Type="http://schemas.openxmlformats.org/officeDocument/2006/relationships/worksheet" Target="/xl/worksheets/sheet6.xml" Id="Rf2ad2f1cd6a64219" /><Relationship Type="http://schemas.openxmlformats.org/officeDocument/2006/relationships/worksheet" Target="/xl/worksheets/sheet7.xml" Id="R00ab0d11f2084c6c" /><Relationship Type="http://schemas.openxmlformats.org/officeDocument/2006/relationships/worksheet" Target="/xl/worksheets/sheet8.xml" Id="Rdf53ac72e88842fa" /><Relationship Type="http://schemas.openxmlformats.org/officeDocument/2006/relationships/worksheet" Target="/xl/worksheets/sheet9.xml" Id="Raf4f53a63cfa4071" /><Relationship Type="http://schemas.openxmlformats.org/officeDocument/2006/relationships/worksheet" Target="/xl/worksheets/sheet10.xml" Id="R15d45c2e6e13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8" customHeight="1">
      <x:c r="A1" s="3" t="str">
        <x:v>2026年统计 - 每日振幅汇总</x:v>
      </x:c>
    </x:row>
    <x:row r="3">
      <x:c r="A3" s="6" t="str">
        <x:v>标的</x:v>
      </x:c>
      <x:c r="B3" s="6" t="str">
        <x:v>最新日期</x:v>
      </x:c>
      <x:c r="C3" s="6" t="str">
        <x:v>最新高点</x:v>
      </x:c>
      <x:c r="D3" s="6" t="str">
        <x:v>最新低点</x:v>
      </x:c>
      <x:c r="E3" s="6" t="str">
        <x:v>最新振幅</x:v>
      </x:c>
      <x:c r="F3" s="6" t="str">
        <x:v>交易日</x:v>
      </x:c>
      <x:c r="G3" s="6" t="str">
        <x:v>振幅合计</x:v>
      </x:c>
      <x:c r="H3" s="6" t="str">
        <x:v>振幅均值</x:v>
      </x:c>
      <x:c r="I3" s="6" t="str">
        <x:v>高振幅阈值</x:v>
      </x:c>
    </x:row>
    <x:row r="4">
      <x:c r="A4" s="9" t="str">
        <x:v>中证1000</x:v>
      </x:c>
      <x:c r="B4" s="9" t="str">
        <x:v>2026-10-16</x:v>
      </x:c>
      <x:c r="C4" s="10" t="n">
        <x:v>6834.45</x:v>
      </x:c>
      <x:c r="D4" s="10" t="n">
        <x:v>6626.52</x:v>
      </x:c>
      <x:c r="E4" s="12" t="n">
        <x:v>207.9</x:v>
      </x:c>
      <x:c r="F4" s="9" t="n">
        <x:v>188</x:v>
      </x:c>
      <x:c r="G4" s="10" t="n">
        <x:v>32946.1</x:v>
      </x:c>
      <x:c r="H4" s="10" t="n">
        <x:v>175.2</x:v>
      </x:c>
      <x:c r="I4" s="10" t="n">
        <x:v>180</x:v>
      </x:c>
    </x:row>
    <x:row r="5">
      <x:c r="A5" s="9" t="str">
        <x:v>中证500</x:v>
      </x:c>
      <x:c r="B5" s="9" t="str">
        <x:v>2026-10-16</x:v>
      </x:c>
      <x:c r="C5" s="10" t="n">
        <x:v>6907.9</x:v>
      </x:c>
      <x:c r="D5" s="10" t="n">
        <x:v>6719.82</x:v>
      </x:c>
      <x:c r="E5" s="12" t="n">
        <x:v>188.1</x:v>
      </x:c>
      <x:c r="F5" s="9" t="n">
        <x:v>188</x:v>
      </x:c>
      <x:c r="G5" s="10" t="n">
        <x:v>32652.3</x:v>
      </x:c>
      <x:c r="H5" s="10" t="n">
        <x:v>173.7</x:v>
      </x:c>
      <x:c r="I5" s="10" t="n">
        <x:v>160</x:v>
      </x:c>
    </x:row>
    <x:row r="6">
      <x:c r="A6" s="9" t="str">
        <x:v>上证指数</x:v>
      </x:c>
      <x:c r="B6" s="9" t="str">
        <x:v>2026-10-16</x:v>
      </x:c>
      <x:c r="C6" s="10" t="n">
        <x:v>3750.77</x:v>
      </x:c>
      <x:c r="D6" s="10" t="n">
        <x:v>3681.28</x:v>
      </x:c>
      <x:c r="E6" s="12" t="n">
        <x:v>69.5</x:v>
      </x:c>
      <x:c r="F6" s="9" t="n">
        <x:v>188</x:v>
      </x:c>
      <x:c r="G6" s="10" t="n">
        <x:v>9040.9</x:v>
      </x:c>
      <x:c r="H6" s="10" t="n">
        <x:v>48.1</x:v>
      </x:c>
      <x:c r="I6" s="10" t="n">
        <x:v>50</x:v>
      </x:c>
    </x:row>
    <x:row r="7">
      <x:c r="A7" s="9" t="str">
        <x:v>IM主力</x:v>
      </x:c>
      <x:c r="B7" s="9" t="str">
        <x:v>2026-10-16</x:v>
      </x:c>
      <x:c r="C7" s="10" t="n">
        <x:v>6748</x:v>
      </x:c>
      <x:c r="D7" s="10" t="n">
        <x:v>6519.6</x:v>
      </x:c>
      <x:c r="E7" s="12" t="n">
        <x:v>228.4</x:v>
      </x:c>
      <x:c r="F7" s="9" t="n">
        <x:v>188</x:v>
      </x:c>
      <x:c r="G7" s="10" t="n">
        <x:v>35029.8</x:v>
      </x:c>
      <x:c r="H7" s="10" t="n">
        <x:v>186.3</x:v>
      </x:c>
      <x:c r="I7" s="10" t="n">
        <x:v>190</x:v>
      </x:c>
    </x:row>
    <x:row r="8">
      <x:c r="A8" s="9" t="str">
        <x:v>IC主力</x:v>
      </x:c>
      <x:c r="B8" s="9" t="str">
        <x:v>2026-10-15</x:v>
      </x:c>
      <x:c r="C8" s="10" t="n">
        <x:v>6769</x:v>
      </x:c>
      <x:c r="D8" s="10" t="n">
        <x:v>6583.2</x:v>
      </x:c>
      <x:c r="E8" s="12" t="n">
        <x:v>185.8</x:v>
      </x:c>
      <x:c r="F8" s="9" t="n">
        <x:v>187</x:v>
      </x:c>
      <x:c r="G8" s="10" t="n">
        <x:v>35972.6</x:v>
      </x:c>
      <x:c r="H8" s="10" t="n">
        <x:v>192.4</x:v>
      </x:c>
      <x:c r="I8" s="10" t="n">
        <x:v>150</x:v>
      </x:c>
    </x:row>
    <x:row r="9">
      <x:c r="A9" s="9" t="str">
        <x:v>IF主力</x:v>
      </x:c>
      <x:c r="B9" s="9" t="str">
        <x:v>2026-10-15</x:v>
      </x:c>
      <x:c r="C9" s="10" t="n">
        <x:v>4113</x:v>
      </x:c>
      <x:c r="D9" s="10" t="n">
        <x:v>4045.2</x:v>
      </x:c>
      <x:c r="E9" s="12" t="n">
        <x:v>67.8</x:v>
      </x:c>
      <x:c r="F9" s="9" t="n">
        <x:v>187</x:v>
      </x:c>
      <x:c r="G9" s="10" t="n">
        <x:v>13516.4</x:v>
      </x:c>
      <x:c r="H9" s="10" t="n">
        <x:v>72.3</x:v>
      </x:c>
      <x:c r="I9" s="10" t="n">
        <x:v>90</x:v>
      </x:c>
    </x:row>
    <x:row r="10">
      <x:c r="A10" s="9" t="str">
        <x:v>IH主力</x:v>
      </x:c>
      <x:c r="B10" s="9" t="str">
        <x:v>2026-10-15</x:v>
      </x:c>
      <x:c r="C10" s="10" t="n">
        <x:v>2719.8</x:v>
      </x:c>
      <x:c r="D10" s="10" t="n">
        <x:v>2677.6</x:v>
      </x:c>
      <x:c r="E10" s="12" t="n">
        <x:v>42.2</x:v>
      </x:c>
      <x:c r="F10" s="9" t="n">
        <x:v>187</x:v>
      </x:c>
      <x:c r="G10" s="10" t="n">
        <x:v>7494</x:v>
      </x:c>
      <x:c r="H10" s="10" t="n">
        <x:v>40.1</x:v>
      </x:c>
      <x:c r="I10" s="10" t="n">
        <x:v>60</x:v>
      </x:c>
    </x:row>
    <x:row r="11">
      <x:c r="A11" s="9" t="str">
        <x:v>碳酸锂2610</x:v>
      </x:c>
      <x:c r="B11" s="9" t="str">
        <x:v>2026-10-15</x:v>
      </x:c>
      <x:c r="C11" s="10" t="n">
        <x:v>103400</x:v>
      </x:c>
      <x:c r="D11" s="10" t="n">
        <x:v>102000</x:v>
      </x:c>
      <x:c r="E11" s="12" t="n">
        <x:v>1400</x:v>
      </x:c>
      <x:c r="F11" s="9" t="n">
        <x:v>187</x:v>
      </x:c>
      <x:c r="G11" s="10" t="n">
        <x:v>1485400</x:v>
      </x:c>
      <x:c r="H11" s="10" t="n">
        <x:v>7943.3</x:v>
      </x:c>
      <x:c r="I11" s="10" t="n">
        <x:v>6000</x:v>
      </x:c>
    </x:row>
    <x:row r="14">
      <x:c r="A14" s="14" t="str">
        <x:v>统计区间</x:v>
      </x:c>
      <x:c r="B14" s="14" t="str">
        <x:v>2026-01-01</x:v>
      </x:c>
      <x:c r="C14" s="14" t="str">
        <x:v>2026-10-16</x:v>
      </x:c>
      <x:c r="D14" s="14" t="str">
        <x:v>数据源</x:v>
      </x:c>
    </x:row>
    <x:row r="15">
      <x:c r="A15" s="7" t="str">
        <x:v>中证1000</x:v>
      </x:c>
      <x:c r="B15" s="7" t="str">
        <x:v>sh000852</x:v>
      </x:c>
      <x:c r="C15" s="7" t="str">
        <x:v>指数日线</x:v>
      </x:c>
      <x:c r="D15" s="7" t="str">
        <x:v>https://web.ifzq.gtimg.cn/appstock/app/fqkline/get?param=sh000852,day,,,80,qfq</x:v>
      </x:c>
    </x:row>
    <x:row r="16">
      <x:c r="A16" s="7" t="str">
        <x:v>中证500</x:v>
      </x:c>
      <x:c r="B16" s="7" t="str">
        <x:v>sh000905</x:v>
      </x:c>
      <x:c r="C16" s="7" t="str">
        <x:v>指数日线</x:v>
      </x:c>
      <x:c r="D16" s="7" t="str">
        <x:v>https://web.ifzq.gtimg.cn/appstock/app/fqkline/get?param=sh000905,day,,,80,qfq</x:v>
      </x:c>
    </x:row>
    <x:row r="17">
      <x:c r="A17" s="7" t="str">
        <x:v>上证指数</x:v>
      </x:c>
      <x:c r="B17" s="7" t="str">
        <x:v>sh000001</x:v>
      </x:c>
      <x:c r="C17" s="7" t="str">
        <x:v>指数日线</x:v>
      </x:c>
      <x:c r="D17" s="7" t="str">
        <x:v>https://web.ifzq.gtimg.cn/appstock/app/fqkline/get?param=sh000001,day,,,80,qfq</x:v>
      </x:c>
    </x:row>
    <x:row r="18">
      <x:c r="A18" s="7" t="str">
        <x:v>IM主力</x:v>
      </x:c>
      <x:c r="B18" s="7" t="str">
        <x:v>IM0</x:v>
      </x:c>
      <x:c r="C18" s="7" t="str">
        <x:v>用主连确定交易日，再按标的列的具体合约取日线</x:v>
      </x:c>
      <x:c r="D18" s="7" t="str">
        <x:v>https://stock2.finance.sina.com.cn/futures/api/json.php/InnerFuturesNewService.getDailyKLine?symbol=IM0</x:v>
      </x:c>
    </x:row>
    <x:row r="19">
      <x:c r="A19" s="7" t="str">
        <x:v>IC主力</x:v>
      </x:c>
      <x:c r="B19" s="7" t="str">
        <x:v>IC0</x:v>
      </x:c>
      <x:c r="C19" s="7" t="str">
        <x:v>用主连确定交易日，再按标的列的具体合约取日线</x:v>
      </x:c>
      <x:c r="D19" s="7" t="str">
        <x:v>https://stock2.finance.sina.com.cn/futures/api/json.php/InnerFuturesNewService.getDailyKLine?symbol=IC0</x:v>
      </x:c>
    </x:row>
    <x:row r="20">
      <x:c r="A20" s="7" t="str">
        <x:v>IF主力</x:v>
      </x:c>
      <x:c r="B20" s="7" t="str">
        <x:v>IF0</x:v>
      </x:c>
      <x:c r="C20" s="7" t="str">
        <x:v>用主连确定交易日，再按标的列的具体合约取日线</x:v>
      </x:c>
      <x:c r="D20" s="7" t="str">
        <x:v>https://stock2.finance.sina.com.cn/futures/api/json.php/InnerFuturesNewService.getDailyKLine?symbol=IF0</x:v>
      </x:c>
    </x:row>
    <x:row r="21">
      <x:c r="A21" s="7" t="str">
        <x:v>IH主力</x:v>
      </x:c>
      <x:c r="B21" s="7" t="str">
        <x:v>IH0</x:v>
      </x:c>
      <x:c r="C21" s="7" t="str">
        <x:v>用主连确定交易日，再按标的列的具体合约取日线</x:v>
      </x:c>
      <x:c r="D21" s="7" t="str">
        <x:v>https://stock2.finance.sina.com.cn/futures/api/json.php/InnerFuturesNewService.getDailyKLine?symbol=IH0</x:v>
      </x:c>
    </x:row>
    <x:row r="22">
      <x:c r="A22" s="7" t="str">
        <x:v>碳酸锂2610</x:v>
      </x:c>
      <x:c r="B22" s="7" t="str">
        <x:v>LC2610</x:v>
      </x:c>
      <x:c r="C22" s="7" t="str">
        <x:v>固定合约日线</x:v>
      </x:c>
      <x:c r="D22" s="7" t="str">
        <x:v>https://stock2.finance.sina.com.cn/futures/api/json.php/InnerFuturesNewService.getDailyKLine?symbol=LC2610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0" hidden="0" customWidth="1"/>
  </x:cols>
  <x:sheetData>
    <x:row r="1" ht="38" customHeight="1">
      <x:c r="A1" s="15" t="str">
        <x:v>2026年统计 - 每周振幅统计</x:v>
      </x:c>
    </x:row>
    <x:row r="3">
      <x:c r="A3" s="17" t="str">
        <x:v>中证1000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周期</x:v>
      </x:c>
      <x:c r="C4" s="20" t="str">
        <x:v>开盘</x:v>
      </x:c>
      <x:c r="D4" s="20" t="str">
        <x:v>高点</x:v>
      </x:c>
      <x:c r="E4" s="20" t="str">
        <x:v>低点</x:v>
      </x:c>
      <x:c r="F4" s="20" t="str">
        <x:v>收盘</x:v>
      </x:c>
      <x:c r="G4" s="20" t="str">
        <x:v>涨跌点数</x:v>
      </x:c>
      <x:c r="H4" s="20" t="str">
        <x:v>涨幅</x:v>
      </x:c>
      <x:c r="I4" s="20" t="str">
        <x:v>振幅</x:v>
      </x:c>
      <x:c r="J4" s="20" t="str">
        <x:v>标的</x:v>
      </x:c>
      <x:c r="K4" s="20" t="str">
        <x:v>交易日</x:v>
      </x:c>
    </x:row>
    <x:row r="5">
      <x:c r="A5" s="22" t="n">
        <x:v>1</x:v>
      </x:c>
      <x:c r="B5" s="22" t="str">
        <x:v>1月5日-1月9日</x:v>
      </x:c>
      <x:c r="C5" s="23" t="n">
        <x:v>7639.54</x:v>
      </x:c>
      <x:c r="D5" s="23" t="n">
        <x:v>8131.49</x:v>
      </x:c>
      <x:c r="E5" s="23" t="n">
        <x:v>7623.75</x:v>
      </x:c>
      <x:c r="F5" s="23" t="n">
        <x:v>8129.18</x:v>
      </x:c>
      <x:c r="G5" s="23"/>
      <x:c r="H5" s="24"/>
      <x:c r="I5" s="26" t="n">
        <x:f>ROUND(D5-E5,1)</x:f>
        <x:v>507.7</x:v>
      </x:c>
      <x:c r="J5" s="22" t="str">
        <x:v>中证1000</x:v>
      </x:c>
      <x:c r="K5" s="22" t="n">
        <x:v>5</x:v>
      </x:c>
    </x:row>
    <x:row r="6">
      <x:c r="A6" s="22" t="n">
        <x:v>2</x:v>
      </x:c>
      <x:c r="B6" s="22" t="str">
        <x:v>1月12日-1月16日</x:v>
      </x:c>
      <x:c r="C6" s="23" t="n">
        <x:v>8196.08</x:v>
      </x:c>
      <x:c r="D6" s="23" t="n">
        <x:v>8415.1</x:v>
      </x:c>
      <x:c r="E6" s="23" t="n">
        <x:v>8151.11</x:v>
      </x:c>
      <x:c r="F6" s="23" t="n">
        <x:v>8232.73</x:v>
      </x:c>
      <x:c r="G6" s="23" t="n">
        <x:f>ROUND(F6-F5,1)</x:f>
        <x:v>103.5</x:v>
      </x:c>
      <x:c r="H6" s="24" t="n">
        <x:f>IFERROR(F6/F5-1,"")</x:f>
        <x:v>0.012738062141568918</x:v>
      </x:c>
      <x:c r="I6" s="26" t="n">
        <x:f>ROUND(D6-E6,1)</x:f>
        <x:v>264</x:v>
      </x:c>
      <x:c r="J6" s="22" t="str">
        <x:v>中证1000</x:v>
      </x:c>
      <x:c r="K6" s="22" t="n">
        <x:v>5</x:v>
      </x:c>
    </x:row>
    <x:row r="7">
      <x:c r="A7" s="22" t="n">
        <x:v>3</x:v>
      </x:c>
      <x:c r="B7" s="22" t="str">
        <x:v>1月19日-1月23日</x:v>
      </x:c>
      <x:c r="C7" s="23" t="n">
        <x:v>8204.63</x:v>
      </x:c>
      <x:c r="D7" s="23" t="n">
        <x:v>8478.56</x:v>
      </x:c>
      <x:c r="E7" s="23" t="n">
        <x:v>8104.92</x:v>
      </x:c>
      <x:c r="F7" s="23" t="n">
        <x:v>8470.74</x:v>
      </x:c>
      <x:c r="G7" s="28" t="n">
        <x:f>ROUND(F7-F6,1)</x:f>
        <x:v>238</x:v>
      </x:c>
      <x:c r="H7" s="24" t="n">
        <x:f>IFERROR(F7/F6-1,"")</x:f>
        <x:v>0.028910215687870222</x:v>
      </x:c>
      <x:c r="I7" s="26" t="n">
        <x:f>ROUND(D7-E7,1)</x:f>
        <x:v>373.6</x:v>
      </x:c>
      <x:c r="J7" s="22" t="str">
        <x:v>中证1000</x:v>
      </x:c>
      <x:c r="K7" s="22" t="n">
        <x:v>5</x:v>
      </x:c>
    </x:row>
    <x:row r="8">
      <x:c r="A8" s="22" t="n">
        <x:v>4</x:v>
      </x:c>
      <x:c r="B8" s="22" t="str">
        <x:v>1月26日-1月30日</x:v>
      </x:c>
      <x:c r="C8" s="23" t="n">
        <x:v>8513.22</x:v>
      </x:c>
      <x:c r="D8" s="23" t="n">
        <x:v>8530.42</x:v>
      </x:c>
      <x:c r="E8" s="23" t="n">
        <x:v>8083.97</x:v>
      </x:c>
      <x:c r="F8" s="23" t="n">
        <x:v>8254.86</x:v>
      </x:c>
      <x:c r="G8" s="28" t="n">
        <x:f>ROUND(F8-F7,1)</x:f>
        <x:v>-215.9</x:v>
      </x:c>
      <x:c r="H8" s="24" t="n">
        <x:f>IFERROR(F8/F7-1,"")</x:f>
        <x:v>-0.025485376720333686</x:v>
      </x:c>
      <x:c r="I8" s="26" t="n">
        <x:f>ROUND(D8-E8,1)</x:f>
        <x:v>446.4</x:v>
      </x:c>
      <x:c r="J8" s="22" t="str">
        <x:v>中证1000</x:v>
      </x:c>
      <x:c r="K8" s="22" t="n">
        <x:v>5</x:v>
      </x:c>
    </x:row>
    <x:row r="9">
      <x:c r="A9" s="22" t="n">
        <x:v>5</x:v>
      </x:c>
      <x:c r="B9" s="22" t="str">
        <x:v>2月2日-2月6日</x:v>
      </x:c>
      <x:c r="C9" s="23" t="n">
        <x:v>8166.74</x:v>
      </x:c>
      <x:c r="D9" s="23" t="n">
        <x:v>8221.58</x:v>
      </x:c>
      <x:c r="E9" s="23" t="n">
        <x:v>7950.01</x:v>
      </x:c>
      <x:c r="F9" s="23" t="n">
        <x:v>8051.57</x:v>
      </x:c>
      <x:c r="G9" s="28" t="n">
        <x:f>ROUND(F9-F8,1)</x:f>
        <x:v>-203.3</x:v>
      </x:c>
      <x:c r="H9" s="24" t="n">
        <x:f>IFERROR(F9/F8-1,"")</x:f>
        <x:v>-0.024626704753321182</x:v>
      </x:c>
      <x:c r="I9" s="26" t="n">
        <x:f>ROUND(D9-E9,1)</x:f>
        <x:v>271.6</x:v>
      </x:c>
      <x:c r="J9" s="22" t="str">
        <x:v>中证1000</x:v>
      </x:c>
      <x:c r="K9" s="22" t="n">
        <x:v>5</x:v>
      </x:c>
    </x:row>
    <x:row r="10">
      <x:c r="A10" s="22" t="n">
        <x:v>6</x:v>
      </x:c>
      <x:c r="B10" s="22" t="str">
        <x:v>2月9日-2月13日</x:v>
      </x:c>
      <x:c r="C10" s="23" t="n">
        <x:v>8177.29</x:v>
      </x:c>
      <x:c r="D10" s="23" t="n">
        <x:v>8337.37</x:v>
      </x:c>
      <x:c r="E10" s="23" t="n">
        <x:v>8149.65</x:v>
      </x:c>
      <x:c r="F10" s="23" t="n">
        <x:v>8204.83</x:v>
      </x:c>
      <x:c r="G10" s="28" t="n">
        <x:f>ROUND(F10-F9,1)</x:f>
        <x:v>153.3</x:v>
      </x:c>
      <x:c r="H10" s="24" t="n">
        <x:f>IFERROR(F10/F9-1,"")</x:f>
        <x:v>0.01903479694022403</x:v>
      </x:c>
      <x:c r="I10" s="26" t="n">
        <x:f>ROUND(D10-E10,1)</x:f>
        <x:v>187.7</x:v>
      </x:c>
      <x:c r="J10" s="22" t="str">
        <x:v>中证1000</x:v>
      </x:c>
      <x:c r="K10" s="22" t="n">
        <x:v>5</x:v>
      </x:c>
    </x:row>
    <x:row r="11">
      <x:c r="A11" s="22" t="n">
        <x:v>7</x:v>
      </x:c>
      <x:c r="B11" s="22" t="str">
        <x:v>2月24日-2月27日</x:v>
      </x:c>
      <x:c r="C11" s="23" t="n">
        <x:v>8319.69</x:v>
      </x:c>
      <x:c r="D11" s="23" t="n">
        <x:v>8561.3</x:v>
      </x:c>
      <x:c r="E11" s="23" t="n">
        <x:v>8236.71</x:v>
      </x:c>
      <x:c r="F11" s="23" t="n">
        <x:v>8560.84</x:v>
      </x:c>
      <x:c r="G11" s="28" t="n">
        <x:f>ROUND(F11-F10,1)</x:f>
        <x:v>356</x:v>
      </x:c>
      <x:c r="H11" s="24" t="n">
        <x:f>IFERROR(F11/F10-1,"")</x:f>
        <x:v>0.0433902957160599</x:v>
      </x:c>
      <x:c r="I11" s="26" t="n">
        <x:f>ROUND(D11-E11,1)</x:f>
        <x:v>324.6</x:v>
      </x:c>
      <x:c r="J11" s="22" t="str">
        <x:v>中证1000</x:v>
      </x:c>
      <x:c r="K11" s="22" t="n">
        <x:v>4</x:v>
      </x:c>
    </x:row>
    <x:row r="12">
      <x:c r="A12" s="22" t="n">
        <x:v>8</x:v>
      </x:c>
      <x:c r="B12" s="22" t="str">
        <x:v>3月2日-3月6日</x:v>
      </x:c>
      <x:c r="C12" s="23" t="n">
        <x:v>8464.27</x:v>
      </x:c>
      <x:c r="D12" s="23" t="n">
        <x:v>8535.81</x:v>
      </x:c>
      <x:c r="E12" s="23" t="n">
        <x:v>8039.59</x:v>
      </x:c>
      <x:c r="F12" s="23" t="n">
        <x:v>8248.86</x:v>
      </x:c>
      <x:c r="G12" s="28" t="n">
        <x:f>ROUND(F12-F11,1)</x:f>
        <x:v>-312</x:v>
      </x:c>
      <x:c r="H12" s="24" t="n">
        <x:f>IFERROR(F12/F11-1,"")</x:f>
        <x:v>-0.036442685530859054</x:v>
      </x:c>
      <x:c r="I12" s="26" t="n">
        <x:f>ROUND(D12-E12,1)</x:f>
        <x:v>496.2</x:v>
      </x:c>
      <x:c r="J12" s="22" t="str">
        <x:v>中证1000</x:v>
      </x:c>
      <x:c r="K12" s="22" t="n">
        <x:v>5</x:v>
      </x:c>
    </x:row>
    <x:row r="13">
      <x:c r="A13" s="22" t="n">
        <x:v>9</x:v>
      </x:c>
      <x:c r="B13" s="22" t="str">
        <x:v>3月9日-3月13日</x:v>
      </x:c>
      <x:c r="C13" s="23" t="n">
        <x:v>8131.74</x:v>
      </x:c>
      <x:c r="D13" s="23" t="n">
        <x:v>8394.12</x:v>
      </x:c>
      <x:c r="E13" s="23" t="n">
        <x:v>7983.57</x:v>
      </x:c>
      <x:c r="F13" s="23" t="n">
        <x:v>8214.29</x:v>
      </x:c>
      <x:c r="G13" s="23" t="n">
        <x:f>ROUND(F13-F12,1)</x:f>
        <x:v>-34.6</x:v>
      </x:c>
      <x:c r="H13" s="24" t="n">
        <x:f>IFERROR(F13/F12-1,"")</x:f>
        <x:v>-0.004190882134016083</x:v>
      </x:c>
      <x:c r="I13" s="26" t="n">
        <x:f>ROUND(D13-E13,1)</x:f>
        <x:v>410.6</x:v>
      </x:c>
      <x:c r="J13" s="22" t="str">
        <x:v>中证1000</x:v>
      </x:c>
      <x:c r="K13" s="22" t="n">
        <x:v>5</x:v>
      </x:c>
    </x:row>
    <x:row r="14">
      <x:c r="A14" s="22" t="n">
        <x:v>10</x:v>
      </x:c>
      <x:c r="B14" s="22" t="str">
        <x:v>3月16日-3月20日</x:v>
      </x:c>
      <x:c r="C14" s="23" t="n">
        <x:v>8212.27</x:v>
      </x:c>
      <x:c r="D14" s="23" t="n">
        <x:v>8226.03</x:v>
      </x:c>
      <x:c r="E14" s="23" t="n">
        <x:v>7781.58</x:v>
      </x:c>
      <x:c r="F14" s="23" t="n">
        <x:v>7783.43</x:v>
      </x:c>
      <x:c r="G14" s="28" t="n">
        <x:f>ROUND(F14-F13,1)</x:f>
        <x:v>-430.9</x:v>
      </x:c>
      <x:c r="H14" s="24" t="n">
        <x:f>IFERROR(F14/F13-1,"")</x:f>
        <x:v>-0.05245249437261168</x:v>
      </x:c>
      <x:c r="I14" s="26" t="n">
        <x:f>ROUND(D14-E14,1)</x:f>
        <x:v>444.5</x:v>
      </x:c>
      <x:c r="J14" s="22" t="str">
        <x:v>中证1000</x:v>
      </x:c>
      <x:c r="K14" s="22" t="n">
        <x:v>5</x:v>
      </x:c>
    </x:row>
    <x:row r="15">
      <x:c r="A15" s="22" t="n">
        <x:v>11</x:v>
      </x:c>
      <x:c r="B15" s="22" t="str">
        <x:v>3月23日-3月27日</x:v>
      </x:c>
      <x:c r="C15" s="23" t="n">
        <x:v>7632.97</x:v>
      </x:c>
      <x:c r="D15" s="23" t="n">
        <x:v>7784.55</x:v>
      </x:c>
      <x:c r="E15" s="23" t="n">
        <x:v>7357.7</x:v>
      </x:c>
      <x:c r="F15" s="23" t="n">
        <x:v>7746.31</x:v>
      </x:c>
      <x:c r="G15" s="23" t="n">
        <x:f>ROUND(F15-F14,1)</x:f>
        <x:v>-37.1</x:v>
      </x:c>
      <x:c r="H15" s="24" t="n">
        <x:f>IFERROR(F15/F14-1,"")</x:f>
        <x:v>-0.004769105651364458</x:v>
      </x:c>
      <x:c r="I15" s="26" t="n">
        <x:f>ROUND(D15-E15,1)</x:f>
        <x:v>426.9</x:v>
      </x:c>
      <x:c r="J15" s="22" t="str">
        <x:v>中证1000</x:v>
      </x:c>
      <x:c r="K15" s="22" t="n">
        <x:v>5</x:v>
      </x:c>
    </x:row>
    <x:row r="16">
      <x:c r="A16" s="22" t="n">
        <x:v>12</x:v>
      </x:c>
      <x:c r="B16" s="22" t="str">
        <x:v>3月30日-4月3日</x:v>
      </x:c>
      <x:c r="C16" s="23" t="n">
        <x:v>7664.64</x:v>
      </x:c>
      <x:c r="D16" s="23" t="n">
        <x:v>7789.24</x:v>
      </x:c>
      <x:c r="E16" s="23" t="n">
        <x:v>7521.94</x:v>
      </x:c>
      <x:c r="F16" s="23" t="n">
        <x:v>7536.6</x:v>
      </x:c>
      <x:c r="G16" s="28" t="n">
        <x:f>ROUND(F16-F15,1)</x:f>
        <x:v>-209.7</x:v>
      </x:c>
      <x:c r="H16" s="24" t="n">
        <x:f>IFERROR(F16/F15-1,"")</x:f>
        <x:v>-0.027072244720389493</x:v>
      </x:c>
      <x:c r="I16" s="26" t="n">
        <x:f>ROUND(D16-E16,1)</x:f>
        <x:v>267.3</x:v>
      </x:c>
      <x:c r="J16" s="22" t="str">
        <x:v>中证1000</x:v>
      </x:c>
      <x:c r="K16" s="22" t="n">
        <x:v>5</x:v>
      </x:c>
    </x:row>
    <x:row r="17">
      <x:c r="A17" s="22" t="n">
        <x:v>13</x:v>
      </x:c>
      <x:c r="B17" s="22" t="str">
        <x:v>4月7日-4月10日</x:v>
      </x:c>
      <x:c r="C17" s="23" t="n">
        <x:v>7556.28</x:v>
      </x:c>
      <x:c r="D17" s="23" t="n">
        <x:v>8059.76</x:v>
      </x:c>
      <x:c r="E17" s="23" t="n">
        <x:v>7554.41</x:v>
      </x:c>
      <x:c r="F17" s="23" t="n">
        <x:v>7998.23</x:v>
      </x:c>
      <x:c r="G17" s="28" t="n">
        <x:f>ROUND(F17-F16,1)</x:f>
        <x:v>461.6</x:v>
      </x:c>
      <x:c r="H17" s="24" t="n">
        <x:f>IFERROR(F17/F16-1,"")</x:f>
        <x:v>0.06125175808720096</x:v>
      </x:c>
      <x:c r="I17" s="26" t="n">
        <x:f>ROUND(D17-E17,1)</x:f>
        <x:v>505.4</x:v>
      </x:c>
      <x:c r="J17" s="22" t="str">
        <x:v>中证1000</x:v>
      </x:c>
      <x:c r="K17" s="22" t="n">
        <x:v>4</x:v>
      </x:c>
    </x:row>
    <x:row r="18">
      <x:c r="A18" s="22" t="n">
        <x:v>14</x:v>
      </x:c>
      <x:c r="B18" s="22" t="str">
        <x:v>4月13日-4月17日</x:v>
      </x:c>
      <x:c r="C18" s="23" t="n">
        <x:v>7947.22</x:v>
      </x:c>
      <x:c r="D18" s="23" t="n">
        <x:v>8333.22</x:v>
      </x:c>
      <x:c r="E18" s="23" t="n">
        <x:v>7947.22</x:v>
      </x:c>
      <x:c r="F18" s="23" t="n">
        <x:v>8307.44</x:v>
      </x:c>
      <x:c r="G18" s="28" t="n">
        <x:f>ROUND(F18-F17,1)</x:f>
        <x:v>309.2</x:v>
      </x:c>
      <x:c r="H18" s="24" t="n">
        <x:f>IFERROR(F18/F17-1,"")</x:f>
        <x:v>0.03865980348152043</x:v>
      </x:c>
      <x:c r="I18" s="26" t="n">
        <x:f>ROUND(D18-E18,1)</x:f>
        <x:v>386</x:v>
      </x:c>
      <x:c r="J18" s="22" t="str">
        <x:v>中证1000</x:v>
      </x:c>
      <x:c r="K18" s="22" t="n">
        <x:v>5</x:v>
      </x:c>
    </x:row>
    <x:row r="19">
      <x:c r="A19" s="22" t="n">
        <x:v>15</x:v>
      </x:c>
      <x:c r="B19" s="22" t="str">
        <x:v>4月20日-4月24日</x:v>
      </x:c>
      <x:c r="C19" s="23" t="n">
        <x:v>8308.06</x:v>
      </x:c>
      <x:c r="D19" s="23" t="n">
        <x:v>8500.44</x:v>
      </x:c>
      <x:c r="E19" s="23" t="n">
        <x:v>8254.43</x:v>
      </x:c>
      <x:c r="F19" s="23" t="n">
        <x:v>8304.14</x:v>
      </x:c>
      <x:c r="G19" s="23" t="n">
        <x:f>ROUND(F19-F18,1)</x:f>
        <x:v>-3.3</x:v>
      </x:c>
      <x:c r="H19" s="24" t="n">
        <x:f>IFERROR(F19/F18-1,"")</x:f>
        <x:v>-0.0003972342863747258</x:v>
      </x:c>
      <x:c r="I19" s="26" t="n">
        <x:f>ROUND(D19-E19,1)</x:f>
        <x:v>246</x:v>
      </x:c>
      <x:c r="J19" s="22" t="str">
        <x:v>中证1000</x:v>
      </x:c>
      <x:c r="K19" s="22" t="n">
        <x:v>5</x:v>
      </x:c>
    </x:row>
    <x:row r="20">
      <x:c r="A20" s="22" t="n">
        <x:v>16</x:v>
      </x:c>
      <x:c r="B20" s="22" t="str">
        <x:v>4月27日-4月30日</x:v>
      </x:c>
      <x:c r="C20" s="23" t="n">
        <x:v>8292.81</x:v>
      </x:c>
      <x:c r="D20" s="23" t="n">
        <x:v>8402.36</x:v>
      </x:c>
      <x:c r="E20" s="23" t="n">
        <x:v>8163.35</x:v>
      </x:c>
      <x:c r="F20" s="23" t="n">
        <x:v>8381.95</x:v>
      </x:c>
      <x:c r="G20" s="23" t="n">
        <x:f>ROUND(F20-F19,1)</x:f>
        <x:v>77.8</x:v>
      </x:c>
      <x:c r="H20" s="24" t="n">
        <x:f>IFERROR(F20/F19-1,"")</x:f>
        <x:v>0.009370025071831822</x:v>
      </x:c>
      <x:c r="I20" s="26" t="n">
        <x:f>ROUND(D20-E20,1)</x:f>
        <x:v>239</x:v>
      </x:c>
      <x:c r="J20" s="22" t="str">
        <x:v>中证1000</x:v>
      </x:c>
      <x:c r="K20" s="22" t="n">
        <x:v>4</x:v>
      </x:c>
    </x:row>
    <x:row r="21">
      <x:c r="A21" s="22" t="n">
        <x:v>17</x:v>
      </x:c>
      <x:c r="B21" s="22" t="str">
        <x:v>5月6日-5月8日</x:v>
      </x:c>
      <x:c r="C21" s="23" t="n">
        <x:v>8462.02</x:v>
      </x:c>
      <x:c r="D21" s="23" t="n">
        <x:v>8760.19</x:v>
      </x:c>
      <x:c r="E21" s="23" t="n">
        <x:v>8462.02</x:v>
      </x:c>
      <x:c r="F21" s="23" t="n">
        <x:v>8741.15</x:v>
      </x:c>
      <x:c r="G21" s="28" t="n">
        <x:f>ROUND(F21-F20,1)</x:f>
        <x:v>359.2</x:v>
      </x:c>
      <x:c r="H21" s="24" t="n">
        <x:f>IFERROR(F21/F20-1,"")</x:f>
        <x:v>0.04285398982337041</x:v>
      </x:c>
      <x:c r="I21" s="26" t="n">
        <x:f>ROUND(D21-E21,1)</x:f>
        <x:v>298.2</x:v>
      </x:c>
      <x:c r="J21" s="22" t="str">
        <x:v>中证1000</x:v>
      </x:c>
      <x:c r="K21" s="22" t="n">
        <x:v>3</x:v>
      </x:c>
    </x:row>
    <x:row r="22">
      <x:c r="A22" s="22" t="n">
        <x:v>18</x:v>
      </x:c>
      <x:c r="B22" s="22" t="str">
        <x:v>5月11日-5月15日</x:v>
      </x:c>
      <x:c r="C22" s="23" t="n">
        <x:v>8807.91</x:v>
      </x:c>
      <x:c r="D22" s="23" t="n">
        <x:v>8991.85</x:v>
      </x:c>
      <x:c r="E22" s="23" t="n">
        <x:v>8616.06</x:v>
      </x:c>
      <x:c r="F22" s="23" t="n">
        <x:v>8682.65</x:v>
      </x:c>
      <x:c r="G22" s="23" t="n">
        <x:f>ROUND(F22-F21,1)</x:f>
        <x:v>-58.5</x:v>
      </x:c>
      <x:c r="H22" s="24" t="n">
        <x:f>IFERROR(F22/F21-1,"")</x:f>
        <x:v>-0.006692483254491677</x:v>
      </x:c>
      <x:c r="I22" s="26" t="n">
        <x:f>ROUND(D22-E22,1)</x:f>
        <x:v>375.8</x:v>
      </x:c>
      <x:c r="J22" s="22" t="str">
        <x:v>中证1000</x:v>
      </x:c>
      <x:c r="K22" s="22" t="n">
        <x:v>5</x:v>
      </x:c>
    </x:row>
    <x:row r="23">
      <x:c r="A23" s="22" t="n">
        <x:v>19</x:v>
      </x:c>
      <x:c r="B23" s="22" t="str">
        <x:v>5月18日-5月22日</x:v>
      </x:c>
      <x:c r="C23" s="23" t="n">
        <x:v>8645.76</x:v>
      </x:c>
      <x:c r="D23" s="23" t="n">
        <x:v>8896.6</x:v>
      </x:c>
      <x:c r="E23" s="23" t="n">
        <x:v>8500.92</x:v>
      </x:c>
      <x:c r="F23" s="23" t="n">
        <x:v>8692.67</x:v>
      </x:c>
      <x:c r="G23" s="23" t="n">
        <x:f>ROUND(F23-F22,1)</x:f>
        <x:v>10</x:v>
      </x:c>
      <x:c r="H23" s="24" t="n">
        <x:f>IFERROR(F23/F22-1,"")</x:f>
        <x:v>0.0011540255567137336</x:v>
      </x:c>
      <x:c r="I23" s="26" t="n">
        <x:f>ROUND(D23-E23,1)</x:f>
        <x:v>395.7</x:v>
      </x:c>
      <x:c r="J23" s="22" t="str">
        <x:v>中证1000</x:v>
      </x:c>
      <x:c r="K23" s="22" t="n">
        <x:v>5</x:v>
      </x:c>
    </x:row>
    <x:row r="24">
      <x:c r="A24" s="22" t="n">
        <x:v>20</x:v>
      </x:c>
      <x:c r="B24" s="22" t="str">
        <x:v>5月25日-5月29日</x:v>
      </x:c>
      <x:c r="C24" s="23" t="n">
        <x:v>8756.46</x:v>
      </x:c>
      <x:c r="D24" s="23" t="n">
        <x:v>8802.95</x:v>
      </x:c>
      <x:c r="E24" s="23" t="n">
        <x:v>8357.8</x:v>
      </x:c>
      <x:c r="F24" s="23" t="n">
        <x:v>8408.74</x:v>
      </x:c>
      <x:c r="G24" s="28" t="n">
        <x:f>ROUND(F24-F23,1)</x:f>
        <x:v>-283.9</x:v>
      </x:c>
      <x:c r="H24" s="24" t="n">
        <x:f>IFERROR(F24/F23-1,"")</x:f>
        <x:v>-0.03266315182791946</x:v>
      </x:c>
      <x:c r="I24" s="26" t="n">
        <x:f>ROUND(D24-E24,1)</x:f>
        <x:v>445.2</x:v>
      </x:c>
      <x:c r="J24" s="22" t="str">
        <x:v>中证1000</x:v>
      </x:c>
      <x:c r="K24" s="22" t="n">
        <x:v>5</x:v>
      </x:c>
    </x:row>
    <x:row r="25">
      <x:c r="A25" s="22" t="n">
        <x:v>21</x:v>
      </x:c>
      <x:c r="B25" s="22" t="str">
        <x:v>6月1日-6月5日</x:v>
      </x:c>
      <x:c r="C25" s="23" t="n">
        <x:v>8393.52</x:v>
      </x:c>
      <x:c r="D25" s="23" t="n">
        <x:v>8549.25</x:v>
      </x:c>
      <x:c r="E25" s="23" t="n">
        <x:v>8219.15</x:v>
      </x:c>
      <x:c r="F25" s="23" t="n">
        <x:v>8340.96</x:v>
      </x:c>
      <x:c r="G25" s="23" t="n">
        <x:f>ROUND(F25-F24,1)</x:f>
        <x:v>-67.8</x:v>
      </x:c>
      <x:c r="H25" s="24" t="n">
        <x:f>IFERROR(F25/F24-1,"")</x:f>
        <x:v>-0.00806066069351663</x:v>
      </x:c>
      <x:c r="I25" s="26" t="n">
        <x:f>ROUND(D25-E25,1)</x:f>
        <x:v>330.1</x:v>
      </x:c>
      <x:c r="J25" s="22" t="str">
        <x:v>中证1000</x:v>
      </x:c>
      <x:c r="K25" s="22" t="n">
        <x:v>5</x:v>
      </x:c>
    </x:row>
    <x:row r="26">
      <x:c r="A26" s="22" t="n">
        <x:v>22</x:v>
      </x:c>
      <x:c r="B26" s="22" t="str">
        <x:v>6月8日-6月12日</x:v>
      </x:c>
      <x:c r="C26" s="23" t="n">
        <x:v>8069.48</x:v>
      </x:c>
      <x:c r="D26" s="23" t="n">
        <x:v>8348.79</x:v>
      </x:c>
      <x:c r="E26" s="23" t="n">
        <x:v>7987.4</x:v>
      </x:c>
      <x:c r="F26" s="23" t="n">
        <x:v>8202.8</x:v>
      </x:c>
      <x:c r="G26" s="23" t="n">
        <x:f>ROUND(F26-F25,1)</x:f>
        <x:v>-138.2</x:v>
      </x:c>
      <x:c r="H26" s="24" t="n">
        <x:f>IFERROR(F26/F25-1,"")</x:f>
        <x:v>-0.01656404059005201</x:v>
      </x:c>
      <x:c r="I26" s="26" t="n">
        <x:f>ROUND(D26-E26,1)</x:f>
        <x:v>361.4</x:v>
      </x:c>
      <x:c r="J26" s="22" t="str">
        <x:v>中证1000</x:v>
      </x:c>
      <x:c r="K26" s="22" t="n">
        <x:v>5</x:v>
      </x:c>
    </x:row>
    <x:row r="27">
      <x:c r="A27" s="22" t="n">
        <x:v>23</x:v>
      </x:c>
      <x:c r="B27" s="22" t="str">
        <x:v>6月15日-6月18日</x:v>
      </x:c>
      <x:c r="C27" s="23" t="n">
        <x:v>8269.4</x:v>
      </x:c>
      <x:c r="D27" s="23" t="n">
        <x:v>8796.48</x:v>
      </x:c>
      <x:c r="E27" s="23" t="n">
        <x:v>8269.4</x:v>
      </x:c>
      <x:c r="F27" s="23" t="n">
        <x:v>8771.02</x:v>
      </x:c>
      <x:c r="G27" s="28" t="n">
        <x:f>ROUND(F27-F26,1)</x:f>
        <x:v>568.2</x:v>
      </x:c>
      <x:c r="H27" s="24" t="n">
        <x:f>IFERROR(F27/F26-1,"")</x:f>
        <x:v>0.06927146827912445</x:v>
      </x:c>
      <x:c r="I27" s="26" t="n">
        <x:f>ROUND(D27-E27,1)</x:f>
        <x:v>527.1</x:v>
      </x:c>
      <x:c r="J27" s="22" t="str">
        <x:v>中证1000</x:v>
      </x:c>
      <x:c r="K27" s="22" t="n">
        <x:v>4</x:v>
      </x:c>
    </x:row>
    <x:row r="28">
      <x:c r="A28" s="22" t="n">
        <x:v>24</x:v>
      </x:c>
      <x:c r="B28" s="22" t="str">
        <x:v>6月22日-6月26日</x:v>
      </x:c>
      <x:c r="C28" s="23" t="n">
        <x:v>8813.72</x:v>
      </x:c>
      <x:c r="D28" s="23" t="n">
        <x:v>8872.12</x:v>
      </x:c>
      <x:c r="E28" s="23" t="n">
        <x:v>8563.7</x:v>
      </x:c>
      <x:c r="F28" s="23" t="n">
        <x:v>8601.41</x:v>
      </x:c>
      <x:c r="G28" s="28" t="n">
        <x:f>ROUND(F28-F27,1)</x:f>
        <x:v>-169.6</x:v>
      </x:c>
      <x:c r="H28" s="24" t="n">
        <x:f>IFERROR(F28/F27-1,"")</x:f>
        <x:v>-0.019337545690239044</x:v>
      </x:c>
      <x:c r="I28" s="26" t="n">
        <x:f>ROUND(D28-E28,1)</x:f>
        <x:v>308.4</x:v>
      </x:c>
      <x:c r="J28" s="22" t="str">
        <x:v>中证1000</x:v>
      </x:c>
      <x:c r="K28" s="22" t="n">
        <x:v>5</x:v>
      </x:c>
    </x:row>
    <x:row r="29">
      <x:c r="A29" s="22" t="n">
        <x:v>25</x:v>
      </x:c>
      <x:c r="B29" s="22" t="str">
        <x:v>6月29日-7月3日</x:v>
      </x:c>
      <x:c r="C29" s="23" t="n">
        <x:v>8616.42</x:v>
      </x:c>
      <x:c r="D29" s="23" t="n">
        <x:v>8944.19</x:v>
      </x:c>
      <x:c r="E29" s="23" t="n">
        <x:v>8413.86</x:v>
      </x:c>
      <x:c r="F29" s="23" t="n">
        <x:v>8620.79</x:v>
      </x:c>
      <x:c r="G29" s="23" t="n">
        <x:f>ROUND(F29-F28,1)</x:f>
        <x:v>19.4</x:v>
      </x:c>
      <x:c r="H29" s="24" t="n">
        <x:f>IFERROR(F29/F28-1,"")</x:f>
        <x:v>0.002253118965378942</x:v>
      </x:c>
      <x:c r="I29" s="26" t="n">
        <x:f>ROUND(D29-E29,1)</x:f>
        <x:v>530.3</x:v>
      </x:c>
      <x:c r="J29" s="22" t="str">
        <x:v>中证1000</x:v>
      </x:c>
      <x:c r="K29" s="22" t="n">
        <x:v>5</x:v>
      </x:c>
    </x:row>
    <x:row r="30">
      <x:c r="A30" s="22" t="n">
        <x:v>26</x:v>
      </x:c>
      <x:c r="B30" s="22" t="str">
        <x:v>7月6日-7月10日</x:v>
      </x:c>
      <x:c r="C30" s="23" t="n">
        <x:v>8669.12</x:v>
      </x:c>
      <x:c r="D30" s="23" t="n">
        <x:v>8694.8</x:v>
      </x:c>
      <x:c r="E30" s="23" t="n">
        <x:v>7978.81</x:v>
      </x:c>
      <x:c r="F30" s="23" t="n">
        <x:v>8198.31</x:v>
      </x:c>
      <x:c r="G30" s="28" t="n">
        <x:f>ROUND(F30-F29,1)</x:f>
        <x:v>-422.5</x:v>
      </x:c>
      <x:c r="H30" s="24" t="n">
        <x:f>IFERROR(F30/F29-1,"")</x:f>
        <x:v>-0.049007109557244855</x:v>
      </x:c>
      <x:c r="I30" s="26" t="n">
        <x:f>ROUND(D30-E30,1)</x:f>
        <x:v>716</x:v>
      </x:c>
      <x:c r="J30" s="22" t="str">
        <x:v>中证1000</x:v>
      </x:c>
      <x:c r="K30" s="22" t="n">
        <x:v>5</x:v>
      </x:c>
    </x:row>
    <x:row r="31">
      <x:c r="A31" s="22" t="n">
        <x:v>27</x:v>
      </x:c>
      <x:c r="B31" s="22" t="str">
        <x:v>7月13日-7月17日</x:v>
      </x:c>
      <x:c r="C31" s="23" t="n">
        <x:v>8124.36</x:v>
      </x:c>
      <x:c r="D31" s="23" t="n">
        <x:v>8171.5</x:v>
      </x:c>
      <x:c r="E31" s="23" t="n">
        <x:v>7163.31</x:v>
      </x:c>
      <x:c r="F31" s="23" t="n">
        <x:v>7168</x:v>
      </x:c>
      <x:c r="G31" s="28" t="n">
        <x:f>ROUND(F31-F30,1)</x:f>
        <x:v>-1030.3</x:v>
      </x:c>
      <x:c r="H31" s="24" t="n">
        <x:f>IFERROR(F31/F30-1,"")</x:f>
        <x:v>-0.12567346196960105</x:v>
      </x:c>
      <x:c r="I31" s="26" t="n">
        <x:f>ROUND(D31-E31,1)</x:f>
        <x:v>1008.2</x:v>
      </x:c>
      <x:c r="J31" s="22" t="str">
        <x:v>中证1000</x:v>
      </x:c>
      <x:c r="K31" s="22" t="n">
        <x:v>5</x:v>
      </x:c>
    </x:row>
    <x:row r="32">
      <x:c r="A32" s="22" t="n">
        <x:v>28</x:v>
      </x:c>
      <x:c r="B32" s="22" t="str">
        <x:v>7月20日-7月24日</x:v>
      </x:c>
      <x:c r="C32" s="23" t="n">
        <x:v>7256.27</x:v>
      </x:c>
      <x:c r="D32" s="23" t="n">
        <x:v>7302.45</x:v>
      </x:c>
      <x:c r="E32" s="23" t="n">
        <x:v>6714.19</x:v>
      </x:c>
      <x:c r="F32" s="23" t="n">
        <x:v>6995.69</x:v>
      </x:c>
      <x:c r="G32" s="28" t="n">
        <x:f>ROUND(F32-F31,1)</x:f>
        <x:v>-172.3</x:v>
      </x:c>
      <x:c r="H32" s="24" t="n">
        <x:f>IFERROR(F32/F31-1,"")</x:f>
        <x:v>-0.024038783482142945</x:v>
      </x:c>
      <x:c r="I32" s="26" t="n">
        <x:f>ROUND(D32-E32,1)</x:f>
        <x:v>588.3</x:v>
      </x:c>
      <x:c r="J32" s="22" t="str">
        <x:v>中证1000</x:v>
      </x:c>
      <x:c r="K32" s="22" t="n">
        <x:v>5</x:v>
      </x:c>
    </x:row>
    <x:row r="33">
      <x:c r="A33" s="22" t="n">
        <x:v>29</x:v>
      </x:c>
      <x:c r="B33" s="22" t="str">
        <x:v>7月27日-7月31日</x:v>
      </x:c>
      <x:c r="C33" s="23" t="n">
        <x:v>6981.16</x:v>
      </x:c>
      <x:c r="D33" s="23" t="n">
        <x:v>7228.78</x:v>
      </x:c>
      <x:c r="E33" s="23" t="n">
        <x:v>6841.75</x:v>
      </x:c>
      <x:c r="F33" s="23" t="n">
        <x:v>7075.51</x:v>
      </x:c>
      <x:c r="G33" s="23" t="n">
        <x:f>ROUND(F33-F32,1)</x:f>
        <x:v>79.8</x:v>
      </x:c>
      <x:c r="H33" s="24" t="n">
        <x:f>IFERROR(F33/F32-1,"")</x:f>
        <x:v>0.011409882370430946</x:v>
      </x:c>
      <x:c r="I33" s="26" t="n">
        <x:f>ROUND(D33-E33,1)</x:f>
        <x:v>387</x:v>
      </x:c>
      <x:c r="J33" s="22" t="str">
        <x:v>中证1000</x:v>
      </x:c>
      <x:c r="K33" s="22" t="n">
        <x:v>5</x:v>
      </x:c>
    </x:row>
    <x:row r="34">
      <x:c r="A34" s="22" t="n">
        <x:v>30</x:v>
      </x:c>
      <x:c r="B34" s="22" t="str">
        <x:v>8月3日-8月7日</x:v>
      </x:c>
      <x:c r="C34" s="23" t="n">
        <x:v>7055.27</x:v>
      </x:c>
      <x:c r="D34" s="23" t="n">
        <x:v>7685.57</x:v>
      </x:c>
      <x:c r="E34" s="23" t="n">
        <x:v>7042.89</x:v>
      </x:c>
      <x:c r="F34" s="23" t="n">
        <x:v>7679.53</x:v>
      </x:c>
      <x:c r="G34" s="28" t="n">
        <x:f>ROUND(F34-F33,1)</x:f>
        <x:v>604</x:v>
      </x:c>
      <x:c r="H34" s="24" t="n">
        <x:f>IFERROR(F34/F33-1,"")</x:f>
        <x:v>0.08536769787619547</x:v>
      </x:c>
      <x:c r="I34" s="26" t="n">
        <x:f>ROUND(D34-E34,1)</x:f>
        <x:v>642.7</x:v>
      </x:c>
      <x:c r="J34" s="22" t="str">
        <x:v>中证1000</x:v>
      </x:c>
      <x:c r="K34" s="22" t="n">
        <x:v>5</x:v>
      </x:c>
    </x:row>
    <x:row r="35">
      <x:c r="A35" s="22" t="n">
        <x:v>31</x:v>
      </x:c>
      <x:c r="B35" s="22" t="str">
        <x:v>8月10日-8月14日</x:v>
      </x:c>
      <x:c r="C35" s="23" t="n">
        <x:v>7723.38</x:v>
      </x:c>
      <x:c r="D35" s="23" t="n">
        <x:v>7880.22</x:v>
      </x:c>
      <x:c r="E35" s="23" t="n">
        <x:v>7621.65</x:v>
      </x:c>
      <x:c r="F35" s="23" t="n">
        <x:v>7769.82</x:v>
      </x:c>
      <x:c r="G35" s="23" t="n">
        <x:f>ROUND(F35-F34,1)</x:f>
        <x:v>90.3</x:v>
      </x:c>
      <x:c r="H35" s="24" t="n">
        <x:f>IFERROR(F35/F34-1,"")</x:f>
        <x:v>0.011757229934644453</x:v>
      </x:c>
      <x:c r="I35" s="26" t="n">
        <x:f>ROUND(D35-E35,1)</x:f>
        <x:v>258.6</x:v>
      </x:c>
      <x:c r="J35" s="22" t="str">
        <x:v>中证1000</x:v>
      </x:c>
      <x:c r="K35" s="22" t="n">
        <x:v>5</x:v>
      </x:c>
    </x:row>
    <x:row r="36">
      <x:c r="A36" s="22" t="n">
        <x:v>32</x:v>
      </x:c>
      <x:c r="B36" s="22" t="str">
        <x:v>8月17日-8月21日</x:v>
      </x:c>
      <x:c r="C36" s="23" t="n">
        <x:v>7797.18</x:v>
      </x:c>
      <x:c r="D36" s="23" t="n">
        <x:v>7995.5</x:v>
      </x:c>
      <x:c r="E36" s="23" t="n">
        <x:v>7472.49</x:v>
      </x:c>
      <x:c r="F36" s="23" t="n">
        <x:v>7601.8</x:v>
      </x:c>
      <x:c r="G36" s="28" t="n">
        <x:f>ROUND(F36-F35,1)</x:f>
        <x:v>-168</x:v>
      </x:c>
      <x:c r="H36" s="24" t="n">
        <x:f>IFERROR(F36/F35-1,"")</x:f>
        <x:v>-0.021624696582417502</x:v>
      </x:c>
      <x:c r="I36" s="26" t="n">
        <x:f>ROUND(D36-E36,1)</x:f>
        <x:v>523</x:v>
      </x:c>
      <x:c r="J36" s="22" t="str">
        <x:v>中证1000</x:v>
      </x:c>
      <x:c r="K36" s="22" t="n">
        <x:v>5</x:v>
      </x:c>
    </x:row>
    <x:row r="37">
      <x:c r="A37" s="22" t="n">
        <x:v>33</x:v>
      </x:c>
      <x:c r="B37" s="22" t="str">
        <x:v>8月24日-8月28日</x:v>
      </x:c>
      <x:c r="C37" s="23" t="n">
        <x:v>7614.89</x:v>
      </x:c>
      <x:c r="D37" s="23" t="n">
        <x:v>7802.55</x:v>
      </x:c>
      <x:c r="E37" s="23" t="n">
        <x:v>7347.95</x:v>
      </x:c>
      <x:c r="F37" s="23" t="n">
        <x:v>7705.03</x:v>
      </x:c>
      <x:c r="G37" s="23" t="n">
        <x:f>ROUND(F37-F36,1)</x:f>
        <x:v>103.2</x:v>
      </x:c>
      <x:c r="H37" s="24" t="n">
        <x:f>IFERROR(F37/F36-1,"")</x:f>
        <x:v>0.013579678497197989</x:v>
      </x:c>
      <x:c r="I37" s="26" t="n">
        <x:f>ROUND(D37-E37,1)</x:f>
        <x:v>454.6</x:v>
      </x:c>
      <x:c r="J37" s="22" t="str">
        <x:v>中证1000</x:v>
      </x:c>
      <x:c r="K37" s="22" t="n">
        <x:v>5</x:v>
      </x:c>
    </x:row>
    <x:row r="38">
      <x:c r="A38" s="22" t="n">
        <x:v>34</x:v>
      </x:c>
      <x:c r="B38" s="22" t="str">
        <x:v>8月31日-9月4日</x:v>
      </x:c>
      <x:c r="C38" s="23" t="n">
        <x:v>7607.23</x:v>
      </x:c>
      <x:c r="D38" s="23" t="n">
        <x:v>7773.06</x:v>
      </x:c>
      <x:c r="E38" s="23" t="n">
        <x:v>7464.98</x:v>
      </x:c>
      <x:c r="F38" s="23" t="n">
        <x:v>7508.09</x:v>
      </x:c>
      <x:c r="G38" s="28" t="n">
        <x:f>ROUND(F38-F37,1)</x:f>
        <x:v>-196.9</x:v>
      </x:c>
      <x:c r="H38" s="24" t="n">
        <x:f>IFERROR(F38/F37-1,"")</x:f>
        <x:v>-0.025559926437664693</x:v>
      </x:c>
      <x:c r="I38" s="26" t="n">
        <x:f>ROUND(D38-E38,1)</x:f>
        <x:v>308.1</x:v>
      </x:c>
      <x:c r="J38" s="22" t="str">
        <x:v>中证1000</x:v>
      </x:c>
      <x:c r="K38" s="22" t="n">
        <x:v>5</x:v>
      </x:c>
    </x:row>
    <x:row r="39">
      <x:c r="A39" s="22" t="n">
        <x:v>35</x:v>
      </x:c>
      <x:c r="B39" s="22" t="str">
        <x:v>9月7日-9月11日</x:v>
      </x:c>
      <x:c r="C39" s="23" t="n">
        <x:v>7551.02</x:v>
      </x:c>
      <x:c r="D39" s="23" t="n">
        <x:v>7724.94</x:v>
      </x:c>
      <x:c r="E39" s="23" t="n">
        <x:v>7284.53</x:v>
      </x:c>
      <x:c r="F39" s="23" t="n">
        <x:v>7427.24</x:v>
      </x:c>
      <x:c r="G39" s="23" t="n">
        <x:f>ROUND(F39-F38,1)</x:f>
        <x:v>-80.9</x:v>
      </x:c>
      <x:c r="H39" s="24" t="n">
        <x:f>IFERROR(F39/F38-1,"")</x:f>
        <x:v>-0.010768384502583217</x:v>
      </x:c>
      <x:c r="I39" s="26" t="n">
        <x:f>ROUND(D39-E39,1)</x:f>
        <x:v>440.4</x:v>
      </x:c>
      <x:c r="J39" s="22" t="str">
        <x:v>中证1000</x:v>
      </x:c>
      <x:c r="K39" s="22" t="n">
        <x:v>5</x:v>
      </x:c>
    </x:row>
    <x:row r="40">
      <x:c r="A40" s="22" t="n">
        <x:v>36</x:v>
      </x:c>
      <x:c r="B40" s="22" t="str">
        <x:v>9月14日-9月18日</x:v>
      </x:c>
      <x:c r="C40" s="23" t="n">
        <x:v>7363.42</x:v>
      </x:c>
      <x:c r="D40" s="23" t="n">
        <x:v>7706.9</x:v>
      </x:c>
      <x:c r="E40" s="23" t="n">
        <x:v>7329.6</x:v>
      </x:c>
      <x:c r="F40" s="23" t="n">
        <x:v>7687.59</x:v>
      </x:c>
      <x:c r="G40" s="28" t="n">
        <x:f>ROUND(F40-F39,1)</x:f>
        <x:v>260.4</x:v>
      </x:c>
      <x:c r="H40" s="24" t="n">
        <x:f>IFERROR(F40/F39-1,"")</x:f>
        <x:v>0.03505339803210883</x:v>
      </x:c>
      <x:c r="I40" s="26" t="n">
        <x:f>ROUND(D40-E40,1)</x:f>
        <x:v>377.3</x:v>
      </x:c>
      <x:c r="J40" s="22" t="str">
        <x:v>中证1000</x:v>
      </x:c>
      <x:c r="K40" s="22" t="n">
        <x:v>5</x:v>
      </x:c>
    </x:row>
    <x:row r="41">
      <x:c r="A41" s="22" t="n">
        <x:v>37</x:v>
      </x:c>
      <x:c r="B41" s="22" t="str">
        <x:v>9月21日-9月24日</x:v>
      </x:c>
      <x:c r="C41" s="23" t="n">
        <x:v>7723.68</x:v>
      </x:c>
      <x:c r="D41" s="23" t="n">
        <x:v>7852.23</x:v>
      </x:c>
      <x:c r="E41" s="23" t="n">
        <x:v>7569.51</x:v>
      </x:c>
      <x:c r="F41" s="23" t="n">
        <x:v>7570.14</x:v>
      </x:c>
      <x:c r="G41" s="23" t="n">
        <x:f>ROUND(F41-F40,1)</x:f>
        <x:v>-117.4</x:v>
      </x:c>
      <x:c r="H41" s="24" t="n">
        <x:f>IFERROR(F41/F40-1,"")</x:f>
        <x:v>-0.015277869917620479</x:v>
      </x:c>
      <x:c r="I41" s="26" t="n">
        <x:f>ROUND(D41-E41,1)</x:f>
        <x:v>282.7</x:v>
      </x:c>
      <x:c r="J41" s="22" t="str">
        <x:v>中证1000</x:v>
      </x:c>
      <x:c r="K41" s="22" t="n">
        <x:v>4</x:v>
      </x:c>
    </x:row>
    <x:row r="42">
      <x:c r="A42" s="22" t="n">
        <x:v>38</x:v>
      </x:c>
      <x:c r="B42" s="22" t="str">
        <x:v>9月28日-9月30日</x:v>
      </x:c>
      <x:c r="C42" s="23" t="n">
        <x:v>7551.22</x:v>
      </x:c>
      <x:c r="D42" s="23" t="n">
        <x:v>7551.22</x:v>
      </x:c>
      <x:c r="E42" s="23" t="n">
        <x:v>7246.61</x:v>
      </x:c>
      <x:c r="F42" s="23" t="n">
        <x:v>7298.82</x:v>
      </x:c>
      <x:c r="G42" s="28" t="n">
        <x:f>ROUND(F42-F41,1)</x:f>
        <x:v>-271.3</x:v>
      </x:c>
      <x:c r="H42" s="24" t="n">
        <x:f>IFERROR(F42/F41-1,"")</x:f>
        <x:v>-0.03584081668238637</x:v>
      </x:c>
      <x:c r="I42" s="26" t="n">
        <x:f>ROUND(D42-E42,1)</x:f>
        <x:v>304.6</x:v>
      </x:c>
      <x:c r="J42" s="22" t="str">
        <x:v>中证1000</x:v>
      </x:c>
      <x:c r="K42" s="22" t="n">
        <x:v>3</x:v>
      </x:c>
    </x:row>
    <x:row r="43">
      <x:c r="A43" s="22" t="n">
        <x:v>39</x:v>
      </x:c>
      <x:c r="B43" s="22" t="str">
        <x:v>10月8日-10月9日</x:v>
      </x:c>
      <x:c r="C43" s="23" t="n">
        <x:v>7306.74</x:v>
      </x:c>
      <x:c r="D43" s="23" t="n">
        <x:v>7366.86</x:v>
      </x:c>
      <x:c r="E43" s="23" t="n">
        <x:v>6925.42</x:v>
      </x:c>
      <x:c r="F43" s="23" t="n">
        <x:v>7155.91</x:v>
      </x:c>
      <x:c r="G43" s="23" t="n">
        <x:f>ROUND(F43-F42,1)</x:f>
        <x:v>-142.9</x:v>
      </x:c>
      <x:c r="H43" s="24" t="n">
        <x:f>IFERROR(F43/F42-1,"")</x:f>
        <x:v>-0.019579877295234027</x:v>
      </x:c>
      <x:c r="I43" s="26" t="n">
        <x:f>ROUND(D43-E43,1)</x:f>
        <x:v>441.4</x:v>
      </x:c>
      <x:c r="J43" s="22" t="str">
        <x:v>中证1000</x:v>
      </x:c>
      <x:c r="K43" s="22" t="n">
        <x:v>2</x:v>
      </x:c>
    </x:row>
    <x:row r="44">
      <x:c r="A44" s="22" t="n">
        <x:v>40</x:v>
      </x:c>
      <x:c r="B44" s="22" t="str">
        <x:v>10月12日-10月16日</x:v>
      </x:c>
      <x:c r="C44" s="23" t="n">
        <x:v>7132.68</x:v>
      </x:c>
      <x:c r="D44" s="23" t="n">
        <x:v>7145.06</x:v>
      </x:c>
      <x:c r="E44" s="23" t="n">
        <x:v>6626.52</x:v>
      </x:c>
      <x:c r="F44" s="23" t="n">
        <x:v>6681.94</x:v>
      </x:c>
      <x:c r="G44" s="28" t="n">
        <x:f>ROUND(F44-F43,1)</x:f>
        <x:v>-474</x:v>
      </x:c>
      <x:c r="H44" s="24" t="n">
        <x:f>IFERROR(F44/F43-1,"")</x:f>
        <x:v>-0.06623476259483418</x:v>
      </x:c>
      <x:c r="I44" s="26" t="n">
        <x:f>ROUND(D44-E44,1)</x:f>
        <x:v>518.5</x:v>
      </x:c>
      <x:c r="J44" s="22" t="str">
        <x:v>中证1000</x:v>
      </x:c>
      <x:c r="K44" s="22" t="n">
        <x:v>5</x:v>
      </x:c>
    </x:row>
    <x:row r="45">
      <x:c r="A45" s="31" t="str">
        <x:v>合计</x:v>
      </x:c>
      <x:c r="B45" s="30" t="n">
        <x:v>40</x:v>
      </x:c>
      <x:c r="C45" s="30"/>
      <x:c r="D45" s="30"/>
      <x:c r="E45" s="30"/>
      <x:c r="F45" s="30"/>
      <x:c r="G45" s="30"/>
      <x:c r="H45" s="30"/>
      <x:c r="I45" s="32" t="n">
        <x:f>ROUND(SUM(I5:I44),1)</x:f>
        <x:v>16621.1</x:v>
      </x:c>
      <x:c r="J45" s="30"/>
      <x:c r="K45" s="30"/>
    </x:row>
    <x:row r="46">
      <x:c r="A46" s="31" t="str">
        <x:v>均值</x:v>
      </x:c>
      <x:c r="B46" s="30"/>
      <x:c r="C46" s="30"/>
      <x:c r="D46" s="30"/>
      <x:c r="E46" s="30"/>
      <x:c r="F46" s="30"/>
      <x:c r="G46" s="30"/>
      <x:c r="H46" s="30"/>
      <x:c r="I46" s="34" t="n">
        <x:f>ROUND(IFERROR(AVERAGE(I5:I44),0),1)</x:f>
        <x:v>415.5</x:v>
      </x:c>
      <x:c r="J46" s="30"/>
      <x:c r="K46" s="30"/>
    </x:row>
    <x:row r="48">
      <x:c r="A48" s="17" t="str">
        <x:v>中证500</x:v>
      </x:c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</x:row>
    <x:row r="49">
      <x:c r="A49" s="20" t="str">
        <x:v>序号</x:v>
      </x:c>
      <x:c r="B49" s="20" t="str">
        <x:v>周期</x:v>
      </x:c>
      <x:c r="C49" s="20" t="str">
        <x:v>开盘</x:v>
      </x:c>
      <x:c r="D49" s="20" t="str">
        <x:v>高点</x:v>
      </x:c>
      <x:c r="E49" s="20" t="str">
        <x:v>低点</x:v>
      </x:c>
      <x:c r="F49" s="20" t="str">
        <x:v>收盘</x:v>
      </x:c>
      <x:c r="G49" s="20" t="str">
        <x:v>涨跌点数</x:v>
      </x:c>
      <x:c r="H49" s="20" t="str">
        <x:v>涨幅</x:v>
      </x:c>
      <x:c r="I49" s="20" t="str">
        <x:v>振幅</x:v>
      </x:c>
      <x:c r="J49" s="20" t="str">
        <x:v>标的</x:v>
      </x:c>
      <x:c r="K49" s="20" t="str">
        <x:v>交易日</x:v>
      </x:c>
    </x:row>
    <x:row r="50">
      <x:c r="A50" s="22" t="n">
        <x:v>1</x:v>
      </x:c>
      <x:c r="B50" s="22" t="str">
        <x:v>1月5日-1月9日</x:v>
      </x:c>
      <x:c r="C50" s="23" t="n">
        <x:v>7523.88</x:v>
      </x:c>
      <x:c r="D50" s="23" t="n">
        <x:v>8064.76</x:v>
      </x:c>
      <x:c r="E50" s="23" t="n">
        <x:v>7523.25</x:v>
      </x:c>
      <x:c r="F50" s="23" t="n">
        <x:v>8056.69</x:v>
      </x:c>
      <x:c r="G50" s="23"/>
      <x:c r="H50" s="24"/>
      <x:c r="I50" s="26" t="n">
        <x:f>ROUND(D50-E50,1)</x:f>
        <x:v>541.5</x:v>
      </x:c>
      <x:c r="J50" s="22" t="str">
        <x:v>中证500</x:v>
      </x:c>
      <x:c r="K50" s="22" t="n">
        <x:v>5</x:v>
      </x:c>
    </x:row>
    <x:row r="51">
      <x:c r="A51" s="22" t="n">
        <x:v>2</x:v>
      </x:c>
      <x:c r="B51" s="22" t="str">
        <x:v>1月12日-1月16日</x:v>
      </x:c>
      <x:c r="C51" s="23" t="n">
        <x:v>8141.63</x:v>
      </x:c>
      <x:c r="D51" s="23" t="n">
        <x:v>8368.22</x:v>
      </x:c>
      <x:c r="E51" s="23" t="n">
        <x:v>8103.24</x:v>
      </x:c>
      <x:c r="F51" s="23" t="n">
        <x:v>8232.67</x:v>
      </x:c>
      <x:c r="G51" s="28" t="n">
        <x:f>ROUND(F51-F50,1)</x:f>
        <x:v>176</x:v>
      </x:c>
      <x:c r="H51" s="24" t="n">
        <x:f>IFERROR(F51/F50-1,"")</x:f>
        <x:v>0.02184271704633045</x:v>
      </x:c>
      <x:c r="I51" s="26" t="n">
        <x:f>ROUND(D51-E51,1)</x:f>
        <x:v>265</x:v>
      </x:c>
      <x:c r="J51" s="22" t="str">
        <x:v>中证500</x:v>
      </x:c>
      <x:c r="K51" s="22" t="n">
        <x:v>5</x:v>
      </x:c>
    </x:row>
    <x:row r="52">
      <x:c r="A52" s="22" t="n">
        <x:v>3</x:v>
      </x:c>
      <x:c r="B52" s="22" t="str">
        <x:v>1月19日-1月23日</x:v>
      </x:c>
      <x:c r="C52" s="23" t="n">
        <x:v>8199.5</x:v>
      </x:c>
      <x:c r="D52" s="23" t="n">
        <x:v>8590.17</x:v>
      </x:c>
      <x:c r="E52" s="23" t="n">
        <x:v>8142.14</x:v>
      </x:c>
      <x:c r="F52" s="23" t="n">
        <x:v>8590.17</x:v>
      </x:c>
      <x:c r="G52" s="28" t="n">
        <x:f>ROUND(F52-F51,1)</x:f>
        <x:v>357.5</x:v>
      </x:c>
      <x:c r="H52" s="24" t="n">
        <x:f>IFERROR(F52/F51-1,"")</x:f>
        <x:v>0.04342455120878164</x:v>
      </x:c>
      <x:c r="I52" s="26" t="n">
        <x:f>ROUND(D52-E52,1)</x:f>
        <x:v>448</x:v>
      </x:c>
      <x:c r="J52" s="22" t="str">
        <x:v>中证500</x:v>
      </x:c>
      <x:c r="K52" s="22" t="n">
        <x:v>5</x:v>
      </x:c>
    </x:row>
    <x:row r="53">
      <x:c r="A53" s="22" t="n">
        <x:v>4</x:v>
      </x:c>
      <x:c r="B53" s="22" t="str">
        <x:v>1月26日-1月30日</x:v>
      </x:c>
      <x:c r="C53" s="23" t="n">
        <x:v>8624.89</x:v>
      </x:c>
      <x:c r="D53" s="23" t="n">
        <x:v>8671.35</x:v>
      </x:c>
      <x:c r="E53" s="23" t="n">
        <x:v>8194.58</x:v>
      </x:c>
      <x:c r="F53" s="23" t="n">
        <x:v>8370.52</x:v>
      </x:c>
      <x:c r="G53" s="28" t="n">
        <x:f>ROUND(F53-F52,1)</x:f>
        <x:v>-219.6</x:v>
      </x:c>
      <x:c r="H53" s="24" t="n">
        <x:f>IFERROR(F53/F52-1,"")</x:f>
        <x:v>-0.02556992469299202</x:v>
      </x:c>
      <x:c r="I53" s="26" t="n">
        <x:f>ROUND(D53-E53,1)</x:f>
        <x:v>476.8</x:v>
      </x:c>
      <x:c r="J53" s="22" t="str">
        <x:v>中证500</x:v>
      </x:c>
      <x:c r="K53" s="22" t="n">
        <x:v>5</x:v>
      </x:c>
    </x:row>
    <x:row r="54">
      <x:c r="A54" s="22" t="n">
        <x:v>5</x:v>
      </x:c>
      <x:c r="B54" s="22" t="str">
        <x:v>2月2日-2月6日</x:v>
      </x:c>
      <x:c r="C54" s="23" t="n">
        <x:v>8279.72</x:v>
      </x:c>
      <x:c r="D54" s="23" t="n">
        <x:v>8324.43</x:v>
      </x:c>
      <x:c r="E54" s="23" t="n">
        <x:v>8014.66</x:v>
      </x:c>
      <x:c r="F54" s="23" t="n">
        <x:v>8146.41</x:v>
      </x:c>
      <x:c r="G54" s="28" t="n">
        <x:f>ROUND(F54-F53,1)</x:f>
        <x:v>-224.1</x:v>
      </x:c>
      <x:c r="H54" s="24" t="n">
        <x:f>IFERROR(F54/F53-1,"")</x:f>
        <x:v>-0.026773724929872955</x:v>
      </x:c>
      <x:c r="I54" s="26" t="n">
        <x:f>ROUND(D54-E54,1)</x:f>
        <x:v>309.8</x:v>
      </x:c>
      <x:c r="J54" s="22" t="str">
        <x:v>中证500</x:v>
      </x:c>
      <x:c r="K54" s="22" t="n">
        <x:v>5</x:v>
      </x:c>
    </x:row>
    <x:row r="55">
      <x:c r="A55" s="22" t="n">
        <x:v>6</x:v>
      </x:c>
      <x:c r="B55" s="22" t="str">
        <x:v>2月9日-2月13日</x:v>
      </x:c>
      <x:c r="C55" s="23" t="n">
        <x:v>8280.11</x:v>
      </x:c>
      <x:c r="D55" s="23" t="n">
        <x:v>8437.42</x:v>
      </x:c>
      <x:c r="E55" s="23" t="n">
        <x:v>8229</x:v>
      </x:c>
      <x:c r="F55" s="23" t="n">
        <x:v>8299.58</x:v>
      </x:c>
      <x:c r="G55" s="28" t="n">
        <x:f>ROUND(F55-F54,1)</x:f>
        <x:v>153.2</x:v>
      </x:c>
      <x:c r="H55" s="24" t="n">
        <x:f>IFERROR(F55/F54-1,"")</x:f>
        <x:v>0.018802147203492048</x:v>
      </x:c>
      <x:c r="I55" s="26" t="n">
        <x:f>ROUND(D55-E55,1)</x:f>
        <x:v>208.4</x:v>
      </x:c>
      <x:c r="J55" s="22" t="str">
        <x:v>中证500</x:v>
      </x:c>
      <x:c r="K55" s="22" t="n">
        <x:v>5</x:v>
      </x:c>
    </x:row>
    <x:row r="56">
      <x:c r="A56" s="22" t="n">
        <x:v>7</x:v>
      </x:c>
      <x:c r="B56" s="22" t="str">
        <x:v>2月24日-2月27日</x:v>
      </x:c>
      <x:c r="C56" s="23" t="n">
        <x:v>8403.31</x:v>
      </x:c>
      <x:c r="D56" s="23" t="n">
        <x:v>8658.45</x:v>
      </x:c>
      <x:c r="E56" s="23" t="n">
        <x:v>8328.57</x:v>
      </x:c>
      <x:c r="F56" s="23" t="n">
        <x:v>8658.45</x:v>
      </x:c>
      <x:c r="G56" s="28" t="n">
        <x:f>ROUND(F56-F55,1)</x:f>
        <x:v>358.9</x:v>
      </x:c>
      <x:c r="H56" s="24" t="n">
        <x:f>IFERROR(F56/F55-1,"")</x:f>
        <x:v>0.04323953742237574</x:v>
      </x:c>
      <x:c r="I56" s="26" t="n">
        <x:f>ROUND(D56-E56,1)</x:f>
        <x:v>329.9</x:v>
      </x:c>
      <x:c r="J56" s="22" t="str">
        <x:v>中证500</x:v>
      </x:c>
      <x:c r="K56" s="22" t="n">
        <x:v>4</x:v>
      </x:c>
    </x:row>
    <x:row r="57">
      <x:c r="A57" s="22" t="n">
        <x:v>8</x:v>
      </x:c>
      <x:c r="B57" s="22" t="str">
        <x:v>3月2日-3月6日</x:v>
      </x:c>
      <x:c r="C57" s="23" t="n">
        <x:v>8585.85</x:v>
      </x:c>
      <x:c r="D57" s="23" t="n">
        <x:v>8683.98</x:v>
      </x:c>
      <x:c r="E57" s="23" t="n">
        <x:v>8167.98</x:v>
      </x:c>
      <x:c r="F57" s="23" t="n">
        <x:v>8360.33</x:v>
      </x:c>
      <x:c r="G57" s="28" t="n">
        <x:f>ROUND(F57-F56,1)</x:f>
        <x:v>-298.1</x:v>
      </x:c>
      <x:c r="H57" s="24" t="n">
        <x:f>IFERROR(F57/F56-1,"")</x:f>
        <x:v>-0.03443110487442913</x:v>
      </x:c>
      <x:c r="I57" s="26" t="n">
        <x:f>ROUND(D57-E57,1)</x:f>
        <x:v>516</x:v>
      </x:c>
      <x:c r="J57" s="22" t="str">
        <x:v>中证500</x:v>
      </x:c>
      <x:c r="K57" s="22" t="n">
        <x:v>5</x:v>
      </x:c>
    </x:row>
    <x:row r="58">
      <x:c r="A58" s="22" t="n">
        <x:v>9</x:v>
      </x:c>
      <x:c r="B58" s="22" t="str">
        <x:v>3月9日-3月13日</x:v>
      </x:c>
      <x:c r="C58" s="23" t="n">
        <x:v>8234.19</x:v>
      </x:c>
      <x:c r="D58" s="23" t="n">
        <x:v>8439.62</x:v>
      </x:c>
      <x:c r="E58" s="23" t="n">
        <x:v>8066.14</x:v>
      </x:c>
      <x:c r="F58" s="23" t="n">
        <x:v>8239.8</x:v>
      </x:c>
      <x:c r="G58" s="23" t="n">
        <x:f>ROUND(F58-F57,1)</x:f>
        <x:v>-120.5</x:v>
      </x:c>
      <x:c r="H58" s="24" t="n">
        <x:f>IFERROR(F58/F57-1,"")</x:f>
        <x:v>-0.014416895026871046</x:v>
      </x:c>
      <x:c r="I58" s="26" t="n">
        <x:f>ROUND(D58-E58,1)</x:f>
        <x:v>373.5</x:v>
      </x:c>
      <x:c r="J58" s="22" t="str">
        <x:v>中证500</x:v>
      </x:c>
      <x:c r="K58" s="22" t="n">
        <x:v>5</x:v>
      </x:c>
    </x:row>
    <x:row r="59">
      <x:c r="A59" s="22" t="n">
        <x:v>10</x:v>
      </x:c>
      <x:c r="B59" s="22" t="str">
        <x:v>3月16日-3月20日</x:v>
      </x:c>
      <x:c r="C59" s="23" t="n">
        <x:v>8227.69</x:v>
      </x:c>
      <x:c r="D59" s="23" t="n">
        <x:v>8233.66</x:v>
      </x:c>
      <x:c r="E59" s="23" t="n">
        <x:v>7757.83</x:v>
      </x:c>
      <x:c r="F59" s="23" t="n">
        <x:v>7760.04</x:v>
      </x:c>
      <x:c r="G59" s="28" t="n">
        <x:f>ROUND(F59-F58,1)</x:f>
        <x:v>-479.8</x:v>
      </x:c>
      <x:c r="H59" s="24" t="n">
        <x:f>IFERROR(F59/F58-1,"")</x:f>
        <x:v>-0.058224714192091964</x:v>
      </x:c>
      <x:c r="I59" s="26" t="n">
        <x:f>ROUND(D59-E59,1)</x:f>
        <x:v>475.8</x:v>
      </x:c>
      <x:c r="J59" s="22" t="str">
        <x:v>中证500</x:v>
      </x:c>
      <x:c r="K59" s="22" t="n">
        <x:v>5</x:v>
      </x:c>
    </x:row>
    <x:row r="60">
      <x:c r="A60" s="22" t="n">
        <x:v>11</x:v>
      </x:c>
      <x:c r="B60" s="22" t="str">
        <x:v>3月23日-3月27日</x:v>
      </x:c>
      <x:c r="C60" s="23" t="n">
        <x:v>7623.24</x:v>
      </x:c>
      <x:c r="D60" s="23" t="n">
        <x:v>7806.91</x:v>
      </x:c>
      <x:c r="E60" s="23" t="n">
        <x:v>7379.86</x:v>
      </x:c>
      <x:c r="F60" s="23" t="n">
        <x:v>7737.61</x:v>
      </x:c>
      <x:c r="G60" s="23" t="n">
        <x:f>ROUND(F60-F59,1)</x:f>
        <x:v>-22.4</x:v>
      </x:c>
      <x:c r="H60" s="24" t="n">
        <x:f>IFERROR(F60/F59-1,"")</x:f>
        <x:v>-0.002890449018304042</x:v>
      </x:c>
      <x:c r="I60" s="26" t="n">
        <x:f>ROUND(D60-E60,1)</x:f>
        <x:v>427.1</x:v>
      </x:c>
      <x:c r="J60" s="22" t="str">
        <x:v>中证500</x:v>
      </x:c>
      <x:c r="K60" s="22" t="n">
        <x:v>5</x:v>
      </x:c>
    </x:row>
    <x:row r="61">
      <x:c r="A61" s="22" t="n">
        <x:v>12</x:v>
      </x:c>
      <x:c r="B61" s="22" t="str">
        <x:v>3月30日-4月3日</x:v>
      </x:c>
      <x:c r="C61" s="23" t="n">
        <x:v>7655.15</x:v>
      </x:c>
      <x:c r="D61" s="23" t="n">
        <x:v>7788.89</x:v>
      </x:c>
      <x:c r="E61" s="23" t="n">
        <x:v>7518.35</x:v>
      </x:c>
      <x:c r="F61" s="23" t="n">
        <x:v>7534.94</x:v>
      </x:c>
      <x:c r="G61" s="28" t="n">
        <x:f>ROUND(F61-F60,1)</x:f>
        <x:v>-202.7</x:v>
      </x:c>
      <x:c r="H61" s="24" t="n">
        <x:f>IFERROR(F61/F60-1,"")</x:f>
        <x:v>-0.026192842492707702</x:v>
      </x:c>
      <x:c r="I61" s="26" t="n">
        <x:f>ROUND(D61-E61,1)</x:f>
        <x:v>270.5</x:v>
      </x:c>
      <x:c r="J61" s="22" t="str">
        <x:v>中证500</x:v>
      </x:c>
      <x:c r="K61" s="22" t="n">
        <x:v>5</x:v>
      </x:c>
    </x:row>
    <x:row r="62">
      <x:c r="A62" s="22" t="n">
        <x:v>13</x:v>
      </x:c>
      <x:c r="B62" s="22" t="str">
        <x:v>4月7日-4月10日</x:v>
      </x:c>
      <x:c r="C62" s="23" t="n">
        <x:v>7562.14</x:v>
      </x:c>
      <x:c r="D62" s="23" t="n">
        <x:v>8070.65</x:v>
      </x:c>
      <x:c r="E62" s="23" t="n">
        <x:v>7529.4</x:v>
      </x:c>
      <x:c r="F62" s="23" t="n">
        <x:v>7969.36</x:v>
      </x:c>
      <x:c r="G62" s="28" t="n">
        <x:f>ROUND(F62-F61,1)</x:f>
        <x:v>434.4</x:v>
      </x:c>
      <x:c r="H62" s="24" t="n">
        <x:f>IFERROR(F62/F61-1,"")</x:f>
        <x:v>0.05765407554671964</x:v>
      </x:c>
      <x:c r="I62" s="26" t="n">
        <x:f>ROUND(D62-E62,1)</x:f>
        <x:v>541.3</x:v>
      </x:c>
      <x:c r="J62" s="22" t="str">
        <x:v>中证500</x:v>
      </x:c>
      <x:c r="K62" s="22" t="n">
        <x:v>4</x:v>
      </x:c>
    </x:row>
    <x:row r="63">
      <x:c r="A63" s="22" t="n">
        <x:v>14</x:v>
      </x:c>
      <x:c r="B63" s="22" t="str">
        <x:v>4月13日-4月17日</x:v>
      </x:c>
      <x:c r="C63" s="23" t="n">
        <x:v>7917.92</x:v>
      </x:c>
      <x:c r="D63" s="23" t="n">
        <x:v>8230.11</x:v>
      </x:c>
      <x:c r="E63" s="23" t="n">
        <x:v>7917.92</x:v>
      </x:c>
      <x:c r="F63" s="23" t="n">
        <x:v>8214.19</x:v>
      </x:c>
      <x:c r="G63" s="28" t="n">
        <x:f>ROUND(F63-F62,1)</x:f>
        <x:v>244.8</x:v>
      </x:c>
      <x:c r="H63" s="24" t="n">
        <x:f>IFERROR(F63/F62-1,"")</x:f>
        <x:v>0.030721413011835397</x:v>
      </x:c>
      <x:c r="I63" s="26" t="n">
        <x:f>ROUND(D63-E63,1)</x:f>
        <x:v>312.2</x:v>
      </x:c>
      <x:c r="J63" s="22" t="str">
        <x:v>中证500</x:v>
      </x:c>
      <x:c r="K63" s="22" t="n">
        <x:v>5</x:v>
      </x:c>
    </x:row>
    <x:row r="64">
      <x:c r="A64" s="22" t="n">
        <x:v>15</x:v>
      </x:c>
      <x:c r="B64" s="22" t="str">
        <x:v>4月20日-4月24日</x:v>
      </x:c>
      <x:c r="C64" s="23" t="n">
        <x:v>8223.58</x:v>
      </x:c>
      <x:c r="D64" s="23" t="n">
        <x:v>8401.5</x:v>
      </x:c>
      <x:c r="E64" s="23" t="n">
        <x:v>8165.8</x:v>
      </x:c>
      <x:c r="F64" s="23" t="n">
        <x:v>8247.88</x:v>
      </x:c>
      <x:c r="G64" s="23" t="n">
        <x:f>ROUND(F64-F63,1)</x:f>
        <x:v>33.7</x:v>
      </x:c>
      <x:c r="H64" s="24" t="n">
        <x:f>IFERROR(F64/F63-1,"")</x:f>
        <x:v>0.004101439095029358</x:v>
      </x:c>
      <x:c r="I64" s="26" t="n">
        <x:f>ROUND(D64-E64,1)</x:f>
        <x:v>235.7</x:v>
      </x:c>
      <x:c r="J64" s="22" t="str">
        <x:v>中证500</x:v>
      </x:c>
      <x:c r="K64" s="22" t="n">
        <x:v>5</x:v>
      </x:c>
    </x:row>
    <x:row r="65">
      <x:c r="A65" s="22" t="n">
        <x:v>16</x:v>
      </x:c>
      <x:c r="B65" s="22" t="str">
        <x:v>4月27日-4月30日</x:v>
      </x:c>
      <x:c r="C65" s="23" t="n">
        <x:v>8236.43</x:v>
      </x:c>
      <x:c r="D65" s="23" t="n">
        <x:v>8375.19</x:v>
      </x:c>
      <x:c r="E65" s="23" t="n">
        <x:v>8157.35</x:v>
      </x:c>
      <x:c r="F65" s="23" t="n">
        <x:v>8349.51</x:v>
      </x:c>
      <x:c r="G65" s="23" t="n">
        <x:f>ROUND(F65-F64,1)</x:f>
        <x:v>101.6</x:v>
      </x:c>
      <x:c r="H65" s="24" t="n">
        <x:f>IFERROR(F65/F64-1,"")</x:f>
        <x:v>0.012321954247637157</x:v>
      </x:c>
      <x:c r="I65" s="26" t="n">
        <x:f>ROUND(D65-E65,1)</x:f>
        <x:v>217.8</x:v>
      </x:c>
      <x:c r="J65" s="22" t="str">
        <x:v>中证500</x:v>
      </x:c>
      <x:c r="K65" s="22" t="n">
        <x:v>4</x:v>
      </x:c>
    </x:row>
    <x:row r="66">
      <x:c r="A66" s="22" t="n">
        <x:v>17</x:v>
      </x:c>
      <x:c r="B66" s="22" t="str">
        <x:v>5月6日-5月8日</x:v>
      </x:c>
      <x:c r="C66" s="23" t="n">
        <x:v>8441.34</x:v>
      </x:c>
      <x:c r="D66" s="23" t="n">
        <x:v>8706.33</x:v>
      </x:c>
      <x:c r="E66" s="23" t="n">
        <x:v>8441.34</x:v>
      </x:c>
      <x:c r="F66" s="23" t="n">
        <x:v>8694.17</x:v>
      </x:c>
      <x:c r="G66" s="28" t="n">
        <x:f>ROUND(F66-F65,1)</x:f>
        <x:v>344.7</x:v>
      </x:c>
      <x:c r="H66" s="24" t="n">
        <x:f>IFERROR(F66/F65-1,"")</x:f>
        <x:v>0.04127906907111911</x:v>
      </x:c>
      <x:c r="I66" s="26" t="n">
        <x:f>ROUND(D66-E66,1)</x:f>
        <x:v>265</x:v>
      </x:c>
      <x:c r="J66" s="22" t="str">
        <x:v>中证500</x:v>
      </x:c>
      <x:c r="K66" s="22" t="n">
        <x:v>3</x:v>
      </x:c>
    </x:row>
    <x:row r="67">
      <x:c r="A67" s="22" t="n">
        <x:v>18</x:v>
      </x:c>
      <x:c r="B67" s="22" t="str">
        <x:v>5月11日-5月15日</x:v>
      </x:c>
      <x:c r="C67" s="23" t="n">
        <x:v>8771.18</x:v>
      </x:c>
      <x:c r="D67" s="23" t="n">
        <x:v>8956.66</x:v>
      </x:c>
      <x:c r="E67" s="23" t="n">
        <x:v>8473.04</x:v>
      </x:c>
      <x:c r="F67" s="23" t="n">
        <x:v>8536.34</x:v>
      </x:c>
      <x:c r="G67" s="28" t="n">
        <x:f>ROUND(F67-F66,1)</x:f>
        <x:v>-157.8</x:v>
      </x:c>
      <x:c r="H67" s="24" t="n">
        <x:f>IFERROR(F67/F66-1,"")</x:f>
        <x:v>-0.01815354427162108</x:v>
      </x:c>
      <x:c r="I67" s="26" t="n">
        <x:f>ROUND(D67-E67,1)</x:f>
        <x:v>483.6</x:v>
      </x:c>
      <x:c r="J67" s="22" t="str">
        <x:v>中证500</x:v>
      </x:c>
      <x:c r="K67" s="22" t="n">
        <x:v>5</x:v>
      </x:c>
    </x:row>
    <x:row r="68">
      <x:c r="A68" s="22" t="n">
        <x:v>19</x:v>
      </x:c>
      <x:c r="B68" s="22" t="str">
        <x:v>5月18日-5月22日</x:v>
      </x:c>
      <x:c r="C68" s="23" t="n">
        <x:v>8493.02</x:v>
      </x:c>
      <x:c r="D68" s="23" t="n">
        <x:v>8790.38</x:v>
      </x:c>
      <x:c r="E68" s="23" t="n">
        <x:v>8406.29</x:v>
      </x:c>
      <x:c r="F68" s="23" t="n">
        <x:v>8576.94</x:v>
      </x:c>
      <x:c r="G68" s="23" t="n">
        <x:f>ROUND(F68-F67,1)</x:f>
        <x:v>40.6</x:v>
      </x:c>
      <x:c r="H68" s="24" t="n">
        <x:f>IFERROR(F68/F67-1,"")</x:f>
        <x:v>0.004756136704958003</x:v>
      </x:c>
      <x:c r="I68" s="26" t="n">
        <x:f>ROUND(D68-E68,1)</x:f>
        <x:v>384.1</x:v>
      </x:c>
      <x:c r="J68" s="22" t="str">
        <x:v>中证500</x:v>
      </x:c>
      <x:c r="K68" s="22" t="n">
        <x:v>5</x:v>
      </x:c>
    </x:row>
    <x:row r="69">
      <x:c r="A69" s="22" t="n">
        <x:v>20</x:v>
      </x:c>
      <x:c r="B69" s="22" t="str">
        <x:v>5月25日-5月29日</x:v>
      </x:c>
      <x:c r="C69" s="23" t="n">
        <x:v>8631.21</x:v>
      </x:c>
      <x:c r="D69" s="23" t="n">
        <x:v>8722.58</x:v>
      </x:c>
      <x:c r="E69" s="23" t="n">
        <x:v>8296.24</x:v>
      </x:c>
      <x:c r="F69" s="23" t="n">
        <x:v>8359.56</x:v>
      </x:c>
      <x:c r="G69" s="28" t="n">
        <x:f>ROUND(F69-F68,1)</x:f>
        <x:v>-217.4</x:v>
      </x:c>
      <x:c r="H69" s="24" t="n">
        <x:f>IFERROR(F69/F68-1,"")</x:f>
        <x:v>-0.02534470335574235</x:v>
      </x:c>
      <x:c r="I69" s="26" t="n">
        <x:f>ROUND(D69-E69,1)</x:f>
        <x:v>426.3</x:v>
      </x:c>
      <x:c r="J69" s="22" t="str">
        <x:v>中证500</x:v>
      </x:c>
      <x:c r="K69" s="22" t="n">
        <x:v>5</x:v>
      </x:c>
    </x:row>
    <x:row r="70">
      <x:c r="A70" s="22" t="n">
        <x:v>21</x:v>
      </x:c>
      <x:c r="B70" s="22" t="str">
        <x:v>6月1日-6月5日</x:v>
      </x:c>
      <x:c r="C70" s="23" t="n">
        <x:v>8358.49</x:v>
      </x:c>
      <x:c r="D70" s="23" t="n">
        <x:v>8462.67</x:v>
      </x:c>
      <x:c r="E70" s="23" t="n">
        <x:v>8142.51</x:v>
      </x:c>
      <x:c r="F70" s="23" t="n">
        <x:v>8251.14</x:v>
      </x:c>
      <x:c r="G70" s="23" t="n">
        <x:f>ROUND(F70-F69,1)</x:f>
        <x:v>-108.4</x:v>
      </x:c>
      <x:c r="H70" s="24" t="n">
        <x:f>IFERROR(F70/F69-1,"")</x:f>
        <x:v>-0.012969582131116986</x:v>
      </x:c>
      <x:c r="I70" s="26" t="n">
        <x:f>ROUND(D70-E70,1)</x:f>
        <x:v>320.2</x:v>
      </x:c>
      <x:c r="J70" s="22" t="str">
        <x:v>中证500</x:v>
      </x:c>
      <x:c r="K70" s="22" t="n">
        <x:v>5</x:v>
      </x:c>
    </x:row>
    <x:row r="71">
      <x:c r="A71" s="22" t="n">
        <x:v>22</x:v>
      </x:c>
      <x:c r="B71" s="22" t="str">
        <x:v>6月8日-6月12日</x:v>
      </x:c>
      <x:c r="C71" s="23" t="n">
        <x:v>7978.66</x:v>
      </x:c>
      <x:c r="D71" s="23" t="n">
        <x:v>8258.91</x:v>
      </x:c>
      <x:c r="E71" s="23" t="n">
        <x:v>7889.4</x:v>
      </x:c>
      <x:c r="F71" s="23" t="n">
        <x:v>8106.2</x:v>
      </x:c>
      <x:c r="G71" s="23" t="n">
        <x:f>ROUND(F71-F70,1)</x:f>
        <x:v>-144.9</x:v>
      </x:c>
      <x:c r="H71" s="24" t="n">
        <x:f>IFERROR(F71/F70-1,"")</x:f>
        <x:v>-0.017566057538715762</x:v>
      </x:c>
      <x:c r="I71" s="26" t="n">
        <x:f>ROUND(D71-E71,1)</x:f>
        <x:v>369.5</x:v>
      </x:c>
      <x:c r="J71" s="22" t="str">
        <x:v>中证500</x:v>
      </x:c>
      <x:c r="K71" s="22" t="n">
        <x:v>5</x:v>
      </x:c>
    </x:row>
    <x:row r="72">
      <x:c r="A72" s="22" t="n">
        <x:v>23</x:v>
      </x:c>
      <x:c r="B72" s="22" t="str">
        <x:v>6月15日-6月18日</x:v>
      </x:c>
      <x:c r="C72" s="23" t="n">
        <x:v>8175.05</x:v>
      </x:c>
      <x:c r="D72" s="23" t="n">
        <x:v>8716.34</x:v>
      </x:c>
      <x:c r="E72" s="23" t="n">
        <x:v>8174.59</x:v>
      </x:c>
      <x:c r="F72" s="23" t="n">
        <x:v>8673.09</x:v>
      </x:c>
      <x:c r="G72" s="28" t="n">
        <x:f>ROUND(F72-F71,1)</x:f>
        <x:v>566.9</x:v>
      </x:c>
      <x:c r="H72" s="24" t="n">
        <x:f>IFERROR(F72/F71-1,"")</x:f>
        <x:v>0.06993289087365229</x:v>
      </x:c>
      <x:c r="I72" s="26" t="n">
        <x:f>ROUND(D72-E72,1)</x:f>
        <x:v>541.8</x:v>
      </x:c>
      <x:c r="J72" s="22" t="str">
        <x:v>中证500</x:v>
      </x:c>
      <x:c r="K72" s="22" t="n">
        <x:v>4</x:v>
      </x:c>
    </x:row>
    <x:row r="73">
      <x:c r="A73" s="22" t="n">
        <x:v>24</x:v>
      </x:c>
      <x:c r="B73" s="22" t="str">
        <x:v>6月22日-6月26日</x:v>
      </x:c>
      <x:c r="C73" s="23" t="n">
        <x:v>8709.66</x:v>
      </x:c>
      <x:c r="D73" s="23" t="n">
        <x:v>8940.96</x:v>
      </x:c>
      <x:c r="E73" s="23" t="n">
        <x:v>8605.22</x:v>
      </x:c>
      <x:c r="F73" s="23" t="n">
        <x:v>8703.57</x:v>
      </x:c>
      <x:c r="G73" s="23" t="n">
        <x:f>ROUND(F73-F72,1)</x:f>
        <x:v>30.5</x:v>
      </x:c>
      <x:c r="H73" s="24" t="n">
        <x:f>IFERROR(F73/F72-1,"")</x:f>
        <x:v>0.0035143184263046745</x:v>
      </x:c>
      <x:c r="I73" s="26" t="n">
        <x:f>ROUND(D73-E73,1)</x:f>
        <x:v>335.7</x:v>
      </x:c>
      <x:c r="J73" s="22" t="str">
        <x:v>中证500</x:v>
      </x:c>
      <x:c r="K73" s="22" t="n">
        <x:v>5</x:v>
      </x:c>
    </x:row>
    <x:row r="74">
      <x:c r="A74" s="22" t="n">
        <x:v>25</x:v>
      </x:c>
      <x:c r="B74" s="22" t="str">
        <x:v>6月29日-7月3日</x:v>
      </x:c>
      <x:c r="C74" s="23" t="n">
        <x:v>8731.58</x:v>
      </x:c>
      <x:c r="D74" s="23" t="n">
        <x:v>9147.56</x:v>
      </x:c>
      <x:c r="E74" s="23" t="n">
        <x:v>8587.88</x:v>
      </x:c>
      <x:c r="F74" s="23" t="n">
        <x:v>8745.26</x:v>
      </x:c>
      <x:c r="G74" s="23" t="n">
        <x:f>ROUND(F74-F73,1)</x:f>
        <x:v>41.7</x:v>
      </x:c>
      <x:c r="H74" s="24" t="n">
        <x:f>IFERROR(F74/F73-1,"")</x:f>
        <x:v>0.004789988475993212</x:v>
      </x:c>
      <x:c r="I74" s="26" t="n">
        <x:f>ROUND(D74-E74,1)</x:f>
        <x:v>559.7</x:v>
      </x:c>
      <x:c r="J74" s="22" t="str">
        <x:v>中证500</x:v>
      </x:c>
      <x:c r="K74" s="22" t="n">
        <x:v>5</x:v>
      </x:c>
    </x:row>
    <x:row r="75">
      <x:c r="A75" s="22" t="n">
        <x:v>26</x:v>
      </x:c>
      <x:c r="B75" s="22" t="str">
        <x:v>7月6日-7月10日</x:v>
      </x:c>
      <x:c r="C75" s="23" t="n">
        <x:v>8790.97</x:v>
      </x:c>
      <x:c r="D75" s="23" t="n">
        <x:v>8823.05</x:v>
      </x:c>
      <x:c r="E75" s="23" t="n">
        <x:v>8281.95</x:v>
      </x:c>
      <x:c r="F75" s="23" t="n">
        <x:v>8503.97</x:v>
      </x:c>
      <x:c r="G75" s="28" t="n">
        <x:f>ROUND(F75-F74,1)</x:f>
        <x:v>-241.3</x:v>
      </x:c>
      <x:c r="H75" s="24" t="n">
        <x:f>IFERROR(F75/F74-1,"")</x:f>
        <x:v>-0.027590946409826733</x:v>
      </x:c>
      <x:c r="I75" s="26" t="n">
        <x:f>ROUND(D75-E75,1)</x:f>
        <x:v>541.1</x:v>
      </x:c>
      <x:c r="J75" s="22" t="str">
        <x:v>中证500</x:v>
      </x:c>
      <x:c r="K75" s="22" t="n">
        <x:v>5</x:v>
      </x:c>
    </x:row>
    <x:row r="76">
      <x:c r="A76" s="22" t="n">
        <x:v>27</x:v>
      </x:c>
      <x:c r="B76" s="22" t="str">
        <x:v>7月13日-7月17日</x:v>
      </x:c>
      <x:c r="C76" s="23" t="n">
        <x:v>8409.14</x:v>
      </x:c>
      <x:c r="D76" s="23" t="n">
        <x:v>8457.69</x:v>
      </x:c>
      <x:c r="E76" s="23" t="n">
        <x:v>7474.15</x:v>
      </x:c>
      <x:c r="F76" s="23" t="n">
        <x:v>7513.76</x:v>
      </x:c>
      <x:c r="G76" s="28" t="n">
        <x:f>ROUND(F76-F75,1)</x:f>
        <x:v>-990.2</x:v>
      </x:c>
      <x:c r="H76" s="24" t="n">
        <x:f>IFERROR(F76/F75-1,"")</x:f>
        <x:v>-0.11644090936350893</x:v>
      </x:c>
      <x:c r="I76" s="26" t="n">
        <x:f>ROUND(D76-E76,1)</x:f>
        <x:v>983.5</x:v>
      </x:c>
      <x:c r="J76" s="22" t="str">
        <x:v>中证500</x:v>
      </x:c>
      <x:c r="K76" s="22" t="n">
        <x:v>5</x:v>
      </x:c>
    </x:row>
    <x:row r="77">
      <x:c r="A77" s="22" t="n">
        <x:v>28</x:v>
      </x:c>
      <x:c r="B77" s="22" t="str">
        <x:v>7月20日-7月24日</x:v>
      </x:c>
      <x:c r="C77" s="23" t="n">
        <x:v>7597.77</x:v>
      </x:c>
      <x:c r="D77" s="23" t="n">
        <x:v>7889.45</x:v>
      </x:c>
      <x:c r="E77" s="23" t="n">
        <x:v>7253.52</x:v>
      </x:c>
      <x:c r="F77" s="23" t="n">
        <x:v>7532.7</x:v>
      </x:c>
      <x:c r="G77" s="23" t="n">
        <x:f>ROUND(F77-F76,1)</x:f>
        <x:v>18.9</x:v>
      </x:c>
      <x:c r="H77" s="24" t="n">
        <x:f>IFERROR(F77/F76-1,"")</x:f>
        <x:v>0.002520708673154237</x:v>
      </x:c>
      <x:c r="I77" s="26" t="n">
        <x:f>ROUND(D77-E77,1)</x:f>
        <x:v>635.9</x:v>
      </x:c>
      <x:c r="J77" s="22" t="str">
        <x:v>中证500</x:v>
      </x:c>
      <x:c r="K77" s="22" t="n">
        <x:v>5</x:v>
      </x:c>
    </x:row>
    <x:row r="78">
      <x:c r="A78" s="22" t="n">
        <x:v>29</x:v>
      </x:c>
      <x:c r="B78" s="22" t="str">
        <x:v>7月27日-7月31日</x:v>
      </x:c>
      <x:c r="C78" s="23" t="n">
        <x:v>7512.4</x:v>
      </x:c>
      <x:c r="D78" s="23" t="n">
        <x:v>7721.4</x:v>
      </x:c>
      <x:c r="E78" s="23" t="n">
        <x:v>7221.95</x:v>
      </x:c>
      <x:c r="F78" s="23" t="n">
        <x:v>7493.99</x:v>
      </x:c>
      <x:c r="G78" s="23" t="n">
        <x:f>ROUND(F78-F77,1)</x:f>
        <x:v>-38.7</x:v>
      </x:c>
      <x:c r="H78" s="24" t="n">
        <x:f>IFERROR(F78/F77-1,"")</x:f>
        <x:v>-0.005138927608958288</x:v>
      </x:c>
      <x:c r="I78" s="26" t="n">
        <x:f>ROUND(D78-E78,1)</x:f>
        <x:v>499.4</x:v>
      </x:c>
      <x:c r="J78" s="22" t="str">
        <x:v>中证500</x:v>
      </x:c>
      <x:c r="K78" s="22" t="n">
        <x:v>5</x:v>
      </x:c>
    </x:row>
    <x:row r="79">
      <x:c r="A79" s="22" t="n">
        <x:v>30</x:v>
      </x:c>
      <x:c r="B79" s="22" t="str">
        <x:v>8月3日-8月7日</x:v>
      </x:c>
      <x:c r="C79" s="23" t="n">
        <x:v>7457.12</x:v>
      </x:c>
      <x:c r="D79" s="23" t="n">
        <x:v>7983.17</x:v>
      </x:c>
      <x:c r="E79" s="23" t="n">
        <x:v>7397.94</x:v>
      </x:c>
      <x:c r="F79" s="23" t="n">
        <x:v>7980.12</x:v>
      </x:c>
      <x:c r="G79" s="28" t="n">
        <x:f>ROUND(F79-F78,1)</x:f>
        <x:v>486.1</x:v>
      </x:c>
      <x:c r="H79" s="24" t="n">
        <x:f>IFERROR(F79/F78-1,"")</x:f>
        <x:v>0.06486931527797601</x:v>
      </x:c>
      <x:c r="I79" s="26" t="n">
        <x:f>ROUND(D79-E79,1)</x:f>
        <x:v>585.2</x:v>
      </x:c>
      <x:c r="J79" s="22" t="str">
        <x:v>中证500</x:v>
      </x:c>
      <x:c r="K79" s="22" t="n">
        <x:v>5</x:v>
      </x:c>
    </x:row>
    <x:row r="80">
      <x:c r="A80" s="22" t="n">
        <x:v>31</x:v>
      </x:c>
      <x:c r="B80" s="22" t="str">
        <x:v>8月10日-8月14日</x:v>
      </x:c>
      <x:c r="C80" s="23" t="n">
        <x:v>8003.92</x:v>
      </x:c>
      <x:c r="D80" s="23" t="n">
        <x:v>8142.33</x:v>
      </x:c>
      <x:c r="E80" s="23" t="n">
        <x:v>7897.24</x:v>
      </x:c>
      <x:c r="F80" s="23" t="n">
        <x:v>7990.33</x:v>
      </x:c>
      <x:c r="G80" s="23" t="n">
        <x:f>ROUND(F80-F79,1)</x:f>
        <x:v>10.2</x:v>
      </x:c>
      <x:c r="H80" s="24" t="n">
        <x:f>IFERROR(F80/F79-1,"")</x:f>
        <x:v>0.0012794293820144187</x:v>
      </x:c>
      <x:c r="I80" s="26" t="n">
        <x:f>ROUND(D80-E80,1)</x:f>
        <x:v>245.1</x:v>
      </x:c>
      <x:c r="J80" s="22" t="str">
        <x:v>中证500</x:v>
      </x:c>
      <x:c r="K80" s="22" t="n">
        <x:v>5</x:v>
      </x:c>
    </x:row>
    <x:row r="81">
      <x:c r="A81" s="22" t="n">
        <x:v>32</x:v>
      </x:c>
      <x:c r="B81" s="22" t="str">
        <x:v>8月17日-8月21日</x:v>
      </x:c>
      <x:c r="C81" s="23" t="n">
        <x:v>8007.87</x:v>
      </x:c>
      <x:c r="D81" s="23" t="n">
        <x:v>8211.31</x:v>
      </x:c>
      <x:c r="E81" s="23" t="n">
        <x:v>7756.28</x:v>
      </x:c>
      <x:c r="F81" s="23" t="n">
        <x:v>7854.33</x:v>
      </x:c>
      <x:c r="G81" s="23" t="n">
        <x:f>ROUND(F81-F80,1)</x:f>
        <x:v>-136</x:v>
      </x:c>
      <x:c r="H81" s="24" t="n">
        <x:f>IFERROR(F81/F80-1,"")</x:f>
        <x:v>-0.01702057361836118</x:v>
      </x:c>
      <x:c r="I81" s="26" t="n">
        <x:f>ROUND(D81-E81,1)</x:f>
        <x:v>455</x:v>
      </x:c>
      <x:c r="J81" s="22" t="str">
        <x:v>中证500</x:v>
      </x:c>
      <x:c r="K81" s="22" t="n">
        <x:v>5</x:v>
      </x:c>
    </x:row>
    <x:row r="82">
      <x:c r="A82" s="22" t="n">
        <x:v>33</x:v>
      </x:c>
      <x:c r="B82" s="22" t="str">
        <x:v>8月24日-8月28日</x:v>
      </x:c>
      <x:c r="C82" s="23" t="n">
        <x:v>7861.05</x:v>
      </x:c>
      <x:c r="D82" s="23" t="n">
        <x:v>7986.43</x:v>
      </x:c>
      <x:c r="E82" s="23" t="n">
        <x:v>7572.86</x:v>
      </x:c>
      <x:c r="F82" s="23" t="n">
        <x:v>7895.45</x:v>
      </x:c>
      <x:c r="G82" s="23" t="n">
        <x:f>ROUND(F82-F81,1)</x:f>
        <x:v>41.1</x:v>
      </x:c>
      <x:c r="H82" s="24" t="n">
        <x:f>IFERROR(F82/F81-1,"")</x:f>
        <x:v>0.005235328793162575</x:v>
      </x:c>
      <x:c r="I82" s="26" t="n">
        <x:f>ROUND(D82-E82,1)</x:f>
        <x:v>413.6</x:v>
      </x:c>
      <x:c r="J82" s="22" t="str">
        <x:v>中证500</x:v>
      </x:c>
      <x:c r="K82" s="22" t="n">
        <x:v>5</x:v>
      </x:c>
    </x:row>
    <x:row r="83">
      <x:c r="A83" s="22" t="n">
        <x:v>34</x:v>
      </x:c>
      <x:c r="B83" s="22" t="str">
        <x:v>8月31日-9月4日</x:v>
      </x:c>
      <x:c r="C83" s="23" t="n">
        <x:v>7797.23</x:v>
      </x:c>
      <x:c r="D83" s="23" t="n">
        <x:v>7955.57</x:v>
      </x:c>
      <x:c r="E83" s="23" t="n">
        <x:v>7610.58</x:v>
      </x:c>
      <x:c r="F83" s="23" t="n">
        <x:v>7652.69</x:v>
      </x:c>
      <x:c r="G83" s="28" t="n">
        <x:f>ROUND(F83-F82,1)</x:f>
        <x:v>-242.8</x:v>
      </x:c>
      <x:c r="H83" s="24" t="n">
        <x:f>IFERROR(F83/F82-1,"")</x:f>
        <x:v>-0.03074682253703087</x:v>
      </x:c>
      <x:c r="I83" s="26" t="n">
        <x:f>ROUND(D83-E83,1)</x:f>
        <x:v>345</x:v>
      </x:c>
      <x:c r="J83" s="22" t="str">
        <x:v>中证500</x:v>
      </x:c>
      <x:c r="K83" s="22" t="n">
        <x:v>5</x:v>
      </x:c>
    </x:row>
    <x:row r="84">
      <x:c r="A84" s="22" t="n">
        <x:v>35</x:v>
      </x:c>
      <x:c r="B84" s="22" t="str">
        <x:v>9月7日-9月11日</x:v>
      </x:c>
      <x:c r="C84" s="23" t="n">
        <x:v>7687.47</x:v>
      </x:c>
      <x:c r="D84" s="23" t="n">
        <x:v>7830.16</x:v>
      </x:c>
      <x:c r="E84" s="23" t="n">
        <x:v>7451.12</x:v>
      </x:c>
      <x:c r="F84" s="23" t="n">
        <x:v>7580.54</x:v>
      </x:c>
      <x:c r="G84" s="23" t="n">
        <x:f>ROUND(F84-F83,1)</x:f>
        <x:v>-72.1</x:v>
      </x:c>
      <x:c r="H84" s="24" t="n">
        <x:f>IFERROR(F84/F83-1,"")</x:f>
        <x:v>-0.009428057323633832</x:v>
      </x:c>
      <x:c r="I84" s="26" t="n">
        <x:f>ROUND(D84-E84,1)</x:f>
        <x:v>379</x:v>
      </x:c>
      <x:c r="J84" s="22" t="str">
        <x:v>中证500</x:v>
      </x:c>
      <x:c r="K84" s="22" t="n">
        <x:v>5</x:v>
      </x:c>
    </x:row>
    <x:row r="85">
      <x:c r="A85" s="22" t="n">
        <x:v>36</x:v>
      </x:c>
      <x:c r="B85" s="22" t="str">
        <x:v>9月14日-9月18日</x:v>
      </x:c>
      <x:c r="C85" s="23" t="n">
        <x:v>7511.04</x:v>
      </x:c>
      <x:c r="D85" s="23" t="n">
        <x:v>7819.98</x:v>
      </x:c>
      <x:c r="E85" s="23" t="n">
        <x:v>7487.46</x:v>
      </x:c>
      <x:c r="F85" s="23" t="n">
        <x:v>7799.61</x:v>
      </x:c>
      <x:c r="G85" s="28" t="n">
        <x:f>ROUND(F85-F84,1)</x:f>
        <x:v>219.1</x:v>
      </x:c>
      <x:c r="H85" s="24" t="n">
        <x:f>IFERROR(F85/F84-1,"")</x:f>
        <x:v>0.028898996641400165</x:v>
      </x:c>
      <x:c r="I85" s="26" t="n">
        <x:f>ROUND(D85-E85,1)</x:f>
        <x:v>332.5</x:v>
      </x:c>
      <x:c r="J85" s="22" t="str">
        <x:v>中证500</x:v>
      </x:c>
      <x:c r="K85" s="22" t="n">
        <x:v>5</x:v>
      </x:c>
    </x:row>
    <x:row r="86">
      <x:c r="A86" s="22" t="n">
        <x:v>37</x:v>
      </x:c>
      <x:c r="B86" s="22" t="str">
        <x:v>9月21日-9月24日</x:v>
      </x:c>
      <x:c r="C86" s="23" t="n">
        <x:v>7829.82</x:v>
      </x:c>
      <x:c r="D86" s="23" t="n">
        <x:v>7922.62</x:v>
      </x:c>
      <x:c r="E86" s="23" t="n">
        <x:v>7624.07</x:v>
      </x:c>
      <x:c r="F86" s="23" t="n">
        <x:v>7624.07</x:v>
      </x:c>
      <x:c r="G86" s="28" t="n">
        <x:f>ROUND(F86-F85,1)</x:f>
        <x:v>-175.5</x:v>
      </x:c>
      <x:c r="H86" s="24" t="n">
        <x:f>IFERROR(F86/F85-1,"")</x:f>
        <x:v>-0.02250625351780411</x:v>
      </x:c>
      <x:c r="I86" s="26" t="n">
        <x:f>ROUND(D86-E86,1)</x:f>
        <x:v>298.6</x:v>
      </x:c>
      <x:c r="J86" s="22" t="str">
        <x:v>中证500</x:v>
      </x:c>
      <x:c r="K86" s="22" t="n">
        <x:v>4</x:v>
      </x:c>
    </x:row>
    <x:row r="87">
      <x:c r="A87" s="22" t="n">
        <x:v>38</x:v>
      </x:c>
      <x:c r="B87" s="22" t="str">
        <x:v>9月28日-9月30日</x:v>
      </x:c>
      <x:c r="C87" s="23" t="n">
        <x:v>7599.2</x:v>
      </x:c>
      <x:c r="D87" s="23" t="n">
        <x:v>7601.09</x:v>
      </x:c>
      <x:c r="E87" s="23" t="n">
        <x:v>7364.43</x:v>
      </x:c>
      <x:c r="F87" s="23" t="n">
        <x:v>7435.16</x:v>
      </x:c>
      <x:c r="G87" s="28" t="n">
        <x:f>ROUND(F87-F86,1)</x:f>
        <x:v>-188.9</x:v>
      </x:c>
      <x:c r="H87" s="24" t="n">
        <x:f>IFERROR(F87/F86-1,"")</x:f>
        <x:v>-0.02477810408351444</x:v>
      </x:c>
      <x:c r="I87" s="26" t="n">
        <x:f>ROUND(D87-E87,1)</x:f>
        <x:v>236.7</x:v>
      </x:c>
      <x:c r="J87" s="22" t="str">
        <x:v>中证500</x:v>
      </x:c>
      <x:c r="K87" s="22" t="n">
        <x:v>3</x:v>
      </x:c>
    </x:row>
    <x:row r="88">
      <x:c r="A88" s="22" t="n">
        <x:v>39</x:v>
      </x:c>
      <x:c r="B88" s="22" t="str">
        <x:v>10月8日-10月9日</x:v>
      </x:c>
      <x:c r="C88" s="23" t="n">
        <x:v>7420.44</x:v>
      </x:c>
      <x:c r="D88" s="23" t="n">
        <x:v>7461.24</x:v>
      </x:c>
      <x:c r="E88" s="23" t="n">
        <x:v>7048.45</x:v>
      </x:c>
      <x:c r="F88" s="23" t="n">
        <x:v>7251.01</x:v>
      </x:c>
      <x:c r="G88" s="28" t="n">
        <x:f>ROUND(F88-F87,1)</x:f>
        <x:v>-184.1</x:v>
      </x:c>
      <x:c r="H88" s="24" t="n">
        <x:f>IFERROR(F88/F87-1,"")</x:f>
        <x:v>-0.024767456248419584</x:v>
      </x:c>
      <x:c r="I88" s="26" t="n">
        <x:f>ROUND(D88-E88,1)</x:f>
        <x:v>412.8</x:v>
      </x:c>
      <x:c r="J88" s="22" t="str">
        <x:v>中证500</x:v>
      </x:c>
      <x:c r="K88" s="22" t="n">
        <x:v>2</x:v>
      </x:c>
    </x:row>
    <x:row r="89">
      <x:c r="A89" s="22" t="n">
        <x:v>40</x:v>
      </x:c>
      <x:c r="B89" s="22" t="str">
        <x:v>10月12日-10月16日</x:v>
      </x:c>
      <x:c r="C89" s="23" t="n">
        <x:v>7226.07</x:v>
      </x:c>
      <x:c r="D89" s="23" t="n">
        <x:v>7236.78</x:v>
      </x:c>
      <x:c r="E89" s="23" t="n">
        <x:v>6719.82</x:v>
      </x:c>
      <x:c r="F89" s="23" t="n">
        <x:v>6772.75</x:v>
      </x:c>
      <x:c r="G89" s="28" t="n">
        <x:f>ROUND(F89-F88,1)</x:f>
        <x:v>-478.3</x:v>
      </x:c>
      <x:c r="H89" s="24" t="n">
        <x:f>IFERROR(F89/F88-1,"")</x:f>
        <x:v>-0.06595770796068412</x:v>
      </x:c>
      <x:c r="I89" s="26" t="n">
        <x:f>ROUND(D89-E89,1)</x:f>
        <x:v>517</x:v>
      </x:c>
      <x:c r="J89" s="22" t="str">
        <x:v>中证500</x:v>
      </x:c>
      <x:c r="K89" s="22" t="n">
        <x:v>5</x:v>
      </x:c>
    </x:row>
    <x:row r="90">
      <x:c r="A90" s="31" t="str">
        <x:v>合计</x:v>
      </x:c>
      <x:c r="B90" s="30" t="n">
        <x:v>40</x:v>
      </x:c>
      <x:c r="C90" s="30"/>
      <x:c r="D90" s="30"/>
      <x:c r="E90" s="30"/>
      <x:c r="F90" s="30"/>
      <x:c r="G90" s="30"/>
      <x:c r="H90" s="30"/>
      <x:c r="I90" s="32" t="n">
        <x:f>ROUND(SUM(I50:I89),1)</x:f>
        <x:v>16515.6</x:v>
      </x:c>
      <x:c r="J90" s="30"/>
      <x:c r="K90" s="30"/>
    </x:row>
    <x:row r="91">
      <x:c r="A91" s="31" t="str">
        <x:v>均值</x:v>
      </x:c>
      <x:c r="B91" s="30"/>
      <x:c r="C91" s="30"/>
      <x:c r="D91" s="30"/>
      <x:c r="E91" s="30"/>
      <x:c r="F91" s="30"/>
      <x:c r="G91" s="30"/>
      <x:c r="H91" s="30"/>
      <x:c r="I91" s="34" t="n">
        <x:f>ROUND(IFERROR(AVERAGE(I50:I89),0),1)</x:f>
        <x:v>412.9</x:v>
      </x:c>
      <x:c r="J91" s="30"/>
      <x:c r="K91" s="30"/>
    </x:row>
    <x:row r="93">
      <x:c r="A93" s="17" t="str">
        <x:v>上证指数</x:v>
      </x:c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</x:row>
    <x:row r="94">
      <x:c r="A94" s="20" t="str">
        <x:v>序号</x:v>
      </x:c>
      <x:c r="B94" s="20" t="str">
        <x:v>周期</x:v>
      </x:c>
      <x:c r="C94" s="20" t="str">
        <x:v>开盘</x:v>
      </x:c>
      <x:c r="D94" s="20" t="str">
        <x:v>高点</x:v>
      </x:c>
      <x:c r="E94" s="20" t="str">
        <x:v>低点</x:v>
      </x:c>
      <x:c r="F94" s="20" t="str">
        <x:v>收盘</x:v>
      </x:c>
      <x:c r="G94" s="20" t="str">
        <x:v>涨跌点数</x:v>
      </x:c>
      <x:c r="H94" s="20" t="str">
        <x:v>涨幅</x:v>
      </x:c>
      <x:c r="I94" s="20" t="str">
        <x:v>振幅</x:v>
      </x:c>
      <x:c r="J94" s="20" t="str">
        <x:v>标的</x:v>
      </x:c>
      <x:c r="K94" s="20" t="str">
        <x:v>交易日</x:v>
      </x:c>
    </x:row>
    <x:row r="95">
      <x:c r="A95" s="22" t="n">
        <x:v>1</x:v>
      </x:c>
      <x:c r="B95" s="22" t="str">
        <x:v>1月5日-1月9日</x:v>
      </x:c>
      <x:c r="C95" s="23" t="n">
        <x:v>3986.97</x:v>
      </x:c>
      <x:c r="D95" s="23" t="n">
        <x:v>4121.72</x:v>
      </x:c>
      <x:c r="E95" s="23" t="n">
        <x:v>3983.58</x:v>
      </x:c>
      <x:c r="F95" s="23" t="n">
        <x:v>4120.43</x:v>
      </x:c>
      <x:c r="G95" s="23"/>
      <x:c r="H95" s="24"/>
      <x:c r="I95" s="26" t="n">
        <x:f>ROUND(D95-E95,1)</x:f>
        <x:v>138.1</x:v>
      </x:c>
      <x:c r="J95" s="22" t="str">
        <x:v>上证指数</x:v>
      </x:c>
      <x:c r="K95" s="22" t="n">
        <x:v>5</x:v>
      </x:c>
    </x:row>
    <x:row r="96">
      <x:c r="A96" s="22" t="n">
        <x:v>2</x:v>
      </x:c>
      <x:c r="B96" s="22" t="str">
        <x:v>1月12日-1月16日</x:v>
      </x:c>
      <x:c r="C96" s="23" t="n">
        <x:v>4134.89</x:v>
      </x:c>
      <x:c r="D96" s="23" t="n">
        <x:v>4190.87</x:v>
      </x:c>
      <x:c r="E96" s="23" t="n">
        <x:v>4091.81</x:v>
      </x:c>
      <x:c r="F96" s="23" t="n">
        <x:v>4101.91</x:v>
      </x:c>
      <x:c r="G96" s="23" t="n">
        <x:f>ROUND(F96-F95,1)</x:f>
        <x:v>-18.5</x:v>
      </x:c>
      <x:c r="H96" s="24" t="n">
        <x:f>IFERROR(F96/F95-1,"")</x:f>
        <x:v>-0.004494676526479169</x:v>
      </x:c>
      <x:c r="I96" s="26" t="n">
        <x:f>ROUND(D96-E96,1)</x:f>
        <x:v>99.1</x:v>
      </x:c>
      <x:c r="J96" s="22" t="str">
        <x:v>上证指数</x:v>
      </x:c>
      <x:c r="K96" s="22" t="n">
        <x:v>5</x:v>
      </x:c>
    </x:row>
    <x:row r="97">
      <x:c r="A97" s="22" t="n">
        <x:v>3</x:v>
      </x:c>
      <x:c r="B97" s="22" t="str">
        <x:v>1月19日-1月23日</x:v>
      </x:c>
      <x:c r="C97" s="23" t="n">
        <x:v>4090.72</x:v>
      </x:c>
      <x:c r="D97" s="23" t="n">
        <x:v>4143.75</x:v>
      </x:c>
      <x:c r="E97" s="23" t="n">
        <x:v>4080.29</x:v>
      </x:c>
      <x:c r="F97" s="23" t="n">
        <x:v>4136.16</x:v>
      </x:c>
      <x:c r="G97" s="23" t="n">
        <x:f>ROUND(F97-F96,1)</x:f>
        <x:v>34.3</x:v>
      </x:c>
      <x:c r="H97" s="24" t="n">
        <x:f>IFERROR(F97/F96-1,"")</x:f>
        <x:v>0.008349768766257704</x:v>
      </x:c>
      <x:c r="I97" s="26" t="n">
        <x:f>ROUND(D97-E97,1)</x:f>
        <x:v>63.5</x:v>
      </x:c>
      <x:c r="J97" s="22" t="str">
        <x:v>上证指数</x:v>
      </x:c>
      <x:c r="K97" s="22" t="n">
        <x:v>5</x:v>
      </x:c>
    </x:row>
    <x:row r="98">
      <x:c r="A98" s="22" t="n">
        <x:v>4</x:v>
      </x:c>
      <x:c r="B98" s="22" t="str">
        <x:v>1月26日-1月30日</x:v>
      </x:c>
      <x:c r="C98" s="23" t="n">
        <x:v>4144.78</x:v>
      </x:c>
      <x:c r="D98" s="23" t="n">
        <x:v>4170.21</x:v>
      </x:c>
      <x:c r="E98" s="23" t="n">
        <x:v>4064.78</x:v>
      </x:c>
      <x:c r="F98" s="23" t="n">
        <x:v>4117.95</x:v>
      </x:c>
      <x:c r="G98" s="23" t="n">
        <x:f>ROUND(F98-F97,1)</x:f>
        <x:v>-18.2</x:v>
      </x:c>
      <x:c r="H98" s="24" t="n">
        <x:f>IFERROR(F98/F97-1,"")</x:f>
        <x:v>-0.004402634327492216</x:v>
      </x:c>
      <x:c r="I98" s="26" t="n">
        <x:f>ROUND(D98-E98,1)</x:f>
        <x:v>105.4</x:v>
      </x:c>
      <x:c r="J98" s="22" t="str">
        <x:v>上证指数</x:v>
      </x:c>
      <x:c r="K98" s="22" t="n">
        <x:v>5</x:v>
      </x:c>
    </x:row>
    <x:row r="99">
      <x:c r="A99" s="22" t="n">
        <x:v>5</x:v>
      </x:c>
      <x:c r="B99" s="22" t="str">
        <x:v>2月2日-2月6日</x:v>
      </x:c>
      <x:c r="C99" s="23" t="n">
        <x:v>4079.71</x:v>
      </x:c>
      <x:c r="D99" s="23" t="n">
        <x:v>4104.62</x:v>
      </x:c>
      <x:c r="E99" s="23" t="n">
        <x:v>4002.78</x:v>
      </x:c>
      <x:c r="F99" s="23" t="n">
        <x:v>4065.58</x:v>
      </x:c>
      <x:c r="G99" s="23" t="n">
        <x:f>ROUND(F99-F98,1)</x:f>
        <x:v>-52.4</x:v>
      </x:c>
      <x:c r="H99" s="24" t="n">
        <x:f>IFERROR(F99/F98-1,"")</x:f>
        <x:v>-0.012717492927306062</x:v>
      </x:c>
      <x:c r="I99" s="26" t="n">
        <x:f>ROUND(D99-E99,1)</x:f>
        <x:v>101.8</x:v>
      </x:c>
      <x:c r="J99" s="22" t="str">
        <x:v>上证指数</x:v>
      </x:c>
      <x:c r="K99" s="22" t="n">
        <x:v>5</x:v>
      </x:c>
    </x:row>
    <x:row r="100">
      <x:c r="A100" s="22" t="n">
        <x:v>6</x:v>
      </x:c>
      <x:c r="B100" s="22" t="str">
        <x:v>2月9日-2月13日</x:v>
      </x:c>
      <x:c r="C100" s="23" t="n">
        <x:v>4103.54</x:v>
      </x:c>
      <x:c r="D100" s="23" t="n">
        <x:v>4142.56</x:v>
      </x:c>
      <x:c r="E100" s="23" t="n">
        <x:v>4079.77</x:v>
      </x:c>
      <x:c r="F100" s="23" t="n">
        <x:v>4082.07</x:v>
      </x:c>
      <x:c r="G100" s="23" t="n">
        <x:f>ROUND(F100-F99,1)</x:f>
        <x:v>16.5</x:v>
      </x:c>
      <x:c r="H100" s="24" t="n">
        <x:f>IFERROR(F100/F99-1,"")</x:f>
        <x:v>0.004056001849674695</x:v>
      </x:c>
      <x:c r="I100" s="26" t="n">
        <x:f>ROUND(D100-E100,1)</x:f>
        <x:v>62.8</x:v>
      </x:c>
      <x:c r="J100" s="22" t="str">
        <x:v>上证指数</x:v>
      </x:c>
      <x:c r="K100" s="22" t="n">
        <x:v>5</x:v>
      </x:c>
    </x:row>
    <x:row r="101">
      <x:c r="A101" s="22" t="n">
        <x:v>7</x:v>
      </x:c>
      <x:c r="B101" s="22" t="str">
        <x:v>2月24日-2月27日</x:v>
      </x:c>
      <x:c r="C101" s="23" t="n">
        <x:v>4129.13</x:v>
      </x:c>
      <x:c r="D101" s="23" t="n">
        <x:v>4167.84</x:v>
      </x:c>
      <x:c r="E101" s="23" t="n">
        <x:v>4105.94</x:v>
      </x:c>
      <x:c r="F101" s="23" t="n">
        <x:v>4162.88</x:v>
      </x:c>
      <x:c r="G101" s="23" t="n">
        <x:f>ROUND(F101-F100,1)</x:f>
        <x:v>80.8</x:v>
      </x:c>
      <x:c r="H101" s="24" t="n">
        <x:f>IFERROR(F101/F100-1,"")</x:f>
        <x:v>0.01979632882336646</x:v>
      </x:c>
      <x:c r="I101" s="26" t="n">
        <x:f>ROUND(D101-E101,1)</x:f>
        <x:v>61.9</x:v>
      </x:c>
      <x:c r="J101" s="22" t="str">
        <x:v>上证指数</x:v>
      </x:c>
      <x:c r="K101" s="22" t="n">
        <x:v>4</x:v>
      </x:c>
    </x:row>
    <x:row r="102">
      <x:c r="A102" s="22" t="n">
        <x:v>8</x:v>
      </x:c>
      <x:c r="B102" s="22" t="str">
        <x:v>3月2日-3月6日</x:v>
      </x:c>
      <x:c r="C102" s="23" t="n">
        <x:v>4151.8</x:v>
      </x:c>
      <x:c r="D102" s="23" t="n">
        <x:v>4197.23</x:v>
      </x:c>
      <x:c r="E102" s="23" t="n">
        <x:v>4055.41</x:v>
      </x:c>
      <x:c r="F102" s="23" t="n">
        <x:v>4124.19</x:v>
      </x:c>
      <x:c r="G102" s="23" t="n">
        <x:f>ROUND(F102-F101,1)</x:f>
        <x:v>-38.7</x:v>
      </x:c>
      <x:c r="H102" s="24" t="n">
        <x:f>IFERROR(F102/F101-1,"")</x:f>
        <x:v>-0.00929404642939513</x:v>
      </x:c>
      <x:c r="I102" s="26" t="n">
        <x:f>ROUND(D102-E102,1)</x:f>
        <x:v>141.8</x:v>
      </x:c>
      <x:c r="J102" s="22" t="str">
        <x:v>上证指数</x:v>
      </x:c>
      <x:c r="K102" s="22" t="n">
        <x:v>5</x:v>
      </x:c>
    </x:row>
    <x:row r="103">
      <x:c r="A103" s="22" t="n">
        <x:v>9</x:v>
      </x:c>
      <x:c r="B103" s="22" t="str">
        <x:v>3月9日-3月13日</x:v>
      </x:c>
      <x:c r="C103" s="23" t="n">
        <x:v>4098.7</x:v>
      </x:c>
      <x:c r="D103" s="23" t="n">
        <x:v>4141.65</x:v>
      </x:c>
      <x:c r="E103" s="23" t="n">
        <x:v>4052.55</x:v>
      </x:c>
      <x:c r="F103" s="23" t="n">
        <x:v>4095.45</x:v>
      </x:c>
      <x:c r="G103" s="23" t="n">
        <x:f>ROUND(F103-F102,1)</x:f>
        <x:v>-28.7</x:v>
      </x:c>
      <x:c r="H103" s="24" t="n">
        <x:f>IFERROR(F103/F102-1,"")</x:f>
        <x:v>-0.006968641114982521</x:v>
      </x:c>
      <x:c r="I103" s="26" t="n">
        <x:f>ROUND(D103-E103,1)</x:f>
        <x:v>89.1</x:v>
      </x:c>
      <x:c r="J103" s="22" t="str">
        <x:v>上证指数</x:v>
      </x:c>
      <x:c r="K103" s="22" t="n">
        <x:v>5</x:v>
      </x:c>
    </x:row>
    <x:row r="104">
      <x:c r="A104" s="22" t="n">
        <x:v>10</x:v>
      </x:c>
      <x:c r="B104" s="22" t="str">
        <x:v>3月16日-3月20日</x:v>
      </x:c>
      <x:c r="C104" s="23" t="n">
        <x:v>4092.25</x:v>
      </x:c>
      <x:c r="D104" s="23" t="n">
        <x:v>4108.4</x:v>
      </x:c>
      <x:c r="E104" s="23" t="n">
        <x:v>3955.71</x:v>
      </x:c>
      <x:c r="F104" s="23" t="n">
        <x:v>3957.05</x:v>
      </x:c>
      <x:c r="G104" s="23" t="n">
        <x:f>ROUND(F104-F103,1)</x:f>
        <x:v>-138.4</x:v>
      </x:c>
      <x:c r="H104" s="24" t="n">
        <x:f>IFERROR(F104/F103-1,"")</x:f>
        <x:v>-0.03379360021487254</x:v>
      </x:c>
      <x:c r="I104" s="26" t="n">
        <x:f>ROUND(D104-E104,1)</x:f>
        <x:v>152.7</x:v>
      </x:c>
      <x:c r="J104" s="22" t="str">
        <x:v>上证指数</x:v>
      </x:c>
      <x:c r="K104" s="22" t="n">
        <x:v>5</x:v>
      </x:c>
    </x:row>
    <x:row r="105">
      <x:c r="A105" s="22" t="n">
        <x:v>11</x:v>
      </x:c>
      <x:c r="B105" s="22" t="str">
        <x:v>3月23日-3月27日</x:v>
      </x:c>
      <x:c r="C105" s="23" t="n">
        <x:v>3904.95</x:v>
      </x:c>
      <x:c r="D105" s="23" t="n">
        <x:v>3937.1</x:v>
      </x:c>
      <x:c r="E105" s="23" t="n">
        <x:v>3794.68</x:v>
      </x:c>
      <x:c r="F105" s="23" t="n">
        <x:v>3913.72</x:v>
      </x:c>
      <x:c r="G105" s="23" t="n">
        <x:f>ROUND(F105-F104,1)</x:f>
        <x:v>-43.3</x:v>
      </x:c>
      <x:c r="H105" s="24" t="n">
        <x:f>IFERROR(F105/F104-1,"")</x:f>
        <x:v>-0.010950076445837231</x:v>
      </x:c>
      <x:c r="I105" s="26" t="n">
        <x:f>ROUND(D105-E105,1)</x:f>
        <x:v>142.4</x:v>
      </x:c>
      <x:c r="J105" s="22" t="str">
        <x:v>上证指数</x:v>
      </x:c>
      <x:c r="K105" s="22" t="n">
        <x:v>5</x:v>
      </x:c>
    </x:row>
    <x:row r="106">
      <x:c r="A106" s="22" t="n">
        <x:v>12</x:v>
      </x:c>
      <x:c r="B106" s="22" t="str">
        <x:v>3月30日-4月3日</x:v>
      </x:c>
      <x:c r="C106" s="23" t="n">
        <x:v>3884.28</x:v>
      </x:c>
      <x:c r="D106" s="23" t="n">
        <x:v>3955.94</x:v>
      </x:c>
      <x:c r="E106" s="23" t="n">
        <x:v>3871.3</x:v>
      </x:c>
      <x:c r="F106" s="23" t="n">
        <x:v>3880.1</x:v>
      </x:c>
      <x:c r="G106" s="23" t="n">
        <x:f>ROUND(F106-F105,1)</x:f>
        <x:v>-33.6</x:v>
      </x:c>
      <x:c r="H106" s="24" t="n">
        <x:f>IFERROR(F106/F105-1,"")</x:f>
        <x:v>-0.00859029261163291</x:v>
      </x:c>
      <x:c r="I106" s="26" t="n">
        <x:f>ROUND(D106-E106,1)</x:f>
        <x:v>84.6</x:v>
      </x:c>
      <x:c r="J106" s="22" t="str">
        <x:v>上证指数</x:v>
      </x:c>
      <x:c r="K106" s="22" t="n">
        <x:v>5</x:v>
      </x:c>
    </x:row>
    <x:row r="107">
      <x:c r="A107" s="22" t="n">
        <x:v>13</x:v>
      </x:c>
      <x:c r="B107" s="22" t="str">
        <x:v>4月7日-4月10日</x:v>
      </x:c>
      <x:c r="C107" s="23" t="n">
        <x:v>3884.15</x:v>
      </x:c>
      <x:c r="D107" s="23" t="n">
        <x:v>4011.02</x:v>
      </x:c>
      <x:c r="E107" s="23" t="n">
        <x:v>3875.68</x:v>
      </x:c>
      <x:c r="F107" s="23" t="n">
        <x:v>3986.22</x:v>
      </x:c>
      <x:c r="G107" s="23" t="n">
        <x:f>ROUND(F107-F106,1)</x:f>
        <x:v>106.1</x:v>
      </x:c>
      <x:c r="H107" s="24" t="n">
        <x:f>IFERROR(F107/F106-1,"")</x:f>
        <x:v>0.02734981057189234</x:v>
      </x:c>
      <x:c r="I107" s="26" t="n">
        <x:f>ROUND(D107-E107,1)</x:f>
        <x:v>135.3</x:v>
      </x:c>
      <x:c r="J107" s="22" t="str">
        <x:v>上证指数</x:v>
      </x:c>
      <x:c r="K107" s="22" t="n">
        <x:v>4</x:v>
      </x:c>
    </x:row>
    <x:row r="108">
      <x:c r="A108" s="22" t="n">
        <x:v>14</x:v>
      </x:c>
      <x:c r="B108" s="22" t="str">
        <x:v>4月13日-4月17日</x:v>
      </x:c>
      <x:c r="C108" s="23" t="n">
        <x:v>3971.2</x:v>
      </x:c>
      <x:c r="D108" s="23" t="n">
        <x:v>4058.6</x:v>
      </x:c>
      <x:c r="E108" s="23" t="n">
        <x:v>3966.2</x:v>
      </x:c>
      <x:c r="F108" s="23" t="n">
        <x:v>4051.43</x:v>
      </x:c>
      <x:c r="G108" s="23" t="n">
        <x:f>ROUND(F108-F107,1)</x:f>
        <x:v>65.2</x:v>
      </x:c>
      <x:c r="H108" s="24" t="n">
        <x:f>IFERROR(F108/F107-1,"")</x:f>
        <x:v>0.016358856259815147</x:v>
      </x:c>
      <x:c r="I108" s="26" t="n">
        <x:f>ROUND(D108-E108,1)</x:f>
        <x:v>92.4</x:v>
      </x:c>
      <x:c r="J108" s="22" t="str">
        <x:v>上证指数</x:v>
      </x:c>
      <x:c r="K108" s="22" t="n">
        <x:v>5</x:v>
      </x:c>
    </x:row>
    <x:row r="109">
      <x:c r="A109" s="22" t="n">
        <x:v>15</x:v>
      </x:c>
      <x:c r="B109" s="22" t="str">
        <x:v>4月20日-4月24日</x:v>
      </x:c>
      <x:c r="C109" s="23" t="n">
        <x:v>4053.37</x:v>
      </x:c>
      <x:c r="D109" s="23" t="n">
        <x:v>4114.84</x:v>
      </x:c>
      <x:c r="E109" s="23" t="n">
        <x:v>4051.69</x:v>
      </x:c>
      <x:c r="F109" s="23" t="n">
        <x:v>4079.9</x:v>
      </x:c>
      <x:c r="G109" s="23" t="n">
        <x:f>ROUND(F109-F108,1)</x:f>
        <x:v>28.5</x:v>
      </x:c>
      <x:c r="H109" s="24" t="n">
        <x:f>IFERROR(F109/F108-1,"")</x:f>
        <x:v>0.007027148438946362</x:v>
      </x:c>
      <x:c r="I109" s="26" t="n">
        <x:f>ROUND(D109-E109,1)</x:f>
        <x:v>63.2</x:v>
      </x:c>
      <x:c r="J109" s="22" t="str">
        <x:v>上证指数</x:v>
      </x:c>
      <x:c r="K109" s="22" t="n">
        <x:v>5</x:v>
      </x:c>
    </x:row>
    <x:row r="110">
      <x:c r="A110" s="22" t="n">
        <x:v>16</x:v>
      </x:c>
      <x:c r="B110" s="22" t="str">
        <x:v>4月27日-4月30日</x:v>
      </x:c>
      <x:c r="C110" s="23" t="n">
        <x:v>4074.81</x:v>
      </x:c>
      <x:c r="D110" s="23" t="n">
        <x:v>4118.76</x:v>
      </x:c>
      <x:c r="E110" s="23" t="n">
        <x:v>4061.82</x:v>
      </x:c>
      <x:c r="F110" s="23" t="n">
        <x:v>4112.16</x:v>
      </x:c>
      <x:c r="G110" s="23" t="n">
        <x:f>ROUND(F110-F109,1)</x:f>
        <x:v>32.3</x:v>
      </x:c>
      <x:c r="H110" s="24" t="n">
        <x:f>IFERROR(F110/F109-1,"")</x:f>
        <x:v>0.007907056545503499</x:v>
      </x:c>
      <x:c r="I110" s="26" t="n">
        <x:f>ROUND(D110-E110,1)</x:f>
        <x:v>56.9</x:v>
      </x:c>
      <x:c r="J110" s="22" t="str">
        <x:v>上证指数</x:v>
      </x:c>
      <x:c r="K110" s="22" t="n">
        <x:v>4</x:v>
      </x:c>
    </x:row>
    <x:row r="111">
      <x:c r="A111" s="22" t="n">
        <x:v>17</x:v>
      </x:c>
      <x:c r="B111" s="22" t="str">
        <x:v>5月6日-5月8日</x:v>
      </x:c>
      <x:c r="C111" s="23" t="n">
        <x:v>4135.45</x:v>
      </x:c>
      <x:c r="D111" s="23" t="n">
        <x:v>4183.06</x:v>
      </x:c>
      <x:c r="E111" s="23" t="n">
        <x:v>4129.91</x:v>
      </x:c>
      <x:c r="F111" s="23" t="n">
        <x:v>4179.95</x:v>
      </x:c>
      <x:c r="G111" s="23" t="n">
        <x:f>ROUND(F111-F110,1)</x:f>
        <x:v>67.8</x:v>
      </x:c>
      <x:c r="H111" s="24" t="n">
        <x:f>IFERROR(F111/F110-1,"")</x:f>
        <x:v>0.016485253492082075</x:v>
      </x:c>
      <x:c r="I111" s="26" t="n">
        <x:f>ROUND(D111-E111,1)</x:f>
        <x:v>53.2</x:v>
      </x:c>
      <x:c r="J111" s="22" t="str">
        <x:v>上证指数</x:v>
      </x:c>
      <x:c r="K111" s="22" t="n">
        <x:v>3</x:v>
      </x:c>
    </x:row>
    <x:row r="112">
      <x:c r="A112" s="22" t="n">
        <x:v>18</x:v>
      </x:c>
      <x:c r="B112" s="22" t="str">
        <x:v>5月11日-5月15日</x:v>
      </x:c>
      <x:c r="C112" s="23" t="n">
        <x:v>4201.35</x:v>
      </x:c>
      <x:c r="D112" s="23" t="n">
        <x:v>4258.86</x:v>
      </x:c>
      <x:c r="E112" s="23" t="n">
        <x:v>4114.09</x:v>
      </x:c>
      <x:c r="F112" s="23" t="n">
        <x:v>4135.39</x:v>
      </x:c>
      <x:c r="G112" s="23" t="n">
        <x:f>ROUND(F112-F111,1)</x:f>
        <x:v>-44.6</x:v>
      </x:c>
      <x:c r="H112" s="24" t="n">
        <x:f>IFERROR(F112/F111-1,"")</x:f>
        <x:v>-0.010660414598260615</x:v>
      </x:c>
      <x:c r="I112" s="26" t="n">
        <x:f>ROUND(D112-E112,1)</x:f>
        <x:v>144.8</x:v>
      </x:c>
      <x:c r="J112" s="22" t="str">
        <x:v>上证指数</x:v>
      </x:c>
      <x:c r="K112" s="22" t="n">
        <x:v>5</x:v>
      </x:c>
    </x:row>
    <x:row r="113">
      <x:c r="A113" s="22" t="n">
        <x:v>19</x:v>
      </x:c>
      <x:c r="B113" s="22" t="str">
        <x:v>5月18日-5月22日</x:v>
      </x:c>
      <x:c r="C113" s="23" t="n">
        <x:v>4120.14</x:v>
      </x:c>
      <x:c r="D113" s="23" t="n">
        <x:v>4199.53</x:v>
      </x:c>
      <x:c r="E113" s="23" t="n">
        <x:v>4067.75</x:v>
      </x:c>
      <x:c r="F113" s="23" t="n">
        <x:v>4112.9</x:v>
      </x:c>
      <x:c r="G113" s="23" t="n">
        <x:f>ROUND(F113-F112,1)</x:f>
        <x:v>-22.5</x:v>
      </x:c>
      <x:c r="H113" s="24" t="n">
        <x:f>IFERROR(F113/F112-1,"")</x:f>
        <x:v>-0.00543842297824404</x:v>
      </x:c>
      <x:c r="I113" s="26" t="n">
        <x:f>ROUND(D113-E113,1)</x:f>
        <x:v>131.8</x:v>
      </x:c>
      <x:c r="J113" s="22" t="str">
        <x:v>上证指数</x:v>
      </x:c>
      <x:c r="K113" s="22" t="n">
        <x:v>5</x:v>
      </x:c>
    </x:row>
    <x:row r="114">
      <x:c r="A114" s="22" t="n">
        <x:v>20</x:v>
      </x:c>
      <x:c r="B114" s="22" t="str">
        <x:v>5月25日-5月29日</x:v>
      </x:c>
      <x:c r="C114" s="23" t="n">
        <x:v>4126.34</x:v>
      </x:c>
      <x:c r="D114" s="23" t="n">
        <x:v>4153.88</x:v>
      </x:c>
      <x:c r="E114" s="23" t="n">
        <x:v>4055.83</x:v>
      </x:c>
      <x:c r="F114" s="23" t="n">
        <x:v>4068.57</x:v>
      </x:c>
      <x:c r="G114" s="23" t="n">
        <x:f>ROUND(F114-F113,1)</x:f>
        <x:v>-44.3</x:v>
      </x:c>
      <x:c r="H114" s="24" t="n">
        <x:f>IFERROR(F114/F113-1,"")</x:f>
        <x:v>-0.010778282963359032</x:v>
      </x:c>
      <x:c r="I114" s="26" t="n">
        <x:f>ROUND(D114-E114,1)</x:f>
        <x:v>98.1</x:v>
      </x:c>
      <x:c r="J114" s="22" t="str">
        <x:v>上证指数</x:v>
      </x:c>
      <x:c r="K114" s="22" t="n">
        <x:v>5</x:v>
      </x:c>
    </x:row>
    <x:row r="115">
      <x:c r="A115" s="22" t="n">
        <x:v>21</x:v>
      </x:c>
      <x:c r="B115" s="22" t="str">
        <x:v>6月1日-6月5日</x:v>
      </x:c>
      <x:c r="C115" s="23" t="n">
        <x:v>4067.16</x:v>
      </x:c>
      <x:c r="D115" s="23" t="n">
        <x:v>4107.05</x:v>
      </x:c>
      <x:c r="E115" s="23" t="n">
        <x:v>4015.06</x:v>
      </x:c>
      <x:c r="F115" s="23" t="n">
        <x:v>4027.74</x:v>
      </x:c>
      <x:c r="G115" s="23" t="n">
        <x:f>ROUND(F115-F114,1)</x:f>
        <x:v>-40.8</x:v>
      </x:c>
      <x:c r="H115" s="24" t="n">
        <x:f>IFERROR(F115/F114-1,"")</x:f>
        <x:v>-0.010035467006835441</x:v>
      </x:c>
      <x:c r="I115" s="26" t="n">
        <x:f>ROUND(D115-E115,1)</x:f>
        <x:v>92</x:v>
      </x:c>
      <x:c r="J115" s="22" t="str">
        <x:v>上证指数</x:v>
      </x:c>
      <x:c r="K115" s="22" t="n">
        <x:v>5</x:v>
      </x:c>
    </x:row>
    <x:row r="116">
      <x:c r="A116" s="22" t="n">
        <x:v>22</x:v>
      </x:c>
      <x:c r="B116" s="22" t="str">
        <x:v>6月8日-6月12日</x:v>
      </x:c>
      <x:c r="C116" s="23" t="n">
        <x:v>3938.71</x:v>
      </x:c>
      <x:c r="D116" s="23" t="n">
        <x:v>4060.27</x:v>
      </x:c>
      <x:c r="E116" s="23" t="n">
        <x:v>3927.85</x:v>
      </x:c>
      <x:c r="F116" s="23" t="n">
        <x:v>4031.51</x:v>
      </x:c>
      <x:c r="G116" s="23" t="n">
        <x:f>ROUND(F116-F115,1)</x:f>
        <x:v>3.8</x:v>
      </x:c>
      <x:c r="H116" s="24" t="n">
        <x:f>IFERROR(F116/F115-1,"")</x:f>
        <x:v>0.0009360087791170368</x:v>
      </x:c>
      <x:c r="I116" s="26" t="n">
        <x:f>ROUND(D116-E116,1)</x:f>
        <x:v>132.4</x:v>
      </x:c>
      <x:c r="J116" s="22" t="str">
        <x:v>上证指数</x:v>
      </x:c>
      <x:c r="K116" s="22" t="n">
        <x:v>5</x:v>
      </x:c>
    </x:row>
    <x:row r="117">
      <x:c r="A117" s="22" t="n">
        <x:v>23</x:v>
      </x:c>
      <x:c r="B117" s="22" t="str">
        <x:v>6月15日-6月18日</x:v>
      </x:c>
      <x:c r="C117" s="23" t="n">
        <x:v>4053.58</x:v>
      </x:c>
      <x:c r="D117" s="23" t="n">
        <x:v>4117.45</x:v>
      </x:c>
      <x:c r="E117" s="23" t="n">
        <x:v>4051.07</x:v>
      </x:c>
      <x:c r="F117" s="23" t="n">
        <x:v>4090.48</x:v>
      </x:c>
      <x:c r="G117" s="23" t="n">
        <x:f>ROUND(F117-F116,1)</x:f>
        <x:v>59</x:v>
      </x:c>
      <x:c r="H117" s="24" t="n">
        <x:f>IFERROR(F117/F116-1,"")</x:f>
        <x:v>0.014627273651807826</x:v>
      </x:c>
      <x:c r="I117" s="26" t="n">
        <x:f>ROUND(D117-E117,1)</x:f>
        <x:v>66.4</x:v>
      </x:c>
      <x:c r="J117" s="22" t="str">
        <x:v>上证指数</x:v>
      </x:c>
      <x:c r="K117" s="22" t="n">
        <x:v>4</x:v>
      </x:c>
    </x:row>
    <x:row r="118">
      <x:c r="A118" s="22" t="n">
        <x:v>24</x:v>
      </x:c>
      <x:c r="B118" s="22" t="str">
        <x:v>6月22日-6月26日</x:v>
      </x:c>
      <x:c r="C118" s="23" t="n">
        <x:v>4093.95</x:v>
      </x:c>
      <x:c r="D118" s="23" t="n">
        <x:v>4175.35</x:v>
      </x:c>
      <x:c r="E118" s="23" t="n">
        <x:v>4007.86</x:v>
      </x:c>
      <x:c r="F118" s="23" t="n">
        <x:v>4027.26</x:v>
      </x:c>
      <x:c r="G118" s="23" t="n">
        <x:f>ROUND(F118-F117,1)</x:f>
        <x:v>-63.2</x:v>
      </x:c>
      <x:c r="H118" s="24" t="n">
        <x:f>IFERROR(F118/F117-1,"")</x:f>
        <x:v>-0.015455398877393334</x:v>
      </x:c>
      <x:c r="I118" s="26" t="n">
        <x:f>ROUND(D118-E118,1)</x:f>
        <x:v>167.5</x:v>
      </x:c>
      <x:c r="J118" s="22" t="str">
        <x:v>上证指数</x:v>
      </x:c>
      <x:c r="K118" s="22" t="n">
        <x:v>5</x:v>
      </x:c>
    </x:row>
    <x:row r="119">
      <x:c r="A119" s="22" t="n">
        <x:v>25</x:v>
      </x:c>
      <x:c r="B119" s="22" t="str">
        <x:v>6月29日-7月3日</x:v>
      </x:c>
      <x:c r="C119" s="23" t="n">
        <x:v>4026.69</x:v>
      </x:c>
      <x:c r="D119" s="23" t="n">
        <x:v>4143.31</x:v>
      </x:c>
      <x:c r="E119" s="23" t="n">
        <x:v>3992.55</x:v>
      </x:c>
      <x:c r="F119" s="23" t="n">
        <x:v>4043.64</x:v>
      </x:c>
      <x:c r="G119" s="23" t="n">
        <x:f>ROUND(F119-F118,1)</x:f>
        <x:v>16.4</x:v>
      </x:c>
      <x:c r="H119" s="24" t="n">
        <x:f>IFERROR(F119/F118-1,"")</x:f>
        <x:v>0.004067281476735962</x:v>
      </x:c>
      <x:c r="I119" s="26" t="n">
        <x:f>ROUND(D119-E119,1)</x:f>
        <x:v>150.8</x:v>
      </x:c>
      <x:c r="J119" s="22" t="str">
        <x:v>上证指数</x:v>
      </x:c>
      <x:c r="K119" s="22" t="n">
        <x:v>5</x:v>
      </x:c>
    </x:row>
    <x:row r="120">
      <x:c r="A120" s="22" t="n">
        <x:v>26</x:v>
      </x:c>
      <x:c r="B120" s="22" t="str">
        <x:v>7月6日-7月10日</x:v>
      </x:c>
      <x:c r="C120" s="23" t="n">
        <x:v>4059.19</x:v>
      </x:c>
      <x:c r="D120" s="23" t="n">
        <x:v>4074.83</x:v>
      </x:c>
      <x:c r="E120" s="23" t="n">
        <x:v>3938.88</x:v>
      </x:c>
      <x:c r="F120" s="23" t="n">
        <x:v>3996.16</x:v>
      </x:c>
      <x:c r="G120" s="23" t="n">
        <x:f>ROUND(F120-F119,1)</x:f>
        <x:v>-47.5</x:v>
      </x:c>
      <x:c r="H120" s="24" t="n">
        <x:f>IFERROR(F120/F119-1,"")</x:f>
        <x:v>-0.011741895915561185</x:v>
      </x:c>
      <x:c r="I120" s="26" t="n">
        <x:f>ROUND(D120-E120,1)</x:f>
        <x:v>135.9</x:v>
      </x:c>
      <x:c r="J120" s="22" t="str">
        <x:v>上证指数</x:v>
      </x:c>
      <x:c r="K120" s="22" t="n">
        <x:v>5</x:v>
      </x:c>
    </x:row>
    <x:row r="121">
      <x:c r="A121" s="22" t="n">
        <x:v>27</x:v>
      </x:c>
      <x:c r="B121" s="22" t="str">
        <x:v>7月13日-7月17日</x:v>
      </x:c>
      <x:c r="C121" s="23" t="n">
        <x:v>3966.02</x:v>
      </x:c>
      <x:c r="D121" s="23" t="n">
        <x:v>3983.05</x:v>
      </x:c>
      <x:c r="E121" s="23" t="n">
        <x:v>3745.17</x:v>
      </x:c>
      <x:c r="F121" s="23" t="n">
        <x:v>3764.15</x:v>
      </x:c>
      <x:c r="G121" s="28" t="n">
        <x:f>ROUND(F121-F120,1)</x:f>
        <x:v>-232</x:v>
      </x:c>
      <x:c r="H121" s="24" t="n">
        <x:f>IFERROR(F121/F120-1,"")</x:f>
        <x:v>-0.05805823590647019</x:v>
      </x:c>
      <x:c r="I121" s="26" t="n">
        <x:f>ROUND(D121-E121,1)</x:f>
        <x:v>237.9</x:v>
      </x:c>
      <x:c r="J121" s="22" t="str">
        <x:v>上证指数</x:v>
      </x:c>
      <x:c r="K121" s="22" t="n">
        <x:v>5</x:v>
      </x:c>
    </x:row>
    <x:row r="122">
      <x:c r="A122" s="22" t="n">
        <x:v>28</x:v>
      </x:c>
      <x:c r="B122" s="22" t="str">
        <x:v>7月20日-7月24日</x:v>
      </x:c>
      <x:c r="C122" s="23" t="n">
        <x:v>3791.66</x:v>
      </x:c>
      <x:c r="D122" s="23" t="n">
        <x:v>3884.44</x:v>
      </x:c>
      <x:c r="E122" s="23" t="n">
        <x:v>3741.11</x:v>
      </x:c>
      <x:c r="F122" s="23" t="n">
        <x:v>3814.2</x:v>
      </x:c>
      <x:c r="G122" s="23" t="n">
        <x:f>ROUND(F122-F121,1)</x:f>
        <x:v>50</x:v>
      </x:c>
      <x:c r="H122" s="24" t="n">
        <x:f>IFERROR(F122/F121-1,"")</x:f>
        <x:v>0.013296494560524952</x:v>
      </x:c>
      <x:c r="I122" s="26" t="n">
        <x:f>ROUND(D122-E122,1)</x:f>
        <x:v>143.3</x:v>
      </x:c>
      <x:c r="J122" s="22" t="str">
        <x:v>上证指数</x:v>
      </x:c>
      <x:c r="K122" s="22" t="n">
        <x:v>5</x:v>
      </x:c>
    </x:row>
    <x:row r="123">
      <x:c r="A123" s="22" t="n">
        <x:v>29</x:v>
      </x:c>
      <x:c r="B123" s="22" t="str">
        <x:v>7月27日-7月31日</x:v>
      </x:c>
      <x:c r="C123" s="23" t="n">
        <x:v>3808.9</x:v>
      </x:c>
      <x:c r="D123" s="23" t="n">
        <x:v>3858.31</x:v>
      </x:c>
      <x:c r="E123" s="23" t="n">
        <x:v>3767.5</x:v>
      </x:c>
      <x:c r="F123" s="23" t="n">
        <x:v>3832.26</x:v>
      </x:c>
      <x:c r="G123" s="23" t="n">
        <x:f>ROUND(F123-F122,1)</x:f>
        <x:v>18.1</x:v>
      </x:c>
      <x:c r="H123" s="24" t="n">
        <x:f>IFERROR(F123/F122-1,"")</x:f>
        <x:v>0.004734937863772215</x:v>
      </x:c>
      <x:c r="I123" s="26" t="n">
        <x:f>ROUND(D123-E123,1)</x:f>
        <x:v>90.8</x:v>
      </x:c>
      <x:c r="J123" s="22" t="str">
        <x:v>上证指数</x:v>
      </x:c>
      <x:c r="K123" s="22" t="n">
        <x:v>5</x:v>
      </x:c>
    </x:row>
    <x:row r="124">
      <x:c r="A124" s="22" t="n">
        <x:v>30</x:v>
      </x:c>
      <x:c r="B124" s="22" t="str">
        <x:v>8月3日-8月7日</x:v>
      </x:c>
      <x:c r="C124" s="23" t="n">
        <x:v>3812.61</x:v>
      </x:c>
      <x:c r="D124" s="23" t="n">
        <x:v>3940.93</x:v>
      </x:c>
      <x:c r="E124" s="23" t="n">
        <x:v>3797.64</x:v>
      </x:c>
      <x:c r="F124" s="23" t="n">
        <x:v>3940.04</x:v>
      </x:c>
      <x:c r="G124" s="23" t="n">
        <x:f>ROUND(F124-F123,1)</x:f>
        <x:v>107.8</x:v>
      </x:c>
      <x:c r="H124" s="24" t="n">
        <x:f>IFERROR(F124/F123-1,"")</x:f>
        <x:v>0.028124396570170074</x:v>
      </x:c>
      <x:c r="I124" s="26" t="n">
        <x:f>ROUND(D124-E124,1)</x:f>
        <x:v>143.3</x:v>
      </x:c>
      <x:c r="J124" s="22" t="str">
        <x:v>上证指数</x:v>
      </x:c>
      <x:c r="K124" s="22" t="n">
        <x:v>5</x:v>
      </x:c>
    </x:row>
    <x:row r="125">
      <x:c r="A125" s="22" t="n">
        <x:v>31</x:v>
      </x:c>
      <x:c r="B125" s="22" t="str">
        <x:v>8月10日-8月14日</x:v>
      </x:c>
      <x:c r="C125" s="23" t="n">
        <x:v>3943.82</x:v>
      </x:c>
      <x:c r="D125" s="23" t="n">
        <x:v>3968.48</x:v>
      </x:c>
      <x:c r="E125" s="23" t="n">
        <x:v>3903.7</x:v>
      </x:c>
      <x:c r="F125" s="23" t="n">
        <x:v>3927.18</x:v>
      </x:c>
      <x:c r="G125" s="23" t="n">
        <x:f>ROUND(F125-F124,1)</x:f>
        <x:v>-12.9</x:v>
      </x:c>
      <x:c r="H125" s="24" t="n">
        <x:f>IFERROR(F125/F124-1,"")</x:f>
        <x:v>-0.003263926254555849</x:v>
      </x:c>
      <x:c r="I125" s="26" t="n">
        <x:f>ROUND(D125-E125,1)</x:f>
        <x:v>64.8</x:v>
      </x:c>
      <x:c r="J125" s="22" t="str">
        <x:v>上证指数</x:v>
      </x:c>
      <x:c r="K125" s="22" t="n">
        <x:v>5</x:v>
      </x:c>
    </x:row>
    <x:row r="126">
      <x:c r="A126" s="22" t="n">
        <x:v>32</x:v>
      </x:c>
      <x:c r="B126" s="22" t="str">
        <x:v>8月17日-8月21日</x:v>
      </x:c>
      <x:c r="C126" s="23" t="n">
        <x:v>3930.1</x:v>
      </x:c>
      <x:c r="D126" s="23" t="n">
        <x:v>3994.18</x:v>
      </x:c>
      <x:c r="E126" s="23" t="n">
        <x:v>3879.58</x:v>
      </x:c>
      <x:c r="F126" s="23" t="n">
        <x:v>3905.2</x:v>
      </x:c>
      <x:c r="G126" s="23" t="n">
        <x:f>ROUND(F126-F125,1)</x:f>
        <x:v>-22</x:v>
      </x:c>
      <x:c r="H126" s="24" t="n">
        <x:f>IFERROR(F126/F125-1,"")</x:f>
        <x:v>-0.00559689140808417</x:v>
      </x:c>
      <x:c r="I126" s="26" t="n">
        <x:f>ROUND(D126-E126,1)</x:f>
        <x:v>114.6</x:v>
      </x:c>
      <x:c r="J126" s="22" t="str">
        <x:v>上证指数</x:v>
      </x:c>
      <x:c r="K126" s="22" t="n">
        <x:v>5</x:v>
      </x:c>
    </x:row>
    <x:row r="127">
      <x:c r="A127" s="22" t="n">
        <x:v>33</x:v>
      </x:c>
      <x:c r="B127" s="22" t="str">
        <x:v>8月24日-8月28日</x:v>
      </x:c>
      <x:c r="C127" s="23" t="n">
        <x:v>3902.7</x:v>
      </x:c>
      <x:c r="D127" s="23" t="n">
        <x:v>3970.31</x:v>
      </x:c>
      <x:c r="E127" s="23" t="n">
        <x:v>3850.86</x:v>
      </x:c>
      <x:c r="F127" s="23" t="n">
        <x:v>3952.18</x:v>
      </x:c>
      <x:c r="G127" s="23" t="n">
        <x:f>ROUND(F127-F126,1)</x:f>
        <x:v>47</x:v>
      </x:c>
      <x:c r="H127" s="24" t="n">
        <x:f>IFERROR(F127/F126-1,"")</x:f>
        <x:v>0.012030113694561084</x:v>
      </x:c>
      <x:c r="I127" s="26" t="n">
        <x:f>ROUND(D127-E127,1)</x:f>
        <x:v>119.4</x:v>
      </x:c>
      <x:c r="J127" s="22" t="str">
        <x:v>上证指数</x:v>
      </x:c>
      <x:c r="K127" s="22" t="n">
        <x:v>5</x:v>
      </x:c>
    </x:row>
    <x:row r="128">
      <x:c r="A128" s="22" t="n">
        <x:v>34</x:v>
      </x:c>
      <x:c r="B128" s="22" t="str">
        <x:v>8月31日-9月4日</x:v>
      </x:c>
      <x:c r="C128" s="23" t="n">
        <x:v>3926.53</x:v>
      </x:c>
      <x:c r="D128" s="23" t="n">
        <x:v>3995.18</x:v>
      </x:c>
      <x:c r="E128" s="23" t="n">
        <x:v>3915.22</x:v>
      </x:c>
      <x:c r="F128" s="23" t="n">
        <x:v>3930.12</x:v>
      </x:c>
      <x:c r="G128" s="23" t="n">
        <x:f>ROUND(F128-F127,1)</x:f>
        <x:v>-22.1</x:v>
      </x:c>
      <x:c r="H128" s="24" t="n">
        <x:f>IFERROR(F128/F127-1,"")</x:f>
        <x:v>-0.00558172957709413</x:v>
      </x:c>
      <x:c r="I128" s="26" t="n">
        <x:f>ROUND(D128-E128,1)</x:f>
        <x:v>80</x:v>
      </x:c>
      <x:c r="J128" s="22" t="str">
        <x:v>上证指数</x:v>
      </x:c>
      <x:c r="K128" s="22" t="n">
        <x:v>5</x:v>
      </x:c>
    </x:row>
    <x:row r="129">
      <x:c r="A129" s="22" t="n">
        <x:v>35</x:v>
      </x:c>
      <x:c r="B129" s="22" t="str">
        <x:v>9月7日-9月11日</x:v>
      </x:c>
      <x:c r="C129" s="23" t="n">
        <x:v>3942.51</x:v>
      </x:c>
      <x:c r="D129" s="23" t="n">
        <x:v>3958.12</x:v>
      </x:c>
      <x:c r="E129" s="23" t="n">
        <x:v>3852.03</x:v>
      </x:c>
      <x:c r="F129" s="23" t="n">
        <x:v>3888.11</x:v>
      </x:c>
      <x:c r="G129" s="23" t="n">
        <x:f>ROUND(F129-F128,1)</x:f>
        <x:v>-42</x:v>
      </x:c>
      <x:c r="H129" s="24" t="n">
        <x:f>IFERROR(F129/F128-1,"")</x:f>
        <x:v>-0.010689241040986008</x:v>
      </x:c>
      <x:c r="I129" s="26" t="n">
        <x:f>ROUND(D129-E129,1)</x:f>
        <x:v>106.1</x:v>
      </x:c>
      <x:c r="J129" s="22" t="str">
        <x:v>上证指数</x:v>
      </x:c>
      <x:c r="K129" s="22" t="n">
        <x:v>5</x:v>
      </x:c>
    </x:row>
    <x:row r="130">
      <x:c r="A130" s="22" t="n">
        <x:v>36</x:v>
      </x:c>
      <x:c r="B130" s="22" t="str">
        <x:v>9月14日-9月18日</x:v>
      </x:c>
      <x:c r="C130" s="23" t="n">
        <x:v>3867.02</x:v>
      </x:c>
      <x:c r="D130" s="23" t="n">
        <x:v>3919.67</x:v>
      </x:c>
      <x:c r="E130" s="23" t="n">
        <x:v>3842.72</x:v>
      </x:c>
      <x:c r="F130" s="23" t="n">
        <x:v>3911.87</x:v>
      </x:c>
      <x:c r="G130" s="23" t="n">
        <x:f>ROUND(F130-F129,1)</x:f>
        <x:v>23.8</x:v>
      </x:c>
      <x:c r="H130" s="24" t="n">
        <x:f>IFERROR(F130/F129-1,"")</x:f>
        <x:v>0.0061109382193405</x:v>
      </x:c>
      <x:c r="I130" s="26" t="n">
        <x:f>ROUND(D130-E130,1)</x:f>
        <x:v>77</x:v>
      </x:c>
      <x:c r="J130" s="22" t="str">
        <x:v>上证指数</x:v>
      </x:c>
      <x:c r="K130" s="22" t="n">
        <x:v>5</x:v>
      </x:c>
    </x:row>
    <x:row r="131">
      <x:c r="A131" s="22" t="n">
        <x:v>37</x:v>
      </x:c>
      <x:c r="B131" s="22" t="str">
        <x:v>9月21日-9月24日</x:v>
      </x:c>
      <x:c r="C131" s="23" t="n">
        <x:v>3920.27</x:v>
      </x:c>
      <x:c r="D131" s="23" t="n">
        <x:v>3967.68</x:v>
      </x:c>
      <x:c r="E131" s="23" t="n">
        <x:v>3888.37</x:v>
      </x:c>
      <x:c r="F131" s="23" t="n">
        <x:v>3888.37</x:v>
      </x:c>
      <x:c r="G131" s="23" t="n">
        <x:f>ROUND(F131-F130,1)</x:f>
        <x:v>-23.5</x:v>
      </x:c>
      <x:c r="H131" s="24" t="n">
        <x:f>IFERROR(F131/F130-1,"")</x:f>
        <x:v>-0.00600735709519995</x:v>
      </x:c>
      <x:c r="I131" s="26" t="n">
        <x:f>ROUND(D131-E131,1)</x:f>
        <x:v>79.3</x:v>
      </x:c>
      <x:c r="J131" s="22" t="str">
        <x:v>上证指数</x:v>
      </x:c>
      <x:c r="K131" s="22" t="n">
        <x:v>4</x:v>
      </x:c>
    </x:row>
    <x:row r="132">
      <x:c r="A132" s="22" t="n">
        <x:v>38</x:v>
      </x:c>
      <x:c r="B132" s="22" t="str">
        <x:v>9月28日-9月30日</x:v>
      </x:c>
      <x:c r="C132" s="23" t="n">
        <x:v>3878.41</x:v>
      </x:c>
      <x:c r="D132" s="23" t="n">
        <x:v>3878.41</x:v>
      </x:c>
      <x:c r="E132" s="23" t="n">
        <x:v>3806.67</x:v>
      </x:c>
      <x:c r="F132" s="23" t="n">
        <x:v>3842.19</x:v>
      </x:c>
      <x:c r="G132" s="23" t="n">
        <x:f>ROUND(F132-F131,1)</x:f>
        <x:v>-46.2</x:v>
      </x:c>
      <x:c r="H132" s="24" t="n">
        <x:f>IFERROR(F132/F131-1,"")</x:f>
        <x:v>-0.011876441799520077</x:v>
      </x:c>
      <x:c r="I132" s="26" t="n">
        <x:f>ROUND(D132-E132,1)</x:f>
        <x:v>71.7</x:v>
      </x:c>
      <x:c r="J132" s="22" t="str">
        <x:v>上证指数</x:v>
      </x:c>
      <x:c r="K132" s="22" t="n">
        <x:v>3</x:v>
      </x:c>
    </x:row>
    <x:row r="133">
      <x:c r="A133" s="22" t="n">
        <x:v>39</x:v>
      </x:c>
      <x:c r="B133" s="22" t="str">
        <x:v>10月8日-10月9日</x:v>
      </x:c>
      <x:c r="C133" s="23" t="n">
        <x:v>3838.98</x:v>
      </x:c>
      <x:c r="D133" s="23" t="n">
        <x:v>3864.12</x:v>
      </x:c>
      <x:c r="E133" s="23" t="n">
        <x:v>3754.14</x:v>
      </x:c>
      <x:c r="F133" s="23" t="n">
        <x:v>3813.79</x:v>
      </x:c>
      <x:c r="G133" s="23" t="n">
        <x:f>ROUND(F133-F132,1)</x:f>
        <x:v>-28.4</x:v>
      </x:c>
      <x:c r="H133" s="24" t="n">
        <x:f>IFERROR(F133/F132-1,"")</x:f>
        <x:v>-0.0073916178013060385</x:v>
      </x:c>
      <x:c r="I133" s="26" t="n">
        <x:f>ROUND(D133-E133,1)</x:f>
        <x:v>110</x:v>
      </x:c>
      <x:c r="J133" s="22" t="str">
        <x:v>上证指数</x:v>
      </x:c>
      <x:c r="K133" s="22" t="n">
        <x:v>2</x:v>
      </x:c>
    </x:row>
    <x:row r="134">
      <x:c r="A134" s="22" t="n">
        <x:v>40</x:v>
      </x:c>
      <x:c r="B134" s="22" t="str">
        <x:v>10月12日-10月16日</x:v>
      </x:c>
      <x:c r="C134" s="23" t="n">
        <x:v>3806.98</x:v>
      </x:c>
      <x:c r="D134" s="23" t="n">
        <x:v>3828.22</x:v>
      </x:c>
      <x:c r="E134" s="23" t="n">
        <x:v>3674.82</x:v>
      </x:c>
      <x:c r="F134" s="23" t="n">
        <x:v>3716.28</x:v>
      </x:c>
      <x:c r="G134" s="23" t="n">
        <x:f>ROUND(F134-F133,1)</x:f>
        <x:v>-97.5</x:v>
      </x:c>
      <x:c r="H134" s="24" t="n">
        <x:f>IFERROR(F134/F133-1,"")</x:f>
        <x:v>-0.02556774232456427</x:v>
      </x:c>
      <x:c r="I134" s="26" t="n">
        <x:f>ROUND(D134-E134,1)</x:f>
        <x:v>153.4</x:v>
      </x:c>
      <x:c r="J134" s="22" t="str">
        <x:v>上证指数</x:v>
      </x:c>
      <x:c r="K134" s="22" t="n">
        <x:v>5</x:v>
      </x:c>
    </x:row>
    <x:row r="135">
      <x:c r="A135" s="31" t="str">
        <x:v>合计</x:v>
      </x:c>
      <x:c r="B135" s="30" t="n">
        <x:v>40</x:v>
      </x:c>
      <x:c r="C135" s="30"/>
      <x:c r="D135" s="30"/>
      <x:c r="E135" s="30"/>
      <x:c r="F135" s="30"/>
      <x:c r="G135" s="30"/>
      <x:c r="H135" s="30"/>
      <x:c r="I135" s="32" t="n">
        <x:f>ROUND(SUM(I95:I134),1)</x:f>
        <x:v>4355.5</x:v>
      </x:c>
      <x:c r="J135" s="30"/>
      <x:c r="K135" s="30"/>
    </x:row>
    <x:row r="136">
      <x:c r="A136" s="31" t="str">
        <x:v>均值</x:v>
      </x:c>
      <x:c r="B136" s="30"/>
      <x:c r="C136" s="30"/>
      <x:c r="D136" s="30"/>
      <x:c r="E136" s="30"/>
      <x:c r="F136" s="30"/>
      <x:c r="G136" s="30"/>
      <x:c r="H136" s="30"/>
      <x:c r="I136" s="34" t="n">
        <x:f>ROUND(IFERROR(AVERAGE(I95:I134),0),1)</x:f>
        <x:v>108.9</x:v>
      </x:c>
      <x:c r="J136" s="30"/>
      <x:c r="K136" s="30"/>
    </x:row>
    <x:row r="138">
      <x:c r="A138" s="17" t="str">
        <x:v>IM主力</x:v>
      </x:c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</x:row>
    <x:row r="139">
      <x:c r="A139" s="20" t="str">
        <x:v>序号</x:v>
      </x:c>
      <x:c r="B139" s="20" t="str">
        <x:v>周期</x:v>
      </x:c>
      <x:c r="C139" s="20" t="str">
        <x:v>开盘</x:v>
      </x:c>
      <x:c r="D139" s="20" t="str">
        <x:v>高点</x:v>
      </x:c>
      <x:c r="E139" s="20" t="str">
        <x:v>低点</x:v>
      </x:c>
      <x:c r="F139" s="20" t="str">
        <x:v>收盘</x:v>
      </x:c>
      <x:c r="G139" s="20" t="str">
        <x:v>涨跌点数</x:v>
      </x:c>
      <x:c r="H139" s="20" t="str">
        <x:v>涨幅</x:v>
      </x:c>
      <x:c r="I139" s="20" t="str">
        <x:v>振幅</x:v>
      </x:c>
      <x:c r="J139" s="20" t="str">
        <x:v>标的</x:v>
      </x:c>
      <x:c r="K139" s="20" t="str">
        <x:v>交易日</x:v>
      </x:c>
    </x:row>
    <x:row r="140">
      <x:c r="A140" s="22" t="n">
        <x:v>1</x:v>
      </x:c>
      <x:c r="B140" s="22" t="str">
        <x:v>1月5日-1月9日</x:v>
      </x:c>
      <x:c r="C140" s="23" t="n">
        <x:v>7491.6</x:v>
      </x:c>
      <x:c r="D140" s="23" t="n">
        <x:v>8049.4</x:v>
      </x:c>
      <x:c r="E140" s="23" t="n">
        <x:v>7462.2</x:v>
      </x:c>
      <x:c r="F140" s="23" t="n">
        <x:v>8048.4</x:v>
      </x:c>
      <x:c r="G140" s="23"/>
      <x:c r="H140" s="24"/>
      <x:c r="I140" s="26" t="n">
        <x:f>ROUND(D140-E140,1)</x:f>
        <x:v>587.2</x:v>
      </x:c>
      <x:c r="J140" s="22" t="str">
        <x:v>IM2603</x:v>
      </x:c>
      <x:c r="K140" s="22" t="n">
        <x:v>5</x:v>
      </x:c>
    </x:row>
    <x:row r="141">
      <x:c r="A141" s="22" t="n">
        <x:v>2</x:v>
      </x:c>
      <x:c r="B141" s="22" t="str">
        <x:v>1月12日-1月16日</x:v>
      </x:c>
      <x:c r="C141" s="23" t="n">
        <x:v>8131</x:v>
      </x:c>
      <x:c r="D141" s="23" t="n">
        <x:v>8419</x:v>
      </x:c>
      <x:c r="E141" s="23" t="n">
        <x:v>8056.2</x:v>
      </x:c>
      <x:c r="F141" s="23" t="n">
        <x:v>8179.2</x:v>
      </x:c>
      <x:c r="G141" s="23" t="n">
        <x:f>ROUND(F141-F140,1)</x:f>
        <x:v>130.8</x:v>
      </x:c>
      <x:c r="H141" s="24" t="n">
        <x:f>IFERROR(F141/F140-1,"")</x:f>
        <x:v>0.016251677352020266</x:v>
      </x:c>
      <x:c r="I141" s="26" t="n">
        <x:f>ROUND(D141-E141,1)</x:f>
        <x:v>362.8</x:v>
      </x:c>
      <x:c r="J141" s="22" t="str">
        <x:v>IM2603</x:v>
      </x:c>
      <x:c r="K141" s="22" t="n">
        <x:v>5</x:v>
      </x:c>
    </x:row>
    <x:row r="142">
      <x:c r="A142" s="22" t="n">
        <x:v>3</x:v>
      </x:c>
      <x:c r="B142" s="22" t="str">
        <x:v>1月19日-1月23日</x:v>
      </x:c>
      <x:c r="C142" s="23" t="n">
        <x:v>8158</x:v>
      </x:c>
      <x:c r="D142" s="23" t="n">
        <x:v>8518.2</x:v>
      </x:c>
      <x:c r="E142" s="23" t="n">
        <x:v>8016.8</x:v>
      </x:c>
      <x:c r="F142" s="23" t="n">
        <x:v>8516.6</x:v>
      </x:c>
      <x:c r="G142" s="28" t="n">
        <x:f>ROUND(F142-F141,1)</x:f>
        <x:v>337.4</x:v>
      </x:c>
      <x:c r="H142" s="24" t="n">
        <x:f>IFERROR(F142/F141-1,"")</x:f>
        <x:v>0.04125097809076683</x:v>
      </x:c>
      <x:c r="I142" s="26" t="n">
        <x:f>ROUND(D142-E142,1)</x:f>
        <x:v>501.4</x:v>
      </x:c>
      <x:c r="J142" s="22" t="str">
        <x:v>IM2603</x:v>
      </x:c>
      <x:c r="K142" s="22" t="n">
        <x:v>5</x:v>
      </x:c>
    </x:row>
    <x:row r="143">
      <x:c r="A143" s="22" t="n">
        <x:v>4</x:v>
      </x:c>
      <x:c r="B143" s="22" t="str">
        <x:v>1月26日-1月30日</x:v>
      </x:c>
      <x:c r="C143" s="23" t="n">
        <x:v>8541.8</x:v>
      </x:c>
      <x:c r="D143" s="23" t="n">
        <x:v>8568</x:v>
      </x:c>
      <x:c r="E143" s="23" t="n">
        <x:v>8050</x:v>
      </x:c>
      <x:c r="F143" s="23" t="n">
        <x:v>8260.6</x:v>
      </x:c>
      <x:c r="G143" s="28" t="n">
        <x:f>ROUND(F143-F142,1)</x:f>
        <x:v>-256</x:v>
      </x:c>
      <x:c r="H143" s="24" t="n">
        <x:f>IFERROR(F143/F142-1,"")</x:f>
        <x:v>-0.03005894370993123</x:v>
      </x:c>
      <x:c r="I143" s="26" t="n">
        <x:f>ROUND(D143-E143,1)</x:f>
        <x:v>518</x:v>
      </x:c>
      <x:c r="J143" s="22" t="str">
        <x:v>IM2603</x:v>
      </x:c>
      <x:c r="K143" s="22" t="n">
        <x:v>5</x:v>
      </x:c>
    </x:row>
    <x:row r="144">
      <x:c r="A144" s="22" t="n">
        <x:v>5</x:v>
      </x:c>
      <x:c r="B144" s="22" t="str">
        <x:v>2月2日-2月6日</x:v>
      </x:c>
      <x:c r="C144" s="23" t="n">
        <x:v>8180.2</x:v>
      </x:c>
      <x:c r="D144" s="23" t="n">
        <x:v>8240</x:v>
      </x:c>
      <x:c r="E144" s="23" t="n">
        <x:v>7840</x:v>
      </x:c>
      <x:c r="F144" s="23" t="n">
        <x:v>7990.8</x:v>
      </x:c>
      <x:c r="G144" s="28" t="n">
        <x:f>ROUND(F144-F143,1)</x:f>
        <x:v>-269.8</x:v>
      </x:c>
      <x:c r="H144" s="24" t="n">
        <x:f>IFERROR(F144/F143-1,"")</x:f>
        <x:v>-0.03266106578214656</x:v>
      </x:c>
      <x:c r="I144" s="26" t="n">
        <x:f>ROUND(D144-E144,1)</x:f>
        <x:v>400</x:v>
      </x:c>
      <x:c r="J144" s="22" t="str">
        <x:v>IM2603</x:v>
      </x:c>
      <x:c r="K144" s="22" t="n">
        <x:v>5</x:v>
      </x:c>
    </x:row>
    <x:row r="145">
      <x:c r="A145" s="22" t="n">
        <x:v>6</x:v>
      </x:c>
      <x:c r="B145" s="22" t="str">
        <x:v>2月9日-2月13日</x:v>
      </x:c>
      <x:c r="C145" s="23" t="n">
        <x:v>8155</x:v>
      </x:c>
      <x:c r="D145" s="23" t="n">
        <x:v>8351.8</x:v>
      </x:c>
      <x:c r="E145" s="23" t="n">
        <x:v>8120.4</x:v>
      </x:c>
      <x:c r="F145" s="23" t="n">
        <x:v>8189</x:v>
      </x:c>
      <x:c r="G145" s="28" t="n">
        <x:f>ROUND(F145-F144,1)</x:f>
        <x:v>198.2</x:v>
      </x:c>
      <x:c r="H145" s="24" t="n">
        <x:f>IFERROR(F145/F144-1,"")</x:f>
        <x:v>0.02480352405266051</x:v>
      </x:c>
      <x:c r="I145" s="26" t="n">
        <x:f>ROUND(D145-E145,1)</x:f>
        <x:v>231.4</x:v>
      </x:c>
      <x:c r="J145" s="22" t="str">
        <x:v>IM2603</x:v>
      </x:c>
      <x:c r="K145" s="22" t="n">
        <x:v>5</x:v>
      </x:c>
    </x:row>
    <x:row r="146">
      <x:c r="A146" s="22" t="n">
        <x:v>7</x:v>
      </x:c>
      <x:c r="B146" s="22" t="str">
        <x:v>2月24日-2月27日</x:v>
      </x:c>
      <x:c r="C146" s="23" t="n">
        <x:v>8307.8</x:v>
      </x:c>
      <x:c r="D146" s="23" t="n">
        <x:v>8538.8</x:v>
      </x:c>
      <x:c r="E146" s="23" t="n">
        <x:v>8227.2</x:v>
      </x:c>
      <x:c r="F146" s="23" t="n">
        <x:v>8531.4</x:v>
      </x:c>
      <x:c r="G146" s="28" t="n">
        <x:f>ROUND(F146-F145,1)</x:f>
        <x:v>342.4</x:v>
      </x:c>
      <x:c r="H146" s="24" t="n">
        <x:f>IFERROR(F146/F145-1,"")</x:f>
        <x:v>0.04181218708022949</x:v>
      </x:c>
      <x:c r="I146" s="26" t="n">
        <x:f>ROUND(D146-E146,1)</x:f>
        <x:v>311.6</x:v>
      </x:c>
      <x:c r="J146" s="22" t="str">
        <x:v>IM2603</x:v>
      </x:c>
      <x:c r="K146" s="22" t="n">
        <x:v>4</x:v>
      </x:c>
    </x:row>
    <x:row r="147">
      <x:c r="A147" s="22" t="n">
        <x:v>8</x:v>
      </x:c>
      <x:c r="B147" s="22" t="str">
        <x:v>3月2日-3月6日</x:v>
      </x:c>
      <x:c r="C147" s="23" t="n">
        <x:v>8480</x:v>
      </x:c>
      <x:c r="D147" s="23" t="n">
        <x:v>8514.6</x:v>
      </x:c>
      <x:c r="E147" s="23" t="n">
        <x:v>8037.2</x:v>
      </x:c>
      <x:c r="F147" s="23" t="n">
        <x:v>8211.8</x:v>
      </x:c>
      <x:c r="G147" s="28" t="n">
        <x:f>ROUND(F147-F146,1)</x:f>
        <x:v>-319.6</x:v>
      </x:c>
      <x:c r="H147" s="24" t="n">
        <x:f>IFERROR(F147/F146-1,"")</x:f>
        <x:v>-0.03746161239655865</x:v>
      </x:c>
      <x:c r="I147" s="26" t="n">
        <x:f>ROUND(D147-E147,1)</x:f>
        <x:v>477.4</x:v>
      </x:c>
      <x:c r="J147" s="22" t="str">
        <x:v>IM2603</x:v>
      </x:c>
      <x:c r="K147" s="22" t="n">
        <x:v>5</x:v>
      </x:c>
    </x:row>
    <x:row r="148">
      <x:c r="A148" s="22" t="n">
        <x:v>9</x:v>
      </x:c>
      <x:c r="B148" s="22" t="str">
        <x:v>3月9日-3月13日</x:v>
      </x:c>
      <x:c r="C148" s="23" t="n">
        <x:v>8064</x:v>
      </x:c>
      <x:c r="D148" s="23" t="n">
        <x:v>8368</x:v>
      </x:c>
      <x:c r="E148" s="23" t="n">
        <x:v>7850</x:v>
      </x:c>
      <x:c r="F148" s="23" t="n">
        <x:v>8187</x:v>
      </x:c>
      <x:c r="G148" s="23" t="n">
        <x:f>ROUND(F148-F147,1)</x:f>
        <x:v>-24.8</x:v>
      </x:c>
      <x:c r="H148" s="24" t="n">
        <x:f>IFERROR(F148/F147-1,"")</x:f>
        <x:v>-0.003020044326456972</x:v>
      </x:c>
      <x:c r="I148" s="26" t="n">
        <x:f>ROUND(D148-E148,1)</x:f>
        <x:v>518</x:v>
      </x:c>
      <x:c r="J148" s="22" t="str">
        <x:v>IM2603</x:v>
      </x:c>
      <x:c r="K148" s="22" t="n">
        <x:v>5</x:v>
      </x:c>
    </x:row>
    <x:row r="149">
      <x:c r="A149" s="22" t="n">
        <x:v>10</x:v>
      </x:c>
      <x:c r="B149" s="22" t="str">
        <x:v>3月16日-3月20日</x:v>
      </x:c>
      <x:c r="C149" s="23" t="n">
        <x:v>8202.4</x:v>
      </x:c>
      <x:c r="D149" s="23" t="n">
        <x:v>8220</x:v>
      </x:c>
      <x:c r="E149" s="23" t="n">
        <x:v>7866</x:v>
      </x:c>
      <x:c r="F149" s="23" t="n">
        <x:v>7876.2</x:v>
      </x:c>
      <x:c r="G149" s="28" t="n">
        <x:f>ROUND(F149-F148,1)</x:f>
        <x:v>-310.8</x:v>
      </x:c>
      <x:c r="H149" s="24" t="n">
        <x:f>IFERROR(F149/F148-1,"")</x:f>
        <x:v>-0.03796262367167458</x:v>
      </x:c>
      <x:c r="I149" s="26" t="n">
        <x:f>ROUND(D149-E149,1)</x:f>
        <x:v>354</x:v>
      </x:c>
      <x:c r="J149" s="22" t="str">
        <x:v>IM2603</x:v>
      </x:c>
      <x:c r="K149" s="22" t="n">
        <x:v>5</x:v>
      </x:c>
    </x:row>
    <x:row r="150">
      <x:c r="A150" s="22" t="n">
        <x:v>11</x:v>
      </x:c>
      <x:c r="B150" s="22" t="str">
        <x:v>3月23日-3月27日</x:v>
      </x:c>
      <x:c r="C150" s="23" t="n">
        <x:v>7459.8</x:v>
      </x:c>
      <x:c r="D150" s="23" t="n">
        <x:v>7589</x:v>
      </x:c>
      <x:c r="E150" s="23" t="n">
        <x:v>7120.2</x:v>
      </x:c>
      <x:c r="F150" s="23" t="n">
        <x:v>7523.8</x:v>
      </x:c>
      <x:c r="G150" s="28" t="n">
        <x:f>ROUND(F150-F149,1)</x:f>
        <x:v>-352.4</x:v>
      </x:c>
      <x:c r="H150" s="24" t="n">
        <x:f>IFERROR(F150/F149-1,"")</x:f>
        <x:v>-0.04474238846144074</x:v>
      </x:c>
      <x:c r="I150" s="26" t="n">
        <x:f>ROUND(D150-E150,1)</x:f>
        <x:v>468.8</x:v>
      </x:c>
      <x:c r="J150" s="22" t="str">
        <x:v>IM2606</x:v>
      </x:c>
      <x:c r="K150" s="22" t="n">
        <x:v>5</x:v>
      </x:c>
    </x:row>
    <x:row r="151">
      <x:c r="A151" s="22" t="n">
        <x:v>12</x:v>
      </x:c>
      <x:c r="B151" s="22" t="str">
        <x:v>3月30日-4月3日</x:v>
      </x:c>
      <x:c r="C151" s="23" t="n">
        <x:v>7445</x:v>
      </x:c>
      <x:c r="D151" s="23" t="n">
        <x:v>7567.6</x:v>
      </x:c>
      <x:c r="E151" s="23" t="n">
        <x:v>7280.2</x:v>
      </x:c>
      <x:c r="F151" s="23" t="n">
        <x:v>7309.4</x:v>
      </x:c>
      <x:c r="G151" s="28" t="n">
        <x:f>ROUND(F151-F150,1)</x:f>
        <x:v>-214.4</x:v>
      </x:c>
      <x:c r="H151" s="24" t="n">
        <x:f>IFERROR(F151/F150-1,"")</x:f>
        <x:v>-0.02849623860283379</x:v>
      </x:c>
      <x:c r="I151" s="26" t="n">
        <x:f>ROUND(D151-E151,1)</x:f>
        <x:v>287.4</x:v>
      </x:c>
      <x:c r="J151" s="22" t="str">
        <x:v>IM2606</x:v>
      </x:c>
      <x:c r="K151" s="22" t="n">
        <x:v>5</x:v>
      </x:c>
    </x:row>
    <x:row r="152">
      <x:c r="A152" s="22" t="n">
        <x:v>13</x:v>
      </x:c>
      <x:c r="B152" s="22" t="str">
        <x:v>4月7日-4月10日</x:v>
      </x:c>
      <x:c r="C152" s="23" t="n">
        <x:v>7344.2</x:v>
      </x:c>
      <x:c r="D152" s="23" t="n">
        <x:v>7869.6</x:v>
      </x:c>
      <x:c r="E152" s="23" t="n">
        <x:v>7332.8</x:v>
      </x:c>
      <x:c r="F152" s="23" t="n">
        <x:v>7785.8</x:v>
      </x:c>
      <x:c r="G152" s="28" t="n">
        <x:f>ROUND(F152-F151,1)</x:f>
        <x:v>476.4</x:v>
      </x:c>
      <x:c r="H152" s="24" t="n">
        <x:f>IFERROR(F152/F151-1,"")</x:f>
        <x:v>0.06517634826387941</x:v>
      </x:c>
      <x:c r="I152" s="26" t="n">
        <x:f>ROUND(D152-E152,1)</x:f>
        <x:v>536.8</x:v>
      </x:c>
      <x:c r="J152" s="22" t="str">
        <x:v>IM2606</x:v>
      </x:c>
      <x:c r="K152" s="22" t="n">
        <x:v>4</x:v>
      </x:c>
    </x:row>
    <x:row r="153">
      <x:c r="A153" s="22" t="n">
        <x:v>14</x:v>
      </x:c>
      <x:c r="B153" s="22" t="str">
        <x:v>4月13日-4月17日</x:v>
      </x:c>
      <x:c r="C153" s="23" t="n">
        <x:v>7758</x:v>
      </x:c>
      <x:c r="D153" s="23" t="n">
        <x:v>8165.8</x:v>
      </x:c>
      <x:c r="E153" s="23" t="n">
        <x:v>7751</x:v>
      </x:c>
      <x:c r="F153" s="23" t="n">
        <x:v>8132</x:v>
      </x:c>
      <x:c r="G153" s="28" t="n">
        <x:f>ROUND(F153-F152,1)</x:f>
        <x:v>346.2</x:v>
      </x:c>
      <x:c r="H153" s="24" t="n">
        <x:f>IFERROR(F153/F152-1,"")</x:f>
        <x:v>0.04446556551670988</x:v>
      </x:c>
      <x:c r="I153" s="26" t="n">
        <x:f>ROUND(D153-E153,1)</x:f>
        <x:v>414.8</x:v>
      </x:c>
      <x:c r="J153" s="22" t="str">
        <x:v>IM2606</x:v>
      </x:c>
      <x:c r="K153" s="22" t="n">
        <x:v>5</x:v>
      </x:c>
    </x:row>
    <x:row r="154">
      <x:c r="A154" s="22" t="n">
        <x:v>15</x:v>
      </x:c>
      <x:c r="B154" s="22" t="str">
        <x:v>4月20日-4月24日</x:v>
      </x:c>
      <x:c r="C154" s="23" t="n">
        <x:v>8130</x:v>
      </x:c>
      <x:c r="D154" s="23" t="n">
        <x:v>8337</x:v>
      </x:c>
      <x:c r="E154" s="23" t="n">
        <x:v>8092</x:v>
      </x:c>
      <x:c r="F154" s="23" t="n">
        <x:v>8163</x:v>
      </x:c>
      <x:c r="G154" s="23" t="n">
        <x:f>ROUND(F154-F153,1)</x:f>
        <x:v>31</x:v>
      </x:c>
      <x:c r="H154" s="24" t="n">
        <x:f>IFERROR(F154/F153-1,"")</x:f>
        <x:v>0.0038121003443187806</x:v>
      </x:c>
      <x:c r="I154" s="26" t="n">
        <x:f>ROUND(D154-E154,1)</x:f>
        <x:v>245</x:v>
      </x:c>
      <x:c r="J154" s="22" t="str">
        <x:v>IM2606</x:v>
      </x:c>
      <x:c r="K154" s="22" t="n">
        <x:v>5</x:v>
      </x:c>
    </x:row>
    <x:row r="155">
      <x:c r="A155" s="22" t="n">
        <x:v>16</x:v>
      </x:c>
      <x:c r="B155" s="22" t="str">
        <x:v>4月27日-4月30日</x:v>
      </x:c>
      <x:c r="C155" s="23" t="n">
        <x:v>8181.4</x:v>
      </x:c>
      <x:c r="D155" s="23" t="n">
        <x:v>8292</x:v>
      </x:c>
      <x:c r="E155" s="23" t="n">
        <x:v>8056</x:v>
      </x:c>
      <x:c r="F155" s="23" t="n">
        <x:v>8279.2</x:v>
      </x:c>
      <x:c r="G155" s="23" t="n">
        <x:f>ROUND(F155-F154,1)</x:f>
        <x:v>116.2</x:v>
      </x:c>
      <x:c r="H155" s="24" t="n">
        <x:f>IFERROR(F155/F154-1,"")</x:f>
        <x:v>0.014234962636285875</x:v>
      </x:c>
      <x:c r="I155" s="26" t="n">
        <x:f>ROUND(D155-E155,1)</x:f>
        <x:v>236</x:v>
      </x:c>
      <x:c r="J155" s="22" t="str">
        <x:v>IM2606</x:v>
      </x:c>
      <x:c r="K155" s="22" t="n">
        <x:v>4</x:v>
      </x:c>
    </x:row>
    <x:row r="156">
      <x:c r="A156" s="22" t="n">
        <x:v>17</x:v>
      </x:c>
      <x:c r="B156" s="22" t="str">
        <x:v>5月6日-5月8日</x:v>
      </x:c>
      <x:c r="C156" s="23" t="n">
        <x:v>8398</x:v>
      </x:c>
      <x:c r="D156" s="23" t="n">
        <x:v>8670</x:v>
      </x:c>
      <x:c r="E156" s="23" t="n">
        <x:v>8381</x:v>
      </x:c>
      <x:c r="F156" s="23" t="n">
        <x:v>8642.2</x:v>
      </x:c>
      <x:c r="G156" s="28" t="n">
        <x:f>ROUND(F156-F155,1)</x:f>
        <x:v>363</x:v>
      </x:c>
      <x:c r="H156" s="24" t="n">
        <x:f>IFERROR(F156/F155-1,"")</x:f>
        <x:v>0.04384481592424394</x:v>
      </x:c>
      <x:c r="I156" s="26" t="n">
        <x:f>ROUND(D156-E156,1)</x:f>
        <x:v>289</x:v>
      </x:c>
      <x:c r="J156" s="22" t="str">
        <x:v>IM2606</x:v>
      </x:c>
      <x:c r="K156" s="22" t="n">
        <x:v>3</x:v>
      </x:c>
    </x:row>
    <x:row r="157">
      <x:c r="A157" s="22" t="n">
        <x:v>18</x:v>
      </x:c>
      <x:c r="B157" s="22" t="str">
        <x:v>5月11日-5月15日</x:v>
      </x:c>
      <x:c r="C157" s="23" t="n">
        <x:v>8720</x:v>
      </x:c>
      <x:c r="D157" s="23" t="n">
        <x:v>8908.8</x:v>
      </x:c>
      <x:c r="E157" s="23" t="n">
        <x:v>8505.6</x:v>
      </x:c>
      <x:c r="F157" s="23" t="n">
        <x:v>8582.6</x:v>
      </x:c>
      <x:c r="G157" s="23" t="n">
        <x:f>ROUND(F157-F156,1)</x:f>
        <x:v>-59.6</x:v>
      </x:c>
      <x:c r="H157" s="24" t="n">
        <x:f>IFERROR(F157/F156-1,"")</x:f>
        <x:v>-0.006896392122376249</x:v>
      </x:c>
      <x:c r="I157" s="26" t="n">
        <x:f>ROUND(D157-E157,1)</x:f>
        <x:v>403.2</x:v>
      </x:c>
      <x:c r="J157" s="22" t="str">
        <x:v>IM2606</x:v>
      </x:c>
      <x:c r="K157" s="22" t="n">
        <x:v>5</x:v>
      </x:c>
    </x:row>
    <x:row r="158">
      <x:c r="A158" s="22" t="n">
        <x:v>19</x:v>
      </x:c>
      <x:c r="B158" s="22" t="str">
        <x:v>5月18日-5月22日</x:v>
      </x:c>
      <x:c r="C158" s="23" t="n">
        <x:v>8563</x:v>
      </x:c>
      <x:c r="D158" s="23" t="n">
        <x:v>8814.2</x:v>
      </x:c>
      <x:c r="E158" s="23" t="n">
        <x:v>8426.2</x:v>
      </x:c>
      <x:c r="F158" s="23" t="n">
        <x:v>8589.8</x:v>
      </x:c>
      <x:c r="G158" s="23" t="n">
        <x:f>ROUND(F158-F157,1)</x:f>
        <x:v>7.2</x:v>
      </x:c>
      <x:c r="H158" s="24" t="n">
        <x:f>IFERROR(F158/F157-1,"")</x:f>
        <x:v>0.0008389066250318322</x:v>
      </x:c>
      <x:c r="I158" s="26" t="n">
        <x:f>ROUND(D158-E158,1)</x:f>
        <x:v>388</x:v>
      </x:c>
      <x:c r="J158" s="22" t="str">
        <x:v>IM2606</x:v>
      </x:c>
      <x:c r="K158" s="22" t="n">
        <x:v>5</x:v>
      </x:c>
    </x:row>
    <x:row r="159">
      <x:c r="A159" s="22" t="n">
        <x:v>20</x:v>
      </x:c>
      <x:c r="B159" s="22" t="str">
        <x:v>5月25日-5月29日</x:v>
      </x:c>
      <x:c r="C159" s="23" t="n">
        <x:v>8670</x:v>
      </x:c>
      <x:c r="D159" s="23" t="n">
        <x:v>8691.4</x:v>
      </x:c>
      <x:c r="E159" s="23" t="n">
        <x:v>8291.6</x:v>
      </x:c>
      <x:c r="F159" s="23" t="n">
        <x:v>8344.8</x:v>
      </x:c>
      <x:c r="G159" s="28" t="n">
        <x:f>ROUND(F159-F158,1)</x:f>
        <x:v>-245</x:v>
      </x:c>
      <x:c r="H159" s="24" t="n">
        <x:f>IFERROR(F159/F158-1,"")</x:f>
        <x:v>-0.028522200749726445</x:v>
      </x:c>
      <x:c r="I159" s="26" t="n">
        <x:f>ROUND(D159-E159,1)</x:f>
        <x:v>399.8</x:v>
      </x:c>
      <x:c r="J159" s="22" t="str">
        <x:v>IM2606</x:v>
      </x:c>
      <x:c r="K159" s="22" t="n">
        <x:v>5</x:v>
      </x:c>
    </x:row>
    <x:row r="160">
      <x:c r="A160" s="22" t="n">
        <x:v>21</x:v>
      </x:c>
      <x:c r="B160" s="22" t="str">
        <x:v>6月1日-6月5日</x:v>
      </x:c>
      <x:c r="C160" s="23" t="n">
        <x:v>8355</x:v>
      </x:c>
      <x:c r="D160" s="23" t="n">
        <x:v>8493.4</x:v>
      </x:c>
      <x:c r="E160" s="23" t="n">
        <x:v>8190</x:v>
      </x:c>
      <x:c r="F160" s="23" t="n">
        <x:v>8291.8</x:v>
      </x:c>
      <x:c r="G160" s="23" t="n">
        <x:f>ROUND(F160-F159,1)</x:f>
        <x:v>-53</x:v>
      </x:c>
      <x:c r="H160" s="24" t="n">
        <x:f>IFERROR(F160/F159-1,"")</x:f>
        <x:v>-0.006351260665324543</x:v>
      </x:c>
      <x:c r="I160" s="26" t="n">
        <x:f>ROUND(D160-E160,1)</x:f>
        <x:v>303.4</x:v>
      </x:c>
      <x:c r="J160" s="22" t="str">
        <x:v>IM2606</x:v>
      </x:c>
      <x:c r="K160" s="22" t="n">
        <x:v>5</x:v>
      </x:c>
    </x:row>
    <x:row r="161">
      <x:c r="A161" s="22" t="n">
        <x:v>22</x:v>
      </x:c>
      <x:c r="B161" s="22" t="str">
        <x:v>6月8日-6月12日</x:v>
      </x:c>
      <x:c r="C161" s="23" t="n">
        <x:v>8117.8</x:v>
      </x:c>
      <x:c r="D161" s="23" t="n">
        <x:v>8323.8</x:v>
      </x:c>
      <x:c r="E161" s="23" t="n">
        <x:v>7962</x:v>
      </x:c>
      <x:c r="F161" s="23" t="n">
        <x:v>8196.8</x:v>
      </x:c>
      <x:c r="G161" s="23" t="n">
        <x:f>ROUND(F161-F160,1)</x:f>
        <x:v>-95</x:v>
      </x:c>
      <x:c r="H161" s="24" t="n">
        <x:f>IFERROR(F161/F160-1,"")</x:f>
        <x:v>-0.011457102197351632</x:v>
      </x:c>
      <x:c r="I161" s="26" t="n">
        <x:f>ROUND(D161-E161,1)</x:f>
        <x:v>361.8</x:v>
      </x:c>
      <x:c r="J161" s="22" t="str">
        <x:v>IM2606</x:v>
      </x:c>
      <x:c r="K161" s="22" t="n">
        <x:v>5</x:v>
      </x:c>
    </x:row>
    <x:row r="162">
      <x:c r="A162" s="22" t="n">
        <x:v>23</x:v>
      </x:c>
      <x:c r="B162" s="22" t="str">
        <x:v>6月15日-6月18日</x:v>
      </x:c>
      <x:c r="C162" s="23" t="n">
        <x:v>8292</x:v>
      </x:c>
      <x:c r="D162" s="23" t="n">
        <x:v>8788</x:v>
      </x:c>
      <x:c r="E162" s="23" t="n">
        <x:v>8285</x:v>
      </x:c>
      <x:c r="F162" s="23" t="n">
        <x:v>8766</x:v>
      </x:c>
      <x:c r="G162" s="28" t="n">
        <x:f>ROUND(F162-F161,1)</x:f>
        <x:v>569.2</x:v>
      </x:c>
      <x:c r="H162" s="24" t="n">
        <x:f>IFERROR(F162/F161-1,"")</x:f>
        <x:v>0.06944173335935977</x:v>
      </x:c>
      <x:c r="I162" s="26" t="n">
        <x:f>ROUND(D162-E162,1)</x:f>
        <x:v>503</x:v>
      </x:c>
      <x:c r="J162" s="22" t="str">
        <x:v>IM2606</x:v>
      </x:c>
      <x:c r="K162" s="22" t="n">
        <x:v>4</x:v>
      </x:c>
    </x:row>
    <x:row r="163">
      <x:c r="A163" s="22" t="n">
        <x:v>24</x:v>
      </x:c>
      <x:c r="B163" s="22" t="str">
        <x:v>6月22日-6月26日</x:v>
      </x:c>
      <x:c r="C163" s="23" t="n">
        <x:v>8790</x:v>
      </x:c>
      <x:c r="D163" s="23" t="n">
        <x:v>8802.4</x:v>
      </x:c>
      <x:c r="E163" s="23" t="n">
        <x:v>8260.2</x:v>
      </x:c>
      <x:c r="F163" s="23" t="n">
        <x:v>8319.2</x:v>
      </x:c>
      <x:c r="G163" s="28" t="n">
        <x:f>ROUND(F163-F162,1)</x:f>
        <x:v>-446.8</x:v>
      </x:c>
      <x:c r="H163" s="24" t="n">
        <x:f>IFERROR(F163/F162-1,"")</x:f>
        <x:v>-0.05096965548710919</x:v>
      </x:c>
      <x:c r="I163" s="26" t="n">
        <x:f>ROUND(D163-E163,1)</x:f>
        <x:v>542.2</x:v>
      </x:c>
      <x:c r="J163" s="22" t="str">
        <x:v>IM2606/IM2609</x:v>
      </x:c>
      <x:c r="K163" s="22" t="n">
        <x:v>5</x:v>
      </x:c>
    </x:row>
    <x:row r="164">
      <x:c r="A164" s="22" t="n">
        <x:v>25</x:v>
      </x:c>
      <x:c r="B164" s="22" t="str">
        <x:v>6月29日-7月3日</x:v>
      </x:c>
      <x:c r="C164" s="23" t="n">
        <x:v>8335</x:v>
      </x:c>
      <x:c r="D164" s="23" t="n">
        <x:v>8629</x:v>
      </x:c>
      <x:c r="E164" s="23" t="n">
        <x:v>8145.2</x:v>
      </x:c>
      <x:c r="F164" s="23" t="n">
        <x:v>8373</x:v>
      </x:c>
      <x:c r="G164" s="23" t="n">
        <x:f>ROUND(F164-F163,1)</x:f>
        <x:v>53.8</x:v>
      </x:c>
      <x:c r="H164" s="24" t="n">
        <x:f>IFERROR(F164/F163-1,"")</x:f>
        <x:v>0.006466967977690086</x:v>
      </x:c>
      <x:c r="I164" s="26" t="n">
        <x:f>ROUND(D164-E164,1)</x:f>
        <x:v>483.8</x:v>
      </x:c>
      <x:c r="J164" s="22" t="str">
        <x:v>IM2609</x:v>
      </x:c>
      <x:c r="K164" s="22" t="n">
        <x:v>5</x:v>
      </x:c>
    </x:row>
    <x:row r="165">
      <x:c r="A165" s="22" t="n">
        <x:v>26</x:v>
      </x:c>
      <x:c r="B165" s="22" t="str">
        <x:v>7月6日-7月10日</x:v>
      </x:c>
      <x:c r="C165" s="23" t="n">
        <x:v>8403</x:v>
      </x:c>
      <x:c r="D165" s="23" t="n">
        <x:v>8419.8</x:v>
      </x:c>
      <x:c r="E165" s="23" t="n">
        <x:v>7868.2</x:v>
      </x:c>
      <x:c r="F165" s="23" t="n">
        <x:v>8019.4</x:v>
      </x:c>
      <x:c r="G165" s="28" t="n">
        <x:f>ROUND(F165-F164,1)</x:f>
        <x:v>-353.6</x:v>
      </x:c>
      <x:c r="H165" s="24" t="n">
        <x:f>IFERROR(F165/F164-1,"")</x:f>
        <x:v>-0.04223098053266461</x:v>
      </x:c>
      <x:c r="I165" s="26" t="n">
        <x:f>ROUND(D165-E165,1)</x:f>
        <x:v>551.6</x:v>
      </x:c>
      <x:c r="J165" s="22" t="str">
        <x:v>IM2609</x:v>
      </x:c>
      <x:c r="K165" s="22" t="n">
        <x:v>5</x:v>
      </x:c>
    </x:row>
    <x:row r="166">
      <x:c r="A166" s="22" t="n">
        <x:v>27</x:v>
      </x:c>
      <x:c r="B166" s="22" t="str">
        <x:v>7月13日-7月17日</x:v>
      </x:c>
      <x:c r="C166" s="23" t="n">
        <x:v>7995</x:v>
      </x:c>
      <x:c r="D166" s="23" t="n">
        <x:v>8029.8</x:v>
      </x:c>
      <x:c r="E166" s="23" t="n">
        <x:v>7018.8</x:v>
      </x:c>
      <x:c r="F166" s="23" t="n">
        <x:v>7065.2</x:v>
      </x:c>
      <x:c r="G166" s="28" t="n">
        <x:f>ROUND(F166-F165,1)</x:f>
        <x:v>-954.2</x:v>
      </x:c>
      <x:c r="H166" s="24" t="n">
        <x:f>IFERROR(F166/F165-1,"")</x:f>
        <x:v>-0.1189864578397386</x:v>
      </x:c>
      <x:c r="I166" s="26" t="n">
        <x:f>ROUND(D166-E166,1)</x:f>
        <x:v>1011</x:v>
      </x:c>
      <x:c r="J166" s="22" t="str">
        <x:v>IM2609</x:v>
      </x:c>
      <x:c r="K166" s="22" t="n">
        <x:v>5</x:v>
      </x:c>
    </x:row>
    <x:row r="167">
      <x:c r="A167" s="22" t="n">
        <x:v>28</x:v>
      </x:c>
      <x:c r="B167" s="22" t="str">
        <x:v>7月20日-7月24日</x:v>
      </x:c>
      <x:c r="C167" s="23" t="n">
        <x:v>7165.2</x:v>
      </x:c>
      <x:c r="D167" s="23" t="n">
        <x:v>7237</x:v>
      </x:c>
      <x:c r="E167" s="23" t="n">
        <x:v>6641.8</x:v>
      </x:c>
      <x:c r="F167" s="23" t="n">
        <x:v>6880.2</x:v>
      </x:c>
      <x:c r="G167" s="28" t="n">
        <x:f>ROUND(F167-F166,1)</x:f>
        <x:v>-185</x:v>
      </x:c>
      <x:c r="H167" s="24" t="n">
        <x:f>IFERROR(F167/F166-1,"")</x:f>
        <x:v>-0.02618467983921191</x:v>
      </x:c>
      <x:c r="I167" s="26" t="n">
        <x:f>ROUND(D167-E167,1)</x:f>
        <x:v>595.2</x:v>
      </x:c>
      <x:c r="J167" s="22" t="str">
        <x:v>IM2609</x:v>
      </x:c>
      <x:c r="K167" s="22" t="n">
        <x:v>5</x:v>
      </x:c>
    </x:row>
    <x:row r="168">
      <x:c r="A168" s="22" t="n">
        <x:v>29</x:v>
      </x:c>
      <x:c r="B168" s="22" t="str">
        <x:v>7月27日-7月31日</x:v>
      </x:c>
      <x:c r="C168" s="23" t="n">
        <x:v>6880.4</x:v>
      </x:c>
      <x:c r="D168" s="23" t="n">
        <x:v>7205</x:v>
      </x:c>
      <x:c r="E168" s="23" t="n">
        <x:v>6757.6</x:v>
      </x:c>
      <x:c r="F168" s="23" t="n">
        <x:v>6987.8</x:v>
      </x:c>
      <x:c r="G168" s="23" t="n">
        <x:f>ROUND(F168-F167,1)</x:f>
        <x:v>107.6</x:v>
      </x:c>
      <x:c r="H168" s="24" t="n">
        <x:f>IFERROR(F168/F167-1,"")</x:f>
        <x:v>0.015639080259294946</x:v>
      </x:c>
      <x:c r="I168" s="26" t="n">
        <x:f>ROUND(D168-E168,1)</x:f>
        <x:v>447.4</x:v>
      </x:c>
      <x:c r="J168" s="22" t="str">
        <x:v>IM2609</x:v>
      </x:c>
      <x:c r="K168" s="22" t="n">
        <x:v>5</x:v>
      </x:c>
    </x:row>
    <x:row r="169">
      <x:c r="A169" s="22" t="n">
        <x:v>30</x:v>
      </x:c>
      <x:c r="B169" s="22" t="str">
        <x:v>8月3日-8月7日</x:v>
      </x:c>
      <x:c r="C169" s="23" t="n">
        <x:v>7000</x:v>
      </x:c>
      <x:c r="D169" s="23" t="n">
        <x:v>7594.2</x:v>
      </x:c>
      <x:c r="E169" s="23" t="n">
        <x:v>6976</x:v>
      </x:c>
      <x:c r="F169" s="23" t="n">
        <x:v>7590.6</x:v>
      </x:c>
      <x:c r="G169" s="28" t="n">
        <x:f>ROUND(F169-F168,1)</x:f>
        <x:v>602.8</x:v>
      </x:c>
      <x:c r="H169" s="24" t="n">
        <x:f>IFERROR(F169/F168-1,"")</x:f>
        <x:v>0.08626463264546791</x:v>
      </x:c>
      <x:c r="I169" s="26" t="n">
        <x:f>ROUND(D169-E169,1)</x:f>
        <x:v>618.2</x:v>
      </x:c>
      <x:c r="J169" s="22" t="str">
        <x:v>IM2609</x:v>
      </x:c>
      <x:c r="K169" s="22" t="n">
        <x:v>5</x:v>
      </x:c>
    </x:row>
    <x:row r="170">
      <x:c r="A170" s="22" t="n">
        <x:v>31</x:v>
      </x:c>
      <x:c r="B170" s="22" t="str">
        <x:v>8月10日-8月14日</x:v>
      </x:c>
      <x:c r="C170" s="23" t="n">
        <x:v>7628.8</x:v>
      </x:c>
      <x:c r="D170" s="23" t="n">
        <x:v>7776</x:v>
      </x:c>
      <x:c r="E170" s="23" t="n">
        <x:v>7525</x:v>
      </x:c>
      <x:c r="F170" s="23" t="n">
        <x:v>7650.2</x:v>
      </x:c>
      <x:c r="G170" s="23" t="n">
        <x:f>ROUND(F170-F169,1)</x:f>
        <x:v>59.6</x:v>
      </x:c>
      <x:c r="H170" s="24" t="n">
        <x:f>IFERROR(F170/F169-1,"")</x:f>
        <x:v>0.007851816720680693</x:v>
      </x:c>
      <x:c r="I170" s="26" t="n">
        <x:f>ROUND(D170-E170,1)</x:f>
        <x:v>251</x:v>
      </x:c>
      <x:c r="J170" s="22" t="str">
        <x:v>IM2609</x:v>
      </x:c>
      <x:c r="K170" s="22" t="n">
        <x:v>5</x:v>
      </x:c>
    </x:row>
    <x:row r="171">
      <x:c r="A171" s="22" t="n">
        <x:v>32</x:v>
      </x:c>
      <x:c r="B171" s="22" t="str">
        <x:v>8月17日-8月21日</x:v>
      </x:c>
      <x:c r="C171" s="23" t="n">
        <x:v>7675</x:v>
      </x:c>
      <x:c r="D171" s="23" t="n">
        <x:v>7882.8</x:v>
      </x:c>
      <x:c r="E171" s="23" t="n">
        <x:v>7410</x:v>
      </x:c>
      <x:c r="F171" s="23" t="n">
        <x:v>7527</x:v>
      </x:c>
      <x:c r="G171" s="23" t="n">
        <x:f>ROUND(F171-F170,1)</x:f>
        <x:v>-123.2</x:v>
      </x:c>
      <x:c r="H171" s="24" t="n">
        <x:f>IFERROR(F171/F170-1,"")</x:f>
        <x:v>-0.016104154139761073</x:v>
      </x:c>
      <x:c r="I171" s="26" t="n">
        <x:f>ROUND(D171-E171,1)</x:f>
        <x:v>472.8</x:v>
      </x:c>
      <x:c r="J171" s="22" t="str">
        <x:v>IM2609</x:v>
      </x:c>
      <x:c r="K171" s="22" t="n">
        <x:v>5</x:v>
      </x:c>
    </x:row>
    <x:row r="172">
      <x:c r="A172" s="22" t="n">
        <x:v>33</x:v>
      </x:c>
      <x:c r="B172" s="22" t="str">
        <x:v>8月24日-8月28日</x:v>
      </x:c>
      <x:c r="C172" s="23" t="n">
        <x:v>7534.8</x:v>
      </x:c>
      <x:c r="D172" s="23" t="n">
        <x:v>7753.8</x:v>
      </x:c>
      <x:c r="E172" s="23" t="n">
        <x:v>7300.2</x:v>
      </x:c>
      <x:c r="F172" s="23" t="n">
        <x:v>7666.6</x:v>
      </x:c>
      <x:c r="G172" s="23" t="n">
        <x:f>ROUND(F172-F171,1)</x:f>
        <x:v>139.6</x:v>
      </x:c>
      <x:c r="H172" s="24" t="n">
        <x:f>IFERROR(F172/F171-1,"")</x:f>
        <x:v>0.01854656569682489</x:v>
      </x:c>
      <x:c r="I172" s="26" t="n">
        <x:f>ROUND(D172-E172,1)</x:f>
        <x:v>453.6</x:v>
      </x:c>
      <x:c r="J172" s="22" t="str">
        <x:v>IM2609</x:v>
      </x:c>
      <x:c r="K172" s="22" t="n">
        <x:v>5</x:v>
      </x:c>
    </x:row>
    <x:row r="173">
      <x:c r="A173" s="22" t="n">
        <x:v>34</x:v>
      </x:c>
      <x:c r="B173" s="22" t="str">
        <x:v>8月31日-9月4日</x:v>
      </x:c>
      <x:c r="C173" s="23" t="n">
        <x:v>7582</x:v>
      </x:c>
      <x:c r="D173" s="23" t="n">
        <x:v>7735</x:v>
      </x:c>
      <x:c r="E173" s="23" t="n">
        <x:v>7432</x:v>
      </x:c>
      <x:c r="F173" s="23" t="n">
        <x:v>7468.2</x:v>
      </x:c>
      <x:c r="G173" s="28" t="n">
        <x:f>ROUND(F173-F172,1)</x:f>
        <x:v>-198.4</x:v>
      </x:c>
      <x:c r="H173" s="24" t="n">
        <x:f>IFERROR(F173/F172-1,"")</x:f>
        <x:v>-0.025878485899877512</x:v>
      </x:c>
      <x:c r="I173" s="26" t="n">
        <x:f>ROUND(D173-E173,1)</x:f>
        <x:v>303</x:v>
      </x:c>
      <x:c r="J173" s="22" t="str">
        <x:v>IM2609</x:v>
      </x:c>
      <x:c r="K173" s="22" t="n">
        <x:v>5</x:v>
      </x:c>
    </x:row>
    <x:row r="174">
      <x:c r="A174" s="22" t="n">
        <x:v>35</x:v>
      </x:c>
      <x:c r="B174" s="22" t="str">
        <x:v>9月7日-9月11日</x:v>
      </x:c>
      <x:c r="C174" s="23" t="n">
        <x:v>7527.2</x:v>
      </x:c>
      <x:c r="D174" s="23" t="n">
        <x:v>7714.6</x:v>
      </x:c>
      <x:c r="E174" s="23" t="n">
        <x:v>7259.4</x:v>
      </x:c>
      <x:c r="F174" s="23" t="n">
        <x:v>7415.2</x:v>
      </x:c>
      <x:c r="G174" s="23" t="n">
        <x:f>ROUND(F174-F173,1)</x:f>
        <x:v>-53</x:v>
      </x:c>
      <x:c r="H174" s="24" t="n">
        <x:f>IFERROR(F174/F173-1,"")</x:f>
        <x:v>-0.007096756915990432</x:v>
      </x:c>
      <x:c r="I174" s="26" t="n">
        <x:f>ROUND(D174-E174,1)</x:f>
        <x:v>455.2</x:v>
      </x:c>
      <x:c r="J174" s="22" t="str">
        <x:v>IM2609</x:v>
      </x:c>
      <x:c r="K174" s="22" t="n">
        <x:v>5</x:v>
      </x:c>
    </x:row>
    <x:row r="175">
      <x:c r="A175" s="22" t="n">
        <x:v>36</x:v>
      </x:c>
      <x:c r="B175" s="22" t="str">
        <x:v>9月14日-9月18日</x:v>
      </x:c>
      <x:c r="C175" s="23" t="n">
        <x:v>7312</x:v>
      </x:c>
      <x:c r="D175" s="23" t="n">
        <x:v>7712.4</x:v>
      </x:c>
      <x:c r="E175" s="23" t="n">
        <x:v>7283.4</x:v>
      </x:c>
      <x:c r="F175" s="23" t="n">
        <x:v>7679.2</x:v>
      </x:c>
      <x:c r="G175" s="28" t="n">
        <x:f>ROUND(F175-F174,1)</x:f>
        <x:v>264</x:v>
      </x:c>
      <x:c r="H175" s="24" t="n">
        <x:f>IFERROR(F175/F174-1,"")</x:f>
        <x:v>0.03560254612148017</x:v>
      </x:c>
      <x:c r="I175" s="26" t="n">
        <x:f>ROUND(D175-E175,1)</x:f>
        <x:v>429</x:v>
      </x:c>
      <x:c r="J175" s="22" t="str">
        <x:v>IM2609</x:v>
      </x:c>
      <x:c r="K175" s="22" t="n">
        <x:v>5</x:v>
      </x:c>
    </x:row>
    <x:row r="176">
      <x:c r="A176" s="22" t="n">
        <x:v>37</x:v>
      </x:c>
      <x:c r="B176" s="22" t="str">
        <x:v>9月21日-9月24日</x:v>
      </x:c>
      <x:c r="C176" s="23" t="n">
        <x:v>7549</x:v>
      </x:c>
      <x:c r="D176" s="23" t="n">
        <x:v>7687</x:v>
      </x:c>
      <x:c r="E176" s="23" t="n">
        <x:v>7386</x:v>
      </x:c>
      <x:c r="F176" s="23" t="n">
        <x:v>7391</x:v>
      </x:c>
      <x:c r="G176" s="28" t="n">
        <x:f>ROUND(F176-F175,1)</x:f>
        <x:v>-288.2</x:v>
      </x:c>
      <x:c r="H176" s="24" t="n">
        <x:f>IFERROR(F176/F175-1,"")</x:f>
        <x:v>-0.03752995103656631</x:v>
      </x:c>
      <x:c r="I176" s="26" t="n">
        <x:f>ROUND(D176-E176,1)</x:f>
        <x:v>301</x:v>
      </x:c>
      <x:c r="J176" s="22" t="str">
        <x:v>IM2612</x:v>
      </x:c>
      <x:c r="K176" s="22" t="n">
        <x:v>4</x:v>
      </x:c>
    </x:row>
    <x:row r="177">
      <x:c r="A177" s="22" t="n">
        <x:v>38</x:v>
      </x:c>
      <x:c r="B177" s="22" t="str">
        <x:v>9月28日-9月30日</x:v>
      </x:c>
      <x:c r="C177" s="23" t="n">
        <x:v>7390</x:v>
      </x:c>
      <x:c r="D177" s="23" t="n">
        <x:v>7393</x:v>
      </x:c>
      <x:c r="E177" s="23" t="n">
        <x:v>7076.2</x:v>
      </x:c>
      <x:c r="F177" s="23" t="n">
        <x:v>7168.8</x:v>
      </x:c>
      <x:c r="G177" s="28" t="n">
        <x:f>ROUND(F177-F176,1)</x:f>
        <x:v>-222.2</x:v>
      </x:c>
      <x:c r="H177" s="24" t="n">
        <x:f>IFERROR(F177/F176-1,"")</x:f>
        <x:v>-0.030063590853740996</x:v>
      </x:c>
      <x:c r="I177" s="26" t="n">
        <x:f>ROUND(D177-E177,1)</x:f>
        <x:v>316.8</x:v>
      </x:c>
      <x:c r="J177" s="22" t="str">
        <x:v>IM2612</x:v>
      </x:c>
      <x:c r="K177" s="22" t="n">
        <x:v>3</x:v>
      </x:c>
    </x:row>
    <x:row r="178">
      <x:c r="A178" s="22" t="n">
        <x:v>39</x:v>
      </x:c>
      <x:c r="B178" s="22" t="str">
        <x:v>10月8日-10月9日</x:v>
      </x:c>
      <x:c r="C178" s="23" t="n">
        <x:v>7182.8</x:v>
      </x:c>
      <x:c r="D178" s="23" t="n">
        <x:v>7251.8</x:v>
      </x:c>
      <x:c r="E178" s="23" t="n">
        <x:v>6819.2</x:v>
      </x:c>
      <x:c r="F178" s="23" t="n">
        <x:v>7015.8</x:v>
      </x:c>
      <x:c r="G178" s="28" t="n">
        <x:f>ROUND(F178-F177,1)</x:f>
        <x:v>-153</x:v>
      </x:c>
      <x:c r="H178" s="24" t="n">
        <x:f>IFERROR(F178/F177-1,"")</x:f>
        <x:v>-0.021342484097756964</x:v>
      </x:c>
      <x:c r="I178" s="26" t="n">
        <x:f>ROUND(D178-E178,1)</x:f>
        <x:v>432.6</x:v>
      </x:c>
      <x:c r="J178" s="22" t="str">
        <x:v>IM2612</x:v>
      </x:c>
      <x:c r="K178" s="22" t="n">
        <x:v>2</x:v>
      </x:c>
    </x:row>
    <x:row r="179">
      <x:c r="A179" s="22" t="n">
        <x:v>40</x:v>
      </x:c>
      <x:c r="B179" s="22" t="str">
        <x:v>10月12日-10月16日</x:v>
      </x:c>
      <x:c r="C179" s="23" t="n">
        <x:v>7000</x:v>
      </x:c>
      <x:c r="D179" s="23" t="n">
        <x:v>7031.2</x:v>
      </x:c>
      <x:c r="E179" s="23" t="n">
        <x:v>6519.6</x:v>
      </x:c>
      <x:c r="F179" s="23" t="n">
        <x:v>6583.6</x:v>
      </x:c>
      <x:c r="G179" s="28" t="n">
        <x:f>ROUND(F179-F178,1)</x:f>
        <x:v>-432.2</x:v>
      </x:c>
      <x:c r="H179" s="24" t="n">
        <x:f>IFERROR(F179/F178-1,"")</x:f>
        <x:v>-0.06160380854642378</x:v>
      </x:c>
      <x:c r="I179" s="26" t="n">
        <x:f>ROUND(D179-E179,1)</x:f>
        <x:v>511.6</x:v>
      </x:c>
      <x:c r="J179" s="22" t="str">
        <x:v>IM2612</x:v>
      </x:c>
      <x:c r="K179" s="22" t="n">
        <x:v>5</x:v>
      </x:c>
    </x:row>
    <x:row r="180">
      <x:c r="A180" s="31" t="str">
        <x:v>合计</x:v>
      </x:c>
      <x:c r="B180" s="30" t="n">
        <x:v>40</x:v>
      </x:c>
      <x:c r="C180" s="30"/>
      <x:c r="D180" s="30"/>
      <x:c r="E180" s="30"/>
      <x:c r="F180" s="30"/>
      <x:c r="G180" s="30"/>
      <x:c r="H180" s="30"/>
      <x:c r="I180" s="32" t="n">
        <x:f>ROUND(SUM(I140:I179),1)</x:f>
        <x:v>17274.8</x:v>
      </x:c>
      <x:c r="J180" s="30"/>
      <x:c r="K180" s="30"/>
    </x:row>
    <x:row r="181">
      <x:c r="A181" s="31" t="str">
        <x:v>均值</x:v>
      </x:c>
      <x:c r="B181" s="30"/>
      <x:c r="C181" s="30"/>
      <x:c r="D181" s="30"/>
      <x:c r="E181" s="30"/>
      <x:c r="F181" s="30"/>
      <x:c r="G181" s="30"/>
      <x:c r="H181" s="30"/>
      <x:c r="I181" s="34" t="n">
        <x:f>ROUND(IFERROR(AVERAGE(I140:I179),0),1)</x:f>
        <x:v>431.9</x:v>
      </x:c>
      <x:c r="J181" s="30"/>
      <x:c r="K181" s="30"/>
    </x:row>
    <x:row r="183">
      <x:c r="A183" s="17" t="str">
        <x:v>IC主力</x:v>
      </x:c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</x:row>
    <x:row r="184">
      <x:c r="A184" s="20" t="str">
        <x:v>序号</x:v>
      </x:c>
      <x:c r="B184" s="20" t="str">
        <x:v>周期</x:v>
      </x:c>
      <x:c r="C184" s="20" t="str">
        <x:v>开盘</x:v>
      </x:c>
      <x:c r="D184" s="20" t="str">
        <x:v>高点</x:v>
      </x:c>
      <x:c r="E184" s="20" t="str">
        <x:v>低点</x:v>
      </x:c>
      <x:c r="F184" s="20" t="str">
        <x:v>收盘</x:v>
      </x:c>
      <x:c r="G184" s="20" t="str">
        <x:v>涨跌点数</x:v>
      </x:c>
      <x:c r="H184" s="20" t="str">
        <x:v>涨幅</x:v>
      </x:c>
      <x:c r="I184" s="20" t="str">
        <x:v>振幅</x:v>
      </x:c>
      <x:c r="J184" s="20" t="str">
        <x:v>标的</x:v>
      </x:c>
      <x:c r="K184" s="20" t="str">
        <x:v>交易日</x:v>
      </x:c>
    </x:row>
    <x:row r="185">
      <x:c r="A185" s="22" t="n">
        <x:v>1</x:v>
      </x:c>
      <x:c r="B185" s="22" t="str">
        <x:v>1月5日-1月9日</x:v>
      </x:c>
      <x:c r="C185" s="23" t="n">
        <x:v>7424.4</x:v>
      </x:c>
      <x:c r="D185" s="23" t="n">
        <x:v>8037.8</x:v>
      </x:c>
      <x:c r="E185" s="23" t="n">
        <x:v>7422</x:v>
      </x:c>
      <x:c r="F185" s="23" t="n">
        <x:v>8037.8</x:v>
      </x:c>
      <x:c r="G185" s="23"/>
      <x:c r="H185" s="24"/>
      <x:c r="I185" s="26" t="n">
        <x:f>ROUND(D185-E185,1)</x:f>
        <x:v>615.8</x:v>
      </x:c>
      <x:c r="J185" s="22" t="str">
        <x:v>IC2603</x:v>
      </x:c>
      <x:c r="K185" s="22" t="n">
        <x:v>5</x:v>
      </x:c>
    </x:row>
    <x:row r="186">
      <x:c r="A186" s="22" t="n">
        <x:v>2</x:v>
      </x:c>
      <x:c r="B186" s="22" t="str">
        <x:v>1月12日-1月16日</x:v>
      </x:c>
      <x:c r="C186" s="23" t="n">
        <x:v>8099</x:v>
      </x:c>
      <x:c r="D186" s="23" t="n">
        <x:v>8388.6</x:v>
      </x:c>
      <x:c r="E186" s="23" t="n">
        <x:v>8044</x:v>
      </x:c>
      <x:c r="F186" s="23" t="n">
        <x:v>8210.4</x:v>
      </x:c>
      <x:c r="G186" s="28" t="n">
        <x:f>ROUND(F186-F185,1)</x:f>
        <x:v>172.6</x:v>
      </x:c>
      <x:c r="H186" s="24" t="n">
        <x:f>IFERROR(F186/F185-1,"")</x:f>
        <x:v>0.02147353753514647</x:v>
      </x:c>
      <x:c r="I186" s="26" t="n">
        <x:f>ROUND(D186-E186,1)</x:f>
        <x:v>344.6</x:v>
      </x:c>
      <x:c r="J186" s="22" t="str">
        <x:v>IC2603</x:v>
      </x:c>
      <x:c r="K186" s="22" t="n">
        <x:v>5</x:v>
      </x:c>
    </x:row>
    <x:row r="187">
      <x:c r="A187" s="22" t="n">
        <x:v>3</x:v>
      </x:c>
      <x:c r="B187" s="22" t="str">
        <x:v>1月19日-1月23日</x:v>
      </x:c>
      <x:c r="C187" s="23" t="n">
        <x:v>8182.6</x:v>
      </x:c>
      <x:c r="D187" s="23" t="n">
        <x:v>8660</x:v>
      </x:c>
      <x:c r="E187" s="23" t="n">
        <x:v>8112</x:v>
      </x:c>
      <x:c r="F187" s="23" t="n">
        <x:v>8658.2</x:v>
      </x:c>
      <x:c r="G187" s="28" t="n">
        <x:f>ROUND(F187-F186,1)</x:f>
        <x:v>447.8</x:v>
      </x:c>
      <x:c r="H187" s="24" t="n">
        <x:f>IFERROR(F187/F186-1,"")</x:f>
        <x:v>0.05454058267563111</x:v>
      </x:c>
      <x:c r="I187" s="26" t="n">
        <x:f>ROUND(D187-E187,1)</x:f>
        <x:v>548</x:v>
      </x:c>
      <x:c r="J187" s="22" t="str">
        <x:v>IC2603</x:v>
      </x:c>
      <x:c r="K187" s="22" t="n">
        <x:v>5</x:v>
      </x:c>
    </x:row>
    <x:row r="188">
      <x:c r="A188" s="22" t="n">
        <x:v>4</x:v>
      </x:c>
      <x:c r="B188" s="22" t="str">
        <x:v>1月26日-1月30日</x:v>
      </x:c>
      <x:c r="C188" s="23" t="n">
        <x:v>8695</x:v>
      </x:c>
      <x:c r="D188" s="23" t="n">
        <x:v>8728.2</x:v>
      </x:c>
      <x:c r="E188" s="23" t="n">
        <x:v>8135</x:v>
      </x:c>
      <x:c r="F188" s="23" t="n">
        <x:v>8362.4</x:v>
      </x:c>
      <x:c r="G188" s="28" t="n">
        <x:f>ROUND(F188-F187,1)</x:f>
        <x:v>-295.8</x:v>
      </x:c>
      <x:c r="H188" s="24" t="n">
        <x:f>IFERROR(F188/F187-1,"")</x:f>
        <x:v>-0.03416414497239628</x:v>
      </x:c>
      <x:c r="I188" s="26" t="n">
        <x:f>ROUND(D188-E188,1)</x:f>
        <x:v>593.2</x:v>
      </x:c>
      <x:c r="J188" s="22" t="str">
        <x:v>IC2603</x:v>
      </x:c>
      <x:c r="K188" s="22" t="n">
        <x:v>5</x:v>
      </x:c>
    </x:row>
    <x:row r="189">
      <x:c r="A189" s="22" t="n">
        <x:v>5</x:v>
      </x:c>
      <x:c r="B189" s="22" t="str">
        <x:v>2月2日-2月6日</x:v>
      </x:c>
      <x:c r="C189" s="23" t="n">
        <x:v>8262.2</x:v>
      </x:c>
      <x:c r="D189" s="23" t="n">
        <x:v>8334.4</x:v>
      </x:c>
      <x:c r="E189" s="23" t="n">
        <x:v>7832</x:v>
      </x:c>
      <x:c r="F189" s="23" t="n">
        <x:v>8117.4</x:v>
      </x:c>
      <x:c r="G189" s="28" t="n">
        <x:f>ROUND(F189-F188,1)</x:f>
        <x:v>-245</x:v>
      </x:c>
      <x:c r="H189" s="24" t="n">
        <x:f>IFERROR(F189/F188-1,"")</x:f>
        <x:v>-0.029297809241366157</x:v>
      </x:c>
      <x:c r="I189" s="26" t="n">
        <x:f>ROUND(D189-E189,1)</x:f>
        <x:v>502.4</x:v>
      </x:c>
      <x:c r="J189" s="22" t="str">
        <x:v>IC2603</x:v>
      </x:c>
      <x:c r="K189" s="22" t="n">
        <x:v>5</x:v>
      </x:c>
    </x:row>
    <x:row r="190">
      <x:c r="A190" s="22" t="n">
        <x:v>6</x:v>
      </x:c>
      <x:c r="B190" s="22" t="str">
        <x:v>2月9日-2月13日</x:v>
      </x:c>
      <x:c r="C190" s="23" t="n">
        <x:v>8260</x:v>
      </x:c>
      <x:c r="D190" s="23" t="n">
        <x:v>8458.8</x:v>
      </x:c>
      <x:c r="E190" s="23" t="n">
        <x:v>8220</x:v>
      </x:c>
      <x:c r="F190" s="23" t="n">
        <x:v>8274.8</x:v>
      </x:c>
      <x:c r="G190" s="28" t="n">
        <x:f>ROUND(F190-F189,1)</x:f>
        <x:v>157.4</x:v>
      </x:c>
      <x:c r="H190" s="24" t="n">
        <x:f>IFERROR(F190/F189-1,"")</x:f>
        <x:v>0.019390445216448615</x:v>
      </x:c>
      <x:c r="I190" s="26" t="n">
        <x:f>ROUND(D190-E190,1)</x:f>
        <x:v>238.8</x:v>
      </x:c>
      <x:c r="J190" s="22" t="str">
        <x:v>IC2603</x:v>
      </x:c>
      <x:c r="K190" s="22" t="n">
        <x:v>5</x:v>
      </x:c>
    </x:row>
    <x:row r="191">
      <x:c r="A191" s="22" t="n">
        <x:v>7</x:v>
      </x:c>
      <x:c r="B191" s="22" t="str">
        <x:v>2月24日-2月27日</x:v>
      </x:c>
      <x:c r="C191" s="23" t="n">
        <x:v>8360</x:v>
      </x:c>
      <x:c r="D191" s="23" t="n">
        <x:v>8650</x:v>
      </x:c>
      <x:c r="E191" s="23" t="n">
        <x:v>8314</x:v>
      </x:c>
      <x:c r="F191" s="23" t="n">
        <x:v>8645.4</x:v>
      </x:c>
      <x:c r="G191" s="28" t="n">
        <x:f>ROUND(F191-F190,1)</x:f>
        <x:v>370.6</x:v>
      </x:c>
      <x:c r="H191" s="24" t="n">
        <x:f>IFERROR(F191/F190-1,"")</x:f>
        <x:v>0.04478658094455468</x:v>
      </x:c>
      <x:c r="I191" s="26" t="n">
        <x:f>ROUND(D191-E191,1)</x:f>
        <x:v>336</x:v>
      </x:c>
      <x:c r="J191" s="22" t="str">
        <x:v>IC2603</x:v>
      </x:c>
      <x:c r="K191" s="22" t="n">
        <x:v>4</x:v>
      </x:c>
    </x:row>
    <x:row r="192">
      <x:c r="A192" s="22" t="n">
        <x:v>8</x:v>
      </x:c>
      <x:c r="B192" s="22" t="str">
        <x:v>3月2日-3月6日</x:v>
      </x:c>
      <x:c r="C192" s="23" t="n">
        <x:v>8600</x:v>
      </x:c>
      <x:c r="D192" s="23" t="n">
        <x:v>8686</x:v>
      </x:c>
      <x:c r="E192" s="23" t="n">
        <x:v>8180.6</x:v>
      </x:c>
      <x:c r="F192" s="23" t="n">
        <x:v>8322.6</x:v>
      </x:c>
      <x:c r="G192" s="28" t="n">
        <x:f>ROUND(F192-F191,1)</x:f>
        <x:v>-322.8</x:v>
      </x:c>
      <x:c r="H192" s="24" t="n">
        <x:f>IFERROR(F192/F191-1,"")</x:f>
        <x:v>-0.03733777500173496</x:v>
      </x:c>
      <x:c r="I192" s="26" t="n">
        <x:f>ROUND(D192-E192,1)</x:f>
        <x:v>505.4</x:v>
      </x:c>
      <x:c r="J192" s="22" t="str">
        <x:v>IC2603</x:v>
      </x:c>
      <x:c r="K192" s="22" t="n">
        <x:v>5</x:v>
      </x:c>
    </x:row>
    <x:row r="193">
      <x:c r="A193" s="22" t="n">
        <x:v>9</x:v>
      </x:c>
      <x:c r="B193" s="22" t="str">
        <x:v>3月9日-3月13日</x:v>
      </x:c>
      <x:c r="C193" s="23" t="n">
        <x:v>8201.8</x:v>
      </x:c>
      <x:c r="D193" s="23" t="n">
        <x:v>8434.4</x:v>
      </x:c>
      <x:c r="E193" s="23" t="n">
        <x:v>7710</x:v>
      </x:c>
      <x:c r="F193" s="23" t="n">
        <x:v>8213.8</x:v>
      </x:c>
      <x:c r="G193" s="23" t="n">
        <x:f>ROUND(F193-F192,1)</x:f>
        <x:v>-108.8</x:v>
      </x:c>
      <x:c r="H193" s="24" t="n">
        <x:f>IFERROR(F193/F192-1,"")</x:f>
        <x:v>-0.013072837815106042</x:v>
      </x:c>
      <x:c r="I193" s="26" t="n">
        <x:f>ROUND(D193-E193,1)</x:f>
        <x:v>724.4</x:v>
      </x:c>
      <x:c r="J193" s="22" t="str">
        <x:v>IC2603</x:v>
      </x:c>
      <x:c r="K193" s="22" t="n">
        <x:v>5</x:v>
      </x:c>
    </x:row>
    <x:row r="194">
      <x:c r="A194" s="22" t="n">
        <x:v>10</x:v>
      </x:c>
      <x:c r="B194" s="22" t="str">
        <x:v>3月16日-3月20日</x:v>
      </x:c>
      <x:c r="C194" s="23" t="n">
        <x:v>8225.2</x:v>
      </x:c>
      <x:c r="D194" s="23" t="n">
        <x:v>8229.6</x:v>
      </x:c>
      <x:c r="E194" s="23" t="n">
        <x:v>7827.8</x:v>
      </x:c>
      <x:c r="F194" s="23" t="n">
        <x:v>7844.4</x:v>
      </x:c>
      <x:c r="G194" s="28" t="n">
        <x:f>ROUND(F194-F193,1)</x:f>
        <x:v>-369.4</x:v>
      </x:c>
      <x:c r="H194" s="24" t="n">
        <x:f>IFERROR(F194/F193-1,"")</x:f>
        <x:v>-0.04497309406121397</x:v>
      </x:c>
      <x:c r="I194" s="26" t="n">
        <x:f>ROUND(D194-E194,1)</x:f>
        <x:v>401.8</x:v>
      </x:c>
      <x:c r="J194" s="22" t="str">
        <x:v>IC2603</x:v>
      </x:c>
      <x:c r="K194" s="22" t="n">
        <x:v>5</x:v>
      </x:c>
    </x:row>
    <x:row r="195">
      <x:c r="A195" s="22" t="n">
        <x:v>11</x:v>
      </x:c>
      <x:c r="B195" s="22" t="str">
        <x:v>3月23日-3月27日</x:v>
      </x:c>
      <x:c r="C195" s="23" t="n">
        <x:v>7460</x:v>
      </x:c>
      <x:c r="D195" s="23" t="n">
        <x:v>7652</x:v>
      </x:c>
      <x:c r="E195" s="23" t="n">
        <x:v>7171</x:v>
      </x:c>
      <x:c r="F195" s="23" t="n">
        <x:v>7559.2</x:v>
      </x:c>
      <x:c r="G195" s="28" t="n">
        <x:f>ROUND(F195-F194,1)</x:f>
        <x:v>-285.2</x:v>
      </x:c>
      <x:c r="H195" s="24" t="n">
        <x:f>IFERROR(F195/F194-1,"")</x:f>
        <x:v>-0.03635714649941357</x:v>
      </x:c>
      <x:c r="I195" s="26" t="n">
        <x:f>ROUND(D195-E195,1)</x:f>
        <x:v>481</x:v>
      </x:c>
      <x:c r="J195" s="22" t="str">
        <x:v>IC2606</x:v>
      </x:c>
      <x:c r="K195" s="22" t="n">
        <x:v>5</x:v>
      </x:c>
    </x:row>
    <x:row r="196">
      <x:c r="A196" s="22" t="n">
        <x:v>12</x:v>
      </x:c>
      <x:c r="B196" s="22" t="str">
        <x:v>3月30日-4月3日</x:v>
      </x:c>
      <x:c r="C196" s="23" t="n">
        <x:v>7470.8</x:v>
      </x:c>
      <x:c r="D196" s="23" t="n">
        <x:v>7619</x:v>
      </x:c>
      <x:c r="E196" s="23" t="n">
        <x:v>7325.2</x:v>
      </x:c>
      <x:c r="F196" s="23" t="n">
        <x:v>7352</x:v>
      </x:c>
      <x:c r="G196" s="28" t="n">
        <x:f>ROUND(F196-F195,1)</x:f>
        <x:v>-207.2</x:v>
      </x:c>
      <x:c r="H196" s="24" t="n">
        <x:f>IFERROR(F196/F195-1,"")</x:f>
        <x:v>-0.02741030796909727</x:v>
      </x:c>
      <x:c r="I196" s="26" t="n">
        <x:f>ROUND(D196-E196,1)</x:f>
        <x:v>293.8</x:v>
      </x:c>
      <x:c r="J196" s="22" t="str">
        <x:v>IC2606</x:v>
      </x:c>
      <x:c r="K196" s="22" t="n">
        <x:v>5</x:v>
      </x:c>
    </x:row>
    <x:row r="197">
      <x:c r="A197" s="22" t="n">
        <x:v>13</x:v>
      </x:c>
      <x:c r="B197" s="22" t="str">
        <x:v>4月7日-4月10日</x:v>
      </x:c>
      <x:c r="C197" s="23" t="n">
        <x:v>7380</x:v>
      </x:c>
      <x:c r="D197" s="23" t="n">
        <x:v>7945.4</x:v>
      </x:c>
      <x:c r="E197" s="23" t="n">
        <x:v>7355.6</x:v>
      </x:c>
      <x:c r="F197" s="23" t="n">
        <x:v>7828.6</x:v>
      </x:c>
      <x:c r="G197" s="28" t="n">
        <x:f>ROUND(F197-F196,1)</x:f>
        <x:v>476.6</x:v>
      </x:c>
      <x:c r="H197" s="24" t="n">
        <x:f>IFERROR(F197/F196-1,"")</x:f>
        <x:v>0.06482589771490765</x:v>
      </x:c>
      <x:c r="I197" s="26" t="n">
        <x:f>ROUND(D197-E197,1)</x:f>
        <x:v>589.8</x:v>
      </x:c>
      <x:c r="J197" s="22" t="str">
        <x:v>IC2606</x:v>
      </x:c>
      <x:c r="K197" s="22" t="n">
        <x:v>4</x:v>
      </x:c>
    </x:row>
    <x:row r="198">
      <x:c r="A198" s="22" t="n">
        <x:v>14</x:v>
      </x:c>
      <x:c r="B198" s="22" t="str">
        <x:v>4月13日-4月17日</x:v>
      </x:c>
      <x:c r="C198" s="23" t="n">
        <x:v>7792</x:v>
      </x:c>
      <x:c r="D198" s="23" t="n">
        <x:v>8119.6</x:v>
      </x:c>
      <x:c r="E198" s="23" t="n">
        <x:v>7792</x:v>
      </x:c>
      <x:c r="F198" s="23" t="n">
        <x:v>8098.8</x:v>
      </x:c>
      <x:c r="G198" s="28" t="n">
        <x:f>ROUND(F198-F197,1)</x:f>
        <x:v>270.2</x:v>
      </x:c>
      <x:c r="H198" s="24" t="n">
        <x:f>IFERROR(F198/F197-1,"")</x:f>
        <x:v>0.034514472574917576</x:v>
      </x:c>
      <x:c r="I198" s="26" t="n">
        <x:f>ROUND(D198-E198,1)</x:f>
        <x:v>327.6</x:v>
      </x:c>
      <x:c r="J198" s="22" t="str">
        <x:v>IC2606</x:v>
      </x:c>
      <x:c r="K198" s="22" t="n">
        <x:v>5</x:v>
      </x:c>
    </x:row>
    <x:row r="199">
      <x:c r="A199" s="22" t="n">
        <x:v>15</x:v>
      </x:c>
      <x:c r="B199" s="22" t="str">
        <x:v>4月20日-4月24日</x:v>
      </x:c>
      <x:c r="C199" s="23" t="n">
        <x:v>8076.4</x:v>
      </x:c>
      <x:c r="D199" s="23" t="n">
        <x:v>8288.2</x:v>
      </x:c>
      <x:c r="E199" s="23" t="n">
        <x:v>8042</x:v>
      </x:c>
      <x:c r="F199" s="23" t="n">
        <x:v>8132.8</x:v>
      </x:c>
      <x:c r="G199" s="23" t="n">
        <x:f>ROUND(F199-F198,1)</x:f>
        <x:v>34</x:v>
      </x:c>
      <x:c r="H199" s="24" t="n">
        <x:f>IFERROR(F199/F198-1,"")</x:f>
        <x:v>0.004198152812762368</x:v>
      </x:c>
      <x:c r="I199" s="26" t="n">
        <x:f>ROUND(D199-E199,1)</x:f>
        <x:v>246.2</x:v>
      </x:c>
      <x:c r="J199" s="22" t="str">
        <x:v>IC2606</x:v>
      </x:c>
      <x:c r="K199" s="22" t="n">
        <x:v>5</x:v>
      </x:c>
    </x:row>
    <x:row r="200">
      <x:c r="A200" s="22" t="n">
        <x:v>16</x:v>
      </x:c>
      <x:c r="B200" s="22" t="str">
        <x:v>4月27日-4月30日</x:v>
      </x:c>
      <x:c r="C200" s="23" t="n">
        <x:v>8145.2</x:v>
      </x:c>
      <x:c r="D200" s="23" t="n">
        <x:v>8287.8</x:v>
      </x:c>
      <x:c r="E200" s="23" t="n">
        <x:v>8056.2</x:v>
      </x:c>
      <x:c r="F200" s="23" t="n">
        <x:v>8270</x:v>
      </x:c>
      <x:c r="G200" s="23" t="n">
        <x:f>ROUND(F200-F199,1)</x:f>
        <x:v>137.2</x:v>
      </x:c>
      <x:c r="H200" s="24" t="n">
        <x:f>IFERROR(F200/F199-1,"")</x:f>
        <x:v>0.016869958685815423</x:v>
      </x:c>
      <x:c r="I200" s="26" t="n">
        <x:f>ROUND(D200-E200,1)</x:f>
        <x:v>231.6</x:v>
      </x:c>
      <x:c r="J200" s="22" t="str">
        <x:v>IC2606</x:v>
      </x:c>
      <x:c r="K200" s="22" t="n">
        <x:v>4</x:v>
      </x:c>
    </x:row>
    <x:row r="201">
      <x:c r="A201" s="22" t="n">
        <x:v>17</x:v>
      </x:c>
      <x:c r="B201" s="22" t="str">
        <x:v>5月6日-5月8日</x:v>
      </x:c>
      <x:c r="C201" s="23" t="n">
        <x:v>8377.6</x:v>
      </x:c>
      <x:c r="D201" s="23" t="n">
        <x:v>8648</x:v>
      </x:c>
      <x:c r="E201" s="23" t="n">
        <x:v>8375.4</x:v>
      </x:c>
      <x:c r="F201" s="23" t="n">
        <x:v>8620.8</x:v>
      </x:c>
      <x:c r="G201" s="28" t="n">
        <x:f>ROUND(F201-F200,1)</x:f>
        <x:v>350.8</x:v>
      </x:c>
      <x:c r="H201" s="24" t="n">
        <x:f>IFERROR(F201/F200-1,"")</x:f>
        <x:v>0.042418379685610574</x:v>
      </x:c>
      <x:c r="I201" s="26" t="n">
        <x:f>ROUND(D201-E201,1)</x:f>
        <x:v>272.6</x:v>
      </x:c>
      <x:c r="J201" s="22" t="str">
        <x:v>IC2606</x:v>
      </x:c>
      <x:c r="K201" s="22" t="n">
        <x:v>3</x:v>
      </x:c>
    </x:row>
    <x:row r="202">
      <x:c r="A202" s="22" t="n">
        <x:v>18</x:v>
      </x:c>
      <x:c r="B202" s="22" t="str">
        <x:v>5月11日-5月15日</x:v>
      </x:c>
      <x:c r="C202" s="23" t="n">
        <x:v>8691</x:v>
      </x:c>
      <x:c r="D202" s="23" t="n">
        <x:v>8886.8</x:v>
      </x:c>
      <x:c r="E202" s="23" t="n">
        <x:v>8378.2</x:v>
      </x:c>
      <x:c r="F202" s="23" t="n">
        <x:v>8448.8</x:v>
      </x:c>
      <x:c r="G202" s="28" t="n">
        <x:f>ROUND(F202-F201,1)</x:f>
        <x:v>-172</x:v>
      </x:c>
      <x:c r="H202" s="24" t="n">
        <x:f>IFERROR(F202/F201-1,"")</x:f>
        <x:v>-0.01995174461766891</x:v>
      </x:c>
      <x:c r="I202" s="26" t="n">
        <x:f>ROUND(D202-E202,1)</x:f>
        <x:v>508.6</x:v>
      </x:c>
      <x:c r="J202" s="22" t="str">
        <x:v>IC2606</x:v>
      </x:c>
      <x:c r="K202" s="22" t="n">
        <x:v>5</x:v>
      </x:c>
    </x:row>
    <x:row r="203">
      <x:c r="A203" s="22" t="n">
        <x:v>19</x:v>
      </x:c>
      <x:c r="B203" s="22" t="str">
        <x:v>5月18日-5月22日</x:v>
      </x:c>
      <x:c r="C203" s="23" t="n">
        <x:v>8418.4</x:v>
      </x:c>
      <x:c r="D203" s="23" t="n">
        <x:v>8728</x:v>
      </x:c>
      <x:c r="E203" s="23" t="n">
        <x:v>8310</x:v>
      </x:c>
      <x:c r="F203" s="23" t="n">
        <x:v>8469.2</x:v>
      </x:c>
      <x:c r="G203" s="23" t="n">
        <x:f>ROUND(F203-F202,1)</x:f>
        <x:v>20.4</x:v>
      </x:c>
      <x:c r="H203" s="24" t="n">
        <x:f>IFERROR(F203/F202-1,"")</x:f>
        <x:v>0.0024145440772656013</x:v>
      </x:c>
      <x:c r="I203" s="26" t="n">
        <x:f>ROUND(D203-E203,1)</x:f>
        <x:v>418</x:v>
      </x:c>
      <x:c r="J203" s="22" t="str">
        <x:v>IC2606</x:v>
      </x:c>
      <x:c r="K203" s="22" t="n">
        <x:v>5</x:v>
      </x:c>
    </x:row>
    <x:row r="204">
      <x:c r="A204" s="22" t="n">
        <x:v>20</x:v>
      </x:c>
      <x:c r="B204" s="22" t="str">
        <x:v>5月25日-5月29日</x:v>
      </x:c>
      <x:c r="C204" s="23" t="n">
        <x:v>8543</x:v>
      </x:c>
      <x:c r="D204" s="23" t="n">
        <x:v>8658.2</x:v>
      </x:c>
      <x:c r="E204" s="23" t="n">
        <x:v>8218.2</x:v>
      </x:c>
      <x:c r="F204" s="23" t="n">
        <x:v>8274.6</x:v>
      </x:c>
      <x:c r="G204" s="28" t="n">
        <x:f>ROUND(F204-F203,1)</x:f>
        <x:v>-194.6</x:v>
      </x:c>
      <x:c r="H204" s="24" t="n">
        <x:f>IFERROR(F204/F203-1,"")</x:f>
        <x:v>-0.022977376847872377</x:v>
      </x:c>
      <x:c r="I204" s="26" t="n">
        <x:f>ROUND(D204-E204,1)</x:f>
        <x:v>440</x:v>
      </x:c>
      <x:c r="J204" s="22" t="str">
        <x:v>IC2606</x:v>
      </x:c>
      <x:c r="K204" s="22" t="n">
        <x:v>5</x:v>
      </x:c>
    </x:row>
    <x:row r="205">
      <x:c r="A205" s="22" t="n">
        <x:v>21</x:v>
      </x:c>
      <x:c r="B205" s="22" t="str">
        <x:v>6月1日-6月5日</x:v>
      </x:c>
      <x:c r="C205" s="23" t="n">
        <x:v>8298</x:v>
      </x:c>
      <x:c r="D205" s="23" t="n">
        <x:v>8425</x:v>
      </x:c>
      <x:c r="E205" s="23" t="n">
        <x:v>8101.6</x:v>
      </x:c>
      <x:c r="F205" s="23" t="n">
        <x:v>8190.6</x:v>
      </x:c>
      <x:c r="G205" s="23" t="n">
        <x:f>ROUND(F205-F204,1)</x:f>
        <x:v>-84</x:v>
      </x:c>
      <x:c r="H205" s="24" t="n">
        <x:f>IFERROR(F205/F204-1,"")</x:f>
        <x:v>-0.010151548111086983</x:v>
      </x:c>
      <x:c r="I205" s="26" t="n">
        <x:f>ROUND(D205-E205,1)</x:f>
        <x:v>323.4</x:v>
      </x:c>
      <x:c r="J205" s="22" t="str">
        <x:v>IC2606</x:v>
      </x:c>
      <x:c r="K205" s="22" t="n">
        <x:v>5</x:v>
      </x:c>
    </x:row>
    <x:row r="206">
      <x:c r="A206" s="22" t="n">
        <x:v>22</x:v>
      </x:c>
      <x:c r="B206" s="22" t="str">
        <x:v>6月8日-6月12日</x:v>
      </x:c>
      <x:c r="C206" s="23" t="n">
        <x:v>8050</x:v>
      </x:c>
      <x:c r="D206" s="23" t="n">
        <x:v>8237.6</x:v>
      </x:c>
      <x:c r="E206" s="23" t="n">
        <x:v>7838</x:v>
      </x:c>
      <x:c r="F206" s="23" t="n">
        <x:v>8117.2</x:v>
      </x:c>
      <x:c r="G206" s="23" t="n">
        <x:f>ROUND(F206-F205,1)</x:f>
        <x:v>-73.4</x:v>
      </x:c>
      <x:c r="H206" s="24" t="n">
        <x:f>IFERROR(F206/F205-1,"")</x:f>
        <x:v>-0.008961492442556174</x:v>
      </x:c>
      <x:c r="I206" s="26" t="n">
        <x:f>ROUND(D206-E206,1)</x:f>
        <x:v>399.6</x:v>
      </x:c>
      <x:c r="J206" s="22" t="str">
        <x:v>IC2606</x:v>
      </x:c>
      <x:c r="K206" s="22" t="n">
        <x:v>5</x:v>
      </x:c>
    </x:row>
    <x:row r="207">
      <x:c r="A207" s="22" t="n">
        <x:v>23</x:v>
      </x:c>
      <x:c r="B207" s="22" t="str">
        <x:v>6月15日-6月18日</x:v>
      </x:c>
      <x:c r="C207" s="23" t="n">
        <x:v>8181.2</x:v>
      </x:c>
      <x:c r="D207" s="23" t="n">
        <x:v>8718</x:v>
      </x:c>
      <x:c r="E207" s="23" t="n">
        <x:v>8181.2</x:v>
      </x:c>
      <x:c r="F207" s="23" t="n">
        <x:v>8682.8</x:v>
      </x:c>
      <x:c r="G207" s="28" t="n">
        <x:f>ROUND(F207-F206,1)</x:f>
        <x:v>565.6</x:v>
      </x:c>
      <x:c r="H207" s="24" t="n">
        <x:f>IFERROR(F207/F206-1,"")</x:f>
        <x:v>0.06967919972404268</x:v>
      </x:c>
      <x:c r="I207" s="26" t="n">
        <x:f>ROUND(D207-E207,1)</x:f>
        <x:v>536.8</x:v>
      </x:c>
      <x:c r="J207" s="22" t="str">
        <x:v>IC2606</x:v>
      </x:c>
      <x:c r="K207" s="22" t="n">
        <x:v>4</x:v>
      </x:c>
    </x:row>
    <x:row r="208">
      <x:c r="A208" s="22" t="n">
        <x:v>24</x:v>
      </x:c>
      <x:c r="B208" s="22" t="str">
        <x:v>6月22日-6月26日</x:v>
      </x:c>
      <x:c r="C208" s="23" t="n">
        <x:v>8692.8</x:v>
      </x:c>
      <x:c r="D208" s="23" t="n">
        <x:v>8778.8</x:v>
      </x:c>
      <x:c r="E208" s="23" t="n">
        <x:v>8377</x:v>
      </x:c>
      <x:c r="F208" s="23" t="n">
        <x:v>8447</x:v>
      </x:c>
      <x:c r="G208" s="28" t="n">
        <x:f>ROUND(F208-F207,1)</x:f>
        <x:v>-235.8</x:v>
      </x:c>
      <x:c r="H208" s="24" t="n">
        <x:f>IFERROR(F208/F207-1,"")</x:f>
        <x:v>-0.027157138250333945</x:v>
      </x:c>
      <x:c r="I208" s="26" t="n">
        <x:f>ROUND(D208-E208,1)</x:f>
        <x:v>401.8</x:v>
      </x:c>
      <x:c r="J208" s="22" t="str">
        <x:v>IC2606/IC2609</x:v>
      </x:c>
      <x:c r="K208" s="22" t="n">
        <x:v>5</x:v>
      </x:c>
    </x:row>
    <x:row r="209">
      <x:c r="A209" s="22" t="n">
        <x:v>25</x:v>
      </x:c>
      <x:c r="B209" s="22" t="str">
        <x:v>6月29日-7月3日</x:v>
      </x:c>
      <x:c r="C209" s="23" t="n">
        <x:v>8463.8</x:v>
      </x:c>
      <x:c r="D209" s="23" t="n">
        <x:v>8873.8</x:v>
      </x:c>
      <x:c r="E209" s="23" t="n">
        <x:v>8350.4</x:v>
      </x:c>
      <x:c r="F209" s="23" t="n">
        <x:v>8538</x:v>
      </x:c>
      <x:c r="G209" s="23" t="n">
        <x:f>ROUND(F209-F208,1)</x:f>
        <x:v>91</x:v>
      </x:c>
      <x:c r="H209" s="24" t="n">
        <x:f>IFERROR(F209/F208-1,"")</x:f>
        <x:v>0.010773055522670827</x:v>
      </x:c>
      <x:c r="I209" s="26" t="n">
        <x:f>ROUND(D209-E209,1)</x:f>
        <x:v>523.4</x:v>
      </x:c>
      <x:c r="J209" s="22" t="str">
        <x:v>IC2609</x:v>
      </x:c>
      <x:c r="K209" s="22" t="n">
        <x:v>5</x:v>
      </x:c>
    </x:row>
    <x:row r="210">
      <x:c r="A210" s="22" t="n">
        <x:v>26</x:v>
      </x:c>
      <x:c r="B210" s="22" t="str">
        <x:v>7月6日-7月10日</x:v>
      </x:c>
      <x:c r="C210" s="23" t="n">
        <x:v>8574.4</x:v>
      </x:c>
      <x:c r="D210" s="23" t="n">
        <x:v>8618</x:v>
      </x:c>
      <x:c r="E210" s="23" t="n">
        <x:v>8173</x:v>
      </x:c>
      <x:c r="F210" s="23" t="n">
        <x:v>8333</x:v>
      </x:c>
      <x:c r="G210" s="28" t="n">
        <x:f>ROUND(F210-F209,1)</x:f>
        <x:v>-205</x:v>
      </x:c>
      <x:c r="H210" s="24" t="n">
        <x:f>IFERROR(F210/F209-1,"")</x:f>
        <x:v>-0.024010306863434083</x:v>
      </x:c>
      <x:c r="I210" s="26" t="n">
        <x:f>ROUND(D210-E210,1)</x:f>
        <x:v>445</x:v>
      </x:c>
      <x:c r="J210" s="22" t="str">
        <x:v>IC2609</x:v>
      </x:c>
      <x:c r="K210" s="22" t="n">
        <x:v>5</x:v>
      </x:c>
    </x:row>
    <x:row r="211">
      <x:c r="A211" s="22" t="n">
        <x:v>27</x:v>
      </x:c>
      <x:c r="B211" s="22" t="str">
        <x:v>7月13日-7月17日</x:v>
      </x:c>
      <x:c r="C211" s="23" t="n">
        <x:v>8303</x:v>
      </x:c>
      <x:c r="D211" s="23" t="n">
        <x:v>8328</x:v>
      </x:c>
      <x:c r="E211" s="23" t="n">
        <x:v>7362.8</x:v>
      </x:c>
      <x:c r="F211" s="23" t="n">
        <x:v>7389</x:v>
      </x:c>
      <x:c r="G211" s="28" t="n">
        <x:f>ROUND(F211-F210,1)</x:f>
        <x:v>-944</x:v>
      </x:c>
      <x:c r="H211" s="24" t="n">
        <x:f>IFERROR(F211/F210-1,"")</x:f>
        <x:v>-0.11328453138125527</x:v>
      </x:c>
      <x:c r="I211" s="26" t="n">
        <x:f>ROUND(D211-E211,1)</x:f>
        <x:v>965.2</x:v>
      </x:c>
      <x:c r="J211" s="22" t="str">
        <x:v>IC2609</x:v>
      </x:c>
      <x:c r="K211" s="22" t="n">
        <x:v>5</x:v>
      </x:c>
    </x:row>
    <x:row r="212">
      <x:c r="A212" s="22" t="n">
        <x:v>28</x:v>
      </x:c>
      <x:c r="B212" s="22" t="str">
        <x:v>7月20日-7月24日</x:v>
      </x:c>
      <x:c r="C212" s="23" t="n">
        <x:v>7490</x:v>
      </x:c>
      <x:c r="D212" s="23" t="n">
        <x:v>7765.6</x:v>
      </x:c>
      <x:c r="E212" s="23" t="n">
        <x:v>7092</x:v>
      </x:c>
      <x:c r="F212" s="23" t="n">
        <x:v>7416</x:v>
      </x:c>
      <x:c r="G212" s="23" t="n">
        <x:f>ROUND(F212-F211,1)</x:f>
        <x:v>27</x:v>
      </x:c>
      <x:c r="H212" s="24" t="n">
        <x:f>IFERROR(F212/F211-1,"")</x:f>
        <x:v>0.0036540803897686658</x:v>
      </x:c>
      <x:c r="I212" s="26" t="n">
        <x:f>ROUND(D212-E212,1)</x:f>
        <x:v>673.6</x:v>
      </x:c>
      <x:c r="J212" s="22" t="str">
        <x:v>IC2609</x:v>
      </x:c>
      <x:c r="K212" s="22" t="n">
        <x:v>5</x:v>
      </x:c>
    </x:row>
    <x:row r="213">
      <x:c r="A213" s="22" t="n">
        <x:v>29</x:v>
      </x:c>
      <x:c r="B213" s="22" t="str">
        <x:v>7月27日-7月31日</x:v>
      </x:c>
      <x:c r="C213" s="23" t="n">
        <x:v>7447</x:v>
      </x:c>
      <x:c r="D213" s="23" t="n">
        <x:v>7666.6</x:v>
      </x:c>
      <x:c r="E213" s="23" t="n">
        <x:v>7106</x:v>
      </x:c>
      <x:c r="F213" s="23" t="n">
        <x:v>7395</x:v>
      </x:c>
      <x:c r="G213" s="23" t="n">
        <x:f>ROUND(F213-F212,1)</x:f>
        <x:v>-21</x:v>
      </x:c>
      <x:c r="H213" s="24" t="n">
        <x:f>IFERROR(F213/F212-1,"")</x:f>
        <x:v>-0.0028317152103559673</x:v>
      </x:c>
      <x:c r="I213" s="26" t="n">
        <x:f>ROUND(D213-E213,1)</x:f>
        <x:v>560.6</x:v>
      </x:c>
      <x:c r="J213" s="22" t="str">
        <x:v>IC2609</x:v>
      </x:c>
      <x:c r="K213" s="22" t="n">
        <x:v>5</x:v>
      </x:c>
    </x:row>
    <x:row r="214">
      <x:c r="A214" s="22" t="n">
        <x:v>30</x:v>
      </x:c>
      <x:c r="B214" s="22" t="str">
        <x:v>8月3日-8月7日</x:v>
      </x:c>
      <x:c r="C214" s="23" t="n">
        <x:v>7391</x:v>
      </x:c>
      <x:c r="D214" s="23" t="n">
        <x:v>7882.6</x:v>
      </x:c>
      <x:c r="E214" s="23" t="n">
        <x:v>7335</x:v>
      </x:c>
      <x:c r="F214" s="23" t="n">
        <x:v>7877.8</x:v>
      </x:c>
      <x:c r="G214" s="28" t="n">
        <x:f>ROUND(F214-F213,1)</x:f>
        <x:v>482.8</x:v>
      </x:c>
      <x:c r="H214" s="24" t="n">
        <x:f>IFERROR(F214/F213-1,"")</x:f>
        <x:v>0.06528735632183902</x:v>
      </x:c>
      <x:c r="I214" s="26" t="n">
        <x:f>ROUND(D214-E214,1)</x:f>
        <x:v>547.6</x:v>
      </x:c>
      <x:c r="J214" s="22" t="str">
        <x:v>IC2609</x:v>
      </x:c>
      <x:c r="K214" s="22" t="n">
        <x:v>5</x:v>
      </x:c>
    </x:row>
    <x:row r="215">
      <x:c r="A215" s="22" t="n">
        <x:v>31</x:v>
      </x:c>
      <x:c r="B215" s="22" t="str">
        <x:v>8月10日-8月14日</x:v>
      </x:c>
      <x:c r="C215" s="23" t="n">
        <x:v>7888</x:v>
      </x:c>
      <x:c r="D215" s="23" t="n">
        <x:v>8024</x:v>
      </x:c>
      <x:c r="E215" s="23" t="n">
        <x:v>7795.8</x:v>
      </x:c>
      <x:c r="F215" s="23" t="n">
        <x:v>7861.2</x:v>
      </x:c>
      <x:c r="G215" s="23" t="n">
        <x:f>ROUND(F215-F214,1)</x:f>
        <x:v>-16.6</x:v>
      </x:c>
      <x:c r="H215" s="24" t="n">
        <x:f>IFERROR(F215/F214-1,"")</x:f>
        <x:v>-0.0021071872857905127</x:v>
      </x:c>
      <x:c r="I215" s="26" t="n">
        <x:f>ROUND(D215-E215,1)</x:f>
        <x:v>228.2</x:v>
      </x:c>
      <x:c r="J215" s="22" t="str">
        <x:v>IC2609</x:v>
      </x:c>
      <x:c r="K215" s="22" t="n">
        <x:v>5</x:v>
      </x:c>
    </x:row>
    <x:row r="216">
      <x:c r="A216" s="22" t="n">
        <x:v>32</x:v>
      </x:c>
      <x:c r="B216" s="22" t="str">
        <x:v>8月17日-8月21日</x:v>
      </x:c>
      <x:c r="C216" s="23" t="n">
        <x:v>7885</x:v>
      </x:c>
      <x:c r="D216" s="23" t="n">
        <x:v>8091.8</x:v>
      </x:c>
      <x:c r="E216" s="23" t="n">
        <x:v>7669.6</x:v>
      </x:c>
      <x:c r="F216" s="23" t="n">
        <x:v>7762</x:v>
      </x:c>
      <x:c r="G216" s="23" t="n">
        <x:f>ROUND(F216-F215,1)</x:f>
        <x:v>-99.2</x:v>
      </x:c>
      <x:c r="H216" s="24" t="n">
        <x:f>IFERROR(F216/F215-1,"")</x:f>
        <x:v>-0.012618938584439965</x:v>
      </x:c>
      <x:c r="I216" s="26" t="n">
        <x:f>ROUND(D216-E216,1)</x:f>
        <x:v>422.2</x:v>
      </x:c>
      <x:c r="J216" s="22" t="str">
        <x:v>IC2609</x:v>
      </x:c>
      <x:c r="K216" s="22" t="n">
        <x:v>5</x:v>
      </x:c>
    </x:row>
    <x:row r="217">
      <x:c r="A217" s="22" t="n">
        <x:v>33</x:v>
      </x:c>
      <x:c r="B217" s="22" t="str">
        <x:v>8月24日-8月28日</x:v>
      </x:c>
      <x:c r="C217" s="23" t="n">
        <x:v>7757</x:v>
      </x:c>
      <x:c r="D217" s="23" t="n">
        <x:v>7931</x:v>
      </x:c>
      <x:c r="E217" s="23" t="n">
        <x:v>7496</x:v>
      </x:c>
      <x:c r="F217" s="23" t="n">
        <x:v>7853.8</x:v>
      </x:c>
      <x:c r="G217" s="23" t="n">
        <x:f>ROUND(F217-F216,1)</x:f>
        <x:v>91.8</x:v>
      </x:c>
      <x:c r="H217" s="24" t="n">
        <x:f>IFERROR(F217/F216-1,"")</x:f>
        <x:v>0.011826848750322139</x:v>
      </x:c>
      <x:c r="I217" s="26" t="n">
        <x:f>ROUND(D217-E217,1)</x:f>
        <x:v>435</x:v>
      </x:c>
      <x:c r="J217" s="22" t="str">
        <x:v>IC2609</x:v>
      </x:c>
      <x:c r="K217" s="22" t="n">
        <x:v>5</x:v>
      </x:c>
    </x:row>
    <x:row r="218">
      <x:c r="A218" s="22" t="n">
        <x:v>34</x:v>
      </x:c>
      <x:c r="B218" s="22" t="str">
        <x:v>8月31日-9月4日</x:v>
      </x:c>
      <x:c r="C218" s="23" t="n">
        <x:v>7761</x:v>
      </x:c>
      <x:c r="D218" s="23" t="n">
        <x:v>7913</x:v>
      </x:c>
      <x:c r="E218" s="23" t="n">
        <x:v>7568</x:v>
      </x:c>
      <x:c r="F218" s="23" t="n">
        <x:v>7608</x:v>
      </x:c>
      <x:c r="G218" s="28" t="n">
        <x:f>ROUND(F218-F217,1)</x:f>
        <x:v>-245.8</x:v>
      </x:c>
      <x:c r="H218" s="24" t="n">
        <x:f>IFERROR(F218/F217-1,"")</x:f>
        <x:v>-0.03129695179403602</x:v>
      </x:c>
      <x:c r="I218" s="26" t="n">
        <x:f>ROUND(D218-E218,1)</x:f>
        <x:v>345</x:v>
      </x:c>
      <x:c r="J218" s="22" t="str">
        <x:v>IC2609</x:v>
      </x:c>
      <x:c r="K218" s="22" t="n">
        <x:v>5</x:v>
      </x:c>
    </x:row>
    <x:row r="219">
      <x:c r="A219" s="22" t="n">
        <x:v>35</x:v>
      </x:c>
      <x:c r="B219" s="22" t="str">
        <x:v>9月7日-9月11日</x:v>
      </x:c>
      <x:c r="C219" s="23" t="n">
        <x:v>7665.6</x:v>
      </x:c>
      <x:c r="D219" s="23" t="n">
        <x:v>7817.2</x:v>
      </x:c>
      <x:c r="E219" s="23" t="n">
        <x:v>7418.8</x:v>
      </x:c>
      <x:c r="F219" s="23" t="n">
        <x:v>7569</x:v>
      </x:c>
      <x:c r="G219" s="23" t="n">
        <x:f>ROUND(F219-F218,1)</x:f>
        <x:v>-39</x:v>
      </x:c>
      <x:c r="H219" s="24" t="n">
        <x:f>IFERROR(F219/F218-1,"")</x:f>
        <x:v>-0.005126182965299653</x:v>
      </x:c>
      <x:c r="I219" s="26" t="n">
        <x:f>ROUND(D219-E219,1)</x:f>
        <x:v>398.4</x:v>
      </x:c>
      <x:c r="J219" s="22" t="str">
        <x:v>IC2609</x:v>
      </x:c>
      <x:c r="K219" s="22" t="n">
        <x:v>5</x:v>
      </x:c>
    </x:row>
    <x:row r="220">
      <x:c r="A220" s="22" t="n">
        <x:v>36</x:v>
      </x:c>
      <x:c r="B220" s="22" t="str">
        <x:v>9月14日-9月18日</x:v>
      </x:c>
      <x:c r="C220" s="23" t="n">
        <x:v>7482.2</x:v>
      </x:c>
      <x:c r="D220" s="23" t="n">
        <x:v>7820</x:v>
      </x:c>
      <x:c r="E220" s="23" t="n">
        <x:v>7452.2</x:v>
      </x:c>
      <x:c r="F220" s="23" t="n">
        <x:v>7789.8</x:v>
      </x:c>
      <x:c r="G220" s="28" t="n">
        <x:f>ROUND(F220-F219,1)</x:f>
        <x:v>220.8</x:v>
      </x:c>
      <x:c r="H220" s="24" t="n">
        <x:f>IFERROR(F220/F219-1,"")</x:f>
        <x:v>0.02917162108600868</x:v>
      </x:c>
      <x:c r="I220" s="26" t="n">
        <x:f>ROUND(D220-E220,1)</x:f>
        <x:v>367.8</x:v>
      </x:c>
      <x:c r="J220" s="22" t="str">
        <x:v>IC2609</x:v>
      </x:c>
      <x:c r="K220" s="22" t="n">
        <x:v>5</x:v>
      </x:c>
    </x:row>
    <x:row r="221">
      <x:c r="A221" s="22" t="n">
        <x:v>37</x:v>
      </x:c>
      <x:c r="B221" s="22" t="str">
        <x:v>9月21日-9月24日</x:v>
      </x:c>
      <x:c r="C221" s="23" t="n">
        <x:v>7688</x:v>
      </x:c>
      <x:c r="D221" s="23" t="n">
        <x:v>7780</x:v>
      </x:c>
      <x:c r="E221" s="23" t="n">
        <x:v>7450</x:v>
      </x:c>
      <x:c r="F221" s="23" t="n">
        <x:v>7451.6</x:v>
      </x:c>
      <x:c r="G221" s="28" t="n">
        <x:f>ROUND(F221-F220,1)</x:f>
        <x:v>-338.2</x:v>
      </x:c>
      <x:c r="H221" s="24" t="n">
        <x:f>IFERROR(F221/F220-1,"")</x:f>
        <x:v>-0.04341574879971244</x:v>
      </x:c>
      <x:c r="I221" s="26" t="n">
        <x:f>ROUND(D221-E221,1)</x:f>
        <x:v>330</x:v>
      </x:c>
      <x:c r="J221" s="22" t="str">
        <x:v>IC2612</x:v>
      </x:c>
      <x:c r="K221" s="22" t="n">
        <x:v>4</x:v>
      </x:c>
    </x:row>
    <x:row r="222">
      <x:c r="A222" s="22" t="n">
        <x:v>38</x:v>
      </x:c>
      <x:c r="B222" s="22" t="str">
        <x:v>9月28日-9月30日</x:v>
      </x:c>
      <x:c r="C222" s="23" t="n">
        <x:v>7440.8</x:v>
      </x:c>
      <x:c r="D222" s="23" t="n">
        <x:v>7458.4</x:v>
      </x:c>
      <x:c r="E222" s="23" t="n">
        <x:v>7186</x:v>
      </x:c>
      <x:c r="F222" s="23" t="n">
        <x:v>7310.2</x:v>
      </x:c>
      <x:c r="G222" s="23" t="n">
        <x:f>ROUND(F222-F221,1)</x:f>
        <x:v>-141.4</x:v>
      </x:c>
      <x:c r="H222" s="24" t="n">
        <x:f>IFERROR(F222/F221-1,"")</x:f>
        <x:v>-0.018975790434269224</x:v>
      </x:c>
      <x:c r="I222" s="26" t="n">
        <x:f>ROUND(D222-E222,1)</x:f>
        <x:v>272.4</x:v>
      </x:c>
      <x:c r="J222" s="22" t="str">
        <x:v>IC2612</x:v>
      </x:c>
      <x:c r="K222" s="22" t="n">
        <x:v>3</x:v>
      </x:c>
    </x:row>
    <x:row r="223">
      <x:c r="A223" s="22" t="n">
        <x:v>39</x:v>
      </x:c>
      <x:c r="B223" s="22" t="str">
        <x:v>10月8日-10月9日</x:v>
      </x:c>
      <x:c r="C223" s="23" t="n">
        <x:v>7295</x:v>
      </x:c>
      <x:c r="D223" s="23" t="n">
        <x:v>7355</x:v>
      </x:c>
      <x:c r="E223" s="23" t="n">
        <x:v>6932</x:v>
      </x:c>
      <x:c r="F223" s="23" t="n">
        <x:v>7111</x:v>
      </x:c>
      <x:c r="G223" s="28" t="n">
        <x:f>ROUND(F223-F222,1)</x:f>
        <x:v>-199.2</x:v>
      </x:c>
      <x:c r="H223" s="24" t="n">
        <x:f>IFERROR(F223/F222-1,"")</x:f>
        <x:v>-0.027249596454269387</x:v>
      </x:c>
      <x:c r="I223" s="26" t="n">
        <x:f>ROUND(D223-E223,1)</x:f>
        <x:v>423</x:v>
      </x:c>
      <x:c r="J223" s="22" t="str">
        <x:v>IC2612</x:v>
      </x:c>
      <x:c r="K223" s="22" t="n">
        <x:v>2</x:v>
      </x:c>
    </x:row>
    <x:row r="224">
      <x:c r="A224" s="22" t="n">
        <x:v>40</x:v>
      </x:c>
      <x:c r="B224" s="22" t="str">
        <x:v>10月12日-10月15日</x:v>
      </x:c>
      <x:c r="C224" s="23" t="n">
        <x:v>7076.6</x:v>
      </x:c>
      <x:c r="D224" s="23" t="n">
        <x:v>7115.6</x:v>
      </x:c>
      <x:c r="E224" s="23" t="n">
        <x:v>6583.2</x:v>
      </x:c>
      <x:c r="F224" s="23" t="n">
        <x:v>6638.2</x:v>
      </x:c>
      <x:c r="G224" s="28" t="n">
        <x:f>ROUND(F224-F223,1)</x:f>
        <x:v>-472.8</x:v>
      </x:c>
      <x:c r="H224" s="24" t="n">
        <x:f>IFERROR(F224/F223-1,"")</x:f>
        <x:v>-0.0664885388834201</x:v>
      </x:c>
      <x:c r="I224" s="26" t="n">
        <x:f>ROUND(D224-E224,1)</x:f>
        <x:v>532.4</x:v>
      </x:c>
      <x:c r="J224" s="22" t="str">
        <x:v>IC2612</x:v>
      </x:c>
      <x:c r="K224" s="22" t="n">
        <x:v>4</x:v>
      </x:c>
    </x:row>
    <x:row r="225">
      <x:c r="A225" s="31" t="str">
        <x:v>合计</x:v>
      </x:c>
      <x:c r="B225" s="30" t="n">
        <x:v>40</x:v>
      </x:c>
      <x:c r="C225" s="30"/>
      <x:c r="D225" s="30"/>
      <x:c r="E225" s="30"/>
      <x:c r="F225" s="30"/>
      <x:c r="G225" s="30"/>
      <x:c r="H225" s="30"/>
      <x:c r="I225" s="32" t="n">
        <x:f>ROUND(SUM(I185:I224),1)</x:f>
        <x:v>17751</x:v>
      </x:c>
      <x:c r="J225" s="30"/>
      <x:c r="K225" s="30"/>
    </x:row>
    <x:row r="226">
      <x:c r="A226" s="31" t="str">
        <x:v>均值</x:v>
      </x:c>
      <x:c r="B226" s="30"/>
      <x:c r="C226" s="30"/>
      <x:c r="D226" s="30"/>
      <x:c r="E226" s="30"/>
      <x:c r="F226" s="30"/>
      <x:c r="G226" s="30"/>
      <x:c r="H226" s="30"/>
      <x:c r="I226" s="34" t="n">
        <x:f>ROUND(IFERROR(AVERAGE(I185:I224),0),1)</x:f>
        <x:v>443.8</x:v>
      </x:c>
      <x:c r="J226" s="30"/>
      <x:c r="K226" s="30"/>
    </x:row>
    <x:row r="228">
      <x:c r="A228" s="17" t="str">
        <x:v>IF主力</x:v>
      </x:c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</x:row>
    <x:row r="229">
      <x:c r="A229" s="20" t="str">
        <x:v>序号</x:v>
      </x:c>
      <x:c r="B229" s="20" t="str">
        <x:v>周期</x:v>
      </x:c>
      <x:c r="C229" s="20" t="str">
        <x:v>开盘</x:v>
      </x:c>
      <x:c r="D229" s="20" t="str">
        <x:v>高点</x:v>
      </x:c>
      <x:c r="E229" s="20" t="str">
        <x:v>低点</x:v>
      </x:c>
      <x:c r="F229" s="20" t="str">
        <x:v>收盘</x:v>
      </x:c>
      <x:c r="G229" s="20" t="str">
        <x:v>涨跌点数</x:v>
      </x:c>
      <x:c r="H229" s="20" t="str">
        <x:v>涨幅</x:v>
      </x:c>
      <x:c r="I229" s="20" t="str">
        <x:v>振幅</x:v>
      </x:c>
      <x:c r="J229" s="20" t="str">
        <x:v>标的</x:v>
      </x:c>
      <x:c r="K229" s="20" t="str">
        <x:v>交易日</x:v>
      </x:c>
    </x:row>
    <x:row r="230">
      <x:c r="A230" s="22" t="n">
        <x:v>1</x:v>
      </x:c>
      <x:c r="B230" s="22" t="str">
        <x:v>1月5日-1月9日</x:v>
      </x:c>
      <x:c r="C230" s="23" t="n">
        <x:v>4627</x:v>
      </x:c>
      <x:c r="D230" s="23" t="n">
        <x:v>4785.8</x:v>
      </x:c>
      <x:c r="E230" s="23" t="n">
        <x:v>4627</x:v>
      </x:c>
      <x:c r="F230" s="23" t="n">
        <x:v>4743.8</x:v>
      </x:c>
      <x:c r="G230" s="23"/>
      <x:c r="H230" s="24"/>
      <x:c r="I230" s="26" t="n">
        <x:f>ROUND(D230-E230,1)</x:f>
        <x:v>158.8</x:v>
      </x:c>
      <x:c r="J230" s="22" t="str">
        <x:v>IF2603</x:v>
      </x:c>
      <x:c r="K230" s="22" t="n">
        <x:v>5</x:v>
      </x:c>
    </x:row>
    <x:row r="231">
      <x:c r="A231" s="22" t="n">
        <x:v>2</x:v>
      </x:c>
      <x:c r="B231" s="22" t="str">
        <x:v>1月12日-1月16日</x:v>
      </x:c>
      <x:c r="C231" s="23" t="n">
        <x:v>4762</x:v>
      </x:c>
      <x:c r="D231" s="23" t="n">
        <x:v>4833.2</x:v>
      </x:c>
      <x:c r="E231" s="23" t="n">
        <x:v>4707</x:v>
      </x:c>
      <x:c r="F231" s="23" t="n">
        <x:v>4723.2</x:v>
      </x:c>
      <x:c r="G231" s="23" t="n">
        <x:f>ROUND(F231-F230,1)</x:f>
        <x:v>-20.6</x:v>
      </x:c>
      <x:c r="H231" s="24" t="n">
        <x:f>IFERROR(F231/F230-1,"")</x:f>
        <x:v>-0.004342510223871221</x:v>
      </x:c>
      <x:c r="I231" s="26" t="n">
        <x:f>ROUND(D231-E231,1)</x:f>
        <x:v>126.2</x:v>
      </x:c>
      <x:c r="J231" s="22" t="str">
        <x:v>IF2603</x:v>
      </x:c>
      <x:c r="K231" s="22" t="n">
        <x:v>5</x:v>
      </x:c>
    </x:row>
    <x:row r="232">
      <x:c r="A232" s="22" t="n">
        <x:v>3</x:v>
      </x:c>
      <x:c r="B232" s="22" t="str">
        <x:v>1月19日-1月23日</x:v>
      </x:c>
      <x:c r="C232" s="23" t="n">
        <x:v>4711.8</x:v>
      </x:c>
      <x:c r="D232" s="23" t="n">
        <x:v>4763</x:v>
      </x:c>
      <x:c r="E232" s="23" t="n">
        <x:v>4672.8</x:v>
      </x:c>
      <x:c r="F232" s="23" t="n">
        <x:v>4709.2</x:v>
      </x:c>
      <x:c r="G232" s="23" t="n">
        <x:f>ROUND(F232-F231,1)</x:f>
        <x:v>-14</x:v>
      </x:c>
      <x:c r="H232" s="24" t="n">
        <x:f>IFERROR(F232/F231-1,"")</x:f>
        <x:v>-0.002964092140921415</x:v>
      </x:c>
      <x:c r="I232" s="26" t="n">
        <x:f>ROUND(D232-E232,1)</x:f>
        <x:v>90.2</x:v>
      </x:c>
      <x:c r="J232" s="22" t="str">
        <x:v>IF2603</x:v>
      </x:c>
      <x:c r="K232" s="22" t="n">
        <x:v>5</x:v>
      </x:c>
    </x:row>
    <x:row r="233">
      <x:c r="A233" s="22" t="n">
        <x:v>4</x:v>
      </x:c>
      <x:c r="B233" s="22" t="str">
        <x:v>1月26日-1月30日</x:v>
      </x:c>
      <x:c r="C233" s="23" t="n">
        <x:v>4726.8</x:v>
      </x:c>
      <x:c r="D233" s="23" t="n">
        <x:v>4793</x:v>
      </x:c>
      <x:c r="E233" s="23" t="n">
        <x:v>4640</x:v>
      </x:c>
      <x:c r="F233" s="23" t="n">
        <x:v>4711</x:v>
      </x:c>
      <x:c r="G233" s="23" t="n">
        <x:f>ROUND(F233-F232,1)</x:f>
        <x:v>1.8</x:v>
      </x:c>
      <x:c r="H233" s="24" t="n">
        <x:f>IFERROR(F233/F232-1,"")</x:f>
        <x:v>0.00038223052747810016</x:v>
      </x:c>
      <x:c r="I233" s="26" t="n">
        <x:f>ROUND(D233-E233,1)</x:f>
        <x:v>153</x:v>
      </x:c>
      <x:c r="J233" s="22" t="str">
        <x:v>IF2603</x:v>
      </x:c>
      <x:c r="K233" s="22" t="n">
        <x:v>5</x:v>
      </x:c>
    </x:row>
    <x:row r="234">
      <x:c r="A234" s="22" t="n">
        <x:v>5</x:v>
      </x:c>
      <x:c r="B234" s="22" t="str">
        <x:v>2月2日-2月6日</x:v>
      </x:c>
      <x:c r="C234" s="23" t="n">
        <x:v>4680.6</x:v>
      </x:c>
      <x:c r="D234" s="23" t="n">
        <x:v>4724</x:v>
      </x:c>
      <x:c r="E234" s="23" t="n">
        <x:v>4555.6</x:v>
      </x:c>
      <x:c r="F234" s="23" t="n">
        <x:v>4637.6</x:v>
      </x:c>
      <x:c r="G234" s="23" t="n">
        <x:f>ROUND(F234-F233,1)</x:f>
        <x:v>-73.4</x:v>
      </x:c>
      <x:c r="H234" s="24" t="n">
        <x:f>IFERROR(F234/F233-1,"")</x:f>
        <x:v>-0.015580556145192048</x:v>
      </x:c>
      <x:c r="I234" s="26" t="n">
        <x:f>ROUND(D234-E234,1)</x:f>
        <x:v>168.4</x:v>
      </x:c>
      <x:c r="J234" s="22" t="str">
        <x:v>IF2603</x:v>
      </x:c>
      <x:c r="K234" s="22" t="n">
        <x:v>5</x:v>
      </x:c>
    </x:row>
    <x:row r="235">
      <x:c r="A235" s="22" t="n">
        <x:v>6</x:v>
      </x:c>
      <x:c r="B235" s="22" t="str">
        <x:v>2月9日-2月13日</x:v>
      </x:c>
      <x:c r="C235" s="23" t="n">
        <x:v>4688.8</x:v>
      </x:c>
      <x:c r="D235" s="23" t="n">
        <x:v>4733.8</x:v>
      </x:c>
      <x:c r="E235" s="23" t="n">
        <x:v>4624</x:v>
      </x:c>
      <x:c r="F235" s="23" t="n">
        <x:v>4627</x:v>
      </x:c>
      <x:c r="G235" s="23" t="n">
        <x:f>ROUND(F235-F234,1)</x:f>
        <x:v>-10.6</x:v>
      </x:c>
      <x:c r="H235" s="24" t="n">
        <x:f>IFERROR(F235/F234-1,"")</x:f>
        <x:v>-0.0022856649991375155</x:v>
      </x:c>
      <x:c r="I235" s="26" t="n">
        <x:f>ROUND(D235-E235,1)</x:f>
        <x:v>109.8</x:v>
      </x:c>
      <x:c r="J235" s="22" t="str">
        <x:v>IF2603</x:v>
      </x:c>
      <x:c r="K235" s="22" t="n">
        <x:v>5</x:v>
      </x:c>
    </x:row>
    <x:row r="236">
      <x:c r="A236" s="22" t="n">
        <x:v>7</x:v>
      </x:c>
      <x:c r="B236" s="22" t="str">
        <x:v>2月24日-2月27日</x:v>
      </x:c>
      <x:c r="C236" s="23" t="n">
        <x:v>4680.2</x:v>
      </x:c>
      <x:c r="D236" s="23" t="n">
        <x:v>4768</x:v>
      </x:c>
      <x:c r="E236" s="23" t="n">
        <x:v>4671.2</x:v>
      </x:c>
      <x:c r="F236" s="23" t="n">
        <x:v>4713.8</x:v>
      </x:c>
      <x:c r="G236" s="23" t="n">
        <x:f>ROUND(F236-F235,1)</x:f>
        <x:v>86.8</x:v>
      </x:c>
      <x:c r="H236" s="24" t="n">
        <x:f>IFERROR(F236/F235-1,"")</x:f>
        <x:v>0.01875945537065049</x:v>
      </x:c>
      <x:c r="I236" s="26" t="n">
        <x:f>ROUND(D236-E236,1)</x:f>
        <x:v>96.8</x:v>
      </x:c>
      <x:c r="J236" s="22" t="str">
        <x:v>IF2603</x:v>
      </x:c>
      <x:c r="K236" s="22" t="n">
        <x:v>4</x:v>
      </x:c>
    </x:row>
    <x:row r="237">
      <x:c r="A237" s="22" t="n">
        <x:v>8</x:v>
      </x:c>
      <x:c r="B237" s="22" t="str">
        <x:v>3月2日-3月6日</x:v>
      </x:c>
      <x:c r="C237" s="23" t="n">
        <x:v>4681.2</x:v>
      </x:c>
      <x:c r="D237" s="23" t="n">
        <x:v>4725</x:v>
      </x:c>
      <x:c r="E237" s="23" t="n">
        <x:v>4560.2</x:v>
      </x:c>
      <x:c r="F237" s="23" t="n">
        <x:v>4646</x:v>
      </x:c>
      <x:c r="G237" s="23" t="n">
        <x:f>ROUND(F237-F236,1)</x:f>
        <x:v>-67.8</x:v>
      </x:c>
      <x:c r="H237" s="24" t="n">
        <x:f>IFERROR(F237/F236-1,"")</x:f>
        <x:v>-0.014383300097585816</x:v>
      </x:c>
      <x:c r="I237" s="26" t="n">
        <x:f>ROUND(D237-E237,1)</x:f>
        <x:v>164.8</x:v>
      </x:c>
      <x:c r="J237" s="22" t="str">
        <x:v>IF2603</x:v>
      </x:c>
      <x:c r="K237" s="22" t="n">
        <x:v>5</x:v>
      </x:c>
    </x:row>
    <x:row r="238">
      <x:c r="A238" s="22" t="n">
        <x:v>9</x:v>
      </x:c>
      <x:c r="B238" s="22" t="str">
        <x:v>3月9日-3月13日</x:v>
      </x:c>
      <x:c r="C238" s="23" t="n">
        <x:v>4600</x:v>
      </x:c>
      <x:c r="D238" s="23" t="n">
        <x:v>4699</x:v>
      </x:c>
      <x:c r="E238" s="23" t="n">
        <x:v>4500</x:v>
      </x:c>
      <x:c r="F238" s="23" t="n">
        <x:v>4658</x:v>
      </x:c>
      <x:c r="G238" s="23" t="n">
        <x:f>ROUND(F238-F237,1)</x:f>
        <x:v>12</x:v>
      </x:c>
      <x:c r="H238" s="24" t="n">
        <x:f>IFERROR(F238/F237-1,"")</x:f>
        <x:v>0.00258286698235044</x:v>
      </x:c>
      <x:c r="I238" s="26" t="n">
        <x:f>ROUND(D238-E238,1)</x:f>
        <x:v>199</x:v>
      </x:c>
      <x:c r="J238" s="22" t="str">
        <x:v>IF2603</x:v>
      </x:c>
      <x:c r="K238" s="22" t="n">
        <x:v>5</x:v>
      </x:c>
    </x:row>
    <x:row r="239">
      <x:c r="A239" s="22" t="n">
        <x:v>10</x:v>
      </x:c>
      <x:c r="B239" s="22" t="str">
        <x:v>3月16日-3月20日</x:v>
      </x:c>
      <x:c r="C239" s="23" t="n">
        <x:v>4665</x:v>
      </x:c>
      <x:c r="D239" s="23" t="n">
        <x:v>4718.4</x:v>
      </x:c>
      <x:c r="E239" s="23" t="n">
        <x:v>4570</x:v>
      </x:c>
      <x:c r="F239" s="23" t="n">
        <x:v>4596.8</x:v>
      </x:c>
      <x:c r="G239" s="23" t="n">
        <x:f>ROUND(F239-F238,1)</x:f>
        <x:v>-61.2</x:v>
      </x:c>
      <x:c r="H239" s="24" t="n">
        <x:f>IFERROR(F239/F238-1,"")</x:f>
        <x:v>-0.0131386861313868</x:v>
      </x:c>
      <x:c r="I239" s="26" t="n">
        <x:f>ROUND(D239-E239,1)</x:f>
        <x:v>148.4</x:v>
      </x:c>
      <x:c r="J239" s="22" t="str">
        <x:v>IF2603</x:v>
      </x:c>
      <x:c r="K239" s="22" t="n">
        <x:v>5</x:v>
      </x:c>
    </x:row>
    <x:row r="240">
      <x:c r="A240" s="22" t="n">
        <x:v>11</x:v>
      </x:c>
      <x:c r="B240" s="22" t="str">
        <x:v>3月23日-3月27日</x:v>
      </x:c>
      <x:c r="C240" s="23" t="n">
        <x:v>4434.4</x:v>
      </x:c>
      <x:c r="D240" s="23" t="n">
        <x:v>4466.2</x:v>
      </x:c>
      <x:c r="E240" s="23" t="n">
        <x:v>4307.2</x:v>
      </x:c>
      <x:c r="F240" s="23" t="n">
        <x:v>4427.4</x:v>
      </x:c>
      <x:c r="G240" s="28" t="n">
        <x:f>ROUND(F240-F239,1)</x:f>
        <x:v>-169.4</x:v>
      </x:c>
      <x:c r="H240" s="24" t="n">
        <x:f>IFERROR(F240/F239-1,"")</x:f>
        <x:v>-0.0368517229376959</x:v>
      </x:c>
      <x:c r="I240" s="26" t="n">
        <x:f>ROUND(D240-E240,1)</x:f>
        <x:v>159</x:v>
      </x:c>
      <x:c r="J240" s="22" t="str">
        <x:v>IF2606</x:v>
      </x:c>
      <x:c r="K240" s="22" t="n">
        <x:v>5</x:v>
      </x:c>
    </x:row>
    <x:row r="241">
      <x:c r="A241" s="22" t="n">
        <x:v>12</x:v>
      </x:c>
      <x:c r="B241" s="22" t="str">
        <x:v>3月30日-4月3日</x:v>
      </x:c>
      <x:c r="C241" s="23" t="n">
        <x:v>4387.2</x:v>
      </x:c>
      <x:c r="D241" s="23" t="n">
        <x:v>4459.8</x:v>
      </x:c>
      <x:c r="E241" s="23" t="n">
        <x:v>4346</x:v>
      </x:c>
      <x:c r="F241" s="23" t="n">
        <x:v>4362.2</x:v>
      </x:c>
      <x:c r="G241" s="23" t="n">
        <x:f>ROUND(F241-F240,1)</x:f>
        <x:v>-65.2</x:v>
      </x:c>
      <x:c r="H241" s="24" t="n">
        <x:f>IFERROR(F241/F240-1,"")</x:f>
        <x:v>-0.014726476035596514</x:v>
      </x:c>
      <x:c r="I241" s="26" t="n">
        <x:f>ROUND(D241-E241,1)</x:f>
        <x:v>113.8</x:v>
      </x:c>
      <x:c r="J241" s="22" t="str">
        <x:v>IF2606</x:v>
      </x:c>
      <x:c r="K241" s="22" t="n">
        <x:v>5</x:v>
      </x:c>
    </x:row>
    <x:row r="242">
      <x:c r="A242" s="22" t="n">
        <x:v>13</x:v>
      </x:c>
      <x:c r="B242" s="22" t="str">
        <x:v>4月7日-4月10日</x:v>
      </x:c>
      <x:c r="C242" s="23" t="n">
        <x:v>4369.8</x:v>
      </x:c>
      <x:c r="D242" s="23" t="n">
        <x:v>4591.8</x:v>
      </x:c>
      <x:c r="E242" s="23" t="n">
        <x:v>4347</x:v>
      </x:c>
      <x:c r="F242" s="23" t="n">
        <x:v>4562</x:v>
      </x:c>
      <x:c r="G242" s="28" t="n">
        <x:f>ROUND(F242-F241,1)</x:f>
        <x:v>199.8</x:v>
      </x:c>
      <x:c r="H242" s="24" t="n">
        <x:f>IFERROR(F242/F241-1,"")</x:f>
        <x:v>0.045802576681491125</x:v>
      </x:c>
      <x:c r="I242" s="26" t="n">
        <x:f>ROUND(D242-E242,1)</x:f>
        <x:v>244.8</x:v>
      </x:c>
      <x:c r="J242" s="22" t="str">
        <x:v>IF2606</x:v>
      </x:c>
      <x:c r="K242" s="22" t="n">
        <x:v>4</x:v>
      </x:c>
    </x:row>
    <x:row r="243">
      <x:c r="A243" s="22" t="n">
        <x:v>14</x:v>
      </x:c>
      <x:c r="B243" s="22" t="str">
        <x:v>4月13日-4月17日</x:v>
      </x:c>
      <x:c r="C243" s="23" t="n">
        <x:v>4542</x:v>
      </x:c>
      <x:c r="D243" s="23" t="n">
        <x:v>4685</x:v>
      </x:c>
      <x:c r="E243" s="23" t="n">
        <x:v>4541.6</x:v>
      </x:c>
      <x:c r="F243" s="23" t="n">
        <x:v>4667</x:v>
      </x:c>
      <x:c r="G243" s="23" t="n">
        <x:f>ROUND(F243-F242,1)</x:f>
        <x:v>105</x:v>
      </x:c>
      <x:c r="H243" s="24" t="n">
        <x:f>IFERROR(F243/F242-1,"")</x:f>
        <x:v>0.0230162209557212</x:v>
      </x:c>
      <x:c r="I243" s="26" t="n">
        <x:f>ROUND(D243-E243,1)</x:f>
        <x:v>143.4</x:v>
      </x:c>
      <x:c r="J243" s="22" t="str">
        <x:v>IF2606</x:v>
      </x:c>
      <x:c r="K243" s="22" t="n">
        <x:v>5</x:v>
      </x:c>
    </x:row>
    <x:row r="244">
      <x:c r="A244" s="22" t="n">
        <x:v>15</x:v>
      </x:c>
      <x:c r="B244" s="22" t="str">
        <x:v>4月20日-4月24日</x:v>
      </x:c>
      <x:c r="C244" s="23" t="n">
        <x:v>4665</x:v>
      </x:c>
      <x:c r="D244" s="23" t="n">
        <x:v>4763</x:v>
      </x:c>
      <x:c r="E244" s="23" t="n">
        <x:v>4656.8</x:v>
      </x:c>
      <x:c r="F244" s="23" t="n">
        <x:v>4713.6</x:v>
      </x:c>
      <x:c r="G244" s="23" t="n">
        <x:f>ROUND(F244-F243,1)</x:f>
        <x:v>46.6</x:v>
      </x:c>
      <x:c r="H244" s="24" t="n">
        <x:f>IFERROR(F244/F243-1,"")</x:f>
        <x:v>0.009985001071352029</x:v>
      </x:c>
      <x:c r="I244" s="26" t="n">
        <x:f>ROUND(D244-E244,1)</x:f>
        <x:v>106.2</x:v>
      </x:c>
      <x:c r="J244" s="22" t="str">
        <x:v>IF2606</x:v>
      </x:c>
      <x:c r="K244" s="22" t="n">
        <x:v>5</x:v>
      </x:c>
    </x:row>
    <x:row r="245">
      <x:c r="A245" s="22" t="n">
        <x:v>16</x:v>
      </x:c>
      <x:c r="B245" s="22" t="str">
        <x:v>4月27日-4月30日</x:v>
      </x:c>
      <x:c r="C245" s="23" t="n">
        <x:v>4720</x:v>
      </x:c>
      <x:c r="D245" s="23" t="n">
        <x:v>4776.6</x:v>
      </x:c>
      <x:c r="E245" s="23" t="n">
        <x:v>4687.2</x:v>
      </x:c>
      <x:c r="F245" s="23" t="n">
        <x:v>4763.4</x:v>
      </x:c>
      <x:c r="G245" s="23" t="n">
        <x:f>ROUND(F245-F244,1)</x:f>
        <x:v>49.8</x:v>
      </x:c>
      <x:c r="H245" s="24" t="n">
        <x:f>IFERROR(F245/F244-1,"")</x:f>
        <x:v>0.010565173116089399</x:v>
      </x:c>
      <x:c r="I245" s="23" t="n">
        <x:f>ROUND(D245-E245,1)</x:f>
        <x:v>89.4</x:v>
      </x:c>
      <x:c r="J245" s="22" t="str">
        <x:v>IF2606</x:v>
      </x:c>
      <x:c r="K245" s="22" t="n">
        <x:v>4</x:v>
      </x:c>
    </x:row>
    <x:row r="246">
      <x:c r="A246" s="22" t="n">
        <x:v>17</x:v>
      </x:c>
      <x:c r="B246" s="22" t="str">
        <x:v>5月6日-5月8日</x:v>
      </x:c>
      <x:c r="C246" s="23" t="n">
        <x:v>4808.2</x:v>
      </x:c>
      <x:c r="D246" s="23" t="n">
        <x:v>4869</x:v>
      </x:c>
      <x:c r="E246" s="23" t="n">
        <x:v>4797</x:v>
      </x:c>
      <x:c r="F246" s="23" t="n">
        <x:v>4836.8</x:v>
      </x:c>
      <x:c r="G246" s="23" t="n">
        <x:f>ROUND(F246-F245,1)</x:f>
        <x:v>73.4</x:v>
      </x:c>
      <x:c r="H246" s="24" t="n">
        <x:f>IFERROR(F246/F245-1,"")</x:f>
        <x:v>0.015409161523281867</x:v>
      </x:c>
      <x:c r="I246" s="23" t="n">
        <x:f>ROUND(D246-E246,1)</x:f>
        <x:v>72</x:v>
      </x:c>
      <x:c r="J246" s="22" t="str">
        <x:v>IF2606</x:v>
      </x:c>
      <x:c r="K246" s="22" t="n">
        <x:v>3</x:v>
      </x:c>
    </x:row>
    <x:row r="247">
      <x:c r="A247" s="22" t="n">
        <x:v>18</x:v>
      </x:c>
      <x:c r="B247" s="22" t="str">
        <x:v>5月11日-5月15日</x:v>
      </x:c>
      <x:c r="C247" s="23" t="n">
        <x:v>4860</x:v>
      </x:c>
      <x:c r="D247" s="23" t="n">
        <x:v>4995</x:v>
      </x:c>
      <x:c r="E247" s="23" t="n">
        <x:v>4794</x:v>
      </x:c>
      <x:c r="F247" s="23" t="n">
        <x:v>4824</x:v>
      </x:c>
      <x:c r="G247" s="23" t="n">
        <x:f>ROUND(F247-F246,1)</x:f>
        <x:v>-12.8</x:v>
      </x:c>
      <x:c r="H247" s="24" t="n">
        <x:f>IFERROR(F247/F246-1,"")</x:f>
        <x:v>-0.0026463777704267555</x:v>
      </x:c>
      <x:c r="I247" s="26" t="n">
        <x:f>ROUND(D247-E247,1)</x:f>
        <x:v>201</x:v>
      </x:c>
      <x:c r="J247" s="22" t="str">
        <x:v>IF2606</x:v>
      </x:c>
      <x:c r="K247" s="22" t="n">
        <x:v>5</x:v>
      </x:c>
    </x:row>
    <x:row r="248">
      <x:c r="A248" s="22" t="n">
        <x:v>19</x:v>
      </x:c>
      <x:c r="B248" s="22" t="str">
        <x:v>5月18日-5月22日</x:v>
      </x:c>
      <x:c r="C248" s="23" t="n">
        <x:v>4810</x:v>
      </x:c>
      <x:c r="D248" s="23" t="n">
        <x:v>4900.8</x:v>
      </x:c>
      <x:c r="E248" s="23" t="n">
        <x:v>4735</x:v>
      </x:c>
      <x:c r="F248" s="23" t="n">
        <x:v>4788.2</x:v>
      </x:c>
      <x:c r="G248" s="23" t="n">
        <x:f>ROUND(F248-F247,1)</x:f>
        <x:v>-35.8</x:v>
      </x:c>
      <x:c r="H248" s="24" t="n">
        <x:f>IFERROR(F248/F247-1,"")</x:f>
        <x:v>-0.007421227197346614</x:v>
      </x:c>
      <x:c r="I248" s="26" t="n">
        <x:f>ROUND(D248-E248,1)</x:f>
        <x:v>165.8</x:v>
      </x:c>
      <x:c r="J248" s="22" t="str">
        <x:v>IF2606</x:v>
      </x:c>
      <x:c r="K248" s="22" t="n">
        <x:v>5</x:v>
      </x:c>
    </x:row>
    <x:row r="249">
      <x:c r="A249" s="22" t="n">
        <x:v>20</x:v>
      </x:c>
      <x:c r="B249" s="22" t="str">
        <x:v>5月25日-5月29日</x:v>
      </x:c>
      <x:c r="C249" s="23" t="n">
        <x:v>4817.8</x:v>
      </x:c>
      <x:c r="D249" s="23" t="n">
        <x:v>4928.4</x:v>
      </x:c>
      <x:c r="E249" s="23" t="n">
        <x:v>4793.2</x:v>
      </x:c>
      <x:c r="F249" s="23" t="n">
        <x:v>4847.8</x:v>
      </x:c>
      <x:c r="G249" s="23" t="n">
        <x:f>ROUND(F249-F248,1)</x:f>
        <x:v>59.6</x:v>
      </x:c>
      <x:c r="H249" s="24" t="n">
        <x:f>IFERROR(F249/F248-1,"")</x:f>
        <x:v>0.01244726619606551</x:v>
      </x:c>
      <x:c r="I249" s="26" t="n">
        <x:f>ROUND(D249-E249,1)</x:f>
        <x:v>135.2</x:v>
      </x:c>
      <x:c r="J249" s="22" t="str">
        <x:v>IF2606</x:v>
      </x:c>
      <x:c r="K249" s="22" t="n">
        <x:v>5</x:v>
      </x:c>
    </x:row>
    <x:row r="250">
      <x:c r="A250" s="22" t="n">
        <x:v>21</x:v>
      </x:c>
      <x:c r="B250" s="22" t="str">
        <x:v>6月1日-6月5日</x:v>
      </x:c>
      <x:c r="C250" s="23" t="n">
        <x:v>4860</x:v>
      </x:c>
      <x:c r="D250" s="23" t="n">
        <x:v>4964.6</x:v>
      </x:c>
      <x:c r="E250" s="23" t="n">
        <x:v>4762.2</x:v>
      </x:c>
      <x:c r="F250" s="23" t="n">
        <x:v>4776.8</x:v>
      </x:c>
      <x:c r="G250" s="23" t="n">
        <x:f>ROUND(F250-F249,1)</x:f>
        <x:v>-71</x:v>
      </x:c>
      <x:c r="H250" s="24" t="n">
        <x:f>IFERROR(F250/F249-1,"")</x:f>
        <x:v>-0.014645818721894521</x:v>
      </x:c>
      <x:c r="I250" s="26" t="n">
        <x:f>ROUND(D250-E250,1)</x:f>
        <x:v>202.4</x:v>
      </x:c>
      <x:c r="J250" s="22" t="str">
        <x:v>IF2606</x:v>
      </x:c>
      <x:c r="K250" s="22" t="n">
        <x:v>5</x:v>
      </x:c>
    </x:row>
    <x:row r="251">
      <x:c r="A251" s="22" t="n">
        <x:v>22</x:v>
      </x:c>
      <x:c r="B251" s="22" t="str">
        <x:v>6月8日-6月12日</x:v>
      </x:c>
      <x:c r="C251" s="23" t="n">
        <x:v>4700</x:v>
      </x:c>
      <x:c r="D251" s="23" t="n">
        <x:v>4793</x:v>
      </x:c>
      <x:c r="E251" s="23" t="n">
        <x:v>4640.2</x:v>
      </x:c>
      <x:c r="F251" s="23" t="n">
        <x:v>4769.8</x:v>
      </x:c>
      <x:c r="G251" s="23" t="n">
        <x:f>ROUND(F251-F250,1)</x:f>
        <x:v>-7</x:v>
      </x:c>
      <x:c r="H251" s="24" t="n">
        <x:f>IFERROR(F251/F250-1,"")</x:f>
        <x:v>-0.0014654161781946229</x:v>
      </x:c>
      <x:c r="I251" s="26" t="n">
        <x:f>ROUND(D251-E251,1)</x:f>
        <x:v>152.8</x:v>
      </x:c>
      <x:c r="J251" s="22" t="str">
        <x:v>IF2606</x:v>
      </x:c>
      <x:c r="K251" s="22" t="n">
        <x:v>5</x:v>
      </x:c>
    </x:row>
    <x:row r="252">
      <x:c r="A252" s="22" t="n">
        <x:v>23</x:v>
      </x:c>
      <x:c r="B252" s="22" t="str">
        <x:v>6月15日-6月18日</x:v>
      </x:c>
      <x:c r="C252" s="23" t="n">
        <x:v>4819</x:v>
      </x:c>
      <x:c r="D252" s="23" t="n">
        <x:v>4971</x:v>
      </x:c>
      <x:c r="E252" s="23" t="n">
        <x:v>4804.8</x:v>
      </x:c>
      <x:c r="F252" s="23" t="n">
        <x:v>4960.6</x:v>
      </x:c>
      <x:c r="G252" s="28" t="n">
        <x:f>ROUND(F252-F251,1)</x:f>
        <x:v>190.8</x:v>
      </x:c>
      <x:c r="H252" s="24" t="n">
        <x:f>IFERROR(F252/F251-1,"")</x:f>
        <x:v>0.040001677219170695</x:v>
      </x:c>
      <x:c r="I252" s="26" t="n">
        <x:f>ROUND(D252-E252,1)</x:f>
        <x:v>166.2</x:v>
      </x:c>
      <x:c r="J252" s="22" t="str">
        <x:v>IF2606</x:v>
      </x:c>
      <x:c r="K252" s="22" t="n">
        <x:v>4</x:v>
      </x:c>
    </x:row>
    <x:row r="253">
      <x:c r="A253" s="22" t="n">
        <x:v>24</x:v>
      </x:c>
      <x:c r="B253" s="22" t="str">
        <x:v>6月22日-6月26日</x:v>
      </x:c>
      <x:c r="C253" s="23" t="n">
        <x:v>4956</x:v>
      </x:c>
      <x:c r="D253" s="23" t="n">
        <x:v>5030.2</x:v>
      </x:c>
      <x:c r="E253" s="23" t="n">
        <x:v>4717</x:v>
      </x:c>
      <x:c r="F253" s="23" t="n">
        <x:v>4748.2</x:v>
      </x:c>
      <x:c r="G253" s="28" t="n">
        <x:f>ROUND(F253-F252,1)</x:f>
        <x:v>-212.4</x:v>
      </x:c>
      <x:c r="H253" s="24" t="n">
        <x:f>IFERROR(F253/F252-1,"")</x:f>
        <x:v>-0.04281740112083221</x:v>
      </x:c>
      <x:c r="I253" s="26" t="n">
        <x:f>ROUND(D253-E253,1)</x:f>
        <x:v>313.2</x:v>
      </x:c>
      <x:c r="J253" s="22" t="str">
        <x:v>IF2606/IF2609</x:v>
      </x:c>
      <x:c r="K253" s="22" t="n">
        <x:v>5</x:v>
      </x:c>
    </x:row>
    <x:row r="254">
      <x:c r="A254" s="22" t="n">
        <x:v>25</x:v>
      </x:c>
      <x:c r="B254" s="22" t="str">
        <x:v>6月29日-7月3日</x:v>
      </x:c>
      <x:c r="C254" s="23" t="n">
        <x:v>4759.4</x:v>
      </x:c>
      <x:c r="D254" s="23" t="n">
        <x:v>4899.6</x:v>
      </x:c>
      <x:c r="E254" s="23" t="n">
        <x:v>4705</x:v>
      </x:c>
      <x:c r="F254" s="23" t="n">
        <x:v>4752.2</x:v>
      </x:c>
      <x:c r="G254" s="23" t="n">
        <x:f>ROUND(F254-F253,1)</x:f>
        <x:v>4</x:v>
      </x:c>
      <x:c r="H254" s="24" t="n">
        <x:f>IFERROR(F254/F253-1,"")</x:f>
        <x:v>0.0008424244977043305</x:v>
      </x:c>
      <x:c r="I254" s="26" t="n">
        <x:f>ROUND(D254-E254,1)</x:f>
        <x:v>194.6</x:v>
      </x:c>
      <x:c r="J254" s="22" t="str">
        <x:v>IF2609</x:v>
      </x:c>
      <x:c r="K254" s="22" t="n">
        <x:v>5</x:v>
      </x:c>
    </x:row>
    <x:row r="255">
      <x:c r="A255" s="22" t="n">
        <x:v>26</x:v>
      </x:c>
      <x:c r="B255" s="22" t="str">
        <x:v>7月6日-7月10日</x:v>
      </x:c>
      <x:c r="C255" s="23" t="n">
        <x:v>4781</x:v>
      </x:c>
      <x:c r="D255" s="23" t="n">
        <x:v>4822.2</x:v>
      </x:c>
      <x:c r="E255" s="23" t="n">
        <x:v>4665.2</x:v>
      </x:c>
      <x:c r="F255" s="23" t="n">
        <x:v>4704.6</x:v>
      </x:c>
      <x:c r="G255" s="23" t="n">
        <x:f>ROUND(F255-F254,1)</x:f>
        <x:v>-47.6</x:v>
      </x:c>
      <x:c r="H255" s="24" t="n">
        <x:f>IFERROR(F255/F254-1,"")</x:f>
        <x:v>-0.010016413450612216</x:v>
      </x:c>
      <x:c r="I255" s="26" t="n">
        <x:f>ROUND(D255-E255,1)</x:f>
        <x:v>157</x:v>
      </x:c>
      <x:c r="J255" s="22" t="str">
        <x:v>IF2609</x:v>
      </x:c>
      <x:c r="K255" s="22" t="n">
        <x:v>5</x:v>
      </x:c>
    </x:row>
    <x:row r="256">
      <x:c r="A256" s="22" t="n">
        <x:v>27</x:v>
      </x:c>
      <x:c r="B256" s="22" t="str">
        <x:v>7月13日-7月17日</x:v>
      </x:c>
      <x:c r="C256" s="23" t="n">
        <x:v>4691</x:v>
      </x:c>
      <x:c r="D256" s="23" t="n">
        <x:v>4739.4</x:v>
      </x:c>
      <x:c r="E256" s="23" t="n">
        <x:v>4441.4</x:v>
      </x:c>
      <x:c r="F256" s="23" t="n">
        <x:v>4473.8</x:v>
      </x:c>
      <x:c r="G256" s="28" t="n">
        <x:f>ROUND(F256-F255,1)</x:f>
        <x:v>-230.8</x:v>
      </x:c>
      <x:c r="H256" s="24" t="n">
        <x:f>IFERROR(F256/F255-1,"")</x:f>
        <x:v>-0.04905836840539046</x:v>
      </x:c>
      <x:c r="I256" s="26" t="n">
        <x:f>ROUND(D256-E256,1)</x:f>
        <x:v>298</x:v>
      </x:c>
      <x:c r="J256" s="22" t="str">
        <x:v>IF2609</x:v>
      </x:c>
      <x:c r="K256" s="22" t="n">
        <x:v>5</x:v>
      </x:c>
    </x:row>
    <x:row r="257">
      <x:c r="A257" s="22" t="n">
        <x:v>28</x:v>
      </x:c>
      <x:c r="B257" s="22" t="str">
        <x:v>7月20日-7月24日</x:v>
      </x:c>
      <x:c r="C257" s="23" t="n">
        <x:v>4530</x:v>
      </x:c>
      <x:c r="D257" s="23" t="n">
        <x:v>4707.8</x:v>
      </x:c>
      <x:c r="E257" s="23" t="n">
        <x:v>4465</x:v>
      </x:c>
      <x:c r="F257" s="23" t="n">
        <x:v>4578.2</x:v>
      </x:c>
      <x:c r="G257" s="23" t="n">
        <x:f>ROUND(F257-F256,1)</x:f>
        <x:v>104.4</x:v>
      </x:c>
      <x:c r="H257" s="24" t="n">
        <x:f>IFERROR(F257/F256-1,"")</x:f>
        <x:v>0.023335866601099653</x:v>
      </x:c>
      <x:c r="I257" s="26" t="n">
        <x:f>ROUND(D257-E257,1)</x:f>
        <x:v>242.8</x:v>
      </x:c>
      <x:c r="J257" s="22" t="str">
        <x:v>IF2609</x:v>
      </x:c>
      <x:c r="K257" s="22" t="n">
        <x:v>5</x:v>
      </x:c>
    </x:row>
    <x:row r="258">
      <x:c r="A258" s="22" t="n">
        <x:v>29</x:v>
      </x:c>
      <x:c r="B258" s="22" t="str">
        <x:v>7月27日-7月31日</x:v>
      </x:c>
      <x:c r="C258" s="23" t="n">
        <x:v>4589.4</x:v>
      </x:c>
      <x:c r="D258" s="23" t="n">
        <x:v>4652.2</x:v>
      </x:c>
      <x:c r="E258" s="23" t="n">
        <x:v>4420</x:v>
      </x:c>
      <x:c r="F258" s="23" t="n">
        <x:v>4538</x:v>
      </x:c>
      <x:c r="G258" s="23" t="n">
        <x:f>ROUND(F258-F257,1)</x:f>
        <x:v>-40.2</x:v>
      </x:c>
      <x:c r="H258" s="24" t="n">
        <x:f>IFERROR(F258/F257-1,"")</x:f>
        <x:v>-0.008780743523655543</x:v>
      </x:c>
      <x:c r="I258" s="26" t="n">
        <x:f>ROUND(D258-E258,1)</x:f>
        <x:v>232.2</x:v>
      </x:c>
      <x:c r="J258" s="22" t="str">
        <x:v>IF2609</x:v>
      </x:c>
      <x:c r="K258" s="22" t="n">
        <x:v>5</x:v>
      </x:c>
    </x:row>
    <x:row r="259">
      <x:c r="A259" s="22" t="n">
        <x:v>30</x:v>
      </x:c>
      <x:c r="B259" s="22" t="str">
        <x:v>8月3日-8月7日</x:v>
      </x:c>
      <x:c r="C259" s="23" t="n">
        <x:v>4526.4</x:v>
      </x:c>
      <x:c r="D259" s="23" t="n">
        <x:v>4656.2</x:v>
      </x:c>
      <x:c r="E259" s="23" t="n">
        <x:v>4494.2</x:v>
      </x:c>
      <x:c r="F259" s="23" t="n">
        <x:v>4645.6</x:v>
      </x:c>
      <x:c r="G259" s="23" t="n">
        <x:f>ROUND(F259-F258,1)</x:f>
        <x:v>107.6</x:v>
      </x:c>
      <x:c r="H259" s="24" t="n">
        <x:f>IFERROR(F259/F258-1,"")</x:f>
        <x:v>0.02371088585279857</x:v>
      </x:c>
      <x:c r="I259" s="26" t="n">
        <x:f>ROUND(D259-E259,1)</x:f>
        <x:v>162</x:v>
      </x:c>
      <x:c r="J259" s="22" t="str">
        <x:v>IF2609</x:v>
      </x:c>
      <x:c r="K259" s="22" t="n">
        <x:v>5</x:v>
      </x:c>
    </x:row>
    <x:row r="260">
      <x:c r="A260" s="22" t="n">
        <x:v>31</x:v>
      </x:c>
      <x:c r="B260" s="22" t="str">
        <x:v>8月10日-8月14日</x:v>
      </x:c>
      <x:c r="C260" s="23" t="n">
        <x:v>4656.8</x:v>
      </x:c>
      <x:c r="D260" s="23" t="n">
        <x:v>4681</x:v>
      </x:c>
      <x:c r="E260" s="23" t="n">
        <x:v>4598</x:v>
      </x:c>
      <x:c r="F260" s="23" t="n">
        <x:v>4620.4</x:v>
      </x:c>
      <x:c r="G260" s="23" t="n">
        <x:f>ROUND(F260-F259,1)</x:f>
        <x:v>-25.2</x:v>
      </x:c>
      <x:c r="H260" s="24" t="n">
        <x:f>IFERROR(F260/F259-1,"")</x:f>
        <x:v>-0.005424487687274104</x:v>
      </x:c>
      <x:c r="I260" s="23" t="n">
        <x:f>ROUND(D260-E260,1)</x:f>
        <x:v>83</x:v>
      </x:c>
      <x:c r="J260" s="22" t="str">
        <x:v>IF2609</x:v>
      </x:c>
      <x:c r="K260" s="22" t="n">
        <x:v>5</x:v>
      </x:c>
    </x:row>
    <x:row r="261">
      <x:c r="A261" s="22" t="n">
        <x:v>32</x:v>
      </x:c>
      <x:c r="B261" s="22" t="str">
        <x:v>8月17日-8月21日</x:v>
      </x:c>
      <x:c r="C261" s="23" t="n">
        <x:v>4624</x:v>
      </x:c>
      <x:c r="D261" s="23" t="n">
        <x:v>4700.6</x:v>
      </x:c>
      <x:c r="E261" s="23" t="n">
        <x:v>4531.8</x:v>
      </x:c>
      <x:c r="F261" s="23" t="n">
        <x:v>4576</x:v>
      </x:c>
      <x:c r="G261" s="23" t="n">
        <x:f>ROUND(F261-F260,1)</x:f>
        <x:v>-44.4</x:v>
      </x:c>
      <x:c r="H261" s="24" t="n">
        <x:f>IFERROR(F261/F260-1,"")</x:f>
        <x:v>-0.00960955761405935</x:v>
      </x:c>
      <x:c r="I261" s="26" t="n">
        <x:f>ROUND(D261-E261,1)</x:f>
        <x:v>168.8</x:v>
      </x:c>
      <x:c r="J261" s="22" t="str">
        <x:v>IF2609</x:v>
      </x:c>
      <x:c r="K261" s="22" t="n">
        <x:v>5</x:v>
      </x:c>
    </x:row>
    <x:row r="262">
      <x:c r="A262" s="22" t="n">
        <x:v>33</x:v>
      </x:c>
      <x:c r="B262" s="22" t="str">
        <x:v>8月24日-8月28日</x:v>
      </x:c>
      <x:c r="C262" s="23" t="n">
        <x:v>4607.4</x:v>
      </x:c>
      <x:c r="D262" s="23" t="n">
        <x:v>4620</x:v>
      </x:c>
      <x:c r="E262" s="23" t="n">
        <x:v>4486.4</x:v>
      </x:c>
      <x:c r="F262" s="23" t="n">
        <x:v>4593.6</x:v>
      </x:c>
      <x:c r="G262" s="23" t="n">
        <x:f>ROUND(F262-F261,1)</x:f>
        <x:v>17.6</x:v>
      </x:c>
      <x:c r="H262" s="24" t="n">
        <x:f>IFERROR(F262/F261-1,"")</x:f>
        <x:v>0.0038461538461538325</x:v>
      </x:c>
      <x:c r="I262" s="26" t="n">
        <x:f>ROUND(D262-E262,1)</x:f>
        <x:v>133.6</x:v>
      </x:c>
      <x:c r="J262" s="22" t="str">
        <x:v>IF2609</x:v>
      </x:c>
      <x:c r="K262" s="22" t="n">
        <x:v>5</x:v>
      </x:c>
    </x:row>
    <x:row r="263">
      <x:c r="A263" s="22" t="n">
        <x:v>34</x:v>
      </x:c>
      <x:c r="B263" s="22" t="str">
        <x:v>8月31日-9月4日</x:v>
      </x:c>
      <x:c r="C263" s="23" t="n">
        <x:v>4553</x:v>
      </x:c>
      <x:c r="D263" s="23" t="n">
        <x:v>4617.8</x:v>
      </x:c>
      <x:c r="E263" s="23" t="n">
        <x:v>4497.6</x:v>
      </x:c>
      <x:c r="F263" s="23" t="n">
        <x:v>4537.4</x:v>
      </x:c>
      <x:c r="G263" s="23" t="n">
        <x:f>ROUND(F263-F262,1)</x:f>
        <x:v>-56.2</x:v>
      </x:c>
      <x:c r="H263" s="24" t="n">
        <x:f>IFERROR(F263/F262-1,"")</x:f>
        <x:v>-0.01223441309648221</x:v>
      </x:c>
      <x:c r="I263" s="26" t="n">
        <x:f>ROUND(D263-E263,1)</x:f>
        <x:v>120.2</x:v>
      </x:c>
      <x:c r="J263" s="22" t="str">
        <x:v>IF2609</x:v>
      </x:c>
      <x:c r="K263" s="22" t="n">
        <x:v>5</x:v>
      </x:c>
    </x:row>
    <x:row r="264">
      <x:c r="A264" s="22" t="n">
        <x:v>35</x:v>
      </x:c>
      <x:c r="B264" s="22" t="str">
        <x:v>9月7日-9月11日</x:v>
      </x:c>
      <x:c r="C264" s="23" t="n">
        <x:v>4562</x:v>
      </x:c>
      <x:c r="D264" s="23" t="n">
        <x:v>4584</x:v>
      </x:c>
      <x:c r="E264" s="23" t="n">
        <x:v>4451.6</x:v>
      </x:c>
      <x:c r="F264" s="23" t="n">
        <x:v>4503.4</x:v>
      </x:c>
      <x:c r="G264" s="23" t="n">
        <x:f>ROUND(F264-F263,1)</x:f>
        <x:v>-34</x:v>
      </x:c>
      <x:c r="H264" s="24" t="n">
        <x:f>IFERROR(F264/F263-1,"")</x:f>
        <x:v>-0.007493278088773314</x:v>
      </x:c>
      <x:c r="I264" s="26" t="n">
        <x:f>ROUND(D264-E264,1)</x:f>
        <x:v>132.4</x:v>
      </x:c>
      <x:c r="J264" s="22" t="str">
        <x:v>IF2609</x:v>
      </x:c>
      <x:c r="K264" s="22" t="n">
        <x:v>5</x:v>
      </x:c>
    </x:row>
    <x:row r="265">
      <x:c r="A265" s="22" t="n">
        <x:v>36</x:v>
      </x:c>
      <x:c r="B265" s="22" t="str">
        <x:v>9月14日-9月18日</x:v>
      </x:c>
      <x:c r="C265" s="23" t="n">
        <x:v>4468</x:v>
      </x:c>
      <x:c r="D265" s="23" t="n">
        <x:v>4520.6</x:v>
      </x:c>
      <x:c r="E265" s="23" t="n">
        <x:v>4412.2</x:v>
      </x:c>
      <x:c r="F265" s="23" t="n">
        <x:v>4508</x:v>
      </x:c>
      <x:c r="G265" s="23" t="n">
        <x:f>ROUND(F265-F264,1)</x:f>
        <x:v>4.6</x:v>
      </x:c>
      <x:c r="H265" s="24" t="n">
        <x:f>IFERROR(F265/F264-1,"")</x:f>
        <x:v>0.0010214504596528506</x:v>
      </x:c>
      <x:c r="I265" s="26" t="n">
        <x:f>ROUND(D265-E265,1)</x:f>
        <x:v>108.4</x:v>
      </x:c>
      <x:c r="J265" s="22" t="str">
        <x:v>IF2609</x:v>
      </x:c>
      <x:c r="K265" s="22" t="n">
        <x:v>5</x:v>
      </x:c>
    </x:row>
    <x:row r="266">
      <x:c r="A266" s="22" t="n">
        <x:v>37</x:v>
      </x:c>
      <x:c r="B266" s="22" t="str">
        <x:v>9月21日-9月24日</x:v>
      </x:c>
      <x:c r="C266" s="23" t="n">
        <x:v>4451</x:v>
      </x:c>
      <x:c r="D266" s="23" t="n">
        <x:v>4520</x:v>
      </x:c>
      <x:c r="E266" s="23" t="n">
        <x:v>4367</x:v>
      </x:c>
      <x:c r="F266" s="23" t="n">
        <x:v>4375</x:v>
      </x:c>
      <x:c r="G266" s="23" t="n">
        <x:f>ROUND(F266-F265,1)</x:f>
        <x:v>-133</x:v>
      </x:c>
      <x:c r="H266" s="24" t="n">
        <x:f>IFERROR(F266/F265-1,"")</x:f>
        <x:v>-0.029503105590062084</x:v>
      </x:c>
      <x:c r="I266" s="26" t="n">
        <x:f>ROUND(D266-E266,1)</x:f>
        <x:v>153</x:v>
      </x:c>
      <x:c r="J266" s="22" t="str">
        <x:v>IF2612</x:v>
      </x:c>
      <x:c r="K266" s="22" t="n">
        <x:v>4</x:v>
      </x:c>
    </x:row>
    <x:row r="267">
      <x:c r="A267" s="22" t="n">
        <x:v>38</x:v>
      </x:c>
      <x:c r="B267" s="22" t="str">
        <x:v>9月28日-9月30日</x:v>
      </x:c>
      <x:c r="C267" s="23" t="n">
        <x:v>4365</x:v>
      </x:c>
      <x:c r="D267" s="23" t="n">
        <x:v>4366.8</x:v>
      </x:c>
      <x:c r="E267" s="23" t="n">
        <x:v>4246</x:v>
      </x:c>
      <x:c r="F267" s="23" t="n">
        <x:v>4300.8</x:v>
      </x:c>
      <x:c r="G267" s="23" t="n">
        <x:f>ROUND(F267-F266,1)</x:f>
        <x:v>-74.2</x:v>
      </x:c>
      <x:c r="H267" s="24" t="n">
        <x:f>IFERROR(F267/F266-1,"")</x:f>
        <x:v>-0.016959999999999975</x:v>
      </x:c>
      <x:c r="I267" s="26" t="n">
        <x:f>ROUND(D267-E267,1)</x:f>
        <x:v>120.8</x:v>
      </x:c>
      <x:c r="J267" s="22" t="str">
        <x:v>IF2612</x:v>
      </x:c>
      <x:c r="K267" s="22" t="n">
        <x:v>3</x:v>
      </x:c>
    </x:row>
    <x:row r="268">
      <x:c r="A268" s="22" t="n">
        <x:v>39</x:v>
      </x:c>
      <x:c r="B268" s="22" t="str">
        <x:v>10月8日-10月9日</x:v>
      </x:c>
      <x:c r="C268" s="23" t="n">
        <x:v>4300.8</x:v>
      </x:c>
      <x:c r="D268" s="23" t="n">
        <x:v>4331.6</x:v>
      </x:c>
      <x:c r="E268" s="23" t="n">
        <x:v>4180.4</x:v>
      </x:c>
      <x:c r="F268" s="23" t="n">
        <x:v>4244.8</x:v>
      </x:c>
      <x:c r="G268" s="23" t="n">
        <x:f>ROUND(F268-F267,1)</x:f>
        <x:v>-56</x:v>
      </x:c>
      <x:c r="H268" s="24" t="n">
        <x:f>IFERROR(F268/F267-1,"")</x:f>
        <x:v>-0.01302083333333337</x:v>
      </x:c>
      <x:c r="I268" s="26" t="n">
        <x:f>ROUND(D268-E268,1)</x:f>
        <x:v>151.2</x:v>
      </x:c>
      <x:c r="J268" s="22" t="str">
        <x:v>IF2612</x:v>
      </x:c>
      <x:c r="K268" s="22" t="n">
        <x:v>2</x:v>
      </x:c>
    </x:row>
    <x:row r="269">
      <x:c r="A269" s="22" t="n">
        <x:v>40</x:v>
      </x:c>
      <x:c r="B269" s="22" t="str">
        <x:v>10月12日-10月15日</x:v>
      </x:c>
      <x:c r="C269" s="23" t="n">
        <x:v>4240.4</x:v>
      </x:c>
      <x:c r="D269" s="23" t="n">
        <x:v>4273.6</x:v>
      </x:c>
      <x:c r="E269" s="23" t="n">
        <x:v>4045.2</x:v>
      </x:c>
      <x:c r="F269" s="23" t="n">
        <x:v>4092.6</x:v>
      </x:c>
      <x:c r="G269" s="28" t="n">
        <x:f>ROUND(F269-F268,1)</x:f>
        <x:v>-152.2</x:v>
      </x:c>
      <x:c r="H269" s="24" t="n">
        <x:f>IFERROR(F269/F268-1,"")</x:f>
        <x:v>-0.03585563513004153</x:v>
      </x:c>
      <x:c r="I269" s="26" t="n">
        <x:f>ROUND(D269-E269,1)</x:f>
        <x:v>228.4</x:v>
      </x:c>
      <x:c r="J269" s="22" t="str">
        <x:v>IF2612</x:v>
      </x:c>
      <x:c r="K269" s="22" t="n">
        <x:v>4</x:v>
      </x:c>
    </x:row>
    <x:row r="270">
      <x:c r="A270" s="31" t="str">
        <x:v>合计</x:v>
      </x:c>
      <x:c r="B270" s="30" t="n">
        <x:v>40</x:v>
      </x:c>
      <x:c r="C270" s="30"/>
      <x:c r="D270" s="30"/>
      <x:c r="E270" s="30"/>
      <x:c r="F270" s="30"/>
      <x:c r="G270" s="30"/>
      <x:c r="H270" s="30"/>
      <x:c r="I270" s="32" t="n">
        <x:f>ROUND(SUM(I230:I269),1)</x:f>
        <x:v>6367</x:v>
      </x:c>
      <x:c r="J270" s="30"/>
      <x:c r="K270" s="30"/>
    </x:row>
    <x:row r="271">
      <x:c r="A271" s="31" t="str">
        <x:v>均值</x:v>
      </x:c>
      <x:c r="B271" s="30"/>
      <x:c r="C271" s="30"/>
      <x:c r="D271" s="30"/>
      <x:c r="E271" s="30"/>
      <x:c r="F271" s="30"/>
      <x:c r="G271" s="30"/>
      <x:c r="H271" s="30"/>
      <x:c r="I271" s="34" t="n">
        <x:f>ROUND(IFERROR(AVERAGE(I230:I269),0),1)</x:f>
        <x:v>159.2</x:v>
      </x:c>
      <x:c r="J271" s="30"/>
      <x:c r="K271" s="30"/>
    </x:row>
    <x:row r="273">
      <x:c r="A273" s="17" t="str">
        <x:v>IH主力</x:v>
      </x:c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</x:row>
    <x:row r="274">
      <x:c r="A274" s="20" t="str">
        <x:v>序号</x:v>
      </x:c>
      <x:c r="B274" s="20" t="str">
        <x:v>周期</x:v>
      </x:c>
      <x:c r="C274" s="20" t="str">
        <x:v>开盘</x:v>
      </x:c>
      <x:c r="D274" s="20" t="str">
        <x:v>高点</x:v>
      </x:c>
      <x:c r="E274" s="20" t="str">
        <x:v>低点</x:v>
      </x:c>
      <x:c r="F274" s="20" t="str">
        <x:v>收盘</x:v>
      </x:c>
      <x:c r="G274" s="20" t="str">
        <x:v>涨跌点数</x:v>
      </x:c>
      <x:c r="H274" s="20" t="str">
        <x:v>涨幅</x:v>
      </x:c>
      <x:c r="I274" s="20" t="str">
        <x:v>振幅</x:v>
      </x:c>
      <x:c r="J274" s="20" t="str">
        <x:v>标的</x:v>
      </x:c>
      <x:c r="K274" s="20" t="str">
        <x:v>交易日</x:v>
      </x:c>
    </x:row>
    <x:row r="275">
      <x:c r="A275" s="22" t="n">
        <x:v>1</x:v>
      </x:c>
      <x:c r="B275" s="22" t="str">
        <x:v>1月5日-1月9日</x:v>
      </x:c>
      <x:c r="C275" s="23" t="n">
        <x:v>3040.8</x:v>
      </x:c>
      <x:c r="D275" s="23" t="n">
        <x:v>3165.6</x:v>
      </x:c>
      <x:c r="E275" s="23" t="n">
        <x:v>3040.8</x:v>
      </x:c>
      <x:c r="F275" s="23" t="n">
        <x:v>3134.8</x:v>
      </x:c>
      <x:c r="G275" s="23"/>
      <x:c r="H275" s="24"/>
      <x:c r="I275" s="26" t="n">
        <x:f>ROUND(D275-E275,1)</x:f>
        <x:v>124.8</x:v>
      </x:c>
      <x:c r="J275" s="22" t="str">
        <x:v>IH2603</x:v>
      </x:c>
      <x:c r="K275" s="22" t="n">
        <x:v>5</x:v>
      </x:c>
    </x:row>
    <x:row r="276">
      <x:c r="A276" s="22" t="n">
        <x:v>2</x:v>
      </x:c>
      <x:c r="B276" s="22" t="str">
        <x:v>1月12日-1月16日</x:v>
      </x:c>
      <x:c r="C276" s="23" t="n">
        <x:v>3148.4</x:v>
      </x:c>
      <x:c r="D276" s="23" t="n">
        <x:v>3181.2</x:v>
      </x:c>
      <x:c r="E276" s="23" t="n">
        <x:v>3074.4</x:v>
      </x:c>
      <x:c r="F276" s="23" t="n">
        <x:v>3084.4</x:v>
      </x:c>
      <x:c r="G276" s="23" t="n">
        <x:f>ROUND(F276-F275,1)</x:f>
        <x:v>-50.4</x:v>
      </x:c>
      <x:c r="H276" s="24" t="n">
        <x:f>IFERROR(F276/F275-1,"")</x:f>
        <x:v>-0.016077580706903127</x:v>
      </x:c>
      <x:c r="I276" s="26" t="n">
        <x:f>ROUND(D276-E276,1)</x:f>
        <x:v>106.8</x:v>
      </x:c>
      <x:c r="J276" s="22" t="str">
        <x:v>IH2603</x:v>
      </x:c>
      <x:c r="K276" s="22" t="n">
        <x:v>5</x:v>
      </x:c>
    </x:row>
    <x:row r="277">
      <x:c r="A277" s="22" t="n">
        <x:v>3</x:v>
      </x:c>
      <x:c r="B277" s="22" t="str">
        <x:v>1月19日-1月23日</x:v>
      </x:c>
      <x:c r="C277" s="23" t="n">
        <x:v>3081.2</x:v>
      </x:c>
      <x:c r="D277" s="23" t="n">
        <x:v>3102.6</x:v>
      </x:c>
      <x:c r="E277" s="23" t="n">
        <x:v>3036.2</x:v>
      </x:c>
      <x:c r="F277" s="23" t="n">
        <x:v>3037.8</x:v>
      </x:c>
      <x:c r="G277" s="23" t="n">
        <x:f>ROUND(F277-F276,1)</x:f>
        <x:v>-46.6</x:v>
      </x:c>
      <x:c r="H277" s="24" t="n">
        <x:f>IFERROR(F277/F276-1,"")</x:f>
        <x:v>-0.015108286862923093</x:v>
      </x:c>
      <x:c r="I277" s="26" t="n">
        <x:f>ROUND(D277-E277,1)</x:f>
        <x:v>66.4</x:v>
      </x:c>
      <x:c r="J277" s="22" t="str">
        <x:v>IH2603</x:v>
      </x:c>
      <x:c r="K277" s="22" t="n">
        <x:v>5</x:v>
      </x:c>
    </x:row>
    <x:row r="278">
      <x:c r="A278" s="22" t="n">
        <x:v>4</x:v>
      </x:c>
      <x:c r="B278" s="22" t="str">
        <x:v>1月26日-1月30日</x:v>
      </x:c>
      <x:c r="C278" s="23" t="n">
        <x:v>3049.8</x:v>
      </x:c>
      <x:c r="D278" s="23" t="n">
        <x:v>3136.6</x:v>
      </x:c>
      <x:c r="E278" s="23" t="n">
        <x:v>3044</x:v>
      </x:c>
      <x:c r="F278" s="23" t="n">
        <x:v>3074</x:v>
      </x:c>
      <x:c r="G278" s="23" t="n">
        <x:f>ROUND(F278-F277,1)</x:f>
        <x:v>36.2</x:v>
      </x:c>
      <x:c r="H278" s="24" t="n">
        <x:f>IFERROR(F278/F277-1,"")</x:f>
        <x:v>0.011916518533148901</x:v>
      </x:c>
      <x:c r="I278" s="26" t="n">
        <x:f>ROUND(D278-E278,1)</x:f>
        <x:v>92.6</x:v>
      </x:c>
      <x:c r="J278" s="22" t="str">
        <x:v>IH2603</x:v>
      </x:c>
      <x:c r="K278" s="22" t="n">
        <x:v>5</x:v>
      </x:c>
    </x:row>
    <x:row r="279">
      <x:c r="A279" s="22" t="n">
        <x:v>5</x:v>
      </x:c>
      <x:c r="B279" s="22" t="str">
        <x:v>2月2日-2月6日</x:v>
      </x:c>
      <x:c r="C279" s="23" t="n">
        <x:v>3039.4</x:v>
      </x:c>
      <x:c r="D279" s="23" t="n">
        <x:v>3081</x:v>
      </x:c>
      <x:c r="E279" s="23" t="n">
        <x:v>2984</x:v>
      </x:c>
      <x:c r="F279" s="23" t="n">
        <x:v>3036.2</x:v>
      </x:c>
      <x:c r="G279" s="23" t="n">
        <x:f>ROUND(F279-F278,1)</x:f>
        <x:v>-37.8</x:v>
      </x:c>
      <x:c r="H279" s="24" t="n">
        <x:f>IFERROR(F279/F278-1,"")</x:f>
        <x:v>-0.012296681847755453</x:v>
      </x:c>
      <x:c r="I279" s="26" t="n">
        <x:f>ROUND(D279-E279,1)</x:f>
        <x:v>97</x:v>
      </x:c>
      <x:c r="J279" s="22" t="str">
        <x:v>IH2603</x:v>
      </x:c>
      <x:c r="K279" s="22" t="n">
        <x:v>5</x:v>
      </x:c>
    </x:row>
    <x:row r="280">
      <x:c r="A280" s="22" t="n">
        <x:v>6</x:v>
      </x:c>
      <x:c r="B280" s="22" t="str">
        <x:v>2月9日-2月13日</x:v>
      </x:c>
      <x:c r="C280" s="23" t="n">
        <x:v>3060.6</x:v>
      </x:c>
      <x:c r="D280" s="23" t="n">
        <x:v>3098</x:v>
      </x:c>
      <x:c r="E280" s="23" t="n">
        <x:v>3020</x:v>
      </x:c>
      <x:c r="F280" s="23" t="n">
        <x:v>3020</x:v>
      </x:c>
      <x:c r="G280" s="23" t="n">
        <x:f>ROUND(F280-F279,1)</x:f>
        <x:v>-16.2</x:v>
      </x:c>
      <x:c r="H280" s="24" t="n">
        <x:f>IFERROR(F280/F279-1,"")</x:f>
        <x:v>-0.005335616889532879</x:v>
      </x:c>
      <x:c r="I280" s="26" t="n">
        <x:f>ROUND(D280-E280,1)</x:f>
        <x:v>78</x:v>
      </x:c>
      <x:c r="J280" s="22" t="str">
        <x:v>IH2603</x:v>
      </x:c>
      <x:c r="K280" s="22" t="n">
        <x:v>5</x:v>
      </x:c>
    </x:row>
    <x:row r="281">
      <x:c r="A281" s="22" t="n">
        <x:v>7</x:v>
      </x:c>
      <x:c r="B281" s="22" t="str">
        <x:v>2月24日-2月27日</x:v>
      </x:c>
      <x:c r="C281" s="23" t="n">
        <x:v>3049.2</x:v>
      </x:c>
      <x:c r="D281" s="23" t="n">
        <x:v>3086.4</x:v>
      </x:c>
      <x:c r="E281" s="23" t="n">
        <x:v>3022</x:v>
      </x:c>
      <x:c r="F281" s="23" t="n">
        <x:v>3045.4</x:v>
      </x:c>
      <x:c r="G281" s="23" t="n">
        <x:f>ROUND(F281-F280,1)</x:f>
        <x:v>25.4</x:v>
      </x:c>
      <x:c r="H281" s="24" t="n">
        <x:f>IFERROR(F281/F280-1,"")</x:f>
        <x:v>0.008410596026490191</x:v>
      </x:c>
      <x:c r="I281" s="26" t="n">
        <x:f>ROUND(D281-E281,1)</x:f>
        <x:v>64.4</x:v>
      </x:c>
      <x:c r="J281" s="22" t="str">
        <x:v>IH2603</x:v>
      </x:c>
      <x:c r="K281" s="22" t="n">
        <x:v>4</x:v>
      </x:c>
    </x:row>
    <x:row r="282">
      <x:c r="A282" s="22" t="n">
        <x:v>8</x:v>
      </x:c>
      <x:c r="B282" s="22" t="str">
        <x:v>3月2日-3月6日</x:v>
      </x:c>
      <x:c r="C282" s="23" t="n">
        <x:v>3038</x:v>
      </x:c>
      <x:c r="D282" s="23" t="n">
        <x:v>3056</x:v>
      </x:c>
      <x:c r="E282" s="23" t="n">
        <x:v>2950</x:v>
      </x:c>
      <x:c r="F282" s="23" t="n">
        <x:v>2990</x:v>
      </x:c>
      <x:c r="G282" s="23" t="n">
        <x:f>ROUND(F282-F281,1)</x:f>
        <x:v>-55.4</x:v>
      </x:c>
      <x:c r="H282" s="24" t="n">
        <x:f>IFERROR(F282/F281-1,"")</x:f>
        <x:v>-0.018191370591712164</x:v>
      </x:c>
      <x:c r="I282" s="26" t="n">
        <x:f>ROUND(D282-E282,1)</x:f>
        <x:v>106</x:v>
      </x:c>
      <x:c r="J282" s="22" t="str">
        <x:v>IH2603</x:v>
      </x:c>
      <x:c r="K282" s="22" t="n">
        <x:v>5</x:v>
      </x:c>
    </x:row>
    <x:row r="283">
      <x:c r="A283" s="22" t="n">
        <x:v>9</x:v>
      </x:c>
      <x:c r="B283" s="22" t="str">
        <x:v>3月9日-3月13日</x:v>
      </x:c>
      <x:c r="C283" s="23" t="n">
        <x:v>2965.4</x:v>
      </x:c>
      <x:c r="D283" s="23" t="n">
        <x:v>2989</x:v>
      </x:c>
      <x:c r="E283" s="23" t="n">
        <x:v>2912.6</x:v>
      </x:c>
      <x:c r="F283" s="23" t="n">
        <x:v>2957</x:v>
      </x:c>
      <x:c r="G283" s="23" t="n">
        <x:f>ROUND(F283-F282,1)</x:f>
        <x:v>-33</x:v>
      </x:c>
      <x:c r="H283" s="24" t="n">
        <x:f>IFERROR(F283/F282-1,"")</x:f>
        <x:v>-0.011036789297658833</x:v>
      </x:c>
      <x:c r="I283" s="26" t="n">
        <x:f>ROUND(D283-E283,1)</x:f>
        <x:v>76.4</x:v>
      </x:c>
      <x:c r="J283" s="22" t="str">
        <x:v>IH2603</x:v>
      </x:c>
      <x:c r="K283" s="22" t="n">
        <x:v>5</x:v>
      </x:c>
    </x:row>
    <x:row r="284">
      <x:c r="A284" s="22" t="n">
        <x:v>10</x:v>
      </x:c>
      <x:c r="B284" s="22" t="str">
        <x:v>3月16日-3月20日</x:v>
      </x:c>
      <x:c r="C284" s="23" t="n">
        <x:v>2953</x:v>
      </x:c>
      <x:c r="D284" s="23" t="n">
        <x:v>2996.6</x:v>
      </x:c>
      <x:c r="E284" s="23" t="n">
        <x:v>2896</x:v>
      </x:c>
      <x:c r="F284" s="23" t="n">
        <x:v>2898.4</x:v>
      </x:c>
      <x:c r="G284" s="23" t="n">
        <x:f>ROUND(F284-F283,1)</x:f>
        <x:v>-58.6</x:v>
      </x:c>
      <x:c r="H284" s="24" t="n">
        <x:f>IFERROR(F284/F283-1,"")</x:f>
        <x:v>-0.019817382482245516</x:v>
      </x:c>
      <x:c r="I284" s="26" t="n">
        <x:f>ROUND(D284-E284,1)</x:f>
        <x:v>100.6</x:v>
      </x:c>
      <x:c r="J284" s="22" t="str">
        <x:v>IH2603</x:v>
      </x:c>
      <x:c r="K284" s="22" t="n">
        <x:v>5</x:v>
      </x:c>
    </x:row>
    <x:row r="285">
      <x:c r="A285" s="22" t="n">
        <x:v>11</x:v>
      </x:c>
      <x:c r="B285" s="22" t="str">
        <x:v>3月23日-3月27日</x:v>
      </x:c>
      <x:c r="C285" s="23" t="n">
        <x:v>2830</x:v>
      </x:c>
      <x:c r="D285" s="23" t="n">
        <x:v>2847.6</x:v>
      </x:c>
      <x:c r="E285" s="23" t="n">
        <x:v>2750.8</x:v>
      </x:c>
      <x:c r="F285" s="23" t="n">
        <x:v>2814.4</x:v>
      </x:c>
      <x:c r="G285" s="23" t="n">
        <x:f>ROUND(F285-F284,1)</x:f>
        <x:v>-84</x:v>
      </x:c>
      <x:c r="H285" s="24" t="n">
        <x:f>IFERROR(F285/F284-1,"")</x:f>
        <x:v>-0.028981507038365995</x:v>
      </x:c>
      <x:c r="I285" s="26" t="n">
        <x:f>ROUND(D285-E285,1)</x:f>
        <x:v>96.8</x:v>
      </x:c>
      <x:c r="J285" s="22" t="str">
        <x:v>IH2606</x:v>
      </x:c>
      <x:c r="K285" s="22" t="n">
        <x:v>5</x:v>
      </x:c>
    </x:row>
    <x:row r="286">
      <x:c r="A286" s="22" t="n">
        <x:v>12</x:v>
      </x:c>
      <x:c r="B286" s="22" t="str">
        <x:v>3月30日-4月3日</x:v>
      </x:c>
      <x:c r="C286" s="23" t="n">
        <x:v>2794.8</x:v>
      </x:c>
      <x:c r="D286" s="23" t="n">
        <x:v>2865.4</x:v>
      </x:c>
      <x:c r="E286" s="23" t="n">
        <x:v>2780.4</x:v>
      </x:c>
      <x:c r="F286" s="23" t="n">
        <x:v>2804.4</x:v>
      </x:c>
      <x:c r="G286" s="23" t="n">
        <x:f>ROUND(F286-F285,1)</x:f>
        <x:v>-10</x:v>
      </x:c>
      <x:c r="H286" s="24" t="n">
        <x:f>IFERROR(F286/F285-1,"")</x:f>
        <x:v>-0.0035531552018192025</x:v>
      </x:c>
      <x:c r="I286" s="26" t="n">
        <x:f>ROUND(D286-E286,1)</x:f>
        <x:v>85</x:v>
      </x:c>
      <x:c r="J286" s="22" t="str">
        <x:v>IH2606</x:v>
      </x:c>
      <x:c r="K286" s="22" t="n">
        <x:v>5</x:v>
      </x:c>
    </x:row>
    <x:row r="287">
      <x:c r="A287" s="22" t="n">
        <x:v>13</x:v>
      </x:c>
      <x:c r="B287" s="22" t="str">
        <x:v>4月7日-4月10日</x:v>
      </x:c>
      <x:c r="C287" s="23" t="n">
        <x:v>2810.4</x:v>
      </x:c>
      <x:c r="D287" s="23" t="n">
        <x:v>2896</x:v>
      </x:c>
      <x:c r="E287" s="23" t="n">
        <x:v>2797.2</x:v>
      </x:c>
      <x:c r="F287" s="23" t="n">
        <x:v>2873.2</x:v>
      </x:c>
      <x:c r="G287" s="23" t="n">
        <x:f>ROUND(F287-F286,1)</x:f>
        <x:v>68.8</x:v>
      </x:c>
      <x:c r="H287" s="24" t="n">
        <x:f>IFERROR(F287/F286-1,"")</x:f>
        <x:v>0.02453287690771644</x:v>
      </x:c>
      <x:c r="I287" s="26" t="n">
        <x:f>ROUND(D287-E287,1)</x:f>
        <x:v>98.8</x:v>
      </x:c>
      <x:c r="J287" s="22" t="str">
        <x:v>IH2606</x:v>
      </x:c>
      <x:c r="K287" s="22" t="n">
        <x:v>4</x:v>
      </x:c>
    </x:row>
    <x:row r="288">
      <x:c r="A288" s="22" t="n">
        <x:v>14</x:v>
      </x:c>
      <x:c r="B288" s="22" t="str">
        <x:v>4月13日-4月17日</x:v>
      </x:c>
      <x:c r="C288" s="23" t="n">
        <x:v>2864.6</x:v>
      </x:c>
      <x:c r="D288" s="23" t="n">
        <x:v>2930.8</x:v>
      </x:c>
      <x:c r="E288" s="23" t="n">
        <x:v>2860</x:v>
      </x:c>
      <x:c r="F288" s="23" t="n">
        <x:v>2888</x:v>
      </x:c>
      <x:c r="G288" s="23" t="n">
        <x:f>ROUND(F288-F287,1)</x:f>
        <x:v>14.8</x:v>
      </x:c>
      <x:c r="H288" s="24" t="n">
        <x:f>IFERROR(F288/F287-1,"")</x:f>
        <x:v>0.005151051092858294</x:v>
      </x:c>
      <x:c r="I288" s="26" t="n">
        <x:f>ROUND(D288-E288,1)</x:f>
        <x:v>70.8</x:v>
      </x:c>
      <x:c r="J288" s="22" t="str">
        <x:v>IH2606</x:v>
      </x:c>
      <x:c r="K288" s="22" t="n">
        <x:v>5</x:v>
      </x:c>
    </x:row>
    <x:row r="289">
      <x:c r="A289" s="22" t="n">
        <x:v>15</x:v>
      </x:c>
      <x:c r="B289" s="22" t="str">
        <x:v>4月20日-4月24日</x:v>
      </x:c>
      <x:c r="C289" s="23" t="n">
        <x:v>2900.8</x:v>
      </x:c>
      <x:c r="D289" s="23" t="n">
        <x:v>2934.2</x:v>
      </x:c>
      <x:c r="E289" s="23" t="n">
        <x:v>2891</x:v>
      </x:c>
      <x:c r="F289" s="23" t="n">
        <x:v>2929</x:v>
      </x:c>
      <x:c r="G289" s="23" t="n">
        <x:f>ROUND(F289-F288,1)</x:f>
        <x:v>41</x:v>
      </x:c>
      <x:c r="H289" s="24" t="n">
        <x:f>IFERROR(F289/F288-1,"")</x:f>
        <x:v>0.014196675900276956</x:v>
      </x:c>
      <x:c r="I289" s="23" t="n">
        <x:f>ROUND(D289-E289,1)</x:f>
        <x:v>43.2</x:v>
      </x:c>
      <x:c r="J289" s="22" t="str">
        <x:v>IH2606</x:v>
      </x:c>
      <x:c r="K289" s="22" t="n">
        <x:v>5</x:v>
      </x:c>
    </x:row>
    <x:row r="290">
      <x:c r="A290" s="22" t="n">
        <x:v>16</x:v>
      </x:c>
      <x:c r="B290" s="22" t="str">
        <x:v>4月27日-4月30日</x:v>
      </x:c>
      <x:c r="C290" s="23" t="n">
        <x:v>2929.2</x:v>
      </x:c>
      <x:c r="D290" s="23" t="n">
        <x:v>2970</x:v>
      </x:c>
      <x:c r="E290" s="23" t="n">
        <x:v>2917</x:v>
      </x:c>
      <x:c r="F290" s="23" t="n">
        <x:v>2968.8</x:v>
      </x:c>
      <x:c r="G290" s="23" t="n">
        <x:f>ROUND(F290-F289,1)</x:f>
        <x:v>39.8</x:v>
      </x:c>
      <x:c r="H290" s="24" t="n">
        <x:f>IFERROR(F290/F289-1,"")</x:f>
        <x:v>0.013588255377261937</x:v>
      </x:c>
      <x:c r="I290" s="23" t="n">
        <x:f>ROUND(D290-E290,1)</x:f>
        <x:v>53</x:v>
      </x:c>
      <x:c r="J290" s="22" t="str">
        <x:v>IH2606</x:v>
      </x:c>
      <x:c r="K290" s="22" t="n">
        <x:v>4</x:v>
      </x:c>
    </x:row>
    <x:row r="291">
      <x:c r="A291" s="22" t="n">
        <x:v>17</x:v>
      </x:c>
      <x:c r="B291" s="22" t="str">
        <x:v>5月6日-5月8日</x:v>
      </x:c>
      <x:c r="C291" s="23" t="n">
        <x:v>2995.2</x:v>
      </x:c>
      <x:c r="D291" s="23" t="n">
        <x:v>3024.8</x:v>
      </x:c>
      <x:c r="E291" s="23" t="n">
        <x:v>2969.2</x:v>
      </x:c>
      <x:c r="F291" s="23" t="n">
        <x:v>2981.6</x:v>
      </x:c>
      <x:c r="G291" s="23" t="n">
        <x:f>ROUND(F291-F290,1)</x:f>
        <x:v>12.8</x:v>
      </x:c>
      <x:c r="H291" s="24" t="n">
        <x:f>IFERROR(F291/F290-1,"")</x:f>
        <x:v>0.0043115063325247505</x:v>
      </x:c>
      <x:c r="I291" s="23" t="n">
        <x:f>ROUND(D291-E291,1)</x:f>
        <x:v>55.6</x:v>
      </x:c>
      <x:c r="J291" s="22" t="str">
        <x:v>IH2606</x:v>
      </x:c>
      <x:c r="K291" s="22" t="n">
        <x:v>3</x:v>
      </x:c>
    </x:row>
    <x:row r="292">
      <x:c r="A292" s="22" t="n">
        <x:v>18</x:v>
      </x:c>
      <x:c r="B292" s="22" t="str">
        <x:v>5月11日-5月15日</x:v>
      </x:c>
      <x:c r="C292" s="23" t="n">
        <x:v>2997.6</x:v>
      </x:c>
      <x:c r="D292" s="23" t="n">
        <x:v>3041.8</x:v>
      </x:c>
      <x:c r="E292" s="23" t="n">
        <x:v>2927</x:v>
      </x:c>
      <x:c r="F292" s="23" t="n">
        <x:v>2945</x:v>
      </x:c>
      <x:c r="G292" s="23" t="n">
        <x:f>ROUND(F292-F291,1)</x:f>
        <x:v>-36.6</x:v>
      </x:c>
      <x:c r="H292" s="24" t="n">
        <x:f>IFERROR(F292/F291-1,"")</x:f>
        <x:v>-0.012275288435739218</x:v>
      </x:c>
      <x:c r="I292" s="26" t="n">
        <x:f>ROUND(D292-E292,1)</x:f>
        <x:v>114.8</x:v>
      </x:c>
      <x:c r="J292" s="22" t="str">
        <x:v>IH2606</x:v>
      </x:c>
      <x:c r="K292" s="22" t="n">
        <x:v>5</x:v>
      </x:c>
    </x:row>
    <x:row r="293">
      <x:c r="A293" s="22" t="n">
        <x:v>19</x:v>
      </x:c>
      <x:c r="B293" s="22" t="str">
        <x:v>5月18日-5月22日</x:v>
      </x:c>
      <x:c r="C293" s="23" t="n">
        <x:v>2936</x:v>
      </x:c>
      <x:c r="D293" s="23" t="n">
        <x:v>2981.8</x:v>
      </x:c>
      <x:c r="E293" s="23" t="n">
        <x:v>2893.2</x:v>
      </x:c>
      <x:c r="F293" s="23" t="n">
        <x:v>2899.2</x:v>
      </x:c>
      <x:c r="G293" s="23" t="n">
        <x:f>ROUND(F293-F292,1)</x:f>
        <x:v>-45.8</x:v>
      </x:c>
      <x:c r="H293" s="24" t="n">
        <x:f>IFERROR(F293/F292-1,"")</x:f>
        <x:v>-0.015551782682512783</x:v>
      </x:c>
      <x:c r="I293" s="26" t="n">
        <x:f>ROUND(D293-E293,1)</x:f>
        <x:v>88.6</x:v>
      </x:c>
      <x:c r="J293" s="22" t="str">
        <x:v>IH2606</x:v>
      </x:c>
      <x:c r="K293" s="22" t="n">
        <x:v>5</x:v>
      </x:c>
    </x:row>
    <x:row r="294">
      <x:c r="A294" s="22" t="n">
        <x:v>20</x:v>
      </x:c>
      <x:c r="B294" s="22" t="str">
        <x:v>5月25日-5月29日</x:v>
      </x:c>
      <x:c r="C294" s="23" t="n">
        <x:v>2910.8</x:v>
      </x:c>
      <x:c r="D294" s="23" t="n">
        <x:v>2960</x:v>
      </x:c>
      <x:c r="E294" s="23" t="n">
        <x:v>2871</x:v>
      </x:c>
      <x:c r="F294" s="23" t="n">
        <x:v>2900.6</x:v>
      </x:c>
      <x:c r="G294" s="23" t="n">
        <x:f>ROUND(F294-F293,1)</x:f>
        <x:v>1.4</x:v>
      </x:c>
      <x:c r="H294" s="24" t="n">
        <x:f>IFERROR(F294/F293-1,"")</x:f>
        <x:v>0.0004828918322297149</x:v>
      </x:c>
      <x:c r="I294" s="26" t="n">
        <x:f>ROUND(D294-E294,1)</x:f>
        <x:v>89</x:v>
      </x:c>
      <x:c r="J294" s="22" t="str">
        <x:v>IH2606</x:v>
      </x:c>
      <x:c r="K294" s="22" t="n">
        <x:v>5</x:v>
      </x:c>
    </x:row>
    <x:row r="295">
      <x:c r="A295" s="22" t="n">
        <x:v>21</x:v>
      </x:c>
      <x:c r="B295" s="22" t="str">
        <x:v>6月1日-6月5日</x:v>
      </x:c>
      <x:c r="C295" s="23" t="n">
        <x:v>2901</x:v>
      </x:c>
      <x:c r="D295" s="23" t="n">
        <x:v>2924.2</x:v>
      </x:c>
      <x:c r="E295" s="23" t="n">
        <x:v>2841.6</x:v>
      </x:c>
      <x:c r="F295" s="23" t="n">
        <x:v>2844</x:v>
      </x:c>
      <x:c r="G295" s="23" t="n">
        <x:f>ROUND(F295-F294,1)</x:f>
        <x:v>-56.6</x:v>
      </x:c>
      <x:c r="H295" s="24" t="n">
        <x:f>IFERROR(F295/F294-1,"")</x:f>
        <x:v>-0.019513204164655518</x:v>
      </x:c>
      <x:c r="I295" s="26" t="n">
        <x:f>ROUND(D295-E295,1)</x:f>
        <x:v>82.6</x:v>
      </x:c>
      <x:c r="J295" s="22" t="str">
        <x:v>IH2606</x:v>
      </x:c>
      <x:c r="K295" s="22" t="n">
        <x:v>5</x:v>
      </x:c>
    </x:row>
    <x:row r="296">
      <x:c r="A296" s="22" t="n">
        <x:v>22</x:v>
      </x:c>
      <x:c r="B296" s="22" t="str">
        <x:v>6月8日-6月12日</x:v>
      </x:c>
      <x:c r="C296" s="23" t="n">
        <x:v>2808.4</x:v>
      </x:c>
      <x:c r="D296" s="23" t="n">
        <x:v>2902.6</x:v>
      </x:c>
      <x:c r="E296" s="23" t="n">
        <x:v>2791.2</x:v>
      </x:c>
      <x:c r="F296" s="23" t="n">
        <x:v>2897.2</x:v>
      </x:c>
      <x:c r="G296" s="23" t="n">
        <x:f>ROUND(F296-F295,1)</x:f>
        <x:v>53.2</x:v>
      </x:c>
      <x:c r="H296" s="24" t="n">
        <x:f>IFERROR(F296/F295-1,"")</x:f>
        <x:v>0.01870604781997187</x:v>
      </x:c>
      <x:c r="I296" s="26" t="n">
        <x:f>ROUND(D296-E296,1)</x:f>
        <x:v>111.4</x:v>
      </x:c>
      <x:c r="J296" s="22" t="str">
        <x:v>IH2606</x:v>
      </x:c>
      <x:c r="K296" s="22" t="n">
        <x:v>5</x:v>
      </x:c>
    </x:row>
    <x:row r="297">
      <x:c r="A297" s="22" t="n">
        <x:v>23</x:v>
      </x:c>
      <x:c r="B297" s="22" t="str">
        <x:v>6月15日-6月18日</x:v>
      </x:c>
      <x:c r="C297" s="23" t="n">
        <x:v>2926.2</x:v>
      </x:c>
      <x:c r="D297" s="23" t="n">
        <x:v>2954.6</x:v>
      </x:c>
      <x:c r="E297" s="23" t="n">
        <x:v>2903.4</x:v>
      </x:c>
      <x:c r="F297" s="23" t="n">
        <x:v>2941</x:v>
      </x:c>
      <x:c r="G297" s="23" t="n">
        <x:f>ROUND(F297-F296,1)</x:f>
        <x:v>43.8</x:v>
      </x:c>
      <x:c r="H297" s="24" t="n">
        <x:f>IFERROR(F297/F296-1,"")</x:f>
        <x:v>0.01511804500897429</x:v>
      </x:c>
      <x:c r="I297" s="23" t="n">
        <x:f>ROUND(D297-E297,1)</x:f>
        <x:v>51.2</x:v>
      </x:c>
      <x:c r="J297" s="22" t="str">
        <x:v>IH2606</x:v>
      </x:c>
      <x:c r="K297" s="22" t="n">
        <x:v>4</x:v>
      </x:c>
    </x:row>
    <x:row r="298">
      <x:c r="A298" s="22" t="n">
        <x:v>24</x:v>
      </x:c>
      <x:c r="B298" s="22" t="str">
        <x:v>6月22日-6月26日</x:v>
      </x:c>
      <x:c r="C298" s="23" t="n">
        <x:v>2936</x:v>
      </x:c>
      <x:c r="D298" s="23" t="n">
        <x:v>2996</x:v>
      </x:c>
      <x:c r="E298" s="23" t="n">
        <x:v>2834.8</x:v>
      </x:c>
      <x:c r="F298" s="23" t="n">
        <x:v>2859</x:v>
      </x:c>
      <x:c r="G298" s="23" t="n">
        <x:f>ROUND(F298-F297,1)</x:f>
        <x:v>-82</x:v>
      </x:c>
      <x:c r="H298" s="24" t="n">
        <x:f>IFERROR(F298/F297-1,"")</x:f>
        <x:v>-0.02788167290037402</x:v>
      </x:c>
      <x:c r="I298" s="26" t="n">
        <x:f>ROUND(D298-E298,1)</x:f>
        <x:v>161.2</x:v>
      </x:c>
      <x:c r="J298" s="22" t="str">
        <x:v>IH2606/IH2609</x:v>
      </x:c>
      <x:c r="K298" s="22" t="n">
        <x:v>5</x:v>
      </x:c>
    </x:row>
    <x:row r="299">
      <x:c r="A299" s="22" t="n">
        <x:v>25</x:v>
      </x:c>
      <x:c r="B299" s="22" t="str">
        <x:v>6月29日-7月3日</x:v>
      </x:c>
      <x:c r="C299" s="23" t="n">
        <x:v>2870</x:v>
      </x:c>
      <x:c r="D299" s="23" t="n">
        <x:v>2976</x:v>
      </x:c>
      <x:c r="E299" s="23" t="n">
        <x:v>2861.8</x:v>
      </x:c>
      <x:c r="F299" s="23" t="n">
        <x:v>2886.6</x:v>
      </x:c>
      <x:c r="G299" s="23" t="n">
        <x:f>ROUND(F299-F298,1)</x:f>
        <x:v>27.6</x:v>
      </x:c>
      <x:c r="H299" s="24" t="n">
        <x:f>IFERROR(F299/F298-1,"")</x:f>
        <x:v>0.009653725078698772</x:v>
      </x:c>
      <x:c r="I299" s="26" t="n">
        <x:f>ROUND(D299-E299,1)</x:f>
        <x:v>114.2</x:v>
      </x:c>
      <x:c r="J299" s="22" t="str">
        <x:v>IH2609</x:v>
      </x:c>
      <x:c r="K299" s="22" t="n">
        <x:v>5</x:v>
      </x:c>
    </x:row>
    <x:row r="300">
      <x:c r="A300" s="22" t="n">
        <x:v>26</x:v>
      </x:c>
      <x:c r="B300" s="22" t="str">
        <x:v>7月6日-7月10日</x:v>
      </x:c>
      <x:c r="C300" s="23" t="n">
        <x:v>2899</x:v>
      </x:c>
      <x:c r="D300" s="23" t="n">
        <x:v>2983.8</x:v>
      </x:c>
      <x:c r="E300" s="23" t="n">
        <x:v>2862.4</x:v>
      </x:c>
      <x:c r="F300" s="23" t="n">
        <x:v>2910.2</x:v>
      </x:c>
      <x:c r="G300" s="23" t="n">
        <x:f>ROUND(F300-F299,1)</x:f>
        <x:v>23.6</x:v>
      </x:c>
      <x:c r="H300" s="24" t="n">
        <x:f>IFERROR(F300/F299-1,"")</x:f>
        <x:v>0.008175708445922414</x:v>
      </x:c>
      <x:c r="I300" s="26" t="n">
        <x:f>ROUND(D300-E300,1)</x:f>
        <x:v>121.4</x:v>
      </x:c>
      <x:c r="J300" s="22" t="str">
        <x:v>IH2609</x:v>
      </x:c>
      <x:c r="K300" s="22" t="n">
        <x:v>5</x:v>
      </x:c>
    </x:row>
    <x:row r="301">
      <x:c r="A301" s="22" t="n">
        <x:v>27</x:v>
      </x:c>
      <x:c r="B301" s="22" t="str">
        <x:v>7月13日-7月17日</x:v>
      </x:c>
      <x:c r="C301" s="23" t="n">
        <x:v>2895.8</x:v>
      </x:c>
      <x:c r="D301" s="23" t="n">
        <x:v>2924</x:v>
      </x:c>
      <x:c r="E301" s="23" t="n">
        <x:v>2782.6</x:v>
      </x:c>
      <x:c r="F301" s="23" t="n">
        <x:v>2796.4</x:v>
      </x:c>
      <x:c r="G301" s="23" t="n">
        <x:f>ROUND(F301-F300,1)</x:f>
        <x:v>-113.8</x:v>
      </x:c>
      <x:c r="H301" s="24" t="n">
        <x:f>IFERROR(F301/F300-1,"")</x:f>
        <x:v>-0.039103841660366845</x:v>
      </x:c>
      <x:c r="I301" s="26" t="n">
        <x:f>ROUND(D301-E301,1)</x:f>
        <x:v>141.4</x:v>
      </x:c>
      <x:c r="J301" s="22" t="str">
        <x:v>IH2609</x:v>
      </x:c>
      <x:c r="K301" s="22" t="n">
        <x:v>5</x:v>
      </x:c>
    </x:row>
    <x:row r="302">
      <x:c r="A302" s="22" t="n">
        <x:v>28</x:v>
      </x:c>
      <x:c r="B302" s="22" t="str">
        <x:v>7月20日-7月24日</x:v>
      </x:c>
      <x:c r="C302" s="23" t="n">
        <x:v>2820</x:v>
      </x:c>
      <x:c r="D302" s="23" t="n">
        <x:v>2978</x:v>
      </x:c>
      <x:c r="E302" s="23" t="n">
        <x:v>2820</x:v>
      </x:c>
      <x:c r="F302" s="23" t="n">
        <x:v>2910</x:v>
      </x:c>
      <x:c r="G302" s="23" t="n">
        <x:f>ROUND(F302-F301,1)</x:f>
        <x:v>113.6</x:v>
      </x:c>
      <x:c r="H302" s="24" t="n">
        <x:f>IFERROR(F302/F301-1,"")</x:f>
        <x:v>0.040623658990130096</x:v>
      </x:c>
      <x:c r="I302" s="26" t="n">
        <x:f>ROUND(D302-E302,1)</x:f>
        <x:v>158</x:v>
      </x:c>
      <x:c r="J302" s="22" t="str">
        <x:v>IH2609</x:v>
      </x:c>
      <x:c r="K302" s="22" t="n">
        <x:v>5</x:v>
      </x:c>
    </x:row>
    <x:row r="303">
      <x:c r="A303" s="22" t="n">
        <x:v>29</x:v>
      </x:c>
      <x:c r="B303" s="22" t="str">
        <x:v>7月27日-7月31日</x:v>
      </x:c>
      <x:c r="C303" s="23" t="n">
        <x:v>2929.6</x:v>
      </x:c>
      <x:c r="D303" s="23" t="n">
        <x:v>2930</x:v>
      </x:c>
      <x:c r="E303" s="23" t="n">
        <x:v>2847.2</x:v>
      </x:c>
      <x:c r="F303" s="23" t="n">
        <x:v>2891.8</x:v>
      </x:c>
      <x:c r="G303" s="23" t="n">
        <x:f>ROUND(F303-F302,1)</x:f>
        <x:v>-18.2</x:v>
      </x:c>
      <x:c r="H303" s="24" t="n">
        <x:f>IFERROR(F303/F302-1,"")</x:f>
        <x:v>-0.006254295532646004</x:v>
      </x:c>
      <x:c r="I303" s="26" t="n">
        <x:f>ROUND(D303-E303,1)</x:f>
        <x:v>82.8</x:v>
      </x:c>
      <x:c r="J303" s="22" t="str">
        <x:v>IH2609</x:v>
      </x:c>
      <x:c r="K303" s="22" t="n">
        <x:v>5</x:v>
      </x:c>
    </x:row>
    <x:row r="304">
      <x:c r="A304" s="22" t="n">
        <x:v>30</x:v>
      </x:c>
      <x:c r="B304" s="22" t="str">
        <x:v>8月3日-8月7日</x:v>
      </x:c>
      <x:c r="C304" s="23" t="n">
        <x:v>2882.4</x:v>
      </x:c>
      <x:c r="D304" s="23" t="n">
        <x:v>2930.6</x:v>
      </x:c>
      <x:c r="E304" s="23" t="n">
        <x:v>2845.8</x:v>
      </x:c>
      <x:c r="F304" s="23" t="n">
        <x:v>2930</x:v>
      </x:c>
      <x:c r="G304" s="23" t="n">
        <x:f>ROUND(F304-F303,1)</x:f>
        <x:v>38.2</x:v>
      </x:c>
      <x:c r="H304" s="24" t="n">
        <x:f>IFERROR(F304/F303-1,"")</x:f>
        <x:v>0.013209765543951812</x:v>
      </x:c>
      <x:c r="I304" s="26" t="n">
        <x:f>ROUND(D304-E304,1)</x:f>
        <x:v>84.8</x:v>
      </x:c>
      <x:c r="J304" s="22" t="str">
        <x:v>IH2609</x:v>
      </x:c>
      <x:c r="K304" s="22" t="n">
        <x:v>5</x:v>
      </x:c>
    </x:row>
    <x:row r="305">
      <x:c r="A305" s="22" t="n">
        <x:v>31</x:v>
      </x:c>
      <x:c r="B305" s="22" t="str">
        <x:v>8月10日-8月14日</x:v>
      </x:c>
      <x:c r="C305" s="23" t="n">
        <x:v>2930</x:v>
      </x:c>
      <x:c r="D305" s="23" t="n">
        <x:v>2949.6</x:v>
      </x:c>
      <x:c r="E305" s="23" t="n">
        <x:v>2877</x:v>
      </x:c>
      <x:c r="F305" s="23" t="n">
        <x:v>2890</x:v>
      </x:c>
      <x:c r="G305" s="23" t="n">
        <x:f>ROUND(F305-F304,1)</x:f>
        <x:v>-40</x:v>
      </x:c>
      <x:c r="H305" s="24" t="n">
        <x:f>IFERROR(F305/F304-1,"")</x:f>
        <x:v>-0.013651877133105783</x:v>
      </x:c>
      <x:c r="I305" s="26" t="n">
        <x:f>ROUND(D305-E305,1)</x:f>
        <x:v>72.6</x:v>
      </x:c>
      <x:c r="J305" s="22" t="str">
        <x:v>IH2609</x:v>
      </x:c>
      <x:c r="K305" s="22" t="n">
        <x:v>5</x:v>
      </x:c>
    </x:row>
    <x:row r="306">
      <x:c r="A306" s="22" t="n">
        <x:v>32</x:v>
      </x:c>
      <x:c r="B306" s="22" t="str">
        <x:v>8月17日-8月21日</x:v>
      </x:c>
      <x:c r="C306" s="23" t="n">
        <x:v>2886</x:v>
      </x:c>
      <x:c r="D306" s="23" t="n">
        <x:v>2921.2</x:v>
      </x:c>
      <x:c r="E306" s="23" t="n">
        <x:v>2843</x:v>
      </x:c>
      <x:c r="F306" s="23" t="n">
        <x:v>2861</x:v>
      </x:c>
      <x:c r="G306" s="23" t="n">
        <x:f>ROUND(F306-F305,1)</x:f>
        <x:v>-29</x:v>
      </x:c>
      <x:c r="H306" s="24" t="n">
        <x:f>IFERROR(F306/F305-1,"")</x:f>
        <x:v>-0.01003460207612461</x:v>
      </x:c>
      <x:c r="I306" s="26" t="n">
        <x:f>ROUND(D306-E306,1)</x:f>
        <x:v>78.2</x:v>
      </x:c>
      <x:c r="J306" s="22" t="str">
        <x:v>IH2609</x:v>
      </x:c>
      <x:c r="K306" s="22" t="n">
        <x:v>5</x:v>
      </x:c>
    </x:row>
    <x:row r="307">
      <x:c r="A307" s="22" t="n">
        <x:v>33</x:v>
      </x:c>
      <x:c r="B307" s="22" t="str">
        <x:v>8月24日-8月28日</x:v>
      </x:c>
      <x:c r="C307" s="23" t="n">
        <x:v>2856.4</x:v>
      </x:c>
      <x:c r="D307" s="23" t="n">
        <x:v>2918.2</x:v>
      </x:c>
      <x:c r="E307" s="23" t="n">
        <x:v>2837.4</x:v>
      </x:c>
      <x:c r="F307" s="23" t="n">
        <x:v>2911.4</x:v>
      </x:c>
      <x:c r="G307" s="23" t="n">
        <x:f>ROUND(F307-F306,1)</x:f>
        <x:v>50.4</x:v>
      </x:c>
      <x:c r="H307" s="24" t="n">
        <x:f>IFERROR(F307/F306-1,"")</x:f>
        <x:v>0.01761621810555747</x:v>
      </x:c>
      <x:c r="I307" s="26" t="n">
        <x:f>ROUND(D307-E307,1)</x:f>
        <x:v>80.8</x:v>
      </x:c>
      <x:c r="J307" s="22" t="str">
        <x:v>IH2609</x:v>
      </x:c>
      <x:c r="K307" s="22" t="n">
        <x:v>5</x:v>
      </x:c>
    </x:row>
    <x:row r="308">
      <x:c r="A308" s="22" t="n">
        <x:v>34</x:v>
      </x:c>
      <x:c r="B308" s="22" t="str">
        <x:v>8月31日-9月4日</x:v>
      </x:c>
      <x:c r="C308" s="23" t="n">
        <x:v>2886</x:v>
      </x:c>
      <x:c r="D308" s="23" t="n">
        <x:v>2949.4</x:v>
      </x:c>
      <x:c r="E308" s="23" t="n">
        <x:v>2877.6</x:v>
      </x:c>
      <x:c r="F308" s="23" t="n">
        <x:v>2915.8</x:v>
      </x:c>
      <x:c r="G308" s="23" t="n">
        <x:f>ROUND(F308-F307,1)</x:f>
        <x:v>4.4</x:v>
      </x:c>
      <x:c r="H308" s="24" t="n">
        <x:f>IFERROR(F308/F307-1,"")</x:f>
        <x:v>0.0015113004053033396</x:v>
      </x:c>
      <x:c r="I308" s="26" t="n">
        <x:f>ROUND(D308-E308,1)</x:f>
        <x:v>71.8</x:v>
      </x:c>
      <x:c r="J308" s="22" t="str">
        <x:v>IH2609</x:v>
      </x:c>
      <x:c r="K308" s="22" t="n">
        <x:v>5</x:v>
      </x:c>
    </x:row>
    <x:row r="309">
      <x:c r="A309" s="22" t="n">
        <x:v>35</x:v>
      </x:c>
      <x:c r="B309" s="22" t="str">
        <x:v>9月7日-9月11日</x:v>
      </x:c>
      <x:c r="C309" s="23" t="n">
        <x:v>2923.2</x:v>
      </x:c>
      <x:c r="D309" s="23" t="n">
        <x:v>2931.4</x:v>
      </x:c>
      <x:c r="E309" s="23" t="n">
        <x:v>2836.8</x:v>
      </x:c>
      <x:c r="F309" s="23" t="n">
        <x:v>2867</x:v>
      </x:c>
      <x:c r="G309" s="23" t="n">
        <x:f>ROUND(F309-F308,1)</x:f>
        <x:v>-48.8</x:v>
      </x:c>
      <x:c r="H309" s="24" t="n">
        <x:f>IFERROR(F309/F308-1,"")</x:f>
        <x:v>-0.01673640167364021</x:v>
      </x:c>
      <x:c r="I309" s="26" t="n">
        <x:f>ROUND(D309-E309,1)</x:f>
        <x:v>94.6</x:v>
      </x:c>
      <x:c r="J309" s="22" t="str">
        <x:v>IH2609</x:v>
      </x:c>
      <x:c r="K309" s="22" t="n">
        <x:v>5</x:v>
      </x:c>
    </x:row>
    <x:row r="310">
      <x:c r="A310" s="22" t="n">
        <x:v>36</x:v>
      </x:c>
      <x:c r="B310" s="22" t="str">
        <x:v>9月14日-9月18日</x:v>
      </x:c>
      <x:c r="C310" s="23" t="n">
        <x:v>2849.2</x:v>
      </x:c>
      <x:c r="D310" s="23" t="n">
        <x:v>2873.2</x:v>
      </x:c>
      <x:c r="E310" s="23" t="n">
        <x:v>2829.4</x:v>
      </x:c>
      <x:c r="F310" s="23" t="n">
        <x:v>2862.2</x:v>
      </x:c>
      <x:c r="G310" s="23" t="n">
        <x:f>ROUND(F310-F309,1)</x:f>
        <x:v>-4.8</x:v>
      </x:c>
      <x:c r="H310" s="24" t="n">
        <x:f>IFERROR(F310/F309-1,"")</x:f>
        <x:v>-0.0016742239274503135</x:v>
      </x:c>
      <x:c r="I310" s="23" t="n">
        <x:f>ROUND(D310-E310,1)</x:f>
        <x:v>43.8</x:v>
      </x:c>
      <x:c r="J310" s="22" t="str">
        <x:v>IH2609</x:v>
      </x:c>
      <x:c r="K310" s="22" t="n">
        <x:v>5</x:v>
      </x:c>
    </x:row>
    <x:row r="311">
      <x:c r="A311" s="22" t="n">
        <x:v>37</x:v>
      </x:c>
      <x:c r="B311" s="22" t="str">
        <x:v>9月21日-9月24日</x:v>
      </x:c>
      <x:c r="C311" s="23" t="n">
        <x:v>2830</x:v>
      </x:c>
      <x:c r="D311" s="23" t="n">
        <x:v>2881.2</x:v>
      </x:c>
      <x:c r="E311" s="23" t="n">
        <x:v>2798</x:v>
      </x:c>
      <x:c r="F311" s="23" t="n">
        <x:v>2804.6</x:v>
      </x:c>
      <x:c r="G311" s="23" t="n">
        <x:f>ROUND(F311-F310,1)</x:f>
        <x:v>-57.6</x:v>
      </x:c>
      <x:c r="H311" s="24" t="n">
        <x:f>IFERROR(F311/F310-1,"")</x:f>
        <x:v>-0.02012437984766957</x:v>
      </x:c>
      <x:c r="I311" s="26" t="n">
        <x:f>ROUND(D311-E311,1)</x:f>
        <x:v>83.2</x:v>
      </x:c>
      <x:c r="J311" s="22" t="str">
        <x:v>IH2612</x:v>
      </x:c>
      <x:c r="K311" s="22" t="n">
        <x:v>4</x:v>
      </x:c>
    </x:row>
    <x:row r="312">
      <x:c r="A312" s="22" t="n">
        <x:v>38</x:v>
      </x:c>
      <x:c r="B312" s="22" t="str">
        <x:v>9月28日-9月30日</x:v>
      </x:c>
      <x:c r="C312" s="23" t="n">
        <x:v>2802</x:v>
      </x:c>
      <x:c r="D312" s="23" t="n">
        <x:v>2803.8</x:v>
      </x:c>
      <x:c r="E312" s="23" t="n">
        <x:v>2746</x:v>
      </x:c>
      <x:c r="F312" s="23" t="n">
        <x:v>2778.8</x:v>
      </x:c>
      <x:c r="G312" s="23" t="n">
        <x:f>ROUND(F312-F311,1)</x:f>
        <x:v>-25.8</x:v>
      </x:c>
      <x:c r="H312" s="24" t="n">
        <x:f>IFERROR(F312/F311-1,"")</x:f>
        <x:v>-0.009199172787563215</x:v>
      </x:c>
      <x:c r="I312" s="23" t="n">
        <x:f>ROUND(D312-E312,1)</x:f>
        <x:v>57.8</x:v>
      </x:c>
      <x:c r="J312" s="22" t="str">
        <x:v>IH2612</x:v>
      </x:c>
      <x:c r="K312" s="22" t="n">
        <x:v>3</x:v>
      </x:c>
    </x:row>
    <x:row r="313">
      <x:c r="A313" s="22" t="n">
        <x:v>39</x:v>
      </x:c>
      <x:c r="B313" s="22" t="str">
        <x:v>10月8日-10月9日</x:v>
      </x:c>
      <x:c r="C313" s="23" t="n">
        <x:v>2764</x:v>
      </x:c>
      <x:c r="D313" s="23" t="n">
        <x:v>2798.4</x:v>
      </x:c>
      <x:c r="E313" s="23" t="n">
        <x:v>2735</x:v>
      </x:c>
      <x:c r="F313" s="23" t="n">
        <x:v>2764</x:v>
      </x:c>
      <x:c r="G313" s="23" t="n">
        <x:f>ROUND(F313-F312,1)</x:f>
        <x:v>-14.8</x:v>
      </x:c>
      <x:c r="H313" s="24" t="n">
        <x:f>IFERROR(F313/F312-1,"")</x:f>
        <x:v>-0.005326040017273659</x:v>
      </x:c>
      <x:c r="I313" s="26" t="n">
        <x:f>ROUND(D313-E313,1)</x:f>
        <x:v>63.4</x:v>
      </x:c>
      <x:c r="J313" s="22" t="str">
        <x:v>IH2612</x:v>
      </x:c>
      <x:c r="K313" s="22" t="n">
        <x:v>2</x:v>
      </x:c>
    </x:row>
    <x:row r="314">
      <x:c r="A314" s="22" t="n">
        <x:v>40</x:v>
      </x:c>
      <x:c r="B314" s="22" t="str">
        <x:v>10月12日-10月15日</x:v>
      </x:c>
      <x:c r="C314" s="23" t="n">
        <x:v>2762</x:v>
      </x:c>
      <x:c r="D314" s="23" t="n">
        <x:v>2794</x:v>
      </x:c>
      <x:c r="E314" s="23" t="n">
        <x:v>2677.6</x:v>
      </x:c>
      <x:c r="F314" s="23" t="n">
        <x:v>2718.6</x:v>
      </x:c>
      <x:c r="G314" s="23" t="n">
        <x:f>ROUND(F314-F313,1)</x:f>
        <x:v>-45.4</x:v>
      </x:c>
      <x:c r="H314" s="24" t="n">
        <x:f>IFERROR(F314/F313-1,"")</x:f>
        <x:v>-0.016425470332851022</x:v>
      </x:c>
      <x:c r="I314" s="26" t="n">
        <x:f>ROUND(D314-E314,1)</x:f>
        <x:v>116.4</x:v>
      </x:c>
      <x:c r="J314" s="22" t="str">
        <x:v>IH2612</x:v>
      </x:c>
      <x:c r="K314" s="22" t="n">
        <x:v>4</x:v>
      </x:c>
    </x:row>
    <x:row r="315">
      <x:c r="A315" s="31" t="str">
        <x:v>合计</x:v>
      </x:c>
      <x:c r="B315" s="30" t="n">
        <x:v>40</x:v>
      </x:c>
      <x:c r="C315" s="30"/>
      <x:c r="D315" s="30"/>
      <x:c r="E315" s="30"/>
      <x:c r="F315" s="30"/>
      <x:c r="G315" s="30"/>
      <x:c r="H315" s="30"/>
      <x:c r="I315" s="32" t="n">
        <x:f>ROUND(SUM(I275:I314),1)</x:f>
        <x:v>3580.2</x:v>
      </x:c>
      <x:c r="J315" s="30"/>
      <x:c r="K315" s="30"/>
    </x:row>
    <x:row r="316">
      <x:c r="A316" s="31" t="str">
        <x:v>均值</x:v>
      </x:c>
      <x:c r="B316" s="30"/>
      <x:c r="C316" s="30"/>
      <x:c r="D316" s="30"/>
      <x:c r="E316" s="30"/>
      <x:c r="F316" s="30"/>
      <x:c r="G316" s="30"/>
      <x:c r="H316" s="30"/>
      <x:c r="I316" s="34" t="n">
        <x:f>ROUND(IFERROR(AVERAGE(I275:I314),0),1)</x:f>
        <x:v>89.5</x:v>
      </x:c>
      <x:c r="J316" s="30"/>
      <x:c r="K316" s="30"/>
    </x:row>
    <x:row r="318">
      <x:c r="A318" s="17" t="str">
        <x:v>碳酸锂2610</x:v>
      </x:c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</x:row>
    <x:row r="319">
      <x:c r="A319" s="20" t="str">
        <x:v>序号</x:v>
      </x:c>
      <x:c r="B319" s="20" t="str">
        <x:v>周期</x:v>
      </x:c>
      <x:c r="C319" s="20" t="str">
        <x:v>开盘</x:v>
      </x:c>
      <x:c r="D319" s="20" t="str">
        <x:v>高点</x:v>
      </x:c>
      <x:c r="E319" s="20" t="str">
        <x:v>低点</x:v>
      </x:c>
      <x:c r="F319" s="20" t="str">
        <x:v>收盘</x:v>
      </x:c>
      <x:c r="G319" s="20" t="str">
        <x:v>涨跌点数</x:v>
      </x:c>
      <x:c r="H319" s="20" t="str">
        <x:v>涨幅</x:v>
      </x:c>
      <x:c r="I319" s="20" t="str">
        <x:v>振幅</x:v>
      </x:c>
      <x:c r="J319" s="20" t="str">
        <x:v>标的</x:v>
      </x:c>
      <x:c r="K319" s="20" t="str">
        <x:v>交易日</x:v>
      </x:c>
    </x:row>
    <x:row r="320">
      <x:c r="A320" s="22" t="n">
        <x:v>1</x:v>
      </x:c>
      <x:c r="B320" s="22" t="str">
        <x:v>1月5日-1月9日</x:v>
      </x:c>
      <x:c r="C320" s="23" t="n">
        <x:v>132800</x:v>
      </x:c>
      <x:c r="D320" s="23" t="n">
        <x:v>150100</x:v>
      </x:c>
      <x:c r="E320" s="23" t="n">
        <x:v>123500</x:v>
      </x:c>
      <x:c r="F320" s="23" t="n">
        <x:v>145600</x:v>
      </x:c>
      <x:c r="G320" s="23"/>
      <x:c r="H320" s="24"/>
      <x:c r="I320" s="26" t="n">
        <x:f>ROUND(D320-E320,1)</x:f>
        <x:v>26600</x:v>
      </x:c>
      <x:c r="J320" s="22" t="str">
        <x:v>LC2610</x:v>
      </x:c>
      <x:c r="K320" s="22" t="n">
        <x:v>5</x:v>
      </x:c>
    </x:row>
    <x:row r="321">
      <x:c r="A321" s="22" t="n">
        <x:v>2</x:v>
      </x:c>
      <x:c r="B321" s="22" t="str">
        <x:v>1月12日-1月16日</x:v>
      </x:c>
      <x:c r="C321" s="23" t="n">
        <x:v>149180</x:v>
      </x:c>
      <x:c r="D321" s="23" t="n">
        <x:v>175360</x:v>
      </x:c>
      <x:c r="E321" s="23" t="n">
        <x:v>148180</x:v>
      </x:c>
      <x:c r="F321" s="23" t="n">
        <x:v>148180</x:v>
      </x:c>
      <x:c r="G321" s="28" t="n">
        <x:f>ROUND(F321-F320,1)</x:f>
        <x:v>2580</x:v>
      </x:c>
      <x:c r="H321" s="24" t="n">
        <x:f>IFERROR(F321/F320-1,"")</x:f>
        <x:v>0.017719780219780157</x:v>
      </x:c>
      <x:c r="I321" s="26" t="n">
        <x:f>ROUND(D321-E321,1)</x:f>
        <x:v>27180</x:v>
      </x:c>
      <x:c r="J321" s="22" t="str">
        <x:v>LC2610</x:v>
      </x:c>
      <x:c r="K321" s="22" t="n">
        <x:v>5</x:v>
      </x:c>
    </x:row>
    <x:row r="322">
      <x:c r="A322" s="22" t="n">
        <x:v>3</x:v>
      </x:c>
      <x:c r="B322" s="22" t="str">
        <x:v>1月19日-1月23日</x:v>
      </x:c>
      <x:c r="C322" s="23" t="n">
        <x:v>143000</x:v>
      </x:c>
      <x:c r="D322" s="23" t="n">
        <x:v>183460</x:v>
      </x:c>
      <x:c r="E322" s="23" t="n">
        <x:v>143000</x:v>
      </x:c>
      <x:c r="F322" s="23" t="n">
        <x:v>183460</x:v>
      </x:c>
      <x:c r="G322" s="28" t="n">
        <x:f>ROUND(F322-F321,1)</x:f>
        <x:v>35280</x:v>
      </x:c>
      <x:c r="H322" s="24" t="n">
        <x:f>IFERROR(F322/F321-1,"")</x:f>
        <x:v>0.23808881090565537</x:v>
      </x:c>
      <x:c r="I322" s="26" t="n">
        <x:f>ROUND(D322-E322,1)</x:f>
        <x:v>40460</x:v>
      </x:c>
      <x:c r="J322" s="22" t="str">
        <x:v>LC2610</x:v>
      </x:c>
      <x:c r="K322" s="22" t="n">
        <x:v>5</x:v>
      </x:c>
    </x:row>
    <x:row r="323">
      <x:c r="A323" s="22" t="n">
        <x:v>4</x:v>
      </x:c>
      <x:c r="B323" s="22" t="str">
        <x:v>1月26日-1月30日</x:v>
      </x:c>
      <x:c r="C323" s="23" t="n">
        <x:v>189980</x:v>
      </x:c>
      <x:c r="D323" s="23" t="n">
        <x:v>190020</x:v>
      </x:c>
      <x:c r="E323" s="23" t="n">
        <x:v>148520</x:v>
      </x:c>
      <x:c r="F323" s="23" t="n">
        <x:v>148540</x:v>
      </x:c>
      <x:c r="G323" s="28" t="n">
        <x:f>ROUND(F323-F322,1)</x:f>
        <x:v>-34920</x:v>
      </x:c>
      <x:c r="H323" s="24" t="n">
        <x:f>IFERROR(F323/F322-1,"")</x:f>
        <x:v>-0.19034121879428756</x:v>
      </x:c>
      <x:c r="I323" s="26" t="n">
        <x:f>ROUND(D323-E323,1)</x:f>
        <x:v>41500</x:v>
      </x:c>
      <x:c r="J323" s="22" t="str">
        <x:v>LC2610</x:v>
      </x:c>
      <x:c r="K323" s="22" t="n">
        <x:v>5</x:v>
      </x:c>
    </x:row>
    <x:row r="324">
      <x:c r="A324" s="22" t="n">
        <x:v>5</x:v>
      </x:c>
      <x:c r="B324" s="22" t="str">
        <x:v>2月2日-2月6日</x:v>
      </x:c>
      <x:c r="C324" s="23" t="n">
        <x:v>153000</x:v>
      </x:c>
      <x:c r="D324" s="23" t="n">
        <x:v>153000</x:v>
      </x:c>
      <x:c r="E324" s="23" t="n">
        <x:v>124760</x:v>
      </x:c>
      <x:c r="F324" s="23" t="n">
        <x:v>131160</x:v>
      </x:c>
      <x:c r="G324" s="28" t="n">
        <x:f>ROUND(F324-F323,1)</x:f>
        <x:v>-17380</x:v>
      </x:c>
      <x:c r="H324" s="24" t="n">
        <x:f>IFERROR(F324/F323-1,"")</x:f>
        <x:v>-0.11700552039854584</x:v>
      </x:c>
      <x:c r="I324" s="26" t="n">
        <x:f>ROUND(D324-E324,1)</x:f>
        <x:v>28240</x:v>
      </x:c>
      <x:c r="J324" s="22" t="str">
        <x:v>LC2610</x:v>
      </x:c>
      <x:c r="K324" s="22" t="n">
        <x:v>5</x:v>
      </x:c>
    </x:row>
    <x:row r="325">
      <x:c r="A325" s="22" t="n">
        <x:v>6</x:v>
      </x:c>
      <x:c r="B325" s="22" t="str">
        <x:v>2月9日-2月13日</x:v>
      </x:c>
      <x:c r="C325" s="23" t="n">
        <x:v>134660</x:v>
      </x:c>
      <x:c r="D325" s="23" t="n">
        <x:v>152380</x:v>
      </x:c>
      <x:c r="E325" s="23" t="n">
        <x:v>133580</x:v>
      </x:c>
      <x:c r="F325" s="23" t="n">
        <x:v>152380</x:v>
      </x:c>
      <x:c r="G325" s="28" t="n">
        <x:f>ROUND(F325-F324,1)</x:f>
        <x:v>21220</x:v>
      </x:c>
      <x:c r="H325" s="24" t="n">
        <x:f>IFERROR(F325/F324-1,"")</x:f>
        <x:v>0.1617871302226288</x:v>
      </x:c>
      <x:c r="I325" s="26" t="n">
        <x:f>ROUND(D325-E325,1)</x:f>
        <x:v>18800</x:v>
      </x:c>
      <x:c r="J325" s="22" t="str">
        <x:v>LC2610</x:v>
      </x:c>
      <x:c r="K325" s="22" t="n">
        <x:v>5</x:v>
      </x:c>
    </x:row>
    <x:row r="326">
      <x:c r="A326" s="22" t="n">
        <x:v>7</x:v>
      </x:c>
      <x:c r="B326" s="22" t="str">
        <x:v>2月24日-2月27日</x:v>
      </x:c>
      <x:c r="C326" s="23" t="n">
        <x:v>165060</x:v>
      </x:c>
      <x:c r="D326" s="23" t="n">
        <x:v>187920</x:v>
      </x:c>
      <x:c r="E326" s="23" t="n">
        <x:v>155680</x:v>
      </x:c>
      <x:c r="F326" s="23" t="n">
        <x:v>175400</x:v>
      </x:c>
      <x:c r="G326" s="28" t="n">
        <x:f>ROUND(F326-F325,1)</x:f>
        <x:v>23020</x:v>
      </x:c>
      <x:c r="H326" s="24" t="n">
        <x:f>IFERROR(F326/F325-1,"")</x:f>
        <x:v>0.1510696941855887</x:v>
      </x:c>
      <x:c r="I326" s="26" t="n">
        <x:f>ROUND(D326-E326,1)</x:f>
        <x:v>32240</x:v>
      </x:c>
      <x:c r="J326" s="22" t="str">
        <x:v>LC2610</x:v>
      </x:c>
      <x:c r="K326" s="22" t="n">
        <x:v>4</x:v>
      </x:c>
    </x:row>
    <x:row r="327">
      <x:c r="A327" s="22" t="n">
        <x:v>8</x:v>
      </x:c>
      <x:c r="B327" s="22" t="str">
        <x:v>3月2日-3月6日</x:v>
      </x:c>
      <x:c r="C327" s="23" t="n">
        <x:v>175800</x:v>
      </x:c>
      <x:c r="D327" s="23" t="n">
        <x:v>177260</x:v>
      </x:c>
      <x:c r="E327" s="23" t="n">
        <x:v>144980</x:v>
      </x:c>
      <x:c r="F327" s="23" t="n">
        <x:v>156580</x:v>
      </x:c>
      <x:c r="G327" s="28" t="n">
        <x:f>ROUND(F327-F326,1)</x:f>
        <x:v>-18820</x:v>
      </x:c>
      <x:c r="H327" s="24" t="n">
        <x:f>IFERROR(F327/F326-1,"")</x:f>
        <x:v>-0.1072976054732041</x:v>
      </x:c>
      <x:c r="I327" s="26" t="n">
        <x:f>ROUND(D327-E327,1)</x:f>
        <x:v>32280</x:v>
      </x:c>
      <x:c r="J327" s="22" t="str">
        <x:v>LC2610</x:v>
      </x:c>
      <x:c r="K327" s="22" t="n">
        <x:v>5</x:v>
      </x:c>
    </x:row>
    <x:row r="328">
      <x:c r="A328" s="22" t="n">
        <x:v>9</x:v>
      </x:c>
      <x:c r="B328" s="22" t="str">
        <x:v>3月9日-3月13日</x:v>
      </x:c>
      <x:c r="C328" s="23" t="n">
        <x:v>145120</x:v>
      </x:c>
      <x:c r="D328" s="23" t="n">
        <x:v>166800</x:v>
      </x:c>
      <x:c r="E328" s="23" t="n">
        <x:v>139860</x:v>
      </x:c>
      <x:c r="F328" s="23" t="n">
        <x:v>151880</x:v>
      </x:c>
      <x:c r="G328" s="28" t="n">
        <x:f>ROUND(F328-F327,1)</x:f>
        <x:v>-4700</x:v>
      </x:c>
      <x:c r="H328" s="24" t="n">
        <x:f>IFERROR(F328/F327-1,"")</x:f>
        <x:v>-0.030016604930387047</x:v>
      </x:c>
      <x:c r="I328" s="26" t="n">
        <x:f>ROUND(D328-E328,1)</x:f>
        <x:v>26940</x:v>
      </x:c>
      <x:c r="J328" s="22" t="str">
        <x:v>LC2610</x:v>
      </x:c>
      <x:c r="K328" s="22" t="n">
        <x:v>5</x:v>
      </x:c>
    </x:row>
    <x:row r="329">
      <x:c r="A329" s="22" t="n">
        <x:v>10</x:v>
      </x:c>
      <x:c r="B329" s="22" t="str">
        <x:v>3月16日-3月20日</x:v>
      </x:c>
      <x:c r="C329" s="23" t="n">
        <x:v>149140</x:v>
      </x:c>
      <x:c r="D329" s="23" t="n">
        <x:v>159120</x:v>
      </x:c>
      <x:c r="E329" s="23" t="n">
        <x:v>139640</x:v>
      </x:c>
      <x:c r="F329" s="23" t="n">
        <x:v>143900</x:v>
      </x:c>
      <x:c r="G329" s="28" t="n">
        <x:f>ROUND(F329-F328,1)</x:f>
        <x:v>-7980</x:v>
      </x:c>
      <x:c r="H329" s="24" t="n">
        <x:f>IFERROR(F329/F328-1,"")</x:f>
        <x:v>-0.052541480115881</x:v>
      </x:c>
      <x:c r="I329" s="26" t="n">
        <x:f>ROUND(D329-E329,1)</x:f>
        <x:v>19480</x:v>
      </x:c>
      <x:c r="J329" s="22" t="str">
        <x:v>LC2610</x:v>
      </x:c>
      <x:c r="K329" s="22" t="n">
        <x:v>5</x:v>
      </x:c>
    </x:row>
    <x:row r="330">
      <x:c r="A330" s="22" t="n">
        <x:v>11</x:v>
      </x:c>
      <x:c r="B330" s="22" t="str">
        <x:v>3月23日-3月27日</x:v>
      </x:c>
      <x:c r="C330" s="23" t="n">
        <x:v>144460</x:v>
      </x:c>
      <x:c r="D330" s="23" t="n">
        <x:v>170800</x:v>
      </x:c>
      <x:c r="E330" s="23" t="n">
        <x:v>139980</x:v>
      </x:c>
      <x:c r="F330" s="23" t="n">
        <x:v>166540</x:v>
      </x:c>
      <x:c r="G330" s="28" t="n">
        <x:f>ROUND(F330-F329,1)</x:f>
        <x:v>22640</x:v>
      </x:c>
      <x:c r="H330" s="24" t="n">
        <x:f>IFERROR(F330/F329-1,"")</x:f>
        <x:v>0.15733148019457954</x:v>
      </x:c>
      <x:c r="I330" s="26" t="n">
        <x:f>ROUND(D330-E330,1)</x:f>
        <x:v>30820</x:v>
      </x:c>
      <x:c r="J330" s="22" t="str">
        <x:v>LC2610</x:v>
      </x:c>
      <x:c r="K330" s="22" t="n">
        <x:v>5</x:v>
      </x:c>
    </x:row>
    <x:row r="331">
      <x:c r="A331" s="22" t="n">
        <x:v>12</x:v>
      </x:c>
      <x:c r="B331" s="22" t="str">
        <x:v>3月30日-4月3日</x:v>
      </x:c>
      <x:c r="C331" s="23" t="n">
        <x:v>172000</x:v>
      </x:c>
      <x:c r="D331" s="23" t="n">
        <x:v>174540</x:v>
      </x:c>
      <x:c r="E331" s="23" t="n">
        <x:v>153840</x:v>
      </x:c>
      <x:c r="F331" s="23" t="n">
        <x:v>157680</x:v>
      </x:c>
      <x:c r="G331" s="28" t="n">
        <x:f>ROUND(F331-F330,1)</x:f>
        <x:v>-8860</x:v>
      </x:c>
      <x:c r="H331" s="24" t="n">
        <x:f>IFERROR(F331/F330-1,"")</x:f>
        <x:v>-0.05320043232856975</x:v>
      </x:c>
      <x:c r="I331" s="26" t="n">
        <x:f>ROUND(D331-E331,1)</x:f>
        <x:v>20700</x:v>
      </x:c>
      <x:c r="J331" s="22" t="str">
        <x:v>LC2610</x:v>
      </x:c>
      <x:c r="K331" s="22" t="n">
        <x:v>5</x:v>
      </x:c>
    </x:row>
    <x:row r="332">
      <x:c r="A332" s="22" t="n">
        <x:v>13</x:v>
      </x:c>
      <x:c r="B332" s="22" t="str">
        <x:v>4月7日-4月10日</x:v>
      </x:c>
      <x:c r="C332" s="23" t="n">
        <x:v>156200</x:v>
      </x:c>
      <x:c r="D332" s="23" t="n">
        <x:v>164160</x:v>
      </x:c>
      <x:c r="E332" s="23" t="n">
        <x:v>151640</x:v>
      </x:c>
      <x:c r="F332" s="23" t="n">
        <x:v>156500</x:v>
      </x:c>
      <x:c r="G332" s="28" t="n">
        <x:f>ROUND(F332-F331,1)</x:f>
        <x:v>-1180</x:v>
      </x:c>
      <x:c r="H332" s="24" t="n">
        <x:f>IFERROR(F332/F331-1,"")</x:f>
        <x:v>-0.007483510908168456</x:v>
      </x:c>
      <x:c r="I332" s="26" t="n">
        <x:f>ROUND(D332-E332,1)</x:f>
        <x:v>12520</x:v>
      </x:c>
      <x:c r="J332" s="22" t="str">
        <x:v>LC2610</x:v>
      </x:c>
      <x:c r="K332" s="22" t="n">
        <x:v>4</x:v>
      </x:c>
    </x:row>
    <x:row r="333">
      <x:c r="A333" s="22" t="n">
        <x:v>14</x:v>
      </x:c>
      <x:c r="B333" s="22" t="str">
        <x:v>4月13日-4月17日</x:v>
      </x:c>
      <x:c r="C333" s="23" t="n">
        <x:v>156660</x:v>
      </x:c>
      <x:c r="D333" s="23" t="n">
        <x:v>176500</x:v>
      </x:c>
      <x:c r="E333" s="23" t="n">
        <x:v>153040</x:v>
      </x:c>
      <x:c r="F333" s="23" t="n">
        <x:v>176360</x:v>
      </x:c>
      <x:c r="G333" s="28" t="n">
        <x:f>ROUND(F333-F332,1)</x:f>
        <x:v>19860</x:v>
      </x:c>
      <x:c r="H333" s="24" t="n">
        <x:f>IFERROR(F333/F332-1,"")</x:f>
        <x:v>0.12690095846645377</x:v>
      </x:c>
      <x:c r="I333" s="26" t="n">
        <x:f>ROUND(D333-E333,1)</x:f>
        <x:v>23460</x:v>
      </x:c>
      <x:c r="J333" s="22" t="str">
        <x:v>LC2610</x:v>
      </x:c>
      <x:c r="K333" s="22" t="n">
        <x:v>5</x:v>
      </x:c>
    </x:row>
    <x:row r="334">
      <x:c r="A334" s="22" t="n">
        <x:v>15</x:v>
      </x:c>
      <x:c r="B334" s="22" t="str">
        <x:v>4月20日-4月24日</x:v>
      </x:c>
      <x:c r="C334" s="23" t="n">
        <x:v>174080</x:v>
      </x:c>
      <x:c r="D334" s="23" t="n">
        <x:v>180920</x:v>
      </x:c>
      <x:c r="E334" s="23" t="n">
        <x:v>169000</x:v>
      </x:c>
      <x:c r="F334" s="23" t="n">
        <x:v>176960</x:v>
      </x:c>
      <x:c r="G334" s="28" t="n">
        <x:f>ROUND(F334-F333,1)</x:f>
        <x:v>600</x:v>
      </x:c>
      <x:c r="H334" s="24" t="n">
        <x:f>IFERROR(F334/F333-1,"")</x:f>
        <x:v>0.0034021320027217694</x:v>
      </x:c>
      <x:c r="I334" s="26" t="n">
        <x:f>ROUND(D334-E334,1)</x:f>
        <x:v>11920</x:v>
      </x:c>
      <x:c r="J334" s="22" t="str">
        <x:v>LC2610</x:v>
      </x:c>
      <x:c r="K334" s="22" t="n">
        <x:v>5</x:v>
      </x:c>
    </x:row>
    <x:row r="335">
      <x:c r="A335" s="22" t="n">
        <x:v>16</x:v>
      </x:c>
      <x:c r="B335" s="22" t="str">
        <x:v>4月27日-4月30日</x:v>
      </x:c>
      <x:c r="C335" s="23" t="n">
        <x:v>176960</x:v>
      </x:c>
      <x:c r="D335" s="23" t="n">
        <x:v>188840</x:v>
      </x:c>
      <x:c r="E335" s="23" t="n">
        <x:v>172640</x:v>
      </x:c>
      <x:c r="F335" s="23" t="n">
        <x:v>188840</x:v>
      </x:c>
      <x:c r="G335" s="28" t="n">
        <x:f>ROUND(F335-F334,1)</x:f>
        <x:v>11880</x:v>
      </x:c>
      <x:c r="H335" s="24" t="n">
        <x:f>IFERROR(F335/F334-1,"")</x:f>
        <x:v>0.06713381555153708</x:v>
      </x:c>
      <x:c r="I335" s="26" t="n">
        <x:f>ROUND(D335-E335,1)</x:f>
        <x:v>16200</x:v>
      </x:c>
      <x:c r="J335" s="22" t="str">
        <x:v>LC2610</x:v>
      </x:c>
      <x:c r="K335" s="22" t="n">
        <x:v>4</x:v>
      </x:c>
    </x:row>
    <x:row r="336">
      <x:c r="A336" s="22" t="n">
        <x:v>17</x:v>
      </x:c>
      <x:c r="B336" s="22" t="str">
        <x:v>5月6日-5月8日</x:v>
      </x:c>
      <x:c r="C336" s="23" t="n">
        <x:v>191300</x:v>
      </x:c>
      <x:c r="D336" s="23" t="n">
        <x:v>204640</x:v>
      </x:c>
      <x:c r="E336" s="23" t="n">
        <x:v>191300</x:v>
      </x:c>
      <x:c r="F336" s="23" t="n">
        <x:v>196100</x:v>
      </x:c>
      <x:c r="G336" s="28" t="n">
        <x:f>ROUND(F336-F335,1)</x:f>
        <x:v>7260</x:v>
      </x:c>
      <x:c r="H336" s="24" t="n">
        <x:f>IFERROR(F336/F335-1,"")</x:f>
        <x:v>0.038445244651556854</x:v>
      </x:c>
      <x:c r="I336" s="26" t="n">
        <x:f>ROUND(D336-E336,1)</x:f>
        <x:v>13340</x:v>
      </x:c>
      <x:c r="J336" s="22" t="str">
        <x:v>LC2610</x:v>
      </x:c>
      <x:c r="K336" s="22" t="n">
        <x:v>3</x:v>
      </x:c>
    </x:row>
    <x:row r="337">
      <x:c r="A337" s="22" t="n">
        <x:v>18</x:v>
      </x:c>
      <x:c r="B337" s="22" t="str">
        <x:v>5月11日-5月15日</x:v>
      </x:c>
      <x:c r="C337" s="23" t="n">
        <x:v>195080</x:v>
      </x:c>
      <x:c r="D337" s="23" t="n">
        <x:v>209040</x:v>
      </x:c>
      <x:c r="E337" s="23" t="n">
        <x:v>187240</x:v>
      </x:c>
      <x:c r="F337" s="23" t="n">
        <x:v>189440</x:v>
      </x:c>
      <x:c r="G337" s="28" t="n">
        <x:f>ROUND(F337-F336,1)</x:f>
        <x:v>-6660</x:v>
      </x:c>
      <x:c r="H337" s="24" t="n">
        <x:f>IFERROR(F337/F336-1,"")</x:f>
        <x:v>-0.03396226415094339</x:v>
      </x:c>
      <x:c r="I337" s="26" t="n">
        <x:f>ROUND(D337-E337,1)</x:f>
        <x:v>21800</x:v>
      </x:c>
      <x:c r="J337" s="22" t="str">
        <x:v>LC2610</x:v>
      </x:c>
      <x:c r="K337" s="22" t="n">
        <x:v>5</x:v>
      </x:c>
    </x:row>
    <x:row r="338">
      <x:c r="A338" s="22" t="n">
        <x:v>19</x:v>
      </x:c>
      <x:c r="B338" s="22" t="str">
        <x:v>5月18日-5月22日</x:v>
      </x:c>
      <x:c r="C338" s="23" t="n">
        <x:v>190060</x:v>
      </x:c>
      <x:c r="D338" s="23" t="n">
        <x:v>193820</x:v>
      </x:c>
      <x:c r="E338" s="23" t="n">
        <x:v>175520</x:v>
      </x:c>
      <x:c r="F338" s="23" t="n">
        <x:v>185280</x:v>
      </x:c>
      <x:c r="G338" s="28" t="n">
        <x:f>ROUND(F338-F337,1)</x:f>
        <x:v>-4160</x:v>
      </x:c>
      <x:c r="H338" s="24" t="n">
        <x:f>IFERROR(F338/F337-1,"")</x:f>
        <x:v>-0.02195945945945943</x:v>
      </x:c>
      <x:c r="I338" s="26" t="n">
        <x:f>ROUND(D338-E338,1)</x:f>
        <x:v>18300</x:v>
      </x:c>
      <x:c r="J338" s="22" t="str">
        <x:v>LC2610</x:v>
      </x:c>
      <x:c r="K338" s="22" t="n">
        <x:v>5</x:v>
      </x:c>
    </x:row>
    <x:row r="339">
      <x:c r="A339" s="22" t="n">
        <x:v>20</x:v>
      </x:c>
      <x:c r="B339" s="22" t="str">
        <x:v>5月25日-5月29日</x:v>
      </x:c>
      <x:c r="C339" s="23" t="n">
        <x:v>185380</x:v>
      </x:c>
      <x:c r="D339" s="23" t="n">
        <x:v>188320</x:v>
      </x:c>
      <x:c r="E339" s="23" t="n">
        <x:v>172500</x:v>
      </x:c>
      <x:c r="F339" s="23" t="n">
        <x:v>178620</x:v>
      </x:c>
      <x:c r="G339" s="28" t="n">
        <x:f>ROUND(F339-F338,1)</x:f>
        <x:v>-6660</x:v>
      </x:c>
      <x:c r="H339" s="24" t="n">
        <x:f>IFERROR(F339/F338-1,"")</x:f>
        <x:v>-0.035945595854922296</x:v>
      </x:c>
      <x:c r="I339" s="26" t="n">
        <x:f>ROUND(D339-E339,1)</x:f>
        <x:v>15820</x:v>
      </x:c>
      <x:c r="J339" s="22" t="str">
        <x:v>LC2610</x:v>
      </x:c>
      <x:c r="K339" s="22" t="n">
        <x:v>5</x:v>
      </x:c>
    </x:row>
    <x:row r="340">
      <x:c r="A340" s="22" t="n">
        <x:v>21</x:v>
      </x:c>
      <x:c r="B340" s="22" t="str">
        <x:v>6月1日-6月5日</x:v>
      </x:c>
      <x:c r="C340" s="23" t="n">
        <x:v>180920</x:v>
      </x:c>
      <x:c r="D340" s="23" t="n">
        <x:v>182940</x:v>
      </x:c>
      <x:c r="E340" s="23" t="n">
        <x:v>158140</x:v>
      </x:c>
      <x:c r="F340" s="23" t="n">
        <x:v>165460</x:v>
      </x:c>
      <x:c r="G340" s="28" t="n">
        <x:f>ROUND(F340-F339,1)</x:f>
        <x:v>-13160</x:v>
      </x:c>
      <x:c r="H340" s="24" t="n">
        <x:f>IFERROR(F340/F339-1,"")</x:f>
        <x:v>-0.07367596013884226</x:v>
      </x:c>
      <x:c r="I340" s="26" t="n">
        <x:f>ROUND(D340-E340,1)</x:f>
        <x:v>24800</x:v>
      </x:c>
      <x:c r="J340" s="22" t="str">
        <x:v>LC2610</x:v>
      </x:c>
      <x:c r="K340" s="22" t="n">
        <x:v>5</x:v>
      </x:c>
    </x:row>
    <x:row r="341">
      <x:c r="A341" s="22" t="n">
        <x:v>22</x:v>
      </x:c>
      <x:c r="B341" s="22" t="str">
        <x:v>6月8日-6月12日</x:v>
      </x:c>
      <x:c r="C341" s="23" t="n">
        <x:v>162800</x:v>
      </x:c>
      <x:c r="D341" s="23" t="n">
        <x:v>178860</x:v>
      </x:c>
      <x:c r="E341" s="23" t="n">
        <x:v>161280</x:v>
      </x:c>
      <x:c r="F341" s="23" t="n">
        <x:v>175780</x:v>
      </x:c>
      <x:c r="G341" s="28" t="n">
        <x:f>ROUND(F341-F340,1)</x:f>
        <x:v>10320</x:v>
      </x:c>
      <x:c r="H341" s="24" t="n">
        <x:f>IFERROR(F341/F340-1,"")</x:f>
        <x:v>0.06237157016801653</x:v>
      </x:c>
      <x:c r="I341" s="26" t="n">
        <x:f>ROUND(D341-E341,1)</x:f>
        <x:v>17580</x:v>
      </x:c>
      <x:c r="J341" s="22" t="str">
        <x:v>LC2610</x:v>
      </x:c>
      <x:c r="K341" s="22" t="n">
        <x:v>5</x:v>
      </x:c>
    </x:row>
    <x:row r="342">
      <x:c r="A342" s="22" t="n">
        <x:v>23</x:v>
      </x:c>
      <x:c r="B342" s="22" t="str">
        <x:v>6月15日-6月18日</x:v>
      </x:c>
      <x:c r="C342" s="23" t="n">
        <x:v>176460</x:v>
      </x:c>
      <x:c r="D342" s="23" t="n">
        <x:v>178560</x:v>
      </x:c>
      <x:c r="E342" s="23" t="n">
        <x:v>160560</x:v>
      </x:c>
      <x:c r="F342" s="23" t="n">
        <x:v>161400</x:v>
      </x:c>
      <x:c r="G342" s="28" t="n">
        <x:f>ROUND(F342-F341,1)</x:f>
        <x:v>-14380</x:v>
      </x:c>
      <x:c r="H342" s="24" t="n">
        <x:f>IFERROR(F342/F341-1,"")</x:f>
        <x:v>-0.0818068039594948</x:v>
      </x:c>
      <x:c r="I342" s="26" t="n">
        <x:f>ROUND(D342-E342,1)</x:f>
        <x:v>18000</x:v>
      </x:c>
      <x:c r="J342" s="22" t="str">
        <x:v>LC2610</x:v>
      </x:c>
      <x:c r="K342" s="22" t="n">
        <x:v>4</x:v>
      </x:c>
    </x:row>
    <x:row r="343">
      <x:c r="A343" s="22" t="n">
        <x:v>24</x:v>
      </x:c>
      <x:c r="B343" s="22" t="str">
        <x:v>6月22日-6月26日</x:v>
      </x:c>
      <x:c r="C343" s="23" t="n">
        <x:v>161000</x:v>
      </x:c>
      <x:c r="D343" s="23" t="n">
        <x:v>163880</x:v>
      </x:c>
      <x:c r="E343" s="23" t="n">
        <x:v>145360</x:v>
      </x:c>
      <x:c r="F343" s="23" t="n">
        <x:v>151140</x:v>
      </x:c>
      <x:c r="G343" s="28" t="n">
        <x:f>ROUND(F343-F342,1)</x:f>
        <x:v>-10260</x:v>
      </x:c>
      <x:c r="H343" s="24" t="n">
        <x:f>IFERROR(F343/F342-1,"")</x:f>
        <x:v>-0.06356877323420074</x:v>
      </x:c>
      <x:c r="I343" s="26" t="n">
        <x:f>ROUND(D343-E343,1)</x:f>
        <x:v>18520</x:v>
      </x:c>
      <x:c r="J343" s="22" t="str">
        <x:v>LC2610</x:v>
      </x:c>
      <x:c r="K343" s="22" t="n">
        <x:v>5</x:v>
      </x:c>
    </x:row>
    <x:row r="344">
      <x:c r="A344" s="22" t="n">
        <x:v>25</x:v>
      </x:c>
      <x:c r="B344" s="22" t="str">
        <x:v>6月29日-7月3日</x:v>
      </x:c>
      <x:c r="C344" s="23" t="n">
        <x:v>148420</x:v>
      </x:c>
      <x:c r="D344" s="23" t="n">
        <x:v>172120</x:v>
      </x:c>
      <x:c r="E344" s="23" t="n">
        <x:v>146000</x:v>
      </x:c>
      <x:c r="F344" s="23" t="n">
        <x:v>168600</x:v>
      </x:c>
      <x:c r="G344" s="28" t="n">
        <x:f>ROUND(F344-F343,1)</x:f>
        <x:v>17460</x:v>
      </x:c>
      <x:c r="H344" s="24" t="n">
        <x:f>IFERROR(F344/F343-1,"")</x:f>
        <x:v>0.1155220325526003</x:v>
      </x:c>
      <x:c r="I344" s="26" t="n">
        <x:f>ROUND(D344-E344,1)</x:f>
        <x:v>26120</x:v>
      </x:c>
      <x:c r="J344" s="22" t="str">
        <x:v>LC2610</x:v>
      </x:c>
      <x:c r="K344" s="22" t="n">
        <x:v>5</x:v>
      </x:c>
    </x:row>
    <x:row r="345">
      <x:c r="A345" s="22" t="n">
        <x:v>26</x:v>
      </x:c>
      <x:c r="B345" s="22" t="str">
        <x:v>7月6日-7月10日</x:v>
      </x:c>
      <x:c r="C345" s="23" t="n">
        <x:v>174900</x:v>
      </x:c>
      <x:c r="D345" s="23" t="n">
        <x:v>174900</x:v>
      </x:c>
      <x:c r="E345" s="23" t="n">
        <x:v>150860</x:v>
      </x:c>
      <x:c r="F345" s="23" t="n">
        <x:v>151600</x:v>
      </x:c>
      <x:c r="G345" s="28" t="n">
        <x:f>ROUND(F345-F344,1)</x:f>
        <x:v>-17000</x:v>
      </x:c>
      <x:c r="H345" s="24" t="n">
        <x:f>IFERROR(F345/F344-1,"")</x:f>
        <x:v>-0.10083036773428233</x:v>
      </x:c>
      <x:c r="I345" s="26" t="n">
        <x:f>ROUND(D345-E345,1)</x:f>
        <x:v>24040</x:v>
      </x:c>
      <x:c r="J345" s="22" t="str">
        <x:v>LC2610</x:v>
      </x:c>
      <x:c r="K345" s="22" t="n">
        <x:v>5</x:v>
      </x:c>
    </x:row>
    <x:row r="346">
      <x:c r="A346" s="22" t="n">
        <x:v>27</x:v>
      </x:c>
      <x:c r="B346" s="22" t="str">
        <x:v>7月13日-7月17日</x:v>
      </x:c>
      <x:c r="C346" s="23" t="n">
        <x:v>150300</x:v>
      </x:c>
      <x:c r="D346" s="23" t="n">
        <x:v>155660</x:v>
      </x:c>
      <x:c r="E346" s="23" t="n">
        <x:v>145460</x:v>
      </x:c>
      <x:c r="F346" s="23" t="n">
        <x:v>149740</x:v>
      </x:c>
      <x:c r="G346" s="28" t="n">
        <x:f>ROUND(F346-F345,1)</x:f>
        <x:v>-1860</x:v>
      </x:c>
      <x:c r="H346" s="24" t="n">
        <x:f>IFERROR(F346/F345-1,"")</x:f>
        <x:v>-0.012269129287598934</x:v>
      </x:c>
      <x:c r="I346" s="26" t="n">
        <x:f>ROUND(D346-E346,1)</x:f>
        <x:v>10200</x:v>
      </x:c>
      <x:c r="J346" s="22" t="str">
        <x:v>LC2610</x:v>
      </x:c>
      <x:c r="K346" s="22" t="n">
        <x:v>5</x:v>
      </x:c>
    </x:row>
    <x:row r="347">
      <x:c r="A347" s="22" t="n">
        <x:v>28</x:v>
      </x:c>
      <x:c r="B347" s="22" t="str">
        <x:v>7月20日-7月24日</x:v>
      </x:c>
      <x:c r="C347" s="23" t="n">
        <x:v>152520</x:v>
      </x:c>
      <x:c r="D347" s="23" t="n">
        <x:v>153880</x:v>
      </x:c>
      <x:c r="E347" s="23" t="n">
        <x:v>135040</x:v>
      </x:c>
      <x:c r="F347" s="23" t="n">
        <x:v>142920</x:v>
      </x:c>
      <x:c r="G347" s="28" t="n">
        <x:f>ROUND(F347-F346,1)</x:f>
        <x:v>-6820</x:v>
      </x:c>
      <x:c r="H347" s="24" t="n">
        <x:f>IFERROR(F347/F346-1,"")</x:f>
        <x:v>-0.04554561239481769</x:v>
      </x:c>
      <x:c r="I347" s="26" t="n">
        <x:f>ROUND(D347-E347,1)</x:f>
        <x:v>18840</x:v>
      </x:c>
      <x:c r="J347" s="22" t="str">
        <x:v>LC2610</x:v>
      </x:c>
      <x:c r="K347" s="22" t="n">
        <x:v>5</x:v>
      </x:c>
    </x:row>
    <x:row r="348">
      <x:c r="A348" s="22" t="n">
        <x:v>29</x:v>
      </x:c>
      <x:c r="B348" s="22" t="str">
        <x:v>7月27日-7月31日</x:v>
      </x:c>
      <x:c r="C348" s="23" t="n">
        <x:v>144340</x:v>
      </x:c>
      <x:c r="D348" s="23" t="n">
        <x:v>148600</x:v>
      </x:c>
      <x:c r="E348" s="23" t="n">
        <x:v>137000</x:v>
      </x:c>
      <x:c r="F348" s="23" t="n">
        <x:v>137000</x:v>
      </x:c>
      <x:c r="G348" s="28" t="n">
        <x:f>ROUND(F348-F347,1)</x:f>
        <x:v>-5920</x:v>
      </x:c>
      <x:c r="H348" s="24" t="n">
        <x:f>IFERROR(F348/F347-1,"")</x:f>
        <x:v>-0.04142177441925554</x:v>
      </x:c>
      <x:c r="I348" s="26" t="n">
        <x:f>ROUND(D348-E348,1)</x:f>
        <x:v>11600</x:v>
      </x:c>
      <x:c r="J348" s="22" t="str">
        <x:v>LC2610</x:v>
      </x:c>
      <x:c r="K348" s="22" t="n">
        <x:v>5</x:v>
      </x:c>
    </x:row>
    <x:row r="349">
      <x:c r="A349" s="22" t="n">
        <x:v>30</x:v>
      </x:c>
      <x:c r="B349" s="22" t="str">
        <x:v>8月3日-8月7日</x:v>
      </x:c>
      <x:c r="C349" s="23" t="n">
        <x:v>137200</x:v>
      </x:c>
      <x:c r="D349" s="23" t="n">
        <x:v>144100</x:v>
      </x:c>
      <x:c r="E349" s="23" t="n">
        <x:v>135040</x:v>
      </x:c>
      <x:c r="F349" s="23" t="n">
        <x:v>139320</x:v>
      </x:c>
      <x:c r="G349" s="28" t="n">
        <x:f>ROUND(F349-F348,1)</x:f>
        <x:v>2320</x:v>
      </x:c>
      <x:c r="H349" s="24" t="n">
        <x:f>IFERROR(F349/F348-1,"")</x:f>
        <x:v>0.016934306569343027</x:v>
      </x:c>
      <x:c r="I349" s="26" t="n">
        <x:f>ROUND(D349-E349,1)</x:f>
        <x:v>9060</x:v>
      </x:c>
      <x:c r="J349" s="22" t="str">
        <x:v>LC2610</x:v>
      </x:c>
      <x:c r="K349" s="22" t="n">
        <x:v>5</x:v>
      </x:c>
    </x:row>
    <x:row r="350">
      <x:c r="A350" s="22" t="n">
        <x:v>31</x:v>
      </x:c>
      <x:c r="B350" s="22" t="str">
        <x:v>8月10日-8月14日</x:v>
      </x:c>
      <x:c r="C350" s="23" t="n">
        <x:v>139320</x:v>
      </x:c>
      <x:c r="D350" s="23" t="n">
        <x:v>154560</x:v>
      </x:c>
      <x:c r="E350" s="23" t="n">
        <x:v>139300</x:v>
      </x:c>
      <x:c r="F350" s="23" t="n">
        <x:v>153980</x:v>
      </x:c>
      <x:c r="G350" s="28" t="n">
        <x:f>ROUND(F350-F349,1)</x:f>
        <x:v>14660</x:v>
      </x:c>
      <x:c r="H350" s="24" t="n">
        <x:f>IFERROR(F350/F349-1,"")</x:f>
        <x:v>0.10522538041917895</x:v>
      </x:c>
      <x:c r="I350" s="26" t="n">
        <x:f>ROUND(D350-E350,1)</x:f>
        <x:v>15260</x:v>
      </x:c>
      <x:c r="J350" s="22" t="str">
        <x:v>LC2610</x:v>
      </x:c>
      <x:c r="K350" s="22" t="n">
        <x:v>5</x:v>
      </x:c>
    </x:row>
    <x:row r="351">
      <x:c r="A351" s="22" t="n">
        <x:v>32</x:v>
      </x:c>
      <x:c r="B351" s="22" t="str">
        <x:v>8月17日-8月21日</x:v>
      </x:c>
      <x:c r="C351" s="23" t="n">
        <x:v>152940</x:v>
      </x:c>
      <x:c r="D351" s="23" t="n">
        <x:v>157400</x:v>
      </x:c>
      <x:c r="E351" s="23" t="n">
        <x:v>148700</x:v>
      </x:c>
      <x:c r="F351" s="23" t="n">
        <x:v>156380</x:v>
      </x:c>
      <x:c r="G351" s="28" t="n">
        <x:f>ROUND(F351-F350,1)</x:f>
        <x:v>2400</x:v>
      </x:c>
      <x:c r="H351" s="24" t="n">
        <x:f>IFERROR(F351/F350-1,"")</x:f>
        <x:v>0.015586439797376173</x:v>
      </x:c>
      <x:c r="I351" s="26" t="n">
        <x:f>ROUND(D351-E351,1)</x:f>
        <x:v>8700</x:v>
      </x:c>
      <x:c r="J351" s="22" t="str">
        <x:v>LC2610</x:v>
      </x:c>
      <x:c r="K351" s="22" t="n">
        <x:v>5</x:v>
      </x:c>
    </x:row>
    <x:row r="352">
      <x:c r="A352" s="22" t="n">
        <x:v>33</x:v>
      </x:c>
      <x:c r="B352" s="22" t="str">
        <x:v>8月24日-8月28日</x:v>
      </x:c>
      <x:c r="C352" s="23" t="n">
        <x:v>158800</x:v>
      </x:c>
      <x:c r="D352" s="23" t="n">
        <x:v>160500</x:v>
      </x:c>
      <x:c r="E352" s="23" t="n">
        <x:v>147600</x:v>
      </x:c>
      <x:c r="F352" s="23" t="n">
        <x:v>157940</x:v>
      </x:c>
      <x:c r="G352" s="28" t="n">
        <x:f>ROUND(F352-F351,1)</x:f>
        <x:v>1560</x:v>
      </x:c>
      <x:c r="H352" s="24" t="n">
        <x:f>IFERROR(F352/F351-1,"")</x:f>
        <x:v>0.009975700217419003</x:v>
      </x:c>
      <x:c r="I352" s="26" t="n">
        <x:f>ROUND(D352-E352,1)</x:f>
        <x:v>12900</x:v>
      </x:c>
      <x:c r="J352" s="22" t="str">
        <x:v>LC2610</x:v>
      </x:c>
      <x:c r="K352" s="22" t="n">
        <x:v>5</x:v>
      </x:c>
    </x:row>
    <x:row r="353">
      <x:c r="A353" s="22" t="n">
        <x:v>34</x:v>
      </x:c>
      <x:c r="B353" s="22" t="str">
        <x:v>8月31日-9月4日</x:v>
      </x:c>
      <x:c r="C353" s="23" t="n">
        <x:v>157500</x:v>
      </x:c>
      <x:c r="D353" s="23" t="n">
        <x:v>161280</x:v>
      </x:c>
      <x:c r="E353" s="23" t="n">
        <x:v>140220</x:v>
      </x:c>
      <x:c r="F353" s="23" t="n">
        <x:v>142000</x:v>
      </x:c>
      <x:c r="G353" s="28" t="n">
        <x:f>ROUND(F353-F352,1)</x:f>
        <x:v>-15940</x:v>
      </x:c>
      <x:c r="H353" s="24" t="n">
        <x:f>IFERROR(F353/F352-1,"")</x:f>
        <x:v>-0.10092440167152084</x:v>
      </x:c>
      <x:c r="I353" s="26" t="n">
        <x:f>ROUND(D353-E353,1)</x:f>
        <x:v>21060</x:v>
      </x:c>
      <x:c r="J353" s="22" t="str">
        <x:v>LC2610</x:v>
      </x:c>
      <x:c r="K353" s="22" t="n">
        <x:v>5</x:v>
      </x:c>
    </x:row>
    <x:row r="354">
      <x:c r="A354" s="22" t="n">
        <x:v>35</x:v>
      </x:c>
      <x:c r="B354" s="22" t="str">
        <x:v>9月7日-9月11日</x:v>
      </x:c>
      <x:c r="C354" s="23" t="n">
        <x:v>141000</x:v>
      </x:c>
      <x:c r="D354" s="23" t="n">
        <x:v>143540</x:v>
      </x:c>
      <x:c r="E354" s="23" t="n">
        <x:v>127120</x:v>
      </x:c>
      <x:c r="F354" s="23" t="n">
        <x:v>134340</x:v>
      </x:c>
      <x:c r="G354" s="28" t="n">
        <x:f>ROUND(F354-F353,1)</x:f>
        <x:v>-7660</x:v>
      </x:c>
      <x:c r="H354" s="24" t="n">
        <x:f>IFERROR(F354/F353-1,"")</x:f>
        <x:v>-0.05394366197183098</x:v>
      </x:c>
      <x:c r="I354" s="26" t="n">
        <x:f>ROUND(D354-E354,1)</x:f>
        <x:v>16420</x:v>
      </x:c>
      <x:c r="J354" s="22" t="str">
        <x:v>LC2610</x:v>
      </x:c>
      <x:c r="K354" s="22" t="n">
        <x:v>5</x:v>
      </x:c>
    </x:row>
    <x:row r="355">
      <x:c r="A355" s="22" t="n">
        <x:v>36</x:v>
      </x:c>
      <x:c r="B355" s="22" t="str">
        <x:v>9月14日-9月18日</x:v>
      </x:c>
      <x:c r="C355" s="23" t="n">
        <x:v>133600</x:v>
      </x:c>
      <x:c r="D355" s="23" t="n">
        <x:v>135900</x:v>
      </x:c>
      <x:c r="E355" s="23" t="n">
        <x:v>126200</x:v>
      </x:c>
      <x:c r="F355" s="23" t="n">
        <x:v>128580</x:v>
      </x:c>
      <x:c r="G355" s="28" t="n">
        <x:f>ROUND(F355-F354,1)</x:f>
        <x:v>-5760</x:v>
      </x:c>
      <x:c r="H355" s="24" t="n">
        <x:f>IFERROR(F355/F354-1,"")</x:f>
        <x:v>-0.04287628405538191</x:v>
      </x:c>
      <x:c r="I355" s="26" t="n">
        <x:f>ROUND(D355-E355,1)</x:f>
        <x:v>9700</x:v>
      </x:c>
      <x:c r="J355" s="22" t="str">
        <x:v>LC2610</x:v>
      </x:c>
      <x:c r="K355" s="22" t="n">
        <x:v>5</x:v>
      </x:c>
    </x:row>
    <x:row r="356">
      <x:c r="A356" s="22" t="n">
        <x:v>37</x:v>
      </x:c>
      <x:c r="B356" s="22" t="str">
        <x:v>9月21日-9月24日</x:v>
      </x:c>
      <x:c r="C356" s="23" t="n">
        <x:v>128500</x:v>
      </x:c>
      <x:c r="D356" s="23" t="n">
        <x:v>136560</x:v>
      </x:c>
      <x:c r="E356" s="23" t="n">
        <x:v>125000</x:v>
      </x:c>
      <x:c r="F356" s="23" t="n">
        <x:v>125980</x:v>
      </x:c>
      <x:c r="G356" s="28" t="n">
        <x:f>ROUND(F356-F355,1)</x:f>
        <x:v>-2600</x:v>
      </x:c>
      <x:c r="H356" s="24" t="n">
        <x:f>IFERROR(F356/F355-1,"")</x:f>
        <x:v>-0.02022087416394458</x:v>
      </x:c>
      <x:c r="I356" s="26" t="n">
        <x:f>ROUND(D356-E356,1)</x:f>
        <x:v>11560</x:v>
      </x:c>
      <x:c r="J356" s="22" t="str">
        <x:v>LC2610</x:v>
      </x:c>
      <x:c r="K356" s="22" t="n">
        <x:v>4</x:v>
      </x:c>
    </x:row>
    <x:row r="357">
      <x:c r="A357" s="22" t="n">
        <x:v>38</x:v>
      </x:c>
      <x:c r="B357" s="22" t="str">
        <x:v>9月28日-9月30日</x:v>
      </x:c>
      <x:c r="C357" s="23" t="n">
        <x:v>124280</x:v>
      </x:c>
      <x:c r="D357" s="23" t="n">
        <x:v>124660</x:v>
      </x:c>
      <x:c r="E357" s="23" t="n">
        <x:v>118100</x:v>
      </x:c>
      <x:c r="F357" s="23" t="n">
        <x:v>119780</x:v>
      </x:c>
      <x:c r="G357" s="28" t="n">
        <x:f>ROUND(F357-F356,1)</x:f>
        <x:v>-6200</x:v>
      </x:c>
      <x:c r="H357" s="24" t="n">
        <x:f>IFERROR(F357/F356-1,"")</x:f>
        <x:v>-0.049214160977932964</x:v>
      </x:c>
      <x:c r="I357" s="26" t="n">
        <x:f>ROUND(D357-E357,1)</x:f>
        <x:v>6560</x:v>
      </x:c>
      <x:c r="J357" s="22" t="str">
        <x:v>LC2610</x:v>
      </x:c>
      <x:c r="K357" s="22" t="n">
        <x:v>3</x:v>
      </x:c>
    </x:row>
    <x:row r="358">
      <x:c r="A358" s="22" t="n">
        <x:v>39</x:v>
      </x:c>
      <x:c r="B358" s="22" t="str">
        <x:v>10月8日-10月9日</x:v>
      </x:c>
      <x:c r="C358" s="23" t="n">
        <x:v>120020</x:v>
      </x:c>
      <x:c r="D358" s="23" t="n">
        <x:v>126800</x:v>
      </x:c>
      <x:c r="E358" s="23" t="n">
        <x:v>119000</x:v>
      </x:c>
      <x:c r="F358" s="23" t="n">
        <x:v>121000</x:v>
      </x:c>
      <x:c r="G358" s="28" t="n">
        <x:f>ROUND(F358-F357,1)</x:f>
        <x:v>1220</x:v>
      </x:c>
      <x:c r="H358" s="24" t="n">
        <x:f>IFERROR(F358/F357-1,"")</x:f>
        <x:v>0.010185339789614334</x:v>
      </x:c>
      <x:c r="I358" s="26" t="n">
        <x:f>ROUND(D358-E358,1)</x:f>
        <x:v>7800</x:v>
      </x:c>
      <x:c r="J358" s="22" t="str">
        <x:v>LC2610</x:v>
      </x:c>
      <x:c r="K358" s="22" t="n">
        <x:v>2</x:v>
      </x:c>
    </x:row>
    <x:row r="359">
      <x:c r="A359" s="22" t="n">
        <x:v>40</x:v>
      </x:c>
      <x:c r="B359" s="22" t="str">
        <x:v>10月12日-10月15日</x:v>
      </x:c>
      <x:c r="C359" s="23" t="n">
        <x:v>125960</x:v>
      </x:c>
      <x:c r="D359" s="23" t="n">
        <x:v>125960</x:v>
      </x:c>
      <x:c r="E359" s="23" t="n">
        <x:v>101000</x:v>
      </x:c>
      <x:c r="F359" s="23" t="n">
        <x:v>102000</x:v>
      </x:c>
      <x:c r="G359" s="28" t="n">
        <x:f>ROUND(F359-F358,1)</x:f>
        <x:v>-19000</x:v>
      </x:c>
      <x:c r="H359" s="24" t="n">
        <x:f>IFERROR(F359/F358-1,"")</x:f>
        <x:v>-0.15702479338842978</x:v>
      </x:c>
      <x:c r="I359" s="26" t="n">
        <x:f>ROUND(D359-E359,1)</x:f>
        <x:v>24960</x:v>
      </x:c>
      <x:c r="J359" s="22" t="str">
        <x:v>LC2610</x:v>
      </x:c>
      <x:c r="K359" s="22" t="n">
        <x:v>4</x:v>
      </x:c>
    </x:row>
    <x:row r="360">
      <x:c r="A360" s="31" t="str">
        <x:v>合计</x:v>
      </x:c>
      <x:c r="B360" s="30" t="n">
        <x:v>40</x:v>
      </x:c>
      <x:c r="C360" s="30"/>
      <x:c r="D360" s="30"/>
      <x:c r="E360" s="30"/>
      <x:c r="F360" s="30"/>
      <x:c r="G360" s="30"/>
      <x:c r="H360" s="30"/>
      <x:c r="I360" s="32" t="n">
        <x:f>ROUND(SUM(I320:I359),1)</x:f>
        <x:v>792280</x:v>
      </x:c>
      <x:c r="J360" s="30"/>
      <x:c r="K360" s="30"/>
    </x:row>
    <x:row r="361">
      <x:c r="A361" s="31" t="str">
        <x:v>均值</x:v>
      </x:c>
      <x:c r="B361" s="30"/>
      <x:c r="C361" s="30"/>
      <x:c r="D361" s="30"/>
      <x:c r="E361" s="30"/>
      <x:c r="F361" s="30"/>
      <x:c r="G361" s="30"/>
      <x:c r="H361" s="30"/>
      <x:c r="I361" s="34" t="n">
        <x:f>ROUND(IFERROR(AVERAGE(I320:I359),0),1)</x:f>
        <x:v>19807</x:v>
      </x:c>
      <x:c r="J361" s="30"/>
      <x:c r="K361" s="30"/>
    </x:row>
  </x:sheetData>
  <x:mergeCells>
    <x:mergeCell ref="A1:K1"/>
    <x:mergeCell ref="A3:K3"/>
    <x:mergeCell ref="A48:K48"/>
    <x:mergeCell ref="A93:K93"/>
    <x:mergeCell ref="A138:K138"/>
    <x:mergeCell ref="A183:K183"/>
    <x:mergeCell ref="A228:K228"/>
    <x:mergeCell ref="A273:K273"/>
    <x:mergeCell ref="A318:K3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2026年统计 - 中证1000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2" t="n">
        <x:v>1</x:v>
      </x:c>
      <x:c r="B5" s="22" t="str">
        <x:v>周一</x:v>
      </x:c>
      <x:c r="C5" s="22" t="str">
        <x:v>1月5日</x:v>
      </x:c>
      <x:c r="D5" s="23" t="n">
        <x:v>7639.54</x:v>
      </x:c>
      <x:c r="E5" s="23" t="n">
        <x:v>7753.96</x:v>
      </x:c>
      <x:c r="F5" s="23" t="n">
        <x:v>7623.75</x:v>
      </x:c>
      <x:c r="G5" s="23" t="n">
        <x:v>7753.88</x:v>
      </x:c>
      <x:c r="H5" s="28" t="n">
        <x:v>158.6</x:v>
      </x:c>
      <x:c r="I5" s="24" t="n">
        <x:v>0.020881389494528335</x:v>
      </x:c>
      <x:c r="J5" s="23" t="n">
        <x:f>ROUND(E5-F5,1)</x:f>
        <x:v>130.2</x:v>
      </x:c>
      <x:c r="K5" s="22" t="str">
        <x:v>中证1000</x:v>
      </x:c>
    </x:row>
    <x:row r="6">
      <x:c r="A6" s="22" t="n">
        <x:v>2</x:v>
      </x:c>
      <x:c r="B6" s="22" t="str">
        <x:v>周二</x:v>
      </x:c>
      <x:c r="C6" s="22" t="str">
        <x:v>1月6日</x:v>
      </x:c>
      <x:c r="D6" s="23" t="n">
        <x:v>7756.16</x:v>
      </x:c>
      <x:c r="E6" s="23" t="n">
        <x:v>7864.9</x:v>
      </x:c>
      <x:c r="F6" s="23" t="n">
        <x:v>7755.07</x:v>
      </x:c>
      <x:c r="G6" s="23" t="n">
        <x:v>7864.9</x:v>
      </x:c>
      <x:c r="H6" s="23" t="n">
        <x:v>111</x:v>
      </x:c>
      <x:c r="I6" s="24" t="n">
        <x:v>0.014317993056379485</x:v>
      </x:c>
      <x:c r="J6" s="23" t="n">
        <x:f>ROUND(E6-F6,1)</x:f>
        <x:v>109.8</x:v>
      </x:c>
      <x:c r="K6" s="22" t="str">
        <x:v>中证1000</x:v>
      </x:c>
    </x:row>
    <x:row r="7">
      <x:c r="A7" s="22" t="n">
        <x:v>3</x:v>
      </x:c>
      <x:c r="B7" s="22" t="str">
        <x:v>周三</x:v>
      </x:c>
      <x:c r="C7" s="22" t="str">
        <x:v>1月7日</x:v>
      </x:c>
      <x:c r="D7" s="23" t="n">
        <x:v>7881.84</x:v>
      </x:c>
      <x:c r="E7" s="23" t="n">
        <x:v>7939.75</x:v>
      </x:c>
      <x:c r="F7" s="23" t="n">
        <x:v>7864.14</x:v>
      </x:c>
      <x:c r="G7" s="23" t="n">
        <x:v>7906.42</x:v>
      </x:c>
      <x:c r="H7" s="23" t="n">
        <x:v>41.5</x:v>
      </x:c>
      <x:c r="I7" s="24" t="n">
        <x:v>0.005279151673892812</x:v>
      </x:c>
      <x:c r="J7" s="23" t="n">
        <x:f>ROUND(E7-F7,1)</x:f>
        <x:v>75.6</x:v>
      </x:c>
      <x:c r="K7" s="22" t="str">
        <x:v>中证1000</x:v>
      </x:c>
    </x:row>
    <x:row r="8">
      <x:c r="A8" s="22" t="n">
        <x:v>4</x:v>
      </x:c>
      <x:c r="B8" s="22" t="str">
        <x:v>周四</x:v>
      </x:c>
      <x:c r="C8" s="22" t="str">
        <x:v>1月8日</x:v>
      </x:c>
      <x:c r="D8" s="23" t="n">
        <x:v>7886.81</x:v>
      </x:c>
      <x:c r="E8" s="23" t="n">
        <x:v>7993.63</x:v>
      </x:c>
      <x:c r="F8" s="23" t="n">
        <x:v>7886.63</x:v>
      </x:c>
      <x:c r="G8" s="23" t="n">
        <x:v>7971.59</x:v>
      </x:c>
      <x:c r="H8" s="23" t="n">
        <x:v>65.2</x:v>
      </x:c>
      <x:c r="I8" s="24" t="n">
        <x:v>0.008242668616137205</x:v>
      </x:c>
      <x:c r="J8" s="23" t="n">
        <x:f>ROUND(E8-F8,1)</x:f>
        <x:v>107</x:v>
      </x:c>
      <x:c r="K8" s="22" t="str">
        <x:v>中证1000</x:v>
      </x:c>
    </x:row>
    <x:row r="9">
      <x:c r="A9" s="22" t="n">
        <x:v>5</x:v>
      </x:c>
      <x:c r="B9" s="22" t="str">
        <x:v>周五</x:v>
      </x:c>
      <x:c r="C9" s="22" t="str">
        <x:v>1月9日</x:v>
      </x:c>
      <x:c r="D9" s="23" t="n">
        <x:v>7969.19</x:v>
      </x:c>
      <x:c r="E9" s="23" t="n">
        <x:v>8131.49</x:v>
      </x:c>
      <x:c r="F9" s="23" t="n">
        <x:v>7969.19</x:v>
      </x:c>
      <x:c r="G9" s="23" t="n">
        <x:v>8129.18</x:v>
      </x:c>
      <x:c r="H9" s="28" t="n">
        <x:v>157.6</x:v>
      </x:c>
      <x:c r="I9" s="24" t="n">
        <x:v>0.01976895449966687</x:v>
      </x:c>
      <x:c r="J9" s="23" t="n">
        <x:f>ROUND(E9-F9,1)</x:f>
        <x:v>162.3</x:v>
      </x:c>
      <x:c r="K9" s="22" t="str">
        <x:v>中证1000</x:v>
      </x:c>
    </x:row>
    <x:row r="10">
      <x:c r="A10" s="22" t="n">
        <x:v>6</x:v>
      </x:c>
      <x:c r="B10" s="22" t="str">
        <x:v>周一</x:v>
      </x:c>
      <x:c r="C10" s="22" t="str">
        <x:v>1月12日</x:v>
      </x:c>
      <x:c r="D10" s="23" t="n">
        <x:v>8196.08</x:v>
      </x:c>
      <x:c r="E10" s="23" t="n">
        <x:v>8371.75</x:v>
      </x:c>
      <x:c r="F10" s="23" t="n">
        <x:v>8171.11</x:v>
      </x:c>
      <x:c r="G10" s="23" t="n">
        <x:v>8357.01</x:v>
      </x:c>
      <x:c r="H10" s="28" t="n">
        <x:v>227.8</x:v>
      </x:c>
      <x:c r="I10" s="24" t="n">
        <x:v>0.028026196984197727</x:v>
      </x:c>
      <x:c r="J10" s="26" t="n">
        <x:f>ROUND(E10-F10,1)</x:f>
        <x:v>200.6</x:v>
      </x:c>
      <x:c r="K10" s="22" t="str">
        <x:v>中证1000</x:v>
      </x:c>
    </x:row>
    <x:row r="11">
      <x:c r="A11" s="22" t="n">
        <x:v>7</x:v>
      </x:c>
      <x:c r="B11" s="22" t="str">
        <x:v>周二</x:v>
      </x:c>
      <x:c r="C11" s="22" t="str">
        <x:v>1月13日</x:v>
      </x:c>
      <x:c r="D11" s="23" t="n">
        <x:v>8381.04</x:v>
      </x:c>
      <x:c r="E11" s="23" t="n">
        <x:v>8381.04</x:v>
      </x:c>
      <x:c r="F11" s="23" t="n">
        <x:v>8177.63</x:v>
      </x:c>
      <x:c r="G11" s="23" t="n">
        <x:v>8203.13</x:v>
      </x:c>
      <x:c r="H11" s="28" t="n">
        <x:v>-153.9</x:v>
      </x:c>
      <x:c r="I11" s="24" t="n">
        <x:v>-0.018413284176996392</x:v>
      </x:c>
      <x:c r="J11" s="26" t="n">
        <x:f>ROUND(E11-F11,1)</x:f>
        <x:v>203.4</x:v>
      </x:c>
      <x:c r="K11" s="22" t="str">
        <x:v>中证1000</x:v>
      </x:c>
    </x:row>
    <x:row r="12">
      <x:c r="A12" s="22" t="n">
        <x:v>8</x:v>
      </x:c>
      <x:c r="B12" s="22" t="str">
        <x:v>周三</x:v>
      </x:c>
      <x:c r="C12" s="22" t="str">
        <x:v>1月14日</x:v>
      </x:c>
      <x:c r="D12" s="23" t="n">
        <x:v>8204.28</x:v>
      </x:c>
      <x:c r="E12" s="23" t="n">
        <x:v>8415.1</x:v>
      </x:c>
      <x:c r="F12" s="23" t="n">
        <x:v>8154.24</x:v>
      </x:c>
      <x:c r="G12" s="23" t="n">
        <x:v>8257.17</x:v>
      </x:c>
      <x:c r="H12" s="23" t="n">
        <x:v>54</x:v>
      </x:c>
      <x:c r="I12" s="24" t="n">
        <x:v>0.006587729317955482</x:v>
      </x:c>
      <x:c r="J12" s="26" t="n">
        <x:f>ROUND(E12-F12,1)</x:f>
        <x:v>260.9</x:v>
      </x:c>
      <x:c r="K12" s="22" t="str">
        <x:v>中证1000</x:v>
      </x:c>
    </x:row>
    <x:row r="13">
      <x:c r="A13" s="22" t="n">
        <x:v>9</x:v>
      </x:c>
      <x:c r="B13" s="22" t="str">
        <x:v>周四</x:v>
      </x:c>
      <x:c r="C13" s="22" t="str">
        <x:v>1月15日</x:v>
      </x:c>
      <x:c r="D13" s="23" t="n">
        <x:v>8197.06</x:v>
      </x:c>
      <x:c r="E13" s="23" t="n">
        <x:v>8267.81</x:v>
      </x:c>
      <x:c r="F13" s="23" t="n">
        <x:v>8151.11</x:v>
      </x:c>
      <x:c r="G13" s="23" t="n">
        <x:v>8240.78</x:v>
      </x:c>
      <x:c r="H13" s="23" t="n">
        <x:v>-16.4</x:v>
      </x:c>
      <x:c r="I13" s="24" t="n">
        <x:v>-0.00198494157199125</x:v>
      </x:c>
      <x:c r="J13" s="23" t="n">
        <x:f>ROUND(E13-F13,1)</x:f>
        <x:v>116.7</x:v>
      </x:c>
      <x:c r="K13" s="22" t="str">
        <x:v>中证1000</x:v>
      </x:c>
    </x:row>
    <x:row r="14">
      <x:c r="A14" s="41" t="n">
        <x:v>10</x:v>
      </x:c>
      <x:c r="B14" s="41" t="str">
        <x:v>周五</x:v>
      </x:c>
      <x:c r="C14" s="41" t="str">
        <x:v>1月16日</x:v>
      </x:c>
      <x:c r="D14" s="42" t="n">
        <x:v>8276.61</x:v>
      </x:c>
      <x:c r="E14" s="42" t="n">
        <x:v>8304.4</x:v>
      </x:c>
      <x:c r="F14" s="42" t="n">
        <x:v>8180.12</x:v>
      </x:c>
      <x:c r="G14" s="42" t="n">
        <x:v>8232.73</x:v>
      </x:c>
      <x:c r="H14" s="42" t="n">
        <x:v>-8.1</x:v>
      </x:c>
      <x:c r="I14" s="43" t="n">
        <x:v>-0.0009768492788305716</x:v>
      </x:c>
      <x:c r="J14" s="42" t="n">
        <x:f>ROUND(E14-F14,1)</x:f>
        <x:v>124.3</x:v>
      </x:c>
      <x:c r="K14" s="41" t="str">
        <x:v>中证1000</x:v>
      </x:c>
    </x:row>
    <x:row r="15">
      <x:c r="A15" s="22" t="n">
        <x:v>11</x:v>
      </x:c>
      <x:c r="B15" s="22" t="str">
        <x:v>周一</x:v>
      </x:c>
      <x:c r="C15" s="22" t="str">
        <x:v>1月19日</x:v>
      </x:c>
      <x:c r="D15" s="23" t="n">
        <x:v>8204.63</x:v>
      </x:c>
      <x:c r="E15" s="23" t="n">
        <x:v>8298.48</x:v>
      </x:c>
      <x:c r="F15" s="23" t="n">
        <x:v>8187.94</x:v>
      </x:c>
      <x:c r="G15" s="23" t="n">
        <x:v>8265.65</x:v>
      </x:c>
      <x:c r="H15" s="23" t="n">
        <x:v>32.9</x:v>
      </x:c>
      <x:c r="I15" s="24" t="n">
        <x:v>0.003998673587011892</x:v>
      </x:c>
      <x:c r="J15" s="23" t="n">
        <x:f>ROUND(E15-F15,1)</x:f>
        <x:v>110.5</x:v>
      </x:c>
      <x:c r="K15" s="22" t="str">
        <x:v>中证1000</x:v>
      </x:c>
    </x:row>
    <x:row r="16">
      <x:c r="A16" s="22" t="n">
        <x:v>12</x:v>
      </x:c>
      <x:c r="B16" s="22" t="str">
        <x:v>周二</x:v>
      </x:c>
      <x:c r="C16" s="22" t="str">
        <x:v>1月20日</x:v>
      </x:c>
      <x:c r="D16" s="23" t="n">
        <x:v>8271.78</x:v>
      </x:c>
      <x:c r="E16" s="23" t="n">
        <x:v>8300.05</x:v>
      </x:c>
      <x:c r="F16" s="23" t="n">
        <x:v>8104.92</x:v>
      </x:c>
      <x:c r="G16" s="23" t="n">
        <x:v>8182.75</x:v>
      </x:c>
      <x:c r="H16" s="23" t="n">
        <x:v>-82.9</x:v>
      </x:c>
      <x:c r="I16" s="24" t="n">
        <x:v>-0.01002945926817611</x:v>
      </x:c>
      <x:c r="J16" s="26" t="n">
        <x:f>ROUND(E16-F16,1)</x:f>
        <x:v>195.1</x:v>
      </x:c>
      <x:c r="K16" s="22" t="str">
        <x:v>中证1000</x:v>
      </x:c>
    </x:row>
    <x:row r="17">
      <x:c r="A17" s="22" t="n">
        <x:v>13</x:v>
      </x:c>
      <x:c r="B17" s="22" t="str">
        <x:v>周三</x:v>
      </x:c>
      <x:c r="C17" s="22" t="str">
        <x:v>1月21日</x:v>
      </x:c>
      <x:c r="D17" s="23" t="n">
        <x:v>8138.68</x:v>
      </x:c>
      <x:c r="E17" s="23" t="n">
        <x:v>8289.13</x:v>
      </x:c>
      <x:c r="F17" s="23" t="n">
        <x:v>8136.92</x:v>
      </x:c>
      <x:c r="G17" s="23" t="n">
        <x:v>8247.68</x:v>
      </x:c>
      <x:c r="H17" s="23" t="n">
        <x:v>64.9</x:v>
      </x:c>
      <x:c r="I17" s="24" t="n">
        <x:v>0.007934985182243226</x:v>
      </x:c>
      <x:c r="J17" s="23" t="n">
        <x:f>ROUND(E17-F17,1)</x:f>
        <x:v>152.2</x:v>
      </x:c>
      <x:c r="K17" s="22" t="str">
        <x:v>中证1000</x:v>
      </x:c>
    </x:row>
    <x:row r="18">
      <x:c r="A18" s="22" t="n">
        <x:v>14</x:v>
      </x:c>
      <x:c r="B18" s="22" t="str">
        <x:v>周四</x:v>
      </x:c>
      <x:c r="C18" s="22" t="str">
        <x:v>1月22日</x:v>
      </x:c>
      <x:c r="D18" s="23" t="n">
        <x:v>8272.47</x:v>
      </x:c>
      <x:c r="E18" s="23" t="n">
        <x:v>8314.22</x:v>
      </x:c>
      <x:c r="F18" s="23" t="n">
        <x:v>8252.74</x:v>
      </x:c>
      <x:c r="G18" s="23" t="n">
        <x:v>8309.35</x:v>
      </x:c>
      <x:c r="H18" s="23" t="n">
        <x:v>61.7</x:v>
      </x:c>
      <x:c r="I18" s="24" t="n">
        <x:v>0.0074772542096686045</x:v>
      </x:c>
      <x:c r="J18" s="23" t="n">
        <x:f>ROUND(E18-F18,1)</x:f>
        <x:v>61.5</x:v>
      </x:c>
      <x:c r="K18" s="22" t="str">
        <x:v>中证1000</x:v>
      </x:c>
    </x:row>
    <x:row r="19">
      <x:c r="A19" s="22" t="n">
        <x:v>15</x:v>
      </x:c>
      <x:c r="B19" s="22" t="str">
        <x:v>周五</x:v>
      </x:c>
      <x:c r="C19" s="22" t="str">
        <x:v>1月23日</x:v>
      </x:c>
      <x:c r="D19" s="23" t="n">
        <x:v>8331.77</x:v>
      </x:c>
      <x:c r="E19" s="23" t="n">
        <x:v>8478.56</x:v>
      </x:c>
      <x:c r="F19" s="23" t="n">
        <x:v>8323.35</x:v>
      </x:c>
      <x:c r="G19" s="23" t="n">
        <x:v>8470.74</x:v>
      </x:c>
      <x:c r="H19" s="28" t="n">
        <x:v>161.4</x:v>
      </x:c>
      <x:c r="I19" s="24" t="n">
        <x:v>0.019422698526358806</x:v>
      </x:c>
      <x:c r="J19" s="23" t="n">
        <x:f>ROUND(E19-F19,1)</x:f>
        <x:v>155.2</x:v>
      </x:c>
      <x:c r="K19" s="22" t="str">
        <x:v>中证1000</x:v>
      </x:c>
    </x:row>
    <x:row r="20">
      <x:c r="A20" s="22" t="n">
        <x:v>16</x:v>
      </x:c>
      <x:c r="B20" s="22" t="str">
        <x:v>周一</x:v>
      </x:c>
      <x:c r="C20" s="22" t="str">
        <x:v>1月26日</x:v>
      </x:c>
      <x:c r="D20" s="23" t="n">
        <x:v>8513.22</x:v>
      </x:c>
      <x:c r="E20" s="23" t="n">
        <x:v>8530.42</x:v>
      </x:c>
      <x:c r="F20" s="23" t="n">
        <x:v>8302.1</x:v>
      </x:c>
      <x:c r="G20" s="23" t="n">
        <x:v>8365.43</x:v>
      </x:c>
      <x:c r="H20" s="23" t="n">
        <x:v>-105.3</x:v>
      </x:c>
      <x:c r="I20" s="24" t="n">
        <x:v>-0.012432207811832185</x:v>
      </x:c>
      <x:c r="J20" s="26" t="n">
        <x:f>ROUND(E20-F20,1)</x:f>
        <x:v>228.3</x:v>
      </x:c>
      <x:c r="K20" s="22" t="str">
        <x:v>中证1000</x:v>
      </x:c>
    </x:row>
    <x:row r="21">
      <x:c r="A21" s="22" t="n">
        <x:v>17</x:v>
      </x:c>
      <x:c r="B21" s="22" t="str">
        <x:v>周二</x:v>
      </x:c>
      <x:c r="C21" s="22" t="str">
        <x:v>1月27日</x:v>
      </x:c>
      <x:c r="D21" s="23" t="n">
        <x:v>8325.43</x:v>
      </x:c>
      <x:c r="E21" s="23" t="n">
        <x:v>8406.1</x:v>
      </x:c>
      <x:c r="F21" s="23" t="n">
        <x:v>8186.24</x:v>
      </x:c>
      <x:c r="G21" s="23" t="n">
        <x:v>8382.15</x:v>
      </x:c>
      <x:c r="H21" s="23" t="n">
        <x:v>16.7</x:v>
      </x:c>
      <x:c r="I21" s="24" t="n">
        <x:v>0.001998701800146385</x:v>
      </x:c>
      <x:c r="J21" s="26" t="n">
        <x:f>ROUND(E21-F21,1)</x:f>
        <x:v>219.9</x:v>
      </x:c>
      <x:c r="K21" s="22" t="str">
        <x:v>中证1000</x:v>
      </x:c>
    </x:row>
    <x:row r="22">
      <x:c r="A22" s="22" t="n">
        <x:v>18</x:v>
      </x:c>
      <x:c r="B22" s="22" t="str">
        <x:v>周三</x:v>
      </x:c>
      <x:c r="C22" s="22" t="str">
        <x:v>1月28日</x:v>
      </x:c>
      <x:c r="D22" s="23" t="n">
        <x:v>8392.75</x:v>
      </x:c>
      <x:c r="E22" s="23" t="n">
        <x:v>8432.62</x:v>
      </x:c>
      <x:c r="F22" s="23" t="n">
        <x:v>8334.68</x:v>
      </x:c>
      <x:c r="G22" s="23" t="n">
        <x:v>8399.79</x:v>
      </x:c>
      <x:c r="H22" s="23" t="n">
        <x:v>17.6</x:v>
      </x:c>
      <x:c r="I22" s="24" t="n">
        <x:v>0.0021044720030065633</x:v>
      </x:c>
      <x:c r="J22" s="23" t="n">
        <x:f>ROUND(E22-F22,1)</x:f>
        <x:v>97.9</x:v>
      </x:c>
      <x:c r="K22" s="22" t="str">
        <x:v>中证1000</x:v>
      </x:c>
    </x:row>
    <x:row r="23">
      <x:c r="A23" s="22" t="n">
        <x:v>19</x:v>
      </x:c>
      <x:c r="B23" s="22" t="str">
        <x:v>周四</x:v>
      </x:c>
      <x:c r="C23" s="22" t="str">
        <x:v>1月29日</x:v>
      </x:c>
      <x:c r="D23" s="23" t="n">
        <x:v>8380.61</x:v>
      </x:c>
      <x:c r="E23" s="23" t="n">
        <x:v>8463.12</x:v>
      </x:c>
      <x:c r="F23" s="23" t="n">
        <x:v>8308.82</x:v>
      </x:c>
      <x:c r="G23" s="23" t="n">
        <x:v>8332.21</x:v>
      </x:c>
      <x:c r="H23" s="23" t="n">
        <x:v>-67.6</x:v>
      </x:c>
      <x:c r="I23" s="24" t="n">
        <x:v>-0.008045439231219031</x:v>
      </x:c>
      <x:c r="J23" s="23" t="n">
        <x:f>ROUND(E23-F23,1)</x:f>
        <x:v>154.3</x:v>
      </x:c>
      <x:c r="K23" s="22" t="str">
        <x:v>中证1000</x:v>
      </x:c>
    </x:row>
    <x:row r="24">
      <x:c r="A24" s="22" t="n">
        <x:v>20</x:v>
      </x:c>
      <x:c r="B24" s="22" t="str">
        <x:v>周五</x:v>
      </x:c>
      <x:c r="C24" s="22" t="str">
        <x:v>1月30日</x:v>
      </x:c>
      <x:c r="D24" s="23" t="n">
        <x:v>8255.33</x:v>
      </x:c>
      <x:c r="E24" s="23" t="n">
        <x:v>8313.23</x:v>
      </x:c>
      <x:c r="F24" s="23" t="n">
        <x:v>8083.97</x:v>
      </x:c>
      <x:c r="G24" s="23" t="n">
        <x:v>8254.86</x:v>
      </x:c>
      <x:c r="H24" s="23" t="n">
        <x:v>-77.3</x:v>
      </x:c>
      <x:c r="I24" s="24" t="n">
        <x:v>-0.00928325138228614</x:v>
      </x:c>
      <x:c r="J24" s="26" t="n">
        <x:f>ROUND(E24-F24,1)</x:f>
        <x:v>229.3</x:v>
      </x:c>
      <x:c r="K24" s="22" t="str">
        <x:v>中证1000</x:v>
      </x:c>
    </x:row>
    <x:row r="25">
      <x:c r="A25" s="31" t="str">
        <x:v>合计</x:v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2" t="n">
        <x:f>ROUND(SUM(J5:J24),1)</x:f>
        <x:v>3095</x:v>
      </x:c>
      <x:c r="K25" s="30"/>
    </x:row>
    <x:row r="26">
      <x:c r="A26" s="31" t="str">
        <x:v>均值</x:v>
      </x:c>
      <x:c r="B26" s="30"/>
      <x:c r="C26" s="30"/>
      <x:c r="D26" s="30"/>
      <x:c r="E26" s="30"/>
      <x:c r="F26" s="30"/>
      <x:c r="G26" s="30"/>
      <x:c r="H26" s="30"/>
      <x:c r="I26" s="30"/>
      <x:c r="J26" s="34" t="n">
        <x:f>ROUND(IFERROR(AVERAGE(J5:J24),0),1)</x:f>
        <x:v>154.8</x:v>
      </x:c>
      <x:c r="K26" s="30"/>
    </x:row>
    <x:row r="28">
      <x:c r="A28" s="17" t="str">
        <x:v>2月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20" t="str">
        <x:v>序号</x:v>
      </x:c>
      <x:c r="B29" s="20" t="str">
        <x:v>星期</x:v>
      </x:c>
      <x:c r="C29" s="20" t="str">
        <x:v>日期</x:v>
      </x:c>
      <x:c r="D29" s="20" t="str">
        <x:v>开盘</x:v>
      </x:c>
      <x:c r="E29" s="20" t="str">
        <x:v>高点</x:v>
      </x:c>
      <x:c r="F29" s="20" t="str">
        <x:v>低点</x:v>
      </x:c>
      <x:c r="G29" s="20" t="str">
        <x:v>收盘</x:v>
      </x:c>
      <x:c r="H29" s="20" t="str">
        <x:v>涨跌点数</x:v>
      </x:c>
      <x:c r="I29" s="20" t="str">
        <x:v>涨幅</x:v>
      </x:c>
      <x:c r="J29" s="20" t="str">
        <x:v>振幅</x:v>
      </x:c>
      <x:c r="K29" s="20" t="str">
        <x:v>标的</x:v>
      </x:c>
    </x:row>
    <x:row r="30">
      <x:c r="A30" s="22" t="n">
        <x:v>1</x:v>
      </x:c>
      <x:c r="B30" s="22" t="str">
        <x:v>周一</x:v>
      </x:c>
      <x:c r="C30" s="22" t="str">
        <x:v>2月2日</x:v>
      </x:c>
      <x:c r="D30" s="23" t="n">
        <x:v>8166.74</x:v>
      </x:c>
      <x:c r="E30" s="23" t="n">
        <x:v>8221.58</x:v>
      </x:c>
      <x:c r="F30" s="23" t="n">
        <x:v>7974.6</x:v>
      </x:c>
      <x:c r="G30" s="23" t="n">
        <x:v>7975.43</x:v>
      </x:c>
      <x:c r="H30" s="28" t="n">
        <x:v>-279.4</x:v>
      </x:c>
      <x:c r="I30" s="24" t="n">
        <x:v>-0.03385036208972658</x:v>
      </x:c>
      <x:c r="J30" s="26" t="n">
        <x:f>ROUND(E30-F30,1)</x:f>
        <x:v>247</x:v>
      </x:c>
      <x:c r="K30" s="22" t="str">
        <x:v>中证1000</x:v>
      </x:c>
    </x:row>
    <x:row r="31">
      <x:c r="A31" s="22" t="n">
        <x:v>2</x:v>
      </x:c>
      <x:c r="B31" s="22" t="str">
        <x:v>周二</x:v>
      </x:c>
      <x:c r="C31" s="22" t="str">
        <x:v>2月3日</x:v>
      </x:c>
      <x:c r="D31" s="23" t="n">
        <x:v>8058.76</x:v>
      </x:c>
      <x:c r="E31" s="23" t="n">
        <x:v>8210.05</x:v>
      </x:c>
      <x:c r="F31" s="23" t="n">
        <x:v>8023.24</x:v>
      </x:c>
      <x:c r="G31" s="23" t="n">
        <x:v>8209.1</x:v>
      </x:c>
      <x:c r="H31" s="28" t="n">
        <x:v>233.7</x:v>
      </x:c>
      <x:c r="I31" s="24" t="n">
        <x:v>0.029298733735986682</x:v>
      </x:c>
      <x:c r="J31" s="26" t="n">
        <x:f>ROUND(E31-F31,1)</x:f>
        <x:v>186.8</x:v>
      </x:c>
      <x:c r="K31" s="22" t="str">
        <x:v>中证1000</x:v>
      </x:c>
    </x:row>
    <x:row r="32">
      <x:c r="A32" s="22" t="n">
        <x:v>3</x:v>
      </x:c>
      <x:c r="B32" s="22" t="str">
        <x:v>周三</x:v>
      </x:c>
      <x:c r="C32" s="22" t="str">
        <x:v>2月4日</x:v>
      </x:c>
      <x:c r="D32" s="23" t="n">
        <x:v>8184.2</x:v>
      </x:c>
      <x:c r="E32" s="23" t="n">
        <x:v>8216.2</x:v>
      </x:c>
      <x:c r="F32" s="23" t="n">
        <x:v>8101.2</x:v>
      </x:c>
      <x:c r="G32" s="23" t="n">
        <x:v>8207.12</x:v>
      </x:c>
      <x:c r="H32" s="23" t="n">
        <x:v>-2</x:v>
      </x:c>
      <x:c r="I32" s="24" t="n">
        <x:v>-0.00024119574618408635</x:v>
      </x:c>
      <x:c r="J32" s="23" t="n">
        <x:f>ROUND(E32-F32,1)</x:f>
        <x:v>115</x:v>
      </x:c>
      <x:c r="K32" s="22" t="str">
        <x:v>中证1000</x:v>
      </x:c>
    </x:row>
    <x:row r="33">
      <x:c r="A33" s="22" t="n">
        <x:v>4</x:v>
      </x:c>
      <x:c r="B33" s="22" t="str">
        <x:v>周四</x:v>
      </x:c>
      <x:c r="C33" s="22" t="str">
        <x:v>2月5日</x:v>
      </x:c>
      <x:c r="D33" s="23" t="n">
        <x:v>8121.51</x:v>
      </x:c>
      <x:c r="E33" s="23" t="n">
        <x:v>8154.56</x:v>
      </x:c>
      <x:c r="F33" s="23" t="n">
        <x:v>8027.62</x:v>
      </x:c>
      <x:c r="G33" s="23" t="n">
        <x:v>8068.08</x:v>
      </x:c>
      <x:c r="H33" s="23" t="n">
        <x:v>-139</x:v>
      </x:c>
      <x:c r="I33" s="24" t="n">
        <x:v>-0.01694138747818974</x:v>
      </x:c>
      <x:c r="J33" s="23" t="n">
        <x:f>ROUND(E33-F33,1)</x:f>
        <x:v>126.9</x:v>
      </x:c>
      <x:c r="K33" s="22" t="str">
        <x:v>中证1000</x:v>
      </x:c>
    </x:row>
    <x:row r="34">
      <x:c r="A34" s="22" t="n">
        <x:v>5</x:v>
      </x:c>
      <x:c r="B34" s="22" t="str">
        <x:v>周五</x:v>
      </x:c>
      <x:c r="C34" s="22" t="str">
        <x:v>2月6日</x:v>
      </x:c>
      <x:c r="D34" s="23" t="n">
        <x:v>7980.47</x:v>
      </x:c>
      <x:c r="E34" s="23" t="n">
        <x:v>8152.32</x:v>
      </x:c>
      <x:c r="F34" s="23" t="n">
        <x:v>7950.01</x:v>
      </x:c>
      <x:c r="G34" s="23" t="n">
        <x:v>8051.57</x:v>
      </x:c>
      <x:c r="H34" s="23" t="n">
        <x:v>-16.5</x:v>
      </x:c>
      <x:c r="I34" s="24" t="n">
        <x:v>-0.002046335683334899</x:v>
      </x:c>
      <x:c r="J34" s="26" t="n">
        <x:f>ROUND(E34-F34,1)</x:f>
        <x:v>202.3</x:v>
      </x:c>
      <x:c r="K34" s="22" t="str">
        <x:v>中证1000</x:v>
      </x:c>
    </x:row>
    <x:row r="35">
      <x:c r="A35" s="22" t="n">
        <x:v>6</x:v>
      </x:c>
      <x:c r="B35" s="22" t="str">
        <x:v>周一</x:v>
      </x:c>
      <x:c r="C35" s="22" t="str">
        <x:v>2月9日</x:v>
      </x:c>
      <x:c r="D35" s="23" t="n">
        <x:v>8177.29</x:v>
      </x:c>
      <x:c r="E35" s="23" t="n">
        <x:v>8235.15</x:v>
      </x:c>
      <x:c r="F35" s="23" t="n">
        <x:v>8149.65</x:v>
      </x:c>
      <x:c r="G35" s="23" t="n">
        <x:v>8233.78</x:v>
      </x:c>
      <x:c r="H35" s="28" t="n">
        <x:v>182.2</x:v>
      </x:c>
      <x:c r="I35" s="24" t="n">
        <x:v>0.022630368983937332</x:v>
      </x:c>
      <x:c r="J35" s="23" t="n">
        <x:f>ROUND(E35-F35,1)</x:f>
        <x:v>85.5</x:v>
      </x:c>
      <x:c r="K35" s="22" t="str">
        <x:v>中证1000</x:v>
      </x:c>
    </x:row>
    <x:row r="36">
      <x:c r="A36" s="22" t="n">
        <x:v>7</x:v>
      </x:c>
      <x:c r="B36" s="22" t="str">
        <x:v>周二</x:v>
      </x:c>
      <x:c r="C36" s="22" t="str">
        <x:v>2月10日</x:v>
      </x:c>
      <x:c r="D36" s="23" t="n">
        <x:v>8246.22</x:v>
      </x:c>
      <x:c r="E36" s="23" t="n">
        <x:v>8274.14</x:v>
      </x:c>
      <x:c r="F36" s="23" t="n">
        <x:v>8199.51</x:v>
      </x:c>
      <x:c r="G36" s="23" t="n">
        <x:v>8250.3</x:v>
      </x:c>
      <x:c r="H36" s="23" t="n">
        <x:v>16.5</x:v>
      </x:c>
      <x:c r="I36" s="24" t="n">
        <x:v>0.00200636888525052</x:v>
      </x:c>
      <x:c r="J36" s="23" t="n">
        <x:f>ROUND(E36-F36,1)</x:f>
        <x:v>74.6</x:v>
      </x:c>
      <x:c r="K36" s="22" t="str">
        <x:v>中证1000</x:v>
      </x:c>
    </x:row>
    <x:row r="37">
      <x:c r="A37" s="22" t="n">
        <x:v>8</x:v>
      </x:c>
      <x:c r="B37" s="22" t="str">
        <x:v>周三</x:v>
      </x:c>
      <x:c r="C37" s="22" t="str">
        <x:v>2月11日</x:v>
      </x:c>
      <x:c r="D37" s="23" t="n">
        <x:v>8239.17</x:v>
      </x:c>
      <x:c r="E37" s="23" t="n">
        <x:v>8304.13</x:v>
      </x:c>
      <x:c r="F37" s="23" t="n">
        <x:v>8236.96</x:v>
      </x:c>
      <x:c r="G37" s="23" t="n">
        <x:v>8239.51</x:v>
      </x:c>
      <x:c r="H37" s="23" t="n">
        <x:v>-10.8</x:v>
      </x:c>
      <x:c r="I37" s="24" t="n">
        <x:v>-0.0013078312303793638</x:v>
      </x:c>
      <x:c r="J37" s="23" t="n">
        <x:f>ROUND(E37-F37,1)</x:f>
        <x:v>67.2</x:v>
      </x:c>
      <x:c r="K37" s="22" t="str">
        <x:v>中证1000</x:v>
      </x:c>
    </x:row>
    <x:row r="38">
      <x:c r="A38" s="22" t="n">
        <x:v>9</x:v>
      </x:c>
      <x:c r="B38" s="22" t="str">
        <x:v>周四</x:v>
      </x:c>
      <x:c r="C38" s="22" t="str">
        <x:v>2月12日</x:v>
      </x:c>
      <x:c r="D38" s="23" t="n">
        <x:v>8252.19</x:v>
      </x:c>
      <x:c r="E38" s="23" t="n">
        <x:v>8337.37</x:v>
      </x:c>
      <x:c r="F38" s="23" t="n">
        <x:v>8227.6</x:v>
      </x:c>
      <x:c r="G38" s="23" t="n">
        <x:v>8314.83</x:v>
      </x:c>
      <x:c r="H38" s="23" t="n">
        <x:v>75.3</x:v>
      </x:c>
      <x:c r="I38" s="24" t="n">
        <x:v>0.009141320296959465</x:v>
      </x:c>
      <x:c r="J38" s="23" t="n">
        <x:f>ROUND(E38-F38,1)</x:f>
        <x:v>109.8</x:v>
      </x:c>
      <x:c r="K38" s="22" t="str">
        <x:v>中证1000</x:v>
      </x:c>
    </x:row>
    <x:row r="39">
      <x:c r="A39" s="22" t="n">
        <x:v>10</x:v>
      </x:c>
      <x:c r="B39" s="22" t="str">
        <x:v>周五</x:v>
      </x:c>
      <x:c r="C39" s="22" t="str">
        <x:v>2月13日</x:v>
      </x:c>
      <x:c r="D39" s="23" t="n">
        <x:v>8272.88</x:v>
      </x:c>
      <x:c r="E39" s="23" t="n">
        <x:v>8323.72</x:v>
      </x:c>
      <x:c r="F39" s="23" t="n">
        <x:v>8200.15</x:v>
      </x:c>
      <x:c r="G39" s="23" t="n">
        <x:v>8204.83</x:v>
      </x:c>
      <x:c r="H39" s="23" t="n">
        <x:v>-110</x:v>
      </x:c>
      <x:c r="I39" s="24" t="n">
        <x:v>-0.013229374503146762</x:v>
      </x:c>
      <x:c r="J39" s="23" t="n">
        <x:f>ROUND(E39-F39,1)</x:f>
        <x:v>123.6</x:v>
      </x:c>
      <x:c r="K39" s="22" t="str">
        <x:v>中证1000</x:v>
      </x:c>
    </x:row>
    <x:row r="40">
      <x:c r="A40" s="41" t="n">
        <x:v>11</x:v>
      </x:c>
      <x:c r="B40" s="41" t="str">
        <x:v>周二</x:v>
      </x:c>
      <x:c r="C40" s="41" t="str">
        <x:v>2月24日</x:v>
      </x:c>
      <x:c r="D40" s="42" t="n">
        <x:v>8319.69</x:v>
      </x:c>
      <x:c r="E40" s="42" t="n">
        <x:v>8356.91</x:v>
      </x:c>
      <x:c r="F40" s="42" t="n">
        <x:v>8236.71</x:v>
      </x:c>
      <x:c r="G40" s="42" t="n">
        <x:v>8299.77</x:v>
      </x:c>
      <x:c r="H40" s="42" t="n">
        <x:v>94.9</x:v>
      </x:c>
      <x:c r="I40" s="43" t="n">
        <x:v>0.011571233042001028</x:v>
      </x:c>
      <x:c r="J40" s="42" t="n">
        <x:f>ROUND(E40-F40,1)</x:f>
        <x:v>120.2</x:v>
      </x:c>
      <x:c r="K40" s="41" t="str">
        <x:v>中证1000</x:v>
      </x:c>
    </x:row>
    <x:row r="41">
      <x:c r="A41" s="22" t="n">
        <x:v>12</x:v>
      </x:c>
      <x:c r="B41" s="22" t="str">
        <x:v>周三</x:v>
      </x:c>
      <x:c r="C41" s="22" t="str">
        <x:v>2月25日</x:v>
      </x:c>
      <x:c r="D41" s="23" t="n">
        <x:v>8320.61</x:v>
      </x:c>
      <x:c r="E41" s="23" t="n">
        <x:v>8449.76</x:v>
      </x:c>
      <x:c r="F41" s="23" t="n">
        <x:v>8310.33</x:v>
      </x:c>
      <x:c r="G41" s="23" t="n">
        <x:v>8426.33</x:v>
      </x:c>
      <x:c r="H41" s="23" t="n">
        <x:v>126.6</x:v>
      </x:c>
      <x:c r="I41" s="24" t="n">
        <x:v>0.015248615323075088</x:v>
      </x:c>
      <x:c r="J41" s="23" t="n">
        <x:f>ROUND(E41-F41,1)</x:f>
        <x:v>139.4</x:v>
      </x:c>
      <x:c r="K41" s="22" t="str">
        <x:v>中证1000</x:v>
      </x:c>
    </x:row>
    <x:row r="42">
      <x:c r="A42" s="22" t="n">
        <x:v>13</x:v>
      </x:c>
      <x:c r="B42" s="22" t="str">
        <x:v>周四</x:v>
      </x:c>
      <x:c r="C42" s="22" t="str">
        <x:v>2月26日</x:v>
      </x:c>
      <x:c r="D42" s="23" t="n">
        <x:v>8447.78</x:v>
      </x:c>
      <x:c r="E42" s="23" t="n">
        <x:v>8496.75</x:v>
      </x:c>
      <x:c r="F42" s="23" t="n">
        <x:v>8398.07</x:v>
      </x:c>
      <x:c r="G42" s="23" t="n">
        <x:v>8490.62</x:v>
      </x:c>
      <x:c r="H42" s="23" t="n">
        <x:v>64.3</x:v>
      </x:c>
      <x:c r="I42" s="24" t="n">
        <x:v>0.007629656089899184</x:v>
      </x:c>
      <x:c r="J42" s="23" t="n">
        <x:f>ROUND(E42-F42,1)</x:f>
        <x:v>98.7</x:v>
      </x:c>
      <x:c r="K42" s="22" t="str">
        <x:v>中证1000</x:v>
      </x:c>
    </x:row>
    <x:row r="43">
      <x:c r="A43" s="22" t="n">
        <x:v>14</x:v>
      </x:c>
      <x:c r="B43" s="22" t="str">
        <x:v>周五</x:v>
      </x:c>
      <x:c r="C43" s="22" t="str">
        <x:v>2月27日</x:v>
      </x:c>
      <x:c r="D43" s="23" t="n">
        <x:v>8434.1</x:v>
      </x:c>
      <x:c r="E43" s="23" t="n">
        <x:v>8561.3</x:v>
      </x:c>
      <x:c r="F43" s="23" t="n">
        <x:v>8433.72</x:v>
      </x:c>
      <x:c r="G43" s="23" t="n">
        <x:v>8560.84</x:v>
      </x:c>
      <x:c r="H43" s="23" t="n">
        <x:v>70.2</x:v>
      </x:c>
      <x:c r="I43" s="24" t="n">
        <x:v>0.00827030299318543</x:v>
      </x:c>
      <x:c r="J43" s="23" t="n">
        <x:f>ROUND(E43-F43,1)</x:f>
        <x:v>127.6</x:v>
      </x:c>
      <x:c r="K43" s="22" t="str">
        <x:v>中证1000</x:v>
      </x:c>
    </x:row>
    <x:row r="44">
      <x:c r="A44" s="31" t="str">
        <x:v>合计</x:v>
      </x:c>
      <x:c r="B44" s="30" t="n">
        <x:v>14</x:v>
      </x:c>
      <x:c r="C44" s="30"/>
      <x:c r="D44" s="30"/>
      <x:c r="E44" s="30"/>
      <x:c r="F44" s="30"/>
      <x:c r="G44" s="30"/>
      <x:c r="H44" s="30"/>
      <x:c r="I44" s="30"/>
      <x:c r="J44" s="32" t="n">
        <x:f>ROUND(SUM(J30:J43),1)</x:f>
        <x:v>1824.6</x:v>
      </x:c>
      <x:c r="K44" s="30"/>
    </x:row>
    <x:row r="45">
      <x:c r="A45" s="31" t="str">
        <x:v>均值</x:v>
      </x:c>
      <x:c r="B45" s="30"/>
      <x:c r="C45" s="30"/>
      <x:c r="D45" s="30"/>
      <x:c r="E45" s="30"/>
      <x:c r="F45" s="30"/>
      <x:c r="G45" s="30"/>
      <x:c r="H45" s="30"/>
      <x:c r="I45" s="30"/>
      <x:c r="J45" s="34" t="n">
        <x:f>ROUND(IFERROR(AVERAGE(J30:J43),0),1)</x:f>
        <x:v>130.3</x:v>
      </x:c>
      <x:c r="K45" s="30"/>
    </x:row>
    <x:row r="47">
      <x:c r="A47" s="17" t="str">
        <x:v>3月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20" t="str">
        <x:v>序号</x:v>
      </x:c>
      <x:c r="B48" s="20" t="str">
        <x:v>星期</x:v>
      </x:c>
      <x:c r="C48" s="20" t="str">
        <x:v>日期</x:v>
      </x:c>
      <x:c r="D48" s="20" t="str">
        <x:v>开盘</x:v>
      </x:c>
      <x:c r="E48" s="20" t="str">
        <x:v>高点</x:v>
      </x:c>
      <x:c r="F48" s="20" t="str">
        <x:v>低点</x:v>
      </x:c>
      <x:c r="G48" s="20" t="str">
        <x:v>收盘</x:v>
      </x:c>
      <x:c r="H48" s="20" t="str">
        <x:v>涨跌点数</x:v>
      </x:c>
      <x:c r="I48" s="20" t="str">
        <x:v>涨幅</x:v>
      </x:c>
      <x:c r="J48" s="20" t="str">
        <x:v>振幅</x:v>
      </x:c>
      <x:c r="K48" s="20" t="str">
        <x:v>标的</x:v>
      </x:c>
    </x:row>
    <x:row r="49">
      <x:c r="A49" s="22" t="n">
        <x:v>1</x:v>
      </x:c>
      <x:c r="B49" s="22" t="str">
        <x:v>周一</x:v>
      </x:c>
      <x:c r="C49" s="22" t="str">
        <x:v>3月2日</x:v>
      </x:c>
      <x:c r="D49" s="23" t="n">
        <x:v>8464.27</x:v>
      </x:c>
      <x:c r="E49" s="23" t="n">
        <x:v>8535.81</x:v>
      </x:c>
      <x:c r="F49" s="23" t="n">
        <x:v>8393.93</x:v>
      </x:c>
      <x:c r="G49" s="23" t="n">
        <x:v>8476.97</x:v>
      </x:c>
      <x:c r="H49" s="23" t="n">
        <x:v>-83.9</x:v>
      </x:c>
      <x:c r="I49" s="24" t="n">
        <x:v>-0.009796935814709862</x:v>
      </x:c>
      <x:c r="J49" s="23" t="n">
        <x:f>ROUND(E49-F49,1)</x:f>
        <x:v>141.9</x:v>
      </x:c>
      <x:c r="K49" s="22" t="str">
        <x:v>中证1000</x:v>
      </x:c>
    </x:row>
    <x:row r="50">
      <x:c r="A50" s="22" t="n">
        <x:v>2</x:v>
      </x:c>
      <x:c r="B50" s="22" t="str">
        <x:v>周二</x:v>
      </x:c>
      <x:c r="C50" s="22" t="str">
        <x:v>3月3日</x:v>
      </x:c>
      <x:c r="D50" s="23" t="n">
        <x:v>8495.95</x:v>
      </x:c>
      <x:c r="E50" s="23" t="n">
        <x:v>8510.85</x:v>
      </x:c>
      <x:c r="F50" s="23" t="n">
        <x:v>8128.3</x:v>
      </x:c>
      <x:c r="G50" s="23" t="n">
        <x:v>8142.45</x:v>
      </x:c>
      <x:c r="H50" s="28" t="n">
        <x:v>-334.5</x:v>
      </x:c>
      <x:c r="I50" s="24" t="n">
        <x:v>-0.039462213503173804</x:v>
      </x:c>
      <x:c r="J50" s="26" t="n">
        <x:f>ROUND(E50-F50,1)</x:f>
        <x:v>382.6</x:v>
      </x:c>
      <x:c r="K50" s="22" t="str">
        <x:v>中证1000</x:v>
      </x:c>
    </x:row>
    <x:row r="51">
      <x:c r="A51" s="22" t="n">
        <x:v>3</x:v>
      </x:c>
      <x:c r="B51" s="22" t="str">
        <x:v>周三</x:v>
      </x:c>
      <x:c r="C51" s="22" t="str">
        <x:v>3月4日</x:v>
      </x:c>
      <x:c r="D51" s="23" t="n">
        <x:v>8039.59</x:v>
      </x:c>
      <x:c r="E51" s="23" t="n">
        <x:v>8228.9</x:v>
      </x:c>
      <x:c r="F51" s="23" t="n">
        <x:v>8039.59</x:v>
      </x:c>
      <x:c r="G51" s="23" t="n">
        <x:v>8094.52</x:v>
      </x:c>
      <x:c r="H51" s="23" t="n">
        <x:v>-47.9</x:v>
      </x:c>
      <x:c r="I51" s="24" t="n">
        <x:v>-0.005886434672610741</x:v>
      </x:c>
      <x:c r="J51" s="26" t="n">
        <x:f>ROUND(E51-F51,1)</x:f>
        <x:v>189.3</x:v>
      </x:c>
      <x:c r="K51" s="22" t="str">
        <x:v>中证1000</x:v>
      </x:c>
    </x:row>
    <x:row r="52">
      <x:c r="A52" s="22" t="n">
        <x:v>4</x:v>
      </x:c>
      <x:c r="B52" s="22" t="str">
        <x:v>周四</x:v>
      </x:c>
      <x:c r="C52" s="22" t="str">
        <x:v>3月5日</x:v>
      </x:c>
      <x:c r="D52" s="23" t="n">
        <x:v>8235.37</x:v>
      </x:c>
      <x:c r="E52" s="23" t="n">
        <x:v>8243.83</x:v>
      </x:c>
      <x:c r="F52" s="23" t="n">
        <x:v>8121.38</x:v>
      </x:c>
      <x:c r="G52" s="23" t="n">
        <x:v>8171.12</x:v>
      </x:c>
      <x:c r="H52" s="23" t="n">
        <x:v>76.6</x:v>
      </x:c>
      <x:c r="I52" s="24" t="n">
        <x:v>0.009463192382006547</x:v>
      </x:c>
      <x:c r="J52" s="23" t="n">
        <x:f>ROUND(E52-F52,1)</x:f>
        <x:v>122.4</x:v>
      </x:c>
      <x:c r="K52" s="22" t="str">
        <x:v>中证1000</x:v>
      </x:c>
    </x:row>
    <x:row r="53">
      <x:c r="A53" s="22" t="n">
        <x:v>5</x:v>
      </x:c>
      <x:c r="B53" s="22" t="str">
        <x:v>周五</x:v>
      </x:c>
      <x:c r="C53" s="22" t="str">
        <x:v>3月6日</x:v>
      </x:c>
      <x:c r="D53" s="23" t="n">
        <x:v>8120.49</x:v>
      </x:c>
      <x:c r="E53" s="23" t="n">
        <x:v>8273.68</x:v>
      </x:c>
      <x:c r="F53" s="23" t="n">
        <x:v>8115.48</x:v>
      </x:c>
      <x:c r="G53" s="23" t="n">
        <x:v>8248.86</x:v>
      </x:c>
      <x:c r="H53" s="23" t="n">
        <x:v>77.7</x:v>
      </x:c>
      <x:c r="I53" s="24" t="n">
        <x:v>0.009513995633401606</x:v>
      </x:c>
      <x:c r="J53" s="23" t="n">
        <x:f>ROUND(E53-F53,1)</x:f>
        <x:v>158.2</x:v>
      </x:c>
      <x:c r="K53" s="22" t="str">
        <x:v>中证1000</x:v>
      </x:c>
    </x:row>
    <x:row r="54">
      <x:c r="A54" s="22" t="n">
        <x:v>6</x:v>
      </x:c>
      <x:c r="B54" s="22" t="str">
        <x:v>周一</x:v>
      </x:c>
      <x:c r="C54" s="22" t="str">
        <x:v>3月9日</x:v>
      </x:c>
      <x:c r="D54" s="23" t="n">
        <x:v>8131.74</x:v>
      </x:c>
      <x:c r="E54" s="23" t="n">
        <x:v>8230.66</x:v>
      </x:c>
      <x:c r="F54" s="23" t="n">
        <x:v>7983.57</x:v>
      </x:c>
      <x:c r="G54" s="23" t="n">
        <x:v>8203.87</x:v>
      </x:c>
      <x:c r="H54" s="23" t="n">
        <x:v>-45</x:v>
      </x:c>
      <x:c r="I54" s="24" t="n">
        <x:v>-0.00545408698898997</x:v>
      </x:c>
      <x:c r="J54" s="26" t="n">
        <x:f>ROUND(E54-F54,1)</x:f>
        <x:v>247.1</x:v>
      </x:c>
      <x:c r="K54" s="22" t="str">
        <x:v>中证1000</x:v>
      </x:c>
    </x:row>
    <x:row r="55">
      <x:c r="A55" s="22" t="n">
        <x:v>7</x:v>
      </x:c>
      <x:c r="B55" s="22" t="str">
        <x:v>周二</x:v>
      </x:c>
      <x:c r="C55" s="22" t="str">
        <x:v>3月10日</x:v>
      </x:c>
      <x:c r="D55" s="23" t="n">
        <x:v>8272.94</x:v>
      </x:c>
      <x:c r="E55" s="23" t="n">
        <x:v>8351.67</x:v>
      </x:c>
      <x:c r="F55" s="23" t="n">
        <x:v>8271.49</x:v>
      </x:c>
      <x:c r="G55" s="23" t="n">
        <x:v>8350.09</x:v>
      </x:c>
      <x:c r="H55" s="23" t="n">
        <x:v>146.2</x:v>
      </x:c>
      <x:c r="I55" s="24" t="n">
        <x:v>0.017823295590983168</x:v>
      </x:c>
      <x:c r="J55" s="23" t="n">
        <x:f>ROUND(E55-F55,1)</x:f>
        <x:v>80.2</x:v>
      </x:c>
      <x:c r="K55" s="22" t="str">
        <x:v>中证1000</x:v>
      </x:c>
    </x:row>
    <x:row r="56">
      <x:c r="A56" s="22" t="n">
        <x:v>8</x:v>
      </x:c>
      <x:c r="B56" s="22" t="str">
        <x:v>周三</x:v>
      </x:c>
      <x:c r="C56" s="22" t="str">
        <x:v>3月11日</x:v>
      </x:c>
      <x:c r="D56" s="23" t="n">
        <x:v>8356.09</x:v>
      </x:c>
      <x:c r="E56" s="23" t="n">
        <x:v>8394.12</x:v>
      </x:c>
      <x:c r="F56" s="23" t="n">
        <x:v>8334.33</x:v>
      </x:c>
      <x:c r="G56" s="23" t="n">
        <x:v>8363.53</x:v>
      </x:c>
      <x:c r="H56" s="23" t="n">
        <x:v>13.4</x:v>
      </x:c>
      <x:c r="I56" s="24" t="n">
        <x:v>0.0016095634897348443</x:v>
      </x:c>
      <x:c r="J56" s="23" t="n">
        <x:f>ROUND(E56-F56,1)</x:f>
        <x:v>59.8</x:v>
      </x:c>
      <x:c r="K56" s="22" t="str">
        <x:v>中证1000</x:v>
      </x:c>
    </x:row>
    <x:row r="57">
      <x:c r="A57" s="22" t="n">
        <x:v>9</x:v>
      </x:c>
      <x:c r="B57" s="22" t="str">
        <x:v>周四</x:v>
      </x:c>
      <x:c r="C57" s="22" t="str">
        <x:v>3月12日</x:v>
      </x:c>
      <x:c r="D57" s="23" t="n">
        <x:v>8357.35</x:v>
      </x:c>
      <x:c r="E57" s="23" t="n">
        <x:v>8388.63</x:v>
      </x:c>
      <x:c r="F57" s="23" t="n">
        <x:v>8267.39</x:v>
      </x:c>
      <x:c r="G57" s="23" t="n">
        <x:v>8335.91</x:v>
      </x:c>
      <x:c r="H57" s="23" t="n">
        <x:v>-27.6</x:v>
      </x:c>
      <x:c r="I57" s="24" t="n">
        <x:v>-0.0033024333026845376</x:v>
      </x:c>
      <x:c r="J57" s="23" t="n">
        <x:f>ROUND(E57-F57,1)</x:f>
        <x:v>121.2</x:v>
      </x:c>
      <x:c r="K57" s="22" t="str">
        <x:v>中证1000</x:v>
      </x:c>
    </x:row>
    <x:row r="58">
      <x:c r="A58" s="22" t="n">
        <x:v>10</x:v>
      </x:c>
      <x:c r="B58" s="22" t="str">
        <x:v>周五</x:v>
      </x:c>
      <x:c r="C58" s="22" t="str">
        <x:v>3月13日</x:v>
      </x:c>
      <x:c r="D58" s="23" t="n">
        <x:v>8297.91</x:v>
      </x:c>
      <x:c r="E58" s="23" t="n">
        <x:v>8350.92</x:v>
      </x:c>
      <x:c r="F58" s="23" t="n">
        <x:v>8196.37</x:v>
      </x:c>
      <x:c r="G58" s="23" t="n">
        <x:v>8214.29</x:v>
      </x:c>
      <x:c r="H58" s="23" t="n">
        <x:v>-121.6</x:v>
      </x:c>
      <x:c r="I58" s="24" t="n">
        <x:v>-0.014589888806380902</x:v>
      </x:c>
      <x:c r="J58" s="23" t="n">
        <x:f>ROUND(E58-F58,1)</x:f>
        <x:v>154.5</x:v>
      </x:c>
      <x:c r="K58" s="22" t="str">
        <x:v>中证1000</x:v>
      </x:c>
    </x:row>
    <x:row r="59">
      <x:c r="A59" s="22" t="n">
        <x:v>11</x:v>
      </x:c>
      <x:c r="B59" s="22" t="str">
        <x:v>周一</x:v>
      </x:c>
      <x:c r="C59" s="22" t="str">
        <x:v>3月16日</x:v>
      </x:c>
      <x:c r="D59" s="23" t="n">
        <x:v>8212.27</x:v>
      </x:c>
      <x:c r="E59" s="23" t="n">
        <x:v>8226.03</x:v>
      </x:c>
      <x:c r="F59" s="23" t="n">
        <x:v>8089.49</x:v>
      </x:c>
      <x:c r="G59" s="23" t="n">
        <x:v>8211.35</x:v>
      </x:c>
      <x:c r="H59" s="23" t="n">
        <x:v>-2.9</x:v>
      </x:c>
      <x:c r="I59" s="24" t="n">
        <x:v>-0.00035791285674113826</x:v>
      </x:c>
      <x:c r="J59" s="23" t="n">
        <x:f>ROUND(E59-F59,1)</x:f>
        <x:v>136.5</x:v>
      </x:c>
      <x:c r="K59" s="22" t="str">
        <x:v>中证1000</x:v>
      </x:c>
    </x:row>
    <x:row r="60">
      <x:c r="A60" s="22" t="n">
        <x:v>12</x:v>
      </x:c>
      <x:c r="B60" s="22" t="str">
        <x:v>周二</x:v>
      </x:c>
      <x:c r="C60" s="22" t="str">
        <x:v>3月17日</x:v>
      </x:c>
      <x:c r="D60" s="23" t="n">
        <x:v>8219.5</x:v>
      </x:c>
      <x:c r="E60" s="23" t="n">
        <x:v>8223.99</x:v>
      </x:c>
      <x:c r="F60" s="23" t="n">
        <x:v>8019.08</x:v>
      </x:c>
      <x:c r="G60" s="23" t="n">
        <x:v>8019.86</x:v>
      </x:c>
      <x:c r="H60" s="28" t="n">
        <x:v>-191.5</x:v>
      </x:c>
      <x:c r="I60" s="24" t="n">
        <x:v>-0.023320160509538668</x:v>
      </x:c>
      <x:c r="J60" s="26" t="n">
        <x:f>ROUND(E60-F60,1)</x:f>
        <x:v>204.9</x:v>
      </x:c>
      <x:c r="K60" s="22" t="str">
        <x:v>中证1000</x:v>
      </x:c>
    </x:row>
    <x:row r="61">
      <x:c r="A61" s="22" t="n">
        <x:v>13</x:v>
      </x:c>
      <x:c r="B61" s="22" t="str">
        <x:v>周三</x:v>
      </x:c>
      <x:c r="C61" s="22" t="str">
        <x:v>3月18日</x:v>
      </x:c>
      <x:c r="D61" s="23" t="n">
        <x:v>8050.71</x:v>
      </x:c>
      <x:c r="E61" s="23" t="n">
        <x:v>8105.81</x:v>
      </x:c>
      <x:c r="F61" s="23" t="n">
        <x:v>7970.19</x:v>
      </x:c>
      <x:c r="G61" s="23" t="n">
        <x:v>8096.59</x:v>
      </x:c>
      <x:c r="H61" s="23" t="n">
        <x:v>76.7</x:v>
      </x:c>
      <x:c r="I61" s="24" t="n">
        <x:v>0.009567498684515785</x:v>
      </x:c>
      <x:c r="J61" s="23" t="n">
        <x:f>ROUND(E61-F61,1)</x:f>
        <x:v>135.6</x:v>
      </x:c>
      <x:c r="K61" s="22" t="str">
        <x:v>中证1000</x:v>
      </x:c>
    </x:row>
    <x:row r="62">
      <x:c r="A62" s="22" t="n">
        <x:v>14</x:v>
      </x:c>
      <x:c r="B62" s="22" t="str">
        <x:v>周四</x:v>
      </x:c>
      <x:c r="C62" s="22" t="str">
        <x:v>3月19日</x:v>
      </x:c>
      <x:c r="D62" s="23" t="n">
        <x:v>7988.87</x:v>
      </x:c>
      <x:c r="E62" s="23" t="n">
        <x:v>8008.39</x:v>
      </x:c>
      <x:c r="F62" s="23" t="n">
        <x:v>7874.26</x:v>
      </x:c>
      <x:c r="G62" s="23" t="n">
        <x:v>7909.23</x:v>
      </x:c>
      <x:c r="H62" s="28" t="n">
        <x:v>-187.4</x:v>
      </x:c>
      <x:c r="I62" s="24" t="n">
        <x:v>-0.023140606107015516</x:v>
      </x:c>
      <x:c r="J62" s="23" t="n">
        <x:f>ROUND(E62-F62,1)</x:f>
        <x:v>134.1</x:v>
      </x:c>
      <x:c r="K62" s="22" t="str">
        <x:v>中证1000</x:v>
      </x:c>
    </x:row>
    <x:row r="63">
      <x:c r="A63" s="41" t="n">
        <x:v>15</x:v>
      </x:c>
      <x:c r="B63" s="41" t="str">
        <x:v>周五</x:v>
      </x:c>
      <x:c r="C63" s="41" t="str">
        <x:v>3月20日</x:v>
      </x:c>
      <x:c r="D63" s="42" t="n">
        <x:v>7943.41</x:v>
      </x:c>
      <x:c r="E63" s="42" t="n">
        <x:v>7996.16</x:v>
      </x:c>
      <x:c r="F63" s="42" t="n">
        <x:v>7781.58</x:v>
      </x:c>
      <x:c r="G63" s="42" t="n">
        <x:v>7783.43</x:v>
      </x:c>
      <x:c r="H63" s="42" t="n">
        <x:v>-125.8</x:v>
      </x:c>
      <x:c r="I63" s="43" t="n">
        <x:v>-0.015905467409596086</x:v>
      </x:c>
      <x:c r="J63" s="26" t="n">
        <x:f>ROUND(E63-F63,1)</x:f>
        <x:v>214.6</x:v>
      </x:c>
      <x:c r="K63" s="41" t="str">
        <x:v>中证1000</x:v>
      </x:c>
    </x:row>
    <x:row r="64">
      <x:c r="A64" s="22" t="n">
        <x:v>16</x:v>
      </x:c>
      <x:c r="B64" s="22" t="str">
        <x:v>周一</x:v>
      </x:c>
      <x:c r="C64" s="22" t="str">
        <x:v>3月23日</x:v>
      </x:c>
      <x:c r="D64" s="23" t="n">
        <x:v>7632.97</x:v>
      </x:c>
      <x:c r="E64" s="23" t="n">
        <x:v>7712.04</x:v>
      </x:c>
      <x:c r="F64" s="23" t="n">
        <x:v>7357.7</x:v>
      </x:c>
      <x:c r="G64" s="23" t="n">
        <x:v>7409.11</x:v>
      </x:c>
      <x:c r="H64" s="28" t="n">
        <x:v>-374.3</x:v>
      </x:c>
      <x:c r="I64" s="24" t="n">
        <x:v>-0.0480919080662382</x:v>
      </x:c>
      <x:c r="J64" s="26" t="n">
        <x:f>ROUND(E64-F64,1)</x:f>
        <x:v>354.3</x:v>
      </x:c>
      <x:c r="K64" s="22" t="str">
        <x:v>中证1000</x:v>
      </x:c>
    </x:row>
    <x:row r="65">
      <x:c r="A65" s="22" t="n">
        <x:v>17</x:v>
      </x:c>
      <x:c r="B65" s="22" t="str">
        <x:v>周二</x:v>
      </x:c>
      <x:c r="C65" s="22" t="str">
        <x:v>3月24日</x:v>
      </x:c>
      <x:c r="D65" s="23" t="n">
        <x:v>7538.7</x:v>
      </x:c>
      <x:c r="E65" s="23" t="n">
        <x:v>7601.88</x:v>
      </x:c>
      <x:c r="F65" s="23" t="n">
        <x:v>7361.79</x:v>
      </x:c>
      <x:c r="G65" s="23" t="n">
        <x:v>7600.86</x:v>
      </x:c>
      <x:c r="H65" s="28" t="n">
        <x:v>191.8</x:v>
      </x:c>
      <x:c r="I65" s="24" t="n">
        <x:v>0.02588030141272024</x:v>
      </x:c>
      <x:c r="J65" s="26" t="n">
        <x:f>ROUND(E65-F65,1)</x:f>
        <x:v>240.1</x:v>
      </x:c>
      <x:c r="K65" s="22" t="str">
        <x:v>中证1000</x:v>
      </x:c>
    </x:row>
    <x:row r="66">
      <x:c r="A66" s="22" t="n">
        <x:v>18</x:v>
      </x:c>
      <x:c r="B66" s="22" t="str">
        <x:v>周三</x:v>
      </x:c>
      <x:c r="C66" s="22" t="str">
        <x:v>3月25日</x:v>
      </x:c>
      <x:c r="D66" s="23" t="n">
        <x:v>7654.78</x:v>
      </x:c>
      <x:c r="E66" s="23" t="n">
        <x:v>7781.2</x:v>
      </x:c>
      <x:c r="F66" s="23" t="n">
        <x:v>7654.78</x:v>
      </x:c>
      <x:c r="G66" s="23" t="n">
        <x:v>7751.18</x:v>
      </x:c>
      <x:c r="H66" s="28" t="n">
        <x:v>150.3</x:v>
      </x:c>
      <x:c r="I66" s="24" t="n">
        <x:v>0.019776709477611787</x:v>
      </x:c>
      <x:c r="J66" s="23" t="n">
        <x:f>ROUND(E66-F66,1)</x:f>
        <x:v>126.4</x:v>
      </x:c>
      <x:c r="K66" s="22" t="str">
        <x:v>中证1000</x:v>
      </x:c>
    </x:row>
    <x:row r="67">
      <x:c r="A67" s="22" t="n">
        <x:v>19</x:v>
      </x:c>
      <x:c r="B67" s="22" t="str">
        <x:v>周四</x:v>
      </x:c>
      <x:c r="C67" s="22" t="str">
        <x:v>3月26日</x:v>
      </x:c>
      <x:c r="D67" s="23" t="n">
        <x:v>7733.7</x:v>
      </x:c>
      <x:c r="E67" s="23" t="n">
        <x:v>7775.89</x:v>
      </x:c>
      <x:c r="F67" s="23" t="n">
        <x:v>7614.89</x:v>
      </x:c>
      <x:c r="G67" s="23" t="n">
        <x:v>7639.38</x:v>
      </x:c>
      <x:c r="H67" s="23" t="n">
        <x:v>-111.8</x:v>
      </x:c>
      <x:c r="I67" s="24" t="n">
        <x:v>-0.01442361034061912</x:v>
      </x:c>
      <x:c r="J67" s="23" t="n">
        <x:f>ROUND(E67-F67,1)</x:f>
        <x:v>161</x:v>
      </x:c>
      <x:c r="K67" s="22" t="str">
        <x:v>中证1000</x:v>
      </x:c>
    </x:row>
    <x:row r="68">
      <x:c r="A68" s="22" t="n">
        <x:v>20</x:v>
      </x:c>
      <x:c r="B68" s="22" t="str">
        <x:v>周五</x:v>
      </x:c>
      <x:c r="C68" s="22" t="str">
        <x:v>3月27日</x:v>
      </x:c>
      <x:c r="D68" s="23" t="n">
        <x:v>7526.59</x:v>
      </x:c>
      <x:c r="E68" s="23" t="n">
        <x:v>7784.55</x:v>
      </x:c>
      <x:c r="F68" s="23" t="n">
        <x:v>7526.59</x:v>
      </x:c>
      <x:c r="G68" s="23" t="n">
        <x:v>7746.31</x:v>
      </x:c>
      <x:c r="H68" s="23" t="n">
        <x:v>106.9</x:v>
      </x:c>
      <x:c r="I68" s="24" t="n">
        <x:v>0.013997209197605054</x:v>
      </x:c>
      <x:c r="J68" s="26" t="n">
        <x:f>ROUND(E68-F68,1)</x:f>
        <x:v>258</x:v>
      </x:c>
      <x:c r="K68" s="22" t="str">
        <x:v>中证1000</x:v>
      </x:c>
    </x:row>
    <x:row r="69">
      <x:c r="A69" s="22" t="n">
        <x:v>21</x:v>
      </x:c>
      <x:c r="B69" s="22" t="str">
        <x:v>周一</x:v>
      </x:c>
      <x:c r="C69" s="22" t="str">
        <x:v>3月30日</x:v>
      </x:c>
      <x:c r="D69" s="23" t="n">
        <x:v>7664.64</x:v>
      </x:c>
      <x:c r="E69" s="23" t="n">
        <x:v>7774.85</x:v>
      </x:c>
      <x:c r="F69" s="23" t="n">
        <x:v>7618.96</x:v>
      </x:c>
      <x:c r="G69" s="23" t="n">
        <x:v>7767.93</x:v>
      </x:c>
      <x:c r="H69" s="23" t="n">
        <x:v>21.6</x:v>
      </x:c>
      <x:c r="I69" s="24" t="n">
        <x:v>0.0027910062984828343</x:v>
      </x:c>
      <x:c r="J69" s="23" t="n">
        <x:f>ROUND(E69-F69,1)</x:f>
        <x:v>155.9</x:v>
      </x:c>
      <x:c r="K69" s="22" t="str">
        <x:v>中证1000</x:v>
      </x:c>
    </x:row>
    <x:row r="70">
      <x:c r="A70" s="22" t="n">
        <x:v>22</x:v>
      </x:c>
      <x:c r="B70" s="22" t="str">
        <x:v>周二</x:v>
      </x:c>
      <x:c r="C70" s="22" t="str">
        <x:v>3月31日</x:v>
      </x:c>
      <x:c r="D70" s="23" t="n">
        <x:v>7741.96</x:v>
      </x:c>
      <x:c r="E70" s="23" t="n">
        <x:v>7789.24</x:v>
      </x:c>
      <x:c r="F70" s="23" t="n">
        <x:v>7618.19</x:v>
      </x:c>
      <x:c r="G70" s="23" t="n">
        <x:v>7619.85</x:v>
      </x:c>
      <x:c r="H70" s="23" t="n">
        <x:v>-148.1</x:v>
      </x:c>
      <x:c r="I70" s="24" t="n">
        <x:v>-0.019062993616059898</x:v>
      </x:c>
      <x:c r="J70" s="23" t="n">
        <x:f>ROUND(E70-F70,1)</x:f>
        <x:v>171.1</x:v>
      </x:c>
      <x:c r="K70" s="22" t="str">
        <x:v>中证1000</x:v>
      </x:c>
    </x:row>
    <x:row r="71">
      <x:c r="A71" s="31" t="str">
        <x:v>合计</x:v>
      </x:c>
      <x:c r="B71" s="30" t="n">
        <x:v>22</x:v>
      </x:c>
      <x:c r="C71" s="30"/>
      <x:c r="D71" s="30"/>
      <x:c r="E71" s="30"/>
      <x:c r="F71" s="30"/>
      <x:c r="G71" s="30"/>
      <x:c r="H71" s="30"/>
      <x:c r="I71" s="30"/>
      <x:c r="J71" s="32" t="n">
        <x:f>ROUND(SUM(J49:J70),1)</x:f>
        <x:v>3949.7</x:v>
      </x:c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0"/>
      <x:c r="J72" s="34" t="n">
        <x:f>ROUND(IFERROR(AVERAGE(J49:J70),0),1)</x:f>
        <x:v>179.5</x:v>
      </x:c>
      <x:c r="K72" s="30"/>
    </x:row>
    <x:row r="74">
      <x:c r="A74" s="17" t="str">
        <x:v>4月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20" t="str">
        <x:v>序号</x:v>
      </x:c>
      <x:c r="B75" s="20" t="str">
        <x:v>星期</x:v>
      </x:c>
      <x:c r="C75" s="20" t="str">
        <x:v>日期</x:v>
      </x:c>
      <x:c r="D75" s="20" t="str">
        <x:v>开盘</x:v>
      </x:c>
      <x:c r="E75" s="20" t="str">
        <x:v>高点</x:v>
      </x:c>
      <x:c r="F75" s="20" t="str">
        <x:v>低点</x:v>
      </x:c>
      <x:c r="G75" s="20" t="str">
        <x:v>收盘</x:v>
      </x:c>
      <x:c r="H75" s="20" t="str">
        <x:v>涨跌点数</x:v>
      </x:c>
      <x:c r="I75" s="20" t="str">
        <x:v>涨幅</x:v>
      </x:c>
      <x:c r="J75" s="20" t="str">
        <x:v>振幅</x:v>
      </x:c>
      <x:c r="K75" s="20" t="str">
        <x:v>标的</x:v>
      </x:c>
    </x:row>
    <x:row r="76">
      <x:c r="A76" s="22" t="n">
        <x:v>1</x:v>
      </x:c>
      <x:c r="B76" s="22" t="str">
        <x:v>周三</x:v>
      </x:c>
      <x:c r="C76" s="22" t="str">
        <x:v>4月1日</x:v>
      </x:c>
      <x:c r="D76" s="23" t="n">
        <x:v>7767.88</x:v>
      </x:c>
      <x:c r="E76" s="23" t="n">
        <x:v>7786.76</x:v>
      </x:c>
      <x:c r="F76" s="23" t="n">
        <x:v>7692.01</x:v>
      </x:c>
      <x:c r="G76" s="23" t="n">
        <x:v>7764.15</x:v>
      </x:c>
      <x:c r="H76" s="23" t="n">
        <x:v>144.3</x:v>
      </x:c>
      <x:c r="I76" s="24" t="n">
        <x:v>0.01893738065709938</x:v>
      </x:c>
      <x:c r="J76" s="23" t="n">
        <x:f>ROUND(E76-F76,1)</x:f>
        <x:v>94.8</x:v>
      </x:c>
      <x:c r="K76" s="22" t="str">
        <x:v>中证1000</x:v>
      </x:c>
    </x:row>
    <x:row r="77">
      <x:c r="A77" s="22" t="n">
        <x:v>2</x:v>
      </x:c>
      <x:c r="B77" s="22" t="str">
        <x:v>周四</x:v>
      </x:c>
      <x:c r="C77" s="22" t="str">
        <x:v>4月2日</x:v>
      </x:c>
      <x:c r="D77" s="23" t="n">
        <x:v>7733.75</x:v>
      </x:c>
      <x:c r="E77" s="23" t="n">
        <x:v>7764.03</x:v>
      </x:c>
      <x:c r="F77" s="23" t="n">
        <x:v>7581.39</x:v>
      </x:c>
      <x:c r="G77" s="23" t="n">
        <x:v>7623.42</x:v>
      </x:c>
      <x:c r="H77" s="23" t="n">
        <x:v>-140.7</x:v>
      </x:c>
      <x:c r="I77" s="24" t="n">
        <x:v>-0.018125615811131923</x:v>
      </x:c>
      <x:c r="J77" s="26" t="n">
        <x:f>ROUND(E77-F77,1)</x:f>
        <x:v>182.6</x:v>
      </x:c>
      <x:c r="K77" s="22" t="str">
        <x:v>中证1000</x:v>
      </x:c>
    </x:row>
    <x:row r="78">
      <x:c r="A78" s="22" t="n">
        <x:v>3</x:v>
      </x:c>
      <x:c r="B78" s="22" t="str">
        <x:v>周五</x:v>
      </x:c>
      <x:c r="C78" s="22" t="str">
        <x:v>4月3日</x:v>
      </x:c>
      <x:c r="D78" s="23" t="n">
        <x:v>7658.82</x:v>
      </x:c>
      <x:c r="E78" s="23" t="n">
        <x:v>7664.76</x:v>
      </x:c>
      <x:c r="F78" s="23" t="n">
        <x:v>7521.94</x:v>
      </x:c>
      <x:c r="G78" s="23" t="n">
        <x:v>7536.6</x:v>
      </x:c>
      <x:c r="H78" s="23" t="n">
        <x:v>-86.8</x:v>
      </x:c>
      <x:c r="I78" s="24" t="n">
        <x:v>-0.011388589373273361</x:v>
      </x:c>
      <x:c r="J78" s="23" t="n">
        <x:f>ROUND(E78-F78,1)</x:f>
        <x:v>142.8</x:v>
      </x:c>
      <x:c r="K78" s="22" t="str">
        <x:v>中证1000</x:v>
      </x:c>
    </x:row>
    <x:row r="79">
      <x:c r="A79" s="22" t="n">
        <x:v>4</x:v>
      </x:c>
      <x:c r="B79" s="22" t="str">
        <x:v>周二</x:v>
      </x:c>
      <x:c r="C79" s="22" t="str">
        <x:v>4月7日</x:v>
      </x:c>
      <x:c r="D79" s="23" t="n">
        <x:v>7556.28</x:v>
      </x:c>
      <x:c r="E79" s="23" t="n">
        <x:v>7640.51</x:v>
      </x:c>
      <x:c r="F79" s="23" t="n">
        <x:v>7554.41</x:v>
      </x:c>
      <x:c r="G79" s="23" t="n">
        <x:v>7606.02</x:v>
      </x:c>
      <x:c r="H79" s="23" t="n">
        <x:v>69.4</x:v>
      </x:c>
      <x:c r="I79" s="24" t="n">
        <x:v>0.009211050075630833</x:v>
      </x:c>
      <x:c r="J79" s="23" t="n">
        <x:f>ROUND(E79-F79,1)</x:f>
        <x:v>86.1</x:v>
      </x:c>
      <x:c r="K79" s="22" t="str">
        <x:v>中证1000</x:v>
      </x:c>
    </x:row>
    <x:row r="80">
      <x:c r="A80" s="22" t="n">
        <x:v>5</x:v>
      </x:c>
      <x:c r="B80" s="22" t="str">
        <x:v>周三</x:v>
      </x:c>
      <x:c r="C80" s="22" t="str">
        <x:v>4月8日</x:v>
      </x:c>
      <x:c r="D80" s="23" t="n">
        <x:v>7765.55</x:v>
      </x:c>
      <x:c r="E80" s="23" t="n">
        <x:v>7955.77</x:v>
      </x:c>
      <x:c r="F80" s="23" t="n">
        <x:v>7765.2</x:v>
      </x:c>
      <x:c r="G80" s="23" t="n">
        <x:v>7955.77</x:v>
      </x:c>
      <x:c r="H80" s="28" t="n">
        <x:v>349.8</x:v>
      </x:c>
      <x:c r="I80" s="24" t="n">
        <x:v>0.045983313217688115</x:v>
      </x:c>
      <x:c r="J80" s="26" t="n">
        <x:f>ROUND(E80-F80,1)</x:f>
        <x:v>190.6</x:v>
      </x:c>
      <x:c r="K80" s="22" t="str">
        <x:v>中证1000</x:v>
      </x:c>
    </x:row>
    <x:row r="81">
      <x:c r="A81" s="22" t="n">
        <x:v>6</x:v>
      </x:c>
      <x:c r="B81" s="22" t="str">
        <x:v>周四</x:v>
      </x:c>
      <x:c r="C81" s="22" t="str">
        <x:v>4月9日</x:v>
      </x:c>
      <x:c r="D81" s="23" t="n">
        <x:v>7881.8</x:v>
      </x:c>
      <x:c r="E81" s="23" t="n">
        <x:v>7959.07</x:v>
      </x:c>
      <x:c r="F81" s="23" t="n">
        <x:v>7872.47</x:v>
      </x:c>
      <x:c r="G81" s="23" t="n">
        <x:v>7921.45</x:v>
      </x:c>
      <x:c r="H81" s="23" t="n">
        <x:v>-34.3</x:v>
      </x:c>
      <x:c r="I81" s="24" t="n">
        <x:v>-0.004313850199289426</x:v>
      </x:c>
      <x:c r="J81" s="23" t="n">
        <x:f>ROUND(E81-F81,1)</x:f>
        <x:v>86.6</x:v>
      </x:c>
      <x:c r="K81" s="22" t="str">
        <x:v>中证1000</x:v>
      </x:c>
    </x:row>
    <x:row r="82">
      <x:c r="A82" s="22" t="n">
        <x:v>7</x:v>
      </x:c>
      <x:c r="B82" s="22" t="str">
        <x:v>周五</x:v>
      </x:c>
      <x:c r="C82" s="22" t="str">
        <x:v>4月10日</x:v>
      </x:c>
      <x:c r="D82" s="23" t="n">
        <x:v>7981.62</x:v>
      </x:c>
      <x:c r="E82" s="23" t="n">
        <x:v>8059.76</x:v>
      </x:c>
      <x:c r="F82" s="23" t="n">
        <x:v>7981.62</x:v>
      </x:c>
      <x:c r="G82" s="23" t="n">
        <x:v>7998.23</x:v>
      </x:c>
      <x:c r="H82" s="23" t="n">
        <x:v>76.8</x:v>
      </x:c>
      <x:c r="I82" s="24" t="n">
        <x:v>0.009692669902606088</x:v>
      </x:c>
      <x:c r="J82" s="23" t="n">
        <x:f>ROUND(E82-F82,1)</x:f>
        <x:v>78.1</x:v>
      </x:c>
      <x:c r="K82" s="22" t="str">
        <x:v>中证1000</x:v>
      </x:c>
    </x:row>
    <x:row r="83">
      <x:c r="A83" s="22" t="n">
        <x:v>8</x:v>
      </x:c>
      <x:c r="B83" s="22" t="str">
        <x:v>周一</x:v>
      </x:c>
      <x:c r="C83" s="22" t="str">
        <x:v>4月13日</x:v>
      </x:c>
      <x:c r="D83" s="23" t="n">
        <x:v>7947.22</x:v>
      </x:c>
      <x:c r="E83" s="23" t="n">
        <x:v>8040.03</x:v>
      </x:c>
      <x:c r="F83" s="23" t="n">
        <x:v>7947.22</x:v>
      </x:c>
      <x:c r="G83" s="23" t="n">
        <x:v>8025.57</x:v>
      </x:c>
      <x:c r="H83" s="23" t="n">
        <x:v>27.3</x:v>
      </x:c>
      <x:c r="I83" s="24" t="n">
        <x:v>0.0034182562892040025</x:v>
      </x:c>
      <x:c r="J83" s="23" t="n">
        <x:f>ROUND(E83-F83,1)</x:f>
        <x:v>92.8</x:v>
      </x:c>
      <x:c r="K83" s="22" t="str">
        <x:v>中证1000</x:v>
      </x:c>
    </x:row>
    <x:row r="84">
      <x:c r="A84" s="22" t="n">
        <x:v>9</x:v>
      </x:c>
      <x:c r="B84" s="22" t="str">
        <x:v>周二</x:v>
      </x:c>
      <x:c r="C84" s="22" t="str">
        <x:v>4月14日</x:v>
      </x:c>
      <x:c r="D84" s="23" t="n">
        <x:v>8088.05</x:v>
      </x:c>
      <x:c r="E84" s="23" t="n">
        <x:v>8144.76</x:v>
      </x:c>
      <x:c r="F84" s="23" t="n">
        <x:v>8059.38</x:v>
      </x:c>
      <x:c r="G84" s="23" t="n">
        <x:v>8144.76</x:v>
      </x:c>
      <x:c r="H84" s="23" t="n">
        <x:v>119.2</x:v>
      </x:c>
      <x:c r="I84" s="24" t="n">
        <x:v>0.014851281591214072</x:v>
      </x:c>
      <x:c r="J84" s="23" t="n">
        <x:f>ROUND(E84-F84,1)</x:f>
        <x:v>85.4</x:v>
      </x:c>
      <x:c r="K84" s="22" t="str">
        <x:v>中证1000</x:v>
      </x:c>
    </x:row>
    <x:row r="85">
      <x:c r="A85" s="22" t="n">
        <x:v>10</x:v>
      </x:c>
      <x:c r="B85" s="22" t="str">
        <x:v>周三</x:v>
      </x:c>
      <x:c r="C85" s="22" t="str">
        <x:v>4月15日</x:v>
      </x:c>
      <x:c r="D85" s="23" t="n">
        <x:v>8186.07</x:v>
      </x:c>
      <x:c r="E85" s="23" t="n">
        <x:v>8193.3</x:v>
      </x:c>
      <x:c r="F85" s="23" t="n">
        <x:v>8083.27</x:v>
      </x:c>
      <x:c r="G85" s="23" t="n">
        <x:v>8106.16</x:v>
      </x:c>
      <x:c r="H85" s="23" t="n">
        <x:v>-38.6</x:v>
      </x:c>
      <x:c r="I85" s="24" t="n">
        <x:v>-0.004739243390842751</x:v>
      </x:c>
      <x:c r="J85" s="23" t="n">
        <x:f>ROUND(E85-F85,1)</x:f>
        <x:v>110</x:v>
      </x:c>
      <x:c r="K85" s="22" t="str">
        <x:v>中证1000</x:v>
      </x:c>
    </x:row>
    <x:row r="86">
      <x:c r="A86" s="22" t="n">
        <x:v>11</x:v>
      </x:c>
      <x:c r="B86" s="22" t="str">
        <x:v>周四</x:v>
      </x:c>
      <x:c r="C86" s="22" t="str">
        <x:v>4月16日</x:v>
      </x:c>
      <x:c r="D86" s="23" t="n">
        <x:v>8120.36</x:v>
      </x:c>
      <x:c r="E86" s="23" t="n">
        <x:v>8239.01</x:v>
      </x:c>
      <x:c r="F86" s="23" t="n">
        <x:v>8100.49</x:v>
      </x:c>
      <x:c r="G86" s="23" t="n">
        <x:v>8232.98</x:v>
      </x:c>
      <x:c r="H86" s="23" t="n">
        <x:v>126.8</x:v>
      </x:c>
      <x:c r="I86" s="24" t="n">
        <x:v>0.01564489227945165</x:v>
      </x:c>
      <x:c r="J86" s="23" t="n">
        <x:f>ROUND(E86-F86,1)</x:f>
        <x:v>138.5</x:v>
      </x:c>
      <x:c r="K86" s="22" t="str">
        <x:v>中证1000</x:v>
      </x:c>
    </x:row>
    <x:row r="87">
      <x:c r="A87" s="41" t="n">
        <x:v>12</x:v>
      </x:c>
      <x:c r="B87" s="41" t="str">
        <x:v>周五</x:v>
      </x:c>
      <x:c r="C87" s="41" t="str">
        <x:v>4月17日</x:v>
      </x:c>
      <x:c r="D87" s="42" t="n">
        <x:v>8225.73</x:v>
      </x:c>
      <x:c r="E87" s="42" t="n">
        <x:v>8333.22</x:v>
      </x:c>
      <x:c r="F87" s="42" t="n">
        <x:v>8223.71</x:v>
      </x:c>
      <x:c r="G87" s="42" t="n">
        <x:v>8307.44</x:v>
      </x:c>
      <x:c r="H87" s="42" t="n">
        <x:v>74.5</x:v>
      </x:c>
      <x:c r="I87" s="43" t="n">
        <x:v>0.009044112824275086</x:v>
      </x:c>
      <x:c r="J87" s="42" t="n">
        <x:f>ROUND(E87-F87,1)</x:f>
        <x:v>109.5</x:v>
      </x:c>
      <x:c r="K87" s="41" t="str">
        <x:v>中证1000</x:v>
      </x:c>
    </x:row>
    <x:row r="88">
      <x:c r="A88" s="22" t="n">
        <x:v>13</x:v>
      </x:c>
      <x:c r="B88" s="22" t="str">
        <x:v>周一</x:v>
      </x:c>
      <x:c r="C88" s="22" t="str">
        <x:v>4月20日</x:v>
      </x:c>
      <x:c r="D88" s="23" t="n">
        <x:v>8308.06</x:v>
      </x:c>
      <x:c r="E88" s="23" t="n">
        <x:v>8374.81</x:v>
      </x:c>
      <x:c r="F88" s="23" t="n">
        <x:v>8308.06</x:v>
      </x:c>
      <x:c r="G88" s="23" t="n">
        <x:v>8357.81</x:v>
      </x:c>
      <x:c r="H88" s="23" t="n">
        <x:v>50.4</x:v>
      </x:c>
      <x:c r="I88" s="24" t="n">
        <x:v>0.006063239698390621</x:v>
      </x:c>
      <x:c r="J88" s="23" t="n">
        <x:f>ROUND(E88-F88,1)</x:f>
        <x:v>66.8</x:v>
      </x:c>
      <x:c r="K88" s="22" t="str">
        <x:v>中证1000</x:v>
      </x:c>
    </x:row>
    <x:row r="89">
      <x:c r="A89" s="22" t="n">
        <x:v>14</x:v>
      </x:c>
      <x:c r="B89" s="22" t="str">
        <x:v>周二</x:v>
      </x:c>
      <x:c r="C89" s="22" t="str">
        <x:v>4月21日</x:v>
      </x:c>
      <x:c r="D89" s="23" t="n">
        <x:v>8331.59</x:v>
      </x:c>
      <x:c r="E89" s="23" t="n">
        <x:v>8358.12</x:v>
      </x:c>
      <x:c r="F89" s="23" t="n">
        <x:v>8270.16</x:v>
      </x:c>
      <x:c r="G89" s="23" t="n">
        <x:v>8351.16</x:v>
      </x:c>
      <x:c r="H89" s="23" t="n">
        <x:v>-6.6</x:v>
      </x:c>
      <x:c r="I89" s="24" t="n">
        <x:v>-0.00079566297869893</x:v>
      </x:c>
      <x:c r="J89" s="23" t="n">
        <x:f>ROUND(E89-F89,1)</x:f>
        <x:v>88</x:v>
      </x:c>
      <x:c r="K89" s="22" t="str">
        <x:v>中证1000</x:v>
      </x:c>
    </x:row>
    <x:row r="90">
      <x:c r="A90" s="22" t="n">
        <x:v>15</x:v>
      </x:c>
      <x:c r="B90" s="22" t="str">
        <x:v>周三</x:v>
      </x:c>
      <x:c r="C90" s="22" t="str">
        <x:v>4月22日</x:v>
      </x:c>
      <x:c r="D90" s="23" t="n">
        <x:v>8317.28</x:v>
      </x:c>
      <x:c r="E90" s="23" t="n">
        <x:v>8482.15</x:v>
      </x:c>
      <x:c r="F90" s="23" t="n">
        <x:v>8317.28</x:v>
      </x:c>
      <x:c r="G90" s="23" t="n">
        <x:v>8481.24</x:v>
      </x:c>
      <x:c r="H90" s="23" t="n">
        <x:v>130.1</x:v>
      </x:c>
      <x:c r="I90" s="24" t="n">
        <x:v>0.015576279223485034</x:v>
      </x:c>
      <x:c r="J90" s="23" t="n">
        <x:f>ROUND(E90-F90,1)</x:f>
        <x:v>164.9</x:v>
      </x:c>
      <x:c r="K90" s="22" t="str">
        <x:v>中证1000</x:v>
      </x:c>
    </x:row>
    <x:row r="91">
      <x:c r="A91" s="22" t="n">
        <x:v>16</x:v>
      </x:c>
      <x:c r="B91" s="22" t="str">
        <x:v>周四</x:v>
      </x:c>
      <x:c r="C91" s="22" t="str">
        <x:v>4月23日</x:v>
      </x:c>
      <x:c r="D91" s="23" t="n">
        <x:v>8489</x:v>
      </x:c>
      <x:c r="E91" s="23" t="n">
        <x:v>8500.44</x:v>
      </x:c>
      <x:c r="F91" s="23" t="n">
        <x:v>8302.85</x:v>
      </x:c>
      <x:c r="G91" s="23" t="n">
        <x:v>8362.74</x:v>
      </x:c>
      <x:c r="H91" s="23" t="n">
        <x:v>-118.5</x:v>
      </x:c>
      <x:c r="I91" s="24" t="n">
        <x:v>-0.013972013526323934</x:v>
      </x:c>
      <x:c r="J91" s="26" t="n">
        <x:f>ROUND(E91-F91,1)</x:f>
        <x:v>197.6</x:v>
      </x:c>
      <x:c r="K91" s="22" t="str">
        <x:v>中证1000</x:v>
      </x:c>
    </x:row>
    <x:row r="92">
      <x:c r="A92" s="22" t="n">
        <x:v>17</x:v>
      </x:c>
      <x:c r="B92" s="22" t="str">
        <x:v>周五</x:v>
      </x:c>
      <x:c r="C92" s="22" t="str">
        <x:v>4月24日</x:v>
      </x:c>
      <x:c r="D92" s="23" t="n">
        <x:v>8318.6</x:v>
      </x:c>
      <x:c r="E92" s="23" t="n">
        <x:v>8360.79</x:v>
      </x:c>
      <x:c r="F92" s="23" t="n">
        <x:v>8254.43</x:v>
      </x:c>
      <x:c r="G92" s="23" t="n">
        <x:v>8304.14</x:v>
      </x:c>
      <x:c r="H92" s="23" t="n">
        <x:v>-58.6</x:v>
      </x:c>
      <x:c r="I92" s="24" t="n">
        <x:v>-0.00700727273596935</x:v>
      </x:c>
      <x:c r="J92" s="23" t="n">
        <x:f>ROUND(E92-F92,1)</x:f>
        <x:v>106.4</x:v>
      </x:c>
      <x:c r="K92" s="22" t="str">
        <x:v>中证1000</x:v>
      </x:c>
    </x:row>
    <x:row r="93">
      <x:c r="A93" s="22" t="n">
        <x:v>18</x:v>
      </x:c>
      <x:c r="B93" s="22" t="str">
        <x:v>周一</x:v>
      </x:c>
      <x:c r="C93" s="22" t="str">
        <x:v>4月27日</x:v>
      </x:c>
      <x:c r="D93" s="23" t="n">
        <x:v>8292.81</x:v>
      </x:c>
      <x:c r="E93" s="23" t="n">
        <x:v>8366.31</x:v>
      </x:c>
      <x:c r="F93" s="23" t="n">
        <x:v>8249.94</x:v>
      </x:c>
      <x:c r="G93" s="23" t="n">
        <x:v>8338.73</x:v>
      </x:c>
      <x:c r="H93" s="23" t="n">
        <x:v>34.6</x:v>
      </x:c>
      <x:c r="I93" s="24" t="n">
        <x:v>0.004165392201961993</x:v>
      </x:c>
      <x:c r="J93" s="23" t="n">
        <x:f>ROUND(E93-F93,1)</x:f>
        <x:v>116.4</x:v>
      </x:c>
      <x:c r="K93" s="22" t="str">
        <x:v>中证1000</x:v>
      </x:c>
    </x:row>
    <x:row r="94">
      <x:c r="A94" s="22" t="n">
        <x:v>19</x:v>
      </x:c>
      <x:c r="B94" s="22" t="str">
        <x:v>周二</x:v>
      </x:c>
      <x:c r="C94" s="22" t="str">
        <x:v>4月28日</x:v>
      </x:c>
      <x:c r="D94" s="23" t="n">
        <x:v>8307.69</x:v>
      </x:c>
      <x:c r="E94" s="23" t="n">
        <x:v>8316.27</x:v>
      </x:c>
      <x:c r="F94" s="23" t="n">
        <x:v>8187.24</x:v>
      </x:c>
      <x:c r="G94" s="23" t="n">
        <x:v>8226.69</x:v>
      </x:c>
      <x:c r="H94" s="23" t="n">
        <x:v>-112</x:v>
      </x:c>
      <x:c r="I94" s="24" t="n">
        <x:v>-0.013436098782428352</x:v>
      </x:c>
      <x:c r="J94" s="23" t="n">
        <x:f>ROUND(E94-F94,1)</x:f>
        <x:v>129</x:v>
      </x:c>
      <x:c r="K94" s="22" t="str">
        <x:v>中证1000</x:v>
      </x:c>
    </x:row>
    <x:row r="95">
      <x:c r="A95" s="22" t="n">
        <x:v>20</x:v>
      </x:c>
      <x:c r="B95" s="22" t="str">
        <x:v>周三</x:v>
      </x:c>
      <x:c r="C95" s="22" t="str">
        <x:v>4月29日</x:v>
      </x:c>
      <x:c r="D95" s="23" t="n">
        <x:v>8163.35</x:v>
      </x:c>
      <x:c r="E95" s="23" t="n">
        <x:v>8361.49</x:v>
      </x:c>
      <x:c r="F95" s="23" t="n">
        <x:v>8163.35</x:v>
      </x:c>
      <x:c r="G95" s="23" t="n">
        <x:v>8343.07</x:v>
      </x:c>
      <x:c r="H95" s="23" t="n">
        <x:v>116.4</x:v>
      </x:c>
      <x:c r="I95" s="24" t="n">
        <x:v>0.014146637347462798</x:v>
      </x:c>
      <x:c r="J95" s="26" t="n">
        <x:f>ROUND(E95-F95,1)</x:f>
        <x:v>198.1</x:v>
      </x:c>
      <x:c r="K95" s="22" t="str">
        <x:v>中证1000</x:v>
      </x:c>
    </x:row>
    <x:row r="96">
      <x:c r="A96" s="22" t="n">
        <x:v>21</x:v>
      </x:c>
      <x:c r="B96" s="22" t="str">
        <x:v>周四</x:v>
      </x:c>
      <x:c r="C96" s="22" t="str">
        <x:v>4月30日</x:v>
      </x:c>
      <x:c r="D96" s="23" t="n">
        <x:v>8345.25</x:v>
      </x:c>
      <x:c r="E96" s="23" t="n">
        <x:v>8402.36</x:v>
      </x:c>
      <x:c r="F96" s="23" t="n">
        <x:v>8324.29</x:v>
      </x:c>
      <x:c r="G96" s="23" t="n">
        <x:v>8381.95</x:v>
      </x:c>
      <x:c r="H96" s="23" t="n">
        <x:v>38.9</x:v>
      </x:c>
      <x:c r="I96" s="24" t="n">
        <x:v>0.004660155074810657</x:v>
      </x:c>
      <x:c r="J96" s="23" t="n">
        <x:f>ROUND(E96-F96,1)</x:f>
        <x:v>78.1</x:v>
      </x:c>
      <x:c r="K96" s="22" t="str">
        <x:v>中证1000</x:v>
      </x:c>
    </x:row>
    <x:row r="97">
      <x:c r="A97" s="31" t="str">
        <x:v>合计</x:v>
      </x:c>
      <x:c r="B97" s="30" t="n">
        <x:v>21</x:v>
      </x:c>
      <x:c r="C97" s="30"/>
      <x:c r="D97" s="30"/>
      <x:c r="E97" s="30"/>
      <x:c r="F97" s="30"/>
      <x:c r="G97" s="30"/>
      <x:c r="H97" s="30"/>
      <x:c r="I97" s="30"/>
      <x:c r="J97" s="32" t="n">
        <x:f>ROUND(SUM(J76:J96),1)</x:f>
        <x:v>2543.1</x:v>
      </x:c>
      <x:c r="K97" s="30"/>
    </x:row>
    <x:row r="98">
      <x:c r="A98" s="31" t="str">
        <x:v>均值</x:v>
      </x:c>
      <x:c r="B98" s="30"/>
      <x:c r="C98" s="30"/>
      <x:c r="D98" s="30"/>
      <x:c r="E98" s="30"/>
      <x:c r="F98" s="30"/>
      <x:c r="G98" s="30"/>
      <x:c r="H98" s="30"/>
      <x:c r="I98" s="30"/>
      <x:c r="J98" s="34" t="n">
        <x:f>ROUND(IFERROR(AVERAGE(J76:J96),0),1)</x:f>
        <x:v>121.1</x:v>
      </x:c>
      <x:c r="K98" s="30"/>
    </x:row>
    <x:row r="100">
      <x:c r="A100" s="17" t="str">
        <x:v>5月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20" t="str">
        <x:v>序号</x:v>
      </x:c>
      <x:c r="B101" s="20" t="str">
        <x:v>星期</x:v>
      </x:c>
      <x:c r="C101" s="20" t="str">
        <x:v>日期</x:v>
      </x:c>
      <x:c r="D101" s="20" t="str">
        <x:v>开盘</x:v>
      </x:c>
      <x:c r="E101" s="20" t="str">
        <x:v>高点</x:v>
      </x:c>
      <x:c r="F101" s="20" t="str">
        <x:v>低点</x:v>
      </x:c>
      <x:c r="G101" s="20" t="str">
        <x:v>收盘</x:v>
      </x:c>
      <x:c r="H101" s="20" t="str">
        <x:v>涨跌点数</x:v>
      </x:c>
      <x:c r="I101" s="20" t="str">
        <x:v>涨幅</x:v>
      </x:c>
      <x:c r="J101" s="20" t="str">
        <x:v>振幅</x:v>
      </x:c>
      <x:c r="K101" s="20" t="str">
        <x:v>标的</x:v>
      </x:c>
    </x:row>
    <x:row r="102">
      <x:c r="A102" s="22" t="n">
        <x:v>1</x:v>
      </x:c>
      <x:c r="B102" s="22" t="str">
        <x:v>周三</x:v>
      </x:c>
      <x:c r="C102" s="22" t="str">
        <x:v>5月6日</x:v>
      </x:c>
      <x:c r="D102" s="23" t="n">
        <x:v>8462.02</x:v>
      </x:c>
      <x:c r="E102" s="23" t="n">
        <x:v>8610.88</x:v>
      </x:c>
      <x:c r="F102" s="23" t="n">
        <x:v>8462.02</x:v>
      </x:c>
      <x:c r="G102" s="23" t="n">
        <x:v>8574.56</x:v>
      </x:c>
      <x:c r="H102" s="28" t="n">
        <x:v>192.6</x:v>
      </x:c>
      <x:c r="I102" s="24" t="n">
        <x:v>0.02297913969899601</x:v>
      </x:c>
      <x:c r="J102" s="23" t="n">
        <x:f>ROUND(E102-F102,1)</x:f>
        <x:v>148.9</x:v>
      </x:c>
      <x:c r="K102" s="22" t="str">
        <x:v>中证1000</x:v>
      </x:c>
    </x:row>
    <x:row r="103">
      <x:c r="A103" s="22" t="n">
        <x:v>2</x:v>
      </x:c>
      <x:c r="B103" s="22" t="str">
        <x:v>周四</x:v>
      </x:c>
      <x:c r="C103" s="22" t="str">
        <x:v>5月7日</x:v>
      </x:c>
      <x:c r="D103" s="23" t="n">
        <x:v>8602.15</x:v>
      </x:c>
      <x:c r="E103" s="23" t="n">
        <x:v>8716.86</x:v>
      </x:c>
      <x:c r="F103" s="23" t="n">
        <x:v>8573.3</x:v>
      </x:c>
      <x:c r="G103" s="23" t="n">
        <x:v>8714.51</x:v>
      </x:c>
      <x:c r="H103" s="23" t="n">
        <x:v>140</x:v>
      </x:c>
      <x:c r="I103" s="24" t="n">
        <x:v>0.01632153719841023</x:v>
      </x:c>
      <x:c r="J103" s="23" t="n">
        <x:f>ROUND(E103-F103,1)</x:f>
        <x:v>143.6</x:v>
      </x:c>
      <x:c r="K103" s="22" t="str">
        <x:v>中证1000</x:v>
      </x:c>
    </x:row>
    <x:row r="104">
      <x:c r="A104" s="22" t="n">
        <x:v>3</x:v>
      </x:c>
      <x:c r="B104" s="22" t="str">
        <x:v>周五</x:v>
      </x:c>
      <x:c r="C104" s="22" t="str">
        <x:v>5月8日</x:v>
      </x:c>
      <x:c r="D104" s="23" t="n">
        <x:v>8655.13</x:v>
      </x:c>
      <x:c r="E104" s="23" t="n">
        <x:v>8760.19</x:v>
      </x:c>
      <x:c r="F104" s="23" t="n">
        <x:v>8651.06</x:v>
      </x:c>
      <x:c r="G104" s="23" t="n">
        <x:v>8741.15</x:v>
      </x:c>
      <x:c r="H104" s="23" t="n">
        <x:v>26.6</x:v>
      </x:c>
      <x:c r="I104" s="24" t="n">
        <x:v>0.0030569705009231285</x:v>
      </x:c>
      <x:c r="J104" s="23" t="n">
        <x:f>ROUND(E104-F104,1)</x:f>
        <x:v>109.1</x:v>
      </x:c>
      <x:c r="K104" s="22" t="str">
        <x:v>中证1000</x:v>
      </x:c>
    </x:row>
    <x:row r="105">
      <x:c r="A105" s="22" t="n">
        <x:v>4</x:v>
      </x:c>
      <x:c r="B105" s="22" t="str">
        <x:v>周一</x:v>
      </x:c>
      <x:c r="C105" s="22" t="str">
        <x:v>5月11日</x:v>
      </x:c>
      <x:c r="D105" s="23" t="n">
        <x:v>8807.91</x:v>
      </x:c>
      <x:c r="E105" s="23" t="n">
        <x:v>8888.87</x:v>
      </x:c>
      <x:c r="F105" s="23" t="n">
        <x:v>8760.71</x:v>
      </x:c>
      <x:c r="G105" s="23" t="n">
        <x:v>8866.78</x:v>
      </x:c>
      <x:c r="H105" s="23" t="n">
        <x:v>125.6</x:v>
      </x:c>
      <x:c r="I105" s="24" t="n">
        <x:v>0.014372250790799956</x:v>
      </x:c>
      <x:c r="J105" s="23" t="n">
        <x:f>ROUND(E105-F105,1)</x:f>
        <x:v>128.2</x:v>
      </x:c>
      <x:c r="K105" s="22" t="str">
        <x:v>中证1000</x:v>
      </x:c>
    </x:row>
    <x:row r="106">
      <x:c r="A106" s="22" t="n">
        <x:v>5</x:v>
      </x:c>
      <x:c r="B106" s="22" t="str">
        <x:v>周二</x:v>
      </x:c>
      <x:c r="C106" s="22" t="str">
        <x:v>5月12日</x:v>
      </x:c>
      <x:c r="D106" s="23" t="n">
        <x:v>8880.41</x:v>
      </x:c>
      <x:c r="E106" s="23" t="n">
        <x:v>8881.9</x:v>
      </x:c>
      <x:c r="F106" s="23" t="n">
        <x:v>8749.72</x:v>
      </x:c>
      <x:c r="G106" s="23" t="n">
        <x:v>8821.89</x:v>
      </x:c>
      <x:c r="H106" s="23" t="n">
        <x:v>-44.9</x:v>
      </x:c>
      <x:c r="I106" s="24" t="n">
        <x:v>-0.0050627172434639656</x:v>
      </x:c>
      <x:c r="J106" s="23" t="n">
        <x:f>ROUND(E106-F106,1)</x:f>
        <x:v>132.2</x:v>
      </x:c>
      <x:c r="K106" s="22" t="str">
        <x:v>中证1000</x:v>
      </x:c>
    </x:row>
    <x:row r="107">
      <x:c r="A107" s="22" t="n">
        <x:v>6</x:v>
      </x:c>
      <x:c r="B107" s="22" t="str">
        <x:v>周三</x:v>
      </x:c>
      <x:c r="C107" s="22" t="str">
        <x:v>5月13日</x:v>
      </x:c>
      <x:c r="D107" s="23" t="n">
        <x:v>8764.02</x:v>
      </x:c>
      <x:c r="E107" s="23" t="n">
        <x:v>8958.46</x:v>
      </x:c>
      <x:c r="F107" s="23" t="n">
        <x:v>8764.02</x:v>
      </x:c>
      <x:c r="G107" s="23" t="n">
        <x:v>8955.45</x:v>
      </x:c>
      <x:c r="H107" s="23" t="n">
        <x:v>133.6</x:v>
      </x:c>
      <x:c r="I107" s="24" t="n">
        <x:v>0.01513961294008448</x:v>
      </x:c>
      <x:c r="J107" s="26" t="n">
        <x:f>ROUND(E107-F107,1)</x:f>
        <x:v>194.4</x:v>
      </x:c>
      <x:c r="K107" s="22" t="str">
        <x:v>中证1000</x:v>
      </x:c>
    </x:row>
    <x:row r="108">
      <x:c r="A108" s="22" t="n">
        <x:v>7</x:v>
      </x:c>
      <x:c r="B108" s="22" t="str">
        <x:v>周四</x:v>
      </x:c>
      <x:c r="C108" s="22" t="str">
        <x:v>5月14日</x:v>
      </x:c>
      <x:c r="D108" s="23" t="n">
        <x:v>8989.49</x:v>
      </x:c>
      <x:c r="E108" s="23" t="n">
        <x:v>8991.85</x:v>
      </x:c>
      <x:c r="F108" s="23" t="n">
        <x:v>8778.71</x:v>
      </x:c>
      <x:c r="G108" s="23" t="n">
        <x:v>8778.71</x:v>
      </x:c>
      <x:c r="H108" s="28" t="n">
        <x:v>-176.7</x:v>
      </x:c>
      <x:c r="I108" s="24" t="n">
        <x:v>-0.01973546834609108</x:v>
      </x:c>
      <x:c r="J108" s="26" t="n">
        <x:f>ROUND(E108-F108,1)</x:f>
        <x:v>213.1</x:v>
      </x:c>
      <x:c r="K108" s="22" t="str">
        <x:v>中证1000</x:v>
      </x:c>
    </x:row>
    <x:row r="109">
      <x:c r="A109" s="41" t="n">
        <x:v>8</x:v>
      </x:c>
      <x:c r="B109" s="41" t="str">
        <x:v>周五</x:v>
      </x:c>
      <x:c r="C109" s="41" t="str">
        <x:v>5月15日</x:v>
      </x:c>
      <x:c r="D109" s="42" t="n">
        <x:v>8786.38</x:v>
      </x:c>
      <x:c r="E109" s="42" t="n">
        <x:v>8846.52</x:v>
      </x:c>
      <x:c r="F109" s="42" t="n">
        <x:v>8616.06</x:v>
      </x:c>
      <x:c r="G109" s="42" t="n">
        <x:v>8682.65</x:v>
      </x:c>
      <x:c r="H109" s="42" t="n">
        <x:v>-96.1</x:v>
      </x:c>
      <x:c r="I109" s="43" t="n">
        <x:v>-0.010942382195106015</x:v>
      </x:c>
      <x:c r="J109" s="26" t="n">
        <x:f>ROUND(E109-F109,1)</x:f>
        <x:v>230.5</x:v>
      </x:c>
      <x:c r="K109" s="41" t="str">
        <x:v>中证1000</x:v>
      </x:c>
    </x:row>
    <x:row r="110">
      <x:c r="A110" s="22" t="n">
        <x:v>9</x:v>
      </x:c>
      <x:c r="B110" s="22" t="str">
        <x:v>周一</x:v>
      </x:c>
      <x:c r="C110" s="22" t="str">
        <x:v>5月18日</x:v>
      </x:c>
      <x:c r="D110" s="23" t="n">
        <x:v>8645.76</x:v>
      </x:c>
      <x:c r="E110" s="23" t="n">
        <x:v>8766.31</x:v>
      </x:c>
      <x:c r="F110" s="23" t="n">
        <x:v>8610.74</x:v>
      </x:c>
      <x:c r="G110" s="23" t="n">
        <x:v>8720.21</x:v>
      </x:c>
      <x:c r="H110" s="23" t="n">
        <x:v>37.6</x:v>
      </x:c>
      <x:c r="I110" s="24" t="n">
        <x:v>0.004325868254507537</x:v>
      </x:c>
      <x:c r="J110" s="23" t="n">
        <x:f>ROUND(E110-F110,1)</x:f>
        <x:v>155.6</x:v>
      </x:c>
      <x:c r="K110" s="22" t="str">
        <x:v>中证1000</x:v>
      </x:c>
    </x:row>
    <x:row r="111">
      <x:c r="A111" s="22" t="n">
        <x:v>10</x:v>
      </x:c>
      <x:c r="B111" s="22" t="str">
        <x:v>周二</x:v>
      </x:c>
      <x:c r="C111" s="22" t="str">
        <x:v>5月19日</x:v>
      </x:c>
      <x:c r="D111" s="23" t="n">
        <x:v>8691.38</x:v>
      </x:c>
      <x:c r="E111" s="23" t="n">
        <x:v>8812.03</x:v>
      </x:c>
      <x:c r="F111" s="23" t="n">
        <x:v>8602.05</x:v>
      </x:c>
      <x:c r="G111" s="23" t="n">
        <x:v>8808.64</x:v>
      </x:c>
      <x:c r="H111" s="23" t="n">
        <x:v>88.4</x:v>
      </x:c>
      <x:c r="I111" s="24" t="n">
        <x:v>0.010140810829097013</x:v>
      </x:c>
      <x:c r="J111" s="26" t="n">
        <x:f>ROUND(E111-F111,1)</x:f>
        <x:v>210</x:v>
      </x:c>
      <x:c r="K111" s="22" t="str">
        <x:v>中证1000</x:v>
      </x:c>
    </x:row>
    <x:row r="112">
      <x:c r="A112" s="22" t="n">
        <x:v>11</x:v>
      </x:c>
      <x:c r="B112" s="22" t="str">
        <x:v>周三</x:v>
      </x:c>
      <x:c r="C112" s="22" t="str">
        <x:v>5月20日</x:v>
      </x:c>
      <x:c r="D112" s="23" t="n">
        <x:v>8769.1</x:v>
      </x:c>
      <x:c r="E112" s="23" t="n">
        <x:v>8823.68</x:v>
      </x:c>
      <x:c r="F112" s="23" t="n">
        <x:v>8697.4</x:v>
      </x:c>
      <x:c r="G112" s="23" t="n">
        <x:v>8808.91</x:v>
      </x:c>
      <x:c r="H112" s="23" t="n">
        <x:v>0.3</x:v>
      </x:c>
      <x:c r="I112" s="24" t="n">
        <x:v>0.00003065172376226499</x:v>
      </x:c>
      <x:c r="J112" s="23" t="n">
        <x:f>ROUND(E112-F112,1)</x:f>
        <x:v>126.3</x:v>
      </x:c>
      <x:c r="K112" s="22" t="str">
        <x:v>中证1000</x:v>
      </x:c>
    </x:row>
    <x:row r="113">
      <x:c r="A113" s="22" t="n">
        <x:v>12</x:v>
      </x:c>
      <x:c r="B113" s="22" t="str">
        <x:v>周四</x:v>
      </x:c>
      <x:c r="C113" s="22" t="str">
        <x:v>5月21日</x:v>
      </x:c>
      <x:c r="D113" s="23" t="n">
        <x:v>8852.43</x:v>
      </x:c>
      <x:c r="E113" s="23" t="n">
        <x:v>8896.6</x:v>
      </x:c>
      <x:c r="F113" s="23" t="n">
        <x:v>8500.92</x:v>
      </x:c>
      <x:c r="G113" s="23" t="n">
        <x:v>8510.5</x:v>
      </x:c>
      <x:c r="H113" s="28" t="n">
        <x:v>-298.4</x:v>
      </x:c>
      <x:c r="I113" s="24" t="n">
        <x:v>-0.033875927895732794</x:v>
      </x:c>
      <x:c r="J113" s="26" t="n">
        <x:f>ROUND(E113-F113,1)</x:f>
        <x:v>395.7</x:v>
      </x:c>
      <x:c r="K113" s="22" t="str">
        <x:v>中证1000</x:v>
      </x:c>
    </x:row>
    <x:row r="114">
      <x:c r="A114" s="22" t="n">
        <x:v>13</x:v>
      </x:c>
      <x:c r="B114" s="22" t="str">
        <x:v>周五</x:v>
      </x:c>
      <x:c r="C114" s="22" t="str">
        <x:v>5月22日</x:v>
      </x:c>
      <x:c r="D114" s="23" t="n">
        <x:v>8578.9</x:v>
      </x:c>
      <x:c r="E114" s="23" t="n">
        <x:v>8719.39</x:v>
      </x:c>
      <x:c r="F114" s="23" t="n">
        <x:v>8521.7</x:v>
      </x:c>
      <x:c r="G114" s="23" t="n">
        <x:v>8692.67</x:v>
      </x:c>
      <x:c r="H114" s="28" t="n">
        <x:v>182.2</x:v>
      </x:c>
      <x:c r="I114" s="24" t="n">
        <x:v>0.0214053228364961</x:v>
      </x:c>
      <x:c r="J114" s="26" t="n">
        <x:f>ROUND(E114-F114,1)</x:f>
        <x:v>197.7</x:v>
      </x:c>
      <x:c r="K114" s="22" t="str">
        <x:v>中证1000</x:v>
      </x:c>
    </x:row>
    <x:row r="115">
      <x:c r="A115" s="22" t="n">
        <x:v>14</x:v>
      </x:c>
      <x:c r="B115" s="22" t="str">
        <x:v>周一</x:v>
      </x:c>
      <x:c r="C115" s="22" t="str">
        <x:v>5月25日</x:v>
      </x:c>
      <x:c r="D115" s="23" t="n">
        <x:v>8756.46</x:v>
      </x:c>
      <x:c r="E115" s="23" t="n">
        <x:v>8802.95</x:v>
      </x:c>
      <x:c r="F115" s="23" t="n">
        <x:v>8670.72</x:v>
      </x:c>
      <x:c r="G115" s="23" t="n">
        <x:v>8799.31</x:v>
      </x:c>
      <x:c r="H115" s="23" t="n">
        <x:v>106.6</x:v>
      </x:c>
      <x:c r="I115" s="24" t="n">
        <x:v>0.012267807244494389</x:v>
      </x:c>
      <x:c r="J115" s="23" t="n">
        <x:f>ROUND(E115-F115,1)</x:f>
        <x:v>132.2</x:v>
      </x:c>
      <x:c r="K115" s="22" t="str">
        <x:v>中证1000</x:v>
      </x:c>
    </x:row>
    <x:row r="116">
      <x:c r="A116" s="22" t="n">
        <x:v>15</x:v>
      </x:c>
      <x:c r="B116" s="22" t="str">
        <x:v>周二</x:v>
      </x:c>
      <x:c r="C116" s="22" t="str">
        <x:v>5月26日</x:v>
      </x:c>
      <x:c r="D116" s="23" t="n">
        <x:v>8755.91</x:v>
      </x:c>
      <x:c r="E116" s="23" t="n">
        <x:v>8756.46</x:v>
      </x:c>
      <x:c r="F116" s="23" t="n">
        <x:v>8560.8</x:v>
      </x:c>
      <x:c r="G116" s="23" t="n">
        <x:v>8687.25</x:v>
      </x:c>
      <x:c r="H116" s="23" t="n">
        <x:v>-112.1</x:v>
      </x:c>
      <x:c r="I116" s="24" t="n">
        <x:v>-0.012735089455877757</x:v>
      </x:c>
      <x:c r="J116" s="26" t="n">
        <x:f>ROUND(E116-F116,1)</x:f>
        <x:v>195.7</x:v>
      </x:c>
      <x:c r="K116" s="22" t="str">
        <x:v>中证1000</x:v>
      </x:c>
    </x:row>
    <x:row r="117">
      <x:c r="A117" s="22" t="n">
        <x:v>16</x:v>
      </x:c>
      <x:c r="B117" s="22" t="str">
        <x:v>周三</x:v>
      </x:c>
      <x:c r="C117" s="22" t="str">
        <x:v>5月27日</x:v>
      </x:c>
      <x:c r="D117" s="23" t="n">
        <x:v>8679.54</x:v>
      </x:c>
      <x:c r="E117" s="23" t="n">
        <x:v>8737.05</x:v>
      </x:c>
      <x:c r="F117" s="23" t="n">
        <x:v>8495.72</x:v>
      </x:c>
      <x:c r="G117" s="23" t="n">
        <x:v>8546.51</x:v>
      </x:c>
      <x:c r="H117" s="23" t="n">
        <x:v>-140.7</x:v>
      </x:c>
      <x:c r="I117" s="24" t="n">
        <x:v>-0.016200753978531712</x:v>
      </x:c>
      <x:c r="J117" s="26" t="n">
        <x:f>ROUND(E117-F117,1)</x:f>
        <x:v>241.3</x:v>
      </x:c>
      <x:c r="K117" s="22" t="str">
        <x:v>中证1000</x:v>
      </x:c>
    </x:row>
    <x:row r="118">
      <x:c r="A118" s="22" t="n">
        <x:v>17</x:v>
      </x:c>
      <x:c r="B118" s="22" t="str">
        <x:v>周四</x:v>
      </x:c>
      <x:c r="C118" s="22" t="str">
        <x:v>5月28日</x:v>
      </x:c>
      <x:c r="D118" s="23" t="n">
        <x:v>8527.91</x:v>
      </x:c>
      <x:c r="E118" s="23" t="n">
        <x:v>8659.61</x:v>
      </x:c>
      <x:c r="F118" s="23" t="n">
        <x:v>8459.95</x:v>
      </x:c>
      <x:c r="G118" s="23" t="n">
        <x:v>8637.74</x:v>
      </x:c>
      <x:c r="H118" s="23" t="n">
        <x:v>91.2</x:v>
      </x:c>
      <x:c r="I118" s="24" t="n">
        <x:v>0.010674532645489121</x:v>
      </x:c>
      <x:c r="J118" s="26" t="n">
        <x:f>ROUND(E118-F118,1)</x:f>
        <x:v>199.7</x:v>
      </x:c>
      <x:c r="K118" s="22" t="str">
        <x:v>中证1000</x:v>
      </x:c>
    </x:row>
    <x:row r="119">
      <x:c r="A119" s="22" t="n">
        <x:v>18</x:v>
      </x:c>
      <x:c r="B119" s="22" t="str">
        <x:v>周五</x:v>
      </x:c>
      <x:c r="C119" s="22" t="str">
        <x:v>5月29日</x:v>
      </x:c>
      <x:c r="D119" s="23" t="n">
        <x:v>8673.8</x:v>
      </x:c>
      <x:c r="E119" s="23" t="n">
        <x:v>8680.27</x:v>
      </x:c>
      <x:c r="F119" s="23" t="n">
        <x:v>8357.8</x:v>
      </x:c>
      <x:c r="G119" s="23" t="n">
        <x:v>8408.74</x:v>
      </x:c>
      <x:c r="H119" s="28" t="n">
        <x:v>-229</x:v>
      </x:c>
      <x:c r="I119" s="24" t="n">
        <x:v>-0.026511564367531326</x:v>
      </x:c>
      <x:c r="J119" s="26" t="n">
        <x:f>ROUND(E119-F119,1)</x:f>
        <x:v>322.5</x:v>
      </x:c>
      <x:c r="K119" s="22" t="str">
        <x:v>中证1000</x:v>
      </x:c>
    </x:row>
    <x:row r="120">
      <x:c r="A120" s="31" t="str">
        <x:v>合计</x:v>
      </x:c>
      <x:c r="B120" s="30" t="n">
        <x:v>18</x:v>
      </x:c>
      <x:c r="C120" s="30"/>
      <x:c r="D120" s="30"/>
      <x:c r="E120" s="30"/>
      <x:c r="F120" s="30"/>
      <x:c r="G120" s="30"/>
      <x:c r="H120" s="30"/>
      <x:c r="I120" s="30"/>
      <x:c r="J120" s="32" t="n">
        <x:f>ROUND(SUM(J102:J119),1)</x:f>
        <x:v>3476.7</x:v>
      </x:c>
      <x:c r="K120" s="30"/>
    </x:row>
    <x:row r="121">
      <x:c r="A121" s="31" t="str">
        <x:v>均值</x:v>
      </x:c>
      <x:c r="B121" s="30"/>
      <x:c r="C121" s="30"/>
      <x:c r="D121" s="30"/>
      <x:c r="E121" s="30"/>
      <x:c r="F121" s="30"/>
      <x:c r="G121" s="30"/>
      <x:c r="H121" s="30"/>
      <x:c r="I121" s="30"/>
      <x:c r="J121" s="34" t="n">
        <x:f>ROUND(IFERROR(AVERAGE(J102:J119),0),1)</x:f>
        <x:v>193.1</x:v>
      </x:c>
      <x:c r="K121" s="30"/>
    </x:row>
    <x:row r="123">
      <x:c r="A123" s="17" t="str">
        <x:v>6月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20" t="str">
        <x:v>序号</x:v>
      </x:c>
      <x:c r="B124" s="20" t="str">
        <x:v>星期</x:v>
      </x:c>
      <x:c r="C124" s="20" t="str">
        <x:v>日期</x:v>
      </x:c>
      <x:c r="D124" s="20" t="str">
        <x:v>开盘</x:v>
      </x:c>
      <x:c r="E124" s="20" t="str">
        <x:v>高点</x:v>
      </x:c>
      <x:c r="F124" s="20" t="str">
        <x:v>低点</x:v>
      </x:c>
      <x:c r="G124" s="20" t="str">
        <x:v>收盘</x:v>
      </x:c>
      <x:c r="H124" s="20" t="str">
        <x:v>涨跌点数</x:v>
      </x:c>
      <x:c r="I124" s="20" t="str">
        <x:v>涨幅</x:v>
      </x:c>
      <x:c r="J124" s="20" t="str">
        <x:v>振幅</x:v>
      </x:c>
      <x:c r="K124" s="20" t="str">
        <x:v>标的</x:v>
      </x:c>
    </x:row>
    <x:row r="125">
      <x:c r="A125" s="22" t="n">
        <x:v>1</x:v>
      </x:c>
      <x:c r="B125" s="22" t="str">
        <x:v>周一</x:v>
      </x:c>
      <x:c r="C125" s="22" t="str">
        <x:v>6月1日</x:v>
      </x:c>
      <x:c r="D125" s="23" t="n">
        <x:v>8393.52</x:v>
      </x:c>
      <x:c r="E125" s="23" t="n">
        <x:v>8504.98</x:v>
      </x:c>
      <x:c r="F125" s="23" t="n">
        <x:v>8339.35</x:v>
      </x:c>
      <x:c r="G125" s="23" t="n">
        <x:v>8345.13</x:v>
      </x:c>
      <x:c r="H125" s="23" t="n">
        <x:v>-63.6</x:v>
      </x:c>
      <x:c r="I125" s="24" t="n">
        <x:v>-0.007564748107326547</x:v>
      </x:c>
      <x:c r="J125" s="23" t="n">
        <x:f>ROUND(E125-F125,1)</x:f>
        <x:v>165.6</x:v>
      </x:c>
      <x:c r="K125" s="22" t="str">
        <x:v>中证1000</x:v>
      </x:c>
    </x:row>
    <x:row r="126">
      <x:c r="A126" s="22" t="n">
        <x:v>2</x:v>
      </x:c>
      <x:c r="B126" s="22" t="str">
        <x:v>周二</x:v>
      </x:c>
      <x:c r="C126" s="22" t="str">
        <x:v>6月2日</x:v>
      </x:c>
      <x:c r="D126" s="23" t="n">
        <x:v>8360.81</x:v>
      </x:c>
      <x:c r="E126" s="23" t="n">
        <x:v>8440.23</x:v>
      </x:c>
      <x:c r="F126" s="23" t="n">
        <x:v>8219.15</x:v>
      </x:c>
      <x:c r="G126" s="23" t="n">
        <x:v>8384.78</x:v>
      </x:c>
      <x:c r="H126" s="23" t="n">
        <x:v>39.7</x:v>
      </x:c>
      <x:c r="I126" s="24" t="n">
        <x:v>0.004751274096389313</x:v>
      </x:c>
      <x:c r="J126" s="26" t="n">
        <x:f>ROUND(E126-F126,1)</x:f>
        <x:v>221.1</x:v>
      </x:c>
      <x:c r="K126" s="22" t="str">
        <x:v>中证1000</x:v>
      </x:c>
    </x:row>
    <x:row r="127">
      <x:c r="A127" s="22" t="n">
        <x:v>3</x:v>
      </x:c>
      <x:c r="B127" s="22" t="str">
        <x:v>周三</x:v>
      </x:c>
      <x:c r="C127" s="22" t="str">
        <x:v>6月3日</x:v>
      </x:c>
      <x:c r="D127" s="23" t="n">
        <x:v>8386.86</x:v>
      </x:c>
      <x:c r="E127" s="23" t="n">
        <x:v>8549.25</x:v>
      </x:c>
      <x:c r="F127" s="23" t="n">
        <x:v>8357.46</x:v>
      </x:c>
      <x:c r="G127" s="23" t="n">
        <x:v>8432.68</x:v>
      </x:c>
      <x:c r="H127" s="23" t="n">
        <x:v>47.9</x:v>
      </x:c>
      <x:c r="I127" s="24" t="n">
        <x:v>0.005712731878475097</x:v>
      </x:c>
      <x:c r="J127" s="26" t="n">
        <x:f>ROUND(E127-F127,1)</x:f>
        <x:v>191.8</x:v>
      </x:c>
      <x:c r="K127" s="22" t="str">
        <x:v>中证1000</x:v>
      </x:c>
    </x:row>
    <x:row r="128">
      <x:c r="A128" s="22" t="n">
        <x:v>4</x:v>
      </x:c>
      <x:c r="B128" s="22" t="str">
        <x:v>周四</x:v>
      </x:c>
      <x:c r="C128" s="22" t="str">
        <x:v>6月4日</x:v>
      </x:c>
      <x:c r="D128" s="23" t="n">
        <x:v>8338.85</x:v>
      </x:c>
      <x:c r="E128" s="23" t="n">
        <x:v>8456.02</x:v>
      </x:c>
      <x:c r="F128" s="23" t="n">
        <x:v>8338.85</x:v>
      </x:c>
      <x:c r="G128" s="23" t="n">
        <x:v>8420.09</x:v>
      </x:c>
      <x:c r="H128" s="23" t="n">
        <x:v>-12.6</x:v>
      </x:c>
      <x:c r="I128" s="24" t="n">
        <x:v>-0.0014930010388156667</x:v>
      </x:c>
      <x:c r="J128" s="23" t="n">
        <x:f>ROUND(E128-F128,1)</x:f>
        <x:v>117.2</x:v>
      </x:c>
      <x:c r="K128" s="22" t="str">
        <x:v>中证1000</x:v>
      </x:c>
    </x:row>
    <x:row r="129">
      <x:c r="A129" s="22" t="n">
        <x:v>5</x:v>
      </x:c>
      <x:c r="B129" s="22" t="str">
        <x:v>周五</x:v>
      </x:c>
      <x:c r="C129" s="22" t="str">
        <x:v>6月5日</x:v>
      </x:c>
      <x:c r="D129" s="23" t="n">
        <x:v>8380.85</x:v>
      </x:c>
      <x:c r="E129" s="23" t="n">
        <x:v>8500.1</x:v>
      </x:c>
      <x:c r="F129" s="23" t="n">
        <x:v>8305.4</x:v>
      </x:c>
      <x:c r="G129" s="23" t="n">
        <x:v>8340.96</x:v>
      </x:c>
      <x:c r="H129" s="23" t="n">
        <x:v>-79.1</x:v>
      </x:c>
      <x:c r="I129" s="24" t="n">
        <x:v>-0.009397761781643754</x:v>
      </x:c>
      <x:c r="J129" s="26" t="n">
        <x:f>ROUND(E129-F129,1)</x:f>
        <x:v>194.7</x:v>
      </x:c>
      <x:c r="K129" s="22" t="str">
        <x:v>中证1000</x:v>
      </x:c>
    </x:row>
    <x:row r="130">
      <x:c r="A130" s="22" t="n">
        <x:v>6</x:v>
      </x:c>
      <x:c r="B130" s="22" t="str">
        <x:v>周一</x:v>
      </x:c>
      <x:c r="C130" s="22" t="str">
        <x:v>6月8日</x:v>
      </x:c>
      <x:c r="D130" s="23" t="n">
        <x:v>8069.48</x:v>
      </x:c>
      <x:c r="E130" s="23" t="n">
        <x:v>8260.19</x:v>
      </x:c>
      <x:c r="F130" s="23" t="n">
        <x:v>7987.4</x:v>
      </x:c>
      <x:c r="G130" s="23" t="n">
        <x:v>8081.26</x:v>
      </x:c>
      <x:c r="H130" s="28" t="n">
        <x:v>-259.7</x:v>
      </x:c>
      <x:c r="I130" s="24" t="n">
        <x:v>-0.031135504786019674</x:v>
      </x:c>
      <x:c r="J130" s="26" t="n">
        <x:f>ROUND(E130-F130,1)</x:f>
        <x:v>272.8</x:v>
      </x:c>
      <x:c r="K130" s="22" t="str">
        <x:v>中证1000</x:v>
      </x:c>
    </x:row>
    <x:row r="131">
      <x:c r="A131" s="22" t="n">
        <x:v>7</x:v>
      </x:c>
      <x:c r="B131" s="22" t="str">
        <x:v>周二</x:v>
      </x:c>
      <x:c r="C131" s="22" t="str">
        <x:v>6月9日</x:v>
      </x:c>
      <x:c r="D131" s="23" t="n">
        <x:v>8178.82</x:v>
      </x:c>
      <x:c r="E131" s="23" t="n">
        <x:v>8322.11</x:v>
      </x:c>
      <x:c r="F131" s="23" t="n">
        <x:v>8096.58</x:v>
      </x:c>
      <x:c r="G131" s="23" t="n">
        <x:v>8318.7</x:v>
      </x:c>
      <x:c r="H131" s="28" t="n">
        <x:v>237.4</x:v>
      </x:c>
      <x:c r="I131" s="24" t="n">
        <x:v>0.029381556836433953</x:v>
      </x:c>
      <x:c r="J131" s="26" t="n">
        <x:f>ROUND(E131-F131,1)</x:f>
        <x:v>225.5</x:v>
      </x:c>
      <x:c r="K131" s="22" t="str">
        <x:v>中证1000</x:v>
      </x:c>
    </x:row>
    <x:row r="132">
      <x:c r="A132" s="22" t="n">
        <x:v>8</x:v>
      </x:c>
      <x:c r="B132" s="22" t="str">
        <x:v>周三</x:v>
      </x:c>
      <x:c r="C132" s="22" t="str">
        <x:v>6月10日</x:v>
      </x:c>
      <x:c r="D132" s="23" t="n">
        <x:v>8232.02</x:v>
      </x:c>
      <x:c r="E132" s="23" t="n">
        <x:v>8285.29</x:v>
      </x:c>
      <x:c r="F132" s="23" t="n">
        <x:v>8103.01</x:v>
      </x:c>
      <x:c r="G132" s="23" t="n">
        <x:v>8198.72</x:v>
      </x:c>
      <x:c r="H132" s="23" t="n">
        <x:v>-120</x:v>
      </x:c>
      <x:c r="I132" s="24" t="n">
        <x:v>-0.014422926659213742</x:v>
      </x:c>
      <x:c r="J132" s="26" t="n">
        <x:f>ROUND(E132-F132,1)</x:f>
        <x:v>182.3</x:v>
      </x:c>
      <x:c r="K132" s="22" t="str">
        <x:v>中证1000</x:v>
      </x:c>
    </x:row>
    <x:row r="133">
      <x:c r="A133" s="22" t="n">
        <x:v>9</x:v>
      </x:c>
      <x:c r="B133" s="22" t="str">
        <x:v>周四</x:v>
      </x:c>
      <x:c r="C133" s="22" t="str">
        <x:v>6月11日</x:v>
      </x:c>
      <x:c r="D133" s="23" t="n">
        <x:v>8158.46</x:v>
      </x:c>
      <x:c r="E133" s="23" t="n">
        <x:v>8223.53</x:v>
      </x:c>
      <x:c r="F133" s="23" t="n">
        <x:v>8084.9</x:v>
      </x:c>
      <x:c r="G133" s="23" t="n">
        <x:v>8159.45</x:v>
      </x:c>
      <x:c r="H133" s="23" t="n">
        <x:v>-39.3</x:v>
      </x:c>
      <x:c r="I133" s="24" t="n">
        <x:v>-0.004789772061980391</x:v>
      </x:c>
      <x:c r="J133" s="23" t="n">
        <x:f>ROUND(E133-F133,1)</x:f>
        <x:v>138.6</x:v>
      </x:c>
      <x:c r="K133" s="22" t="str">
        <x:v>中证1000</x:v>
      </x:c>
    </x:row>
    <x:row r="134">
      <x:c r="A134" s="22" t="n">
        <x:v>10</x:v>
      </x:c>
      <x:c r="B134" s="22" t="str">
        <x:v>周五</x:v>
      </x:c>
      <x:c r="C134" s="22" t="str">
        <x:v>6月12日</x:v>
      </x:c>
      <x:c r="D134" s="23" t="n">
        <x:v>8294.9</x:v>
      </x:c>
      <x:c r="E134" s="23" t="n">
        <x:v>8348.79</x:v>
      </x:c>
      <x:c r="F134" s="23" t="n">
        <x:v>8181.42</x:v>
      </x:c>
      <x:c r="G134" s="23" t="n">
        <x:v>8202.8</x:v>
      </x:c>
      <x:c r="H134" s="23" t="n">
        <x:v>43.3</x:v>
      </x:c>
      <x:c r="I134" s="24" t="n">
        <x:v>0.005312858097052953</x:v>
      </x:c>
      <x:c r="J134" s="23" t="n">
        <x:f>ROUND(E134-F134,1)</x:f>
        <x:v>167.4</x:v>
      </x:c>
      <x:c r="K134" s="22" t="str">
        <x:v>中证1000</x:v>
      </x:c>
    </x:row>
    <x:row r="135">
      <x:c r="A135" s="22" t="n">
        <x:v>11</x:v>
      </x:c>
      <x:c r="B135" s="22" t="str">
        <x:v>周一</x:v>
      </x:c>
      <x:c r="C135" s="22" t="str">
        <x:v>6月15日</x:v>
      </x:c>
      <x:c r="D135" s="23" t="n">
        <x:v>8269.4</x:v>
      </x:c>
      <x:c r="E135" s="23" t="n">
        <x:v>8521.23</x:v>
      </x:c>
      <x:c r="F135" s="23" t="n">
        <x:v>8269.4</x:v>
      </x:c>
      <x:c r="G135" s="23" t="n">
        <x:v>8521.23</x:v>
      </x:c>
      <x:c r="H135" s="28" t="n">
        <x:v>318.4</x:v>
      </x:c>
      <x:c r="I135" s="24" t="n">
        <x:v>0.03881967133174036</x:v>
      </x:c>
      <x:c r="J135" s="26" t="n">
        <x:f>ROUND(E135-F135,1)</x:f>
        <x:v>251.8</x:v>
      </x:c>
      <x:c r="K135" s="22" t="str">
        <x:v>中证1000</x:v>
      </x:c>
    </x:row>
    <x:row r="136">
      <x:c r="A136" s="22" t="n">
        <x:v>12</x:v>
      </x:c>
      <x:c r="B136" s="22" t="str">
        <x:v>周二</x:v>
      </x:c>
      <x:c r="C136" s="22" t="str">
        <x:v>6月16日</x:v>
      </x:c>
      <x:c r="D136" s="23" t="n">
        <x:v>8534.27</x:v>
      </x:c>
      <x:c r="E136" s="23" t="n">
        <x:v>8684.65</x:v>
      </x:c>
      <x:c r="F136" s="23" t="n">
        <x:v>8508.91</x:v>
      </x:c>
      <x:c r="G136" s="23" t="n">
        <x:v>8646.4</x:v>
      </x:c>
      <x:c r="H136" s="23" t="n">
        <x:v>125.2</x:v>
      </x:c>
      <x:c r="I136" s="24" t="n">
        <x:v>0.01468919393092305</x:v>
      </x:c>
      <x:c r="J136" s="23" t="n">
        <x:f>ROUND(E136-F136,1)</x:f>
        <x:v>175.7</x:v>
      </x:c>
      <x:c r="K136" s="22" t="str">
        <x:v>中证1000</x:v>
      </x:c>
    </x:row>
    <x:row r="137">
      <x:c r="A137" s="22" t="n">
        <x:v>13</x:v>
      </x:c>
      <x:c r="B137" s="22" t="str">
        <x:v>周三</x:v>
      </x:c>
      <x:c r="C137" s="22" t="str">
        <x:v>6月17日</x:v>
      </x:c>
      <x:c r="D137" s="23" t="n">
        <x:v>8581.65</x:v>
      </x:c>
      <x:c r="E137" s="23" t="n">
        <x:v>8705.4</x:v>
      </x:c>
      <x:c r="F137" s="23" t="n">
        <x:v>8581.65</x:v>
      </x:c>
      <x:c r="G137" s="23" t="n">
        <x:v>8704.47</x:v>
      </x:c>
      <x:c r="H137" s="23" t="n">
        <x:v>58.1</x:v>
      </x:c>
      <x:c r="I137" s="24" t="n">
        <x:v>0.006716089933382685</x:v>
      </x:c>
      <x:c r="J137" s="23" t="n">
        <x:f>ROUND(E137-F137,1)</x:f>
        <x:v>123.8</x:v>
      </x:c>
      <x:c r="K137" s="22" t="str">
        <x:v>中证1000</x:v>
      </x:c>
    </x:row>
    <x:row r="138">
      <x:c r="A138" s="22" t="n">
        <x:v>14</x:v>
      </x:c>
      <x:c r="B138" s="22" t="str">
        <x:v>周四</x:v>
      </x:c>
      <x:c r="C138" s="22" t="str">
        <x:v>6月18日</x:v>
      </x:c>
      <x:c r="D138" s="23" t="n">
        <x:v>8666.64</x:v>
      </x:c>
      <x:c r="E138" s="23" t="n">
        <x:v>8796.48</x:v>
      </x:c>
      <x:c r="F138" s="23" t="n">
        <x:v>8664.28</x:v>
      </x:c>
      <x:c r="G138" s="23" t="n">
        <x:v>8771.02</x:v>
      </x:c>
      <x:c r="H138" s="23" t="n">
        <x:v>66.6</x:v>
      </x:c>
      <x:c r="I138" s="24" t="n">
        <x:v>0.00764549708368234</x:v>
      </x:c>
      <x:c r="J138" s="23" t="n">
        <x:f>ROUND(E138-F138,1)</x:f>
        <x:v>132.2</x:v>
      </x:c>
      <x:c r="K138" s="22" t="str">
        <x:v>中证1000</x:v>
      </x:c>
    </x:row>
    <x:row r="139">
      <x:c r="A139" s="41" t="n">
        <x:v>15</x:v>
      </x:c>
      <x:c r="B139" s="41" t="str">
        <x:v>周一</x:v>
      </x:c>
      <x:c r="C139" s="41" t="str">
        <x:v>6月22日</x:v>
      </x:c>
      <x:c r="D139" s="42" t="n">
        <x:v>8813.72</x:v>
      </x:c>
      <x:c r="E139" s="42" t="n">
        <x:v>8865.81</x:v>
      </x:c>
      <x:c r="F139" s="42" t="n">
        <x:v>8609.61</x:v>
      </x:c>
      <x:c r="G139" s="42" t="n">
        <x:v>8865.68</x:v>
      </x:c>
      <x:c r="H139" s="42" t="n">
        <x:v>94.7</x:v>
      </x:c>
      <x:c r="I139" s="43" t="n">
        <x:v>0.010792359383515304</x:v>
      </x:c>
      <x:c r="J139" s="26" t="n">
        <x:f>ROUND(E139-F139,1)</x:f>
        <x:v>256.2</x:v>
      </x:c>
      <x:c r="K139" s="41" t="str">
        <x:v>中证1000</x:v>
      </x:c>
    </x:row>
    <x:row r="140">
      <x:c r="A140" s="22" t="n">
        <x:v>16</x:v>
      </x:c>
      <x:c r="B140" s="22" t="str">
        <x:v>周二</x:v>
      </x:c>
      <x:c r="C140" s="22" t="str">
        <x:v>6月23日</x:v>
      </x:c>
      <x:c r="D140" s="23" t="n">
        <x:v>8838.76</x:v>
      </x:c>
      <x:c r="E140" s="23" t="n">
        <x:v>8862.72</x:v>
      </x:c>
      <x:c r="F140" s="23" t="n">
        <x:v>8626.1</x:v>
      </x:c>
      <x:c r="G140" s="23" t="n">
        <x:v>8680.04</x:v>
      </x:c>
      <x:c r="H140" s="28" t="n">
        <x:v>-185.6</x:v>
      </x:c>
      <x:c r="I140" s="24" t="n">
        <x:v>-0.02093917217855812</x:v>
      </x:c>
      <x:c r="J140" s="26" t="n">
        <x:f>ROUND(E140-F140,1)</x:f>
        <x:v>236.6</x:v>
      </x:c>
      <x:c r="K140" s="22" t="str">
        <x:v>中证1000</x:v>
      </x:c>
    </x:row>
    <x:row r="141">
      <x:c r="A141" s="22" t="n">
        <x:v>17</x:v>
      </x:c>
      <x:c r="B141" s="22" t="str">
        <x:v>周三</x:v>
      </x:c>
      <x:c r="C141" s="22" t="str">
        <x:v>6月24日</x:v>
      </x:c>
      <x:c r="D141" s="23" t="n">
        <x:v>8650.82</x:v>
      </x:c>
      <x:c r="E141" s="23" t="n">
        <x:v>8803.5</x:v>
      </x:c>
      <x:c r="F141" s="23" t="n">
        <x:v>8581.75</x:v>
      </x:c>
      <x:c r="G141" s="23" t="n">
        <x:v>8793.49</x:v>
      </x:c>
      <x:c r="H141" s="23" t="n">
        <x:v>113.4</x:v>
      </x:c>
      <x:c r="I141" s="24" t="n">
        <x:v>0.013070216266284351</x:v>
      </x:c>
      <x:c r="J141" s="26" t="n">
        <x:f>ROUND(E141-F141,1)</x:f>
        <x:v>221.8</x:v>
      </x:c>
      <x:c r="K141" s="22" t="str">
        <x:v>中证1000</x:v>
      </x:c>
    </x:row>
    <x:row r="142">
      <x:c r="A142" s="22" t="n">
        <x:v>18</x:v>
      </x:c>
      <x:c r="B142" s="22" t="str">
        <x:v>周四</x:v>
      </x:c>
      <x:c r="C142" s="22" t="str">
        <x:v>6月25日</x:v>
      </x:c>
      <x:c r="D142" s="23" t="n">
        <x:v>8806.07</x:v>
      </x:c>
      <x:c r="E142" s="23" t="n">
        <x:v>8872.12</x:v>
      </x:c>
      <x:c r="F142" s="23" t="n">
        <x:v>8743.25</x:v>
      </x:c>
      <x:c r="G142" s="23" t="n">
        <x:v>8825.92</x:v>
      </x:c>
      <x:c r="H142" s="23" t="n">
        <x:v>32.4</x:v>
      </x:c>
      <x:c r="I142" s="24" t="n">
        <x:v>0.003687955521641584</x:v>
      </x:c>
      <x:c r="J142" s="23" t="n">
        <x:f>ROUND(E142-F142,1)</x:f>
        <x:v>128.9</x:v>
      </x:c>
      <x:c r="K142" s="22" t="str">
        <x:v>中证1000</x:v>
      </x:c>
    </x:row>
    <x:row r="143">
      <x:c r="A143" s="22" t="n">
        <x:v>19</x:v>
      </x:c>
      <x:c r="B143" s="22" t="str">
        <x:v>周五</x:v>
      </x:c>
      <x:c r="C143" s="22" t="str">
        <x:v>6月26日</x:v>
      </x:c>
      <x:c r="D143" s="23" t="n">
        <x:v>8771.6</x:v>
      </x:c>
      <x:c r="E143" s="23" t="n">
        <x:v>8797.28</x:v>
      </x:c>
      <x:c r="F143" s="23" t="n">
        <x:v>8563.7</x:v>
      </x:c>
      <x:c r="G143" s="23" t="n">
        <x:v>8601.41</x:v>
      </x:c>
      <x:c r="H143" s="28" t="n">
        <x:v>-224.5</x:v>
      </x:c>
      <x:c r="I143" s="24" t="n">
        <x:v>-0.025437574779739736</x:v>
      </x:c>
      <x:c r="J143" s="26" t="n">
        <x:f>ROUND(E143-F143,1)</x:f>
        <x:v>233.6</x:v>
      </x:c>
      <x:c r="K143" s="22" t="str">
        <x:v>中证1000</x:v>
      </x:c>
    </x:row>
    <x:row r="144">
      <x:c r="A144" s="22" t="n">
        <x:v>20</x:v>
      </x:c>
      <x:c r="B144" s="22" t="str">
        <x:v>周一</x:v>
      </x:c>
      <x:c r="C144" s="22" t="str">
        <x:v>6月29日</x:v>
      </x:c>
      <x:c r="D144" s="23" t="n">
        <x:v>8616.42</x:v>
      </x:c>
      <x:c r="E144" s="23" t="n">
        <x:v>8677.63</x:v>
      </x:c>
      <x:c r="F144" s="23" t="n">
        <x:v>8413.86</x:v>
      </x:c>
      <x:c r="G144" s="23" t="n">
        <x:v>8597.89</x:v>
      </x:c>
      <x:c r="H144" s="23" t="n">
        <x:v>-3.5</x:v>
      </x:c>
      <x:c r="I144" s="24" t="n">
        <x:v>-0.0004092352300378854</x:v>
      </x:c>
      <x:c r="J144" s="26" t="n">
        <x:f>ROUND(E144-F144,1)</x:f>
        <x:v>263.8</x:v>
      </x:c>
      <x:c r="K144" s="22" t="str">
        <x:v>中证1000</x:v>
      </x:c>
    </x:row>
    <x:row r="145">
      <x:c r="A145" s="22" t="n">
        <x:v>21</x:v>
      </x:c>
      <x:c r="B145" s="22" t="str">
        <x:v>周二</x:v>
      </x:c>
      <x:c r="C145" s="22" t="str">
        <x:v>6月30日</x:v>
      </x:c>
      <x:c r="D145" s="23" t="n">
        <x:v>8574.25</x:v>
      </x:c>
      <x:c r="E145" s="23" t="n">
        <x:v>8815.11</x:v>
      </x:c>
      <x:c r="F145" s="23" t="n">
        <x:v>8547.31</x:v>
      </x:c>
      <x:c r="G145" s="23" t="n">
        <x:v>8809.79</x:v>
      </x:c>
      <x:c r="H145" s="28" t="n">
        <x:v>211.9</x:v>
      </x:c>
      <x:c r="I145" s="24" t="n">
        <x:v>0.02464558164852093</x:v>
      </x:c>
      <x:c r="J145" s="26" t="n">
        <x:f>ROUND(E145-F145,1)</x:f>
        <x:v>267.8</x:v>
      </x:c>
      <x:c r="K145" s="22" t="str">
        <x:v>中证1000</x:v>
      </x:c>
    </x:row>
    <x:row r="146">
      <x:c r="A146" s="31" t="str">
        <x:v>合计</x:v>
      </x:c>
      <x:c r="B146" s="30" t="n">
        <x:v>21</x:v>
      </x:c>
      <x:c r="C146" s="30"/>
      <x:c r="D146" s="30"/>
      <x:c r="E146" s="30"/>
      <x:c r="F146" s="30"/>
      <x:c r="G146" s="30"/>
      <x:c r="H146" s="30"/>
      <x:c r="I146" s="30"/>
      <x:c r="J146" s="32" t="n">
        <x:f>ROUND(SUM(J125:J145),1)</x:f>
        <x:v>4169.2</x:v>
      </x:c>
      <x:c r="K146" s="30"/>
    </x:row>
    <x:row r="147">
      <x:c r="A147" s="31" t="str">
        <x:v>均值</x:v>
      </x:c>
      <x:c r="B147" s="30"/>
      <x:c r="C147" s="30"/>
      <x:c r="D147" s="30"/>
      <x:c r="E147" s="30"/>
      <x:c r="F147" s="30"/>
      <x:c r="G147" s="30"/>
      <x:c r="H147" s="30"/>
      <x:c r="I147" s="30"/>
      <x:c r="J147" s="34" t="n">
        <x:f>ROUND(IFERROR(AVERAGE(J125:J145),0),1)</x:f>
        <x:v>198.5</x:v>
      </x:c>
      <x:c r="K147" s="30"/>
    </x:row>
    <x:row r="149">
      <x:c r="A149" s="17" t="str">
        <x:v>7月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20" t="str">
        <x:v>序号</x:v>
      </x:c>
      <x:c r="B150" s="20" t="str">
        <x:v>星期</x:v>
      </x:c>
      <x:c r="C150" s="20" t="str">
        <x:v>日期</x:v>
      </x:c>
      <x:c r="D150" s="20" t="str">
        <x:v>开盘</x:v>
      </x:c>
      <x:c r="E150" s="20" t="str">
        <x:v>高点</x:v>
      </x:c>
      <x:c r="F150" s="20" t="str">
        <x:v>低点</x:v>
      </x:c>
      <x:c r="G150" s="20" t="str">
        <x:v>收盘</x:v>
      </x:c>
      <x:c r="H150" s="20" t="str">
        <x:v>涨跌点数</x:v>
      </x:c>
      <x:c r="I150" s="20" t="str">
        <x:v>涨幅</x:v>
      </x:c>
      <x:c r="J150" s="20" t="str">
        <x:v>振幅</x:v>
      </x:c>
      <x:c r="K150" s="20" t="str">
        <x:v>标的</x:v>
      </x:c>
    </x:row>
    <x:row r="151">
      <x:c r="A151" s="22" t="n">
        <x:v>1</x:v>
      </x:c>
      <x:c r="B151" s="22" t="str">
        <x:v>周三</x:v>
      </x:c>
      <x:c r="C151" s="22" t="str">
        <x:v>7月1日</x:v>
      </x:c>
      <x:c r="D151" s="23" t="n">
        <x:v>8827.47</x:v>
      </x:c>
      <x:c r="E151" s="23" t="n">
        <x:v>8944.19</x:v>
      </x:c>
      <x:c r="F151" s="23" t="n">
        <x:v>8806.65</x:v>
      </x:c>
      <x:c r="G151" s="23" t="n">
        <x:v>8876.63</x:v>
      </x:c>
      <x:c r="H151" s="23" t="n">
        <x:v>66.8</x:v>
      </x:c>
      <x:c r="I151" s="24" t="n">
        <x:v>0.007587013992387925</x:v>
      </x:c>
      <x:c r="J151" s="23" t="n">
        <x:f>ROUND(E151-F151,1)</x:f>
        <x:v>137.5</x:v>
      </x:c>
      <x:c r="K151" s="22" t="str">
        <x:v>中证1000</x:v>
      </x:c>
    </x:row>
    <x:row r="152">
      <x:c r="A152" s="22" t="n">
        <x:v>2</x:v>
      </x:c>
      <x:c r="B152" s="22" t="str">
        <x:v>周四</x:v>
      </x:c>
      <x:c r="C152" s="22" t="str">
        <x:v>7月2日</x:v>
      </x:c>
      <x:c r="D152" s="23" t="n">
        <x:v>8688.29</x:v>
      </x:c>
      <x:c r="E152" s="23" t="n">
        <x:v>8865.97</x:v>
      </x:c>
      <x:c r="F152" s="23" t="n">
        <x:v>8598.87</x:v>
      </x:c>
      <x:c r="G152" s="23" t="n">
        <x:v>8625.33</x:v>
      </x:c>
      <x:c r="H152" s="28" t="n">
        <x:v>-251.3</x:v>
      </x:c>
      <x:c r="I152" s="24" t="n">
        <x:v>-0.028310293433431277</x:v>
      </x:c>
      <x:c r="J152" s="26" t="n">
        <x:f>ROUND(E152-F152,1)</x:f>
        <x:v>267.1</x:v>
      </x:c>
      <x:c r="K152" s="22" t="str">
        <x:v>中证1000</x:v>
      </x:c>
    </x:row>
    <x:row r="153">
      <x:c r="A153" s="22" t="n">
        <x:v>3</x:v>
      </x:c>
      <x:c r="B153" s="22" t="str">
        <x:v>周五</x:v>
      </x:c>
      <x:c r="C153" s="22" t="str">
        <x:v>7月3日</x:v>
      </x:c>
      <x:c r="D153" s="23" t="n">
        <x:v>8627.38</x:v>
      </x:c>
      <x:c r="E153" s="23" t="n">
        <x:v>8740.67</x:v>
      </x:c>
      <x:c r="F153" s="23" t="n">
        <x:v>8559.28</x:v>
      </x:c>
      <x:c r="G153" s="23" t="n">
        <x:v>8620.79</x:v>
      </x:c>
      <x:c r="H153" s="23" t="n">
        <x:v>-4.5</x:v>
      </x:c>
      <x:c r="I153" s="24" t="n">
        <x:v>-0.0005263566727300439</x:v>
      </x:c>
      <x:c r="J153" s="26" t="n">
        <x:f>ROUND(E153-F153,1)</x:f>
        <x:v>181.4</x:v>
      </x:c>
      <x:c r="K153" s="22" t="str">
        <x:v>中证1000</x:v>
      </x:c>
    </x:row>
    <x:row r="154">
      <x:c r="A154" s="22" t="n">
        <x:v>4</x:v>
      </x:c>
      <x:c r="B154" s="22" t="str">
        <x:v>周一</x:v>
      </x:c>
      <x:c r="C154" s="22" t="str">
        <x:v>7月6日</x:v>
      </x:c>
      <x:c r="D154" s="23" t="n">
        <x:v>8669.12</x:v>
      </x:c>
      <x:c r="E154" s="23" t="n">
        <x:v>8694.8</x:v>
      </x:c>
      <x:c r="F154" s="23" t="n">
        <x:v>8432.9</x:v>
      </x:c>
      <x:c r="G154" s="23" t="n">
        <x:v>8472.6</x:v>
      </x:c>
      <x:c r="H154" s="23" t="n">
        <x:v>-148.2</x:v>
      </x:c>
      <x:c r="I154" s="24" t="n">
        <x:v>-0.01718983991026346</x:v>
      </x:c>
      <x:c r="J154" s="26" t="n">
        <x:f>ROUND(E154-F154,1)</x:f>
        <x:v>261.9</x:v>
      </x:c>
      <x:c r="K154" s="22" t="str">
        <x:v>中证1000</x:v>
      </x:c>
    </x:row>
    <x:row r="155">
      <x:c r="A155" s="22" t="n">
        <x:v>5</x:v>
      </x:c>
      <x:c r="B155" s="22" t="str">
        <x:v>周二</x:v>
      </x:c>
      <x:c r="C155" s="22" t="str">
        <x:v>7月7日</x:v>
      </x:c>
      <x:c r="D155" s="23" t="n">
        <x:v>8436.39</x:v>
      </x:c>
      <x:c r="E155" s="23" t="n">
        <x:v>8489.48</x:v>
      </x:c>
      <x:c r="F155" s="23" t="n">
        <x:v>8261.4</x:v>
      </x:c>
      <x:c r="G155" s="23" t="n">
        <x:v>8301.8</x:v>
      </x:c>
      <x:c r="H155" s="28" t="n">
        <x:v>-170.8</x:v>
      </x:c>
      <x:c r="I155" s="24" t="n">
        <x:v>-0.020159101102377175</x:v>
      </x:c>
      <x:c r="J155" s="26" t="n">
        <x:f>ROUND(E155-F155,1)</x:f>
        <x:v>228.1</x:v>
      </x:c>
      <x:c r="K155" s="22" t="str">
        <x:v>中证1000</x:v>
      </x:c>
    </x:row>
    <x:row r="156">
      <x:c r="A156" s="22" t="n">
        <x:v>6</x:v>
      </x:c>
      <x:c r="B156" s="22" t="str">
        <x:v>周三</x:v>
      </x:c>
      <x:c r="C156" s="22" t="str">
        <x:v>7月8日</x:v>
      </x:c>
      <x:c r="D156" s="23" t="n">
        <x:v>8315.96</x:v>
      </x:c>
      <x:c r="E156" s="23" t="n">
        <x:v>8328.96</x:v>
      </x:c>
      <x:c r="F156" s="23" t="n">
        <x:v>8117.86</x:v>
      </x:c>
      <x:c r="G156" s="23" t="n">
        <x:v>8117.86</x:v>
      </x:c>
      <x:c r="H156" s="28" t="n">
        <x:v>-183.9</x:v>
      </x:c>
      <x:c r="I156" s="24" t="n">
        <x:v>-0.02215664072851664</x:v>
      </x:c>
      <x:c r="J156" s="26" t="n">
        <x:f>ROUND(E156-F156,1)</x:f>
        <x:v>211.1</x:v>
      </x:c>
      <x:c r="K156" s="22" t="str">
        <x:v>中证1000</x:v>
      </x:c>
    </x:row>
    <x:row r="157">
      <x:c r="A157" s="22" t="n">
        <x:v>7</x:v>
      </x:c>
      <x:c r="B157" s="22" t="str">
        <x:v>周四</x:v>
      </x:c>
      <x:c r="C157" s="22" t="str">
        <x:v>7月9日</x:v>
      </x:c>
      <x:c r="D157" s="23" t="n">
        <x:v>8161.86</x:v>
      </x:c>
      <x:c r="E157" s="23" t="n">
        <x:v>8312.62</x:v>
      </x:c>
      <x:c r="F157" s="23" t="n">
        <x:v>7978.81</x:v>
      </x:c>
      <x:c r="G157" s="23" t="n">
        <x:v>8300.08</x:v>
      </x:c>
      <x:c r="H157" s="28" t="n">
        <x:v>182.2</x:v>
      </x:c>
      <x:c r="I157" s="24" t="n">
        <x:v>0.022446802482427586</x:v>
      </x:c>
      <x:c r="J157" s="26" t="n">
        <x:f>ROUND(E157-F157,1)</x:f>
        <x:v>333.8</x:v>
      </x:c>
      <x:c r="K157" s="22" t="str">
        <x:v>中证1000</x:v>
      </x:c>
    </x:row>
    <x:row r="158">
      <x:c r="A158" s="22" t="n">
        <x:v>8</x:v>
      </x:c>
      <x:c r="B158" s="22" t="str">
        <x:v>周五</x:v>
      </x:c>
      <x:c r="C158" s="22" t="str">
        <x:v>7月10日</x:v>
      </x:c>
      <x:c r="D158" s="23" t="n">
        <x:v>8312.49</x:v>
      </x:c>
      <x:c r="E158" s="23" t="n">
        <x:v>8438.19</x:v>
      </x:c>
      <x:c r="F158" s="23" t="n">
        <x:v>8198.31</x:v>
      </x:c>
      <x:c r="G158" s="23" t="n">
        <x:v>8198.31</x:v>
      </x:c>
      <x:c r="H158" s="23" t="n">
        <x:v>-101.8</x:v>
      </x:c>
      <x:c r="I158" s="24" t="n">
        <x:v>-0.012261327601661764</x:v>
      </x:c>
      <x:c r="J158" s="26" t="n">
        <x:f>ROUND(E158-F158,1)</x:f>
        <x:v>239.9</x:v>
      </x:c>
      <x:c r="K158" s="22" t="str">
        <x:v>中证1000</x:v>
      </x:c>
    </x:row>
    <x:row r="159">
      <x:c r="A159" s="22" t="n">
        <x:v>9</x:v>
      </x:c>
      <x:c r="B159" s="22" t="str">
        <x:v>周一</x:v>
      </x:c>
      <x:c r="C159" s="22" t="str">
        <x:v>7月13日</x:v>
      </x:c>
      <x:c r="D159" s="23" t="n">
        <x:v>8124.36</x:v>
      </x:c>
      <x:c r="E159" s="23" t="n">
        <x:v>8171.5</x:v>
      </x:c>
      <x:c r="F159" s="23" t="n">
        <x:v>7769.29</x:v>
      </x:c>
      <x:c r="G159" s="23" t="n">
        <x:v>7787.85</x:v>
      </x:c>
      <x:c r="H159" s="28" t="n">
        <x:v>-410.5</x:v>
      </x:c>
      <x:c r="I159" s="24" t="n">
        <x:v>-0.050066416127226065</x:v>
      </x:c>
      <x:c r="J159" s="26" t="n">
        <x:f>ROUND(E159-F159,1)</x:f>
        <x:v>402.2</x:v>
      </x:c>
      <x:c r="K159" s="22" t="str">
        <x:v>中证1000</x:v>
      </x:c>
    </x:row>
    <x:row r="160">
      <x:c r="A160" s="22" t="n">
        <x:v>10</x:v>
      </x:c>
      <x:c r="B160" s="22" t="str">
        <x:v>周二</x:v>
      </x:c>
      <x:c r="C160" s="22" t="str">
        <x:v>7月14日</x:v>
      </x:c>
      <x:c r="D160" s="23" t="n">
        <x:v>7799.81</x:v>
      </x:c>
      <x:c r="E160" s="23" t="n">
        <x:v>7934.1</x:v>
      </x:c>
      <x:c r="F160" s="23" t="n">
        <x:v>7657.67</x:v>
      </x:c>
      <x:c r="G160" s="23" t="n">
        <x:v>7925.12</x:v>
      </x:c>
      <x:c r="H160" s="23" t="n">
        <x:v>137.3</x:v>
      </x:c>
      <x:c r="I160" s="24" t="n">
        <x:v>0.017626174104534487</x:v>
      </x:c>
      <x:c r="J160" s="26" t="n">
        <x:f>ROUND(E160-F160,1)</x:f>
        <x:v>276.4</x:v>
      </x:c>
      <x:c r="K160" s="22" t="str">
        <x:v>中证1000</x:v>
      </x:c>
    </x:row>
    <x:row r="161">
      <x:c r="A161" s="22" t="n">
        <x:v>11</x:v>
      </x:c>
      <x:c r="B161" s="22" t="str">
        <x:v>周三</x:v>
      </x:c>
      <x:c r="C161" s="22" t="str">
        <x:v>7月15日</x:v>
      </x:c>
      <x:c r="D161" s="23" t="n">
        <x:v>7959.37</x:v>
      </x:c>
      <x:c r="E161" s="23" t="n">
        <x:v>7979.08</x:v>
      </x:c>
      <x:c r="F161" s="23" t="n">
        <x:v>7783.22</x:v>
      </x:c>
      <x:c r="G161" s="23" t="n">
        <x:v>7817.83</x:v>
      </x:c>
      <x:c r="H161" s="23" t="n">
        <x:v>-107.3</x:v>
      </x:c>
      <x:c r="I161" s="24" t="n">
        <x:v>-0.013537965355729598</x:v>
      </x:c>
      <x:c r="J161" s="26" t="n">
        <x:f>ROUND(E161-F161,1)</x:f>
        <x:v>195.9</x:v>
      </x:c>
      <x:c r="K161" s="22" t="str">
        <x:v>中证1000</x:v>
      </x:c>
    </x:row>
    <x:row r="162">
      <x:c r="A162" s="22" t="n">
        <x:v>12</x:v>
      </x:c>
      <x:c r="B162" s="22" t="str">
        <x:v>周四</x:v>
      </x:c>
      <x:c r="C162" s="22" t="str">
        <x:v>7月16日</x:v>
      </x:c>
      <x:c r="D162" s="23" t="n">
        <x:v>7713.14</x:v>
      </x:c>
      <x:c r="E162" s="23" t="n">
        <x:v>7836.39</x:v>
      </x:c>
      <x:c r="F162" s="23" t="n">
        <x:v>7591.42</x:v>
      </x:c>
      <x:c r="G162" s="23" t="n">
        <x:v>7631.76</x:v>
      </x:c>
      <x:c r="H162" s="28" t="n">
        <x:v>-186.1</x:v>
      </x:c>
      <x:c r="I162" s="24" t="n">
        <x:v>-0.023800722195289503</x:v>
      </x:c>
      <x:c r="J162" s="26" t="n">
        <x:f>ROUND(E162-F162,1)</x:f>
        <x:v>245</x:v>
      </x:c>
      <x:c r="K162" s="22" t="str">
        <x:v>中证1000</x:v>
      </x:c>
    </x:row>
    <x:row r="163">
      <x:c r="A163" s="41" t="n">
        <x:v>13</x:v>
      </x:c>
      <x:c r="B163" s="41" t="str">
        <x:v>周五</x:v>
      </x:c>
      <x:c r="C163" s="41" t="str">
        <x:v>7月17日</x:v>
      </x:c>
      <x:c r="D163" s="42" t="n">
        <x:v>7599.39</x:v>
      </x:c>
      <x:c r="E163" s="42" t="n">
        <x:v>7605.61</x:v>
      </x:c>
      <x:c r="F163" s="42" t="n">
        <x:v>7163.31</x:v>
      </x:c>
      <x:c r="G163" s="42" t="n">
        <x:v>7168</x:v>
      </x:c>
      <x:c r="H163" s="28" t="n">
        <x:v>-463.8</x:v>
      </x:c>
      <x:c r="I163" s="43" t="n">
        <x:v>-0.06076711007683677</x:v>
      </x:c>
      <x:c r="J163" s="26" t="n">
        <x:f>ROUND(E163-F163,1)</x:f>
        <x:v>442.3</x:v>
      </x:c>
      <x:c r="K163" s="41" t="str">
        <x:v>中证1000</x:v>
      </x:c>
    </x:row>
    <x:row r="164">
      <x:c r="A164" s="22" t="n">
        <x:v>14</x:v>
      </x:c>
      <x:c r="B164" s="22" t="str">
        <x:v>周一</x:v>
      </x:c>
      <x:c r="C164" s="22" t="str">
        <x:v>7月20日</x:v>
      </x:c>
      <x:c r="D164" s="23" t="n">
        <x:v>7256.27</x:v>
      </x:c>
      <x:c r="E164" s="23" t="n">
        <x:v>7298.12</x:v>
      </x:c>
      <x:c r="F164" s="23" t="n">
        <x:v>6824.14</x:v>
      </x:c>
      <x:c r="G164" s="23" t="n">
        <x:v>6965.38</x:v>
      </x:c>
      <x:c r="H164" s="28" t="n">
        <x:v>-202.6</x:v>
      </x:c>
      <x:c r="I164" s="24" t="n">
        <x:v>-0.028267299107142874</x:v>
      </x:c>
      <x:c r="J164" s="26" t="n">
        <x:f>ROUND(E164-F164,1)</x:f>
        <x:v>474</x:v>
      </x:c>
      <x:c r="K164" s="22" t="str">
        <x:v>中证1000</x:v>
      </x:c>
    </x:row>
    <x:row r="165">
      <x:c r="A165" s="22" t="n">
        <x:v>15</x:v>
      </x:c>
      <x:c r="B165" s="22" t="str">
        <x:v>周二</x:v>
      </x:c>
      <x:c r="C165" s="22" t="str">
        <x:v>7月21日</x:v>
      </x:c>
      <x:c r="D165" s="23" t="n">
        <x:v>6975.89</x:v>
      </x:c>
      <x:c r="E165" s="23" t="n">
        <x:v>7264.34</x:v>
      </x:c>
      <x:c r="F165" s="23" t="n">
        <x:v>6714.19</x:v>
      </x:c>
      <x:c r="G165" s="23" t="n">
        <x:v>7259.86</x:v>
      </x:c>
      <x:c r="H165" s="28" t="n">
        <x:v>294.5</x:v>
      </x:c>
      <x:c r="I165" s="24" t="n">
        <x:v>0.042277664678739724</x:v>
      </x:c>
      <x:c r="J165" s="26" t="n">
        <x:f>ROUND(E165-F165,1)</x:f>
        <x:v>550.2</x:v>
      </x:c>
      <x:c r="K165" s="22" t="str">
        <x:v>中证1000</x:v>
      </x:c>
    </x:row>
    <x:row r="166">
      <x:c r="A166" s="22" t="n">
        <x:v>16</x:v>
      </x:c>
      <x:c r="B166" s="22" t="str">
        <x:v>周三</x:v>
      </x:c>
      <x:c r="C166" s="22" t="str">
        <x:v>7月22日</x:v>
      </x:c>
      <x:c r="D166" s="23" t="n">
        <x:v>7196.86</x:v>
      </x:c>
      <x:c r="E166" s="23" t="n">
        <x:v>7302.45</x:v>
      </x:c>
      <x:c r="F166" s="23" t="n">
        <x:v>7118.66</x:v>
      </x:c>
      <x:c r="G166" s="23" t="n">
        <x:v>7158.76</x:v>
      </x:c>
      <x:c r="H166" s="23" t="n">
        <x:v>-101.1</x:v>
      </x:c>
      <x:c r="I166" s="24" t="n">
        <x:v>-0.013925888378012674</x:v>
      </x:c>
      <x:c r="J166" s="26" t="n">
        <x:f>ROUND(E166-F166,1)</x:f>
        <x:v>183.8</x:v>
      </x:c>
      <x:c r="K166" s="22" t="str">
        <x:v>中证1000</x:v>
      </x:c>
    </x:row>
    <x:row r="167">
      <x:c r="A167" s="22" t="n">
        <x:v>17</x:v>
      </x:c>
      <x:c r="B167" s="22" t="str">
        <x:v>周四</x:v>
      </x:c>
      <x:c r="C167" s="22" t="str">
        <x:v>7月23日</x:v>
      </x:c>
      <x:c r="D167" s="23" t="n">
        <x:v>7169.54</x:v>
      </x:c>
      <x:c r="E167" s="23" t="n">
        <x:v>7247.14</x:v>
      </x:c>
      <x:c r="F167" s="23" t="n">
        <x:v>7113.5</x:v>
      </x:c>
      <x:c r="G167" s="23" t="n">
        <x:v>7195.5</x:v>
      </x:c>
      <x:c r="H167" s="23" t="n">
        <x:v>36.7</x:v>
      </x:c>
      <x:c r="I167" s="24" t="n">
        <x:v>0.005132173728411127</x:v>
      </x:c>
      <x:c r="J167" s="23" t="n">
        <x:f>ROUND(E167-F167,1)</x:f>
        <x:v>133.6</x:v>
      </x:c>
      <x:c r="K167" s="22" t="str">
        <x:v>中证1000</x:v>
      </x:c>
    </x:row>
    <x:row r="168">
      <x:c r="A168" s="22" t="n">
        <x:v>18</x:v>
      </x:c>
      <x:c r="B168" s="22" t="str">
        <x:v>周五</x:v>
      </x:c>
      <x:c r="C168" s="22" t="str">
        <x:v>7月24日</x:v>
      </x:c>
      <x:c r="D168" s="23" t="n">
        <x:v>7109.25</x:v>
      </x:c>
      <x:c r="E168" s="23" t="n">
        <x:v>7174.55</x:v>
      </x:c>
      <x:c r="F168" s="23" t="n">
        <x:v>6995.69</x:v>
      </x:c>
      <x:c r="G168" s="23" t="n">
        <x:v>6995.69</x:v>
      </x:c>
      <x:c r="H168" s="28" t="n">
        <x:v>-199.8</x:v>
      </x:c>
      <x:c r="I168" s="24" t="n">
        <x:v>-0.027768744354110253</x:v>
      </x:c>
      <x:c r="J168" s="23" t="n">
        <x:f>ROUND(E168-F168,1)</x:f>
        <x:v>178.9</x:v>
      </x:c>
      <x:c r="K168" s="22" t="str">
        <x:v>中证1000</x:v>
      </x:c>
    </x:row>
    <x:row r="169">
      <x:c r="A169" s="22" t="n">
        <x:v>19</x:v>
      </x:c>
      <x:c r="B169" s="22" t="str">
        <x:v>周一</x:v>
      </x:c>
      <x:c r="C169" s="22" t="str">
        <x:v>7月27日</x:v>
      </x:c>
      <x:c r="D169" s="23" t="n">
        <x:v>6981.16</x:v>
      </x:c>
      <x:c r="E169" s="23" t="n">
        <x:v>7228.78</x:v>
      </x:c>
      <x:c r="F169" s="23" t="n">
        <x:v>6972.28</x:v>
      </x:c>
      <x:c r="G169" s="23" t="n">
        <x:v>7228.78</x:v>
      </x:c>
      <x:c r="H169" s="28" t="n">
        <x:v>233.1</x:v>
      </x:c>
      <x:c r="I169" s="24" t="n">
        <x:v>0.03331908646609549</x:v>
      </x:c>
      <x:c r="J169" s="26" t="n">
        <x:f>ROUND(E169-F169,1)</x:f>
        <x:v>256.5</x:v>
      </x:c>
      <x:c r="K169" s="22" t="str">
        <x:v>中证1000</x:v>
      </x:c>
    </x:row>
    <x:row r="170">
      <x:c r="A170" s="22" t="n">
        <x:v>20</x:v>
      </x:c>
      <x:c r="B170" s="22" t="str">
        <x:v>周二</x:v>
      </x:c>
      <x:c r="C170" s="22" t="str">
        <x:v>7月28日</x:v>
      </x:c>
      <x:c r="D170" s="23" t="n">
        <x:v>7135.73</x:v>
      </x:c>
      <x:c r="E170" s="23" t="n">
        <x:v>7189.18</x:v>
      </x:c>
      <x:c r="F170" s="23" t="n">
        <x:v>6992.94</x:v>
      </x:c>
      <x:c r="G170" s="23" t="n">
        <x:v>7026.28</x:v>
      </x:c>
      <x:c r="H170" s="28" t="n">
        <x:v>-202.5</x:v>
      </x:c>
      <x:c r="I170" s="24" t="n">
        <x:v>-0.028013025711115858</x:v>
      </x:c>
      <x:c r="J170" s="26" t="n">
        <x:f>ROUND(E170-F170,1)</x:f>
        <x:v>196.2</x:v>
      </x:c>
      <x:c r="K170" s="22" t="str">
        <x:v>中证1000</x:v>
      </x:c>
    </x:row>
    <x:row r="171">
      <x:c r="A171" s="22" t="n">
        <x:v>21</x:v>
      </x:c>
      <x:c r="B171" s="22" t="str">
        <x:v>周三</x:v>
      </x:c>
      <x:c r="C171" s="22" t="str">
        <x:v>7月29日</x:v>
      </x:c>
      <x:c r="D171" s="23" t="n">
        <x:v>7020.22</x:v>
      </x:c>
      <x:c r="E171" s="23" t="n">
        <x:v>7132.35</x:v>
      </x:c>
      <x:c r="F171" s="23" t="n">
        <x:v>6897.39</x:v>
      </x:c>
      <x:c r="G171" s="23" t="n">
        <x:v>7095.19</x:v>
      </x:c>
      <x:c r="H171" s="23" t="n">
        <x:v>68.9</x:v>
      </x:c>
      <x:c r="I171" s="24" t="n">
        <x:v>0.009807465685967465</x:v>
      </x:c>
      <x:c r="J171" s="26" t="n">
        <x:f>ROUND(E171-F171,1)</x:f>
        <x:v>235</x:v>
      </x:c>
      <x:c r="K171" s="22" t="str">
        <x:v>中证1000</x:v>
      </x:c>
    </x:row>
    <x:row r="172">
      <x:c r="A172" s="22" t="n">
        <x:v>22</x:v>
      </x:c>
      <x:c r="B172" s="22" t="str">
        <x:v>周四</x:v>
      </x:c>
      <x:c r="C172" s="22" t="str">
        <x:v>7月30日</x:v>
      </x:c>
      <x:c r="D172" s="23" t="n">
        <x:v>7053.09</x:v>
      </x:c>
      <x:c r="E172" s="23" t="n">
        <x:v>7121.52</x:v>
      </x:c>
      <x:c r="F172" s="23" t="n">
        <x:v>6841.75</x:v>
      </x:c>
      <x:c r="G172" s="23" t="n">
        <x:v>6900.66</x:v>
      </x:c>
      <x:c r="H172" s="28" t="n">
        <x:v>-194.5</x:v>
      </x:c>
      <x:c r="I172" s="24" t="n">
        <x:v>-0.027417165713673586</x:v>
      </x:c>
      <x:c r="J172" s="26" t="n">
        <x:f>ROUND(E172-F172,1)</x:f>
        <x:v>279.8</x:v>
      </x:c>
      <x:c r="K172" s="22" t="str">
        <x:v>中证1000</x:v>
      </x:c>
    </x:row>
    <x:row r="173">
      <x:c r="A173" s="22" t="n">
        <x:v>23</x:v>
      </x:c>
      <x:c r="B173" s="22" t="str">
        <x:v>周五</x:v>
      </x:c>
      <x:c r="C173" s="22" t="str">
        <x:v>7月31日</x:v>
      </x:c>
      <x:c r="D173" s="23" t="n">
        <x:v>7082.75</x:v>
      </x:c>
      <x:c r="E173" s="23" t="n">
        <x:v>7218.06</x:v>
      </x:c>
      <x:c r="F173" s="23" t="n">
        <x:v>7071.05</x:v>
      </x:c>
      <x:c r="G173" s="23" t="n">
        <x:v>7075.51</x:v>
      </x:c>
      <x:c r="H173" s="28" t="n">
        <x:v>174.9</x:v>
      </x:c>
      <x:c r="I173" s="24" t="n">
        <x:v>0.02533815606043488</x:v>
      </x:c>
      <x:c r="J173" s="23" t="n">
        <x:f>ROUND(E173-F173,1)</x:f>
        <x:v>147</x:v>
      </x:c>
      <x:c r="K173" s="22" t="str">
        <x:v>中证1000</x:v>
      </x:c>
    </x:row>
    <x:row r="174">
      <x:c r="A174" s="31" t="str">
        <x:v>合计</x:v>
      </x:c>
      <x:c r="B174" s="30" t="n">
        <x:v>23</x:v>
      </x:c>
      <x:c r="C174" s="30"/>
      <x:c r="D174" s="30"/>
      <x:c r="E174" s="30"/>
      <x:c r="F174" s="30"/>
      <x:c r="G174" s="30"/>
      <x:c r="H174" s="30"/>
      <x:c r="I174" s="30"/>
      <x:c r="J174" s="32" t="n">
        <x:f>ROUND(SUM(J151:J173),1)</x:f>
        <x:v>6057.6</x:v>
      </x:c>
      <x:c r="K174" s="30"/>
    </x:row>
    <x:row r="175">
      <x:c r="A175" s="31" t="str">
        <x:v>均值</x:v>
      </x:c>
      <x:c r="B175" s="30"/>
      <x:c r="C175" s="30"/>
      <x:c r="D175" s="30"/>
      <x:c r="E175" s="30"/>
      <x:c r="F175" s="30"/>
      <x:c r="G175" s="30"/>
      <x:c r="H175" s="30"/>
      <x:c r="I175" s="30"/>
      <x:c r="J175" s="34" t="n">
        <x:f>ROUND(IFERROR(AVERAGE(J151:J173),0),1)</x:f>
        <x:v>263.4</x:v>
      </x:c>
      <x:c r="K175" s="30"/>
    </x:row>
    <x:row r="177">
      <x:c r="A177" s="17" t="str">
        <x:v>8月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20" t="str">
        <x:v>序号</x:v>
      </x:c>
      <x:c r="B178" s="20" t="str">
        <x:v>星期</x:v>
      </x:c>
      <x:c r="C178" s="20" t="str">
        <x:v>日期</x:v>
      </x:c>
      <x:c r="D178" s="20" t="str">
        <x:v>开盘</x:v>
      </x:c>
      <x:c r="E178" s="20" t="str">
        <x:v>高点</x:v>
      </x:c>
      <x:c r="F178" s="20" t="str">
        <x:v>低点</x:v>
      </x:c>
      <x:c r="G178" s="20" t="str">
        <x:v>收盘</x:v>
      </x:c>
      <x:c r="H178" s="20" t="str">
        <x:v>涨跌点数</x:v>
      </x:c>
      <x:c r="I178" s="20" t="str">
        <x:v>涨幅</x:v>
      </x:c>
      <x:c r="J178" s="20" t="str">
        <x:v>振幅</x:v>
      </x:c>
      <x:c r="K178" s="20" t="str">
        <x:v>标的</x:v>
      </x:c>
    </x:row>
    <x:row r="179">
      <x:c r="A179" s="22" t="n">
        <x:v>1</x:v>
      </x:c>
      <x:c r="B179" s="22" t="str">
        <x:v>周一</x:v>
      </x:c>
      <x:c r="C179" s="22" t="str">
        <x:v>8月3日</x:v>
      </x:c>
      <x:c r="D179" s="23" t="n">
        <x:v>7055.27</x:v>
      </x:c>
      <x:c r="E179" s="23" t="n">
        <x:v>7118.1</x:v>
      </x:c>
      <x:c r="F179" s="23" t="n">
        <x:v>7042.89</x:v>
      </x:c>
      <x:c r="G179" s="23" t="n">
        <x:v>7079.78</x:v>
      </x:c>
      <x:c r="H179" s="23" t="n">
        <x:v>4.3</x:v>
      </x:c>
      <x:c r="I179" s="24" t="n">
        <x:v>0.0006034900664404486</x:v>
      </x:c>
      <x:c r="J179" s="23" t="n">
        <x:f>ROUND(E179-F179,1)</x:f>
        <x:v>75.2</x:v>
      </x:c>
      <x:c r="K179" s="22" t="str">
        <x:v>中证1000</x:v>
      </x:c>
    </x:row>
    <x:row r="180">
      <x:c r="A180" s="22" t="n">
        <x:v>2</x:v>
      </x:c>
      <x:c r="B180" s="22" t="str">
        <x:v>周二</x:v>
      </x:c>
      <x:c r="C180" s="22" t="str">
        <x:v>8月4日</x:v>
      </x:c>
      <x:c r="D180" s="23" t="n">
        <x:v>7128.49</x:v>
      </x:c>
      <x:c r="E180" s="23" t="n">
        <x:v>7307.17</x:v>
      </x:c>
      <x:c r="F180" s="23" t="n">
        <x:v>7102.46</x:v>
      </x:c>
      <x:c r="G180" s="23" t="n">
        <x:v>7279.19</x:v>
      </x:c>
      <x:c r="H180" s="28" t="n">
        <x:v>199.4</x:v>
      </x:c>
      <x:c r="I180" s="24" t="n">
        <x:v>0.028166129456000055</x:v>
      </x:c>
      <x:c r="J180" s="26" t="n">
        <x:f>ROUND(E180-F180,1)</x:f>
        <x:v>204.7</x:v>
      </x:c>
      <x:c r="K180" s="22" t="str">
        <x:v>中证1000</x:v>
      </x:c>
    </x:row>
    <x:row r="181">
      <x:c r="A181" s="22" t="n">
        <x:v>3</x:v>
      </x:c>
      <x:c r="B181" s="22" t="str">
        <x:v>周三</x:v>
      </x:c>
      <x:c r="C181" s="22" t="str">
        <x:v>8月5日</x:v>
      </x:c>
      <x:c r="D181" s="23" t="n">
        <x:v>7253.22</x:v>
      </x:c>
      <x:c r="E181" s="23" t="n">
        <x:v>7523.5</x:v>
      </x:c>
      <x:c r="F181" s="23" t="n">
        <x:v>7253.22</x:v>
      </x:c>
      <x:c r="G181" s="23" t="n">
        <x:v>7493.05</x:v>
      </x:c>
      <x:c r="H181" s="28" t="n">
        <x:v>213.9</x:v>
      </x:c>
      <x:c r="I181" s="24" t="n">
        <x:v>0.02937964251517</x:v>
      </x:c>
      <x:c r="J181" s="26" t="n">
        <x:f>ROUND(E181-F181,1)</x:f>
        <x:v>270.3</x:v>
      </x:c>
      <x:c r="K181" s="22" t="str">
        <x:v>中证1000</x:v>
      </x:c>
    </x:row>
    <x:row r="182">
      <x:c r="A182" s="22" t="n">
        <x:v>4</x:v>
      </x:c>
      <x:c r="B182" s="22" t="str">
        <x:v>周四</x:v>
      </x:c>
      <x:c r="C182" s="22" t="str">
        <x:v>8月6日</x:v>
      </x:c>
      <x:c r="D182" s="23" t="n">
        <x:v>7440.01</x:v>
      </x:c>
      <x:c r="E182" s="23" t="n">
        <x:v>7564.69</x:v>
      </x:c>
      <x:c r="F182" s="23" t="n">
        <x:v>7434.49</x:v>
      </x:c>
      <x:c r="G182" s="23" t="n">
        <x:v>7530.43</x:v>
      </x:c>
      <x:c r="H182" s="23" t="n">
        <x:v>37.4</x:v>
      </x:c>
      <x:c r="I182" s="24" t="n">
        <x:v>0.004988622790452535</x:v>
      </x:c>
      <x:c r="J182" s="23" t="n">
        <x:f>ROUND(E182-F182,1)</x:f>
        <x:v>130.2</x:v>
      </x:c>
      <x:c r="K182" s="22" t="str">
        <x:v>中证1000</x:v>
      </x:c>
    </x:row>
    <x:row r="183">
      <x:c r="A183" s="22" t="n">
        <x:v>5</x:v>
      </x:c>
      <x:c r="B183" s="22" t="str">
        <x:v>周五</x:v>
      </x:c>
      <x:c r="C183" s="22" t="str">
        <x:v>8月7日</x:v>
      </x:c>
      <x:c r="D183" s="23" t="n">
        <x:v>7534.24</x:v>
      </x:c>
      <x:c r="E183" s="23" t="n">
        <x:v>7685.57</x:v>
      </x:c>
      <x:c r="F183" s="23" t="n">
        <x:v>7448.46</x:v>
      </x:c>
      <x:c r="G183" s="23" t="n">
        <x:v>7679.53</x:v>
      </x:c>
      <x:c r="H183" s="23" t="n">
        <x:v>149.1</x:v>
      </x:c>
      <x:c r="I183" s="24" t="n">
        <x:v>0.019799666154522333</x:v>
      </x:c>
      <x:c r="J183" s="26" t="n">
        <x:f>ROUND(E183-F183,1)</x:f>
        <x:v>237.1</x:v>
      </x:c>
      <x:c r="K183" s="22" t="str">
        <x:v>中证1000</x:v>
      </x:c>
    </x:row>
    <x:row r="184">
      <x:c r="A184" s="22" t="n">
        <x:v>6</x:v>
      </x:c>
      <x:c r="B184" s="22" t="str">
        <x:v>周一</x:v>
      </x:c>
      <x:c r="C184" s="22" t="str">
        <x:v>8月10日</x:v>
      </x:c>
      <x:c r="D184" s="23" t="n">
        <x:v>7723.38</x:v>
      </x:c>
      <x:c r="E184" s="23" t="n">
        <x:v>7736.1</x:v>
      </x:c>
      <x:c r="F184" s="23" t="n">
        <x:v>7621.65</x:v>
      </x:c>
      <x:c r="G184" s="23" t="n">
        <x:v>7733.9</x:v>
      </x:c>
      <x:c r="H184" s="23" t="n">
        <x:v>54.4</x:v>
      </x:c>
      <x:c r="I184" s="24" t="n">
        <x:v>0.00707986035603736</x:v>
      </x:c>
      <x:c r="J184" s="23" t="n">
        <x:f>ROUND(E184-F184,1)</x:f>
        <x:v>114.5</x:v>
      </x:c>
      <x:c r="K184" s="22" t="str">
        <x:v>中证1000</x:v>
      </x:c>
    </x:row>
    <x:row r="185">
      <x:c r="A185" s="22" t="n">
        <x:v>7</x:v>
      </x:c>
      <x:c r="B185" s="22" t="str">
        <x:v>周二</x:v>
      </x:c>
      <x:c r="C185" s="22" t="str">
        <x:v>8月11日</x:v>
      </x:c>
      <x:c r="D185" s="23" t="n">
        <x:v>7686.04</x:v>
      </x:c>
      <x:c r="E185" s="23" t="n">
        <x:v>7789.21</x:v>
      </x:c>
      <x:c r="F185" s="23" t="n">
        <x:v>7642.44</x:v>
      </x:c>
      <x:c r="G185" s="23" t="n">
        <x:v>7698.05</x:v>
      </x:c>
      <x:c r="H185" s="23" t="n">
        <x:v>-35.8</x:v>
      </x:c>
      <x:c r="I185" s="24" t="n">
        <x:v>-0.004635436196485543</x:v>
      </x:c>
      <x:c r="J185" s="23" t="n">
        <x:f>ROUND(E185-F185,1)</x:f>
        <x:v>146.8</x:v>
      </x:c>
      <x:c r="K185" s="22" t="str">
        <x:v>中证1000</x:v>
      </x:c>
    </x:row>
    <x:row r="186">
      <x:c r="A186" s="22" t="n">
        <x:v>8</x:v>
      </x:c>
      <x:c r="B186" s="22" t="str">
        <x:v>周三</x:v>
      </x:c>
      <x:c r="C186" s="22" t="str">
        <x:v>8月12日</x:v>
      </x:c>
      <x:c r="D186" s="23" t="n">
        <x:v>7704.96</x:v>
      </x:c>
      <x:c r="E186" s="23" t="n">
        <x:v>7805.27</x:v>
      </x:c>
      <x:c r="F186" s="23" t="n">
        <x:v>7692.44</x:v>
      </x:c>
      <x:c r="G186" s="23" t="n">
        <x:v>7793.72</x:v>
      </x:c>
      <x:c r="H186" s="23" t="n">
        <x:v>95.7</x:v>
      </x:c>
      <x:c r="I186" s="24" t="n">
        <x:v>0.012427822630406427</x:v>
      </x:c>
      <x:c r="J186" s="23" t="n">
        <x:f>ROUND(E186-F186,1)</x:f>
        <x:v>112.8</x:v>
      </x:c>
      <x:c r="K186" s="22" t="str">
        <x:v>中证1000</x:v>
      </x:c>
    </x:row>
    <x:row r="187">
      <x:c r="A187" s="22" t="n">
        <x:v>9</x:v>
      </x:c>
      <x:c r="B187" s="22" t="str">
        <x:v>周四</x:v>
      </x:c>
      <x:c r="C187" s="22" t="str">
        <x:v>8月13日</x:v>
      </x:c>
      <x:c r="D187" s="23" t="n">
        <x:v>7847.24</x:v>
      </x:c>
      <x:c r="E187" s="23" t="n">
        <x:v>7880.22</x:v>
      </x:c>
      <x:c r="F187" s="23" t="n">
        <x:v>7714.37</x:v>
      </x:c>
      <x:c r="G187" s="23" t="n">
        <x:v>7715.89</x:v>
      </x:c>
      <x:c r="H187" s="23" t="n">
        <x:v>-77.8</x:v>
      </x:c>
      <x:c r="I187" s="24" t="n">
        <x:v>-0.009986245335988464</x:v>
      </x:c>
      <x:c r="J187" s="23" t="n">
        <x:f>ROUND(E187-F187,1)</x:f>
        <x:v>165.9</x:v>
      </x:c>
      <x:c r="K187" s="22" t="str">
        <x:v>中证1000</x:v>
      </x:c>
    </x:row>
    <x:row r="188">
      <x:c r="A188" s="22" t="n">
        <x:v>10</x:v>
      </x:c>
      <x:c r="B188" s="22" t="str">
        <x:v>周五</x:v>
      </x:c>
      <x:c r="C188" s="22" t="str">
        <x:v>8月14日</x:v>
      </x:c>
      <x:c r="D188" s="23" t="n">
        <x:v>7750.99</x:v>
      </x:c>
      <x:c r="E188" s="23" t="n">
        <x:v>7784.38</x:v>
      </x:c>
      <x:c r="F188" s="23" t="n">
        <x:v>7673.44</x:v>
      </x:c>
      <x:c r="G188" s="23" t="n">
        <x:v>7769.82</x:v>
      </x:c>
      <x:c r="H188" s="23" t="n">
        <x:v>53.9</x:v>
      </x:c>
      <x:c r="I188" s="24" t="n">
        <x:v>0.0069894723745413945</x:v>
      </x:c>
      <x:c r="J188" s="23" t="n">
        <x:f>ROUND(E188-F188,1)</x:f>
        <x:v>110.9</x:v>
      </x:c>
      <x:c r="K188" s="22" t="str">
        <x:v>中证1000</x:v>
      </x:c>
    </x:row>
    <x:row r="189">
      <x:c r="A189" s="22" t="n">
        <x:v>11</x:v>
      </x:c>
      <x:c r="B189" s="22" t="str">
        <x:v>周一</x:v>
      </x:c>
      <x:c r="C189" s="22" t="str">
        <x:v>8月17日</x:v>
      </x:c>
      <x:c r="D189" s="23" t="n">
        <x:v>7797.18</x:v>
      </x:c>
      <x:c r="E189" s="23" t="n">
        <x:v>7968.38</x:v>
      </x:c>
      <x:c r="F189" s="23" t="n">
        <x:v>7750.43</x:v>
      </x:c>
      <x:c r="G189" s="23" t="n">
        <x:v>7968.38</x:v>
      </x:c>
      <x:c r="H189" s="28" t="n">
        <x:v>198.6</x:v>
      </x:c>
      <x:c r="I189" s="24" t="n">
        <x:v>0.02555528956912778</x:v>
      </x:c>
      <x:c r="J189" s="26" t="n">
        <x:f>ROUND(E189-F189,1)</x:f>
        <x:v>217.9</x:v>
      </x:c>
      <x:c r="K189" s="22" t="str">
        <x:v>中证1000</x:v>
      </x:c>
    </x:row>
    <x:row r="190">
      <x:c r="A190" s="22" t="n">
        <x:v>12</x:v>
      </x:c>
      <x:c r="B190" s="22" t="str">
        <x:v>周二</x:v>
      </x:c>
      <x:c r="C190" s="22" t="str">
        <x:v>8月18日</x:v>
      </x:c>
      <x:c r="D190" s="23" t="n">
        <x:v>7969.37</x:v>
      </x:c>
      <x:c r="E190" s="23" t="n">
        <x:v>7995.5</x:v>
      </x:c>
      <x:c r="F190" s="23" t="n">
        <x:v>7842.25</x:v>
      </x:c>
      <x:c r="G190" s="23" t="n">
        <x:v>7945.96</x:v>
      </x:c>
      <x:c r="H190" s="23" t="n">
        <x:v>-22.4</x:v>
      </x:c>
      <x:c r="I190" s="24" t="n">
        <x:v>-0.0028136208363557236</x:v>
      </x:c>
      <x:c r="J190" s="23" t="n">
        <x:f>ROUND(E190-F190,1)</x:f>
        <x:v>153.3</x:v>
      </x:c>
      <x:c r="K190" s="22" t="str">
        <x:v>中证1000</x:v>
      </x:c>
    </x:row>
    <x:row r="191">
      <x:c r="A191" s="22" t="n">
        <x:v>13</x:v>
      </x:c>
      <x:c r="B191" s="22" t="str">
        <x:v>周三</x:v>
      </x:c>
      <x:c r="C191" s="22" t="str">
        <x:v>8月19日</x:v>
      </x:c>
      <x:c r="D191" s="23" t="n">
        <x:v>7795.26</x:v>
      </x:c>
      <x:c r="E191" s="23" t="n">
        <x:v>7821.18</x:v>
      </x:c>
      <x:c r="F191" s="23" t="n">
        <x:v>7490.21</x:v>
      </x:c>
      <x:c r="G191" s="23" t="n">
        <x:v>7517.77</x:v>
      </x:c>
      <x:c r="H191" s="28" t="n">
        <x:v>-428.2</x:v>
      </x:c>
      <x:c r="I191" s="24" t="n">
        <x:v>-0.0538877618311695</x:v>
      </x:c>
      <x:c r="J191" s="26" t="n">
        <x:f>ROUND(E191-F191,1)</x:f>
        <x:v>331</x:v>
      </x:c>
      <x:c r="K191" s="22" t="str">
        <x:v>中证1000</x:v>
      </x:c>
    </x:row>
    <x:row r="192">
      <x:c r="A192" s="22" t="n">
        <x:v>14</x:v>
      </x:c>
      <x:c r="B192" s="22" t="str">
        <x:v>周四</x:v>
      </x:c>
      <x:c r="C192" s="22" t="str">
        <x:v>8月20日</x:v>
      </x:c>
      <x:c r="D192" s="23" t="n">
        <x:v>7602.5</x:v>
      </x:c>
      <x:c r="E192" s="23" t="n">
        <x:v>7656.61</x:v>
      </x:c>
      <x:c r="F192" s="23" t="n">
        <x:v>7541.48</x:v>
      </x:c>
      <x:c r="G192" s="23" t="n">
        <x:v>7589.78</x:v>
      </x:c>
      <x:c r="H192" s="23" t="n">
        <x:v>72</x:v>
      </x:c>
      <x:c r="I192" s="24" t="n">
        <x:v>0.009578638346211532</x:v>
      </x:c>
      <x:c r="J192" s="23" t="n">
        <x:f>ROUND(E192-F192,1)</x:f>
        <x:v>115.1</x:v>
      </x:c>
      <x:c r="K192" s="22" t="str">
        <x:v>中证1000</x:v>
      </x:c>
    </x:row>
    <x:row r="193">
      <x:c r="A193" s="41" t="n">
        <x:v>15</x:v>
      </x:c>
      <x:c r="B193" s="41" t="str">
        <x:v>周五</x:v>
      </x:c>
      <x:c r="C193" s="41" t="str">
        <x:v>8月21日</x:v>
      </x:c>
      <x:c r="D193" s="42" t="n">
        <x:v>7555.55</x:v>
      </x:c>
      <x:c r="E193" s="42" t="n">
        <x:v>7634.08</x:v>
      </x:c>
      <x:c r="F193" s="42" t="n">
        <x:v>7472.49</x:v>
      </x:c>
      <x:c r="G193" s="42" t="n">
        <x:v>7601.8</x:v>
      </x:c>
      <x:c r="H193" s="42" t="n">
        <x:v>12</x:v>
      </x:c>
      <x:c r="I193" s="43" t="n">
        <x:v>0.0015837086186951677</x:v>
      </x:c>
      <x:c r="J193" s="42" t="n">
        <x:f>ROUND(E193-F193,1)</x:f>
        <x:v>161.6</x:v>
      </x:c>
      <x:c r="K193" s="41" t="str">
        <x:v>中证1000</x:v>
      </x:c>
    </x:row>
    <x:row r="194">
      <x:c r="A194" s="22" t="n">
        <x:v>16</x:v>
      </x:c>
      <x:c r="B194" s="22" t="str">
        <x:v>周一</x:v>
      </x:c>
      <x:c r="C194" s="22" t="str">
        <x:v>8月24日</x:v>
      </x:c>
      <x:c r="D194" s="23" t="n">
        <x:v>7614.89</x:v>
      </x:c>
      <x:c r="E194" s="23" t="n">
        <x:v>7633.34</x:v>
      </x:c>
      <x:c r="F194" s="23" t="n">
        <x:v>7377.72</x:v>
      </x:c>
      <x:c r="G194" s="23" t="n">
        <x:v>7491.49</x:v>
      </x:c>
      <x:c r="H194" s="23" t="n">
        <x:v>-110.3</x:v>
      </x:c>
      <x:c r="I194" s="24" t="n">
        <x:v>-0.014511036859691129</x:v>
      </x:c>
      <x:c r="J194" s="26" t="n">
        <x:f>ROUND(E194-F194,1)</x:f>
        <x:v>255.6</x:v>
      </x:c>
      <x:c r="K194" s="22" t="str">
        <x:v>中证1000</x:v>
      </x:c>
    </x:row>
    <x:row r="195">
      <x:c r="A195" s="22" t="n">
        <x:v>17</x:v>
      </x:c>
      <x:c r="B195" s="22" t="str">
        <x:v>周二</x:v>
      </x:c>
      <x:c r="C195" s="22" t="str">
        <x:v>8月25日</x:v>
      </x:c>
      <x:c r="D195" s="23" t="n">
        <x:v>7420.77</x:v>
      </x:c>
      <x:c r="E195" s="23" t="n">
        <x:v>7556.07</x:v>
      </x:c>
      <x:c r="F195" s="23" t="n">
        <x:v>7347.95</x:v>
      </x:c>
      <x:c r="G195" s="23" t="n">
        <x:v>7527.5</x:v>
      </x:c>
      <x:c r="H195" s="23" t="n">
        <x:v>36</x:v>
      </x:c>
      <x:c r="I195" s="24" t="n">
        <x:v>0.004806787434809445</x:v>
      </x:c>
      <x:c r="J195" s="26" t="n">
        <x:f>ROUND(E195-F195,1)</x:f>
        <x:v>208.1</x:v>
      </x:c>
      <x:c r="K195" s="22" t="str">
        <x:v>中证1000</x:v>
      </x:c>
    </x:row>
    <x:row r="196">
      <x:c r="A196" s="22" t="n">
        <x:v>18</x:v>
      </x:c>
      <x:c r="B196" s="22" t="str">
        <x:v>周三</x:v>
      </x:c>
      <x:c r="C196" s="22" t="str">
        <x:v>8月26日</x:v>
      </x:c>
      <x:c r="D196" s="23" t="n">
        <x:v>7536.37</x:v>
      </x:c>
      <x:c r="E196" s="23" t="n">
        <x:v>7601.84</x:v>
      </x:c>
      <x:c r="F196" s="23" t="n">
        <x:v>7467.41</x:v>
      </x:c>
      <x:c r="G196" s="23" t="n">
        <x:v>7544.67</x:v>
      </x:c>
      <x:c r="H196" s="23" t="n">
        <x:v>17.2</x:v>
      </x:c>
      <x:c r="I196" s="24" t="n">
        <x:v>0.0022809697774826</x:v>
      </x:c>
      <x:c r="J196" s="23" t="n">
        <x:f>ROUND(E196-F196,1)</x:f>
        <x:v>134.4</x:v>
      </x:c>
      <x:c r="K196" s="22" t="str">
        <x:v>中证1000</x:v>
      </x:c>
    </x:row>
    <x:row r="197">
      <x:c r="A197" s="22" t="n">
        <x:v>19</x:v>
      </x:c>
      <x:c r="B197" s="22" t="str">
        <x:v>周四</x:v>
      </x:c>
      <x:c r="C197" s="22" t="str">
        <x:v>8月27日</x:v>
      </x:c>
      <x:c r="D197" s="23" t="n">
        <x:v>7551.44</x:v>
      </x:c>
      <x:c r="E197" s="23" t="n">
        <x:v>7734.31</x:v>
      </x:c>
      <x:c r="F197" s="23" t="n">
        <x:v>7531.78</x:v>
      </x:c>
      <x:c r="G197" s="23" t="n">
        <x:v>7732.95</x:v>
      </x:c>
      <x:c r="H197" s="28" t="n">
        <x:v>188.3</x:v>
      </x:c>
      <x:c r="I197" s="24" t="n">
        <x:v>0.024955365841050625</x:v>
      </x:c>
      <x:c r="J197" s="26" t="n">
        <x:f>ROUND(E197-F197,1)</x:f>
        <x:v>202.5</x:v>
      </x:c>
      <x:c r="K197" s="22" t="str">
        <x:v>中证1000</x:v>
      </x:c>
    </x:row>
    <x:row r="198">
      <x:c r="A198" s="22" t="n">
        <x:v>20</x:v>
      </x:c>
      <x:c r="B198" s="22" t="str">
        <x:v>周五</x:v>
      </x:c>
      <x:c r="C198" s="22" t="str">
        <x:v>8月28日</x:v>
      </x:c>
      <x:c r="D198" s="23" t="n">
        <x:v>7734.19</x:v>
      </x:c>
      <x:c r="E198" s="23" t="n">
        <x:v>7802.55</x:v>
      </x:c>
      <x:c r="F198" s="23" t="n">
        <x:v>7702.18</x:v>
      </x:c>
      <x:c r="G198" s="23" t="n">
        <x:v>7705.03</x:v>
      </x:c>
      <x:c r="H198" s="23" t="n">
        <x:v>-27.9</x:v>
      </x:c>
      <x:c r="I198" s="24" t="n">
        <x:v>-0.0036105237975158078</x:v>
      </x:c>
      <x:c r="J198" s="23" t="n">
        <x:f>ROUND(E198-F198,1)</x:f>
        <x:v>100.4</x:v>
      </x:c>
      <x:c r="K198" s="22" t="str">
        <x:v>中证1000</x:v>
      </x:c>
    </x:row>
    <x:row r="199">
      <x:c r="A199" s="22" t="n">
        <x:v>21</x:v>
      </x:c>
      <x:c r="B199" s="22" t="str">
        <x:v>周一</x:v>
      </x:c>
      <x:c r="C199" s="22" t="str">
        <x:v>8月31日</x:v>
      </x:c>
      <x:c r="D199" s="23" t="n">
        <x:v>7607.23</x:v>
      </x:c>
      <x:c r="E199" s="23" t="n">
        <x:v>7771.55</x:v>
      </x:c>
      <x:c r="F199" s="23" t="n">
        <x:v>7604.95</x:v>
      </x:c>
      <x:c r="G199" s="23" t="n">
        <x:v>7770.42</x:v>
      </x:c>
      <x:c r="H199" s="23" t="n">
        <x:v>65.4</x:v>
      </x:c>
      <x:c r="I199" s="24" t="n">
        <x:v>0.00848666390656505</x:v>
      </x:c>
      <x:c r="J199" s="23" t="n">
        <x:f>ROUND(E199-F199,1)</x:f>
        <x:v>166.6</x:v>
      </x:c>
      <x:c r="K199" s="22" t="str">
        <x:v>中证1000</x:v>
      </x:c>
    </x:row>
    <x:row r="200">
      <x:c r="A200" s="31" t="str">
        <x:v>合计</x:v>
      </x:c>
      <x:c r="B200" s="30" t="n">
        <x:v>21</x:v>
      </x:c>
      <x:c r="C200" s="30"/>
      <x:c r="D200" s="30"/>
      <x:c r="E200" s="30"/>
      <x:c r="F200" s="30"/>
      <x:c r="G200" s="30"/>
      <x:c r="H200" s="30"/>
      <x:c r="I200" s="30"/>
      <x:c r="J200" s="32" t="n">
        <x:f>ROUND(SUM(J179:J199),1)</x:f>
        <x:v>3614.9</x:v>
      </x:c>
      <x:c r="K200" s="30"/>
    </x:row>
    <x:row r="201">
      <x:c r="A201" s="31" t="str">
        <x:v>均值</x:v>
      </x:c>
      <x:c r="B201" s="30"/>
      <x:c r="C201" s="30"/>
      <x:c r="D201" s="30"/>
      <x:c r="E201" s="30"/>
      <x:c r="F201" s="30"/>
      <x:c r="G201" s="30"/>
      <x:c r="H201" s="30"/>
      <x:c r="I201" s="30"/>
      <x:c r="J201" s="34" t="n">
        <x:f>ROUND(IFERROR(AVERAGE(J179:J199),0),1)</x:f>
        <x:v>172.1</x:v>
      </x:c>
      <x:c r="K201" s="30"/>
    </x:row>
    <x:row r="203">
      <x:c r="A203" s="17" t="str">
        <x:v>9月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>
      <x:c r="A204" s="20" t="str">
        <x:v>序号</x:v>
      </x:c>
      <x:c r="B204" s="20" t="str">
        <x:v>星期</x:v>
      </x:c>
      <x:c r="C204" s="20" t="str">
        <x:v>日期</x:v>
      </x:c>
      <x:c r="D204" s="20" t="str">
        <x:v>开盘</x:v>
      </x:c>
      <x:c r="E204" s="20" t="str">
        <x:v>高点</x:v>
      </x:c>
      <x:c r="F204" s="20" t="str">
        <x:v>低点</x:v>
      </x:c>
      <x:c r="G204" s="20" t="str">
        <x:v>收盘</x:v>
      </x:c>
      <x:c r="H204" s="20" t="str">
        <x:v>涨跌点数</x:v>
      </x:c>
      <x:c r="I204" s="20" t="str">
        <x:v>涨幅</x:v>
      </x:c>
      <x:c r="J204" s="20" t="str">
        <x:v>振幅</x:v>
      </x:c>
      <x:c r="K204" s="20" t="str">
        <x:v>标的</x:v>
      </x:c>
    </x:row>
    <x:row r="205">
      <x:c r="A205" s="22" t="n">
        <x:v>1</x:v>
      </x:c>
      <x:c r="B205" s="22" t="str">
        <x:v>周二</x:v>
      </x:c>
      <x:c r="C205" s="22" t="str">
        <x:v>9月1日</x:v>
      </x:c>
      <x:c r="D205" s="23" t="n">
        <x:v>7773.06</x:v>
      </x:c>
      <x:c r="E205" s="23" t="n">
        <x:v>7773.06</x:v>
      </x:c>
      <x:c r="F205" s="23" t="n">
        <x:v>7667.33</x:v>
      </x:c>
      <x:c r="G205" s="23" t="n">
        <x:v>7691.37</x:v>
      </x:c>
      <x:c r="H205" s="23" t="n">
        <x:v>-79.1</x:v>
      </x:c>
      <x:c r="I205" s="24" t="n">
        <x:v>-0.010173195271298119</x:v>
      </x:c>
      <x:c r="J205" s="23" t="n">
        <x:f>ROUND(E205-F205,1)</x:f>
        <x:v>105.7</x:v>
      </x:c>
      <x:c r="K205" s="22" t="str">
        <x:v>中证1000</x:v>
      </x:c>
    </x:row>
    <x:row r="206">
      <x:c r="A206" s="22" t="n">
        <x:v>2</x:v>
      </x:c>
      <x:c r="B206" s="22" t="str">
        <x:v>周三</x:v>
      </x:c>
      <x:c r="C206" s="22" t="str">
        <x:v>9月2日</x:v>
      </x:c>
      <x:c r="D206" s="23" t="n">
        <x:v>7616.23</x:v>
      </x:c>
      <x:c r="E206" s="23" t="n">
        <x:v>7624.71</x:v>
      </x:c>
      <x:c r="F206" s="23" t="n">
        <x:v>7539.08</x:v>
      </x:c>
      <x:c r="G206" s="23" t="n">
        <x:v>7583.76</x:v>
      </x:c>
      <x:c r="H206" s="23" t="n">
        <x:v>-107.6</x:v>
      </x:c>
      <x:c r="I206" s="24" t="n">
        <x:v>-0.013991005503570797</x:v>
      </x:c>
      <x:c r="J206" s="23" t="n">
        <x:f>ROUND(E206-F206,1)</x:f>
        <x:v>85.6</x:v>
      </x:c>
      <x:c r="K206" s="22" t="str">
        <x:v>中证1000</x:v>
      </x:c>
    </x:row>
    <x:row r="207">
      <x:c r="A207" s="22" t="n">
        <x:v>3</x:v>
      </x:c>
      <x:c r="B207" s="22" t="str">
        <x:v>周四</x:v>
      </x:c>
      <x:c r="C207" s="22" t="str">
        <x:v>9月3日</x:v>
      </x:c>
      <x:c r="D207" s="23" t="n">
        <x:v>7629.65</x:v>
      </x:c>
      <x:c r="E207" s="23" t="n">
        <x:v>7657.75</x:v>
      </x:c>
      <x:c r="F207" s="23" t="n">
        <x:v>7531.67</x:v>
      </x:c>
      <x:c r="G207" s="23" t="n">
        <x:v>7600.1</x:v>
      </x:c>
      <x:c r="H207" s="23" t="n">
        <x:v>16.3</x:v>
      </x:c>
      <x:c r="I207" s="24" t="n">
        <x:v>0.0021546040486513096</x:v>
      </x:c>
      <x:c r="J207" s="23" t="n">
        <x:f>ROUND(E207-F207,1)</x:f>
        <x:v>126.1</x:v>
      </x:c>
      <x:c r="K207" s="22" t="str">
        <x:v>中证1000</x:v>
      </x:c>
    </x:row>
    <x:row r="208">
      <x:c r="A208" s="22" t="n">
        <x:v>4</x:v>
      </x:c>
      <x:c r="B208" s="22" t="str">
        <x:v>周五</x:v>
      </x:c>
      <x:c r="C208" s="22" t="str">
        <x:v>9月4日</x:v>
      </x:c>
      <x:c r="D208" s="23" t="n">
        <x:v>7655.97</x:v>
      </x:c>
      <x:c r="E208" s="23" t="n">
        <x:v>7717.93</x:v>
      </x:c>
      <x:c r="F208" s="23" t="n">
        <x:v>7464.98</x:v>
      </x:c>
      <x:c r="G208" s="23" t="n">
        <x:v>7508.09</x:v>
      </x:c>
      <x:c r="H208" s="23" t="n">
        <x:v>-92</x:v>
      </x:c>
      <x:c r="I208" s="24" t="n">
        <x:v>-0.012106419652373024</x:v>
      </x:c>
      <x:c r="J208" s="26" t="n">
        <x:f>ROUND(E208-F208,1)</x:f>
        <x:v>253</x:v>
      </x:c>
      <x:c r="K208" s="22" t="str">
        <x:v>中证1000</x:v>
      </x:c>
    </x:row>
    <x:row r="209">
      <x:c r="A209" s="22" t="n">
        <x:v>5</x:v>
      </x:c>
      <x:c r="B209" s="22" t="str">
        <x:v>周一</x:v>
      </x:c>
      <x:c r="C209" s="22" t="str">
        <x:v>9月7日</x:v>
      </x:c>
      <x:c r="D209" s="23" t="n">
        <x:v>7551.02</x:v>
      </x:c>
      <x:c r="E209" s="23" t="n">
        <x:v>7669.84</x:v>
      </x:c>
      <x:c r="F209" s="23" t="n">
        <x:v>7541.14</x:v>
      </x:c>
      <x:c r="G209" s="23" t="n">
        <x:v>7639.36</x:v>
      </x:c>
      <x:c r="H209" s="23" t="n">
        <x:v>131.3</x:v>
      </x:c>
      <x:c r="I209" s="24" t="n">
        <x:v>0.017483807466346146</x:v>
      </x:c>
      <x:c r="J209" s="23" t="n">
        <x:f>ROUND(E209-F209,1)</x:f>
        <x:v>128.7</x:v>
      </x:c>
      <x:c r="K209" s="22" t="str">
        <x:v>中证1000</x:v>
      </x:c>
    </x:row>
    <x:row r="210">
      <x:c r="A210" s="22" t="n">
        <x:v>6</x:v>
      </x:c>
      <x:c r="B210" s="22" t="str">
        <x:v>周二</x:v>
      </x:c>
      <x:c r="C210" s="22" t="str">
        <x:v>9月8日</x:v>
      </x:c>
      <x:c r="D210" s="23" t="n">
        <x:v>7650.06</x:v>
      </x:c>
      <x:c r="E210" s="23" t="n">
        <x:v>7724.94</x:v>
      </x:c>
      <x:c r="F210" s="23" t="n">
        <x:v>7622.9</x:v>
      </x:c>
      <x:c r="G210" s="23" t="n">
        <x:v>7659.61</x:v>
      </x:c>
      <x:c r="H210" s="23" t="n">
        <x:v>20.3</x:v>
      </x:c>
      <x:c r="I210" s="24" t="n">
        <x:v>0.0026507456121978024</x:v>
      </x:c>
      <x:c r="J210" s="23" t="n">
        <x:f>ROUND(E210-F210,1)</x:f>
        <x:v>102</x:v>
      </x:c>
      <x:c r="K210" s="22" t="str">
        <x:v>中证1000</x:v>
      </x:c>
    </x:row>
    <x:row r="211">
      <x:c r="A211" s="22" t="n">
        <x:v>7</x:v>
      </x:c>
      <x:c r="B211" s="22" t="str">
        <x:v>周三</x:v>
      </x:c>
      <x:c r="C211" s="22" t="str">
        <x:v>9月9日</x:v>
      </x:c>
      <x:c r="D211" s="23" t="n">
        <x:v>7676.86</x:v>
      </x:c>
      <x:c r="E211" s="23" t="n">
        <x:v>7715.08</x:v>
      </x:c>
      <x:c r="F211" s="23" t="n">
        <x:v>7602.5</x:v>
      </x:c>
      <x:c r="G211" s="23" t="n">
        <x:v>7648.8</x:v>
      </x:c>
      <x:c r="H211" s="23" t="n">
        <x:v>-10.8</x:v>
      </x:c>
      <x:c r="I211" s="24" t="n">
        <x:v>-0.0014112990086961874</x:v>
      </x:c>
      <x:c r="J211" s="23" t="n">
        <x:f>ROUND(E211-F211,1)</x:f>
        <x:v>112.6</x:v>
      </x:c>
      <x:c r="K211" s="22" t="str">
        <x:v>中证1000</x:v>
      </x:c>
    </x:row>
    <x:row r="212">
      <x:c r="A212" s="22" t="n">
        <x:v>8</x:v>
      </x:c>
      <x:c r="B212" s="22" t="str">
        <x:v>周四</x:v>
      </x:c>
      <x:c r="C212" s="22" t="str">
        <x:v>9月10日</x:v>
      </x:c>
      <x:c r="D212" s="23" t="n">
        <x:v>7611.52</x:v>
      </x:c>
      <x:c r="E212" s="23" t="n">
        <x:v>7641.86</x:v>
      </x:c>
      <x:c r="F212" s="23" t="n">
        <x:v>7564.67</x:v>
      </x:c>
      <x:c r="G212" s="23" t="n">
        <x:v>7587.75</x:v>
      </x:c>
      <x:c r="H212" s="23" t="n">
        <x:v>-61.1</x:v>
      </x:c>
      <x:c r="I212" s="24" t="n">
        <x:v>-0.007981644179479108</x:v>
      </x:c>
      <x:c r="J212" s="23" t="n">
        <x:f>ROUND(E212-F212,1)</x:f>
        <x:v>77.2</x:v>
      </x:c>
      <x:c r="K212" s="22" t="str">
        <x:v>中证1000</x:v>
      </x:c>
    </x:row>
    <x:row r="213">
      <x:c r="A213" s="22" t="n">
        <x:v>9</x:v>
      </x:c>
      <x:c r="B213" s="22" t="str">
        <x:v>周五</x:v>
      </x:c>
      <x:c r="C213" s="22" t="str">
        <x:v>9月11日</x:v>
      </x:c>
      <x:c r="D213" s="23" t="n">
        <x:v>7504.66</x:v>
      </x:c>
      <x:c r="E213" s="23" t="n">
        <x:v>7506.24</x:v>
      </x:c>
      <x:c r="F213" s="23" t="n">
        <x:v>7284.53</x:v>
      </x:c>
      <x:c r="G213" s="23" t="n">
        <x:v>7427.24</x:v>
      </x:c>
      <x:c r="H213" s="28" t="n">
        <x:v>-160.5</x:v>
      </x:c>
      <x:c r="I213" s="24" t="n">
        <x:v>-0.021153833481598605</x:v>
      </x:c>
      <x:c r="J213" s="26" t="n">
        <x:f>ROUND(E213-F213,1)</x:f>
        <x:v>221.7</x:v>
      </x:c>
      <x:c r="K213" s="22" t="str">
        <x:v>中证1000</x:v>
      </x:c>
    </x:row>
    <x:row r="214">
      <x:c r="A214" s="22" t="n">
        <x:v>10</x:v>
      </x:c>
      <x:c r="B214" s="22" t="str">
        <x:v>周一</x:v>
      </x:c>
      <x:c r="C214" s="22" t="str">
        <x:v>9月14日</x:v>
      </x:c>
      <x:c r="D214" s="23" t="n">
        <x:v>7363.42</x:v>
      </x:c>
      <x:c r="E214" s="23" t="n">
        <x:v>7501.14</x:v>
      </x:c>
      <x:c r="F214" s="23" t="n">
        <x:v>7329.6</x:v>
      </x:c>
      <x:c r="G214" s="23" t="n">
        <x:v>7468.3</x:v>
      </x:c>
      <x:c r="H214" s="23" t="n">
        <x:v>41.1</x:v>
      </x:c>
      <x:c r="I214" s="24" t="n">
        <x:v>0.005528298533506337</x:v>
      </x:c>
      <x:c r="J214" s="23" t="n">
        <x:f>ROUND(E214-F214,1)</x:f>
        <x:v>171.5</x:v>
      </x:c>
      <x:c r="K214" s="22" t="str">
        <x:v>中证1000</x:v>
      </x:c>
    </x:row>
    <x:row r="215">
      <x:c r="A215" s="22" t="n">
        <x:v>11</x:v>
      </x:c>
      <x:c r="B215" s="22" t="str">
        <x:v>周二</x:v>
      </x:c>
      <x:c r="C215" s="22" t="str">
        <x:v>9月15日</x:v>
      </x:c>
      <x:c r="D215" s="23" t="n">
        <x:v>7453.47</x:v>
      </x:c>
      <x:c r="E215" s="23" t="n">
        <x:v>7524.61</x:v>
      </x:c>
      <x:c r="F215" s="23" t="n">
        <x:v>7426.9</x:v>
      </x:c>
      <x:c r="G215" s="23" t="n">
        <x:v>7437.7</x:v>
      </x:c>
      <x:c r="H215" s="23" t="n">
        <x:v>-30.6</x:v>
      </x:c>
      <x:c r="I215" s="24" t="n">
        <x:v>-0.004097317997402428</x:v>
      </x:c>
      <x:c r="J215" s="23" t="n">
        <x:f>ROUND(E215-F215,1)</x:f>
        <x:v>97.7</x:v>
      </x:c>
      <x:c r="K215" s="22" t="str">
        <x:v>中证1000</x:v>
      </x:c>
    </x:row>
    <x:row r="216">
      <x:c r="A216" s="22" t="n">
        <x:v>12</x:v>
      </x:c>
      <x:c r="B216" s="22" t="str">
        <x:v>周三</x:v>
      </x:c>
      <x:c r="C216" s="22" t="str">
        <x:v>9月16日</x:v>
      </x:c>
      <x:c r="D216" s="23" t="n">
        <x:v>7437.82</x:v>
      </x:c>
      <x:c r="E216" s="23" t="n">
        <x:v>7607.89</x:v>
      </x:c>
      <x:c r="F216" s="23" t="n">
        <x:v>7402.37</x:v>
      </x:c>
      <x:c r="G216" s="23" t="n">
        <x:v>7587.43</x:v>
      </x:c>
      <x:c r="H216" s="23" t="n">
        <x:v>149.7</x:v>
      </x:c>
      <x:c r="I216" s="24" t="n">
        <x:v>0.020131223362060968</x:v>
      </x:c>
      <x:c r="J216" s="26" t="n">
        <x:f>ROUND(E216-F216,1)</x:f>
        <x:v>205.5</x:v>
      </x:c>
      <x:c r="K216" s="22" t="str">
        <x:v>中证1000</x:v>
      </x:c>
    </x:row>
    <x:row r="217">
      <x:c r="A217" s="22" t="n">
        <x:v>13</x:v>
      </x:c>
      <x:c r="B217" s="22" t="str">
        <x:v>周四</x:v>
      </x:c>
      <x:c r="C217" s="22" t="str">
        <x:v>9月17日</x:v>
      </x:c>
      <x:c r="D217" s="23" t="n">
        <x:v>7555.79</x:v>
      </x:c>
      <x:c r="E217" s="23" t="n">
        <x:v>7632.53</x:v>
      </x:c>
      <x:c r="F217" s="23" t="n">
        <x:v>7522.77</x:v>
      </x:c>
      <x:c r="G217" s="23" t="n">
        <x:v>7548.82</x:v>
      </x:c>
      <x:c r="H217" s="23" t="n">
        <x:v>-38.6</x:v>
      </x:c>
      <x:c r="I217" s="24" t="n">
        <x:v>-0.005088679566071841</x:v>
      </x:c>
      <x:c r="J217" s="23" t="n">
        <x:f>ROUND(E217-F217,1)</x:f>
        <x:v>109.8</x:v>
      </x:c>
      <x:c r="K217" s="22" t="str">
        <x:v>中证1000</x:v>
      </x:c>
    </x:row>
    <x:row r="218">
      <x:c r="A218" s="41" t="n">
        <x:v>14</x:v>
      </x:c>
      <x:c r="B218" s="41" t="str">
        <x:v>周五</x:v>
      </x:c>
      <x:c r="C218" s="41" t="str">
        <x:v>9月18日</x:v>
      </x:c>
      <x:c r="D218" s="42" t="n">
        <x:v>7621.24</x:v>
      </x:c>
      <x:c r="E218" s="42" t="n">
        <x:v>7706.9</x:v>
      </x:c>
      <x:c r="F218" s="42" t="n">
        <x:v>7603.37</x:v>
      </x:c>
      <x:c r="G218" s="42" t="n">
        <x:v>7687.59</x:v>
      </x:c>
      <x:c r="H218" s="42" t="n">
        <x:v>138.8</x:v>
      </x:c>
      <x:c r="I218" s="43" t="n">
        <x:v>0.018383005555835386</x:v>
      </x:c>
      <x:c r="J218" s="42" t="n">
        <x:f>ROUND(E218-F218,1)</x:f>
        <x:v>103.5</x:v>
      </x:c>
      <x:c r="K218" s="41" t="str">
        <x:v>中证1000</x:v>
      </x:c>
    </x:row>
    <x:row r="219">
      <x:c r="A219" s="22" t="n">
        <x:v>15</x:v>
      </x:c>
      <x:c r="B219" s="22" t="str">
        <x:v>周一</x:v>
      </x:c>
      <x:c r="C219" s="22" t="str">
        <x:v>9月21日</x:v>
      </x:c>
      <x:c r="D219" s="23" t="n">
        <x:v>7723.68</x:v>
      </x:c>
      <x:c r="E219" s="23" t="n">
        <x:v>7777.91</x:v>
      </x:c>
      <x:c r="F219" s="23" t="n">
        <x:v>7723.68</x:v>
      </x:c>
      <x:c r="G219" s="23" t="n">
        <x:v>7766.33</x:v>
      </x:c>
      <x:c r="H219" s="23" t="n">
        <x:v>78.7</x:v>
      </x:c>
      <x:c r="I219" s="24" t="n">
        <x:v>0.01024248171403519</x:v>
      </x:c>
      <x:c r="J219" s="23" t="n">
        <x:f>ROUND(E219-F219,1)</x:f>
        <x:v>54.2</x:v>
      </x:c>
      <x:c r="K219" s="22" t="str">
        <x:v>中证1000</x:v>
      </x:c>
    </x:row>
    <x:row r="220">
      <x:c r="A220" s="22" t="n">
        <x:v>16</x:v>
      </x:c>
      <x:c r="B220" s="22" t="str">
        <x:v>周二</x:v>
      </x:c>
      <x:c r="C220" s="22" t="str">
        <x:v>9月22日</x:v>
      </x:c>
      <x:c r="D220" s="23" t="n">
        <x:v>7819.62</x:v>
      </x:c>
      <x:c r="E220" s="23" t="n">
        <x:v>7852.23</x:v>
      </x:c>
      <x:c r="F220" s="23" t="n">
        <x:v>7734.35</x:v>
      </x:c>
      <x:c r="G220" s="23" t="n">
        <x:v>7759.03</x:v>
      </x:c>
      <x:c r="H220" s="23" t="n">
        <x:v>-7.3</x:v>
      </x:c>
      <x:c r="I220" s="24" t="n">
        <x:v>-0.0009399549079166514</x:v>
      </x:c>
      <x:c r="J220" s="23" t="n">
        <x:f>ROUND(E220-F220,1)</x:f>
        <x:v>117.9</x:v>
      </x:c>
      <x:c r="K220" s="22" t="str">
        <x:v>中证1000</x:v>
      </x:c>
    </x:row>
    <x:row r="221">
      <x:c r="A221" s="22" t="n">
        <x:v>17</x:v>
      </x:c>
      <x:c r="B221" s="22" t="str">
        <x:v>周三</x:v>
      </x:c>
      <x:c r="C221" s="22" t="str">
        <x:v>9月23日</x:v>
      </x:c>
      <x:c r="D221" s="23" t="n">
        <x:v>7762.68</x:v>
      </x:c>
      <x:c r="E221" s="23" t="n">
        <x:v>7769.96</x:v>
      </x:c>
      <x:c r="F221" s="23" t="n">
        <x:v>7730.37</x:v>
      </x:c>
      <x:c r="G221" s="23" t="n">
        <x:v>7745.56</x:v>
      </x:c>
      <x:c r="H221" s="23" t="n">
        <x:v>-13.5</x:v>
      </x:c>
      <x:c r="I221" s="24" t="n">
        <x:v>-0.0017360417474864276</x:v>
      </x:c>
      <x:c r="J221" s="23" t="n">
        <x:f>ROUND(E221-F221,1)</x:f>
        <x:v>39.6</x:v>
      </x:c>
      <x:c r="K221" s="22" t="str">
        <x:v>中证1000</x:v>
      </x:c>
    </x:row>
    <x:row r="222">
      <x:c r="A222" s="22" t="n">
        <x:v>18</x:v>
      </x:c>
      <x:c r="B222" s="22" t="str">
        <x:v>周四</x:v>
      </x:c>
      <x:c r="C222" s="22" t="str">
        <x:v>9月24日</x:v>
      </x:c>
      <x:c r="D222" s="23" t="n">
        <x:v>7707.87</x:v>
      </x:c>
      <x:c r="E222" s="23" t="n">
        <x:v>7725.52</x:v>
      </x:c>
      <x:c r="F222" s="23" t="n">
        <x:v>7569.51</x:v>
      </x:c>
      <x:c r="G222" s="23" t="n">
        <x:v>7570.14</x:v>
      </x:c>
      <x:c r="H222" s="28" t="n">
        <x:v>-175.4</x:v>
      </x:c>
      <x:c r="I222" s="24" t="n">
        <x:v>-0.022647813715212295</x:v>
      </x:c>
      <x:c r="J222" s="23" t="n">
        <x:f>ROUND(E222-F222,1)</x:f>
        <x:v>156</x:v>
      </x:c>
      <x:c r="K222" s="22" t="str">
        <x:v>中证1000</x:v>
      </x:c>
    </x:row>
    <x:row r="223">
      <x:c r="A223" s="22" t="n">
        <x:v>19</x:v>
      </x:c>
      <x:c r="B223" s="22" t="str">
        <x:v>周一</x:v>
      </x:c>
      <x:c r="C223" s="22" t="str">
        <x:v>9月28日</x:v>
      </x:c>
      <x:c r="D223" s="23" t="n">
        <x:v>7551.22</x:v>
      </x:c>
      <x:c r="E223" s="23" t="n">
        <x:v>7551.22</x:v>
      </x:c>
      <x:c r="F223" s="23" t="n">
        <x:v>7246.61</x:v>
      </x:c>
      <x:c r="G223" s="23" t="n">
        <x:v>7294.17</x:v>
      </x:c>
      <x:c r="H223" s="28" t="n">
        <x:v>-276</x:v>
      </x:c>
      <x:c r="I223" s="24" t="n">
        <x:v>-0.0364550721651119</x:v>
      </x:c>
      <x:c r="J223" s="26" t="n">
        <x:f>ROUND(E223-F223,1)</x:f>
        <x:v>304.6</x:v>
      </x:c>
      <x:c r="K223" s="22" t="str">
        <x:v>中证1000</x:v>
      </x:c>
    </x:row>
    <x:row r="224">
      <x:c r="A224" s="22" t="n">
        <x:v>20</x:v>
      </x:c>
      <x:c r="B224" s="22" t="str">
        <x:v>周二</x:v>
      </x:c>
      <x:c r="C224" s="22" t="str">
        <x:v>9月29日</x:v>
      </x:c>
      <x:c r="D224" s="23" t="n">
        <x:v>7265.51</x:v>
      </x:c>
      <x:c r="E224" s="23" t="n">
        <x:v>7357.03</x:v>
      </x:c>
      <x:c r="F224" s="23" t="n">
        <x:v>7256.25</x:v>
      </x:c>
      <x:c r="G224" s="23" t="n">
        <x:v>7325.35</x:v>
      </x:c>
      <x:c r="H224" s="23" t="n">
        <x:v>31.2</x:v>
      </x:c>
      <x:c r="I224" s="24" t="n">
        <x:v>0.004274646738422705</x:v>
      </x:c>
      <x:c r="J224" s="23" t="n">
        <x:f>ROUND(E224-F224,1)</x:f>
        <x:v>100.8</x:v>
      </x:c>
      <x:c r="K224" s="22" t="str">
        <x:v>中证1000</x:v>
      </x:c>
    </x:row>
    <x:row r="225">
      <x:c r="A225" s="22" t="n">
        <x:v>21</x:v>
      </x:c>
      <x:c r="B225" s="22" t="str">
        <x:v>周三</x:v>
      </x:c>
      <x:c r="C225" s="22" t="str">
        <x:v>9月30日</x:v>
      </x:c>
      <x:c r="D225" s="23" t="n">
        <x:v>7361.14</x:v>
      </x:c>
      <x:c r="E225" s="23" t="n">
        <x:v>7375.44</x:v>
      </x:c>
      <x:c r="F225" s="23" t="n">
        <x:v>7288.98</x:v>
      </x:c>
      <x:c r="G225" s="23" t="n">
        <x:v>7298.82</x:v>
      </x:c>
      <x:c r="H225" s="23" t="n">
        <x:v>-26.5</x:v>
      </x:c>
      <x:c r="I225" s="24" t="n">
        <x:v>-0.0036216699543367703</x:v>
      </x:c>
      <x:c r="J225" s="23" t="n">
        <x:f>ROUND(E225-F225,1)</x:f>
        <x:v>86.5</x:v>
      </x:c>
      <x:c r="K225" s="22" t="str">
        <x:v>中证1000</x:v>
      </x:c>
    </x:row>
    <x:row r="226">
      <x:c r="A226" s="31" t="str">
        <x:v>合计</x:v>
      </x:c>
      <x:c r="B226" s="30" t="n">
        <x:v>21</x:v>
      </x:c>
      <x:c r="C226" s="30"/>
      <x:c r="D226" s="30"/>
      <x:c r="E226" s="30"/>
      <x:c r="F226" s="30"/>
      <x:c r="G226" s="30"/>
      <x:c r="H226" s="30"/>
      <x:c r="I226" s="30"/>
      <x:c r="J226" s="32" t="n">
        <x:f>ROUND(SUM(J205:J225),1)</x:f>
        <x:v>2760.2</x:v>
      </x:c>
      <x:c r="K226" s="30"/>
    </x:row>
    <x:row r="227">
      <x:c r="A227" s="31" t="str">
        <x:v>均值</x:v>
      </x:c>
      <x:c r="B227" s="30"/>
      <x:c r="C227" s="30"/>
      <x:c r="D227" s="30"/>
      <x:c r="E227" s="30"/>
      <x:c r="F227" s="30"/>
      <x:c r="G227" s="30"/>
      <x:c r="H227" s="30"/>
      <x:c r="I227" s="30"/>
      <x:c r="J227" s="34" t="n">
        <x:f>ROUND(IFERROR(AVERAGE(J205:J225),0),1)</x:f>
        <x:v>131.4</x:v>
      </x:c>
      <x:c r="K227" s="30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涨跌点数</x:v>
      </x:c>
      <x:c r="I230" s="20" t="str">
        <x:v>涨幅</x:v>
      </x:c>
      <x:c r="J230" s="20" t="str">
        <x:v>振幅</x:v>
      </x:c>
      <x:c r="K230" s="20" t="str">
        <x:v>标的</x:v>
      </x:c>
    </x:row>
    <x:row r="231">
      <x:c r="A231" s="22" t="n">
        <x:v>1</x:v>
      </x:c>
      <x:c r="B231" s="22" t="str">
        <x:v>周四</x:v>
      </x:c>
      <x:c r="C231" s="22" t="str">
        <x:v>10月8日</x:v>
      </x:c>
      <x:c r="D231" s="23" t="n">
        <x:v>7306.74</x:v>
      </x:c>
      <x:c r="E231" s="23" t="n">
        <x:v>7366.86</x:v>
      </x:c>
      <x:c r="F231" s="23" t="n">
        <x:v>7087.8</x:v>
      </x:c>
      <x:c r="G231" s="23" t="n">
        <x:v>7138.58</x:v>
      </x:c>
      <x:c r="H231" s="28" t="n">
        <x:v>-160.2</x:v>
      </x:c>
      <x:c r="I231" s="24" t="n">
        <x:v>-0.02195423369804983</x:v>
      </x:c>
      <x:c r="J231" s="26" t="n">
        <x:f>ROUND(E231-F231,1)</x:f>
        <x:v>279.1</x:v>
      </x:c>
      <x:c r="K231" s="22" t="str">
        <x:v>中证1000</x:v>
      </x:c>
    </x:row>
    <x:row r="232">
      <x:c r="A232" s="22" t="n">
        <x:v>2</x:v>
      </x:c>
      <x:c r="B232" s="22" t="str">
        <x:v>周五</x:v>
      </x:c>
      <x:c r="C232" s="22" t="str">
        <x:v>10月9日</x:v>
      </x:c>
      <x:c r="D232" s="23" t="n">
        <x:v>7107.54</x:v>
      </x:c>
      <x:c r="E232" s="23" t="n">
        <x:v>7175.33</x:v>
      </x:c>
      <x:c r="F232" s="23" t="n">
        <x:v>6925.42</x:v>
      </x:c>
      <x:c r="G232" s="23" t="n">
        <x:v>7155.91</x:v>
      </x:c>
      <x:c r="H232" s="23" t="n">
        <x:v>17.3</x:v>
      </x:c>
      <x:c r="I232" s="24" t="n">
        <x:v>0.0024276536790230896</x:v>
      </x:c>
      <x:c r="J232" s="26" t="n">
        <x:f>ROUND(E232-F232,1)</x:f>
        <x:v>249.9</x:v>
      </x:c>
      <x:c r="K232" s="22" t="str">
        <x:v>中证1000</x:v>
      </x:c>
    </x:row>
    <x:row r="233">
      <x:c r="A233" s="22" t="n">
        <x:v>3</x:v>
      </x:c>
      <x:c r="B233" s="22" t="str">
        <x:v>周一</x:v>
      </x:c>
      <x:c r="C233" s="22" t="str">
        <x:v>10月12日</x:v>
      </x:c>
      <x:c r="D233" s="23" t="n">
        <x:v>7132.68</x:v>
      </x:c>
      <x:c r="E233" s="23" t="n">
        <x:v>7145.06</x:v>
      </x:c>
      <x:c r="F233" s="23" t="n">
        <x:v>7014.37</x:v>
      </x:c>
      <x:c r="G233" s="23" t="n">
        <x:v>7021.47</x:v>
      </x:c>
      <x:c r="H233" s="23" t="n">
        <x:v>-134.4</x:v>
      </x:c>
      <x:c r="I233" s="24" t="n">
        <x:v>-0.018787268146189584</x:v>
      </x:c>
      <x:c r="J233" s="23" t="n">
        <x:f>ROUND(E233-F233,1)</x:f>
        <x:v>130.7</x:v>
      </x:c>
      <x:c r="K233" s="22" t="str">
        <x:v>中证1000</x:v>
      </x:c>
    </x:row>
    <x:row r="234">
      <x:c r="A234" s="22" t="n">
        <x:v>4</x:v>
      </x:c>
      <x:c r="B234" s="22" t="str">
        <x:v>周二</x:v>
      </x:c>
      <x:c r="C234" s="22" t="str">
        <x:v>10月13日</x:v>
      </x:c>
      <x:c r="D234" s="23" t="n">
        <x:v>6894.6</x:v>
      </x:c>
      <x:c r="E234" s="23" t="n">
        <x:v>7087.89</x:v>
      </x:c>
      <x:c r="F234" s="23" t="n">
        <x:v>6796.58</x:v>
      </x:c>
      <x:c r="G234" s="23" t="n">
        <x:v>7023.22</x:v>
      </x:c>
      <x:c r="H234" s="23" t="n">
        <x:v>1.8</x:v>
      </x:c>
      <x:c r="I234" s="24" t="n">
        <x:v>0.0002492355589356343</x:v>
      </x:c>
      <x:c r="J234" s="26" t="n">
        <x:f>ROUND(E234-F234,1)</x:f>
        <x:v>291.3</x:v>
      </x:c>
      <x:c r="K234" s="22" t="str">
        <x:v>中证1000</x:v>
      </x:c>
    </x:row>
    <x:row r="235">
      <x:c r="A235" s="22" t="n">
        <x:v>5</x:v>
      </x:c>
      <x:c r="B235" s="22" t="str">
        <x:v>周三</x:v>
      </x:c>
      <x:c r="C235" s="22" t="str">
        <x:v>10月14日</x:v>
      </x:c>
      <x:c r="D235" s="23" t="n">
        <x:v>7001.91</x:v>
      </x:c>
      <x:c r="E235" s="23" t="n">
        <x:v>7035.18</x:v>
      </x:c>
      <x:c r="F235" s="23" t="n">
        <x:v>6891.6</x:v>
      </x:c>
      <x:c r="G235" s="23" t="n">
        <x:v>6905.17</x:v>
      </x:c>
      <x:c r="H235" s="23" t="n">
        <x:v>-118.1</x:v>
      </x:c>
      <x:c r="I235" s="24" t="n">
        <x:v>-0.01680852942097788</x:v>
      </x:c>
      <x:c r="J235" s="23" t="n">
        <x:f>ROUND(E235-F235,1)</x:f>
        <x:v>143.6</x:v>
      </x:c>
      <x:c r="K235" s="22" t="str">
        <x:v>中证1000</x:v>
      </x:c>
    </x:row>
    <x:row r="236">
      <x:c r="A236" s="22" t="n">
        <x:v>6</x:v>
      </x:c>
      <x:c r="B236" s="22" t="str">
        <x:v>周四</x:v>
      </x:c>
      <x:c r="C236" s="22" t="str">
        <x:v>10月15日</x:v>
      </x:c>
      <x:c r="D236" s="23" t="n">
        <x:v>6734.31</x:v>
      </x:c>
      <x:c r="E236" s="23" t="n">
        <x:v>6805.19</x:v>
      </x:c>
      <x:c r="F236" s="23" t="n">
        <x:v>6652.55</x:v>
      </x:c>
      <x:c r="G236" s="23" t="n">
        <x:v>6678.65</x:v>
      </x:c>
      <x:c r="H236" s="28" t="n">
        <x:v>-226.5</x:v>
      </x:c>
      <x:c r="I236" s="24" t="n">
        <x:v>-0.032804405974074524</x:v>
      </x:c>
      <x:c r="J236" s="23" t="n">
        <x:f>ROUND(E236-F236,1)</x:f>
        <x:v>152.6</x:v>
      </x:c>
      <x:c r="K236" s="22" t="str">
        <x:v>中证1000</x:v>
      </x:c>
    </x:row>
    <x:row r="237">
      <x:c r="A237" s="41" t="n">
        <x:v>7</x:v>
      </x:c>
      <x:c r="B237" s="41" t="str">
        <x:v>周五</x:v>
      </x:c>
      <x:c r="C237" s="41" t="str">
        <x:v>10月16日</x:v>
      </x:c>
      <x:c r="D237" s="42" t="n">
        <x:v>6777.39</x:v>
      </x:c>
      <x:c r="E237" s="42" t="n">
        <x:v>6834.45</x:v>
      </x:c>
      <x:c r="F237" s="42" t="n">
        <x:v>6626.52</x:v>
      </x:c>
      <x:c r="G237" s="42" t="n">
        <x:v>6681.94</x:v>
      </x:c>
      <x:c r="H237" s="42" t="n">
        <x:v>3.3</x:v>
      </x:c>
      <x:c r="I237" s="43" t="n">
        <x:v>0.0004926145253905112</x:v>
      </x:c>
      <x:c r="J237" s="26" t="n">
        <x:f>ROUND(E237-F237,1)</x:f>
        <x:v>207.9</x:v>
      </x:c>
      <x:c r="K237" s="41" t="str">
        <x:v>中证1000</x:v>
      </x:c>
    </x:row>
    <x:row r="238">
      <x:c r="A238" s="31" t="str">
        <x:v>合计</x:v>
      </x:c>
      <x:c r="B238" s="30" t="n">
        <x:v>7</x:v>
      </x:c>
      <x:c r="C238" s="30"/>
      <x:c r="D238" s="30"/>
      <x:c r="E238" s="30"/>
      <x:c r="F238" s="30"/>
      <x:c r="G238" s="30"/>
      <x:c r="H238" s="30"/>
      <x:c r="I238" s="30"/>
      <x:c r="J238" s="32" t="n">
        <x:f>ROUND(SUM(J231:J237),1)</x:f>
        <x:v>1455.1</x:v>
      </x:c>
      <x:c r="K238" s="30"/>
    </x:row>
    <x:row r="239">
      <x:c r="A239" s="31" t="str">
        <x:v>均值</x:v>
      </x:c>
      <x:c r="B239" s="30"/>
      <x:c r="C239" s="30"/>
      <x:c r="D239" s="30"/>
      <x:c r="E239" s="30"/>
      <x:c r="F239" s="30"/>
      <x:c r="G239" s="30"/>
      <x:c r="H239" s="30"/>
      <x:c r="I239" s="30"/>
      <x:c r="J239" s="34" t="n">
        <x:f>ROUND(IFERROR(AVERAGE(J231:J237),0),1)</x:f>
        <x:v>207.9</x:v>
      </x:c>
      <x:c r="K239" s="30"/>
    </x:row>
  </x:sheetData>
  <x:mergeCells>
    <x:mergeCell ref="A1:K1"/>
    <x:mergeCell ref="A3:K3"/>
    <x:mergeCell ref="A28:K28"/>
    <x:mergeCell ref="A47:K47"/>
    <x:mergeCell ref="A74:K74"/>
    <x:mergeCell ref="A100:K100"/>
    <x:mergeCell ref="A123:K123"/>
    <x:mergeCell ref="A149:K149"/>
    <x:mergeCell ref="A177:K177"/>
    <x:mergeCell ref="A203:K203"/>
    <x:mergeCell ref="A229:K2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2026年统计 - 中证500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2" t="n">
        <x:v>1</x:v>
      </x:c>
      <x:c r="B5" s="22" t="str">
        <x:v>周一</x:v>
      </x:c>
      <x:c r="C5" s="22" t="str">
        <x:v>1月5日</x:v>
      </x:c>
      <x:c r="D5" s="23" t="n">
        <x:v>7523.88</x:v>
      </x:c>
      <x:c r="E5" s="23" t="n">
        <x:v>7651.24</x:v>
      </x:c>
      <x:c r="F5" s="23" t="n">
        <x:v>7523.25</x:v>
      </x:c>
      <x:c r="G5" s="23" t="n">
        <x:v>7651.2</x:v>
      </x:c>
      <x:c r="H5" s="28" t="n">
        <x:v>185.6</x:v>
      </x:c>
      <x:c r="I5" s="24" t="n">
        <x:v>0.024864812733655928</x:v>
      </x:c>
      <x:c r="J5" s="23" t="n">
        <x:f>ROUND(E5-F5,1)</x:f>
        <x:v>128</x:v>
      </x:c>
      <x:c r="K5" s="22" t="str">
        <x:v>中证500</x:v>
      </x:c>
    </x:row>
    <x:row r="6">
      <x:c r="A6" s="22" t="n">
        <x:v>2</x:v>
      </x:c>
      <x:c r="B6" s="22" t="str">
        <x:v>周二</x:v>
      </x:c>
      <x:c r="C6" s="22" t="str">
        <x:v>1月6日</x:v>
      </x:c>
      <x:c r="D6" s="23" t="n">
        <x:v>7663.94</x:v>
      </x:c>
      <x:c r="E6" s="23" t="n">
        <x:v>7814.65</x:v>
      </x:c>
      <x:c r="F6" s="23" t="n">
        <x:v>7663.66</x:v>
      </x:c>
      <x:c r="G6" s="23" t="n">
        <x:v>7814.14</x:v>
      </x:c>
      <x:c r="H6" s="28" t="n">
        <x:v>162.9</x:v>
      </x:c>
      <x:c r="I6" s="24" t="n">
        <x:v>0.02129600585529068</x:v>
      </x:c>
      <x:c r="J6" s="23" t="n">
        <x:f>ROUND(E6-F6,1)</x:f>
        <x:v>151</x:v>
      </x:c>
      <x:c r="K6" s="22" t="str">
        <x:v>中证500</x:v>
      </x:c>
    </x:row>
    <x:row r="7">
      <x:c r="A7" s="22" t="n">
        <x:v>3</x:v>
      </x:c>
      <x:c r="B7" s="22" t="str">
        <x:v>周三</x:v>
      </x:c>
      <x:c r="C7" s="22" t="str">
        <x:v>1月7日</x:v>
      </x:c>
      <x:c r="D7" s="23" t="n">
        <x:v>7838.91</x:v>
      </x:c>
      <x:c r="E7" s="23" t="n">
        <x:v>7909.66</x:v>
      </x:c>
      <x:c r="F7" s="23" t="n">
        <x:v>7828.39</x:v>
      </x:c>
      <x:c r="G7" s="23" t="n">
        <x:v>7875.08</x:v>
      </x:c>
      <x:c r="H7" s="23" t="n">
        <x:v>60.9</x:v>
      </x:c>
      <x:c r="I7" s="24" t="n">
        <x:v>0.007798682900485465</x:v>
      </x:c>
      <x:c r="J7" s="23" t="n">
        <x:f>ROUND(E7-F7,1)</x:f>
        <x:v>81.3</x:v>
      </x:c>
      <x:c r="K7" s="22" t="str">
        <x:v>中证500</x:v>
      </x:c>
    </x:row>
    <x:row r="8">
      <x:c r="A8" s="22" t="n">
        <x:v>4</x:v>
      </x:c>
      <x:c r="B8" s="22" t="str">
        <x:v>周四</x:v>
      </x:c>
      <x:c r="C8" s="22" t="str">
        <x:v>1月8日</x:v>
      </x:c>
      <x:c r="D8" s="23" t="n">
        <x:v>7853.21</x:v>
      </x:c>
      <x:c r="E8" s="23" t="n">
        <x:v>7938.59</x:v>
      </x:c>
      <x:c r="F8" s="23" t="n">
        <x:v>7849.07</x:v>
      </x:c>
      <x:c r="G8" s="23" t="n">
        <x:v>7894.54</x:v>
      </x:c>
      <x:c r="H8" s="23" t="n">
        <x:v>19.5</x:v>
      </x:c>
      <x:c r="I8" s="24" t="n">
        <x:v>0.0024710860080152663</x:v>
      </x:c>
      <x:c r="J8" s="23" t="n">
        <x:f>ROUND(E8-F8,1)</x:f>
        <x:v>89.5</x:v>
      </x:c>
      <x:c r="K8" s="22" t="str">
        <x:v>中证500</x:v>
      </x:c>
    </x:row>
    <x:row r="9">
      <x:c r="A9" s="22" t="n">
        <x:v>5</x:v>
      </x:c>
      <x:c r="B9" s="22" t="str">
        <x:v>周五</x:v>
      </x:c>
      <x:c r="C9" s="22" t="str">
        <x:v>1月9日</x:v>
      </x:c>
      <x:c r="D9" s="23" t="n">
        <x:v>7907.85</x:v>
      </x:c>
      <x:c r="E9" s="23" t="n">
        <x:v>8064.76</x:v>
      </x:c>
      <x:c r="F9" s="23" t="n">
        <x:v>7907.85</x:v>
      </x:c>
      <x:c r="G9" s="23" t="n">
        <x:v>8056.69</x:v>
      </x:c>
      <x:c r="H9" s="28" t="n">
        <x:v>162.1</x:v>
      </x:c>
      <x:c r="I9" s="24" t="n">
        <x:v>0.020539512118502135</x:v>
      </x:c>
      <x:c r="J9" s="23" t="n">
        <x:f>ROUND(E9-F9,1)</x:f>
        <x:v>156.9</x:v>
      </x:c>
      <x:c r="K9" s="22" t="str">
        <x:v>中证500</x:v>
      </x:c>
    </x:row>
    <x:row r="10">
      <x:c r="A10" s="22" t="n">
        <x:v>6</x:v>
      </x:c>
      <x:c r="B10" s="22" t="str">
        <x:v>周一</x:v>
      </x:c>
      <x:c r="C10" s="22" t="str">
        <x:v>1月12日</x:v>
      </x:c>
      <x:c r="D10" s="23" t="n">
        <x:v>8141.63</x:v>
      </x:c>
      <x:c r="E10" s="23" t="n">
        <x:v>8261.35</x:v>
      </x:c>
      <x:c r="F10" s="23" t="n">
        <x:v>8103.24</x:v>
      </x:c>
      <x:c r="G10" s="23" t="n">
        <x:v>8249.13</x:v>
      </x:c>
      <x:c r="H10" s="28" t="n">
        <x:v>192.4</x:v>
      </x:c>
      <x:c r="I10" s="24" t="n">
        <x:v>0.023885739677212303</x:v>
      </x:c>
      <x:c r="J10" s="23" t="n">
        <x:f>ROUND(E10-F10,1)</x:f>
        <x:v>158.1</x:v>
      </x:c>
      <x:c r="K10" s="22" t="str">
        <x:v>中证500</x:v>
      </x:c>
    </x:row>
    <x:row r="11">
      <x:c r="A11" s="22" t="n">
        <x:v>7</x:v>
      </x:c>
      <x:c r="B11" s="22" t="str">
        <x:v>周二</x:v>
      </x:c>
      <x:c r="C11" s="22" t="str">
        <x:v>1月13日</x:v>
      </x:c>
      <x:c r="D11" s="23" t="n">
        <x:v>8270.42</x:v>
      </x:c>
      <x:c r="E11" s="23" t="n">
        <x:v>8270.42</x:v>
      </x:c>
      <x:c r="F11" s="23" t="n">
        <x:v>8106.61</x:v>
      </x:c>
      <x:c r="G11" s="23" t="n">
        <x:v>8143.28</x:v>
      </x:c>
      <x:c r="H11" s="23" t="n">
        <x:v>-105.8</x:v>
      </x:c>
      <x:c r="I11" s="24" t="n">
        <x:v>-0.012831656186773621</x:v>
      </x:c>
      <x:c r="J11" s="26" t="n">
        <x:f>ROUND(E11-F11,1)</x:f>
        <x:v>163.8</x:v>
      </x:c>
      <x:c r="K11" s="22" t="str">
        <x:v>中证500</x:v>
      </x:c>
    </x:row>
    <x:row r="12">
      <x:c r="A12" s="22" t="n">
        <x:v>8</x:v>
      </x:c>
      <x:c r="B12" s="22" t="str">
        <x:v>周三</x:v>
      </x:c>
      <x:c r="C12" s="22" t="str">
        <x:v>1月14日</x:v>
      </x:c>
      <x:c r="D12" s="23" t="n">
        <x:v>8165.35</x:v>
      </x:c>
      <x:c r="E12" s="23" t="n">
        <x:v>8368.22</x:v>
      </x:c>
      <x:c r="F12" s="23" t="n">
        <x:v>8123.4</x:v>
      </x:c>
      <x:c r="G12" s="23" t="n">
        <x:v>8227.7</x:v>
      </x:c>
      <x:c r="H12" s="23" t="n">
        <x:v>84.4</x:v>
      </x:c>
      <x:c r="I12" s="24" t="n">
        <x:v>0.01036683007338568</x:v>
      </x:c>
      <x:c r="J12" s="26" t="n">
        <x:f>ROUND(E12-F12,1)</x:f>
        <x:v>244.8</x:v>
      </x:c>
      <x:c r="K12" s="22" t="str">
        <x:v>中证500</x:v>
      </x:c>
    </x:row>
    <x:row r="13">
      <x:c r="A13" s="22" t="n">
        <x:v>9</x:v>
      </x:c>
      <x:c r="B13" s="22" t="str">
        <x:v>周四</x:v>
      </x:c>
      <x:c r="C13" s="22" t="str">
        <x:v>1月15日</x:v>
      </x:c>
      <x:c r="D13" s="23" t="n">
        <x:v>8170.35</x:v>
      </x:c>
      <x:c r="E13" s="23" t="n">
        <x:v>8249.03</x:v>
      </x:c>
      <x:c r="F13" s="23" t="n">
        <x:v>8148.79</x:v>
      </x:c>
      <x:c r="G13" s="23" t="n">
        <x:v>8223.27</x:v>
      </x:c>
      <x:c r="H13" s="23" t="n">
        <x:v>-4.4</x:v>
      </x:c>
      <x:c r="I13" s="24" t="n">
        <x:v>-0.0005384250762667797</x:v>
      </x:c>
      <x:c r="J13" s="23" t="n">
        <x:f>ROUND(E13-F13,1)</x:f>
        <x:v>100.2</x:v>
      </x:c>
      <x:c r="K13" s="22" t="str">
        <x:v>中证500</x:v>
      </x:c>
    </x:row>
    <x:row r="14">
      <x:c r="A14" s="41" t="n">
        <x:v>10</x:v>
      </x:c>
      <x:c r="B14" s="41" t="str">
        <x:v>周五</x:v>
      </x:c>
      <x:c r="C14" s="41" t="str">
        <x:v>1月16日</x:v>
      </x:c>
      <x:c r="D14" s="42" t="n">
        <x:v>8241.69</x:v>
      </x:c>
      <x:c r="E14" s="42" t="n">
        <x:v>8292.74</x:v>
      </x:c>
      <x:c r="F14" s="42" t="n">
        <x:v>8204.53</x:v>
      </x:c>
      <x:c r="G14" s="42" t="n">
        <x:v>8232.67</x:v>
      </x:c>
      <x:c r="H14" s="42" t="n">
        <x:v>9.4</x:v>
      </x:c>
      <x:c r="I14" s="43" t="n">
        <x:v>0.001143097575538654</x:v>
      </x:c>
      <x:c r="J14" s="42" t="n">
        <x:f>ROUND(E14-F14,1)</x:f>
        <x:v>88.2</x:v>
      </x:c>
      <x:c r="K14" s="41" t="str">
        <x:v>中证500</x:v>
      </x:c>
    </x:row>
    <x:row r="15">
      <x:c r="A15" s="22" t="n">
        <x:v>11</x:v>
      </x:c>
      <x:c r="B15" s="22" t="str">
        <x:v>周一</x:v>
      </x:c>
      <x:c r="C15" s="22" t="str">
        <x:v>1月19日</x:v>
      </x:c>
      <x:c r="D15" s="23" t="n">
        <x:v>8199.5</x:v>
      </x:c>
      <x:c r="E15" s="23" t="n">
        <x:v>8318.37</x:v>
      </x:c>
      <x:c r="F15" s="23" t="n">
        <x:v>8195.09</x:v>
      </x:c>
      <x:c r="G15" s="23" t="n">
        <x:v>8287.95</x:v>
      </x:c>
      <x:c r="H15" s="23" t="n">
        <x:v>55.3</x:v>
      </x:c>
      <x:c r="I15" s="24" t="n">
        <x:v>0.006714711023276809</x:v>
      </x:c>
      <x:c r="J15" s="23" t="n">
        <x:f>ROUND(E15-F15,1)</x:f>
        <x:v>123.3</x:v>
      </x:c>
      <x:c r="K15" s="22" t="str">
        <x:v>中证500</x:v>
      </x:c>
    </x:row>
    <x:row r="16">
      <x:c r="A16" s="22" t="n">
        <x:v>12</x:v>
      </x:c>
      <x:c r="B16" s="22" t="str">
        <x:v>周二</x:v>
      </x:c>
      <x:c r="C16" s="22" t="str">
        <x:v>1月20日</x:v>
      </x:c>
      <x:c r="D16" s="23" t="n">
        <x:v>8307.64</x:v>
      </x:c>
      <x:c r="E16" s="23" t="n">
        <x:v>8342.87</x:v>
      </x:c>
      <x:c r="F16" s="23" t="n">
        <x:v>8142.14</x:v>
      </x:c>
      <x:c r="G16" s="23" t="n">
        <x:v>8247.8</x:v>
      </x:c>
      <x:c r="H16" s="23" t="n">
        <x:v>-40.2</x:v>
      </x:c>
      <x:c r="I16" s="24" t="n">
        <x:v>-0.004844382507134037</x:v>
      </x:c>
      <x:c r="J16" s="26" t="n">
        <x:f>ROUND(E16-F16,1)</x:f>
        <x:v>200.7</x:v>
      </x:c>
      <x:c r="K16" s="22" t="str">
        <x:v>中证500</x:v>
      </x:c>
    </x:row>
    <x:row r="17">
      <x:c r="A17" s="22" t="n">
        <x:v>13</x:v>
      </x:c>
      <x:c r="B17" s="22" t="str">
        <x:v>周三</x:v>
      </x:c>
      <x:c r="C17" s="22" t="str">
        <x:v>1月21日</x:v>
      </x:c>
      <x:c r="D17" s="23" t="n">
        <x:v>8196.56</x:v>
      </x:c>
      <x:c r="E17" s="23" t="n">
        <x:v>8351.45</x:v>
      </x:c>
      <x:c r="F17" s="23" t="n">
        <x:v>8196.56</x:v>
      </x:c>
      <x:c r="G17" s="23" t="n">
        <x:v>8340.11</x:v>
      </x:c>
      <x:c r="H17" s="23" t="n">
        <x:v>92.3</x:v>
      </x:c>
      <x:c r="I17" s="24" t="n">
        <x:v>0.011192075462547857</x:v>
      </x:c>
      <x:c r="J17" s="23" t="n">
        <x:f>ROUND(E17-F17,1)</x:f>
        <x:v>154.9</x:v>
      </x:c>
      <x:c r="K17" s="22" t="str">
        <x:v>中证500</x:v>
      </x:c>
    </x:row>
    <x:row r="18">
      <x:c r="A18" s="22" t="n">
        <x:v>14</x:v>
      </x:c>
      <x:c r="B18" s="22" t="str">
        <x:v>周四</x:v>
      </x:c>
      <x:c r="C18" s="22" t="str">
        <x:v>1月22日</x:v>
      </x:c>
      <x:c r="D18" s="23" t="n">
        <x:v>8355.68</x:v>
      </x:c>
      <x:c r="E18" s="23" t="n">
        <x:v>8396.13</x:v>
      </x:c>
      <x:c r="F18" s="23" t="n">
        <x:v>8337.2</x:v>
      </x:c>
      <x:c r="G18" s="23" t="n">
        <x:v>8387.59</x:v>
      </x:c>
      <x:c r="H18" s="23" t="n">
        <x:v>47.5</x:v>
      </x:c>
      <x:c r="I18" s="24" t="n">
        <x:v>0.005692970476408599</x:v>
      </x:c>
      <x:c r="J18" s="23" t="n">
        <x:f>ROUND(E18-F18,1)</x:f>
        <x:v>58.9</x:v>
      </x:c>
      <x:c r="K18" s="22" t="str">
        <x:v>中证500</x:v>
      </x:c>
    </x:row>
    <x:row r="19">
      <x:c r="A19" s="22" t="n">
        <x:v>15</x:v>
      </x:c>
      <x:c r="B19" s="22" t="str">
        <x:v>周五</x:v>
      </x:c>
      <x:c r="C19" s="22" t="str">
        <x:v>1月23日</x:v>
      </x:c>
      <x:c r="D19" s="23" t="n">
        <x:v>8422.36</x:v>
      </x:c>
      <x:c r="E19" s="23" t="n">
        <x:v>8590.17</x:v>
      </x:c>
      <x:c r="F19" s="23" t="n">
        <x:v>8417.75</x:v>
      </x:c>
      <x:c r="G19" s="23" t="n">
        <x:v>8590.17</x:v>
      </x:c>
      <x:c r="H19" s="28" t="n">
        <x:v>202.6</x:v>
      </x:c>
      <x:c r="I19" s="24" t="n">
        <x:v>0.024152348886867347</x:v>
      </x:c>
      <x:c r="J19" s="26" t="n">
        <x:f>ROUND(E19-F19,1)</x:f>
        <x:v>172.4</x:v>
      </x:c>
      <x:c r="K19" s="22" t="str">
        <x:v>中证500</x:v>
      </x:c>
    </x:row>
    <x:row r="20">
      <x:c r="A20" s="22" t="n">
        <x:v>16</x:v>
      </x:c>
      <x:c r="B20" s="22" t="str">
        <x:v>周一</x:v>
      </x:c>
      <x:c r="C20" s="22" t="str">
        <x:v>1月26日</x:v>
      </x:c>
      <x:c r="D20" s="23" t="n">
        <x:v>8624.89</x:v>
      </x:c>
      <x:c r="E20" s="23" t="n">
        <x:v>8671.35</x:v>
      </x:c>
      <x:c r="F20" s="23" t="n">
        <x:v>8453.48</x:v>
      </x:c>
      <x:c r="G20" s="23" t="n">
        <x:v>8506.69</x:v>
      </x:c>
      <x:c r="H20" s="23" t="n">
        <x:v>-83.5</x:v>
      </x:c>
      <x:c r="I20" s="24" t="n">
        <x:v>-0.009718084741046962</x:v>
      </x:c>
      <x:c r="J20" s="26" t="n">
        <x:f>ROUND(E20-F20,1)</x:f>
        <x:v>217.9</x:v>
      </x:c>
      <x:c r="K20" s="22" t="str">
        <x:v>中证500</x:v>
      </x:c>
    </x:row>
    <x:row r="21">
      <x:c r="A21" s="22" t="n">
        <x:v>17</x:v>
      </x:c>
      <x:c r="B21" s="22" t="str">
        <x:v>周二</x:v>
      </x:c>
      <x:c r="C21" s="22" t="str">
        <x:v>1月27日</x:v>
      </x:c>
      <x:c r="D21" s="23" t="n">
        <x:v>8464.65</x:v>
      </x:c>
      <x:c r="E21" s="23" t="n">
        <x:v>8581.1</x:v>
      </x:c>
      <x:c r="F21" s="23" t="n">
        <x:v>8368.18</x:v>
      </x:c>
      <x:c r="G21" s="23" t="n">
        <x:v>8548.93</x:v>
      </x:c>
      <x:c r="H21" s="23" t="n">
        <x:v>42.2</x:v>
      </x:c>
      <x:c r="I21" s="24" t="n">
        <x:v>0.004965503621267464</x:v>
      </x:c>
      <x:c r="J21" s="26" t="n">
        <x:f>ROUND(E21-F21,1)</x:f>
        <x:v>212.9</x:v>
      </x:c>
      <x:c r="K21" s="22" t="str">
        <x:v>中证500</x:v>
      </x:c>
    </x:row>
    <x:row r="22">
      <x:c r="A22" s="22" t="n">
        <x:v>18</x:v>
      </x:c>
      <x:c r="B22" s="22" t="str">
        <x:v>周三</x:v>
      </x:c>
      <x:c r="C22" s="22" t="str">
        <x:v>1月28日</x:v>
      </x:c>
      <x:c r="D22" s="23" t="n">
        <x:v>8565.34</x:v>
      </x:c>
      <x:c r="E22" s="23" t="n">
        <x:v>8633.15</x:v>
      </x:c>
      <x:c r="F22" s="23" t="n">
        <x:v>8526.53</x:v>
      </x:c>
      <x:c r="G22" s="23" t="n">
        <x:v>8601.16</x:v>
      </x:c>
      <x:c r="H22" s="23" t="n">
        <x:v>52.2</x:v>
      </x:c>
      <x:c r="I22" s="24" t="n">
        <x:v>0.006109536515096048</x:v>
      </x:c>
      <x:c r="J22" s="23" t="n">
        <x:f>ROUND(E22-F22,1)</x:f>
        <x:v>106.6</x:v>
      </x:c>
      <x:c r="K22" s="22" t="str">
        <x:v>中证500</x:v>
      </x:c>
    </x:row>
    <x:row r="23">
      <x:c r="A23" s="22" t="n">
        <x:v>19</x:v>
      </x:c>
      <x:c r="B23" s="22" t="str">
        <x:v>周四</x:v>
      </x:c>
      <x:c r="C23" s="22" t="str">
        <x:v>1月29日</x:v>
      </x:c>
      <x:c r="D23" s="23" t="n">
        <x:v>8584.68</x:v>
      </x:c>
      <x:c r="E23" s="23" t="n">
        <x:v>8658.94</x:v>
      </x:c>
      <x:c r="F23" s="23" t="n">
        <x:v>8503.09</x:v>
      </x:c>
      <x:c r="G23" s="23" t="n">
        <x:v>8517.84</x:v>
      </x:c>
      <x:c r="H23" s="23" t="n">
        <x:v>-83.3</x:v>
      </x:c>
      <x:c r="I23" s="24" t="n">
        <x:v>-0.009687065465588285</x:v>
      </x:c>
      <x:c r="J23" s="23" t="n">
        <x:f>ROUND(E23-F23,1)</x:f>
        <x:v>155.9</x:v>
      </x:c>
      <x:c r="K23" s="22" t="str">
        <x:v>中证500</x:v>
      </x:c>
    </x:row>
    <x:row r="24">
      <x:c r="A24" s="22" t="n">
        <x:v>20</x:v>
      </x:c>
      <x:c r="B24" s="22" t="str">
        <x:v>周五</x:v>
      </x:c>
      <x:c r="C24" s="22" t="str">
        <x:v>1月30日</x:v>
      </x:c>
      <x:c r="D24" s="23" t="n">
        <x:v>8439.65</x:v>
      </x:c>
      <x:c r="E24" s="23" t="n">
        <x:v>8496.34</x:v>
      </x:c>
      <x:c r="F24" s="23" t="n">
        <x:v>8194.58</x:v>
      </x:c>
      <x:c r="G24" s="23" t="n">
        <x:v>8370.52</x:v>
      </x:c>
      <x:c r="H24" s="23" t="n">
        <x:v>-147.3</x:v>
      </x:c>
      <x:c r="I24" s="24" t="n">
        <x:v>-0.01729546457787412</x:v>
      </x:c>
      <x:c r="J24" s="26" t="n">
        <x:f>ROUND(E24-F24,1)</x:f>
        <x:v>301.8</x:v>
      </x:c>
      <x:c r="K24" s="22" t="str">
        <x:v>中证500</x:v>
      </x:c>
    </x:row>
    <x:row r="25">
      <x:c r="A25" s="31" t="str">
        <x:v>合计</x:v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2" t="n">
        <x:f>ROUND(SUM(J5:J24),1)</x:f>
        <x:v>3067.1</x:v>
      </x:c>
      <x:c r="K25" s="30"/>
    </x:row>
    <x:row r="26">
      <x:c r="A26" s="31" t="str">
        <x:v>均值</x:v>
      </x:c>
      <x:c r="B26" s="30"/>
      <x:c r="C26" s="30"/>
      <x:c r="D26" s="30"/>
      <x:c r="E26" s="30"/>
      <x:c r="F26" s="30"/>
      <x:c r="G26" s="30"/>
      <x:c r="H26" s="30"/>
      <x:c r="I26" s="30"/>
      <x:c r="J26" s="34" t="n">
        <x:f>ROUND(IFERROR(AVERAGE(J5:J24),0),1)</x:f>
        <x:v>153.4</x:v>
      </x:c>
      <x:c r="K26" s="30"/>
    </x:row>
    <x:row r="28">
      <x:c r="A28" s="17" t="str">
        <x:v>2月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20" t="str">
        <x:v>序号</x:v>
      </x:c>
      <x:c r="B29" s="20" t="str">
        <x:v>星期</x:v>
      </x:c>
      <x:c r="C29" s="20" t="str">
        <x:v>日期</x:v>
      </x:c>
      <x:c r="D29" s="20" t="str">
        <x:v>开盘</x:v>
      </x:c>
      <x:c r="E29" s="20" t="str">
        <x:v>高点</x:v>
      </x:c>
      <x:c r="F29" s="20" t="str">
        <x:v>低点</x:v>
      </x:c>
      <x:c r="G29" s="20" t="str">
        <x:v>收盘</x:v>
      </x:c>
      <x:c r="H29" s="20" t="str">
        <x:v>涨跌点数</x:v>
      </x:c>
      <x:c r="I29" s="20" t="str">
        <x:v>涨幅</x:v>
      </x:c>
      <x:c r="J29" s="20" t="str">
        <x:v>振幅</x:v>
      </x:c>
      <x:c r="K29" s="20" t="str">
        <x:v>标的</x:v>
      </x:c>
    </x:row>
    <x:row r="30">
      <x:c r="A30" s="22" t="n">
        <x:v>1</x:v>
      </x:c>
      <x:c r="B30" s="22" t="str">
        <x:v>周一</x:v>
      </x:c>
      <x:c r="C30" s="22" t="str">
        <x:v>2月2日</x:v>
      </x:c>
      <x:c r="D30" s="23" t="n">
        <x:v>8279.72</x:v>
      </x:c>
      <x:c r="E30" s="23" t="n">
        <x:v>8324.43</x:v>
      </x:c>
      <x:c r="F30" s="23" t="n">
        <x:v>8032.35</x:v>
      </x:c>
      <x:c r="G30" s="23" t="n">
        <x:v>8037.05</x:v>
      </x:c>
      <x:c r="H30" s="28" t="n">
        <x:v>-333.5</x:v>
      </x:c>
      <x:c r="I30" s="24" t="n">
        <x:v>-0.03983862412371042</x:v>
      </x:c>
      <x:c r="J30" s="26" t="n">
        <x:f>ROUND(E30-F30,1)</x:f>
        <x:v>292.1</x:v>
      </x:c>
      <x:c r="K30" s="22" t="str">
        <x:v>中证500</x:v>
      </x:c>
    </x:row>
    <x:row r="31">
      <x:c r="A31" s="22" t="n">
        <x:v>2</x:v>
      </x:c>
      <x:c r="B31" s="22" t="str">
        <x:v>周二</x:v>
      </x:c>
      <x:c r="C31" s="22" t="str">
        <x:v>2月3日</x:v>
      </x:c>
      <x:c r="D31" s="23" t="n">
        <x:v>8135.87</x:v>
      </x:c>
      <x:c r="E31" s="23" t="n">
        <x:v>8286.7</x:v>
      </x:c>
      <x:c r="F31" s="23" t="n">
        <x:v>8075.37</x:v>
      </x:c>
      <x:c r="G31" s="23" t="n">
        <x:v>8286.7</x:v>
      </x:c>
      <x:c r="H31" s="28" t="n">
        <x:v>249.7</x:v>
      </x:c>
      <x:c r="I31" s="24" t="n">
        <x:v>0.031062392295680752</x:v>
      </x:c>
      <x:c r="J31" s="26" t="n">
        <x:f>ROUND(E31-F31,1)</x:f>
        <x:v>211.3</x:v>
      </x:c>
      <x:c r="K31" s="22" t="str">
        <x:v>中证500</x:v>
      </x:c>
    </x:row>
    <x:row r="32">
      <x:c r="A32" s="22" t="n">
        <x:v>3</x:v>
      </x:c>
      <x:c r="B32" s="22" t="str">
        <x:v>周三</x:v>
      </x:c>
      <x:c r="C32" s="22" t="str">
        <x:v>2月4日</x:v>
      </x:c>
      <x:c r="D32" s="23" t="n">
        <x:v>8270.84</x:v>
      </x:c>
      <x:c r="E32" s="23" t="n">
        <x:v>8309.86</x:v>
      </x:c>
      <x:c r="F32" s="23" t="n">
        <x:v>8179.35</x:v>
      </x:c>
      <x:c r="G32" s="23" t="n">
        <x:v>8299.06</x:v>
      </x:c>
      <x:c r="H32" s="23" t="n">
        <x:v>12.4</x:v>
      </x:c>
      <x:c r="I32" s="24" t="n">
        <x:v>0.0014915466953067114</x:v>
      </x:c>
      <x:c r="J32" s="23" t="n">
        <x:f>ROUND(E32-F32,1)</x:f>
        <x:v>130.5</x:v>
      </x:c>
      <x:c r="K32" s="22" t="str">
        <x:v>中证500</x:v>
      </x:c>
    </x:row>
    <x:row r="33">
      <x:c r="A33" s="22" t="n">
        <x:v>4</x:v>
      </x:c>
      <x:c r="B33" s="22" t="str">
        <x:v>周四</x:v>
      </x:c>
      <x:c r="C33" s="22" t="str">
        <x:v>2月5日</x:v>
      </x:c>
      <x:c r="D33" s="23" t="n">
        <x:v>8203.06</x:v>
      </x:c>
      <x:c r="E33" s="23" t="n">
        <x:v>8224.78</x:v>
      </x:c>
      <x:c r="F33" s="23" t="n">
        <x:v>8081.43</x:v>
      </x:c>
      <x:c r="G33" s="23" t="n">
        <x:v>8146.11</x:v>
      </x:c>
      <x:c r="H33" s="28" t="n">
        <x:v>-152.9</x:v>
      </x:c>
      <x:c r="I33" s="24" t="n">
        <x:v>-0.018429798073516745</x:v>
      </x:c>
      <x:c r="J33" s="23" t="n">
        <x:f>ROUND(E33-F33,1)</x:f>
        <x:v>143.4</x:v>
      </x:c>
      <x:c r="K33" s="22" t="str">
        <x:v>中证500</x:v>
      </x:c>
    </x:row>
    <x:row r="34">
      <x:c r="A34" s="22" t="n">
        <x:v>5</x:v>
      </x:c>
      <x:c r="B34" s="22" t="str">
        <x:v>周五</x:v>
      </x:c>
      <x:c r="C34" s="22" t="str">
        <x:v>2月6日</x:v>
      </x:c>
      <x:c r="D34" s="23" t="n">
        <x:v>8054.22</x:v>
      </x:c>
      <x:c r="E34" s="23" t="n">
        <x:v>8247.3</x:v>
      </x:c>
      <x:c r="F34" s="23" t="n">
        <x:v>8014.66</x:v>
      </x:c>
      <x:c r="G34" s="23" t="n">
        <x:v>8146.41</x:v>
      </x:c>
      <x:c r="H34" s="23" t="n">
        <x:v>0.3</x:v>
      </x:c>
      <x:c r="I34" s="24" t="n">
        <x:v>0.000036827393688598775</x:v>
      </x:c>
      <x:c r="J34" s="26" t="n">
        <x:f>ROUND(E34-F34,1)</x:f>
        <x:v>232.6</x:v>
      </x:c>
      <x:c r="K34" s="22" t="str">
        <x:v>中证500</x:v>
      </x:c>
    </x:row>
    <x:row r="35">
      <x:c r="A35" s="22" t="n">
        <x:v>6</x:v>
      </x:c>
      <x:c r="B35" s="22" t="str">
        <x:v>周一</x:v>
      </x:c>
      <x:c r="C35" s="22" t="str">
        <x:v>2月9日</x:v>
      </x:c>
      <x:c r="D35" s="23" t="n">
        <x:v>8280.11</x:v>
      </x:c>
      <x:c r="E35" s="23" t="n">
        <x:v>8313.47</x:v>
      </x:c>
      <x:c r="F35" s="23" t="n">
        <x:v>8229</x:v>
      </x:c>
      <x:c r="G35" s="23" t="n">
        <x:v>8311.28</x:v>
      </x:c>
      <x:c r="H35" s="28" t="n">
        <x:v>164.9</x:v>
      </x:c>
      <x:c r="I35" s="24" t="n">
        <x:v>0.020238362665272236</x:v>
      </x:c>
      <x:c r="J35" s="23" t="n">
        <x:f>ROUND(E35-F35,1)</x:f>
        <x:v>84.5</x:v>
      </x:c>
      <x:c r="K35" s="22" t="str">
        <x:v>中证500</x:v>
      </x:c>
    </x:row>
    <x:row r="36">
      <x:c r="A36" s="22" t="n">
        <x:v>7</x:v>
      </x:c>
      <x:c r="B36" s="22" t="str">
        <x:v>周二</x:v>
      </x:c>
      <x:c r="C36" s="22" t="str">
        <x:v>2月10日</x:v>
      </x:c>
      <x:c r="D36" s="23" t="n">
        <x:v>8318.53</x:v>
      </x:c>
      <x:c r="E36" s="23" t="n">
        <x:v>8331.99</x:v>
      </x:c>
      <x:c r="F36" s="23" t="n">
        <x:v>8258.15</x:v>
      </x:c>
      <x:c r="G36" s="23" t="n">
        <x:v>8306.44</x:v>
      </x:c>
      <x:c r="H36" s="23" t="n">
        <x:v>-4.8</x:v>
      </x:c>
      <x:c r="I36" s="24" t="n">
        <x:v>-0.0005823411075068785</x:v>
      </x:c>
      <x:c r="J36" s="23" t="n">
        <x:f>ROUND(E36-F36,1)</x:f>
        <x:v>73.8</x:v>
      </x:c>
      <x:c r="K36" s="22" t="str">
        <x:v>中证500</x:v>
      </x:c>
    </x:row>
    <x:row r="37">
      <x:c r="A37" s="22" t="n">
        <x:v>8</x:v>
      </x:c>
      <x:c r="B37" s="22" t="str">
        <x:v>周三</x:v>
      </x:c>
      <x:c r="C37" s="22" t="str">
        <x:v>2月11日</x:v>
      </x:c>
      <x:c r="D37" s="23" t="n">
        <x:v>8295.33</x:v>
      </x:c>
      <x:c r="E37" s="23" t="n">
        <x:v>8373.5</x:v>
      </x:c>
      <x:c r="F37" s="23" t="n">
        <x:v>8295.12</x:v>
      </x:c>
      <x:c r="G37" s="23" t="n">
        <x:v>8325.81</x:v>
      </x:c>
      <x:c r="H37" s="23" t="n">
        <x:v>19.4</x:v>
      </x:c>
      <x:c r="I37" s="24" t="n">
        <x:v>0.0023319255902647384</x:v>
      </x:c>
      <x:c r="J37" s="23" t="n">
        <x:f>ROUND(E37-F37,1)</x:f>
        <x:v>78.4</x:v>
      </x:c>
      <x:c r="K37" s="22" t="str">
        <x:v>中证500</x:v>
      </x:c>
    </x:row>
    <x:row r="38">
      <x:c r="A38" s="22" t="n">
        <x:v>9</x:v>
      </x:c>
      <x:c r="B38" s="22" t="str">
        <x:v>周四</x:v>
      </x:c>
      <x:c r="C38" s="22" t="str">
        <x:v>2月12日</x:v>
      </x:c>
      <x:c r="D38" s="23" t="n">
        <x:v>8342.37</x:v>
      </x:c>
      <x:c r="E38" s="23" t="n">
        <x:v>8437.42</x:v>
      </x:c>
      <x:c r="F38" s="23" t="n">
        <x:v>8341.77</x:v>
      </x:c>
      <x:c r="G38" s="23" t="n">
        <x:v>8423.57</x:v>
      </x:c>
      <x:c r="H38" s="23" t="n">
        <x:v>97.8</x:v>
      </x:c>
      <x:c r="I38" s="24" t="n">
        <x:v>0.011741800497489185</x:v>
      </x:c>
      <x:c r="J38" s="23" t="n">
        <x:f>ROUND(E38-F38,1)</x:f>
        <x:v>95.6</x:v>
      </x:c>
      <x:c r="K38" s="22" t="str">
        <x:v>中证500</x:v>
      </x:c>
    </x:row>
    <x:row r="39">
      <x:c r="A39" s="22" t="n">
        <x:v>10</x:v>
      </x:c>
      <x:c r="B39" s="22" t="str">
        <x:v>周五</x:v>
      </x:c>
      <x:c r="C39" s="22" t="str">
        <x:v>2月13日</x:v>
      </x:c>
      <x:c r="D39" s="23" t="n">
        <x:v>8366.33</x:v>
      </x:c>
      <x:c r="E39" s="23" t="n">
        <x:v>8419.76</x:v>
      </x:c>
      <x:c r="F39" s="23" t="n">
        <x:v>8290.84</x:v>
      </x:c>
      <x:c r="G39" s="23" t="n">
        <x:v>8299.58</x:v>
      </x:c>
      <x:c r="H39" s="23" t="n">
        <x:v>-124</x:v>
      </x:c>
      <x:c r="I39" s="24" t="n">
        <x:v>-0.014719412315680858</x:v>
      </x:c>
      <x:c r="J39" s="23" t="n">
        <x:f>ROUND(E39-F39,1)</x:f>
        <x:v>128.9</x:v>
      </x:c>
      <x:c r="K39" s="22" t="str">
        <x:v>中证500</x:v>
      </x:c>
    </x:row>
    <x:row r="40">
      <x:c r="A40" s="41" t="n">
        <x:v>11</x:v>
      </x:c>
      <x:c r="B40" s="41" t="str">
        <x:v>周二</x:v>
      </x:c>
      <x:c r="C40" s="41" t="str">
        <x:v>2月24日</x:v>
      </x:c>
      <x:c r="D40" s="42" t="n">
        <x:v>8403.31</x:v>
      </x:c>
      <x:c r="E40" s="42" t="n">
        <x:v>8444.13</x:v>
      </x:c>
      <x:c r="F40" s="42" t="n">
        <x:v>8328.57</x:v>
      </x:c>
      <x:c r="G40" s="42" t="n">
        <x:v>8392.91</x:v>
      </x:c>
      <x:c r="H40" s="42" t="n">
        <x:v>93.3</x:v>
      </x:c>
      <x:c r="I40" s="43" t="n">
        <x:v>0.011245147344805417</x:v>
      </x:c>
      <x:c r="J40" s="42" t="n">
        <x:f>ROUND(E40-F40,1)</x:f>
        <x:v>115.6</x:v>
      </x:c>
      <x:c r="K40" s="41" t="str">
        <x:v>中证500</x:v>
      </x:c>
    </x:row>
    <x:row r="41">
      <x:c r="A41" s="22" t="n">
        <x:v>12</x:v>
      </x:c>
      <x:c r="B41" s="22" t="str">
        <x:v>周三</x:v>
      </x:c>
      <x:c r="C41" s="22" t="str">
        <x:v>2月25日</x:v>
      </x:c>
      <x:c r="D41" s="23" t="n">
        <x:v>8412.08</x:v>
      </x:c>
      <x:c r="E41" s="23" t="n">
        <x:v>8551.53</x:v>
      </x:c>
      <x:c r="F41" s="23" t="n">
        <x:v>8401.6</x:v>
      </x:c>
      <x:c r="G41" s="23" t="n">
        <x:v>8527.56</x:v>
      </x:c>
      <x:c r="H41" s="23" t="n">
        <x:v>134.6</x:v>
      </x:c>
      <x:c r="I41" s="24" t="n">
        <x:v>0.0160433032166436</x:v>
      </x:c>
      <x:c r="J41" s="23" t="n">
        <x:f>ROUND(E41-F41,1)</x:f>
        <x:v>149.9</x:v>
      </x:c>
      <x:c r="K41" s="22" t="str">
        <x:v>中证500</x:v>
      </x:c>
    </x:row>
    <x:row r="42">
      <x:c r="A42" s="22" t="n">
        <x:v>13</x:v>
      </x:c>
      <x:c r="B42" s="22" t="str">
        <x:v>周四</x:v>
      </x:c>
      <x:c r="C42" s="22" t="str">
        <x:v>2月26日</x:v>
      </x:c>
      <x:c r="D42" s="23" t="n">
        <x:v>8542.83</x:v>
      </x:c>
      <x:c r="E42" s="23" t="n">
        <x:v>8582.76</x:v>
      </x:c>
      <x:c r="F42" s="23" t="n">
        <x:v>8490.92</x:v>
      </x:c>
      <x:c r="G42" s="23" t="n">
        <x:v>8557.22</x:v>
      </x:c>
      <x:c r="H42" s="23" t="n">
        <x:v>29.7</x:v>
      </x:c>
      <x:c r="I42" s="24" t="n">
        <x:v>0.003478134425322077</x:v>
      </x:c>
      <x:c r="J42" s="23" t="n">
        <x:f>ROUND(E42-F42,1)</x:f>
        <x:v>91.8</x:v>
      </x:c>
      <x:c r="K42" s="22" t="str">
        <x:v>中证500</x:v>
      </x:c>
    </x:row>
    <x:row r="43">
      <x:c r="A43" s="22" t="n">
        <x:v>14</x:v>
      </x:c>
      <x:c r="B43" s="22" t="str">
        <x:v>周五</x:v>
      </x:c>
      <x:c r="C43" s="22" t="str">
        <x:v>2月27日</x:v>
      </x:c>
      <x:c r="D43" s="23" t="n">
        <x:v>8499.8</x:v>
      </x:c>
      <x:c r="E43" s="23" t="n">
        <x:v>8658.45</x:v>
      </x:c>
      <x:c r="F43" s="23" t="n">
        <x:v>8499.8</x:v>
      </x:c>
      <x:c r="G43" s="23" t="n">
        <x:v>8658.45</x:v>
      </x:c>
      <x:c r="H43" s="23" t="n">
        <x:v>101.2</x:v>
      </x:c>
      <x:c r="I43" s="24" t="n">
        <x:v>0.01182977649283301</x:v>
      </x:c>
      <x:c r="J43" s="23" t="n">
        <x:f>ROUND(E43-F43,1)</x:f>
        <x:v>158.7</x:v>
      </x:c>
      <x:c r="K43" s="22" t="str">
        <x:v>中证500</x:v>
      </x:c>
    </x:row>
    <x:row r="44">
      <x:c r="A44" s="31" t="str">
        <x:v>合计</x:v>
      </x:c>
      <x:c r="B44" s="30" t="n">
        <x:v>14</x:v>
      </x:c>
      <x:c r="C44" s="30"/>
      <x:c r="D44" s="30"/>
      <x:c r="E44" s="30"/>
      <x:c r="F44" s="30"/>
      <x:c r="G44" s="30"/>
      <x:c r="H44" s="30"/>
      <x:c r="I44" s="30"/>
      <x:c r="J44" s="32" t="n">
        <x:f>ROUND(SUM(J30:J43),1)</x:f>
        <x:v>1987.1</x:v>
      </x:c>
      <x:c r="K44" s="30"/>
    </x:row>
    <x:row r="45">
      <x:c r="A45" s="31" t="str">
        <x:v>均值</x:v>
      </x:c>
      <x:c r="B45" s="30"/>
      <x:c r="C45" s="30"/>
      <x:c r="D45" s="30"/>
      <x:c r="E45" s="30"/>
      <x:c r="F45" s="30"/>
      <x:c r="G45" s="30"/>
      <x:c r="H45" s="30"/>
      <x:c r="I45" s="30"/>
      <x:c r="J45" s="34" t="n">
        <x:f>ROUND(IFERROR(AVERAGE(J30:J43),0),1)</x:f>
        <x:v>141.9</x:v>
      </x:c>
      <x:c r="K45" s="30"/>
    </x:row>
    <x:row r="47">
      <x:c r="A47" s="17" t="str">
        <x:v>3月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20" t="str">
        <x:v>序号</x:v>
      </x:c>
      <x:c r="B48" s="20" t="str">
        <x:v>星期</x:v>
      </x:c>
      <x:c r="C48" s="20" t="str">
        <x:v>日期</x:v>
      </x:c>
      <x:c r="D48" s="20" t="str">
        <x:v>开盘</x:v>
      </x:c>
      <x:c r="E48" s="20" t="str">
        <x:v>高点</x:v>
      </x:c>
      <x:c r="F48" s="20" t="str">
        <x:v>低点</x:v>
      </x:c>
      <x:c r="G48" s="20" t="str">
        <x:v>收盘</x:v>
      </x:c>
      <x:c r="H48" s="20" t="str">
        <x:v>涨跌点数</x:v>
      </x:c>
      <x:c r="I48" s="20" t="str">
        <x:v>涨幅</x:v>
      </x:c>
      <x:c r="J48" s="20" t="str">
        <x:v>振幅</x:v>
      </x:c>
      <x:c r="K48" s="20" t="str">
        <x:v>标的</x:v>
      </x:c>
    </x:row>
    <x:row r="49">
      <x:c r="A49" s="22" t="n">
        <x:v>1</x:v>
      </x:c>
      <x:c r="B49" s="22" t="str">
        <x:v>周一</x:v>
      </x:c>
      <x:c r="C49" s="22" t="str">
        <x:v>3月2日</x:v>
      </x:c>
      <x:c r="D49" s="23" t="n">
        <x:v>8585.85</x:v>
      </x:c>
      <x:c r="E49" s="23" t="n">
        <x:v>8683.98</x:v>
      </x:c>
      <x:c r="F49" s="23" t="n">
        <x:v>8551.46</x:v>
      </x:c>
      <x:c r="G49" s="23" t="n">
        <x:v>8658.33</x:v>
      </x:c>
      <x:c r="H49" s="23" t="n">
        <x:v>-0.1</x:v>
      </x:c>
      <x:c r="I49" s="24" t="n">
        <x:v>-0.000013859293522600069</x:v>
      </x:c>
      <x:c r="J49" s="23" t="n">
        <x:f>ROUND(E49-F49,1)</x:f>
        <x:v>132.5</x:v>
      </x:c>
      <x:c r="K49" s="22" t="str">
        <x:v>中证500</x:v>
      </x:c>
    </x:row>
    <x:row r="50">
      <x:c r="A50" s="22" t="n">
        <x:v>2</x:v>
      </x:c>
      <x:c r="B50" s="22" t="str">
        <x:v>周二</x:v>
      </x:c>
      <x:c r="C50" s="22" t="str">
        <x:v>3月3日</x:v>
      </x:c>
      <x:c r="D50" s="23" t="n">
        <x:v>8651.06</x:v>
      </x:c>
      <x:c r="E50" s="23" t="n">
        <x:v>8654.57</x:v>
      </x:c>
      <x:c r="F50" s="23" t="n">
        <x:v>8267.11</x:v>
      </x:c>
      <x:c r="G50" s="23" t="n">
        <x:v>8281.61</x:v>
      </x:c>
      <x:c r="H50" s="28" t="n">
        <x:v>-376.7</x:v>
      </x:c>
      <x:c r="I50" s="24" t="n">
        <x:v>-0.04350954514323191</x:v>
      </x:c>
      <x:c r="J50" s="26" t="n">
        <x:f>ROUND(E50-F50,1)</x:f>
        <x:v>387.5</x:v>
      </x:c>
      <x:c r="K50" s="22" t="str">
        <x:v>中证500</x:v>
      </x:c>
    </x:row>
    <x:row r="51">
      <x:c r="A51" s="22" t="n">
        <x:v>3</x:v>
      </x:c>
      <x:c r="B51" s="22" t="str">
        <x:v>周三</x:v>
      </x:c>
      <x:c r="C51" s="22" t="str">
        <x:v>3月4日</x:v>
      </x:c>
      <x:c r="D51" s="23" t="n">
        <x:v>8167.98</x:v>
      </x:c>
      <x:c r="E51" s="23" t="n">
        <x:v>8377.17</x:v>
      </x:c>
      <x:c r="F51" s="23" t="n">
        <x:v>8167.98</x:v>
      </x:c>
      <x:c r="G51" s="23" t="n">
        <x:v>8248.95</x:v>
      </x:c>
      <x:c r="H51" s="23" t="n">
        <x:v>-32.7</x:v>
      </x:c>
      <x:c r="I51" s="24" t="n">
        <x:v>-0.003943677618240882</x:v>
      </x:c>
      <x:c r="J51" s="26" t="n">
        <x:f>ROUND(E51-F51,1)</x:f>
        <x:v>209.2</x:v>
      </x:c>
      <x:c r="K51" s="22" t="str">
        <x:v>中证500</x:v>
      </x:c>
    </x:row>
    <x:row r="52">
      <x:c r="A52" s="22" t="n">
        <x:v>4</x:v>
      </x:c>
      <x:c r="B52" s="22" t="str">
        <x:v>周四</x:v>
      </x:c>
      <x:c r="C52" s="22" t="str">
        <x:v>3月5日</x:v>
      </x:c>
      <x:c r="D52" s="23" t="n">
        <x:v>8383.55</x:v>
      </x:c>
      <x:c r="E52" s="23" t="n">
        <x:v>8391.04</x:v>
      </x:c>
      <x:c r="F52" s="23" t="n">
        <x:v>8251.11</x:v>
      </x:c>
      <x:c r="G52" s="23" t="n">
        <x:v>8309.17</x:v>
      </x:c>
      <x:c r="H52" s="23" t="n">
        <x:v>60.2</x:v>
      </x:c>
      <x:c r="I52" s="24" t="n">
        <x:v>0.007300323071421033</x:v>
      </x:c>
      <x:c r="J52" s="23" t="n">
        <x:f>ROUND(E52-F52,1)</x:f>
        <x:v>139.9</x:v>
      </x:c>
      <x:c r="K52" s="22" t="str">
        <x:v>中证500</x:v>
      </x:c>
    </x:row>
    <x:row r="53">
      <x:c r="A53" s="22" t="n">
        <x:v>5</x:v>
      </x:c>
      <x:c r="B53" s="22" t="str">
        <x:v>周五</x:v>
      </x:c>
      <x:c r="C53" s="22" t="str">
        <x:v>3月6日</x:v>
      </x:c>
      <x:c r="D53" s="23" t="n">
        <x:v>8273.18</x:v>
      </x:c>
      <x:c r="E53" s="23" t="n">
        <x:v>8394.33</x:v>
      </x:c>
      <x:c r="F53" s="23" t="n">
        <x:v>8258.64</x:v>
      </x:c>
      <x:c r="G53" s="23" t="n">
        <x:v>8360.33</x:v>
      </x:c>
      <x:c r="H53" s="23" t="n">
        <x:v>51.2</x:v>
      </x:c>
      <x:c r="I53" s="24" t="n">
        <x:v>0.006157052990852341</x:v>
      </x:c>
      <x:c r="J53" s="23" t="n">
        <x:f>ROUND(E53-F53,1)</x:f>
        <x:v>135.7</x:v>
      </x:c>
      <x:c r="K53" s="22" t="str">
        <x:v>中证500</x:v>
      </x:c>
    </x:row>
    <x:row r="54">
      <x:c r="A54" s="22" t="n">
        <x:v>6</x:v>
      </x:c>
      <x:c r="B54" s="22" t="str">
        <x:v>周一</x:v>
      </x:c>
      <x:c r="C54" s="22" t="str">
        <x:v>3月9日</x:v>
      </x:c>
      <x:c r="D54" s="23" t="n">
        <x:v>8234.19</x:v>
      </x:c>
      <x:c r="E54" s="23" t="n">
        <x:v>8305.92</x:v>
      </x:c>
      <x:c r="F54" s="23" t="n">
        <x:v>8066.14</x:v>
      </x:c>
      <x:c r="G54" s="23" t="n">
        <x:v>8279.48</x:v>
      </x:c>
      <x:c r="H54" s="23" t="n">
        <x:v>-80.9</x:v>
      </x:c>
      <x:c r="I54" s="24" t="n">
        <x:v>-0.009670670894569966</x:v>
      </x:c>
      <x:c r="J54" s="26" t="n">
        <x:f>ROUND(E54-F54,1)</x:f>
        <x:v>239.8</x:v>
      </x:c>
      <x:c r="K54" s="22" t="str">
        <x:v>中证500</x:v>
      </x:c>
    </x:row>
    <x:row r="55">
      <x:c r="A55" s="22" t="n">
        <x:v>7</x:v>
      </x:c>
      <x:c r="B55" s="22" t="str">
        <x:v>周二</x:v>
      </x:c>
      <x:c r="C55" s="22" t="str">
        <x:v>3月10日</x:v>
      </x:c>
      <x:c r="D55" s="23" t="n">
        <x:v>8341.14</x:v>
      </x:c>
      <x:c r="E55" s="23" t="n">
        <x:v>8412.93</x:v>
      </x:c>
      <x:c r="F55" s="23" t="n">
        <x:v>8330.93</x:v>
      </x:c>
      <x:c r="G55" s="23" t="n">
        <x:v>8410.3</x:v>
      </x:c>
      <x:c r="H55" s="23" t="n">
        <x:v>130.8</x:v>
      </x:c>
      <x:c r="I55" s="24" t="n">
        <x:v>0.0158005092107234</x:v>
      </x:c>
      <x:c r="J55" s="23" t="n">
        <x:f>ROUND(E55-F55,1)</x:f>
        <x:v>82</x:v>
      </x:c>
      <x:c r="K55" s="22" t="str">
        <x:v>中证500</x:v>
      </x:c>
    </x:row>
    <x:row r="56">
      <x:c r="A56" s="22" t="n">
        <x:v>8</x:v>
      </x:c>
      <x:c r="B56" s="22" t="str">
        <x:v>周三</x:v>
      </x:c>
      <x:c r="C56" s="22" t="str">
        <x:v>3月11日</x:v>
      </x:c>
      <x:c r="D56" s="23" t="n">
        <x:v>8419.31</x:v>
      </x:c>
      <x:c r="E56" s="23" t="n">
        <x:v>8439.62</x:v>
      </x:c>
      <x:c r="F56" s="23" t="n">
        <x:v>8379.03</x:v>
      </x:c>
      <x:c r="G56" s="23" t="n">
        <x:v>8403.33</x:v>
      </x:c>
      <x:c r="H56" s="23" t="n">
        <x:v>-7</x:v>
      </x:c>
      <x:c r="I56" s="24" t="n">
        <x:v>-0.0008287457046716185</x:v>
      </x:c>
      <x:c r="J56" s="23" t="n">
        <x:f>ROUND(E56-F56,1)</x:f>
        <x:v>60.6</x:v>
      </x:c>
      <x:c r="K56" s="22" t="str">
        <x:v>中证500</x:v>
      </x:c>
    </x:row>
    <x:row r="57">
      <x:c r="A57" s="22" t="n">
        <x:v>9</x:v>
      </x:c>
      <x:c r="B57" s="22" t="str">
        <x:v>周四</x:v>
      </x:c>
      <x:c r="C57" s="22" t="str">
        <x:v>3月12日</x:v>
      </x:c>
      <x:c r="D57" s="23" t="n">
        <x:v>8396.72</x:v>
      </x:c>
      <x:c r="E57" s="23" t="n">
        <x:v>8433.04</x:v>
      </x:c>
      <x:c r="F57" s="23" t="n">
        <x:v>8290.59</x:v>
      </x:c>
      <x:c r="G57" s="23" t="n">
        <x:v>8359.47</x:v>
      </x:c>
      <x:c r="H57" s="23" t="n">
        <x:v>-43.9</x:v>
      </x:c>
      <x:c r="I57" s="24" t="n">
        <x:v>-0.005219359468210838</x:v>
      </x:c>
      <x:c r="J57" s="23" t="n">
        <x:f>ROUND(E57-F57,1)</x:f>
        <x:v>142.5</x:v>
      </x:c>
      <x:c r="K57" s="22" t="str">
        <x:v>中证500</x:v>
      </x:c>
    </x:row>
    <x:row r="58">
      <x:c r="A58" s="22" t="n">
        <x:v>10</x:v>
      </x:c>
      <x:c r="B58" s="22" t="str">
        <x:v>周五</x:v>
      </x:c>
      <x:c r="C58" s="22" t="str">
        <x:v>3月13日</x:v>
      </x:c>
      <x:c r="D58" s="23" t="n">
        <x:v>8317.78</x:v>
      </x:c>
      <x:c r="E58" s="23" t="n">
        <x:v>8371.72</x:v>
      </x:c>
      <x:c r="F58" s="23" t="n">
        <x:v>8217.97</x:v>
      </x:c>
      <x:c r="G58" s="23" t="n">
        <x:v>8239.8</x:v>
      </x:c>
      <x:c r="H58" s="23" t="n">
        <x:v>-119.7</x:v>
      </x:c>
      <x:c r="I58" s="24" t="n">
        <x:v>-0.014315500863092967</x:v>
      </x:c>
      <x:c r="J58" s="23" t="n">
        <x:f>ROUND(E58-F58,1)</x:f>
        <x:v>153.8</x:v>
      </x:c>
      <x:c r="K58" s="22" t="str">
        <x:v>中证500</x:v>
      </x:c>
    </x:row>
    <x:row r="59">
      <x:c r="A59" s="22" t="n">
        <x:v>11</x:v>
      </x:c>
      <x:c r="B59" s="22" t="str">
        <x:v>周一</x:v>
      </x:c>
      <x:c r="C59" s="22" t="str">
        <x:v>3月16日</x:v>
      </x:c>
      <x:c r="D59" s="23" t="n">
        <x:v>8227.69</x:v>
      </x:c>
      <x:c r="E59" s="23" t="n">
        <x:v>8233.66</x:v>
      </x:c>
      <x:c r="F59" s="23" t="n">
        <x:v>8060.78</x:v>
      </x:c>
      <x:c r="G59" s="23" t="n">
        <x:v>8185.15</x:v>
      </x:c>
      <x:c r="H59" s="23" t="n">
        <x:v>-54.6</x:v>
      </x:c>
      <x:c r="I59" s="24" t="n">
        <x:v>-0.006632442535012939</x:v>
      </x:c>
      <x:c r="J59" s="26" t="n">
        <x:f>ROUND(E59-F59,1)</x:f>
        <x:v>172.9</x:v>
      </x:c>
      <x:c r="K59" s="22" t="str">
        <x:v>中证500</x:v>
      </x:c>
    </x:row>
    <x:row r="60">
      <x:c r="A60" s="22" t="n">
        <x:v>12</x:v>
      </x:c>
      <x:c r="B60" s="22" t="str">
        <x:v>周二</x:v>
      </x:c>
      <x:c r="C60" s="22" t="str">
        <x:v>3月17日</x:v>
      </x:c>
      <x:c r="D60" s="23" t="n">
        <x:v>8199.99</x:v>
      </x:c>
      <x:c r="E60" s="23" t="n">
        <x:v>8207.46</x:v>
      </x:c>
      <x:c r="F60" s="23" t="n">
        <x:v>8016</x:v>
      </x:c>
      <x:c r="G60" s="23" t="n">
        <x:v>8016.03</x:v>
      </x:c>
      <x:c r="H60" s="28" t="n">
        <x:v>-169.1</x:v>
      </x:c>
      <x:c r="I60" s="24" t="n">
        <x:v>-0.0206618082747414</x:v>
      </x:c>
      <x:c r="J60" s="26" t="n">
        <x:f>ROUND(E60-F60,1)</x:f>
        <x:v>191.5</x:v>
      </x:c>
      <x:c r="K60" s="22" t="str">
        <x:v>中证500</x:v>
      </x:c>
    </x:row>
    <x:row r="61">
      <x:c r="A61" s="22" t="n">
        <x:v>13</x:v>
      </x:c>
      <x:c r="B61" s="22" t="str">
        <x:v>周三</x:v>
      </x:c>
      <x:c r="C61" s="22" t="str">
        <x:v>3月18日</x:v>
      </x:c>
      <x:c r="D61" s="23" t="n">
        <x:v>8044.92</x:v>
      </x:c>
      <x:c r="E61" s="23" t="n">
        <x:v>8105.96</x:v>
      </x:c>
      <x:c r="F61" s="23" t="n">
        <x:v>7958.45</x:v>
      </x:c>
      <x:c r="G61" s="23" t="n">
        <x:v>8096.43</x:v>
      </x:c>
      <x:c r="H61" s="23" t="n">
        <x:v>80.4</x:v>
      </x:c>
      <x:c r="I61" s="24" t="n">
        <x:v>0.010029902582699979</x:v>
      </x:c>
      <x:c r="J61" s="23" t="n">
        <x:f>ROUND(E61-F61,1)</x:f>
        <x:v>147.5</x:v>
      </x:c>
      <x:c r="K61" s="22" t="str">
        <x:v>中证500</x:v>
      </x:c>
    </x:row>
    <x:row r="62">
      <x:c r="A62" s="22" t="n">
        <x:v>14</x:v>
      </x:c>
      <x:c r="B62" s="22" t="str">
        <x:v>周四</x:v>
      </x:c>
      <x:c r="C62" s="22" t="str">
        <x:v>3月19日</x:v>
      </x:c>
      <x:c r="D62" s="23" t="n">
        <x:v>7975.85</x:v>
      </x:c>
      <x:c r="E62" s="23" t="n">
        <x:v>8000.43</x:v>
      </x:c>
      <x:c r="F62" s="23" t="n">
        <x:v>7844.15</x:v>
      </x:c>
      <x:c r="G62" s="23" t="n">
        <x:v>7877.09</x:v>
      </x:c>
      <x:c r="H62" s="28" t="n">
        <x:v>-219.3</x:v>
      </x:c>
      <x:c r="I62" s="24" t="n">
        <x:v>-0.02709095243212134</x:v>
      </x:c>
      <x:c r="J62" s="23" t="n">
        <x:f>ROUND(E62-F62,1)</x:f>
        <x:v>156.3</x:v>
      </x:c>
      <x:c r="K62" s="22" t="str">
        <x:v>中证500</x:v>
      </x:c>
    </x:row>
    <x:row r="63">
      <x:c r="A63" s="41" t="n">
        <x:v>15</x:v>
      </x:c>
      <x:c r="B63" s="41" t="str">
        <x:v>周五</x:v>
      </x:c>
      <x:c r="C63" s="41" t="str">
        <x:v>3月20日</x:v>
      </x:c>
      <x:c r="D63" s="42" t="n">
        <x:v>7913.49</x:v>
      </x:c>
      <x:c r="E63" s="42" t="n">
        <x:v>7941.59</x:v>
      </x:c>
      <x:c r="F63" s="42" t="n">
        <x:v>7757.83</x:v>
      </x:c>
      <x:c r="G63" s="42" t="n">
        <x:v>7760.04</x:v>
      </x:c>
      <x:c r="H63" s="42" t="n">
        <x:v>-117.1</x:v>
      </x:c>
      <x:c r="I63" s="43" t="n">
        <x:v>-0.01485954838652348</x:v>
      </x:c>
      <x:c r="J63" s="26" t="n">
        <x:f>ROUND(E63-F63,1)</x:f>
        <x:v>183.8</x:v>
      </x:c>
      <x:c r="K63" s="41" t="str">
        <x:v>中证500</x:v>
      </x:c>
    </x:row>
    <x:row r="64">
      <x:c r="A64" s="22" t="n">
        <x:v>16</x:v>
      </x:c>
      <x:c r="B64" s="22" t="str">
        <x:v>周一</x:v>
      </x:c>
      <x:c r="C64" s="22" t="str">
        <x:v>3月23日</x:v>
      </x:c>
      <x:c r="D64" s="23" t="n">
        <x:v>7623.24</x:v>
      </x:c>
      <x:c r="E64" s="23" t="n">
        <x:v>7708.43</x:v>
      </x:c>
      <x:c r="F64" s="23" t="n">
        <x:v>7399.04</x:v>
      </x:c>
      <x:c r="G64" s="23" t="n">
        <x:v>7440.75</x:v>
      </x:c>
      <x:c r="H64" s="28" t="n">
        <x:v>-319.3</x:v>
      </x:c>
      <x:c r="I64" s="24" t="n">
        <x:v>-0.04114540646697695</x:v>
      </x:c>
      <x:c r="J64" s="26" t="n">
        <x:f>ROUND(E64-F64,1)</x:f>
        <x:v>309.4</x:v>
      </x:c>
      <x:c r="K64" s="22" t="str">
        <x:v>中证500</x:v>
      </x:c>
    </x:row>
    <x:row r="65">
      <x:c r="A65" s="22" t="n">
        <x:v>17</x:v>
      </x:c>
      <x:c r="B65" s="22" t="str">
        <x:v>周二</x:v>
      </x:c>
      <x:c r="C65" s="22" t="str">
        <x:v>3月24日</x:v>
      </x:c>
      <x:c r="D65" s="23" t="n">
        <x:v>7555.08</x:v>
      </x:c>
      <x:c r="E65" s="23" t="n">
        <x:v>7597.37</x:v>
      </x:c>
      <x:c r="F65" s="23" t="n">
        <x:v>7379.86</x:v>
      </x:c>
      <x:c r="G65" s="23" t="n">
        <x:v>7597.37</x:v>
      </x:c>
      <x:c r="H65" s="28" t="n">
        <x:v>156.6</x:v>
      </x:c>
      <x:c r="I65" s="24" t="n">
        <x:v>0.02104895339851498</x:v>
      </x:c>
      <x:c r="J65" s="26" t="n">
        <x:f>ROUND(E65-F65,1)</x:f>
        <x:v>217.5</x:v>
      </x:c>
      <x:c r="K65" s="22" t="str">
        <x:v>中证500</x:v>
      </x:c>
    </x:row>
    <x:row r="66">
      <x:c r="A66" s="22" t="n">
        <x:v>18</x:v>
      </x:c>
      <x:c r="B66" s="22" t="str">
        <x:v>周三</x:v>
      </x:c>
      <x:c r="C66" s="22" t="str">
        <x:v>3月25日</x:v>
      </x:c>
      <x:c r="D66" s="23" t="n">
        <x:v>7660.4</x:v>
      </x:c>
      <x:c r="E66" s="23" t="n">
        <x:v>7806.91</x:v>
      </x:c>
      <x:c r="F66" s="23" t="n">
        <x:v>7660.4</x:v>
      </x:c>
      <x:c r="G66" s="23" t="n">
        <x:v>7767.67</x:v>
      </x:c>
      <x:c r="H66" s="28" t="n">
        <x:v>170.3</x:v>
      </x:c>
      <x:c r="I66" s="24" t="n">
        <x:v>0.022415651732112574</x:v>
      </x:c>
      <x:c r="J66" s="23" t="n">
        <x:f>ROUND(E66-F66,1)</x:f>
        <x:v>146.5</x:v>
      </x:c>
      <x:c r="K66" s="22" t="str">
        <x:v>中证500</x:v>
      </x:c>
    </x:row>
    <x:row r="67">
      <x:c r="A67" s="22" t="n">
        <x:v>19</x:v>
      </x:c>
      <x:c r="B67" s="22" t="str">
        <x:v>周四</x:v>
      </x:c>
      <x:c r="C67" s="22" t="str">
        <x:v>3月26日</x:v>
      </x:c>
      <x:c r="D67" s="23" t="n">
        <x:v>7757.02</x:v>
      </x:c>
      <x:c r="E67" s="23" t="n">
        <x:v>7777.29</x:v>
      </x:c>
      <x:c r="F67" s="23" t="n">
        <x:v>7620.78</x:v>
      </x:c>
      <x:c r="G67" s="23" t="n">
        <x:v>7642.13</x:v>
      </x:c>
      <x:c r="H67" s="23" t="n">
        <x:v>-125.5</x:v>
      </x:c>
      <x:c r="I67" s="24" t="n">
        <x:v>-0.01616186063517111</x:v>
      </x:c>
      <x:c r="J67" s="23" t="n">
        <x:f>ROUND(E67-F67,1)</x:f>
        <x:v>156.5</x:v>
      </x:c>
      <x:c r="K67" s="22" t="str">
        <x:v>中证500</x:v>
      </x:c>
    </x:row>
    <x:row r="68">
      <x:c r="A68" s="22" t="n">
        <x:v>20</x:v>
      </x:c>
      <x:c r="B68" s="22" t="str">
        <x:v>周五</x:v>
      </x:c>
      <x:c r="C68" s="22" t="str">
        <x:v>3月27日</x:v>
      </x:c>
      <x:c r="D68" s="23" t="n">
        <x:v>7539.2</x:v>
      </x:c>
      <x:c r="E68" s="23" t="n">
        <x:v>7785.38</x:v>
      </x:c>
      <x:c r="F68" s="23" t="n">
        <x:v>7539.2</x:v>
      </x:c>
      <x:c r="G68" s="23" t="n">
        <x:v>7737.61</x:v>
      </x:c>
      <x:c r="H68" s="23" t="n">
        <x:v>95.5</x:v>
      </x:c>
      <x:c r="I68" s="24" t="n">
        <x:v>0.012493898952255389</x:v>
      </x:c>
      <x:c r="J68" s="26" t="n">
        <x:f>ROUND(E68-F68,1)</x:f>
        <x:v>246.2</x:v>
      </x:c>
      <x:c r="K68" s="22" t="str">
        <x:v>中证500</x:v>
      </x:c>
    </x:row>
    <x:row r="69">
      <x:c r="A69" s="22" t="n">
        <x:v>21</x:v>
      </x:c>
      <x:c r="B69" s="22" t="str">
        <x:v>周一</x:v>
      </x:c>
      <x:c r="C69" s="22" t="str">
        <x:v>3月30日</x:v>
      </x:c>
      <x:c r="D69" s="23" t="n">
        <x:v>7655.15</x:v>
      </x:c>
      <x:c r="E69" s="23" t="n">
        <x:v>7766.11</x:v>
      </x:c>
      <x:c r="F69" s="23" t="n">
        <x:v>7610.55</x:v>
      </x:c>
      <x:c r="G69" s="23" t="n">
        <x:v>7753.72</x:v>
      </x:c>
      <x:c r="H69" s="23" t="n">
        <x:v>16.1</x:v>
      </x:c>
      <x:c r="I69" s="24" t="n">
        <x:v>0.0020820382521218317</x:v>
      </x:c>
      <x:c r="J69" s="23" t="n">
        <x:f>ROUND(E69-F69,1)</x:f>
        <x:v>155.6</x:v>
      </x:c>
      <x:c r="K69" s="22" t="str">
        <x:v>中证500</x:v>
      </x:c>
    </x:row>
    <x:row r="70">
      <x:c r="A70" s="22" t="n">
        <x:v>22</x:v>
      </x:c>
      <x:c r="B70" s="22" t="str">
        <x:v>周二</x:v>
      </x:c>
      <x:c r="C70" s="22" t="str">
        <x:v>3月31日</x:v>
      </x:c>
      <x:c r="D70" s="23" t="n">
        <x:v>7740.58</x:v>
      </x:c>
      <x:c r="E70" s="23" t="n">
        <x:v>7788.89</x:v>
      </x:c>
      <x:c r="F70" s="23" t="n">
        <x:v>7617.33</x:v>
      </x:c>
      <x:c r="G70" s="23" t="n">
        <x:v>7617.33</x:v>
      </x:c>
      <x:c r="H70" s="23" t="n">
        <x:v>-136.4</x:v>
      </x:c>
      <x:c r="I70" s="24" t="n">
        <x:v>-0.017590266349571615</x:v>
      </x:c>
      <x:c r="J70" s="26" t="n">
        <x:f>ROUND(E70-F70,1)</x:f>
        <x:v>171.6</x:v>
      </x:c>
      <x:c r="K70" s="22" t="str">
        <x:v>中证500</x:v>
      </x:c>
    </x:row>
    <x:row r="71">
      <x:c r="A71" s="31" t="str">
        <x:v>合计</x:v>
      </x:c>
      <x:c r="B71" s="30" t="n">
        <x:v>22</x:v>
      </x:c>
      <x:c r="C71" s="30"/>
      <x:c r="D71" s="30"/>
      <x:c r="E71" s="30"/>
      <x:c r="F71" s="30"/>
      <x:c r="G71" s="30"/>
      <x:c r="H71" s="30"/>
      <x:c r="I71" s="30"/>
      <x:c r="J71" s="32" t="n">
        <x:f>ROUND(SUM(J49:J70),1)</x:f>
        <x:v>3938.8</x:v>
      </x:c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0"/>
      <x:c r="J72" s="34" t="n">
        <x:f>ROUND(IFERROR(AVERAGE(J49:J70),0),1)</x:f>
        <x:v>179</x:v>
      </x:c>
      <x:c r="K72" s="30"/>
    </x:row>
    <x:row r="74">
      <x:c r="A74" s="17" t="str">
        <x:v>4月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20" t="str">
        <x:v>序号</x:v>
      </x:c>
      <x:c r="B75" s="20" t="str">
        <x:v>星期</x:v>
      </x:c>
      <x:c r="C75" s="20" t="str">
        <x:v>日期</x:v>
      </x:c>
      <x:c r="D75" s="20" t="str">
        <x:v>开盘</x:v>
      </x:c>
      <x:c r="E75" s="20" t="str">
        <x:v>高点</x:v>
      </x:c>
      <x:c r="F75" s="20" t="str">
        <x:v>低点</x:v>
      </x:c>
      <x:c r="G75" s="20" t="str">
        <x:v>收盘</x:v>
      </x:c>
      <x:c r="H75" s="20" t="str">
        <x:v>涨跌点数</x:v>
      </x:c>
      <x:c r="I75" s="20" t="str">
        <x:v>涨幅</x:v>
      </x:c>
      <x:c r="J75" s="20" t="str">
        <x:v>振幅</x:v>
      </x:c>
      <x:c r="K75" s="20" t="str">
        <x:v>标的</x:v>
      </x:c>
    </x:row>
    <x:row r="76">
      <x:c r="A76" s="22" t="n">
        <x:v>1</x:v>
      </x:c>
      <x:c r="B76" s="22" t="str">
        <x:v>周三</x:v>
      </x:c>
      <x:c r="C76" s="22" t="str">
        <x:v>4月1日</x:v>
      </x:c>
      <x:c r="D76" s="23" t="n">
        <x:v>7764.34</x:v>
      </x:c>
      <x:c r="E76" s="23" t="n">
        <x:v>7778.99</x:v>
      </x:c>
      <x:c r="F76" s="23" t="n">
        <x:v>7689.59</x:v>
      </x:c>
      <x:c r="G76" s="23" t="n">
        <x:v>7750.09</x:v>
      </x:c>
      <x:c r="H76" s="23" t="n">
        <x:v>132.8</x:v>
      </x:c>
      <x:c r="I76" s="24" t="n">
        <x:v>0.017428679077839737</x:v>
      </x:c>
      <x:c r="J76" s="23" t="n">
        <x:f>ROUND(E76-F76,1)</x:f>
        <x:v>89.4</x:v>
      </x:c>
      <x:c r="K76" s="22" t="str">
        <x:v>中证500</x:v>
      </x:c>
    </x:row>
    <x:row r="77">
      <x:c r="A77" s="22" t="n">
        <x:v>2</x:v>
      </x:c>
      <x:c r="B77" s="22" t="str">
        <x:v>周四</x:v>
      </x:c>
      <x:c r="C77" s="22" t="str">
        <x:v>4月2日</x:v>
      </x:c>
      <x:c r="D77" s="23" t="n">
        <x:v>7726.45</x:v>
      </x:c>
      <x:c r="E77" s="23" t="n">
        <x:v>7740.1</x:v>
      </x:c>
      <x:c r="F77" s="23" t="n">
        <x:v>7562.21</x:v>
      </x:c>
      <x:c r="G77" s="23" t="n">
        <x:v>7605.29</x:v>
      </x:c>
      <x:c r="H77" s="23" t="n">
        <x:v>-144.8</x:v>
      </x:c>
      <x:c r="I77" s="24" t="n">
        <x:v>-0.01868365399627625</x:v>
      </x:c>
      <x:c r="J77" s="26" t="n">
        <x:f>ROUND(E77-F77,1)</x:f>
        <x:v>177.9</x:v>
      </x:c>
      <x:c r="K77" s="22" t="str">
        <x:v>中证500</x:v>
      </x:c>
    </x:row>
    <x:row r="78">
      <x:c r="A78" s="22" t="n">
        <x:v>3</x:v>
      </x:c>
      <x:c r="B78" s="22" t="str">
        <x:v>周五</x:v>
      </x:c>
      <x:c r="C78" s="22" t="str">
        <x:v>4月3日</x:v>
      </x:c>
      <x:c r="D78" s="23" t="n">
        <x:v>7636.66</x:v>
      </x:c>
      <x:c r="E78" s="23" t="n">
        <x:v>7640.84</x:v>
      </x:c>
      <x:c r="F78" s="23" t="n">
        <x:v>7518.35</x:v>
      </x:c>
      <x:c r="G78" s="23" t="n">
        <x:v>7534.94</x:v>
      </x:c>
      <x:c r="H78" s="23" t="n">
        <x:v>-70.4</x:v>
      </x:c>
      <x:c r="I78" s="24" t="n">
        <x:v>-0.009250140362826453</x:v>
      </x:c>
      <x:c r="J78" s="23" t="n">
        <x:f>ROUND(E78-F78,1)</x:f>
        <x:v>122.5</x:v>
      </x:c>
      <x:c r="K78" s="22" t="str">
        <x:v>中证500</x:v>
      </x:c>
    </x:row>
    <x:row r="79">
      <x:c r="A79" s="22" t="n">
        <x:v>4</x:v>
      </x:c>
      <x:c r="B79" s="22" t="str">
        <x:v>周二</x:v>
      </x:c>
      <x:c r="C79" s="22" t="str">
        <x:v>4月7日</x:v>
      </x:c>
      <x:c r="D79" s="23" t="n">
        <x:v>7562.14</x:v>
      </x:c>
      <x:c r="E79" s="23" t="n">
        <x:v>7630.14</x:v>
      </x:c>
      <x:c r="F79" s="23" t="n">
        <x:v>7529.4</x:v>
      </x:c>
      <x:c r="G79" s="23" t="n">
        <x:v>7571.11</x:v>
      </x:c>
      <x:c r="H79" s="23" t="n">
        <x:v>36.2</x:v>
      </x:c>
      <x:c r="I79" s="24" t="n">
        <x:v>0.004800303652052973</x:v>
      </x:c>
      <x:c r="J79" s="23" t="n">
        <x:f>ROUND(E79-F79,1)</x:f>
        <x:v>100.7</x:v>
      </x:c>
      <x:c r="K79" s="22" t="str">
        <x:v>中证500</x:v>
      </x:c>
    </x:row>
    <x:row r="80">
      <x:c r="A80" s="22" t="n">
        <x:v>5</x:v>
      </x:c>
      <x:c r="B80" s="22" t="str">
        <x:v>周三</x:v>
      </x:c>
      <x:c r="C80" s="22" t="str">
        <x:v>4月8日</x:v>
      </x:c>
      <x:c r="D80" s="23" t="n">
        <x:v>7741.63</x:v>
      </x:c>
      <x:c r="E80" s="23" t="n">
        <x:v>7945.15</x:v>
      </x:c>
      <x:c r="F80" s="23" t="n">
        <x:v>7741.63</x:v>
      </x:c>
      <x:c r="G80" s="23" t="n">
        <x:v>7945.15</x:v>
      </x:c>
      <x:c r="H80" s="28" t="n">
        <x:v>374</x:v>
      </x:c>
      <x:c r="I80" s="24" t="n">
        <x:v>0.04940358811323575</x:v>
      </x:c>
      <x:c r="J80" s="26" t="n">
        <x:f>ROUND(E80-F80,1)</x:f>
        <x:v>203.5</x:v>
      </x:c>
      <x:c r="K80" s="22" t="str">
        <x:v>中证500</x:v>
      </x:c>
    </x:row>
    <x:row r="81">
      <x:c r="A81" s="22" t="n">
        <x:v>6</x:v>
      </x:c>
      <x:c r="B81" s="22" t="str">
        <x:v>周四</x:v>
      </x:c>
      <x:c r="C81" s="22" t="str">
        <x:v>4月9日</x:v>
      </x:c>
      <x:c r="D81" s="23" t="n">
        <x:v>7865.21</x:v>
      </x:c>
      <x:c r="E81" s="23" t="n">
        <x:v>7947.68</x:v>
      </x:c>
      <x:c r="F81" s="23" t="n">
        <x:v>7845.96</x:v>
      </x:c>
      <x:c r="G81" s="23" t="n">
        <x:v>7898.63</x:v>
      </x:c>
      <x:c r="H81" s="23" t="n">
        <x:v>-46.5</x:v>
      </x:c>
      <x:c r="I81" s="24" t="n">
        <x:v>-0.005855144333335338</x:v>
      </x:c>
      <x:c r="J81" s="23" t="n">
        <x:f>ROUND(E81-F81,1)</x:f>
        <x:v>101.7</x:v>
      </x:c>
      <x:c r="K81" s="22" t="str">
        <x:v>中证500</x:v>
      </x:c>
    </x:row>
    <x:row r="82">
      <x:c r="A82" s="22" t="n">
        <x:v>7</x:v>
      </x:c>
      <x:c r="B82" s="22" t="str">
        <x:v>周五</x:v>
      </x:c>
      <x:c r="C82" s="22" t="str">
        <x:v>4月10日</x:v>
      </x:c>
      <x:c r="D82" s="23" t="n">
        <x:v>7958.81</x:v>
      </x:c>
      <x:c r="E82" s="23" t="n">
        <x:v>8070.65</x:v>
      </x:c>
      <x:c r="F82" s="23" t="n">
        <x:v>7953.5</x:v>
      </x:c>
      <x:c r="G82" s="23" t="n">
        <x:v>7969.36</x:v>
      </x:c>
      <x:c r="H82" s="23" t="n">
        <x:v>70.7</x:v>
      </x:c>
      <x:c r="I82" s="24" t="n">
        <x:v>0.008954717463661277</x:v>
      </x:c>
      <x:c r="J82" s="23" t="n">
        <x:f>ROUND(E82-F82,1)</x:f>
        <x:v>117.1</x:v>
      </x:c>
      <x:c r="K82" s="22" t="str">
        <x:v>中证500</x:v>
      </x:c>
    </x:row>
    <x:row r="83">
      <x:c r="A83" s="22" t="n">
        <x:v>8</x:v>
      </x:c>
      <x:c r="B83" s="22" t="str">
        <x:v>周一</x:v>
      </x:c>
      <x:c r="C83" s="22" t="str">
        <x:v>4月13日</x:v>
      </x:c>
      <x:c r="D83" s="23" t="n">
        <x:v>7917.92</x:v>
      </x:c>
      <x:c r="E83" s="23" t="n">
        <x:v>7990.98</x:v>
      </x:c>
      <x:c r="F83" s="23" t="n">
        <x:v>7917.92</x:v>
      </x:c>
      <x:c r="G83" s="23" t="n">
        <x:v>7967.7</x:v>
      </x:c>
      <x:c r="H83" s="23" t="n">
        <x:v>-1.7</x:v>
      </x:c>
      <x:c r="I83" s="24" t="n">
        <x:v>-0.00020829778049924474</x:v>
      </x:c>
      <x:c r="J83" s="23" t="n">
        <x:f>ROUND(E83-F83,1)</x:f>
        <x:v>73.1</x:v>
      </x:c>
      <x:c r="K83" s="22" t="str">
        <x:v>中证500</x:v>
      </x:c>
    </x:row>
    <x:row r="84">
      <x:c r="A84" s="22" t="n">
        <x:v>9</x:v>
      </x:c>
      <x:c r="B84" s="22" t="str">
        <x:v>周二</x:v>
      </x:c>
      <x:c r="C84" s="22" t="str">
        <x:v>4月14日</x:v>
      </x:c>
      <x:c r="D84" s="23" t="n">
        <x:v>8039.07</x:v>
      </x:c>
      <x:c r="E84" s="23" t="n">
        <x:v>8088.57</x:v>
      </x:c>
      <x:c r="F84" s="23" t="n">
        <x:v>8002.65</x:v>
      </x:c>
      <x:c r="G84" s="23" t="n">
        <x:v>8088.57</x:v>
      </x:c>
      <x:c r="H84" s="23" t="n">
        <x:v>120.9</x:v>
      </x:c>
      <x:c r="I84" s="24" t="n">
        <x:v>0.01516999887043946</x:v>
      </x:c>
      <x:c r="J84" s="23" t="n">
        <x:f>ROUND(E84-F84,1)</x:f>
        <x:v>85.9</x:v>
      </x:c>
      <x:c r="K84" s="22" t="str">
        <x:v>中证500</x:v>
      </x:c>
    </x:row>
    <x:row r="85">
      <x:c r="A85" s="22" t="n">
        <x:v>10</x:v>
      </x:c>
      <x:c r="B85" s="22" t="str">
        <x:v>周三</x:v>
      </x:c>
      <x:c r="C85" s="22" t="str">
        <x:v>4月15日</x:v>
      </x:c>
      <x:c r="D85" s="23" t="n">
        <x:v>8144.81</x:v>
      </x:c>
      <x:c r="E85" s="23" t="n">
        <x:v>8150.62</x:v>
      </x:c>
      <x:c r="F85" s="23" t="n">
        <x:v>8020.87</x:v>
      </x:c>
      <x:c r="G85" s="23" t="n">
        <x:v>8044.08</x:v>
      </x:c>
      <x:c r="H85" s="23" t="n">
        <x:v>-44.5</x:v>
      </x:c>
      <x:c r="I85" s="24" t="n">
        <x:v>-0.005500354203524238</x:v>
      </x:c>
      <x:c r="J85" s="23" t="n">
        <x:f>ROUND(E85-F85,1)</x:f>
        <x:v>129.8</x:v>
      </x:c>
      <x:c r="K85" s="22" t="str">
        <x:v>中证500</x:v>
      </x:c>
    </x:row>
    <x:row r="86">
      <x:c r="A86" s="22" t="n">
        <x:v>11</x:v>
      </x:c>
      <x:c r="B86" s="22" t="str">
        <x:v>周四</x:v>
      </x:c>
      <x:c r="C86" s="22" t="str">
        <x:v>4月16日</x:v>
      </x:c>
      <x:c r="D86" s="23" t="n">
        <x:v>8068.15</x:v>
      </x:c>
      <x:c r="E86" s="23" t="n">
        <x:v>8189.18</x:v>
      </x:c>
      <x:c r="F86" s="23" t="n">
        <x:v>8056.78</x:v>
      </x:c>
      <x:c r="G86" s="23" t="n">
        <x:v>8180.08</x:v>
      </x:c>
      <x:c r="H86" s="23" t="n">
        <x:v>136</x:v>
      </x:c>
      <x:c r="I86" s="24" t="n">
        <x:v>0.016906843293453155</x:v>
      </x:c>
      <x:c r="J86" s="23" t="n">
        <x:f>ROUND(E86-F86,1)</x:f>
        <x:v>132.4</x:v>
      </x:c>
      <x:c r="K86" s="22" t="str">
        <x:v>中证500</x:v>
      </x:c>
    </x:row>
    <x:row r="87">
      <x:c r="A87" s="41" t="n">
        <x:v>12</x:v>
      </x:c>
      <x:c r="B87" s="41" t="str">
        <x:v>周五</x:v>
      </x:c>
      <x:c r="C87" s="41" t="str">
        <x:v>4月17日</x:v>
      </x:c>
      <x:c r="D87" s="42" t="n">
        <x:v>8155.4</x:v>
      </x:c>
      <x:c r="E87" s="42" t="n">
        <x:v>8230.11</x:v>
      </x:c>
      <x:c r="F87" s="42" t="n">
        <x:v>8149.94</x:v>
      </x:c>
      <x:c r="G87" s="42" t="n">
        <x:v>8214.19</x:v>
      </x:c>
      <x:c r="H87" s="42" t="n">
        <x:v>34.1</x:v>
      </x:c>
      <x:c r="I87" s="43" t="n">
        <x:v>0.004169885869086842</x:v>
      </x:c>
      <x:c r="J87" s="42" t="n">
        <x:f>ROUND(E87-F87,1)</x:f>
        <x:v>80.2</x:v>
      </x:c>
      <x:c r="K87" s="41" t="str">
        <x:v>中证500</x:v>
      </x:c>
    </x:row>
    <x:row r="88">
      <x:c r="A88" s="22" t="n">
        <x:v>13</x:v>
      </x:c>
      <x:c r="B88" s="22" t="str">
        <x:v>周一</x:v>
      </x:c>
      <x:c r="C88" s="22" t="str">
        <x:v>4月20日</x:v>
      </x:c>
      <x:c r="D88" s="23" t="n">
        <x:v>8223.58</x:v>
      </x:c>
      <x:c r="E88" s="23" t="n">
        <x:v>8310.94</x:v>
      </x:c>
      <x:c r="F88" s="23" t="n">
        <x:v>8214.26</x:v>
      </x:c>
      <x:c r="G88" s="23" t="n">
        <x:v>8290.02</x:v>
      </x:c>
      <x:c r="H88" s="23" t="n">
        <x:v>75.8</x:v>
      </x:c>
      <x:c r="I88" s="24" t="n">
        <x:v>0.009231585828913147</x:v>
      </x:c>
      <x:c r="J88" s="23" t="n">
        <x:f>ROUND(E88-F88,1)</x:f>
        <x:v>96.7</x:v>
      </x:c>
      <x:c r="K88" s="22" t="str">
        <x:v>中证500</x:v>
      </x:c>
    </x:row>
    <x:row r="89">
      <x:c r="A89" s="22" t="n">
        <x:v>14</x:v>
      </x:c>
      <x:c r="B89" s="22" t="str">
        <x:v>周二</x:v>
      </x:c>
      <x:c r="C89" s="22" t="str">
        <x:v>4月21日</x:v>
      </x:c>
      <x:c r="D89" s="23" t="n">
        <x:v>8263.38</x:v>
      </x:c>
      <x:c r="E89" s="23" t="n">
        <x:v>8281.32</x:v>
      </x:c>
      <x:c r="F89" s="23" t="n">
        <x:v>8189.76</x:v>
      </x:c>
      <x:c r="G89" s="23" t="n">
        <x:v>8270.33</x:v>
      </x:c>
      <x:c r="H89" s="23" t="n">
        <x:v>-19.7</x:v>
      </x:c>
      <x:c r="I89" s="24" t="n">
        <x:v>-0.002375145053932326</x:v>
      </x:c>
      <x:c r="J89" s="23" t="n">
        <x:f>ROUND(E89-F89,1)</x:f>
        <x:v>91.6</x:v>
      </x:c>
      <x:c r="K89" s="22" t="str">
        <x:v>中证500</x:v>
      </x:c>
    </x:row>
    <x:row r="90">
      <x:c r="A90" s="22" t="n">
        <x:v>15</x:v>
      </x:c>
      <x:c r="B90" s="22" t="str">
        <x:v>周三</x:v>
      </x:c>
      <x:c r="C90" s="22" t="str">
        <x:v>4月22日</x:v>
      </x:c>
      <x:c r="D90" s="23" t="n">
        <x:v>8226.85</x:v>
      </x:c>
      <x:c r="E90" s="23" t="n">
        <x:v>8377.34</x:v>
      </x:c>
      <x:c r="F90" s="23" t="n">
        <x:v>8226.85</x:v>
      </x:c>
      <x:c r="G90" s="23" t="n">
        <x:v>8376.18</x:v>
      </x:c>
      <x:c r="H90" s="23" t="n">
        <x:v>105.9</x:v>
      </x:c>
      <x:c r="I90" s="24" t="n">
        <x:v>0.012798763773634203</x:v>
      </x:c>
      <x:c r="J90" s="23" t="n">
        <x:f>ROUND(E90-F90,1)</x:f>
        <x:v>150.5</x:v>
      </x:c>
      <x:c r="K90" s="22" t="str">
        <x:v>中证500</x:v>
      </x:c>
    </x:row>
    <x:row r="91">
      <x:c r="A91" s="22" t="n">
        <x:v>16</x:v>
      </x:c>
      <x:c r="B91" s="22" t="str">
        <x:v>周四</x:v>
      </x:c>
      <x:c r="C91" s="22" t="str">
        <x:v>4月23日</x:v>
      </x:c>
      <x:c r="D91" s="23" t="n">
        <x:v>8387.76</x:v>
      </x:c>
      <x:c r="E91" s="23" t="n">
        <x:v>8401.5</x:v>
      </x:c>
      <x:c r="F91" s="23" t="n">
        <x:v>8220.95</x:v>
      </x:c>
      <x:c r="G91" s="23" t="n">
        <x:v>8295.21</x:v>
      </x:c>
      <x:c r="H91" s="23" t="n">
        <x:v>-81</x:v>
      </x:c>
      <x:c r="I91" s="24" t="n">
        <x:v>-0.009666697707069516</x:v>
      </x:c>
      <x:c r="J91" s="26" t="n">
        <x:f>ROUND(E91-F91,1)</x:f>
        <x:v>180.5</x:v>
      </x:c>
      <x:c r="K91" s="22" t="str">
        <x:v>中证500</x:v>
      </x:c>
    </x:row>
    <x:row r="92">
      <x:c r="A92" s="22" t="n">
        <x:v>17</x:v>
      </x:c>
      <x:c r="B92" s="22" t="str">
        <x:v>周五</x:v>
      </x:c>
      <x:c r="C92" s="22" t="str">
        <x:v>4月24日</x:v>
      </x:c>
      <x:c r="D92" s="23" t="n">
        <x:v>8244.78</x:v>
      </x:c>
      <x:c r="E92" s="23" t="n">
        <x:v>8299.88</x:v>
      </x:c>
      <x:c r="F92" s="23" t="n">
        <x:v>8165.8</x:v>
      </x:c>
      <x:c r="G92" s="23" t="n">
        <x:v>8247.88</x:v>
      </x:c>
      <x:c r="H92" s="23" t="n">
        <x:v>-47.3</x:v>
      </x:c>
      <x:c r="I92" s="24" t="n">
        <x:v>-0.005705702447557082</x:v>
      </x:c>
      <x:c r="J92" s="23" t="n">
        <x:f>ROUND(E92-F92,1)</x:f>
        <x:v>134.1</x:v>
      </x:c>
      <x:c r="K92" s="22" t="str">
        <x:v>中证500</x:v>
      </x:c>
    </x:row>
    <x:row r="93">
      <x:c r="A93" s="22" t="n">
        <x:v>18</x:v>
      </x:c>
      <x:c r="B93" s="22" t="str">
        <x:v>周一</x:v>
      </x:c>
      <x:c r="C93" s="22" t="str">
        <x:v>4月27日</x:v>
      </x:c>
      <x:c r="D93" s="23" t="n">
        <x:v>8236.43</x:v>
      </x:c>
      <x:c r="E93" s="23" t="n">
        <x:v>8326.15</x:v>
      </x:c>
      <x:c r="F93" s="23" t="n">
        <x:v>8219.94</x:v>
      </x:c>
      <x:c r="G93" s="23" t="n">
        <x:v>8299.05</x:v>
      </x:c>
      <x:c r="H93" s="23" t="n">
        <x:v>51.2</x:v>
      </x:c>
      <x:c r="I93" s="24" t="n">
        <x:v>0.006204018487175</x:v>
      </x:c>
      <x:c r="J93" s="23" t="n">
        <x:f>ROUND(E93-F93,1)</x:f>
        <x:v>106.2</x:v>
      </x:c>
      <x:c r="K93" s="22" t="str">
        <x:v>中证500</x:v>
      </x:c>
    </x:row>
    <x:row r="94">
      <x:c r="A94" s="22" t="n">
        <x:v>19</x:v>
      </x:c>
      <x:c r="B94" s="22" t="str">
        <x:v>周二</x:v>
      </x:c>
      <x:c r="C94" s="22" t="str">
        <x:v>4月28日</x:v>
      </x:c>
      <x:c r="D94" s="23" t="n">
        <x:v>8274.63</x:v>
      </x:c>
      <x:c r="E94" s="23" t="n">
        <x:v>8275.33</x:v>
      </x:c>
      <x:c r="F94" s="23" t="n">
        <x:v>8173.44</x:v>
      </x:c>
      <x:c r="G94" s="23" t="n">
        <x:v>8203.96</x:v>
      </x:c>
      <x:c r="H94" s="23" t="n">
        <x:v>-95.1</x:v>
      </x:c>
      <x:c r="I94" s="24" t="n">
        <x:v>-0.011457937956754094</x:v>
      </x:c>
      <x:c r="J94" s="23" t="n">
        <x:f>ROUND(E94-F94,1)</x:f>
        <x:v>101.9</x:v>
      </x:c>
      <x:c r="K94" s="22" t="str">
        <x:v>中证500</x:v>
      </x:c>
    </x:row>
    <x:row r="95">
      <x:c r="A95" s="22" t="n">
        <x:v>20</x:v>
      </x:c>
      <x:c r="B95" s="22" t="str">
        <x:v>周三</x:v>
      </x:c>
      <x:c r="C95" s="22" t="str">
        <x:v>4月29日</x:v>
      </x:c>
      <x:c r="D95" s="23" t="n">
        <x:v>8157.35</x:v>
      </x:c>
      <x:c r="E95" s="23" t="n">
        <x:v>8356.72</x:v>
      </x:c>
      <x:c r="F95" s="23" t="n">
        <x:v>8157.35</x:v>
      </x:c>
      <x:c r="G95" s="23" t="n">
        <x:v>8342.42</x:v>
      </x:c>
      <x:c r="H95" s="23" t="n">
        <x:v>138.5</x:v>
      </x:c>
      <x:c r="I95" s="24" t="n">
        <x:v>0.0168772153935417</x:v>
      </x:c>
      <x:c r="J95" s="26" t="n">
        <x:f>ROUND(E95-F95,1)</x:f>
        <x:v>199.4</x:v>
      </x:c>
      <x:c r="K95" s="22" t="str">
        <x:v>中证500</x:v>
      </x:c>
    </x:row>
    <x:row r="96">
      <x:c r="A96" s="22" t="n">
        <x:v>21</x:v>
      </x:c>
      <x:c r="B96" s="22" t="str">
        <x:v>周四</x:v>
      </x:c>
      <x:c r="C96" s="22" t="str">
        <x:v>4月30日</x:v>
      </x:c>
      <x:c r="D96" s="23" t="n">
        <x:v>8331.44</x:v>
      </x:c>
      <x:c r="E96" s="23" t="n">
        <x:v>8375.19</x:v>
      </x:c>
      <x:c r="F96" s="23" t="n">
        <x:v>8300.5</x:v>
      </x:c>
      <x:c r="G96" s="23" t="n">
        <x:v>8349.51</x:v>
      </x:c>
      <x:c r="H96" s="23" t="n">
        <x:v>7.1</x:v>
      </x:c>
      <x:c r="I96" s="24" t="n">
        <x:v>0.0008498732981556678</x:v>
      </x:c>
      <x:c r="J96" s="23" t="n">
        <x:f>ROUND(E96-F96,1)</x:f>
        <x:v>74.7</x:v>
      </x:c>
      <x:c r="K96" s="22" t="str">
        <x:v>中证500</x:v>
      </x:c>
    </x:row>
    <x:row r="97">
      <x:c r="A97" s="31" t="str">
        <x:v>合计</x:v>
      </x:c>
      <x:c r="B97" s="30" t="n">
        <x:v>21</x:v>
      </x:c>
      <x:c r="C97" s="30"/>
      <x:c r="D97" s="30"/>
      <x:c r="E97" s="30"/>
      <x:c r="F97" s="30"/>
      <x:c r="G97" s="30"/>
      <x:c r="H97" s="30"/>
      <x:c r="I97" s="30"/>
      <x:c r="J97" s="32" t="n">
        <x:f>ROUND(SUM(J76:J96),1)</x:f>
        <x:v>2549.8</x:v>
      </x:c>
      <x:c r="K97" s="30"/>
    </x:row>
    <x:row r="98">
      <x:c r="A98" s="31" t="str">
        <x:v>均值</x:v>
      </x:c>
      <x:c r="B98" s="30"/>
      <x:c r="C98" s="30"/>
      <x:c r="D98" s="30"/>
      <x:c r="E98" s="30"/>
      <x:c r="F98" s="30"/>
      <x:c r="G98" s="30"/>
      <x:c r="H98" s="30"/>
      <x:c r="I98" s="30"/>
      <x:c r="J98" s="34" t="n">
        <x:f>ROUND(IFERROR(AVERAGE(J76:J96),0),1)</x:f>
        <x:v>121.4</x:v>
      </x:c>
      <x:c r="K98" s="30"/>
    </x:row>
    <x:row r="100">
      <x:c r="A100" s="17" t="str">
        <x:v>5月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20" t="str">
        <x:v>序号</x:v>
      </x:c>
      <x:c r="B101" s="20" t="str">
        <x:v>星期</x:v>
      </x:c>
      <x:c r="C101" s="20" t="str">
        <x:v>日期</x:v>
      </x:c>
      <x:c r="D101" s="20" t="str">
        <x:v>开盘</x:v>
      </x:c>
      <x:c r="E101" s="20" t="str">
        <x:v>高点</x:v>
      </x:c>
      <x:c r="F101" s="20" t="str">
        <x:v>低点</x:v>
      </x:c>
      <x:c r="G101" s="20" t="str">
        <x:v>收盘</x:v>
      </x:c>
      <x:c r="H101" s="20" t="str">
        <x:v>涨跌点数</x:v>
      </x:c>
      <x:c r="I101" s="20" t="str">
        <x:v>涨幅</x:v>
      </x:c>
      <x:c r="J101" s="20" t="str">
        <x:v>振幅</x:v>
      </x:c>
      <x:c r="K101" s="20" t="str">
        <x:v>标的</x:v>
      </x:c>
    </x:row>
    <x:row r="102">
      <x:c r="A102" s="22" t="n">
        <x:v>1</x:v>
      </x:c>
      <x:c r="B102" s="22" t="str">
        <x:v>周三</x:v>
      </x:c>
      <x:c r="C102" s="22" t="str">
        <x:v>5月6日</x:v>
      </x:c>
      <x:c r="D102" s="23" t="n">
        <x:v>8441.34</x:v>
      </x:c>
      <x:c r="E102" s="23" t="n">
        <x:v>8621.35</x:v>
      </x:c>
      <x:c r="F102" s="23" t="n">
        <x:v>8441.34</x:v>
      </x:c>
      <x:c r="G102" s="23" t="n">
        <x:v>8588.44</x:v>
      </x:c>
      <x:c r="H102" s="28" t="n">
        <x:v>238.9</x:v>
      </x:c>
      <x:c r="I102" s="24" t="n">
        <x:v>0.02861605052272531</x:v>
      </x:c>
      <x:c r="J102" s="26" t="n">
        <x:f>ROUND(E102-F102,1)</x:f>
        <x:v>180</x:v>
      </x:c>
      <x:c r="K102" s="22" t="str">
        <x:v>中证500</x:v>
      </x:c>
    </x:row>
    <x:row r="103">
      <x:c r="A103" s="22" t="n">
        <x:v>2</x:v>
      </x:c>
      <x:c r="B103" s="22" t="str">
        <x:v>周四</x:v>
      </x:c>
      <x:c r="C103" s="22" t="str">
        <x:v>5月7日</x:v>
      </x:c>
      <x:c r="D103" s="23" t="n">
        <x:v>8637.84</x:v>
      </x:c>
      <x:c r="E103" s="23" t="n">
        <x:v>8700.34</x:v>
      </x:c>
      <x:c r="F103" s="23" t="n">
        <x:v>8598.71</x:v>
      </x:c>
      <x:c r="G103" s="23" t="n">
        <x:v>8696.8</x:v>
      </x:c>
      <x:c r="H103" s="23" t="n">
        <x:v>108.4</x:v>
      </x:c>
      <x:c r="I103" s="24" t="n">
        <x:v>0.012616959540964201</x:v>
      </x:c>
      <x:c r="J103" s="23" t="n">
        <x:f>ROUND(E103-F103,1)</x:f>
        <x:v>101.6</x:v>
      </x:c>
      <x:c r="K103" s="22" t="str">
        <x:v>中证500</x:v>
      </x:c>
    </x:row>
    <x:row r="104">
      <x:c r="A104" s="22" t="n">
        <x:v>3</x:v>
      </x:c>
      <x:c r="B104" s="22" t="str">
        <x:v>周五</x:v>
      </x:c>
      <x:c r="C104" s="22" t="str">
        <x:v>5月8日</x:v>
      </x:c>
      <x:c r="D104" s="23" t="n">
        <x:v>8638.84</x:v>
      </x:c>
      <x:c r="E104" s="23" t="n">
        <x:v>8706.33</x:v>
      </x:c>
      <x:c r="F104" s="23" t="n">
        <x:v>8616.22</x:v>
      </x:c>
      <x:c r="G104" s="23" t="n">
        <x:v>8694.17</x:v>
      </x:c>
      <x:c r="H104" s="23" t="n">
        <x:v>-2.6</x:v>
      </x:c>
      <x:c r="I104" s="24" t="n">
        <x:v>-0.0003024100818691533</x:v>
      </x:c>
      <x:c r="J104" s="23" t="n">
        <x:f>ROUND(E104-F104,1)</x:f>
        <x:v>90.1</x:v>
      </x:c>
      <x:c r="K104" s="22" t="str">
        <x:v>中证500</x:v>
      </x:c>
    </x:row>
    <x:row r="105">
      <x:c r="A105" s="22" t="n">
        <x:v>4</x:v>
      </x:c>
      <x:c r="B105" s="22" t="str">
        <x:v>周一</x:v>
      </x:c>
      <x:c r="C105" s="22" t="str">
        <x:v>5月11日</x:v>
      </x:c>
      <x:c r="D105" s="23" t="n">
        <x:v>8771.18</x:v>
      </x:c>
      <x:c r="E105" s="23" t="n">
        <x:v>8863.77</x:v>
      </x:c>
      <x:c r="F105" s="23" t="n">
        <x:v>8716.45</x:v>
      </x:c>
      <x:c r="G105" s="23" t="n">
        <x:v>8839.74</x:v>
      </x:c>
      <x:c r="H105" s="23" t="n">
        <x:v>145.6</x:v>
      </x:c>
      <x:c r="I105" s="24" t="n">
        <x:v>0.016743403913197064</x:v>
      </x:c>
      <x:c r="J105" s="23" t="n">
        <x:f>ROUND(E105-F105,1)</x:f>
        <x:v>147.3</x:v>
      </x:c>
      <x:c r="K105" s="22" t="str">
        <x:v>中证500</x:v>
      </x:c>
    </x:row>
    <x:row r="106">
      <x:c r="A106" s="22" t="n">
        <x:v>5</x:v>
      </x:c>
      <x:c r="B106" s="22" t="str">
        <x:v>周二</x:v>
      </x:c>
      <x:c r="C106" s="22" t="str">
        <x:v>5月12日</x:v>
      </x:c>
      <x:c r="D106" s="23" t="n">
        <x:v>8856.18</x:v>
      </x:c>
      <x:c r="E106" s="23" t="n">
        <x:v>8856.18</x:v>
      </x:c>
      <x:c r="F106" s="23" t="n">
        <x:v>8736.42</x:v>
      </x:c>
      <x:c r="G106" s="23" t="n">
        <x:v>8785.98</x:v>
      </x:c>
      <x:c r="H106" s="23" t="n">
        <x:v>-53.8</x:v>
      </x:c>
      <x:c r="I106" s="24" t="n">
        <x:v>-0.006081626835178433</x:v>
      </x:c>
      <x:c r="J106" s="23" t="n">
        <x:f>ROUND(E106-F106,1)</x:f>
        <x:v>119.8</x:v>
      </x:c>
      <x:c r="K106" s="22" t="str">
        <x:v>中证500</x:v>
      </x:c>
    </x:row>
    <x:row r="107">
      <x:c r="A107" s="22" t="n">
        <x:v>6</x:v>
      </x:c>
      <x:c r="B107" s="22" t="str">
        <x:v>周三</x:v>
      </x:c>
      <x:c r="C107" s="22" t="str">
        <x:v>5月13日</x:v>
      </x:c>
      <x:c r="D107" s="23" t="n">
        <x:v>8730.91</x:v>
      </x:c>
      <x:c r="E107" s="23" t="n">
        <x:v>8925.88</x:v>
      </x:c>
      <x:c r="F107" s="23" t="n">
        <x:v>8730.91</x:v>
      </x:c>
      <x:c r="G107" s="23" t="n">
        <x:v>8918.24</x:v>
      </x:c>
      <x:c r="H107" s="23" t="n">
        <x:v>132.3</x:v>
      </x:c>
      <x:c r="I107" s="24" t="n">
        <x:v>0.015053528462391164</x:v>
      </x:c>
      <x:c r="J107" s="26" t="n">
        <x:f>ROUND(E107-F107,1)</x:f>
        <x:v>195</x:v>
      </x:c>
      <x:c r="K107" s="22" t="str">
        <x:v>中证500</x:v>
      </x:c>
    </x:row>
    <x:row r="108">
      <x:c r="A108" s="22" t="n">
        <x:v>7</x:v>
      </x:c>
      <x:c r="B108" s="22" t="str">
        <x:v>周四</x:v>
      </x:c>
      <x:c r="C108" s="22" t="str">
        <x:v>5月14日</x:v>
      </x:c>
      <x:c r="D108" s="23" t="n">
        <x:v>8952.95</x:v>
      </x:c>
      <x:c r="E108" s="23" t="n">
        <x:v>8956.66</x:v>
      </x:c>
      <x:c r="F108" s="23" t="n">
        <x:v>8670.16</x:v>
      </x:c>
      <x:c r="G108" s="23" t="n">
        <x:v>8670.16</x:v>
      </x:c>
      <x:c r="H108" s="28" t="n">
        <x:v>-248.1</x:v>
      </x:c>
      <x:c r="I108" s="24" t="n">
        <x:v>-0.0278171477780369</x:v>
      </x:c>
      <x:c r="J108" s="26" t="n">
        <x:f>ROUND(E108-F108,1)</x:f>
        <x:v>286.5</x:v>
      </x:c>
      <x:c r="K108" s="22" t="str">
        <x:v>中证500</x:v>
      </x:c>
    </x:row>
    <x:row r="109">
      <x:c r="A109" s="41" t="n">
        <x:v>8</x:v>
      </x:c>
      <x:c r="B109" s="41" t="str">
        <x:v>周五</x:v>
      </x:c>
      <x:c r="C109" s="41" t="str">
        <x:v>5月15日</x:v>
      </x:c>
      <x:c r="D109" s="42" t="n">
        <x:v>8676.62</x:v>
      </x:c>
      <x:c r="E109" s="42" t="n">
        <x:v>8717.09</x:v>
      </x:c>
      <x:c r="F109" s="42" t="n">
        <x:v>8473.04</x:v>
      </x:c>
      <x:c r="G109" s="42" t="n">
        <x:v>8536.34</x:v>
      </x:c>
      <x:c r="H109" s="42" t="n">
        <x:v>-133.8</x:v>
      </x:c>
      <x:c r="I109" s="43" t="n">
        <x:v>-0.015434547920684216</x:v>
      </x:c>
      <x:c r="J109" s="26" t="n">
        <x:f>ROUND(E109-F109,1)</x:f>
        <x:v>244</x:v>
      </x:c>
      <x:c r="K109" s="41" t="str">
        <x:v>中证500</x:v>
      </x:c>
    </x:row>
    <x:row r="110">
      <x:c r="A110" s="22" t="n">
        <x:v>9</x:v>
      </x:c>
      <x:c r="B110" s="22" t="str">
        <x:v>周一</x:v>
      </x:c>
      <x:c r="C110" s="22" t="str">
        <x:v>5月18日</x:v>
      </x:c>
      <x:c r="D110" s="23" t="n">
        <x:v>8493.02</x:v>
      </x:c>
      <x:c r="E110" s="23" t="n">
        <x:v>8606.41</x:v>
      </x:c>
      <x:c r="F110" s="23" t="n">
        <x:v>8472.42</x:v>
      </x:c>
      <x:c r="G110" s="23" t="n">
        <x:v>8554.24</x:v>
      </x:c>
      <x:c r="H110" s="23" t="n">
        <x:v>17.9</x:v>
      </x:c>
      <x:c r="I110" s="24" t="n">
        <x:v>0.002096917414254884</x:v>
      </x:c>
      <x:c r="J110" s="23" t="n">
        <x:f>ROUND(E110-F110,1)</x:f>
        <x:v>134</x:v>
      </x:c>
      <x:c r="K110" s="22" t="str">
        <x:v>中证500</x:v>
      </x:c>
    </x:row>
    <x:row r="111">
      <x:c r="A111" s="22" t="n">
        <x:v>10</x:v>
      </x:c>
      <x:c r="B111" s="22" t="str">
        <x:v>周二</x:v>
      </x:c>
      <x:c r="C111" s="22" t="str">
        <x:v>5月19日</x:v>
      </x:c>
      <x:c r="D111" s="23" t="n">
        <x:v>8524.15</x:v>
      </x:c>
      <x:c r="E111" s="23" t="n">
        <x:v>8633.06</x:v>
      </x:c>
      <x:c r="F111" s="23" t="n">
        <x:v>8416.52</x:v>
      </x:c>
      <x:c r="G111" s="23" t="n">
        <x:v>8627.95</x:v>
      </x:c>
      <x:c r="H111" s="23" t="n">
        <x:v>73.7</x:v>
      </x:c>
      <x:c r="I111" s="24" t="n">
        <x:v>0.008616779515187911</x:v>
      </x:c>
      <x:c r="J111" s="26" t="n">
        <x:f>ROUND(E111-F111,1)</x:f>
        <x:v>216.5</x:v>
      </x:c>
      <x:c r="K111" s="22" t="str">
        <x:v>中证500</x:v>
      </x:c>
    </x:row>
    <x:row r="112">
      <x:c r="A112" s="22" t="n">
        <x:v>11</x:v>
      </x:c>
      <x:c r="B112" s="22" t="str">
        <x:v>周三</x:v>
      </x:c>
      <x:c r="C112" s="22" t="str">
        <x:v>5月20日</x:v>
      </x:c>
      <x:c r="D112" s="23" t="n">
        <x:v>8581.39</x:v>
      </x:c>
      <x:c r="E112" s="23" t="n">
        <x:v>8681.72</x:v>
      </x:c>
      <x:c r="F112" s="23" t="n">
        <x:v>8552.43</x:v>
      </x:c>
      <x:c r="G112" s="23" t="n">
        <x:v>8656.31</x:v>
      </x:c>
      <x:c r="H112" s="23" t="n">
        <x:v>28.4</x:v>
      </x:c>
      <x:c r="I112" s="24" t="n">
        <x:v>0.003286991695593766</x:v>
      </x:c>
      <x:c r="J112" s="23" t="n">
        <x:f>ROUND(E112-F112,1)</x:f>
        <x:v>129.3</x:v>
      </x:c>
      <x:c r="K112" s="22" t="str">
        <x:v>中证500</x:v>
      </x:c>
    </x:row>
    <x:row r="113">
      <x:c r="A113" s="22" t="n">
        <x:v>12</x:v>
      </x:c>
      <x:c r="B113" s="22" t="str">
        <x:v>周四</x:v>
      </x:c>
      <x:c r="C113" s="22" t="str">
        <x:v>5月21日</x:v>
      </x:c>
      <x:c r="D113" s="23" t="n">
        <x:v>8703.17</x:v>
      </x:c>
      <x:c r="E113" s="23" t="n">
        <x:v>8790.38</x:v>
      </x:c>
      <x:c r="F113" s="23" t="n">
        <x:v>8406.29</x:v>
      </x:c>
      <x:c r="G113" s="23" t="n">
        <x:v>8419.84</x:v>
      </x:c>
      <x:c r="H113" s="28" t="n">
        <x:v>-236.5</x:v>
      </x:c>
      <x:c r="I113" s="24" t="n">
        <x:v>-0.0273176445852793</x:v>
      </x:c>
      <x:c r="J113" s="26" t="n">
        <x:f>ROUND(E113-F113,1)</x:f>
        <x:v>384.1</x:v>
      </x:c>
      <x:c r="K113" s="22" t="str">
        <x:v>中证500</x:v>
      </x:c>
    </x:row>
    <x:row r="114">
      <x:c r="A114" s="22" t="n">
        <x:v>13</x:v>
      </x:c>
      <x:c r="B114" s="22" t="str">
        <x:v>周五</x:v>
      </x:c>
      <x:c r="C114" s="22" t="str">
        <x:v>5月22日</x:v>
      </x:c>
      <x:c r="D114" s="23" t="n">
        <x:v>8473.61</x:v>
      </x:c>
      <x:c r="E114" s="23" t="n">
        <x:v>8591.15</x:v>
      </x:c>
      <x:c r="F114" s="23" t="n">
        <x:v>8414.94</x:v>
      </x:c>
      <x:c r="G114" s="23" t="n">
        <x:v>8576.94</x:v>
      </x:c>
      <x:c r="H114" s="28" t="n">
        <x:v>157.1</x:v>
      </x:c>
      <x:c r="I114" s="24" t="n">
        <x:v>0.018658311796898808</x:v>
      </x:c>
      <x:c r="J114" s="26" t="n">
        <x:f>ROUND(E114-F114,1)</x:f>
        <x:v>176.2</x:v>
      </x:c>
      <x:c r="K114" s="22" t="str">
        <x:v>中证500</x:v>
      </x:c>
    </x:row>
    <x:row r="115">
      <x:c r="A115" s="22" t="n">
        <x:v>14</x:v>
      </x:c>
      <x:c r="B115" s="22" t="str">
        <x:v>周一</x:v>
      </x:c>
      <x:c r="C115" s="22" t="str">
        <x:v>5月25日</x:v>
      </x:c>
      <x:c r="D115" s="23" t="n">
        <x:v>8631.21</x:v>
      </x:c>
      <x:c r="E115" s="23" t="n">
        <x:v>8705.2</x:v>
      </x:c>
      <x:c r="F115" s="23" t="n">
        <x:v>8543.89</x:v>
      </x:c>
      <x:c r="G115" s="23" t="n">
        <x:v>8703.89</x:v>
      </x:c>
      <x:c r="H115" s="23" t="n">
        <x:v>126.9</x:v>
      </x:c>
      <x:c r="I115" s="24" t="n">
        <x:v>0.014801316087089234</x:v>
      </x:c>
      <x:c r="J115" s="26" t="n">
        <x:f>ROUND(E115-F115,1)</x:f>
        <x:v>161.3</x:v>
      </x:c>
      <x:c r="K115" s="22" t="str">
        <x:v>中证500</x:v>
      </x:c>
    </x:row>
    <x:row r="116">
      <x:c r="A116" s="22" t="n">
        <x:v>15</x:v>
      </x:c>
      <x:c r="B116" s="22" t="str">
        <x:v>周二</x:v>
      </x:c>
      <x:c r="C116" s="22" t="str">
        <x:v>5月26日</x:v>
      </x:c>
      <x:c r="D116" s="23" t="n">
        <x:v>8665.44</x:v>
      </x:c>
      <x:c r="E116" s="23" t="n">
        <x:v>8673.21</x:v>
      </x:c>
      <x:c r="F116" s="23" t="n">
        <x:v>8529.67</x:v>
      </x:c>
      <x:c r="G116" s="23" t="n">
        <x:v>8658.62</x:v>
      </x:c>
      <x:c r="H116" s="23" t="n">
        <x:v>-45.3</x:v>
      </x:c>
      <x:c r="I116" s="24" t="n">
        <x:v>-0.005201122716394502</x:v>
      </x:c>
      <x:c r="J116" s="23" t="n">
        <x:f>ROUND(E116-F116,1)</x:f>
        <x:v>143.5</x:v>
      </x:c>
      <x:c r="K116" s="22" t="str">
        <x:v>中证500</x:v>
      </x:c>
    </x:row>
    <x:row r="117">
      <x:c r="A117" s="22" t="n">
        <x:v>16</x:v>
      </x:c>
      <x:c r="B117" s="22" t="str">
        <x:v>周三</x:v>
      </x:c>
      <x:c r="C117" s="22" t="str">
        <x:v>5月27日</x:v>
      </x:c>
      <x:c r="D117" s="23" t="n">
        <x:v>8659.22</x:v>
      </x:c>
      <x:c r="E117" s="23" t="n">
        <x:v>8722.58</x:v>
      </x:c>
      <x:c r="F117" s="23" t="n">
        <x:v>8491.32</x:v>
      </x:c>
      <x:c r="G117" s="23" t="n">
        <x:v>8530.98</x:v>
      </x:c>
      <x:c r="H117" s="23" t="n">
        <x:v>-127.6</x:v>
      </x:c>
      <x:c r="I117" s="24" t="n">
        <x:v>-0.014741379111221087</x:v>
      </x:c>
      <x:c r="J117" s="26" t="n">
        <x:f>ROUND(E117-F117,1)</x:f>
        <x:v>231.3</x:v>
      </x:c>
      <x:c r="K117" s="22" t="str">
        <x:v>中证500</x:v>
      </x:c>
    </x:row>
    <x:row r="118">
      <x:c r="A118" s="22" t="n">
        <x:v>17</x:v>
      </x:c>
      <x:c r="B118" s="22" t="str">
        <x:v>周四</x:v>
      </x:c>
      <x:c r="C118" s="22" t="str">
        <x:v>5月28日</x:v>
      </x:c>
      <x:c r="D118" s="23" t="n">
        <x:v>8503.67</x:v>
      </x:c>
      <x:c r="E118" s="23" t="n">
        <x:v>8596.45</x:v>
      </x:c>
      <x:c r="F118" s="23" t="n">
        <x:v>8424.45</x:v>
      </x:c>
      <x:c r="G118" s="23" t="n">
        <x:v>8563.22</x:v>
      </x:c>
      <x:c r="H118" s="23" t="n">
        <x:v>32.2</x:v>
      </x:c>
      <x:c r="I118" s="24" t="n">
        <x:v>0.003779167223460833</x:v>
      </x:c>
      <x:c r="J118" s="26" t="n">
        <x:f>ROUND(E118-F118,1)</x:f>
        <x:v>172</x:v>
      </x:c>
      <x:c r="K118" s="22" t="str">
        <x:v>中证500</x:v>
      </x:c>
    </x:row>
    <x:row r="119">
      <x:c r="A119" s="22" t="n">
        <x:v>18</x:v>
      </x:c>
      <x:c r="B119" s="22" t="str">
        <x:v>周五</x:v>
      </x:c>
      <x:c r="C119" s="22" t="str">
        <x:v>5月29日</x:v>
      </x:c>
      <x:c r="D119" s="23" t="n">
        <x:v>8589.82</x:v>
      </x:c>
      <x:c r="E119" s="23" t="n">
        <x:v>8597.98</x:v>
      </x:c>
      <x:c r="F119" s="23" t="n">
        <x:v>8296.24</x:v>
      </x:c>
      <x:c r="G119" s="23" t="n">
        <x:v>8359.56</x:v>
      </x:c>
      <x:c r="H119" s="28" t="n">
        <x:v>-203.7</x:v>
      </x:c>
      <x:c r="I119" s="24" t="n">
        <x:v>-0.023783109624650578</x:v>
      </x:c>
      <x:c r="J119" s="26" t="n">
        <x:f>ROUND(E119-F119,1)</x:f>
        <x:v>301.7</x:v>
      </x:c>
      <x:c r="K119" s="22" t="str">
        <x:v>中证500</x:v>
      </x:c>
    </x:row>
    <x:row r="120">
      <x:c r="A120" s="31" t="str">
        <x:v>合计</x:v>
      </x:c>
      <x:c r="B120" s="30" t="n">
        <x:v>18</x:v>
      </x:c>
      <x:c r="C120" s="30"/>
      <x:c r="D120" s="30"/>
      <x:c r="E120" s="30"/>
      <x:c r="F120" s="30"/>
      <x:c r="G120" s="30"/>
      <x:c r="H120" s="30"/>
      <x:c r="I120" s="30"/>
      <x:c r="J120" s="32" t="n">
        <x:f>ROUND(SUM(J102:J119),1)</x:f>
        <x:v>3414.2</x:v>
      </x:c>
      <x:c r="K120" s="30"/>
    </x:row>
    <x:row r="121">
      <x:c r="A121" s="31" t="str">
        <x:v>均值</x:v>
      </x:c>
      <x:c r="B121" s="30"/>
      <x:c r="C121" s="30"/>
      <x:c r="D121" s="30"/>
      <x:c r="E121" s="30"/>
      <x:c r="F121" s="30"/>
      <x:c r="G121" s="30"/>
      <x:c r="H121" s="30"/>
      <x:c r="I121" s="30"/>
      <x:c r="J121" s="34" t="n">
        <x:f>ROUND(IFERROR(AVERAGE(J102:J119),0),1)</x:f>
        <x:v>189.7</x:v>
      </x:c>
      <x:c r="K121" s="30"/>
    </x:row>
    <x:row r="123">
      <x:c r="A123" s="17" t="str">
        <x:v>6月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20" t="str">
        <x:v>序号</x:v>
      </x:c>
      <x:c r="B124" s="20" t="str">
        <x:v>星期</x:v>
      </x:c>
      <x:c r="C124" s="20" t="str">
        <x:v>日期</x:v>
      </x:c>
      <x:c r="D124" s="20" t="str">
        <x:v>开盘</x:v>
      </x:c>
      <x:c r="E124" s="20" t="str">
        <x:v>高点</x:v>
      </x:c>
      <x:c r="F124" s="20" t="str">
        <x:v>低点</x:v>
      </x:c>
      <x:c r="G124" s="20" t="str">
        <x:v>收盘</x:v>
      </x:c>
      <x:c r="H124" s="20" t="str">
        <x:v>涨跌点数</x:v>
      </x:c>
      <x:c r="I124" s="20" t="str">
        <x:v>涨幅</x:v>
      </x:c>
      <x:c r="J124" s="20" t="str">
        <x:v>振幅</x:v>
      </x:c>
      <x:c r="K124" s="20" t="str">
        <x:v>标的</x:v>
      </x:c>
    </x:row>
    <x:row r="125">
      <x:c r="A125" s="22" t="n">
        <x:v>1</x:v>
      </x:c>
      <x:c r="B125" s="22" t="str">
        <x:v>周一</x:v>
      </x:c>
      <x:c r="C125" s="22" t="str">
        <x:v>6月1日</x:v>
      </x:c>
      <x:c r="D125" s="23" t="n">
        <x:v>8358.49</x:v>
      </x:c>
      <x:c r="E125" s="23" t="n">
        <x:v>8442.53</x:v>
      </x:c>
      <x:c r="F125" s="23" t="n">
        <x:v>8259.6</x:v>
      </x:c>
      <x:c r="G125" s="23" t="n">
        <x:v>8274.21</x:v>
      </x:c>
      <x:c r="H125" s="23" t="n">
        <x:v>-85.4</x:v>
      </x:c>
      <x:c r="I125" s="24" t="n">
        <x:v>-0.010209867504988313</x:v>
      </x:c>
      <x:c r="J125" s="26" t="n">
        <x:f>ROUND(E125-F125,1)</x:f>
        <x:v>182.9</x:v>
      </x:c>
      <x:c r="K125" s="22" t="str">
        <x:v>中证500</x:v>
      </x:c>
    </x:row>
    <x:row r="126">
      <x:c r="A126" s="22" t="n">
        <x:v>2</x:v>
      </x:c>
      <x:c r="B126" s="22" t="str">
        <x:v>周二</x:v>
      </x:c>
      <x:c r="C126" s="22" t="str">
        <x:v>6月2日</x:v>
      </x:c>
      <x:c r="D126" s="23" t="n">
        <x:v>8290.83</x:v>
      </x:c>
      <x:c r="E126" s="23" t="n">
        <x:v>8378.43</x:v>
      </x:c>
      <x:c r="F126" s="23" t="n">
        <x:v>8142.51</x:v>
      </x:c>
      <x:c r="G126" s="23" t="n">
        <x:v>8321.43</x:v>
      </x:c>
      <x:c r="H126" s="23" t="n">
        <x:v>47.2</x:v>
      </x:c>
      <x:c r="I126" s="24" t="n">
        <x:v>0.005706889237764301</x:v>
      </x:c>
      <x:c r="J126" s="26" t="n">
        <x:f>ROUND(E126-F126,1)</x:f>
        <x:v>235.9</x:v>
      </x:c>
      <x:c r="K126" s="22" t="str">
        <x:v>中证500</x:v>
      </x:c>
    </x:row>
    <x:row r="127">
      <x:c r="A127" s="22" t="n">
        <x:v>3</x:v>
      </x:c>
      <x:c r="B127" s="22" t="str">
        <x:v>周三</x:v>
      </x:c>
      <x:c r="C127" s="22" t="str">
        <x:v>6月3日</x:v>
      </x:c>
      <x:c r="D127" s="23" t="n">
        <x:v>8317</x:v>
      </x:c>
      <x:c r="E127" s="23" t="n">
        <x:v>8462.67</x:v>
      </x:c>
      <x:c r="F127" s="23" t="n">
        <x:v>8294.29</x:v>
      </x:c>
      <x:c r="G127" s="23" t="n">
        <x:v>8362.16</x:v>
      </x:c>
      <x:c r="H127" s="23" t="n">
        <x:v>40.7</x:v>
      </x:c>
      <x:c r="I127" s="24" t="n">
        <x:v>0.00489459143440496</x:v>
      </x:c>
      <x:c r="J127" s="26" t="n">
        <x:f>ROUND(E127-F127,1)</x:f>
        <x:v>168.4</x:v>
      </x:c>
      <x:c r="K127" s="22" t="str">
        <x:v>中证500</x:v>
      </x:c>
    </x:row>
    <x:row r="128">
      <x:c r="A128" s="22" t="n">
        <x:v>4</x:v>
      </x:c>
      <x:c r="B128" s="22" t="str">
        <x:v>周四</x:v>
      </x:c>
      <x:c r="C128" s="22" t="str">
        <x:v>6月4日</x:v>
      </x:c>
      <x:c r="D128" s="23" t="n">
        <x:v>8279.86</x:v>
      </x:c>
      <x:c r="E128" s="23" t="n">
        <x:v>8391.05</x:v>
      </x:c>
      <x:c r="F128" s="23" t="n">
        <x:v>8279.86</x:v>
      </x:c>
      <x:c r="G128" s="23" t="n">
        <x:v>8356.74</x:v>
      </x:c>
      <x:c r="H128" s="23" t="n">
        <x:v>-5.4</x:v>
      </x:c>
      <x:c r="I128" s="24" t="n">
        <x:v>-0.000648157892219281</x:v>
      </x:c>
      <x:c r="J128" s="23" t="n">
        <x:f>ROUND(E128-F128,1)</x:f>
        <x:v>111.2</x:v>
      </x:c>
      <x:c r="K128" s="22" t="str">
        <x:v>中证500</x:v>
      </x:c>
    </x:row>
    <x:row r="129">
      <x:c r="A129" s="22" t="n">
        <x:v>5</x:v>
      </x:c>
      <x:c r="B129" s="22" t="str">
        <x:v>周五</x:v>
      </x:c>
      <x:c r="C129" s="22" t="str">
        <x:v>6月5日</x:v>
      </x:c>
      <x:c r="D129" s="23" t="n">
        <x:v>8317.64</x:v>
      </x:c>
      <x:c r="E129" s="23" t="n">
        <x:v>8399.41</x:v>
      </x:c>
      <x:c r="F129" s="23" t="n">
        <x:v>8218.14</x:v>
      </x:c>
      <x:c r="G129" s="23" t="n">
        <x:v>8251.14</x:v>
      </x:c>
      <x:c r="H129" s="23" t="n">
        <x:v>-105.6</x:v>
      </x:c>
      <x:c r="I129" s="24" t="n">
        <x:v>-0.01263650658031723</x:v>
      </x:c>
      <x:c r="J129" s="26" t="n">
        <x:f>ROUND(E129-F129,1)</x:f>
        <x:v>181.3</x:v>
      </x:c>
      <x:c r="K129" s="22" t="str">
        <x:v>中证500</x:v>
      </x:c>
    </x:row>
    <x:row r="130">
      <x:c r="A130" s="22" t="n">
        <x:v>6</x:v>
      </x:c>
      <x:c r="B130" s="22" t="str">
        <x:v>周一</x:v>
      </x:c>
      <x:c r="C130" s="22" t="str">
        <x:v>6月8日</x:v>
      </x:c>
      <x:c r="D130" s="23" t="n">
        <x:v>7978.66</x:v>
      </x:c>
      <x:c r="E130" s="23" t="n">
        <x:v>8142.34</x:v>
      </x:c>
      <x:c r="F130" s="23" t="n">
        <x:v>7889.4</x:v>
      </x:c>
      <x:c r="G130" s="23" t="n">
        <x:v>7963.45</x:v>
      </x:c>
      <x:c r="H130" s="28" t="n">
        <x:v>-287.7</x:v>
      </x:c>
      <x:c r="I130" s="24" t="n">
        <x:v>-0.03486669720790092</x:v>
      </x:c>
      <x:c r="J130" s="26" t="n">
        <x:f>ROUND(E130-F130,1)</x:f>
        <x:v>252.9</x:v>
      </x:c>
      <x:c r="K130" s="22" t="str">
        <x:v>中证500</x:v>
      </x:c>
    </x:row>
    <x:row r="131">
      <x:c r="A131" s="22" t="n">
        <x:v>7</x:v>
      </x:c>
      <x:c r="B131" s="22" t="str">
        <x:v>周二</x:v>
      </x:c>
      <x:c r="C131" s="22" t="str">
        <x:v>6月9日</x:v>
      </x:c>
      <x:c r="D131" s="23" t="n">
        <x:v>8059.34</x:v>
      </x:c>
      <x:c r="E131" s="23" t="n">
        <x:v>8181.13</x:v>
      </x:c>
      <x:c r="F131" s="23" t="n">
        <x:v>7965.49</x:v>
      </x:c>
      <x:c r="G131" s="23" t="n">
        <x:v>8176.18</x:v>
      </x:c>
      <x:c r="H131" s="28" t="n">
        <x:v>212.7</x:v>
      </x:c>
      <x:c r="I131" s="24" t="n">
        <x:v>0.026713296372803397</x:v>
      </x:c>
      <x:c r="J131" s="26" t="n">
        <x:f>ROUND(E131-F131,1)</x:f>
        <x:v>215.6</x:v>
      </x:c>
      <x:c r="K131" s="22" t="str">
        <x:v>中证500</x:v>
      </x:c>
    </x:row>
    <x:row r="132">
      <x:c r="A132" s="22" t="n">
        <x:v>8</x:v>
      </x:c>
      <x:c r="B132" s="22" t="str">
        <x:v>周三</x:v>
      </x:c>
      <x:c r="C132" s="22" t="str">
        <x:v>6月10日</x:v>
      </x:c>
      <x:c r="D132" s="23" t="n">
        <x:v>8094.14</x:v>
      </x:c>
      <x:c r="E132" s="23" t="n">
        <x:v>8148.26</x:v>
      </x:c>
      <x:c r="F132" s="23" t="n">
        <x:v>7973.55</x:v>
      </x:c>
      <x:c r="G132" s="23" t="n">
        <x:v>8063.86</x:v>
      </x:c>
      <x:c r="H132" s="23" t="n">
        <x:v>-112.3</x:v>
      </x:c>
      <x:c r="I132" s="24" t="n">
        <x:v>-0.013737466640900808</x:v>
      </x:c>
      <x:c r="J132" s="26" t="n">
        <x:f>ROUND(E132-F132,1)</x:f>
        <x:v>174.7</x:v>
      </x:c>
      <x:c r="K132" s="22" t="str">
        <x:v>中证500</x:v>
      </x:c>
    </x:row>
    <x:row r="133">
      <x:c r="A133" s="22" t="n">
        <x:v>9</x:v>
      </x:c>
      <x:c r="B133" s="22" t="str">
        <x:v>周四</x:v>
      </x:c>
      <x:c r="C133" s="22" t="str">
        <x:v>6月11日</x:v>
      </x:c>
      <x:c r="D133" s="23" t="n">
        <x:v>8025.61</x:v>
      </x:c>
      <x:c r="E133" s="23" t="n">
        <x:v>8091.68</x:v>
      </x:c>
      <x:c r="F133" s="23" t="n">
        <x:v>7965.02</x:v>
      </x:c>
      <x:c r="G133" s="23" t="n">
        <x:v>8035.78</x:v>
      </x:c>
      <x:c r="H133" s="23" t="n">
        <x:v>-28.1</x:v>
      </x:c>
      <x:c r="I133" s="24" t="n">
        <x:v>-0.003482203312061505</x:v>
      </x:c>
      <x:c r="J133" s="23" t="n">
        <x:f>ROUND(E133-F133,1)</x:f>
        <x:v>126.7</x:v>
      </x:c>
      <x:c r="K133" s="22" t="str">
        <x:v>中证500</x:v>
      </x:c>
    </x:row>
    <x:row r="134">
      <x:c r="A134" s="22" t="n">
        <x:v>10</x:v>
      </x:c>
      <x:c r="B134" s="22" t="str">
        <x:v>周五</x:v>
      </x:c>
      <x:c r="C134" s="22" t="str">
        <x:v>6月12日</x:v>
      </x:c>
      <x:c r="D134" s="23" t="n">
        <x:v>8189.21</x:v>
      </x:c>
      <x:c r="E134" s="23" t="n">
        <x:v>8258.91</x:v>
      </x:c>
      <x:c r="F134" s="23" t="n">
        <x:v>8098.78</x:v>
      </x:c>
      <x:c r="G134" s="23" t="n">
        <x:v>8106.2</x:v>
      </x:c>
      <x:c r="H134" s="23" t="n">
        <x:v>70.4</x:v>
      </x:c>
      <x:c r="I134" s="24" t="n">
        <x:v>0.00876330611340781</x:v>
      </x:c>
      <x:c r="J134" s="26" t="n">
        <x:f>ROUND(E134-F134,1)</x:f>
        <x:v>160.1</x:v>
      </x:c>
      <x:c r="K134" s="22" t="str">
        <x:v>中证500</x:v>
      </x:c>
    </x:row>
    <x:row r="135">
      <x:c r="A135" s="22" t="n">
        <x:v>11</x:v>
      </x:c>
      <x:c r="B135" s="22" t="str">
        <x:v>周一</x:v>
      </x:c>
      <x:c r="C135" s="22" t="str">
        <x:v>6月15日</x:v>
      </x:c>
      <x:c r="D135" s="23" t="n">
        <x:v>8175.05</x:v>
      </x:c>
      <x:c r="E135" s="23" t="n">
        <x:v>8406.78</x:v>
      </x:c>
      <x:c r="F135" s="23" t="n">
        <x:v>8174.59</x:v>
      </x:c>
      <x:c r="G135" s="23" t="n">
        <x:v>8406.75</x:v>
      </x:c>
      <x:c r="H135" s="28" t="n">
        <x:v>300.6</x:v>
      </x:c>
      <x:c r="I135" s="24" t="n">
        <x:v>0.03707655868347692</x:v>
      </x:c>
      <x:c r="J135" s="26" t="n">
        <x:f>ROUND(E135-F135,1)</x:f>
        <x:v>232.2</x:v>
      </x:c>
      <x:c r="K135" s="22" t="str">
        <x:v>中证500</x:v>
      </x:c>
    </x:row>
    <x:row r="136">
      <x:c r="A136" s="22" t="n">
        <x:v>12</x:v>
      </x:c>
      <x:c r="B136" s="22" t="str">
        <x:v>周二</x:v>
      </x:c>
      <x:c r="C136" s="22" t="str">
        <x:v>6月16日</x:v>
      </x:c>
      <x:c r="D136" s="23" t="n">
        <x:v>8430.92</x:v>
      </x:c>
      <x:c r="E136" s="23" t="n">
        <x:v>8538.19</x:v>
      </x:c>
      <x:c r="F136" s="23" t="n">
        <x:v>8413.51</x:v>
      </x:c>
      <x:c r="G136" s="23" t="n">
        <x:v>8507.98</x:v>
      </x:c>
      <x:c r="H136" s="23" t="n">
        <x:v>101.2</x:v>
      </x:c>
      <x:c r="I136" s="24" t="n">
        <x:v>0.01204151425937483</x:v>
      </x:c>
      <x:c r="J136" s="23" t="n">
        <x:f>ROUND(E136-F136,1)</x:f>
        <x:v>124.7</x:v>
      </x:c>
      <x:c r="K136" s="22" t="str">
        <x:v>中证500</x:v>
      </x:c>
    </x:row>
    <x:row r="137">
      <x:c r="A137" s="22" t="n">
        <x:v>13</x:v>
      </x:c>
      <x:c r="B137" s="22" t="str">
        <x:v>周三</x:v>
      </x:c>
      <x:c r="C137" s="22" t="str">
        <x:v>6月17日</x:v>
      </x:c>
      <x:c r="D137" s="23" t="n">
        <x:v>8451.63</x:v>
      </x:c>
      <x:c r="E137" s="23" t="n">
        <x:v>8630.52</x:v>
      </x:c>
      <x:c r="F137" s="23" t="n">
        <x:v>8451.63</x:v>
      </x:c>
      <x:c r="G137" s="23" t="n">
        <x:v>8627.09</x:v>
      </x:c>
      <x:c r="H137" s="23" t="n">
        <x:v>119.1</x:v>
      </x:c>
      <x:c r="I137" s="24" t="n">
        <x:v>0.013999797836854455</x:v>
      </x:c>
      <x:c r="J137" s="26" t="n">
        <x:f>ROUND(E137-F137,1)</x:f>
        <x:v>178.9</x:v>
      </x:c>
      <x:c r="K137" s="22" t="str">
        <x:v>中证500</x:v>
      </x:c>
    </x:row>
    <x:row r="138">
      <x:c r="A138" s="22" t="n">
        <x:v>14</x:v>
      </x:c>
      <x:c r="B138" s="22" t="str">
        <x:v>周四</x:v>
      </x:c>
      <x:c r="C138" s="22" t="str">
        <x:v>6月18日</x:v>
      </x:c>
      <x:c r="D138" s="23" t="n">
        <x:v>8590.5</x:v>
      </x:c>
      <x:c r="E138" s="23" t="n">
        <x:v>8716.34</x:v>
      </x:c>
      <x:c r="F138" s="23" t="n">
        <x:v>8587.98</x:v>
      </x:c>
      <x:c r="G138" s="23" t="n">
        <x:v>8673.09</x:v>
      </x:c>
      <x:c r="H138" s="23" t="n">
        <x:v>46</x:v>
      </x:c>
      <x:c r="I138" s="24" t="n">
        <x:v>0.005332041279272559</x:v>
      </x:c>
      <x:c r="J138" s="23" t="n">
        <x:f>ROUND(E138-F138,1)</x:f>
        <x:v>128.4</x:v>
      </x:c>
      <x:c r="K138" s="22" t="str">
        <x:v>中证500</x:v>
      </x:c>
    </x:row>
    <x:row r="139">
      <x:c r="A139" s="41" t="n">
        <x:v>15</x:v>
      </x:c>
      <x:c r="B139" s="41" t="str">
        <x:v>周一</x:v>
      </x:c>
      <x:c r="C139" s="41" t="str">
        <x:v>6月22日</x:v>
      </x:c>
      <x:c r="D139" s="42" t="n">
        <x:v>8709.66</x:v>
      </x:c>
      <x:c r="E139" s="42" t="n">
        <x:v>8870.49</x:v>
      </x:c>
      <x:c r="F139" s="42" t="n">
        <x:v>8605.22</x:v>
      </x:c>
      <x:c r="G139" s="42" t="n">
        <x:v>8868.78</x:v>
      </x:c>
      <x:c r="H139" s="28" t="n">
        <x:v>195.7</x:v>
      </x:c>
      <x:c r="I139" s="43" t="n">
        <x:v>0.02256289280982915</x:v>
      </x:c>
      <x:c r="J139" s="26" t="n">
        <x:f>ROUND(E139-F139,1)</x:f>
        <x:v>265.3</x:v>
      </x:c>
      <x:c r="K139" s="41" t="str">
        <x:v>中证500</x:v>
      </x:c>
    </x:row>
    <x:row r="140">
      <x:c r="A140" s="22" t="n">
        <x:v>16</x:v>
      </x:c>
      <x:c r="B140" s="22" t="str">
        <x:v>周二</x:v>
      </x:c>
      <x:c r="C140" s="22" t="str">
        <x:v>6月23日</x:v>
      </x:c>
      <x:c r="D140" s="23" t="n">
        <x:v>8831.59</x:v>
      </x:c>
      <x:c r="E140" s="23" t="n">
        <x:v>8895.34</x:v>
      </x:c>
      <x:c r="F140" s="23" t="n">
        <x:v>8629.01</x:v>
      </x:c>
      <x:c r="G140" s="23" t="n">
        <x:v>8688.59</x:v>
      </x:c>
      <x:c r="H140" s="28" t="n">
        <x:v>-180.2</x:v>
      </x:c>
      <x:c r="I140" s="24" t="n">
        <x:v>-0.020317337897658994</x:v>
      </x:c>
      <x:c r="J140" s="26" t="n">
        <x:f>ROUND(E140-F140,1)</x:f>
        <x:v>266.3</x:v>
      </x:c>
      <x:c r="K140" s="22" t="str">
        <x:v>中证500</x:v>
      </x:c>
    </x:row>
    <x:row r="141">
      <x:c r="A141" s="22" t="n">
        <x:v>17</x:v>
      </x:c>
      <x:c r="B141" s="22" t="str">
        <x:v>周三</x:v>
      </x:c>
      <x:c r="C141" s="22" t="str">
        <x:v>6月24日</x:v>
      </x:c>
      <x:c r="D141" s="23" t="n">
        <x:v>8638.66</x:v>
      </x:c>
      <x:c r="E141" s="23" t="n">
        <x:v>8850.79</x:v>
      </x:c>
      <x:c r="F141" s="23" t="n">
        <x:v>8613.08</x:v>
      </x:c>
      <x:c r="G141" s="23" t="n">
        <x:v>8842.94</x:v>
      </x:c>
      <x:c r="H141" s="28" t="n">
        <x:v>154.4</x:v>
      </x:c>
      <x:c r="I141" s="24" t="n">
        <x:v>0.017764677582899013</x:v>
      </x:c>
      <x:c r="J141" s="26" t="n">
        <x:f>ROUND(E141-F141,1)</x:f>
        <x:v>237.7</x:v>
      </x:c>
      <x:c r="K141" s="22" t="str">
        <x:v>中证500</x:v>
      </x:c>
    </x:row>
    <x:row r="142">
      <x:c r="A142" s="22" t="n">
        <x:v>18</x:v>
      </x:c>
      <x:c r="B142" s="22" t="str">
        <x:v>周四</x:v>
      </x:c>
      <x:c r="C142" s="22" t="str">
        <x:v>6月25日</x:v>
      </x:c>
      <x:c r="D142" s="23" t="n">
        <x:v>8844.85</x:v>
      </x:c>
      <x:c r="E142" s="23" t="n">
        <x:v>8940.96</x:v>
      </x:c>
      <x:c r="F142" s="23" t="n">
        <x:v>8803.6</x:v>
      </x:c>
      <x:c r="G142" s="23" t="n">
        <x:v>8938.01</x:v>
      </x:c>
      <x:c r="H142" s="23" t="n">
        <x:v>95.1</x:v>
      </x:c>
      <x:c r="I142" s="24" t="n">
        <x:v>0.010750949344901173</x:v>
      </x:c>
      <x:c r="J142" s="23" t="n">
        <x:f>ROUND(E142-F142,1)</x:f>
        <x:v>137.4</x:v>
      </x:c>
      <x:c r="K142" s="22" t="str">
        <x:v>中证500</x:v>
      </x:c>
    </x:row>
    <x:row r="143">
      <x:c r="A143" s="22" t="n">
        <x:v>19</x:v>
      </x:c>
      <x:c r="B143" s="22" t="str">
        <x:v>周五</x:v>
      </x:c>
      <x:c r="C143" s="22" t="str">
        <x:v>6月26日</x:v>
      </x:c>
      <x:c r="D143" s="23" t="n">
        <x:v>8891.03</x:v>
      </x:c>
      <x:c r="E143" s="23" t="n">
        <x:v>8926.75</x:v>
      </x:c>
      <x:c r="F143" s="23" t="n">
        <x:v>8647.77</x:v>
      </x:c>
      <x:c r="G143" s="23" t="n">
        <x:v>8703.57</x:v>
      </x:c>
      <x:c r="H143" s="28" t="n">
        <x:v>-234.4</x:v>
      </x:c>
      <x:c r="I143" s="24" t="n">
        <x:v>-0.02622955221576173</x:v>
      </x:c>
      <x:c r="J143" s="26" t="n">
        <x:f>ROUND(E143-F143,1)</x:f>
        <x:v>279</x:v>
      </x:c>
      <x:c r="K143" s="22" t="str">
        <x:v>中证500</x:v>
      </x:c>
    </x:row>
    <x:row r="144">
      <x:c r="A144" s="22" t="n">
        <x:v>20</x:v>
      </x:c>
      <x:c r="B144" s="22" t="str">
        <x:v>周一</x:v>
      </x:c>
      <x:c r="C144" s="22" t="str">
        <x:v>6月29日</x:v>
      </x:c>
      <x:c r="D144" s="23" t="n">
        <x:v>8731.58</x:v>
      </x:c>
      <x:c r="E144" s="23" t="n">
        <x:v>8837.03</x:v>
      </x:c>
      <x:c r="F144" s="23" t="n">
        <x:v>8587.88</x:v>
      </x:c>
      <x:c r="G144" s="23" t="n">
        <x:v>8821.09</x:v>
      </x:c>
      <x:c r="H144" s="23" t="n">
        <x:v>117.5</x:v>
      </x:c>
      <x:c r="I144" s="24" t="n">
        <x:v>0.0135025052938047</x:v>
      </x:c>
      <x:c r="J144" s="26" t="n">
        <x:f>ROUND(E144-F144,1)</x:f>
        <x:v>249.2</x:v>
      </x:c>
      <x:c r="K144" s="22" t="str">
        <x:v>中证500</x:v>
      </x:c>
    </x:row>
    <x:row r="145">
      <x:c r="A145" s="22" t="n">
        <x:v>21</x:v>
      </x:c>
      <x:c r="B145" s="22" t="str">
        <x:v>周二</x:v>
      </x:c>
      <x:c r="C145" s="22" t="str">
        <x:v>6月30日</x:v>
      </x:c>
      <x:c r="D145" s="23" t="n">
        <x:v>8815.11</x:v>
      </x:c>
      <x:c r="E145" s="23" t="n">
        <x:v>9040.13</x:v>
      </x:c>
      <x:c r="F145" s="23" t="n">
        <x:v>8771.66</x:v>
      </x:c>
      <x:c r="G145" s="23" t="n">
        <x:v>9031.38</x:v>
      </x:c>
      <x:c r="H145" s="28" t="n">
        <x:v>210.3</x:v>
      </x:c>
      <x:c r="I145" s="24" t="n">
        <x:v>0.023839457482011772</x:v>
      </x:c>
      <x:c r="J145" s="26" t="n">
        <x:f>ROUND(E145-F145,1)</x:f>
        <x:v>268.5</x:v>
      </x:c>
      <x:c r="K145" s="22" t="str">
        <x:v>中证500</x:v>
      </x:c>
    </x:row>
    <x:row r="146">
      <x:c r="A146" s="31" t="str">
        <x:v>合计</x:v>
      </x:c>
      <x:c r="B146" s="30" t="n">
        <x:v>21</x:v>
      </x:c>
      <x:c r="C146" s="30"/>
      <x:c r="D146" s="30"/>
      <x:c r="E146" s="30"/>
      <x:c r="F146" s="30"/>
      <x:c r="G146" s="30"/>
      <x:c r="H146" s="30"/>
      <x:c r="I146" s="30"/>
      <x:c r="J146" s="32" t="n">
        <x:f>ROUND(SUM(J125:J145),1)</x:f>
        <x:v>4177.3</x:v>
      </x:c>
      <x:c r="K146" s="30"/>
    </x:row>
    <x:row r="147">
      <x:c r="A147" s="31" t="str">
        <x:v>均值</x:v>
      </x:c>
      <x:c r="B147" s="30"/>
      <x:c r="C147" s="30"/>
      <x:c r="D147" s="30"/>
      <x:c r="E147" s="30"/>
      <x:c r="F147" s="30"/>
      <x:c r="G147" s="30"/>
      <x:c r="H147" s="30"/>
      <x:c r="I147" s="30"/>
      <x:c r="J147" s="34" t="n">
        <x:f>ROUND(IFERROR(AVERAGE(J125:J145),0),1)</x:f>
        <x:v>198.9</x:v>
      </x:c>
      <x:c r="K147" s="30"/>
    </x:row>
    <x:row r="149">
      <x:c r="A149" s="17" t="str">
        <x:v>7月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20" t="str">
        <x:v>序号</x:v>
      </x:c>
      <x:c r="B150" s="20" t="str">
        <x:v>星期</x:v>
      </x:c>
      <x:c r="C150" s="20" t="str">
        <x:v>日期</x:v>
      </x:c>
      <x:c r="D150" s="20" t="str">
        <x:v>开盘</x:v>
      </x:c>
      <x:c r="E150" s="20" t="str">
        <x:v>高点</x:v>
      </x:c>
      <x:c r="F150" s="20" t="str">
        <x:v>低点</x:v>
      </x:c>
      <x:c r="G150" s="20" t="str">
        <x:v>收盘</x:v>
      </x:c>
      <x:c r="H150" s="20" t="str">
        <x:v>涨跌点数</x:v>
      </x:c>
      <x:c r="I150" s="20" t="str">
        <x:v>涨幅</x:v>
      </x:c>
      <x:c r="J150" s="20" t="str">
        <x:v>振幅</x:v>
      </x:c>
      <x:c r="K150" s="20" t="str">
        <x:v>标的</x:v>
      </x:c>
    </x:row>
    <x:row r="151">
      <x:c r="A151" s="22" t="n">
        <x:v>1</x:v>
      </x:c>
      <x:c r="B151" s="22" t="str">
        <x:v>周三</x:v>
      </x:c>
      <x:c r="C151" s="22" t="str">
        <x:v>7月1日</x:v>
      </x:c>
      <x:c r="D151" s="23" t="n">
        <x:v>9052.04</x:v>
      </x:c>
      <x:c r="E151" s="23" t="n">
        <x:v>9147.56</x:v>
      </x:c>
      <x:c r="F151" s="23" t="n">
        <x:v>8956.18</x:v>
      </x:c>
      <x:c r="G151" s="23" t="n">
        <x:v>9028.93</x:v>
      </x:c>
      <x:c r="H151" s="23" t="n">
        <x:v>-2.4</x:v>
      </x:c>
      <x:c r="I151" s="24" t="n">
        <x:v>-0.000271276371938578</x:v>
      </x:c>
      <x:c r="J151" s="26" t="n">
        <x:f>ROUND(E151-F151,1)</x:f>
        <x:v>191.4</x:v>
      </x:c>
      <x:c r="K151" s="22" t="str">
        <x:v>中证500</x:v>
      </x:c>
    </x:row>
    <x:row r="152">
      <x:c r="A152" s="22" t="n">
        <x:v>2</x:v>
      </x:c>
      <x:c r="B152" s="22" t="str">
        <x:v>周四</x:v>
      </x:c>
      <x:c r="C152" s="22" t="str">
        <x:v>7月2日</x:v>
      </x:c>
      <x:c r="D152" s="23" t="n">
        <x:v>8829.62</x:v>
      </x:c>
      <x:c r="E152" s="23" t="n">
        <x:v>8932.65</x:v>
      </x:c>
      <x:c r="F152" s="23" t="n">
        <x:v>8667.42</x:v>
      </x:c>
      <x:c r="G152" s="23" t="n">
        <x:v>8694.18</x:v>
      </x:c>
      <x:c r="H152" s="28" t="n">
        <x:v>-334.7</x:v>
      </x:c>
      <x:c r="I152" s="24" t="n">
        <x:v>-0.037075268055018706</x:v>
      </x:c>
      <x:c r="J152" s="26" t="n">
        <x:f>ROUND(E152-F152,1)</x:f>
        <x:v>265.2</x:v>
      </x:c>
      <x:c r="K152" s="22" t="str">
        <x:v>中证500</x:v>
      </x:c>
    </x:row>
    <x:row r="153">
      <x:c r="A153" s="22" t="n">
        <x:v>3</x:v>
      </x:c>
      <x:c r="B153" s="22" t="str">
        <x:v>周五</x:v>
      </x:c>
      <x:c r="C153" s="22" t="str">
        <x:v>7月3日</x:v>
      </x:c>
      <x:c r="D153" s="23" t="n">
        <x:v>8702.33</x:v>
      </x:c>
      <x:c r="E153" s="23" t="n">
        <x:v>8860.42</x:v>
      </x:c>
      <x:c r="F153" s="23" t="n">
        <x:v>8636.15</x:v>
      </x:c>
      <x:c r="G153" s="23" t="n">
        <x:v>8745.26</x:v>
      </x:c>
      <x:c r="H153" s="23" t="n">
        <x:v>51.1</x:v>
      </x:c>
      <x:c r="I153" s="24" t="n">
        <x:v>0.005875194670457606</x:v>
      </x:c>
      <x:c r="J153" s="26" t="n">
        <x:f>ROUND(E153-F153,1)</x:f>
        <x:v>224.3</x:v>
      </x:c>
      <x:c r="K153" s="22" t="str">
        <x:v>中证500</x:v>
      </x:c>
    </x:row>
    <x:row r="154">
      <x:c r="A154" s="22" t="n">
        <x:v>4</x:v>
      </x:c>
      <x:c r="B154" s="22" t="str">
        <x:v>周一</x:v>
      </x:c>
      <x:c r="C154" s="22" t="str">
        <x:v>7月6日</x:v>
      </x:c>
      <x:c r="D154" s="23" t="n">
        <x:v>8790.97</x:v>
      </x:c>
      <x:c r="E154" s="23" t="n">
        <x:v>8823.05</x:v>
      </x:c>
      <x:c r="F154" s="23" t="n">
        <x:v>8570.89</x:v>
      </x:c>
      <x:c r="G154" s="23" t="n">
        <x:v>8651.13</x:v>
      </x:c>
      <x:c r="H154" s="23" t="n">
        <x:v>-94.1</x:v>
      </x:c>
      <x:c r="I154" s="24" t="n">
        <x:v>-0.010763545051833856</x:v>
      </x:c>
      <x:c r="J154" s="26" t="n">
        <x:f>ROUND(E154-F154,1)</x:f>
        <x:v>252.2</x:v>
      </x:c>
      <x:c r="K154" s="22" t="str">
        <x:v>中证500</x:v>
      </x:c>
    </x:row>
    <x:row r="155">
      <x:c r="A155" s="22" t="n">
        <x:v>5</x:v>
      </x:c>
      <x:c r="B155" s="22" t="str">
        <x:v>周二</x:v>
      </x:c>
      <x:c r="C155" s="22" t="str">
        <x:v>7月7日</x:v>
      </x:c>
      <x:c r="D155" s="23" t="n">
        <x:v>8604.08</x:v>
      </x:c>
      <x:c r="E155" s="23" t="n">
        <x:v>8663.67</x:v>
      </x:c>
      <x:c r="F155" s="23" t="n">
        <x:v>8457.58</x:v>
      </x:c>
      <x:c r="G155" s="23" t="n">
        <x:v>8508.79</x:v>
      </x:c>
      <x:c r="H155" s="23" t="n">
        <x:v>-142.3</x:v>
      </x:c>
      <x:c r="I155" s="24" t="n">
        <x:v>-0.016453341933365784</x:v>
      </x:c>
      <x:c r="J155" s="26" t="n">
        <x:f>ROUND(E155-F155,1)</x:f>
        <x:v>206.1</x:v>
      </x:c>
      <x:c r="K155" s="22" t="str">
        <x:v>中证500</x:v>
      </x:c>
    </x:row>
    <x:row r="156">
      <x:c r="A156" s="22" t="n">
        <x:v>6</x:v>
      </x:c>
      <x:c r="B156" s="22" t="str">
        <x:v>周三</x:v>
      </x:c>
      <x:c r="C156" s="22" t="str">
        <x:v>7月8日</x:v>
      </x:c>
      <x:c r="D156" s="23" t="n">
        <x:v>8539.02</x:v>
      </x:c>
      <x:c r="E156" s="23" t="n">
        <x:v>8571.52</x:v>
      </x:c>
      <x:c r="F156" s="23" t="n">
        <x:v>8343.92</x:v>
      </x:c>
      <x:c r="G156" s="23" t="n">
        <x:v>8390.02</x:v>
      </x:c>
      <x:c r="H156" s="23" t="n">
        <x:v>-118.8</x:v>
      </x:c>
      <x:c r="I156" s="24" t="n">
        <x:v>-0.013958506438635832</x:v>
      </x:c>
      <x:c r="J156" s="26" t="n">
        <x:f>ROUND(E156-F156,1)</x:f>
        <x:v>227.6</x:v>
      </x:c>
      <x:c r="K156" s="22" t="str">
        <x:v>中证500</x:v>
      </x:c>
    </x:row>
    <x:row r="157">
      <x:c r="A157" s="22" t="n">
        <x:v>7</x:v>
      </x:c>
      <x:c r="B157" s="22" t="str">
        <x:v>周四</x:v>
      </x:c>
      <x:c r="C157" s="22" t="str">
        <x:v>7月9日</x:v>
      </x:c>
      <x:c r="D157" s="23" t="n">
        <x:v>8437.15</x:v>
      </x:c>
      <x:c r="E157" s="23" t="n">
        <x:v>8659.65</x:v>
      </x:c>
      <x:c r="F157" s="23" t="n">
        <x:v>8281.95</x:v>
      </x:c>
      <x:c r="G157" s="23" t="n">
        <x:v>8652.79</x:v>
      </x:c>
      <x:c r="H157" s="28" t="n">
        <x:v>262.8</x:v>
      </x:c>
      <x:c r="I157" s="24" t="n">
        <x:v>0.03131935323157764</x:v>
      </x:c>
      <x:c r="J157" s="26" t="n">
        <x:f>ROUND(E157-F157,1)</x:f>
        <x:v>377.7</x:v>
      </x:c>
      <x:c r="K157" s="22" t="str">
        <x:v>中证500</x:v>
      </x:c>
    </x:row>
    <x:row r="158">
      <x:c r="A158" s="22" t="n">
        <x:v>8</x:v>
      </x:c>
      <x:c r="B158" s="22" t="str">
        <x:v>周五</x:v>
      </x:c>
      <x:c r="C158" s="22" t="str">
        <x:v>7月10日</x:v>
      </x:c>
      <x:c r="D158" s="23" t="n">
        <x:v>8672.36</x:v>
      </x:c>
      <x:c r="E158" s="23" t="n">
        <x:v>8783.25</x:v>
      </x:c>
      <x:c r="F158" s="23" t="n">
        <x:v>8503.24</x:v>
      </x:c>
      <x:c r="G158" s="23" t="n">
        <x:v>8503.97</x:v>
      </x:c>
      <x:c r="H158" s="23" t="n">
        <x:v>-148.8</x:v>
      </x:c>
      <x:c r="I158" s="24" t="n">
        <x:v>-0.01719907682955457</x:v>
      </x:c>
      <x:c r="J158" s="26" t="n">
        <x:f>ROUND(E158-F158,1)</x:f>
        <x:v>280</x:v>
      </x:c>
      <x:c r="K158" s="22" t="str">
        <x:v>中证500</x:v>
      </x:c>
    </x:row>
    <x:row r="159">
      <x:c r="A159" s="22" t="n">
        <x:v>9</x:v>
      </x:c>
      <x:c r="B159" s="22" t="str">
        <x:v>周一</x:v>
      </x:c>
      <x:c r="C159" s="22" t="str">
        <x:v>7月13日</x:v>
      </x:c>
      <x:c r="D159" s="23" t="n">
        <x:v>8409.14</x:v>
      </x:c>
      <x:c r="E159" s="23" t="n">
        <x:v>8457.69</x:v>
      </x:c>
      <x:c r="F159" s="23" t="n">
        <x:v>8106.27</x:v>
      </x:c>
      <x:c r="G159" s="23" t="n">
        <x:v>8138.14</x:v>
      </x:c>
      <x:c r="H159" s="28" t="n">
        <x:v>-365.8</x:v>
      </x:c>
      <x:c r="I159" s="24" t="n">
        <x:v>-0.04301873125140365</x:v>
      </x:c>
      <x:c r="J159" s="26" t="n">
        <x:f>ROUND(E159-F159,1)</x:f>
        <x:v>351.4</x:v>
      </x:c>
      <x:c r="K159" s="22" t="str">
        <x:v>中证500</x:v>
      </x:c>
    </x:row>
    <x:row r="160">
      <x:c r="A160" s="22" t="n">
        <x:v>10</x:v>
      </x:c>
      <x:c r="B160" s="22" t="str">
        <x:v>周二</x:v>
      </x:c>
      <x:c r="C160" s="22" t="str">
        <x:v>7月14日</x:v>
      </x:c>
      <x:c r="D160" s="23" t="n">
        <x:v>8135.05</x:v>
      </x:c>
      <x:c r="E160" s="23" t="n">
        <x:v>8275.96</x:v>
      </x:c>
      <x:c r="F160" s="23" t="n">
        <x:v>7955.31</x:v>
      </x:c>
      <x:c r="G160" s="23" t="n">
        <x:v>8275.94</x:v>
      </x:c>
      <x:c r="H160" s="23" t="n">
        <x:v>137.8</x:v>
      </x:c>
      <x:c r="I160" s="24" t="n">
        <x:v>0.016932616052316662</x:v>
      </x:c>
      <x:c r="J160" s="26" t="n">
        <x:f>ROUND(E160-F160,1)</x:f>
        <x:v>320.6</x:v>
      </x:c>
      <x:c r="K160" s="22" t="str">
        <x:v>中证500</x:v>
      </x:c>
    </x:row>
    <x:row r="161">
      <x:c r="A161" s="22" t="n">
        <x:v>11</x:v>
      </x:c>
      <x:c r="B161" s="22" t="str">
        <x:v>周三</x:v>
      </x:c>
      <x:c r="C161" s="22" t="str">
        <x:v>7月15日</x:v>
      </x:c>
      <x:c r="D161" s="23" t="n">
        <x:v>8294.14</x:v>
      </x:c>
      <x:c r="E161" s="23" t="n">
        <x:v>8305.27</x:v>
      </x:c>
      <x:c r="F161" s="23" t="n">
        <x:v>8117.46</x:v>
      </x:c>
      <x:c r="G161" s="23" t="n">
        <x:v>8147.58</x:v>
      </x:c>
      <x:c r="H161" s="23" t="n">
        <x:v>-128.4</x:v>
      </x:c>
      <x:c r="I161" s="24" t="n">
        <x:v>-0.015510020613972664</x:v>
      </x:c>
      <x:c r="J161" s="26" t="n">
        <x:f>ROUND(E161-F161,1)</x:f>
        <x:v>187.8</x:v>
      </x:c>
      <x:c r="K161" s="22" t="str">
        <x:v>中证500</x:v>
      </x:c>
    </x:row>
    <x:row r="162">
      <x:c r="A162" s="22" t="n">
        <x:v>12</x:v>
      </x:c>
      <x:c r="B162" s="22" t="str">
        <x:v>周四</x:v>
      </x:c>
      <x:c r="C162" s="22" t="str">
        <x:v>7月16日</x:v>
      </x:c>
      <x:c r="D162" s="23" t="n">
        <x:v>8006.45</x:v>
      </x:c>
      <x:c r="E162" s="23" t="n">
        <x:v>8148.04</x:v>
      </x:c>
      <x:c r="F162" s="23" t="n">
        <x:v>7907.1</x:v>
      </x:c>
      <x:c r="G162" s="23" t="n">
        <x:v>7955.66</x:v>
      </x:c>
      <x:c r="H162" s="28" t="n">
        <x:v>-191.9</x:v>
      </x:c>
      <x:c r="I162" s="24" t="n">
        <x:v>-0.02355546063984648</x:v>
      </x:c>
      <x:c r="J162" s="26" t="n">
        <x:f>ROUND(E162-F162,1)</x:f>
        <x:v>240.9</x:v>
      </x:c>
      <x:c r="K162" s="22" t="str">
        <x:v>中证500</x:v>
      </x:c>
    </x:row>
    <x:row r="163">
      <x:c r="A163" s="41" t="n">
        <x:v>13</x:v>
      </x:c>
      <x:c r="B163" s="41" t="str">
        <x:v>周五</x:v>
      </x:c>
      <x:c r="C163" s="41" t="str">
        <x:v>7月17日</x:v>
      </x:c>
      <x:c r="D163" s="42" t="n">
        <x:v>7900.1</x:v>
      </x:c>
      <x:c r="E163" s="42" t="n">
        <x:v>7908.74</x:v>
      </x:c>
      <x:c r="F163" s="42" t="n">
        <x:v>7474.15</x:v>
      </x:c>
      <x:c r="G163" s="42" t="n">
        <x:v>7513.76</x:v>
      </x:c>
      <x:c r="H163" s="28" t="n">
        <x:v>-441.9</x:v>
      </x:c>
      <x:c r="I163" s="43" t="n">
        <x:v>-0.05554536015867939</x:v>
      </x:c>
      <x:c r="J163" s="26" t="n">
        <x:f>ROUND(E163-F163,1)</x:f>
        <x:v>434.6</x:v>
      </x:c>
      <x:c r="K163" s="41" t="str">
        <x:v>中证500</x:v>
      </x:c>
    </x:row>
    <x:row r="164">
      <x:c r="A164" s="22" t="n">
        <x:v>14</x:v>
      </x:c>
      <x:c r="B164" s="22" t="str">
        <x:v>周一</x:v>
      </x:c>
      <x:c r="C164" s="22" t="str">
        <x:v>7月20日</x:v>
      </x:c>
      <x:c r="D164" s="23" t="n">
        <x:v>7597.77</x:v>
      </x:c>
      <x:c r="E164" s="23" t="n">
        <x:v>7626.49</x:v>
      </x:c>
      <x:c r="F164" s="23" t="n">
        <x:v>7253.52</x:v>
      </x:c>
      <x:c r="G164" s="23" t="n">
        <x:v>7411.31</x:v>
      </x:c>
      <x:c r="H164" s="23" t="n">
        <x:v>-102.4</x:v>
      </x:c>
      <x:c r="I164" s="24" t="n">
        <x:v>-0.013634984348714907</x:v>
      </x:c>
      <x:c r="J164" s="26" t="n">
        <x:f>ROUND(E164-F164,1)</x:f>
        <x:v>373</x:v>
      </x:c>
      <x:c r="K164" s="22" t="str">
        <x:v>中证500</x:v>
      </x:c>
    </x:row>
    <x:row r="165">
      <x:c r="A165" s="22" t="n">
        <x:v>15</x:v>
      </x:c>
      <x:c r="B165" s="22" t="str">
        <x:v>周二</x:v>
      </x:c>
      <x:c r="C165" s="22" t="str">
        <x:v>7月21日</x:v>
      </x:c>
      <x:c r="D165" s="23" t="n">
        <x:v>7437.45</x:v>
      </x:c>
      <x:c r="E165" s="23" t="n">
        <x:v>7802.75</x:v>
      </x:c>
      <x:c r="F165" s="23" t="n">
        <x:v>7270.95</x:v>
      </x:c>
      <x:c r="G165" s="23" t="n">
        <x:v>7800.61</x:v>
      </x:c>
      <x:c r="H165" s="28" t="n">
        <x:v>389.3</x:v>
      </x:c>
      <x:c r="I165" s="24" t="n">
        <x:v>0.0525278257150219</x:v>
      </x:c>
      <x:c r="J165" s="26" t="n">
        <x:f>ROUND(E165-F165,1)</x:f>
        <x:v>531.8</x:v>
      </x:c>
      <x:c r="K165" s="22" t="str">
        <x:v>中证500</x:v>
      </x:c>
    </x:row>
    <x:row r="166">
      <x:c r="A166" s="22" t="n">
        <x:v>16</x:v>
      </x:c>
      <x:c r="B166" s="22" t="str">
        <x:v>周三</x:v>
      </x:c>
      <x:c r="C166" s="22" t="str">
        <x:v>7月22日</x:v>
      </x:c>
      <x:c r="D166" s="23" t="n">
        <x:v>7741.91</x:v>
      </x:c>
      <x:c r="E166" s="23" t="n">
        <x:v>7889.45</x:v>
      </x:c>
      <x:c r="F166" s="23" t="n">
        <x:v>7701.22</x:v>
      </x:c>
      <x:c r="G166" s="23" t="n">
        <x:v>7751.66</x:v>
      </x:c>
      <x:c r="H166" s="23" t="n">
        <x:v>-48.9</x:v>
      </x:c>
      <x:c r="I166" s="24" t="n">
        <x:v>-0.006275150276709107</x:v>
      </x:c>
      <x:c r="J166" s="26" t="n">
        <x:f>ROUND(E166-F166,1)</x:f>
        <x:v>188.2</x:v>
      </x:c>
      <x:c r="K166" s="22" t="str">
        <x:v>中证500</x:v>
      </x:c>
    </x:row>
    <x:row r="167">
      <x:c r="A167" s="22" t="n">
        <x:v>17</x:v>
      </x:c>
      <x:c r="B167" s="22" t="str">
        <x:v>周四</x:v>
      </x:c>
      <x:c r="C167" s="22" t="str">
        <x:v>7月23日</x:v>
      </x:c>
      <x:c r="D167" s="23" t="n">
        <x:v>7750.85</x:v>
      </x:c>
      <x:c r="E167" s="23" t="n">
        <x:v>7795.35</x:v>
      </x:c>
      <x:c r="F167" s="23" t="n">
        <x:v>7659</x:v>
      </x:c>
      <x:c r="G167" s="23" t="n">
        <x:v>7734.31</x:v>
      </x:c>
      <x:c r="H167" s="23" t="n">
        <x:v>-17.3</x:v>
      </x:c>
      <x:c r="I167" s="24" t="n">
        <x:v>-0.0022382302629371242</x:v>
      </x:c>
      <x:c r="J167" s="23" t="n">
        <x:f>ROUND(E167-F167,1)</x:f>
        <x:v>136.4</x:v>
      </x:c>
      <x:c r="K167" s="22" t="str">
        <x:v>中证500</x:v>
      </x:c>
    </x:row>
    <x:row r="168">
      <x:c r="A168" s="22" t="n">
        <x:v>18</x:v>
      </x:c>
      <x:c r="B168" s="22" t="str">
        <x:v>周五</x:v>
      </x:c>
      <x:c r="C168" s="22" t="str">
        <x:v>7月24日</x:v>
      </x:c>
      <x:c r="D168" s="23" t="n">
        <x:v>7625.2</x:v>
      </x:c>
      <x:c r="E168" s="23" t="n">
        <x:v>7703.6</x:v>
      </x:c>
      <x:c r="F168" s="23" t="n">
        <x:v>7532.67</x:v>
      </x:c>
      <x:c r="G168" s="23" t="n">
        <x:v>7532.7</x:v>
      </x:c>
      <x:c r="H168" s="28" t="n">
        <x:v>-201.6</x:v>
      </x:c>
      <x:c r="I168" s="24" t="n">
        <x:v>-0.026066966542587555</x:v>
      </x:c>
      <x:c r="J168" s="26" t="n">
        <x:f>ROUND(E168-F168,1)</x:f>
        <x:v>170.9</x:v>
      </x:c>
      <x:c r="K168" s="22" t="str">
        <x:v>中证500</x:v>
      </x:c>
    </x:row>
    <x:row r="169">
      <x:c r="A169" s="22" t="n">
        <x:v>19</x:v>
      </x:c>
      <x:c r="B169" s="22" t="str">
        <x:v>周一</x:v>
      </x:c>
      <x:c r="C169" s="22" t="str">
        <x:v>7月27日</x:v>
      </x:c>
      <x:c r="D169" s="23" t="n">
        <x:v>7512.4</x:v>
      </x:c>
      <x:c r="E169" s="23" t="n">
        <x:v>7721.4</x:v>
      </x:c>
      <x:c r="F169" s="23" t="n">
        <x:v>7466.54</x:v>
      </x:c>
      <x:c r="G169" s="23" t="n">
        <x:v>7720.6</x:v>
      </x:c>
      <x:c r="H169" s="28" t="n">
        <x:v>187.9</x:v>
      </x:c>
      <x:c r="I169" s="24" t="n">
        <x:v>0.024944574986392798</x:v>
      </x:c>
      <x:c r="J169" s="26" t="n">
        <x:f>ROUND(E169-F169,1)</x:f>
        <x:v>254.9</x:v>
      </x:c>
      <x:c r="K169" s="22" t="str">
        <x:v>中证500</x:v>
      </x:c>
    </x:row>
    <x:row r="170">
      <x:c r="A170" s="22" t="n">
        <x:v>20</x:v>
      </x:c>
      <x:c r="B170" s="22" t="str">
        <x:v>周二</x:v>
      </x:c>
      <x:c r="C170" s="22" t="str">
        <x:v>7月28日</x:v>
      </x:c>
      <x:c r="D170" s="23" t="n">
        <x:v>7589.76</x:v>
      </x:c>
      <x:c r="E170" s="23" t="n">
        <x:v>7646.02</x:v>
      </x:c>
      <x:c r="F170" s="23" t="n">
        <x:v>7412.63</x:v>
      </x:c>
      <x:c r="G170" s="23" t="n">
        <x:v>7443.43</x:v>
      </x:c>
      <x:c r="H170" s="28" t="n">
        <x:v>-277.2</x:v>
      </x:c>
      <x:c r="I170" s="24" t="n">
        <x:v>-0.03590005958086162</x:v>
      </x:c>
      <x:c r="J170" s="26" t="n">
        <x:f>ROUND(E170-F170,1)</x:f>
        <x:v>233.4</x:v>
      </x:c>
      <x:c r="K170" s="22" t="str">
        <x:v>中证500</x:v>
      </x:c>
    </x:row>
    <x:row r="171">
      <x:c r="A171" s="22" t="n">
        <x:v>21</x:v>
      </x:c>
      <x:c r="B171" s="22" t="str">
        <x:v>周三</x:v>
      </x:c>
      <x:c r="C171" s="22" t="str">
        <x:v>7月29日</x:v>
      </x:c>
      <x:c r="D171" s="23" t="n">
        <x:v>7444.8</x:v>
      </x:c>
      <x:c r="E171" s="23" t="n">
        <x:v>7572.81</x:v>
      </x:c>
      <x:c r="F171" s="23" t="n">
        <x:v>7325.36</x:v>
      </x:c>
      <x:c r="G171" s="23" t="n">
        <x:v>7524.51</x:v>
      </x:c>
      <x:c r="H171" s="23" t="n">
        <x:v>81.1</x:v>
      </x:c>
      <x:c r="I171" s="24" t="n">
        <x:v>0.010892827634571667</x:v>
      </x:c>
      <x:c r="J171" s="26" t="n">
        <x:f>ROUND(E171-F171,1)</x:f>
        <x:v>247.5</x:v>
      </x:c>
      <x:c r="K171" s="22" t="str">
        <x:v>中证500</x:v>
      </x:c>
    </x:row>
    <x:row r="172">
      <x:c r="A172" s="22" t="n">
        <x:v>22</x:v>
      </x:c>
      <x:c r="B172" s="22" t="str">
        <x:v>周四</x:v>
      </x:c>
      <x:c r="C172" s="22" t="str">
        <x:v>7月30日</x:v>
      </x:c>
      <x:c r="D172" s="23" t="n">
        <x:v>7477.31</x:v>
      </x:c>
      <x:c r="E172" s="23" t="n">
        <x:v>7536.49</x:v>
      </x:c>
      <x:c r="F172" s="23" t="n">
        <x:v>7221.95</x:v>
      </x:c>
      <x:c r="G172" s="23" t="n">
        <x:v>7309.58</x:v>
      </x:c>
      <x:c r="H172" s="28" t="n">
        <x:v>-214.9</x:v>
      </x:c>
      <x:c r="I172" s="24" t="n">
        <x:v>-0.028563986226345706</x:v>
      </x:c>
      <x:c r="J172" s="26" t="n">
        <x:f>ROUND(E172-F172,1)</x:f>
        <x:v>314.5</x:v>
      </x:c>
      <x:c r="K172" s="22" t="str">
        <x:v>中证500</x:v>
      </x:c>
    </x:row>
    <x:row r="173">
      <x:c r="A173" s="22" t="n">
        <x:v>23</x:v>
      </x:c>
      <x:c r="B173" s="22" t="str">
        <x:v>周五</x:v>
      </x:c>
      <x:c r="C173" s="22" t="str">
        <x:v>7月31日</x:v>
      </x:c>
      <x:c r="D173" s="23" t="n">
        <x:v>7537.85</x:v>
      </x:c>
      <x:c r="E173" s="23" t="n">
        <x:v>7638.78</x:v>
      </x:c>
      <x:c r="F173" s="23" t="n">
        <x:v>7487.43</x:v>
      </x:c>
      <x:c r="G173" s="23" t="n">
        <x:v>7493.99</x:v>
      </x:c>
      <x:c r="H173" s="28" t="n">
        <x:v>184.4</x:v>
      </x:c>
      <x:c r="I173" s="24" t="n">
        <x:v>0.025228535702461752</x:v>
      </x:c>
      <x:c r="J173" s="23" t="n">
        <x:f>ROUND(E173-F173,1)</x:f>
        <x:v>151.3</x:v>
      </x:c>
      <x:c r="K173" s="22" t="str">
        <x:v>中证500</x:v>
      </x:c>
    </x:row>
    <x:row r="174">
      <x:c r="A174" s="31" t="str">
        <x:v>合计</x:v>
      </x:c>
      <x:c r="B174" s="30" t="n">
        <x:v>23</x:v>
      </x:c>
      <x:c r="C174" s="30"/>
      <x:c r="D174" s="30"/>
      <x:c r="E174" s="30"/>
      <x:c r="F174" s="30"/>
      <x:c r="G174" s="30"/>
      <x:c r="H174" s="30"/>
      <x:c r="I174" s="30"/>
      <x:c r="J174" s="32" t="n">
        <x:f>ROUND(SUM(J151:J173),1)</x:f>
        <x:v>6161.7</x:v>
      </x:c>
      <x:c r="K174" s="30"/>
    </x:row>
    <x:row r="175">
      <x:c r="A175" s="31" t="str">
        <x:v>均值</x:v>
      </x:c>
      <x:c r="B175" s="30"/>
      <x:c r="C175" s="30"/>
      <x:c r="D175" s="30"/>
      <x:c r="E175" s="30"/>
      <x:c r="F175" s="30"/>
      <x:c r="G175" s="30"/>
      <x:c r="H175" s="30"/>
      <x:c r="I175" s="30"/>
      <x:c r="J175" s="34" t="n">
        <x:f>ROUND(IFERROR(AVERAGE(J151:J173),0),1)</x:f>
        <x:v>267.9</x:v>
      </x:c>
      <x:c r="K175" s="30"/>
    </x:row>
    <x:row r="177">
      <x:c r="A177" s="17" t="str">
        <x:v>8月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20" t="str">
        <x:v>序号</x:v>
      </x:c>
      <x:c r="B178" s="20" t="str">
        <x:v>星期</x:v>
      </x:c>
      <x:c r="C178" s="20" t="str">
        <x:v>日期</x:v>
      </x:c>
      <x:c r="D178" s="20" t="str">
        <x:v>开盘</x:v>
      </x:c>
      <x:c r="E178" s="20" t="str">
        <x:v>高点</x:v>
      </x:c>
      <x:c r="F178" s="20" t="str">
        <x:v>低点</x:v>
      </x:c>
      <x:c r="G178" s="20" t="str">
        <x:v>收盘</x:v>
      </x:c>
      <x:c r="H178" s="20" t="str">
        <x:v>涨跌点数</x:v>
      </x:c>
      <x:c r="I178" s="20" t="str">
        <x:v>涨幅</x:v>
      </x:c>
      <x:c r="J178" s="20" t="str">
        <x:v>振幅</x:v>
      </x:c>
      <x:c r="K178" s="20" t="str">
        <x:v>标的</x:v>
      </x:c>
    </x:row>
    <x:row r="179">
      <x:c r="A179" s="22" t="n">
        <x:v>1</x:v>
      </x:c>
      <x:c r="B179" s="22" t="str">
        <x:v>周一</x:v>
      </x:c>
      <x:c r="C179" s="22" t="str">
        <x:v>8月3日</x:v>
      </x:c>
      <x:c r="D179" s="23" t="n">
        <x:v>7457.12</x:v>
      </x:c>
      <x:c r="E179" s="23" t="n">
        <x:v>7499.58</x:v>
      </x:c>
      <x:c r="F179" s="23" t="n">
        <x:v>7397.94</x:v>
      </x:c>
      <x:c r="G179" s="23" t="n">
        <x:v>7414.52</x:v>
      </x:c>
      <x:c r="H179" s="23" t="n">
        <x:v>-79.5</x:v>
      </x:c>
      <x:c r="I179" s="24" t="n">
        <x:v>-0.010604497737520258</x:v>
      </x:c>
      <x:c r="J179" s="23" t="n">
        <x:f>ROUND(E179-F179,1)</x:f>
        <x:v>101.6</x:v>
      </x:c>
      <x:c r="K179" s="22" t="str">
        <x:v>中证500</x:v>
      </x:c>
    </x:row>
    <x:row r="180">
      <x:c r="A180" s="22" t="n">
        <x:v>2</x:v>
      </x:c>
      <x:c r="B180" s="22" t="str">
        <x:v>周二</x:v>
      </x:c>
      <x:c r="C180" s="22" t="str">
        <x:v>8月4日</x:v>
      </x:c>
      <x:c r="D180" s="23" t="n">
        <x:v>7467.08</x:v>
      </x:c>
      <x:c r="E180" s="23" t="n">
        <x:v>7645.48</x:v>
      </x:c>
      <x:c r="F180" s="23" t="n">
        <x:v>7450.32</x:v>
      </x:c>
      <x:c r="G180" s="23" t="n">
        <x:v>7607.49</x:v>
      </x:c>
      <x:c r="H180" s="28" t="n">
        <x:v>193</x:v>
      </x:c>
      <x:c r="I180" s="24" t="n">
        <x:v>0.02602595987332945</x:v>
      </x:c>
      <x:c r="J180" s="26" t="n">
        <x:f>ROUND(E180-F180,1)</x:f>
        <x:v>195.2</x:v>
      </x:c>
      <x:c r="K180" s="22" t="str">
        <x:v>中证500</x:v>
      </x:c>
    </x:row>
    <x:row r="181">
      <x:c r="A181" s="22" t="n">
        <x:v>3</x:v>
      </x:c>
      <x:c r="B181" s="22" t="str">
        <x:v>周三</x:v>
      </x:c>
      <x:c r="C181" s="22" t="str">
        <x:v>8月5日</x:v>
      </x:c>
      <x:c r="D181" s="23" t="n">
        <x:v>7567.96</x:v>
      </x:c>
      <x:c r="E181" s="23" t="n">
        <x:v>7845.39</x:v>
      </x:c>
      <x:c r="F181" s="23" t="n">
        <x:v>7567.96</x:v>
      </x:c>
      <x:c r="G181" s="23" t="n">
        <x:v>7809.21</x:v>
      </x:c>
      <x:c r="H181" s="28" t="n">
        <x:v>201.7</x:v>
      </x:c>
      <x:c r="I181" s="24" t="n">
        <x:v>0.026515973073904853</x:v>
      </x:c>
      <x:c r="J181" s="26" t="n">
        <x:f>ROUND(E181-F181,1)</x:f>
        <x:v>277.4</x:v>
      </x:c>
      <x:c r="K181" s="22" t="str">
        <x:v>中证500</x:v>
      </x:c>
    </x:row>
    <x:row r="182">
      <x:c r="A182" s="22" t="n">
        <x:v>4</x:v>
      </x:c>
      <x:c r="B182" s="22" t="str">
        <x:v>周四</x:v>
      </x:c>
      <x:c r="C182" s="22" t="str">
        <x:v>8月6日</x:v>
      </x:c>
      <x:c r="D182" s="23" t="n">
        <x:v>7737.59</x:v>
      </x:c>
      <x:c r="E182" s="23" t="n">
        <x:v>7868.85</x:v>
      </x:c>
      <x:c r="F182" s="23" t="n">
        <x:v>7722.57</x:v>
      </x:c>
      <x:c r="G182" s="23" t="n">
        <x:v>7829.36</x:v>
      </x:c>
      <x:c r="H182" s="23" t="n">
        <x:v>20.1</x:v>
      </x:c>
      <x:c r="I182" s="24" t="n">
        <x:v>0.0025802866102973</x:v>
      </x:c>
      <x:c r="J182" s="23" t="n">
        <x:f>ROUND(E182-F182,1)</x:f>
        <x:v>146.3</x:v>
      </x:c>
      <x:c r="K182" s="22" t="str">
        <x:v>中证500</x:v>
      </x:c>
    </x:row>
    <x:row r="183">
      <x:c r="A183" s="22" t="n">
        <x:v>5</x:v>
      </x:c>
      <x:c r="B183" s="22" t="str">
        <x:v>周五</x:v>
      </x:c>
      <x:c r="C183" s="22" t="str">
        <x:v>8月7日</x:v>
      </x:c>
      <x:c r="D183" s="23" t="n">
        <x:v>7828.79</x:v>
      </x:c>
      <x:c r="E183" s="23" t="n">
        <x:v>7983.17</x:v>
      </x:c>
      <x:c r="F183" s="23" t="n">
        <x:v>7763.53</x:v>
      </x:c>
      <x:c r="G183" s="23" t="n">
        <x:v>7980.12</x:v>
      </x:c>
      <x:c r="H183" s="28" t="n">
        <x:v>150.8</x:v>
      </x:c>
      <x:c r="I183" s="24" t="n">
        <x:v>0.019255724605842683</x:v>
      </x:c>
      <x:c r="J183" s="26" t="n">
        <x:f>ROUND(E183-F183,1)</x:f>
        <x:v>219.6</x:v>
      </x:c>
      <x:c r="K183" s="22" t="str">
        <x:v>中证500</x:v>
      </x:c>
    </x:row>
    <x:row r="184">
      <x:c r="A184" s="22" t="n">
        <x:v>6</x:v>
      </x:c>
      <x:c r="B184" s="22" t="str">
        <x:v>周一</x:v>
      </x:c>
      <x:c r="C184" s="22" t="str">
        <x:v>8月10日</x:v>
      </x:c>
      <x:c r="D184" s="23" t="n">
        <x:v>8003.92</x:v>
      </x:c>
      <x:c r="E184" s="23" t="n">
        <x:v>8031.16</x:v>
      </x:c>
      <x:c r="F184" s="23" t="n">
        <x:v>7910.84</x:v>
      </x:c>
      <x:c r="G184" s="23" t="n">
        <x:v>8030.95</x:v>
      </x:c>
      <x:c r="H184" s="23" t="n">
        <x:v>50.8</x:v>
      </x:c>
      <x:c r="I184" s="24" t="n">
        <x:v>0.0063695784023298785</x:v>
      </x:c>
      <x:c r="J184" s="23" t="n">
        <x:f>ROUND(E184-F184,1)</x:f>
        <x:v>120.3</x:v>
      </x:c>
      <x:c r="K184" s="22" t="str">
        <x:v>中证500</x:v>
      </x:c>
    </x:row>
    <x:row r="185">
      <x:c r="A185" s="22" t="n">
        <x:v>7</x:v>
      </x:c>
      <x:c r="B185" s="22" t="str">
        <x:v>周二</x:v>
      </x:c>
      <x:c r="C185" s="22" t="str">
        <x:v>8月11日</x:v>
      </x:c>
      <x:c r="D185" s="23" t="n">
        <x:v>7979.28</x:v>
      </x:c>
      <x:c r="E185" s="23" t="n">
        <x:v>8078.36</x:v>
      </x:c>
      <x:c r="F185" s="23" t="n">
        <x:v>7947.67</x:v>
      </x:c>
      <x:c r="G185" s="23" t="n">
        <x:v>7967.54</x:v>
      </x:c>
      <x:c r="H185" s="23" t="n">
        <x:v>-63.4</x:v>
      </x:c>
      <x:c r="I185" s="24" t="n">
        <x:v>-0.007895703497095563</x:v>
      </x:c>
      <x:c r="J185" s="23" t="n">
        <x:f>ROUND(E185-F185,1)</x:f>
        <x:v>130.7</x:v>
      </x:c>
      <x:c r="K185" s="22" t="str">
        <x:v>中证500</x:v>
      </x:c>
    </x:row>
    <x:row r="186">
      <x:c r="A186" s="22" t="n">
        <x:v>8</x:v>
      </x:c>
      <x:c r="B186" s="22" t="str">
        <x:v>周三</x:v>
      </x:c>
      <x:c r="C186" s="22" t="str">
        <x:v>8月12日</x:v>
      </x:c>
      <x:c r="D186" s="23" t="n">
        <x:v>7978.04</x:v>
      </x:c>
      <x:c r="E186" s="23" t="n">
        <x:v>8067.53</x:v>
      </x:c>
      <x:c r="F186" s="23" t="n">
        <x:v>7961.83</x:v>
      </x:c>
      <x:c r="G186" s="23" t="n">
        <x:v>8045.31</x:v>
      </x:c>
      <x:c r="H186" s="23" t="n">
        <x:v>77.8</x:v>
      </x:c>
      <x:c r="I186" s="24" t="n">
        <x:v>0.009760854667814733</x:v>
      </x:c>
      <x:c r="J186" s="23" t="n">
        <x:f>ROUND(E186-F186,1)</x:f>
        <x:v>105.7</x:v>
      </x:c>
      <x:c r="K186" s="22" t="str">
        <x:v>中证500</x:v>
      </x:c>
    </x:row>
    <x:row r="187">
      <x:c r="A187" s="22" t="n">
        <x:v>9</x:v>
      </x:c>
      <x:c r="B187" s="22" t="str">
        <x:v>周四</x:v>
      </x:c>
      <x:c r="C187" s="22" t="str">
        <x:v>8月13日</x:v>
      </x:c>
      <x:c r="D187" s="23" t="n">
        <x:v>8096.85</x:v>
      </x:c>
      <x:c r="E187" s="23" t="n">
        <x:v>8142.33</x:v>
      </x:c>
      <x:c r="F187" s="23" t="n">
        <x:v>7966.87</x:v>
      </x:c>
      <x:c r="G187" s="23" t="n">
        <x:v>7968.38</x:v>
      </x:c>
      <x:c r="H187" s="23" t="n">
        <x:v>-76.9</x:v>
      </x:c>
      <x:c r="I187" s="24" t="n">
        <x:v>-0.009562092697484648</x:v>
      </x:c>
      <x:c r="J187" s="26" t="n">
        <x:f>ROUND(E187-F187,1)</x:f>
        <x:v>175.5</x:v>
      </x:c>
      <x:c r="K187" s="22" t="str">
        <x:v>中证500</x:v>
      </x:c>
    </x:row>
    <x:row r="188">
      <x:c r="A188" s="22" t="n">
        <x:v>10</x:v>
      </x:c>
      <x:c r="B188" s="22" t="str">
        <x:v>周五</x:v>
      </x:c>
      <x:c r="C188" s="22" t="str">
        <x:v>8月14日</x:v>
      </x:c>
      <x:c r="D188" s="23" t="n">
        <x:v>7989.65</x:v>
      </x:c>
      <x:c r="E188" s="23" t="n">
        <x:v>8005.15</x:v>
      </x:c>
      <x:c r="F188" s="23" t="n">
        <x:v>7897.24</x:v>
      </x:c>
      <x:c r="G188" s="23" t="n">
        <x:v>7990.33</x:v>
      </x:c>
      <x:c r="H188" s="23" t="n">
        <x:v>21.9</x:v>
      </x:c>
      <x:c r="I188" s="24" t="n">
        <x:v>0.0027546377055311932</x:v>
      </x:c>
      <x:c r="J188" s="23" t="n">
        <x:f>ROUND(E188-F188,1)</x:f>
        <x:v>107.9</x:v>
      </x:c>
      <x:c r="K188" s="22" t="str">
        <x:v>中证500</x:v>
      </x:c>
    </x:row>
    <x:row r="189">
      <x:c r="A189" s="22" t="n">
        <x:v>11</x:v>
      </x:c>
      <x:c r="B189" s="22" t="str">
        <x:v>周一</x:v>
      </x:c>
      <x:c r="C189" s="22" t="str">
        <x:v>8月17日</x:v>
      </x:c>
      <x:c r="D189" s="23" t="n">
        <x:v>8007.87</x:v>
      </x:c>
      <x:c r="E189" s="23" t="n">
        <x:v>8184.64</x:v>
      </x:c>
      <x:c r="F189" s="23" t="n">
        <x:v>7992.36</x:v>
      </x:c>
      <x:c r="G189" s="23" t="n">
        <x:v>8184.64</x:v>
      </x:c>
      <x:c r="H189" s="28" t="n">
        <x:v>194.3</x:v>
      </x:c>
      <x:c r="I189" s="24" t="n">
        <x:v>0.02431814455723358</x:v>
      </x:c>
      <x:c r="J189" s="26" t="n">
        <x:f>ROUND(E189-F189,1)</x:f>
        <x:v>192.3</x:v>
      </x:c>
      <x:c r="K189" s="22" t="str">
        <x:v>中证500</x:v>
      </x:c>
    </x:row>
    <x:row r="190">
      <x:c r="A190" s="22" t="n">
        <x:v>12</x:v>
      </x:c>
      <x:c r="B190" s="22" t="str">
        <x:v>周二</x:v>
      </x:c>
      <x:c r="C190" s="22" t="str">
        <x:v>8月18日</x:v>
      </x:c>
      <x:c r="D190" s="23" t="n">
        <x:v>8178.84</x:v>
      </x:c>
      <x:c r="E190" s="23" t="n">
        <x:v>8211.31</x:v>
      </x:c>
      <x:c r="F190" s="23" t="n">
        <x:v>8069.82</x:v>
      </x:c>
      <x:c r="G190" s="23" t="n">
        <x:v>8177.18</x:v>
      </x:c>
      <x:c r="H190" s="23" t="n">
        <x:v>-7.5</x:v>
      </x:c>
      <x:c r="I190" s="24" t="n">
        <x:v>-0.0009114634241701447</x:v>
      </x:c>
      <x:c r="J190" s="23" t="n">
        <x:f>ROUND(E190-F190,1)</x:f>
        <x:v>141.5</x:v>
      </x:c>
      <x:c r="K190" s="22" t="str">
        <x:v>中证500</x:v>
      </x:c>
    </x:row>
    <x:row r="191">
      <x:c r="A191" s="22" t="n">
        <x:v>13</x:v>
      </x:c>
      <x:c r="B191" s="22" t="str">
        <x:v>周三</x:v>
      </x:c>
      <x:c r="C191" s="22" t="str">
        <x:v>8月19日</x:v>
      </x:c>
      <x:c r="D191" s="23" t="n">
        <x:v>8029.52</x:v>
      </x:c>
      <x:c r="E191" s="23" t="n">
        <x:v>8050.08</x:v>
      </x:c>
      <x:c r="F191" s="23" t="n">
        <x:v>7762.29</x:v>
      </x:c>
      <x:c r="G191" s="23" t="n">
        <x:v>7783.46</x:v>
      </x:c>
      <x:c r="H191" s="28" t="n">
        <x:v>-393.7</x:v>
      </x:c>
      <x:c r="I191" s="24" t="n">
        <x:v>-0.04814862825570676</x:v>
      </x:c>
      <x:c r="J191" s="26" t="n">
        <x:f>ROUND(E191-F191,1)</x:f>
        <x:v>287.8</x:v>
      </x:c>
      <x:c r="K191" s="22" t="str">
        <x:v>中证500</x:v>
      </x:c>
    </x:row>
    <x:row r="192">
      <x:c r="A192" s="22" t="n">
        <x:v>14</x:v>
      </x:c>
      <x:c r="B192" s="22" t="str">
        <x:v>周四</x:v>
      </x:c>
      <x:c r="C192" s="22" t="str">
        <x:v>8月20日</x:v>
      </x:c>
      <x:c r="D192" s="23" t="n">
        <x:v>7864.68</x:v>
      </x:c>
      <x:c r="E192" s="23" t="n">
        <x:v>7923.91</x:v>
      </x:c>
      <x:c r="F192" s="23" t="n">
        <x:v>7796.28</x:v>
      </x:c>
      <x:c r="G192" s="23" t="n">
        <x:v>7850.4</x:v>
      </x:c>
      <x:c r="H192" s="23" t="n">
        <x:v>66.9</x:v>
      </x:c>
      <x:c r="I192" s="24" t="n">
        <x:v>0.008600288303659331</x:v>
      </x:c>
      <x:c r="J192" s="23" t="n">
        <x:f>ROUND(E192-F192,1)</x:f>
        <x:v>127.6</x:v>
      </x:c>
      <x:c r="K192" s="22" t="str">
        <x:v>中证500</x:v>
      </x:c>
    </x:row>
    <x:row r="193">
      <x:c r="A193" s="41" t="n">
        <x:v>15</x:v>
      </x:c>
      <x:c r="B193" s="41" t="str">
        <x:v>周五</x:v>
      </x:c>
      <x:c r="C193" s="41" t="str">
        <x:v>8月21日</x:v>
      </x:c>
      <x:c r="D193" s="42" t="n">
        <x:v>7812.26</x:v>
      </x:c>
      <x:c r="E193" s="42" t="n">
        <x:v>7877.34</x:v>
      </x:c>
      <x:c r="F193" s="42" t="n">
        <x:v>7756.28</x:v>
      </x:c>
      <x:c r="G193" s="42" t="n">
        <x:v>7854.33</x:v>
      </x:c>
      <x:c r="H193" s="42" t="n">
        <x:v>3.9</x:v>
      </x:c>
      <x:c r="I193" s="43" t="n">
        <x:v>0.0005006114338124146</x:v>
      </x:c>
      <x:c r="J193" s="42" t="n">
        <x:f>ROUND(E193-F193,1)</x:f>
        <x:v>121.1</x:v>
      </x:c>
      <x:c r="K193" s="41" t="str">
        <x:v>中证500</x:v>
      </x:c>
    </x:row>
    <x:row r="194">
      <x:c r="A194" s="22" t="n">
        <x:v>16</x:v>
      </x:c>
      <x:c r="B194" s="22" t="str">
        <x:v>周一</x:v>
      </x:c>
      <x:c r="C194" s="22" t="str">
        <x:v>8月24日</x:v>
      </x:c>
      <x:c r="D194" s="23" t="n">
        <x:v>7861.05</x:v>
      </x:c>
      <x:c r="E194" s="23" t="n">
        <x:v>7865.54</x:v>
      </x:c>
      <x:c r="F194" s="23" t="n">
        <x:v>7615.45</x:v>
      </x:c>
      <x:c r="G194" s="23" t="n">
        <x:v>7717.09</x:v>
      </x:c>
      <x:c r="H194" s="23" t="n">
        <x:v>-137.2</x:v>
      </x:c>
      <x:c r="I194" s="24" t="n">
        <x:v>-0.017473164483794212</x:v>
      </x:c>
      <x:c r="J194" s="26" t="n">
        <x:f>ROUND(E194-F194,1)</x:f>
        <x:v>250.1</x:v>
      </x:c>
      <x:c r="K194" s="22" t="str">
        <x:v>中证500</x:v>
      </x:c>
    </x:row>
    <x:row r="195">
      <x:c r="A195" s="22" t="n">
        <x:v>17</x:v>
      </x:c>
      <x:c r="B195" s="22" t="str">
        <x:v>周二</x:v>
      </x:c>
      <x:c r="C195" s="22" t="str">
        <x:v>8月25日</x:v>
      </x:c>
      <x:c r="D195" s="23" t="n">
        <x:v>7644.2</x:v>
      </x:c>
      <x:c r="E195" s="23" t="n">
        <x:v>7755.72</x:v>
      </x:c>
      <x:c r="F195" s="23" t="n">
        <x:v>7572.86</x:v>
      </x:c>
      <x:c r="G195" s="23" t="n">
        <x:v>7710.94</x:v>
      </x:c>
      <x:c r="H195" s="23" t="n">
        <x:v>-6.2</x:v>
      </x:c>
      <x:c r="I195" s="24" t="n">
        <x:v>-0.0007969325224923551</x:v>
      </x:c>
      <x:c r="J195" s="26" t="n">
        <x:f>ROUND(E195-F195,1)</x:f>
        <x:v>182.9</x:v>
      </x:c>
      <x:c r="K195" s="22" t="str">
        <x:v>中证500</x:v>
      </x:c>
    </x:row>
    <x:row r="196">
      <x:c r="A196" s="22" t="n">
        <x:v>18</x:v>
      </x:c>
      <x:c r="B196" s="22" t="str">
        <x:v>周三</x:v>
      </x:c>
      <x:c r="C196" s="22" t="str">
        <x:v>8月26日</x:v>
      </x:c>
      <x:c r="D196" s="23" t="n">
        <x:v>7714.84</x:v>
      </x:c>
      <x:c r="E196" s="23" t="n">
        <x:v>7833.6</x:v>
      </x:c>
      <x:c r="F196" s="23" t="n">
        <x:v>7699.42</x:v>
      </x:c>
      <x:c r="G196" s="23" t="n">
        <x:v>7770.53</x:v>
      </x:c>
      <x:c r="H196" s="23" t="n">
        <x:v>59.6</x:v>
      </x:c>
      <x:c r="I196" s="24" t="n">
        <x:v>0.007727981283734531</x:v>
      </x:c>
      <x:c r="J196" s="23" t="n">
        <x:f>ROUND(E196-F196,1)</x:f>
        <x:v>134.2</x:v>
      </x:c>
      <x:c r="K196" s="22" t="str">
        <x:v>中证500</x:v>
      </x:c>
    </x:row>
    <x:row r="197">
      <x:c r="A197" s="22" t="n">
        <x:v>19</x:v>
      </x:c>
      <x:c r="B197" s="22" t="str">
        <x:v>周四</x:v>
      </x:c>
      <x:c r="C197" s="22" t="str">
        <x:v>8月27日</x:v>
      </x:c>
      <x:c r="D197" s="23" t="n">
        <x:v>7786.69</x:v>
      </x:c>
      <x:c r="E197" s="23" t="n">
        <x:v>7951.05</x:v>
      </x:c>
      <x:c r="F197" s="23" t="n">
        <x:v>7763.98</x:v>
      </x:c>
      <x:c r="G197" s="23" t="n">
        <x:v>7946.33</x:v>
      </x:c>
      <x:c r="H197" s="28" t="n">
        <x:v>175.8</x:v>
      </x:c>
      <x:c r="I197" s="24" t="n">
        <x:v>0.02262393942240748</x:v>
      </x:c>
      <x:c r="J197" s="26" t="n">
        <x:f>ROUND(E197-F197,1)</x:f>
        <x:v>187.1</x:v>
      </x:c>
      <x:c r="K197" s="22" t="str">
        <x:v>中证500</x:v>
      </x:c>
    </x:row>
    <x:row r="198">
      <x:c r="A198" s="22" t="n">
        <x:v>20</x:v>
      </x:c>
      <x:c r="B198" s="22" t="str">
        <x:v>周五</x:v>
      </x:c>
      <x:c r="C198" s="22" t="str">
        <x:v>8月28日</x:v>
      </x:c>
      <x:c r="D198" s="23" t="n">
        <x:v>7939.45</x:v>
      </x:c>
      <x:c r="E198" s="23" t="n">
        <x:v>7986.43</x:v>
      </x:c>
      <x:c r="F198" s="23" t="n">
        <x:v>7892.51</x:v>
      </x:c>
      <x:c r="G198" s="23" t="n">
        <x:v>7895.45</x:v>
      </x:c>
      <x:c r="H198" s="23" t="n">
        <x:v>-50.9</x:v>
      </x:c>
      <x:c r="I198" s="24" t="n">
        <x:v>-0.006402955829924006</x:v>
      </x:c>
      <x:c r="J198" s="23" t="n">
        <x:f>ROUND(E198-F198,1)</x:f>
        <x:v>93.9</x:v>
      </x:c>
      <x:c r="K198" s="22" t="str">
        <x:v>中证500</x:v>
      </x:c>
    </x:row>
    <x:row r="199">
      <x:c r="A199" s="22" t="n">
        <x:v>21</x:v>
      </x:c>
      <x:c r="B199" s="22" t="str">
        <x:v>周一</x:v>
      </x:c>
      <x:c r="C199" s="22" t="str">
        <x:v>8月31日</x:v>
      </x:c>
      <x:c r="D199" s="23" t="n">
        <x:v>7797.23</x:v>
      </x:c>
      <x:c r="E199" s="23" t="n">
        <x:v>7953.93</x:v>
      </x:c>
      <x:c r="F199" s="23" t="n">
        <x:v>7764.98</x:v>
      </x:c>
      <x:c r="G199" s="23" t="n">
        <x:v>7952.1</x:v>
      </x:c>
      <x:c r="H199" s="23" t="n">
        <x:v>56.7</x:v>
      </x:c>
      <x:c r="I199" s="24" t="n">
        <x:v>0.007175018523326804</x:v>
      </x:c>
      <x:c r="J199" s="26" t="n">
        <x:f>ROUND(E199-F199,1)</x:f>
        <x:v>189</x:v>
      </x:c>
      <x:c r="K199" s="22" t="str">
        <x:v>中证500</x:v>
      </x:c>
    </x:row>
    <x:row r="200">
      <x:c r="A200" s="31" t="str">
        <x:v>合计</x:v>
      </x:c>
      <x:c r="B200" s="30" t="n">
        <x:v>21</x:v>
      </x:c>
      <x:c r="C200" s="30"/>
      <x:c r="D200" s="30"/>
      <x:c r="E200" s="30"/>
      <x:c r="F200" s="30"/>
      <x:c r="G200" s="30"/>
      <x:c r="H200" s="30"/>
      <x:c r="I200" s="30"/>
      <x:c r="J200" s="32" t="n">
        <x:f>ROUND(SUM(J179:J199),1)</x:f>
        <x:v>3487.7</x:v>
      </x:c>
      <x:c r="K200" s="30"/>
    </x:row>
    <x:row r="201">
      <x:c r="A201" s="31" t="str">
        <x:v>均值</x:v>
      </x:c>
      <x:c r="B201" s="30"/>
      <x:c r="C201" s="30"/>
      <x:c r="D201" s="30"/>
      <x:c r="E201" s="30"/>
      <x:c r="F201" s="30"/>
      <x:c r="G201" s="30"/>
      <x:c r="H201" s="30"/>
      <x:c r="I201" s="30"/>
      <x:c r="J201" s="34" t="n">
        <x:f>ROUND(IFERROR(AVERAGE(J179:J199),0),1)</x:f>
        <x:v>166.1</x:v>
      </x:c>
      <x:c r="K201" s="30"/>
    </x:row>
    <x:row r="203">
      <x:c r="A203" s="17" t="str">
        <x:v>9月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>
      <x:c r="A204" s="20" t="str">
        <x:v>序号</x:v>
      </x:c>
      <x:c r="B204" s="20" t="str">
        <x:v>星期</x:v>
      </x:c>
      <x:c r="C204" s="20" t="str">
        <x:v>日期</x:v>
      </x:c>
      <x:c r="D204" s="20" t="str">
        <x:v>开盘</x:v>
      </x:c>
      <x:c r="E204" s="20" t="str">
        <x:v>高点</x:v>
      </x:c>
      <x:c r="F204" s="20" t="str">
        <x:v>低点</x:v>
      </x:c>
      <x:c r="G204" s="20" t="str">
        <x:v>收盘</x:v>
      </x:c>
      <x:c r="H204" s="20" t="str">
        <x:v>涨跌点数</x:v>
      </x:c>
      <x:c r="I204" s="20" t="str">
        <x:v>涨幅</x:v>
      </x:c>
      <x:c r="J204" s="20" t="str">
        <x:v>振幅</x:v>
      </x:c>
      <x:c r="K204" s="20" t="str">
        <x:v>标的</x:v>
      </x:c>
    </x:row>
    <x:row r="205">
      <x:c r="A205" s="22" t="n">
        <x:v>1</x:v>
      </x:c>
      <x:c r="B205" s="22" t="str">
        <x:v>周二</x:v>
      </x:c>
      <x:c r="C205" s="22" t="str">
        <x:v>9月1日</x:v>
      </x:c>
      <x:c r="D205" s="23" t="n">
        <x:v>7944.29</x:v>
      </x:c>
      <x:c r="E205" s="23" t="n">
        <x:v>7955.57</x:v>
      </x:c>
      <x:c r="F205" s="23" t="n">
        <x:v>7852.87</x:v>
      </x:c>
      <x:c r="G205" s="23" t="n">
        <x:v>7858.52</x:v>
      </x:c>
      <x:c r="H205" s="23" t="n">
        <x:v>-93.6</x:v>
      </x:c>
      <x:c r="I205" s="24" t="n">
        <x:v>-0.011767960664478605</x:v>
      </x:c>
      <x:c r="J205" s="23" t="n">
        <x:f>ROUND(E205-F205,1)</x:f>
        <x:v>102.7</x:v>
      </x:c>
      <x:c r="K205" s="22" t="str">
        <x:v>中证500</x:v>
      </x:c>
    </x:row>
    <x:row r="206">
      <x:c r="A206" s="22" t="n">
        <x:v>2</x:v>
      </x:c>
      <x:c r="B206" s="22" t="str">
        <x:v>周三</x:v>
      </x:c>
      <x:c r="C206" s="22" t="str">
        <x:v>9月2日</x:v>
      </x:c>
      <x:c r="D206" s="23" t="n">
        <x:v>7781.29</x:v>
      </x:c>
      <x:c r="E206" s="23" t="n">
        <x:v>7783.05</x:v>
      </x:c>
      <x:c r="F206" s="23" t="n">
        <x:v>7692.15</x:v>
      </x:c>
      <x:c r="G206" s="23" t="n">
        <x:v>7729.23</x:v>
      </x:c>
      <x:c r="H206" s="23" t="n">
        <x:v>-129.3</x:v>
      </x:c>
      <x:c r="I206" s="24" t="n">
        <x:v>-0.016452207285850395</x:v>
      </x:c>
      <x:c r="J206" s="23" t="n">
        <x:f>ROUND(E206-F206,1)</x:f>
        <x:v>90.9</x:v>
      </x:c>
      <x:c r="K206" s="22" t="str">
        <x:v>中证500</x:v>
      </x:c>
    </x:row>
    <x:row r="207">
      <x:c r="A207" s="22" t="n">
        <x:v>3</x:v>
      </x:c>
      <x:c r="B207" s="22" t="str">
        <x:v>周四</x:v>
      </x:c>
      <x:c r="C207" s="22" t="str">
        <x:v>9月3日</x:v>
      </x:c>
      <x:c r="D207" s="23" t="n">
        <x:v>7776.82</x:v>
      </x:c>
      <x:c r="E207" s="23" t="n">
        <x:v>7799.63</x:v>
      </x:c>
      <x:c r="F207" s="23" t="n">
        <x:v>7686.44</x:v>
      </x:c>
      <x:c r="G207" s="23" t="n">
        <x:v>7755.36</x:v>
      </x:c>
      <x:c r="H207" s="23" t="n">
        <x:v>26.1</x:v>
      </x:c>
      <x:c r="I207" s="24" t="n">
        <x:v>0.003380673107153065</x:v>
      </x:c>
      <x:c r="J207" s="23" t="n">
        <x:f>ROUND(E207-F207,1)</x:f>
        <x:v>113.2</x:v>
      </x:c>
      <x:c r="K207" s="22" t="str">
        <x:v>中证500</x:v>
      </x:c>
    </x:row>
    <x:row r="208">
      <x:c r="A208" s="22" t="n">
        <x:v>4</x:v>
      </x:c>
      <x:c r="B208" s="22" t="str">
        <x:v>周五</x:v>
      </x:c>
      <x:c r="C208" s="22" t="str">
        <x:v>9月4日</x:v>
      </x:c>
      <x:c r="D208" s="23" t="n">
        <x:v>7806.61</x:v>
      </x:c>
      <x:c r="E208" s="23" t="n">
        <x:v>7850.4</x:v>
      </x:c>
      <x:c r="F208" s="23" t="n">
        <x:v>7610.58</x:v>
      </x:c>
      <x:c r="G208" s="23" t="n">
        <x:v>7652.69</x:v>
      </x:c>
      <x:c r="H208" s="23" t="n">
        <x:v>-102.7</x:v>
      </x:c>
      <x:c r="I208" s="24" t="n">
        <x:v>-0.01323858595861449</x:v>
      </x:c>
      <x:c r="J208" s="26" t="n">
        <x:f>ROUND(E208-F208,1)</x:f>
        <x:v>239.8</x:v>
      </x:c>
      <x:c r="K208" s="22" t="str">
        <x:v>中证500</x:v>
      </x:c>
    </x:row>
    <x:row r="209">
      <x:c r="A209" s="22" t="n">
        <x:v>5</x:v>
      </x:c>
      <x:c r="B209" s="22" t="str">
        <x:v>周一</x:v>
      </x:c>
      <x:c r="C209" s="22" t="str">
        <x:v>9月7日</x:v>
      </x:c>
      <x:c r="D209" s="23" t="n">
        <x:v>7687.47</x:v>
      </x:c>
      <x:c r="E209" s="23" t="n">
        <x:v>7791.79</x:v>
      </x:c>
      <x:c r="F209" s="23" t="n">
        <x:v>7672.99</x:v>
      </x:c>
      <x:c r="G209" s="23" t="n">
        <x:v>7759.37</x:v>
      </x:c>
      <x:c r="H209" s="23" t="n">
        <x:v>106.7</x:v>
      </x:c>
      <x:c r="I209" s="24" t="n">
        <x:v>0.013940196192449905</x:v>
      </x:c>
      <x:c r="J209" s="23" t="n">
        <x:f>ROUND(E209-F209,1)</x:f>
        <x:v>118.8</x:v>
      </x:c>
      <x:c r="K209" s="22" t="str">
        <x:v>中证500</x:v>
      </x:c>
    </x:row>
    <x:row r="210">
      <x:c r="A210" s="22" t="n">
        <x:v>6</x:v>
      </x:c>
      <x:c r="B210" s="22" t="str">
        <x:v>周二</x:v>
      </x:c>
      <x:c r="C210" s="22" t="str">
        <x:v>9月8日</x:v>
      </x:c>
      <x:c r="D210" s="23" t="n">
        <x:v>7773.28</x:v>
      </x:c>
      <x:c r="E210" s="23" t="n">
        <x:v>7830.16</x:v>
      </x:c>
      <x:c r="F210" s="23" t="n">
        <x:v>7736.44</x:v>
      </x:c>
      <x:c r="G210" s="23" t="n">
        <x:v>7770.73</x:v>
      </x:c>
      <x:c r="H210" s="23" t="n">
        <x:v>11.4</x:v>
      </x:c>
      <x:c r="I210" s="24" t="n">
        <x:v>0.0014640363843971826</x:v>
      </x:c>
      <x:c r="J210" s="23" t="n">
        <x:f>ROUND(E210-F210,1)</x:f>
        <x:v>93.7</x:v>
      </x:c>
      <x:c r="K210" s="22" t="str">
        <x:v>中证500</x:v>
      </x:c>
    </x:row>
    <x:row r="211">
      <x:c r="A211" s="22" t="n">
        <x:v>7</x:v>
      </x:c>
      <x:c r="B211" s="22" t="str">
        <x:v>周三</x:v>
      </x:c>
      <x:c r="C211" s="22" t="str">
        <x:v>9月9日</x:v>
      </x:c>
      <x:c r="D211" s="23" t="n">
        <x:v>7793.04</x:v>
      </x:c>
      <x:c r="E211" s="23" t="n">
        <x:v>7816.66</x:v>
      </x:c>
      <x:c r="F211" s="23" t="n">
        <x:v>7723.82</x:v>
      </x:c>
      <x:c r="G211" s="23" t="n">
        <x:v>7768.11</x:v>
      </x:c>
      <x:c r="H211" s="23" t="n">
        <x:v>-2.6</x:v>
      </x:c>
      <x:c r="I211" s="24" t="n">
        <x:v>-0.0003371626603935196</x:v>
      </x:c>
      <x:c r="J211" s="23" t="n">
        <x:f>ROUND(E211-F211,1)</x:f>
        <x:v>92.8</x:v>
      </x:c>
      <x:c r="K211" s="22" t="str">
        <x:v>中证500</x:v>
      </x:c>
    </x:row>
    <x:row r="212">
      <x:c r="A212" s="22" t="n">
        <x:v>8</x:v>
      </x:c>
      <x:c r="B212" s="22" t="str">
        <x:v>周四</x:v>
      </x:c>
      <x:c r="C212" s="22" t="str">
        <x:v>9月10日</x:v>
      </x:c>
      <x:c r="D212" s="23" t="n">
        <x:v>7731.63</x:v>
      </x:c>
      <x:c r="E212" s="23" t="n">
        <x:v>7766.35</x:v>
      </x:c>
      <x:c r="F212" s="23" t="n">
        <x:v>7696.55</x:v>
      </x:c>
      <x:c r="G212" s="23" t="n">
        <x:v>7717.8</x:v>
      </x:c>
      <x:c r="H212" s="23" t="n">
        <x:v>-50.3</x:v>
      </x:c>
      <x:c r="I212" s="24" t="n">
        <x:v>-0.006476478834619992</x:v>
      </x:c>
      <x:c r="J212" s="23" t="n">
        <x:f>ROUND(E212-F212,1)</x:f>
        <x:v>69.8</x:v>
      </x:c>
      <x:c r="K212" s="22" t="str">
        <x:v>中证500</x:v>
      </x:c>
    </x:row>
    <x:row r="213">
      <x:c r="A213" s="22" t="n">
        <x:v>9</x:v>
      </x:c>
      <x:c r="B213" s="22" t="str">
        <x:v>周五</x:v>
      </x:c>
      <x:c r="C213" s="22" t="str">
        <x:v>9月11日</x:v>
      </x:c>
      <x:c r="D213" s="23" t="n">
        <x:v>7638.63</x:v>
      </x:c>
      <x:c r="E213" s="23" t="n">
        <x:v>7638.63</x:v>
      </x:c>
      <x:c r="F213" s="23" t="n">
        <x:v>7451.12</x:v>
      </x:c>
      <x:c r="G213" s="23" t="n">
        <x:v>7580.54</x:v>
      </x:c>
      <x:c r="H213" s="23" t="n">
        <x:v>-137.3</x:v>
      </x:c>
      <x:c r="I213" s="24" t="n">
        <x:v>-0.017784860970742944</x:v>
      </x:c>
      <x:c r="J213" s="26" t="n">
        <x:f>ROUND(E213-F213,1)</x:f>
        <x:v>187.5</x:v>
      </x:c>
      <x:c r="K213" s="22" t="str">
        <x:v>中证500</x:v>
      </x:c>
    </x:row>
    <x:row r="214">
      <x:c r="A214" s="22" t="n">
        <x:v>10</x:v>
      </x:c>
      <x:c r="B214" s="22" t="str">
        <x:v>周一</x:v>
      </x:c>
      <x:c r="C214" s="22" t="str">
        <x:v>9月14日</x:v>
      </x:c>
      <x:c r="D214" s="23" t="n">
        <x:v>7511.04</x:v>
      </x:c>
      <x:c r="E214" s="23" t="n">
        <x:v>7610.03</x:v>
      </x:c>
      <x:c r="F214" s="23" t="n">
        <x:v>7487.46</x:v>
      </x:c>
      <x:c r="G214" s="23" t="n">
        <x:v>7571.2</x:v>
      </x:c>
      <x:c r="H214" s="23" t="n">
        <x:v>-9.3</x:v>
      </x:c>
      <x:c r="I214" s="24" t="n">
        <x:v>-0.0012321021985240987</x:v>
      </x:c>
      <x:c r="J214" s="23" t="n">
        <x:f>ROUND(E214-F214,1)</x:f>
        <x:v>122.6</x:v>
      </x:c>
      <x:c r="K214" s="22" t="str">
        <x:v>中证500</x:v>
      </x:c>
    </x:row>
    <x:row r="215">
      <x:c r="A215" s="22" t="n">
        <x:v>11</x:v>
      </x:c>
      <x:c r="B215" s="22" t="str">
        <x:v>周二</x:v>
      </x:c>
      <x:c r="C215" s="22" t="str">
        <x:v>9月15日</x:v>
      </x:c>
      <x:c r="D215" s="23" t="n">
        <x:v>7550.68</x:v>
      </x:c>
      <x:c r="E215" s="23" t="n">
        <x:v>7641.54</x:v>
      </x:c>
      <x:c r="F215" s="23" t="n">
        <x:v>7543.95</x:v>
      </x:c>
      <x:c r="G215" s="23" t="n">
        <x:v>7561.59</x:v>
      </x:c>
      <x:c r="H215" s="23" t="n">
        <x:v>-9.6</x:v>
      </x:c>
      <x:c r="I215" s="24" t="n">
        <x:v>-0.0012692836010143038</x:v>
      </x:c>
      <x:c r="J215" s="23" t="n">
        <x:f>ROUND(E215-F215,1)</x:f>
        <x:v>97.6</x:v>
      </x:c>
      <x:c r="K215" s="22" t="str">
        <x:v>中证500</x:v>
      </x:c>
    </x:row>
    <x:row r="216">
      <x:c r="A216" s="22" t="n">
        <x:v>12</x:v>
      </x:c>
      <x:c r="B216" s="22" t="str">
        <x:v>周三</x:v>
      </x:c>
      <x:c r="C216" s="22" t="str">
        <x:v>9月16日</x:v>
      </x:c>
      <x:c r="D216" s="23" t="n">
        <x:v>7556.9</x:v>
      </x:c>
      <x:c r="E216" s="23" t="n">
        <x:v>7696.47</x:v>
      </x:c>
      <x:c r="F216" s="23" t="n">
        <x:v>7523.82</x:v>
      </x:c>
      <x:c r="G216" s="23" t="n">
        <x:v>7683.47</x:v>
      </x:c>
      <x:c r="H216" s="23" t="n">
        <x:v>121.9</x:v>
      </x:c>
      <x:c r="I216" s="24" t="n">
        <x:v>0.016118303161107628</x:v>
      </x:c>
      <x:c r="J216" s="26" t="n">
        <x:f>ROUND(E216-F216,1)</x:f>
        <x:v>172.7</x:v>
      </x:c>
      <x:c r="K216" s="22" t="str">
        <x:v>中证500</x:v>
      </x:c>
    </x:row>
    <x:row r="217">
      <x:c r="A217" s="22" t="n">
        <x:v>13</x:v>
      </x:c>
      <x:c r="B217" s="22" t="str">
        <x:v>周四</x:v>
      </x:c>
      <x:c r="C217" s="22" t="str">
        <x:v>9月17日</x:v>
      </x:c>
      <x:c r="D217" s="23" t="n">
        <x:v>7651.46</x:v>
      </x:c>
      <x:c r="E217" s="23" t="n">
        <x:v>7738.03</x:v>
      </x:c>
      <x:c r="F217" s="23" t="n">
        <x:v>7622.55</x:v>
      </x:c>
      <x:c r="G217" s="23" t="n">
        <x:v>7654.98</x:v>
      </x:c>
      <x:c r="H217" s="23" t="n">
        <x:v>-28.5</x:v>
      </x:c>
      <x:c r="I217" s="24" t="n">
        <x:v>-0.0037079600753305852</x:v>
      </x:c>
      <x:c r="J217" s="23" t="n">
        <x:f>ROUND(E217-F217,1)</x:f>
        <x:v>115.5</x:v>
      </x:c>
      <x:c r="K217" s="22" t="str">
        <x:v>中证500</x:v>
      </x:c>
    </x:row>
    <x:row r="218">
      <x:c r="A218" s="41" t="n">
        <x:v>14</x:v>
      </x:c>
      <x:c r="B218" s="41" t="str">
        <x:v>周五</x:v>
      </x:c>
      <x:c r="C218" s="41" t="str">
        <x:v>9月18日</x:v>
      </x:c>
      <x:c r="D218" s="42" t="n">
        <x:v>7731.07</x:v>
      </x:c>
      <x:c r="E218" s="42" t="n">
        <x:v>7819.98</x:v>
      </x:c>
      <x:c r="F218" s="42" t="n">
        <x:v>7710.24</x:v>
      </x:c>
      <x:c r="G218" s="42" t="n">
        <x:v>7799.61</x:v>
      </x:c>
      <x:c r="H218" s="42" t="n">
        <x:v>144.6</x:v>
      </x:c>
      <x:c r="I218" s="43" t="n">
        <x:v>0.018893583000870073</x:v>
      </x:c>
      <x:c r="J218" s="42" t="n">
        <x:f>ROUND(E218-F218,1)</x:f>
        <x:v>109.7</x:v>
      </x:c>
      <x:c r="K218" s="41" t="str">
        <x:v>中证500</x:v>
      </x:c>
    </x:row>
    <x:row r="219">
      <x:c r="A219" s="22" t="n">
        <x:v>15</x:v>
      </x:c>
      <x:c r="B219" s="22" t="str">
        <x:v>周一</x:v>
      </x:c>
      <x:c r="C219" s="22" t="str">
        <x:v>9月21日</x:v>
      </x:c>
      <x:c r="D219" s="23" t="n">
        <x:v>7829.82</x:v>
      </x:c>
      <x:c r="E219" s="23" t="n">
        <x:v>7869.35</x:v>
      </x:c>
      <x:c r="F219" s="23" t="n">
        <x:v>7809.59</x:v>
      </x:c>
      <x:c r="G219" s="23" t="n">
        <x:v>7850.48</x:v>
      </x:c>
      <x:c r="H219" s="23" t="n">
        <x:v>50.9</x:v>
      </x:c>
      <x:c r="I219" s="24" t="n">
        <x:v>0.0065221209778436595</x:v>
      </x:c>
      <x:c r="J219" s="23" t="n">
        <x:f>ROUND(E219-F219,1)</x:f>
        <x:v>59.8</x:v>
      </x:c>
      <x:c r="K219" s="22" t="str">
        <x:v>中证500</x:v>
      </x:c>
    </x:row>
    <x:row r="220">
      <x:c r="A220" s="22" t="n">
        <x:v>16</x:v>
      </x:c>
      <x:c r="B220" s="22" t="str">
        <x:v>周二</x:v>
      </x:c>
      <x:c r="C220" s="22" t="str">
        <x:v>9月22日</x:v>
      </x:c>
      <x:c r="D220" s="23" t="n">
        <x:v>7911.64</x:v>
      </x:c>
      <x:c r="E220" s="23" t="n">
        <x:v>7922.62</x:v>
      </x:c>
      <x:c r="F220" s="23" t="n">
        <x:v>7808.98</x:v>
      </x:c>
      <x:c r="G220" s="23" t="n">
        <x:v>7828.94</x:v>
      </x:c>
      <x:c r="H220" s="23" t="n">
        <x:v>-21.5</x:v>
      </x:c>
      <x:c r="I220" s="24" t="n">
        <x:v>-0.002743781271973167</x:v>
      </x:c>
      <x:c r="J220" s="23" t="n">
        <x:f>ROUND(E220-F220,1)</x:f>
        <x:v>113.6</x:v>
      </x:c>
      <x:c r="K220" s="22" t="str">
        <x:v>中证500</x:v>
      </x:c>
    </x:row>
    <x:row r="221">
      <x:c r="A221" s="22" t="n">
        <x:v>17</x:v>
      </x:c>
      <x:c r="B221" s="22" t="str">
        <x:v>周三</x:v>
      </x:c>
      <x:c r="C221" s="22" t="str">
        <x:v>9月23日</x:v>
      </x:c>
      <x:c r="D221" s="23" t="n">
        <x:v>7839.94</x:v>
      </x:c>
      <x:c r="E221" s="23" t="n">
        <x:v>7839.94</x:v>
      </x:c>
      <x:c r="F221" s="23" t="n">
        <x:v>7781.31</x:v>
      </x:c>
      <x:c r="G221" s="23" t="n">
        <x:v>7791.82</x:v>
      </x:c>
      <x:c r="H221" s="23" t="n">
        <x:v>-37.1</x:v>
      </x:c>
      <x:c r="I221" s="24" t="n">
        <x:v>-0.004741382613738243</x:v>
      </x:c>
      <x:c r="J221" s="23" t="n">
        <x:f>ROUND(E221-F221,1)</x:f>
        <x:v>58.6</x:v>
      </x:c>
      <x:c r="K221" s="22" t="str">
        <x:v>中证500</x:v>
      </x:c>
    </x:row>
    <x:row r="222">
      <x:c r="A222" s="22" t="n">
        <x:v>18</x:v>
      </x:c>
      <x:c r="B222" s="22" t="str">
        <x:v>周四</x:v>
      </x:c>
      <x:c r="C222" s="22" t="str">
        <x:v>9月24日</x:v>
      </x:c>
      <x:c r="D222" s="23" t="n">
        <x:v>7763.73</x:v>
      </x:c>
      <x:c r="E222" s="23" t="n">
        <x:v>7774.22</x:v>
      </x:c>
      <x:c r="F222" s="23" t="n">
        <x:v>7624.07</x:v>
      </x:c>
      <x:c r="G222" s="23" t="n">
        <x:v>7624.07</x:v>
      </x:c>
      <x:c r="H222" s="28" t="n">
        <x:v>-167.7</x:v>
      </x:c>
      <x:c r="I222" s="24" t="n">
        <x:v>-0.0215289880926407</x:v>
      </x:c>
      <x:c r="J222" s="23" t="n">
        <x:f>ROUND(E222-F222,1)</x:f>
        <x:v>150.2</x:v>
      </x:c>
      <x:c r="K222" s="22" t="str">
        <x:v>中证500</x:v>
      </x:c>
    </x:row>
    <x:row r="223">
      <x:c r="A223" s="22" t="n">
        <x:v>19</x:v>
      </x:c>
      <x:c r="B223" s="22" t="str">
        <x:v>周一</x:v>
      </x:c>
      <x:c r="C223" s="22" t="str">
        <x:v>9月28日</x:v>
      </x:c>
      <x:c r="D223" s="23" t="n">
        <x:v>7599.2</x:v>
      </x:c>
      <x:c r="E223" s="23" t="n">
        <x:v>7601.09</x:v>
      </x:c>
      <x:c r="F223" s="23" t="n">
        <x:v>7364.43</x:v>
      </x:c>
      <x:c r="G223" s="23" t="n">
        <x:v>7402.3</x:v>
      </x:c>
      <x:c r="H223" s="28" t="n">
        <x:v>-221.8</x:v>
      </x:c>
      <x:c r="I223" s="24" t="n">
        <x:v>-0.029088137963056426</x:v>
      </x:c>
      <x:c r="J223" s="26" t="n">
        <x:f>ROUND(E223-F223,1)</x:f>
        <x:v>236.7</x:v>
      </x:c>
      <x:c r="K223" s="22" t="str">
        <x:v>中证500</x:v>
      </x:c>
    </x:row>
    <x:row r="224">
      <x:c r="A224" s="22" t="n">
        <x:v>20</x:v>
      </x:c>
      <x:c r="B224" s="22" t="str">
        <x:v>周二</x:v>
      </x:c>
      <x:c r="C224" s="22" t="str">
        <x:v>9月29日</x:v>
      </x:c>
      <x:c r="D224" s="23" t="n">
        <x:v>7388.11</x:v>
      </x:c>
      <x:c r="E224" s="23" t="n">
        <x:v>7473.7</x:v>
      </x:c>
      <x:c r="F224" s="23" t="n">
        <x:v>7386.14</x:v>
      </x:c>
      <x:c r="G224" s="23" t="n">
        <x:v>7439.63</x:v>
      </x:c>
      <x:c r="H224" s="23" t="n">
        <x:v>37.3</x:v>
      </x:c>
      <x:c r="I224" s="24" t="n">
        <x:v>0.005043027167231706</x:v>
      </x:c>
      <x:c r="J224" s="23" t="n">
        <x:f>ROUND(E224-F224,1)</x:f>
        <x:v>87.6</x:v>
      </x:c>
      <x:c r="K224" s="22" t="str">
        <x:v>中证500</x:v>
      </x:c>
    </x:row>
    <x:row r="225">
      <x:c r="A225" s="22" t="n">
        <x:v>21</x:v>
      </x:c>
      <x:c r="B225" s="22" t="str">
        <x:v>周三</x:v>
      </x:c>
      <x:c r="C225" s="22" t="str">
        <x:v>9月30日</x:v>
      </x:c>
      <x:c r="D225" s="23" t="n">
        <x:v>7469.05</x:v>
      </x:c>
      <x:c r="E225" s="23" t="n">
        <x:v>7485.11</x:v>
      </x:c>
      <x:c r="F225" s="23" t="n">
        <x:v>7417.49</x:v>
      </x:c>
      <x:c r="G225" s="23" t="n">
        <x:v>7435.16</x:v>
      </x:c>
      <x:c r="H225" s="23" t="n">
        <x:v>-4.5</x:v>
      </x:c>
      <x:c r="I225" s="24" t="n">
        <x:v>-0.0006008363319144339</x:v>
      </x:c>
      <x:c r="J225" s="23" t="n">
        <x:f>ROUND(E225-F225,1)</x:f>
        <x:v>67.6</x:v>
      </x:c>
      <x:c r="K225" s="22" t="str">
        <x:v>中证500</x:v>
      </x:c>
    </x:row>
    <x:row r="226">
      <x:c r="A226" s="31" t="str">
        <x:v>合计</x:v>
      </x:c>
      <x:c r="B226" s="30" t="n">
        <x:v>21</x:v>
      </x:c>
      <x:c r="C226" s="30"/>
      <x:c r="D226" s="30"/>
      <x:c r="E226" s="30"/>
      <x:c r="F226" s="30"/>
      <x:c r="G226" s="30"/>
      <x:c r="H226" s="30"/>
      <x:c r="I226" s="30"/>
      <x:c r="J226" s="32" t="n">
        <x:f>ROUND(SUM(J205:J225),1)</x:f>
        <x:v>2501.4</x:v>
      </x:c>
      <x:c r="K226" s="30"/>
    </x:row>
    <x:row r="227">
      <x:c r="A227" s="31" t="str">
        <x:v>均值</x:v>
      </x:c>
      <x:c r="B227" s="30"/>
      <x:c r="C227" s="30"/>
      <x:c r="D227" s="30"/>
      <x:c r="E227" s="30"/>
      <x:c r="F227" s="30"/>
      <x:c r="G227" s="30"/>
      <x:c r="H227" s="30"/>
      <x:c r="I227" s="30"/>
      <x:c r="J227" s="34" t="n">
        <x:f>ROUND(IFERROR(AVERAGE(J205:J225),0),1)</x:f>
        <x:v>119.1</x:v>
      </x:c>
      <x:c r="K227" s="30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涨跌点数</x:v>
      </x:c>
      <x:c r="I230" s="20" t="str">
        <x:v>涨幅</x:v>
      </x:c>
      <x:c r="J230" s="20" t="str">
        <x:v>振幅</x:v>
      </x:c>
      <x:c r="K230" s="20" t="str">
        <x:v>标的</x:v>
      </x:c>
    </x:row>
    <x:row r="231">
      <x:c r="A231" s="22" t="n">
        <x:v>1</x:v>
      </x:c>
      <x:c r="B231" s="22" t="str">
        <x:v>周四</x:v>
      </x:c>
      <x:c r="C231" s="22" t="str">
        <x:v>10月8日</x:v>
      </x:c>
      <x:c r="D231" s="23" t="n">
        <x:v>7420.44</x:v>
      </x:c>
      <x:c r="E231" s="23" t="n">
        <x:v>7461.24</x:v>
      </x:c>
      <x:c r="F231" s="23" t="n">
        <x:v>7206.06</x:v>
      </x:c>
      <x:c r="G231" s="23" t="n">
        <x:v>7248.43</x:v>
      </x:c>
      <x:c r="H231" s="28" t="n">
        <x:v>-186.7</x:v>
      </x:c>
      <x:c r="I231" s="24" t="n">
        <x:v>-0.025114456178481626</x:v>
      </x:c>
      <x:c r="J231" s="26" t="n">
        <x:f>ROUND(E231-F231,1)</x:f>
        <x:v>255.2</x:v>
      </x:c>
      <x:c r="K231" s="22" t="str">
        <x:v>中证500</x:v>
      </x:c>
    </x:row>
    <x:row r="232">
      <x:c r="A232" s="22" t="n">
        <x:v>2</x:v>
      </x:c>
      <x:c r="B232" s="22" t="str">
        <x:v>周五</x:v>
      </x:c>
      <x:c r="C232" s="22" t="str">
        <x:v>10月9日</x:v>
      </x:c>
      <x:c r="D232" s="23" t="n">
        <x:v>7209.86</x:v>
      </x:c>
      <x:c r="E232" s="23" t="n">
        <x:v>7277.14</x:v>
      </x:c>
      <x:c r="F232" s="23" t="n">
        <x:v>7048.45</x:v>
      </x:c>
      <x:c r="G232" s="23" t="n">
        <x:v>7251.01</x:v>
      </x:c>
      <x:c r="H232" s="23" t="n">
        <x:v>2.6</x:v>
      </x:c>
      <x:c r="I232" s="24" t="n">
        <x:v>0.000355939148201756</x:v>
      </x:c>
      <x:c r="J232" s="26" t="n">
        <x:f>ROUND(E232-F232,1)</x:f>
        <x:v>228.7</x:v>
      </x:c>
      <x:c r="K232" s="22" t="str">
        <x:v>中证500</x:v>
      </x:c>
    </x:row>
    <x:row r="233">
      <x:c r="A233" s="22" t="n">
        <x:v>3</x:v>
      </x:c>
      <x:c r="B233" s="22" t="str">
        <x:v>周一</x:v>
      </x:c>
      <x:c r="C233" s="22" t="str">
        <x:v>10月12日</x:v>
      </x:c>
      <x:c r="D233" s="23" t="n">
        <x:v>7226.07</x:v>
      </x:c>
      <x:c r="E233" s="23" t="n">
        <x:v>7236.78</x:v>
      </x:c>
      <x:c r="F233" s="23" t="n">
        <x:v>7085.92</x:v>
      </x:c>
      <x:c r="G233" s="23" t="n">
        <x:v>7093.02</x:v>
      </x:c>
      <x:c r="H233" s="28" t="n">
        <x:v>-158</x:v>
      </x:c>
      <x:c r="I233" s="24" t="n">
        <x:v>-0.02178868874818818</x:v>
      </x:c>
      <x:c r="J233" s="23" t="n">
        <x:f>ROUND(E233-F233,1)</x:f>
        <x:v>150.9</x:v>
      </x:c>
      <x:c r="K233" s="22" t="str">
        <x:v>中证500</x:v>
      </x:c>
    </x:row>
    <x:row r="234">
      <x:c r="A234" s="22" t="n">
        <x:v>4</x:v>
      </x:c>
      <x:c r="B234" s="22" t="str">
        <x:v>周二</x:v>
      </x:c>
      <x:c r="C234" s="22" t="str">
        <x:v>10月13日</x:v>
      </x:c>
      <x:c r="D234" s="23" t="n">
        <x:v>6976.63</x:v>
      </x:c>
      <x:c r="E234" s="23" t="n">
        <x:v>7152.45</x:v>
      </x:c>
      <x:c r="F234" s="23" t="n">
        <x:v>6904.6</x:v>
      </x:c>
      <x:c r="G234" s="23" t="n">
        <x:v>7085.09</x:v>
      </x:c>
      <x:c r="H234" s="23" t="n">
        <x:v>-7.9</x:v>
      </x:c>
      <x:c r="I234" s="24" t="n">
        <x:v>-0.0011180005131805615</x:v>
      </x:c>
      <x:c r="J234" s="26" t="n">
        <x:f>ROUND(E234-F234,1)</x:f>
        <x:v>247.8</x:v>
      </x:c>
      <x:c r="K234" s="22" t="str">
        <x:v>中证500</x:v>
      </x:c>
    </x:row>
    <x:row r="235">
      <x:c r="A235" s="22" t="n">
        <x:v>5</x:v>
      </x:c>
      <x:c r="B235" s="22" t="str">
        <x:v>周三</x:v>
      </x:c>
      <x:c r="C235" s="22" t="str">
        <x:v>10月14日</x:v>
      </x:c>
      <x:c r="D235" s="23" t="n">
        <x:v>7066.73</x:v>
      </x:c>
      <x:c r="E235" s="23" t="n">
        <x:v>7120.11</x:v>
      </x:c>
      <x:c r="F235" s="23" t="n">
        <x:v>6969.02</x:v>
      </x:c>
      <x:c r="G235" s="23" t="n">
        <x:v>6980.11</x:v>
      </x:c>
      <x:c r="H235" s="23" t="n">
        <x:v>-105</x:v>
      </x:c>
      <x:c r="I235" s="24" t="n">
        <x:v>-0.014817031258600899</x:v>
      </x:c>
      <x:c r="J235" s="23" t="n">
        <x:f>ROUND(E235-F235,1)</x:f>
        <x:v>151.1</x:v>
      </x:c>
      <x:c r="K235" s="22" t="str">
        <x:v>中证500</x:v>
      </x:c>
    </x:row>
    <x:row r="236">
      <x:c r="A236" s="22" t="n">
        <x:v>6</x:v>
      </x:c>
      <x:c r="B236" s="22" t="str">
        <x:v>周四</x:v>
      </x:c>
      <x:c r="C236" s="22" t="str">
        <x:v>10月15日</x:v>
      </x:c>
      <x:c r="D236" s="23" t="n">
        <x:v>6809.83</x:v>
      </x:c>
      <x:c r="E236" s="23" t="n">
        <x:v>6870.95</x:v>
      </x:c>
      <x:c r="F236" s="23" t="n">
        <x:v>6725.59</x:v>
      </x:c>
      <x:c r="G236" s="23" t="n">
        <x:v>6769.25</x:v>
      </x:c>
      <x:c r="H236" s="28" t="n">
        <x:v>-210.9</x:v>
      </x:c>
      <x:c r="I236" s="24" t="n">
        <x:v>-0.030208692986213648</x:v>
      </x:c>
      <x:c r="J236" s="23" t="n">
        <x:f>ROUND(E236-F236,1)</x:f>
        <x:v>145.4</x:v>
      </x:c>
      <x:c r="K236" s="22" t="str">
        <x:v>中证500</x:v>
      </x:c>
    </x:row>
    <x:row r="237">
      <x:c r="A237" s="41" t="n">
        <x:v>7</x:v>
      </x:c>
      <x:c r="B237" s="41" t="str">
        <x:v>周五</x:v>
      </x:c>
      <x:c r="C237" s="41" t="str">
        <x:v>10月16日</x:v>
      </x:c>
      <x:c r="D237" s="42" t="n">
        <x:v>6863.19</x:v>
      </x:c>
      <x:c r="E237" s="42" t="n">
        <x:v>6907.9</x:v>
      </x:c>
      <x:c r="F237" s="42" t="n">
        <x:v>6719.82</x:v>
      </x:c>
      <x:c r="G237" s="42" t="n">
        <x:v>6772.75</x:v>
      </x:c>
      <x:c r="H237" s="42" t="n">
        <x:v>3.5</x:v>
      </x:c>
      <x:c r="I237" s="43" t="n">
        <x:v>0.00051704398567054</x:v>
      </x:c>
      <x:c r="J237" s="26" t="n">
        <x:f>ROUND(E237-F237,1)</x:f>
        <x:v>188.1</x:v>
      </x:c>
      <x:c r="K237" s="41" t="str">
        <x:v>中证500</x:v>
      </x:c>
    </x:row>
    <x:row r="238">
      <x:c r="A238" s="31" t="str">
        <x:v>合计</x:v>
      </x:c>
      <x:c r="B238" s="30" t="n">
        <x:v>7</x:v>
      </x:c>
      <x:c r="C238" s="30"/>
      <x:c r="D238" s="30"/>
      <x:c r="E238" s="30"/>
      <x:c r="F238" s="30"/>
      <x:c r="G238" s="30"/>
      <x:c r="H238" s="30"/>
      <x:c r="I238" s="30"/>
      <x:c r="J238" s="32" t="n">
        <x:f>ROUND(SUM(J231:J237),1)</x:f>
        <x:v>1367.2</x:v>
      </x:c>
      <x:c r="K238" s="30"/>
    </x:row>
    <x:row r="239">
      <x:c r="A239" s="31" t="str">
        <x:v>均值</x:v>
      </x:c>
      <x:c r="B239" s="30"/>
      <x:c r="C239" s="30"/>
      <x:c r="D239" s="30"/>
      <x:c r="E239" s="30"/>
      <x:c r="F239" s="30"/>
      <x:c r="G239" s="30"/>
      <x:c r="H239" s="30"/>
      <x:c r="I239" s="30"/>
      <x:c r="J239" s="34" t="n">
        <x:f>ROUND(IFERROR(AVERAGE(J231:J237),0),1)</x:f>
        <x:v>195.3</x:v>
      </x:c>
      <x:c r="K239" s="30"/>
    </x:row>
  </x:sheetData>
  <x:mergeCells>
    <x:mergeCell ref="A1:K1"/>
    <x:mergeCell ref="A3:K3"/>
    <x:mergeCell ref="A28:K28"/>
    <x:mergeCell ref="A47:K47"/>
    <x:mergeCell ref="A74:K74"/>
    <x:mergeCell ref="A100:K100"/>
    <x:mergeCell ref="A123:K123"/>
    <x:mergeCell ref="A149:K149"/>
    <x:mergeCell ref="A177:K177"/>
    <x:mergeCell ref="A203:K203"/>
    <x:mergeCell ref="A229:K2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2026年统计 - 上证指数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2" t="n">
        <x:v>1</x:v>
      </x:c>
      <x:c r="B5" s="22" t="str">
        <x:v>周一</x:v>
      </x:c>
      <x:c r="C5" s="22" t="str">
        <x:v>1月5日</x:v>
      </x:c>
      <x:c r="D5" s="23" t="n">
        <x:v>3986.97</x:v>
      </x:c>
      <x:c r="E5" s="23" t="n">
        <x:v>4025.26</x:v>
      </x:c>
      <x:c r="F5" s="23" t="n">
        <x:v>3983.58</x:v>
      </x:c>
      <x:c r="G5" s="23" t="n">
        <x:v>4023.42</x:v>
      </x:c>
      <x:c r="H5" s="23" t="n">
        <x:v>54.6</x:v>
      </x:c>
      <x:c r="I5" s="24" t="n">
        <x:v>0.013752129085576659</x:v>
      </x:c>
      <x:c r="J5" s="23" t="n">
        <x:f>ROUND(E5-F5,1)</x:f>
        <x:v>41.7</x:v>
      </x:c>
      <x:c r="K5" s="22" t="str">
        <x:v>上证指数</x:v>
      </x:c>
    </x:row>
    <x:row r="6">
      <x:c r="A6" s="22" t="n">
        <x:v>2</x:v>
      </x:c>
      <x:c r="B6" s="22" t="str">
        <x:v>周二</x:v>
      </x:c>
      <x:c r="C6" s="22" t="str">
        <x:v>1月6日</x:v>
      </x:c>
      <x:c r="D6" s="23" t="n">
        <x:v>4026.02</x:v>
      </x:c>
      <x:c r="E6" s="23" t="n">
        <x:v>4083.67</x:v>
      </x:c>
      <x:c r="F6" s="23" t="n">
        <x:v>4025.09</x:v>
      </x:c>
      <x:c r="G6" s="23" t="n">
        <x:v>4083.67</x:v>
      </x:c>
      <x:c r="H6" s="23" t="n">
        <x:v>60.3</x:v>
      </x:c>
      <x:c r="I6" s="24" t="n">
        <x:v>0.014974822414761668</x:v>
      </x:c>
      <x:c r="J6" s="26" t="n">
        <x:f>ROUND(E6-F6,1)</x:f>
        <x:v>58.6</x:v>
      </x:c>
      <x:c r="K6" s="22" t="str">
        <x:v>上证指数</x:v>
      </x:c>
    </x:row>
    <x:row r="7">
      <x:c r="A7" s="22" t="n">
        <x:v>3</x:v>
      </x:c>
      <x:c r="B7" s="22" t="str">
        <x:v>周三</x:v>
      </x:c>
      <x:c r="C7" s="22" t="str">
        <x:v>1月7日</x:v>
      </x:c>
      <x:c r="D7" s="23" t="n">
        <x:v>4083.84</x:v>
      </x:c>
      <x:c r="E7" s="23" t="n">
        <x:v>4098.78</x:v>
      </x:c>
      <x:c r="F7" s="23" t="n">
        <x:v>4069.44</x:v>
      </x:c>
      <x:c r="G7" s="23" t="n">
        <x:v>4085.77</x:v>
      </x:c>
      <x:c r="H7" s="23" t="n">
        <x:v>2.1</x:v>
      </x:c>
      <x:c r="I7" s="24" t="n">
        <x:v>0.0005142433154490256</x:v>
      </x:c>
      <x:c r="J7" s="23" t="n">
        <x:f>ROUND(E7-F7,1)</x:f>
        <x:v>29.3</x:v>
      </x:c>
      <x:c r="K7" s="22" t="str">
        <x:v>上证指数</x:v>
      </x:c>
    </x:row>
    <x:row r="8">
      <x:c r="A8" s="22" t="n">
        <x:v>4</x:v>
      </x:c>
      <x:c r="B8" s="22" t="str">
        <x:v>周四</x:v>
      </x:c>
      <x:c r="C8" s="22" t="str">
        <x:v>1月8日</x:v>
      </x:c>
      <x:c r="D8" s="23" t="n">
        <x:v>4077.72</x:v>
      </x:c>
      <x:c r="E8" s="23" t="n">
        <x:v>4093.87</x:v>
      </x:c>
      <x:c r="F8" s="23" t="n">
        <x:v>4067.12</x:v>
      </x:c>
      <x:c r="G8" s="23" t="n">
        <x:v>4082.98</x:v>
      </x:c>
      <x:c r="H8" s="23" t="n">
        <x:v>-2.8</x:v>
      </x:c>
      <x:c r="I8" s="24" t="n">
        <x:v>-0.0006828578211696135</x:v>
      </x:c>
      <x:c r="J8" s="23" t="n">
        <x:f>ROUND(E8-F8,1)</x:f>
        <x:v>26.8</x:v>
      </x:c>
      <x:c r="K8" s="22" t="str">
        <x:v>上证指数</x:v>
      </x:c>
    </x:row>
    <x:row r="9">
      <x:c r="A9" s="22" t="n">
        <x:v>5</x:v>
      </x:c>
      <x:c r="B9" s="22" t="str">
        <x:v>周五</x:v>
      </x:c>
      <x:c r="C9" s="22" t="str">
        <x:v>1月9日</x:v>
      </x:c>
      <x:c r="D9" s="23" t="n">
        <x:v>4086.76</x:v>
      </x:c>
      <x:c r="E9" s="23" t="n">
        <x:v>4121.72</x:v>
      </x:c>
      <x:c r="F9" s="23" t="n">
        <x:v>4083.62</x:v>
      </x:c>
      <x:c r="G9" s="23" t="n">
        <x:v>4120.43</x:v>
      </x:c>
      <x:c r="H9" s="23" t="n">
        <x:v>37.5</x:v>
      </x:c>
      <x:c r="I9" s="24" t="n">
        <x:v>0.00917222224943548</x:v>
      </x:c>
      <x:c r="J9" s="23" t="n">
        <x:f>ROUND(E9-F9,1)</x:f>
        <x:v>38.1</x:v>
      </x:c>
      <x:c r="K9" s="22" t="str">
        <x:v>上证指数</x:v>
      </x:c>
    </x:row>
    <x:row r="10">
      <x:c r="A10" s="22" t="n">
        <x:v>6</x:v>
      </x:c>
      <x:c r="B10" s="22" t="str">
        <x:v>周一</x:v>
      </x:c>
      <x:c r="C10" s="22" t="str">
        <x:v>1月12日</x:v>
      </x:c>
      <x:c r="D10" s="23" t="n">
        <x:v>4134.89</x:v>
      </x:c>
      <x:c r="E10" s="23" t="n">
        <x:v>4168.36</x:v>
      </x:c>
      <x:c r="F10" s="23" t="n">
        <x:v>4119.88</x:v>
      </x:c>
      <x:c r="G10" s="23" t="n">
        <x:v>4165.29</x:v>
      </x:c>
      <x:c r="H10" s="23" t="n">
        <x:v>44.9</x:v>
      </x:c>
      <x:c r="I10" s="24" t="n">
        <x:v>0.010887213227745551</x:v>
      </x:c>
      <x:c r="J10" s="23" t="n">
        <x:f>ROUND(E10-F10,1)</x:f>
        <x:v>48.5</x:v>
      </x:c>
      <x:c r="K10" s="22" t="str">
        <x:v>上证指数</x:v>
      </x:c>
    </x:row>
    <x:row r="11">
      <x:c r="A11" s="22" t="n">
        <x:v>7</x:v>
      </x:c>
      <x:c r="B11" s="22" t="str">
        <x:v>周二</x:v>
      </x:c>
      <x:c r="C11" s="22" t="str">
        <x:v>1月13日</x:v>
      </x:c>
      <x:c r="D11" s="23" t="n">
        <x:v>4169.7</x:v>
      </x:c>
      <x:c r="E11" s="23" t="n">
        <x:v>4179.7</x:v>
      </x:c>
      <x:c r="F11" s="23" t="n">
        <x:v>4126.23</x:v>
      </x:c>
      <x:c r="G11" s="23" t="n">
        <x:v>4138.76</x:v>
      </x:c>
      <x:c r="H11" s="23" t="n">
        <x:v>-26.5</x:v>
      </x:c>
      <x:c r="I11" s="24" t="n">
        <x:v>-0.006369304418179733</x:v>
      </x:c>
      <x:c r="J11" s="26" t="n">
        <x:f>ROUND(E11-F11,1)</x:f>
        <x:v>53.5</x:v>
      </x:c>
      <x:c r="K11" s="22" t="str">
        <x:v>上证指数</x:v>
      </x:c>
    </x:row>
    <x:row r="12">
      <x:c r="A12" s="22" t="n">
        <x:v>8</x:v>
      </x:c>
      <x:c r="B12" s="22" t="str">
        <x:v>周三</x:v>
      </x:c>
      <x:c r="C12" s="22" t="str">
        <x:v>1月14日</x:v>
      </x:c>
      <x:c r="D12" s="23" t="n">
        <x:v>4138.65</x:v>
      </x:c>
      <x:c r="E12" s="23" t="n">
        <x:v>4190.87</x:v>
      </x:c>
      <x:c r="F12" s="23" t="n">
        <x:v>4103.62</x:v>
      </x:c>
      <x:c r="G12" s="23" t="n">
        <x:v>4126.09</x:v>
      </x:c>
      <x:c r="H12" s="23" t="n">
        <x:v>-12.7</x:v>
      </x:c>
      <x:c r="I12" s="24" t="n">
        <x:v>-0.003061303385555103</x:v>
      </x:c>
      <x:c r="J12" s="26" t="n">
        <x:f>ROUND(E12-F12,1)</x:f>
        <x:v>87.3</x:v>
      </x:c>
      <x:c r="K12" s="22" t="str">
        <x:v>上证指数</x:v>
      </x:c>
    </x:row>
    <x:row r="13">
      <x:c r="A13" s="22" t="n">
        <x:v>9</x:v>
      </x:c>
      <x:c r="B13" s="22" t="str">
        <x:v>周四</x:v>
      </x:c>
      <x:c r="C13" s="22" t="str">
        <x:v>1月15日</x:v>
      </x:c>
      <x:c r="D13" s="23" t="n">
        <x:v>4106.22</x:v>
      </x:c>
      <x:c r="E13" s="23" t="n">
        <x:v>4133.07</x:v>
      </x:c>
      <x:c r="F13" s="23" t="n">
        <x:v>4096.85</x:v>
      </x:c>
      <x:c r="G13" s="23" t="n">
        <x:v>4112.6</x:v>
      </x:c>
      <x:c r="H13" s="23" t="n">
        <x:v>-13.5</x:v>
      </x:c>
      <x:c r="I13" s="24" t="n">
        <x:v>-0.003269439105787697</x:v>
      </x:c>
      <x:c r="J13" s="23" t="n">
        <x:f>ROUND(E13-F13,1)</x:f>
        <x:v>36.2</x:v>
      </x:c>
      <x:c r="K13" s="22" t="str">
        <x:v>上证指数</x:v>
      </x:c>
    </x:row>
    <x:row r="14">
      <x:c r="A14" s="41" t="n">
        <x:v>10</x:v>
      </x:c>
      <x:c r="B14" s="41" t="str">
        <x:v>周五</x:v>
      </x:c>
      <x:c r="C14" s="41" t="str">
        <x:v>1月16日</x:v>
      </x:c>
      <x:c r="D14" s="42" t="n">
        <x:v>4127.06</x:v>
      </x:c>
      <x:c r="E14" s="42" t="n">
        <x:v>4140.23</x:v>
      </x:c>
      <x:c r="F14" s="42" t="n">
        <x:v>4091.81</x:v>
      </x:c>
      <x:c r="G14" s="42" t="n">
        <x:v>4101.91</x:v>
      </x:c>
      <x:c r="H14" s="42" t="n">
        <x:v>-10.7</x:v>
      </x:c>
      <x:c r="I14" s="43" t="n">
        <x:v>-0.0025993288916987822</x:v>
      </x:c>
      <x:c r="J14" s="42" t="n">
        <x:f>ROUND(E14-F14,1)</x:f>
        <x:v>48.4</x:v>
      </x:c>
      <x:c r="K14" s="41" t="str">
        <x:v>上证指数</x:v>
      </x:c>
    </x:row>
    <x:row r="15">
      <x:c r="A15" s="22" t="n">
        <x:v>11</x:v>
      </x:c>
      <x:c r="B15" s="22" t="str">
        <x:v>周一</x:v>
      </x:c>
      <x:c r="C15" s="22" t="str">
        <x:v>1月19日</x:v>
      </x:c>
      <x:c r="D15" s="23" t="n">
        <x:v>4090.72</x:v>
      </x:c>
      <x:c r="E15" s="23" t="n">
        <x:v>4126.52</x:v>
      </x:c>
      <x:c r="F15" s="23" t="n">
        <x:v>4090.06</x:v>
      </x:c>
      <x:c r="G15" s="23" t="n">
        <x:v>4114</x:v>
      </x:c>
      <x:c r="H15" s="23" t="n">
        <x:v>12.1</x:v>
      </x:c>
      <x:c r="I15" s="24" t="n">
        <x:v>0.002947407427271731</x:v>
      </x:c>
      <x:c r="J15" s="23" t="n">
        <x:f>ROUND(E15-F15,1)</x:f>
        <x:v>36.5</x:v>
      </x:c>
      <x:c r="K15" s="22" t="str">
        <x:v>上证指数</x:v>
      </x:c>
    </x:row>
    <x:row r="16">
      <x:c r="A16" s="22" t="n">
        <x:v>12</x:v>
      </x:c>
      <x:c r="B16" s="22" t="str">
        <x:v>周二</x:v>
      </x:c>
      <x:c r="C16" s="22" t="str">
        <x:v>1月20日</x:v>
      </x:c>
      <x:c r="D16" s="23" t="n">
        <x:v>4116.37</x:v>
      </x:c>
      <x:c r="E16" s="23" t="n">
        <x:v>4128.93</x:v>
      </x:c>
      <x:c r="F16" s="23" t="n">
        <x:v>4080.29</x:v>
      </x:c>
      <x:c r="G16" s="23" t="n">
        <x:v>4113.65</x:v>
      </x:c>
      <x:c r="H16" s="23" t="n">
        <x:v>-0.4</x:v>
      </x:c>
      <x:c r="I16" s="24" t="n">
        <x:v>-0.00008507535245516618</x:v>
      </x:c>
      <x:c r="J16" s="23" t="n">
        <x:f>ROUND(E16-F16,1)</x:f>
        <x:v>48.6</x:v>
      </x:c>
      <x:c r="K16" s="22" t="str">
        <x:v>上证指数</x:v>
      </x:c>
    </x:row>
    <x:row r="17">
      <x:c r="A17" s="22" t="n">
        <x:v>13</x:v>
      </x:c>
      <x:c r="B17" s="22" t="str">
        <x:v>周三</x:v>
      </x:c>
      <x:c r="C17" s="22" t="str">
        <x:v>1月21日</x:v>
      </x:c>
      <x:c r="D17" s="23" t="n">
        <x:v>4103.53</x:v>
      </x:c>
      <x:c r="E17" s="23" t="n">
        <x:v>4135.96</x:v>
      </x:c>
      <x:c r="F17" s="23" t="n">
        <x:v>4103.53</x:v>
      </x:c>
      <x:c r="G17" s="23" t="n">
        <x:v>4116.94</x:v>
      </x:c>
      <x:c r="H17" s="23" t="n">
        <x:v>3.3</x:v>
      </x:c>
      <x:c r="I17" s="24" t="n">
        <x:v>0.0007997763543325931</x:v>
      </x:c>
      <x:c r="J17" s="23" t="n">
        <x:f>ROUND(E17-F17,1)</x:f>
        <x:v>32.4</x:v>
      </x:c>
      <x:c r="K17" s="22" t="str">
        <x:v>上证指数</x:v>
      </x:c>
    </x:row>
    <x:row r="18">
      <x:c r="A18" s="22" t="n">
        <x:v>14</x:v>
      </x:c>
      <x:c r="B18" s="22" t="str">
        <x:v>周四</x:v>
      </x:c>
      <x:c r="C18" s="22" t="str">
        <x:v>1月22日</x:v>
      </x:c>
      <x:c r="D18" s="23" t="n">
        <x:v>4126.07</x:v>
      </x:c>
      <x:c r="E18" s="23" t="n">
        <x:v>4140.84</x:v>
      </x:c>
      <x:c r="F18" s="23" t="n">
        <x:v>4109.92</x:v>
      </x:c>
      <x:c r="G18" s="23" t="n">
        <x:v>4122.58</x:v>
      </x:c>
      <x:c r="H18" s="23" t="n">
        <x:v>5.6</x:v>
      </x:c>
      <x:c r="I18" s="24" t="n">
        <x:v>0.0013699495256185301</x:v>
      </x:c>
      <x:c r="J18" s="23" t="n">
        <x:f>ROUND(E18-F18,1)</x:f>
        <x:v>30.9</x:v>
      </x:c>
      <x:c r="K18" s="22" t="str">
        <x:v>上证指数</x:v>
      </x:c>
    </x:row>
    <x:row r="19">
      <x:c r="A19" s="22" t="n">
        <x:v>15</x:v>
      </x:c>
      <x:c r="B19" s="22" t="str">
        <x:v>周五</x:v>
      </x:c>
      <x:c r="C19" s="22" t="str">
        <x:v>1月23日</x:v>
      </x:c>
      <x:c r="D19" s="23" t="n">
        <x:v>4130.11</x:v>
      </x:c>
      <x:c r="E19" s="23" t="n">
        <x:v>4143.75</x:v>
      </x:c>
      <x:c r="F19" s="23" t="n">
        <x:v>4120.2</x:v>
      </x:c>
      <x:c r="G19" s="23" t="n">
        <x:v>4136.16</x:v>
      </x:c>
      <x:c r="H19" s="23" t="n">
        <x:v>13.6</x:v>
      </x:c>
      <x:c r="I19" s="24" t="n">
        <x:v>0.003294053723639001</x:v>
      </x:c>
      <x:c r="J19" s="23" t="n">
        <x:f>ROUND(E19-F19,1)</x:f>
        <x:v>23.6</x:v>
      </x:c>
      <x:c r="K19" s="22" t="str">
        <x:v>上证指数</x:v>
      </x:c>
    </x:row>
    <x:row r="20">
      <x:c r="A20" s="22" t="n">
        <x:v>16</x:v>
      </x:c>
      <x:c r="B20" s="22" t="str">
        <x:v>周一</x:v>
      </x:c>
      <x:c r="C20" s="22" t="str">
        <x:v>1月26日</x:v>
      </x:c>
      <x:c r="D20" s="23" t="n">
        <x:v>4144.78</x:v>
      </x:c>
      <x:c r="E20" s="23" t="n">
        <x:v>4160.99</x:v>
      </x:c>
      <x:c r="F20" s="23" t="n">
        <x:v>4124.7</x:v>
      </x:c>
      <x:c r="G20" s="23" t="n">
        <x:v>4132.61</x:v>
      </x:c>
      <x:c r="H20" s="23" t="n">
        <x:v>-3.6</x:v>
      </x:c>
      <x:c r="I20" s="24" t="n">
        <x:v>-0.0008582840122239865</x:v>
      </x:c>
      <x:c r="J20" s="23" t="n">
        <x:f>ROUND(E20-F20,1)</x:f>
        <x:v>36.3</x:v>
      </x:c>
      <x:c r="K20" s="22" t="str">
        <x:v>上证指数</x:v>
      </x:c>
    </x:row>
    <x:row r="21">
      <x:c r="A21" s="22" t="n">
        <x:v>17</x:v>
      </x:c>
      <x:c r="B21" s="22" t="str">
        <x:v>周二</x:v>
      </x:c>
      <x:c r="C21" s="22" t="str">
        <x:v>1月27日</x:v>
      </x:c>
      <x:c r="D21" s="23" t="n">
        <x:v>4125.22</x:v>
      </x:c>
      <x:c r="E21" s="23" t="n">
        <x:v>4158.8</x:v>
      </x:c>
      <x:c r="F21" s="23" t="n">
        <x:v>4101.83</x:v>
      </x:c>
      <x:c r="G21" s="23" t="n">
        <x:v>4139.9</x:v>
      </x:c>
      <x:c r="H21" s="23" t="n">
        <x:v>7.3</x:v>
      </x:c>
      <x:c r="I21" s="24" t="n">
        <x:v>0.001764018380636001</x:v>
      </x:c>
      <x:c r="J21" s="26" t="n">
        <x:f>ROUND(E21-F21,1)</x:f>
        <x:v>57</x:v>
      </x:c>
      <x:c r="K21" s="22" t="str">
        <x:v>上证指数</x:v>
      </x:c>
    </x:row>
    <x:row r="22">
      <x:c r="A22" s="22" t="n">
        <x:v>18</x:v>
      </x:c>
      <x:c r="B22" s="22" t="str">
        <x:v>周三</x:v>
      </x:c>
      <x:c r="C22" s="22" t="str">
        <x:v>1月28日</x:v>
      </x:c>
      <x:c r="D22" s="23" t="n">
        <x:v>4150.22</x:v>
      </x:c>
      <x:c r="E22" s="23" t="n">
        <x:v>4170.15</x:v>
      </x:c>
      <x:c r="F22" s="23" t="n">
        <x:v>4138.02</x:v>
      </x:c>
      <x:c r="G22" s="23" t="n">
        <x:v>4151.24</x:v>
      </x:c>
      <x:c r="H22" s="23" t="n">
        <x:v>11.3</x:v>
      </x:c>
      <x:c r="I22" s="24" t="n">
        <x:v>0.00273919659895161</x:v>
      </x:c>
      <x:c r="J22" s="23" t="n">
        <x:f>ROUND(E22-F22,1)</x:f>
        <x:v>32.1</x:v>
      </x:c>
      <x:c r="K22" s="22" t="str">
        <x:v>上证指数</x:v>
      </x:c>
    </x:row>
    <x:row r="23">
      <x:c r="A23" s="22" t="n">
        <x:v>19</x:v>
      </x:c>
      <x:c r="B23" s="22" t="str">
        <x:v>周四</x:v>
      </x:c>
      <x:c r="C23" s="22" t="str">
        <x:v>1月29日</x:v>
      </x:c>
      <x:c r="D23" s="23" t="n">
        <x:v>4155.92</x:v>
      </x:c>
      <x:c r="E23" s="23" t="n">
        <x:v>4170.21</x:v>
      </x:c>
      <x:c r="F23" s="23" t="n">
        <x:v>4138.3</x:v>
      </x:c>
      <x:c r="G23" s="23" t="n">
        <x:v>4157.98</x:v>
      </x:c>
      <x:c r="H23" s="23" t="n">
        <x:v>6.7</x:v>
      </x:c>
      <x:c r="I23" s="24" t="n">
        <x:v>0.0016236112583227769</x:v>
      </x:c>
      <x:c r="J23" s="23" t="n">
        <x:f>ROUND(E23-F23,1)</x:f>
        <x:v>31.9</x:v>
      </x:c>
      <x:c r="K23" s="22" t="str">
        <x:v>上证指数</x:v>
      </x:c>
    </x:row>
    <x:row r="24">
      <x:c r="A24" s="22" t="n">
        <x:v>20</x:v>
      </x:c>
      <x:c r="B24" s="22" t="str">
        <x:v>周五</x:v>
      </x:c>
      <x:c r="C24" s="22" t="str">
        <x:v>1月30日</x:v>
      </x:c>
      <x:c r="D24" s="23" t="n">
        <x:v>4131.99</x:v>
      </x:c>
      <x:c r="E24" s="23" t="n">
        <x:v>4152.85</x:v>
      </x:c>
      <x:c r="F24" s="23" t="n">
        <x:v>4064.78</x:v>
      </x:c>
      <x:c r="G24" s="23" t="n">
        <x:v>4117.95</x:v>
      </x:c>
      <x:c r="H24" s="23" t="n">
        <x:v>-40</x:v>
      </x:c>
      <x:c r="I24" s="24" t="n">
        <x:v>-0.009627270934444043</x:v>
      </x:c>
      <x:c r="J24" s="26" t="n">
        <x:f>ROUND(E24-F24,1)</x:f>
        <x:v>88.1</x:v>
      </x:c>
      <x:c r="K24" s="22" t="str">
        <x:v>上证指数</x:v>
      </x:c>
    </x:row>
    <x:row r="25">
      <x:c r="A25" s="31" t="str">
        <x:v>合计</x:v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2" t="n">
        <x:f>ROUND(SUM(J5:J24),1)</x:f>
        <x:v>885.8</x:v>
      </x:c>
      <x:c r="K25" s="30"/>
    </x:row>
    <x:row r="26">
      <x:c r="A26" s="31" t="str">
        <x:v>均值</x:v>
      </x:c>
      <x:c r="B26" s="30"/>
      <x:c r="C26" s="30"/>
      <x:c r="D26" s="30"/>
      <x:c r="E26" s="30"/>
      <x:c r="F26" s="30"/>
      <x:c r="G26" s="30"/>
      <x:c r="H26" s="30"/>
      <x:c r="I26" s="30"/>
      <x:c r="J26" s="34" t="n">
        <x:f>ROUND(IFERROR(AVERAGE(J5:J24),0),1)</x:f>
        <x:v>44.3</x:v>
      </x:c>
      <x:c r="K26" s="30"/>
    </x:row>
    <x:row r="28">
      <x:c r="A28" s="17" t="str">
        <x:v>2月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20" t="str">
        <x:v>序号</x:v>
      </x:c>
      <x:c r="B29" s="20" t="str">
        <x:v>星期</x:v>
      </x:c>
      <x:c r="C29" s="20" t="str">
        <x:v>日期</x:v>
      </x:c>
      <x:c r="D29" s="20" t="str">
        <x:v>开盘</x:v>
      </x:c>
      <x:c r="E29" s="20" t="str">
        <x:v>高点</x:v>
      </x:c>
      <x:c r="F29" s="20" t="str">
        <x:v>低点</x:v>
      </x:c>
      <x:c r="G29" s="20" t="str">
        <x:v>收盘</x:v>
      </x:c>
      <x:c r="H29" s="20" t="str">
        <x:v>涨跌点数</x:v>
      </x:c>
      <x:c r="I29" s="20" t="str">
        <x:v>涨幅</x:v>
      </x:c>
      <x:c r="J29" s="20" t="str">
        <x:v>振幅</x:v>
      </x:c>
      <x:c r="K29" s="20" t="str">
        <x:v>标的</x:v>
      </x:c>
    </x:row>
    <x:row r="30">
      <x:c r="A30" s="22" t="n">
        <x:v>1</x:v>
      </x:c>
      <x:c r="B30" s="22" t="str">
        <x:v>周一</x:v>
      </x:c>
      <x:c r="C30" s="22" t="str">
        <x:v>2月2日</x:v>
      </x:c>
      <x:c r="D30" s="23" t="n">
        <x:v>4079.71</x:v>
      </x:c>
      <x:c r="E30" s="23" t="n">
        <x:v>4103.41</x:v>
      </x:c>
      <x:c r="F30" s="23" t="n">
        <x:v>4013.66</x:v>
      </x:c>
      <x:c r="G30" s="23" t="n">
        <x:v>4015.75</x:v>
      </x:c>
      <x:c r="H30" s="23" t="n">
        <x:v>-102.2</x:v>
      </x:c>
      <x:c r="I30" s="24" t="n">
        <x:v>-0.024818174091477463</x:v>
      </x:c>
      <x:c r="J30" s="26" t="n">
        <x:f>ROUND(E30-F30,1)</x:f>
        <x:v>89.8</x:v>
      </x:c>
      <x:c r="K30" s="22" t="str">
        <x:v>上证指数</x:v>
      </x:c>
    </x:row>
    <x:row r="31">
      <x:c r="A31" s="22" t="n">
        <x:v>2</x:v>
      </x:c>
      <x:c r="B31" s="22" t="str">
        <x:v>周二</x:v>
      </x:c>
      <x:c r="C31" s="22" t="str">
        <x:v>2月3日</x:v>
      </x:c>
      <x:c r="D31" s="23" t="n">
        <x:v>4043.91</x:v>
      </x:c>
      <x:c r="E31" s="23" t="n">
        <x:v>4069.42</x:v>
      </x:c>
      <x:c r="F31" s="23" t="n">
        <x:v>4002.78</x:v>
      </x:c>
      <x:c r="G31" s="23" t="n">
        <x:v>4067.74</x:v>
      </x:c>
      <x:c r="H31" s="23" t="n">
        <x:v>52</x:v>
      </x:c>
      <x:c r="I31" s="24" t="n">
        <x:v>0.01294652306542976</x:v>
      </x:c>
      <x:c r="J31" s="26" t="n">
        <x:f>ROUND(E31-F31,1)</x:f>
        <x:v>66.6</x:v>
      </x:c>
      <x:c r="K31" s="22" t="str">
        <x:v>上证指数</x:v>
      </x:c>
    </x:row>
    <x:row r="32">
      <x:c r="A32" s="22" t="n">
        <x:v>3</x:v>
      </x:c>
      <x:c r="B32" s="22" t="str">
        <x:v>周三</x:v>
      </x:c>
      <x:c r="C32" s="22" t="str">
        <x:v>2月4日</x:v>
      </x:c>
      <x:c r="D32" s="23" t="n">
        <x:v>4064.68</x:v>
      </x:c>
      <x:c r="E32" s="23" t="n">
        <x:v>4104.62</x:v>
      </x:c>
      <x:c r="F32" s="23" t="n">
        <x:v>4062.68</x:v>
      </x:c>
      <x:c r="G32" s="23" t="n">
        <x:v>4102.2</x:v>
      </x:c>
      <x:c r="H32" s="23" t="n">
        <x:v>34.5</x:v>
      </x:c>
      <x:c r="I32" s="24" t="n">
        <x:v>0.008471534562189298</x:v>
      </x:c>
      <x:c r="J32" s="23" t="n">
        <x:f>ROUND(E32-F32,1)</x:f>
        <x:v>41.9</x:v>
      </x:c>
      <x:c r="K32" s="22" t="str">
        <x:v>上证指数</x:v>
      </x:c>
    </x:row>
    <x:row r="33">
      <x:c r="A33" s="22" t="n">
        <x:v>4</x:v>
      </x:c>
      <x:c r="B33" s="22" t="str">
        <x:v>周四</x:v>
      </x:c>
      <x:c r="C33" s="22" t="str">
        <x:v>2月5日</x:v>
      </x:c>
      <x:c r="D33" s="23" t="n">
        <x:v>4075.03</x:v>
      </x:c>
      <x:c r="E33" s="23" t="n">
        <x:v>4088.9</x:v>
      </x:c>
      <x:c r="F33" s="23" t="n">
        <x:v>4048.94</x:v>
      </x:c>
      <x:c r="G33" s="23" t="n">
        <x:v>4075.92</x:v>
      </x:c>
      <x:c r="H33" s="23" t="n">
        <x:v>-26.3</x:v>
      </x:c>
      <x:c r="I33" s="24" t="n">
        <x:v>-0.006406318560772228</x:v>
      </x:c>
      <x:c r="J33" s="23" t="n">
        <x:f>ROUND(E33-F33,1)</x:f>
        <x:v>40</x:v>
      </x:c>
      <x:c r="K33" s="22" t="str">
        <x:v>上证指数</x:v>
      </x:c>
    </x:row>
    <x:row r="34">
      <x:c r="A34" s="22" t="n">
        <x:v>5</x:v>
      </x:c>
      <x:c r="B34" s="22" t="str">
        <x:v>周五</x:v>
      </x:c>
      <x:c r="C34" s="22" t="str">
        <x:v>2月6日</x:v>
      </x:c>
      <x:c r="D34" s="23" t="n">
        <x:v>4040.3</x:v>
      </x:c>
      <x:c r="E34" s="23" t="n">
        <x:v>4095.03</x:v>
      </x:c>
      <x:c r="F34" s="23" t="n">
        <x:v>4029.97</x:v>
      </x:c>
      <x:c r="G34" s="23" t="n">
        <x:v>4065.58</x:v>
      </x:c>
      <x:c r="H34" s="23" t="n">
        <x:v>-10.3</x:v>
      </x:c>
      <x:c r="I34" s="24" t="n">
        <x:v>-0.0025368505760663407</x:v>
      </x:c>
      <x:c r="J34" s="26" t="n">
        <x:f>ROUND(E34-F34,1)</x:f>
        <x:v>65.1</x:v>
      </x:c>
      <x:c r="K34" s="22" t="str">
        <x:v>上证指数</x:v>
      </x:c>
    </x:row>
    <x:row r="35">
      <x:c r="A35" s="22" t="n">
        <x:v>6</x:v>
      </x:c>
      <x:c r="B35" s="22" t="str">
        <x:v>周一</x:v>
      </x:c>
      <x:c r="C35" s="22" t="str">
        <x:v>2月9日</x:v>
      </x:c>
      <x:c r="D35" s="23" t="n">
        <x:v>4103.54</x:v>
      </x:c>
      <x:c r="E35" s="23" t="n">
        <x:v>4123.16</x:v>
      </x:c>
      <x:c r="F35" s="23" t="n">
        <x:v>4093.06</x:v>
      </x:c>
      <x:c r="G35" s="23" t="n">
        <x:v>4123.09</x:v>
      </x:c>
      <x:c r="H35" s="23" t="n">
        <x:v>57.5</x:v>
      </x:c>
      <x:c r="I35" s="24" t="n">
        <x:v>0.01414558316402581</x:v>
      </x:c>
      <x:c r="J35" s="23" t="n">
        <x:f>ROUND(E35-F35,1)</x:f>
        <x:v>30.1</x:v>
      </x:c>
      <x:c r="K35" s="22" t="str">
        <x:v>上证指数</x:v>
      </x:c>
    </x:row>
    <x:row r="36">
      <x:c r="A36" s="22" t="n">
        <x:v>7</x:v>
      </x:c>
      <x:c r="B36" s="22" t="str">
        <x:v>周二</x:v>
      </x:c>
      <x:c r="C36" s="22" t="str">
        <x:v>2月10日</x:v>
      </x:c>
      <x:c r="D36" s="23" t="n">
        <x:v>4127.77</x:v>
      </x:c>
      <x:c r="E36" s="23" t="n">
        <x:v>4134.34</x:v>
      </x:c>
      <x:c r="F36" s="23" t="n">
        <x:v>4117.56</x:v>
      </x:c>
      <x:c r="G36" s="23" t="n">
        <x:v>4128.37</x:v>
      </x:c>
      <x:c r="H36" s="23" t="n">
        <x:v>5.3</x:v>
      </x:c>
      <x:c r="I36" s="24" t="n">
        <x:v>0.0012805929533432625</x:v>
      </x:c>
      <x:c r="J36" s="23" t="n">
        <x:f>ROUND(E36-F36,1)</x:f>
        <x:v>16.8</x:v>
      </x:c>
      <x:c r="K36" s="22" t="str">
        <x:v>上证指数</x:v>
      </x:c>
    </x:row>
    <x:row r="37">
      <x:c r="A37" s="22" t="n">
        <x:v>8</x:v>
      </x:c>
      <x:c r="B37" s="22" t="str">
        <x:v>周三</x:v>
      </x:c>
      <x:c r="C37" s="22" t="str">
        <x:v>2月11日</x:v>
      </x:c>
      <x:c r="D37" s="23" t="n">
        <x:v>4124.43</x:v>
      </x:c>
      <x:c r="E37" s="23" t="n">
        <x:v>4142.56</x:v>
      </x:c>
      <x:c r="F37" s="23" t="n">
        <x:v>4122.43</x:v>
      </x:c>
      <x:c r="G37" s="23" t="n">
        <x:v>4131.98</x:v>
      </x:c>
      <x:c r="H37" s="23" t="n">
        <x:v>3.6</x:v>
      </x:c>
      <x:c r="I37" s="24" t="n">
        <x:v>0.0008744371265172468</x:v>
      </x:c>
      <x:c r="J37" s="23" t="n">
        <x:f>ROUND(E37-F37,1)</x:f>
        <x:v>20.1</x:v>
      </x:c>
      <x:c r="K37" s="22" t="str">
        <x:v>上证指数</x:v>
      </x:c>
    </x:row>
    <x:row r="38">
      <x:c r="A38" s="22" t="n">
        <x:v>9</x:v>
      </x:c>
      <x:c r="B38" s="22" t="str">
        <x:v>周四</x:v>
      </x:c>
      <x:c r="C38" s="22" t="str">
        <x:v>2月12日</x:v>
      </x:c>
      <x:c r="D38" s="23" t="n">
        <x:v>4136.99</x:v>
      </x:c>
      <x:c r="E38" s="23" t="n">
        <x:v>4140.59</x:v>
      </x:c>
      <x:c r="F38" s="23" t="n">
        <x:v>4124.13</x:v>
      </x:c>
      <x:c r="G38" s="23" t="n">
        <x:v>4134.02</x:v>
      </x:c>
      <x:c r="H38" s="23" t="n">
        <x:v>2</x:v>
      </x:c>
      <x:c r="I38" s="24" t="n">
        <x:v>0.0004937100373187953</x:v>
      </x:c>
      <x:c r="J38" s="23" t="n">
        <x:f>ROUND(E38-F38,1)</x:f>
        <x:v>16.5</x:v>
      </x:c>
      <x:c r="K38" s="22" t="str">
        <x:v>上证指数</x:v>
      </x:c>
    </x:row>
    <x:row r="39">
      <x:c r="A39" s="22" t="n">
        <x:v>10</x:v>
      </x:c>
      <x:c r="B39" s="22" t="str">
        <x:v>周五</x:v>
      </x:c>
      <x:c r="C39" s="22" t="str">
        <x:v>2月13日</x:v>
      </x:c>
      <x:c r="D39" s="23" t="n">
        <x:v>4115.92</x:v>
      </x:c>
      <x:c r="E39" s="23" t="n">
        <x:v>4123.84</x:v>
      </x:c>
      <x:c r="F39" s="23" t="n">
        <x:v>4079.77</x:v>
      </x:c>
      <x:c r="G39" s="23" t="n">
        <x:v>4082.07</x:v>
      </x:c>
      <x:c r="H39" s="23" t="n">
        <x:v>-52</x:v>
      </x:c>
      <x:c r="I39" s="24" t="n">
        <x:v>-0.012566460733136386</x:v>
      </x:c>
      <x:c r="J39" s="23" t="n">
        <x:f>ROUND(E39-F39,1)</x:f>
        <x:v>44.1</x:v>
      </x:c>
      <x:c r="K39" s="22" t="str">
        <x:v>上证指数</x:v>
      </x:c>
    </x:row>
    <x:row r="40">
      <x:c r="A40" s="41" t="n">
        <x:v>11</x:v>
      </x:c>
      <x:c r="B40" s="41" t="str">
        <x:v>周二</x:v>
      </x:c>
      <x:c r="C40" s="41" t="str">
        <x:v>2月24日</x:v>
      </x:c>
      <x:c r="D40" s="42" t="n">
        <x:v>4129.13</x:v>
      </x:c>
      <x:c r="E40" s="42" t="n">
        <x:v>4131.55</x:v>
      </x:c>
      <x:c r="F40" s="42" t="n">
        <x:v>4105.94</x:v>
      </x:c>
      <x:c r="G40" s="42" t="n">
        <x:v>4117.41</x:v>
      </x:c>
      <x:c r="H40" s="42" t="n">
        <x:v>35.3</x:v>
      </x:c>
      <x:c r="I40" s="43" t="n">
        <x:v>0.008657372362551374</x:v>
      </x:c>
      <x:c r="J40" s="42" t="n">
        <x:f>ROUND(E40-F40,1)</x:f>
        <x:v>25.6</x:v>
      </x:c>
      <x:c r="K40" s="41" t="str">
        <x:v>上证指数</x:v>
      </x:c>
    </x:row>
    <x:row r="41">
      <x:c r="A41" s="22" t="n">
        <x:v>12</x:v>
      </x:c>
      <x:c r="B41" s="22" t="str">
        <x:v>周三</x:v>
      </x:c>
      <x:c r="C41" s="22" t="str">
        <x:v>2月25日</x:v>
      </x:c>
      <x:c r="D41" s="23" t="n">
        <x:v>4123.78</x:v>
      </x:c>
      <x:c r="E41" s="23" t="n">
        <x:v>4167.84</x:v>
      </x:c>
      <x:c r="F41" s="23" t="n">
        <x:v>4122.7</x:v>
      </x:c>
      <x:c r="G41" s="23" t="n">
        <x:v>4147.23</x:v>
      </x:c>
      <x:c r="H41" s="23" t="n">
        <x:v>29.8</x:v>
      </x:c>
      <x:c r="I41" s="24" t="n">
        <x:v>0.007242416956290354</x:v>
      </x:c>
      <x:c r="J41" s="23" t="n">
        <x:f>ROUND(E41-F41,1)</x:f>
        <x:v>45.1</x:v>
      </x:c>
      <x:c r="K41" s="22" t="str">
        <x:v>上证指数</x:v>
      </x:c>
    </x:row>
    <x:row r="42">
      <x:c r="A42" s="22" t="n">
        <x:v>13</x:v>
      </x:c>
      <x:c r="B42" s="22" t="str">
        <x:v>周四</x:v>
      </x:c>
      <x:c r="C42" s="22" t="str">
        <x:v>2月26日</x:v>
      </x:c>
      <x:c r="D42" s="23" t="n">
        <x:v>4151.07</x:v>
      </x:c>
      <x:c r="E42" s="23" t="n">
        <x:v>4152.19</x:v>
      </x:c>
      <x:c r="F42" s="23" t="n">
        <x:v>4127.15</x:v>
      </x:c>
      <x:c r="G42" s="23" t="n">
        <x:v>4146.63</x:v>
      </x:c>
      <x:c r="H42" s="23" t="n">
        <x:v>-0.6</x:v>
      </x:c>
      <x:c r="I42" s="24" t="n">
        <x:v>-0.00014467487937719348</x:v>
      </x:c>
      <x:c r="J42" s="23" t="n">
        <x:f>ROUND(E42-F42,1)</x:f>
        <x:v>25</x:v>
      </x:c>
      <x:c r="K42" s="22" t="str">
        <x:v>上证指数</x:v>
      </x:c>
    </x:row>
    <x:row r="43">
      <x:c r="A43" s="22" t="n">
        <x:v>14</x:v>
      </x:c>
      <x:c r="B43" s="22" t="str">
        <x:v>周五</x:v>
      </x:c>
      <x:c r="C43" s="22" t="str">
        <x:v>2月27日</x:v>
      </x:c>
      <x:c r="D43" s="23" t="n">
        <x:v>4128.9</x:v>
      </x:c>
      <x:c r="E43" s="23" t="n">
        <x:v>4166.23</x:v>
      </x:c>
      <x:c r="F43" s="23" t="n">
        <x:v>4128.36</x:v>
      </x:c>
      <x:c r="G43" s="23" t="n">
        <x:v>4162.88</x:v>
      </x:c>
      <x:c r="H43" s="23" t="n">
        <x:v>16.3</x:v>
      </x:c>
      <x:c r="I43" s="24" t="n">
        <x:v>0.003918844941555033</x:v>
      </x:c>
      <x:c r="J43" s="23" t="n">
        <x:f>ROUND(E43-F43,1)</x:f>
        <x:v>37.9</x:v>
      </x:c>
      <x:c r="K43" s="22" t="str">
        <x:v>上证指数</x:v>
      </x:c>
    </x:row>
    <x:row r="44">
      <x:c r="A44" s="31" t="str">
        <x:v>合计</x:v>
      </x:c>
      <x:c r="B44" s="30" t="n">
        <x:v>14</x:v>
      </x:c>
      <x:c r="C44" s="30"/>
      <x:c r="D44" s="30"/>
      <x:c r="E44" s="30"/>
      <x:c r="F44" s="30"/>
      <x:c r="G44" s="30"/>
      <x:c r="H44" s="30"/>
      <x:c r="I44" s="30"/>
      <x:c r="J44" s="32" t="n">
        <x:f>ROUND(SUM(J30:J43),1)</x:f>
        <x:v>564.6</x:v>
      </x:c>
      <x:c r="K44" s="30"/>
    </x:row>
    <x:row r="45">
      <x:c r="A45" s="31" t="str">
        <x:v>均值</x:v>
      </x:c>
      <x:c r="B45" s="30"/>
      <x:c r="C45" s="30"/>
      <x:c r="D45" s="30"/>
      <x:c r="E45" s="30"/>
      <x:c r="F45" s="30"/>
      <x:c r="G45" s="30"/>
      <x:c r="H45" s="30"/>
      <x:c r="I45" s="30"/>
      <x:c r="J45" s="34" t="n">
        <x:f>ROUND(IFERROR(AVERAGE(J30:J43),0),1)</x:f>
        <x:v>40.3</x:v>
      </x:c>
      <x:c r="K45" s="30"/>
    </x:row>
    <x:row r="47">
      <x:c r="A47" s="17" t="str">
        <x:v>3月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20" t="str">
        <x:v>序号</x:v>
      </x:c>
      <x:c r="B48" s="20" t="str">
        <x:v>星期</x:v>
      </x:c>
      <x:c r="C48" s="20" t="str">
        <x:v>日期</x:v>
      </x:c>
      <x:c r="D48" s="20" t="str">
        <x:v>开盘</x:v>
      </x:c>
      <x:c r="E48" s="20" t="str">
        <x:v>高点</x:v>
      </x:c>
      <x:c r="F48" s="20" t="str">
        <x:v>低点</x:v>
      </x:c>
      <x:c r="G48" s="20" t="str">
        <x:v>收盘</x:v>
      </x:c>
      <x:c r="H48" s="20" t="str">
        <x:v>涨跌点数</x:v>
      </x:c>
      <x:c r="I48" s="20" t="str">
        <x:v>涨幅</x:v>
      </x:c>
      <x:c r="J48" s="20" t="str">
        <x:v>振幅</x:v>
      </x:c>
      <x:c r="K48" s="20" t="str">
        <x:v>标的</x:v>
      </x:c>
    </x:row>
    <x:row r="49">
      <x:c r="A49" s="22" t="n">
        <x:v>1</x:v>
      </x:c>
      <x:c r="B49" s="22" t="str">
        <x:v>周一</x:v>
      </x:c>
      <x:c r="C49" s="22" t="str">
        <x:v>3月2日</x:v>
      </x:c>
      <x:c r="D49" s="23" t="n">
        <x:v>4151.8</x:v>
      </x:c>
      <x:c r="E49" s="23" t="n">
        <x:v>4188.77</x:v>
      </x:c>
      <x:c r="F49" s="23" t="n">
        <x:v>4131.37</x:v>
      </x:c>
      <x:c r="G49" s="23" t="n">
        <x:v>4182.59</x:v>
      </x:c>
      <x:c r="H49" s="23" t="n">
        <x:v>19.7</x:v>
      </x:c>
      <x:c r="I49" s="24" t="n">
        <x:v>0.0047347028979936034</x:v>
      </x:c>
      <x:c r="J49" s="26" t="n">
        <x:f>ROUND(E49-F49,1)</x:f>
        <x:v>57.4</x:v>
      </x:c>
      <x:c r="K49" s="22" t="str">
        <x:v>上证指数</x:v>
      </x:c>
    </x:row>
    <x:row r="50">
      <x:c r="A50" s="22" t="n">
        <x:v>2</x:v>
      </x:c>
      <x:c r="B50" s="22" t="str">
        <x:v>周二</x:v>
      </x:c>
      <x:c r="C50" s="22" t="str">
        <x:v>3月3日</x:v>
      </x:c>
      <x:c r="D50" s="23" t="n">
        <x:v>4189.41</x:v>
      </x:c>
      <x:c r="E50" s="23" t="n">
        <x:v>4197.23</x:v>
      </x:c>
      <x:c r="F50" s="23" t="n">
        <x:v>4116.01</x:v>
      </x:c>
      <x:c r="G50" s="23" t="n">
        <x:v>4122.68</x:v>
      </x:c>
      <x:c r="H50" s="23" t="n">
        <x:v>-59.9</x:v>
      </x:c>
      <x:c r="I50" s="24" t="n">
        <x:v>-0.014323660698275398</x:v>
      </x:c>
      <x:c r="J50" s="26" t="n">
        <x:f>ROUND(E50-F50,1)</x:f>
        <x:v>81.2</x:v>
      </x:c>
      <x:c r="K50" s="22" t="str">
        <x:v>上证指数</x:v>
      </x:c>
    </x:row>
    <x:row r="51">
      <x:c r="A51" s="22" t="n">
        <x:v>3</x:v>
      </x:c>
      <x:c r="B51" s="22" t="str">
        <x:v>周三</x:v>
      </x:c>
      <x:c r="C51" s="22" t="str">
        <x:v>3月4日</x:v>
      </x:c>
      <x:c r="D51" s="23" t="n">
        <x:v>4087.63</x:v>
      </x:c>
      <x:c r="E51" s="23" t="n">
        <x:v>4106.04</x:v>
      </x:c>
      <x:c r="F51" s="23" t="n">
        <x:v>4055.41</x:v>
      </x:c>
      <x:c r="G51" s="23" t="n">
        <x:v>4082.47</x:v>
      </x:c>
      <x:c r="H51" s="23" t="n">
        <x:v>-40.2</x:v>
      </x:c>
      <x:c r="I51" s="24" t="n">
        <x:v>-0.009753364316415603</x:v>
      </x:c>
      <x:c r="J51" s="26" t="n">
        <x:f>ROUND(E51-F51,1)</x:f>
        <x:v>50.6</x:v>
      </x:c>
      <x:c r="K51" s="22" t="str">
        <x:v>上证指数</x:v>
      </x:c>
    </x:row>
    <x:row r="52">
      <x:c r="A52" s="22" t="n">
        <x:v>4</x:v>
      </x:c>
      <x:c r="B52" s="22" t="str">
        <x:v>周四</x:v>
      </x:c>
      <x:c r="C52" s="22" t="str">
        <x:v>3月5日</x:v>
      </x:c>
      <x:c r="D52" s="23" t="n">
        <x:v>4109.78</x:v>
      </x:c>
      <x:c r="E52" s="23" t="n">
        <x:v>4125.62</x:v>
      </x:c>
      <x:c r="F52" s="23" t="n">
        <x:v>4090.62</x:v>
      </x:c>
      <x:c r="G52" s="23" t="n">
        <x:v>4108.57</x:v>
      </x:c>
      <x:c r="H52" s="23" t="n">
        <x:v>26.1</x:v>
      </x:c>
      <x:c r="I52" s="24" t="n">
        <x:v>0.006393188437392006</x:v>
      </x:c>
      <x:c r="J52" s="23" t="n">
        <x:f>ROUND(E52-F52,1)</x:f>
        <x:v>35</x:v>
      </x:c>
      <x:c r="K52" s="22" t="str">
        <x:v>上证指数</x:v>
      </x:c>
    </x:row>
    <x:row r="53">
      <x:c r="A53" s="22" t="n">
        <x:v>5</x:v>
      </x:c>
      <x:c r="B53" s="22" t="str">
        <x:v>周五</x:v>
      </x:c>
      <x:c r="C53" s="22" t="str">
        <x:v>3月6日</x:v>
      </x:c>
      <x:c r="D53" s="23" t="n">
        <x:v>4085.9</x:v>
      </x:c>
      <x:c r="E53" s="23" t="n">
        <x:v>4129.46</x:v>
      </x:c>
      <x:c r="F53" s="23" t="n">
        <x:v>4085.9</x:v>
      </x:c>
      <x:c r="G53" s="23" t="n">
        <x:v>4124.19</x:v>
      </x:c>
      <x:c r="H53" s="23" t="n">
        <x:v>15.6</x:v>
      </x:c>
      <x:c r="I53" s="24" t="n">
        <x:v>0.0038018093886680315</x:v>
      </x:c>
      <x:c r="J53" s="23" t="n">
        <x:f>ROUND(E53-F53,1)</x:f>
        <x:v>43.6</x:v>
      </x:c>
      <x:c r="K53" s="22" t="str">
        <x:v>上证指数</x:v>
      </x:c>
    </x:row>
    <x:row r="54">
      <x:c r="A54" s="22" t="n">
        <x:v>6</x:v>
      </x:c>
      <x:c r="B54" s="22" t="str">
        <x:v>周一</x:v>
      </x:c>
      <x:c r="C54" s="22" t="str">
        <x:v>3月9日</x:v>
      </x:c>
      <x:c r="D54" s="23" t="n">
        <x:v>4098.7</x:v>
      </x:c>
      <x:c r="E54" s="23" t="n">
        <x:v>4106.53</x:v>
      </x:c>
      <x:c r="F54" s="23" t="n">
        <x:v>4052.55</x:v>
      </x:c>
      <x:c r="G54" s="23" t="n">
        <x:v>4096.6</x:v>
      </x:c>
      <x:c r="H54" s="23" t="n">
        <x:v>-27.6</x:v>
      </x:c>
      <x:c r="I54" s="24" t="n">
        <x:v>-0.006689798481641085</x:v>
      </x:c>
      <x:c r="J54" s="26" t="n">
        <x:f>ROUND(E54-F54,1)</x:f>
        <x:v>54</x:v>
      </x:c>
      <x:c r="K54" s="22" t="str">
        <x:v>上证指数</x:v>
      </x:c>
    </x:row>
    <x:row r="55">
      <x:c r="A55" s="22" t="n">
        <x:v>7</x:v>
      </x:c>
      <x:c r="B55" s="22" t="str">
        <x:v>周二</x:v>
      </x:c>
      <x:c r="C55" s="22" t="str">
        <x:v>3月10日</x:v>
      </x:c>
      <x:c r="D55" s="23" t="n">
        <x:v>4098.59</x:v>
      </x:c>
      <x:c r="E55" s="23" t="n">
        <x:v>4123.96</x:v>
      </x:c>
      <x:c r="F55" s="23" t="n">
        <x:v>4098.59</x:v>
      </x:c>
      <x:c r="G55" s="23" t="n">
        <x:v>4123.14</x:v>
      </x:c>
      <x:c r="H55" s="23" t="n">
        <x:v>26.5</x:v>
      </x:c>
      <x:c r="I55" s="24" t="n">
        <x:v>0.00647854318215102</x:v>
      </x:c>
      <x:c r="J55" s="23" t="n">
        <x:f>ROUND(E55-F55,1)</x:f>
        <x:v>25.4</x:v>
      </x:c>
      <x:c r="K55" s="22" t="str">
        <x:v>上证指数</x:v>
      </x:c>
    </x:row>
    <x:row r="56">
      <x:c r="A56" s="22" t="n">
        <x:v>8</x:v>
      </x:c>
      <x:c r="B56" s="22" t="str">
        <x:v>周三</x:v>
      </x:c>
      <x:c r="C56" s="22" t="str">
        <x:v>3月11日</x:v>
      </x:c>
      <x:c r="D56" s="23" t="n">
        <x:v>4123.67</x:v>
      </x:c>
      <x:c r="E56" s="23" t="n">
        <x:v>4135.84</x:v>
      </x:c>
      <x:c r="F56" s="23" t="n">
        <x:v>4112.8</x:v>
      </x:c>
      <x:c r="G56" s="23" t="n">
        <x:v>4133.43</x:v>
      </x:c>
      <x:c r="H56" s="23" t="n">
        <x:v>10.3</x:v>
      </x:c>
      <x:c r="I56" s="24" t="n">
        <x:v>0.0024956707751859764</x:v>
      </x:c>
      <x:c r="J56" s="23" t="n">
        <x:f>ROUND(E56-F56,1)</x:f>
        <x:v>23</x:v>
      </x:c>
      <x:c r="K56" s="22" t="str">
        <x:v>上证指数</x:v>
      </x:c>
    </x:row>
    <x:row r="57">
      <x:c r="A57" s="22" t="n">
        <x:v>9</x:v>
      </x:c>
      <x:c r="B57" s="22" t="str">
        <x:v>周四</x:v>
      </x:c>
      <x:c r="C57" s="22" t="str">
        <x:v>3月12日</x:v>
      </x:c>
      <x:c r="D57" s="23" t="n">
        <x:v>4133.2</x:v>
      </x:c>
      <x:c r="E57" s="23" t="n">
        <x:v>4141.65</x:v>
      </x:c>
      <x:c r="F57" s="23" t="n">
        <x:v>4103.16</x:v>
      </x:c>
      <x:c r="G57" s="23" t="n">
        <x:v>4129.1</x:v>
      </x:c>
      <x:c r="H57" s="23" t="n">
        <x:v>-4.3</x:v>
      </x:c>
      <x:c r="I57" s="24" t="n">
        <x:v>-0.0010475561458642701</x:v>
      </x:c>
      <x:c r="J57" s="23" t="n">
        <x:f>ROUND(E57-F57,1)</x:f>
        <x:v>38.5</x:v>
      </x:c>
      <x:c r="K57" s="22" t="str">
        <x:v>上证指数</x:v>
      </x:c>
    </x:row>
    <x:row r="58">
      <x:c r="A58" s="22" t="n">
        <x:v>10</x:v>
      </x:c>
      <x:c r="B58" s="22" t="str">
        <x:v>周五</x:v>
      </x:c>
      <x:c r="C58" s="22" t="str">
        <x:v>3月13日</x:v>
      </x:c>
      <x:c r="D58" s="23" t="n">
        <x:v>4117.57</x:v>
      </x:c>
      <x:c r="E58" s="23" t="n">
        <x:v>4134.08</x:v>
      </x:c>
      <x:c r="F58" s="23" t="n">
        <x:v>4086.85</x:v>
      </x:c>
      <x:c r="G58" s="23" t="n">
        <x:v>4095.45</x:v>
      </x:c>
      <x:c r="H58" s="23" t="n">
        <x:v>-33.7</x:v>
      </x:c>
      <x:c r="I58" s="24" t="n">
        <x:v>-0.008149475672664885</x:v>
      </x:c>
      <x:c r="J58" s="23" t="n">
        <x:f>ROUND(E58-F58,1)</x:f>
        <x:v>47.2</x:v>
      </x:c>
      <x:c r="K58" s="22" t="str">
        <x:v>上证指数</x:v>
      </x:c>
    </x:row>
    <x:row r="59">
      <x:c r="A59" s="22" t="n">
        <x:v>11</x:v>
      </x:c>
      <x:c r="B59" s="22" t="str">
        <x:v>周一</x:v>
      </x:c>
      <x:c r="C59" s="22" t="str">
        <x:v>3月16日</x:v>
      </x:c>
      <x:c r="D59" s="23" t="n">
        <x:v>4092.25</x:v>
      </x:c>
      <x:c r="E59" s="23" t="n">
        <x:v>4096.13</x:v>
      </x:c>
      <x:c r="F59" s="23" t="n">
        <x:v>4048.09</x:v>
      </x:c>
      <x:c r="G59" s="23" t="n">
        <x:v>4084.79</x:v>
      </x:c>
      <x:c r="H59" s="23" t="n">
        <x:v>-10.7</x:v>
      </x:c>
      <x:c r="I59" s="24" t="n">
        <x:v>-0.002602888571463402</x:v>
      </x:c>
      <x:c r="J59" s="23" t="n">
        <x:f>ROUND(E59-F59,1)</x:f>
        <x:v>48</x:v>
      </x:c>
      <x:c r="K59" s="22" t="str">
        <x:v>上证指数</x:v>
      </x:c>
    </x:row>
    <x:row r="60">
      <x:c r="A60" s="22" t="n">
        <x:v>12</x:v>
      </x:c>
      <x:c r="B60" s="22" t="str">
        <x:v>周二</x:v>
      </x:c>
      <x:c r="C60" s="22" t="str">
        <x:v>3月17日</x:v>
      </x:c>
      <x:c r="D60" s="23" t="n">
        <x:v>4086.3</x:v>
      </x:c>
      <x:c r="E60" s="23" t="n">
        <x:v>4108.4</x:v>
      </x:c>
      <x:c r="F60" s="23" t="n">
        <x:v>4049.58</x:v>
      </x:c>
      <x:c r="G60" s="23" t="n">
        <x:v>4049.91</x:v>
      </x:c>
      <x:c r="H60" s="23" t="n">
        <x:v>-34.9</x:v>
      </x:c>
      <x:c r="I60" s="24" t="n">
        <x:v>-0.00853899466068031</x:v>
      </x:c>
      <x:c r="J60" s="26" t="n">
        <x:f>ROUND(E60-F60,1)</x:f>
        <x:v>58.8</x:v>
      </x:c>
      <x:c r="K60" s="22" t="str">
        <x:v>上证指数</x:v>
      </x:c>
    </x:row>
    <x:row r="61">
      <x:c r="A61" s="22" t="n">
        <x:v>13</x:v>
      </x:c>
      <x:c r="B61" s="22" t="str">
        <x:v>周三</x:v>
      </x:c>
      <x:c r="C61" s="22" t="str">
        <x:v>3月18日</x:v>
      </x:c>
      <x:c r="D61" s="23" t="n">
        <x:v>4053.31</x:v>
      </x:c>
      <x:c r="E61" s="23" t="n">
        <x:v>4065.37</x:v>
      </x:c>
      <x:c r="F61" s="23" t="n">
        <x:v>4023.03</x:v>
      </x:c>
      <x:c r="G61" s="23" t="n">
        <x:v>4062.98</x:v>
      </x:c>
      <x:c r="H61" s="23" t="n">
        <x:v>13.1</x:v>
      </x:c>
      <x:c r="I61" s="24" t="n">
        <x:v>0.003227232210098574</x:v>
      </x:c>
      <x:c r="J61" s="23" t="n">
        <x:f>ROUND(E61-F61,1)</x:f>
        <x:v>42.3</x:v>
      </x:c>
      <x:c r="K61" s="22" t="str">
        <x:v>上证指数</x:v>
      </x:c>
    </x:row>
    <x:row r="62">
      <x:c r="A62" s="22" t="n">
        <x:v>14</x:v>
      </x:c>
      <x:c r="B62" s="22" t="str">
        <x:v>周四</x:v>
      </x:c>
      <x:c r="C62" s="22" t="str">
        <x:v>3月19日</x:v>
      </x:c>
      <x:c r="D62" s="23" t="n">
        <x:v>4028.54</x:v>
      </x:c>
      <x:c r="E62" s="23" t="n">
        <x:v>4042.02</x:v>
      </x:c>
      <x:c r="F62" s="23" t="n">
        <x:v>3994.17</x:v>
      </x:c>
      <x:c r="G62" s="23" t="n">
        <x:v>4006.55</x:v>
      </x:c>
      <x:c r="H62" s="23" t="n">
        <x:v>-56.4</x:v>
      </x:c>
      <x:c r="I62" s="24" t="n">
        <x:v>-0.01388882052089846</x:v>
      </x:c>
      <x:c r="J62" s="23" t="n">
        <x:f>ROUND(E62-F62,1)</x:f>
        <x:v>47.8</x:v>
      </x:c>
      <x:c r="K62" s="22" t="str">
        <x:v>上证指数</x:v>
      </x:c>
    </x:row>
    <x:row r="63">
      <x:c r="A63" s="41" t="n">
        <x:v>15</x:v>
      </x:c>
      <x:c r="B63" s="41" t="str">
        <x:v>周五</x:v>
      </x:c>
      <x:c r="C63" s="41" t="str">
        <x:v>3月20日</x:v>
      </x:c>
      <x:c r="D63" s="42" t="n">
        <x:v>4004.57</x:v>
      </x:c>
      <x:c r="E63" s="42" t="n">
        <x:v>4022.7</x:v>
      </x:c>
      <x:c r="F63" s="42" t="n">
        <x:v>3955.71</x:v>
      </x:c>
      <x:c r="G63" s="42" t="n">
        <x:v>3957.05</x:v>
      </x:c>
      <x:c r="H63" s="42" t="n">
        <x:v>-49.5</x:v>
      </x:c>
      <x:c r="I63" s="43" t="n">
        <x:v>-0.012354769065655025</x:v>
      </x:c>
      <x:c r="J63" s="26" t="n">
        <x:f>ROUND(E63-F63,1)</x:f>
        <x:v>67</x:v>
      </x:c>
      <x:c r="K63" s="41" t="str">
        <x:v>上证指数</x:v>
      </x:c>
    </x:row>
    <x:row r="64">
      <x:c r="A64" s="22" t="n">
        <x:v>16</x:v>
      </x:c>
      <x:c r="B64" s="22" t="str">
        <x:v>周一</x:v>
      </x:c>
      <x:c r="C64" s="22" t="str">
        <x:v>3月23日</x:v>
      </x:c>
      <x:c r="D64" s="23" t="n">
        <x:v>3904.95</x:v>
      </x:c>
      <x:c r="E64" s="23" t="n">
        <x:v>3906.62</x:v>
      </x:c>
      <x:c r="F64" s="23" t="n">
        <x:v>3794.68</x:v>
      </x:c>
      <x:c r="G64" s="23" t="n">
        <x:v>3813.28</x:v>
      </x:c>
      <x:c r="H64" s="23" t="n">
        <x:v>-143.8</x:v>
      </x:c>
      <x:c r="I64" s="24" t="n">
        <x:v>-0.03633262152360972</x:v>
      </x:c>
      <x:c r="J64" s="26" t="n">
        <x:f>ROUND(E64-F64,1)</x:f>
        <x:v>111.9</x:v>
      </x:c>
      <x:c r="K64" s="22" t="str">
        <x:v>上证指数</x:v>
      </x:c>
    </x:row>
    <x:row r="65">
      <x:c r="A65" s="22" t="n">
        <x:v>17</x:v>
      </x:c>
      <x:c r="B65" s="22" t="str">
        <x:v>周二</x:v>
      </x:c>
      <x:c r="C65" s="22" t="str">
        <x:v>3月24日</x:v>
      </x:c>
      <x:c r="D65" s="23" t="n">
        <x:v>3849.63</x:v>
      </x:c>
      <x:c r="E65" s="23" t="n">
        <x:v>3881.42</x:v>
      </x:c>
      <x:c r="F65" s="23" t="n">
        <x:v>3807.99</x:v>
      </x:c>
      <x:c r="G65" s="23" t="n">
        <x:v>3881.28</x:v>
      </x:c>
      <x:c r="H65" s="23" t="n">
        <x:v>68</x:v>
      </x:c>
      <x:c r="I65" s="24" t="n">
        <x:v>0.01783241723660467</x:v>
      </x:c>
      <x:c r="J65" s="26" t="n">
        <x:f>ROUND(E65-F65,1)</x:f>
        <x:v>73.4</x:v>
      </x:c>
      <x:c r="K65" s="22" t="str">
        <x:v>上证指数</x:v>
      </x:c>
    </x:row>
    <x:row r="66">
      <x:c r="A66" s="22" t="n">
        <x:v>18</x:v>
      </x:c>
      <x:c r="B66" s="22" t="str">
        <x:v>周三</x:v>
      </x:c>
      <x:c r="C66" s="22" t="str">
        <x:v>3月25日</x:v>
      </x:c>
      <x:c r="D66" s="23" t="n">
        <x:v>3892.27</x:v>
      </x:c>
      <x:c r="E66" s="23" t="n">
        <x:v>3933.06</x:v>
      </x:c>
      <x:c r="F66" s="23" t="n">
        <x:v>3891.82</x:v>
      </x:c>
      <x:c r="G66" s="23" t="n">
        <x:v>3931.84</x:v>
      </x:c>
      <x:c r="H66" s="23" t="n">
        <x:v>50.6</x:v>
      </x:c>
      <x:c r="I66" s="24" t="n">
        <x:v>0.013026630389974425</x:v>
      </x:c>
      <x:c r="J66" s="23" t="n">
        <x:f>ROUND(E66-F66,1)</x:f>
        <x:v>41.2</x:v>
      </x:c>
      <x:c r="K66" s="22" t="str">
        <x:v>上证指数</x:v>
      </x:c>
    </x:row>
    <x:row r="67">
      <x:c r="A67" s="22" t="n">
        <x:v>19</x:v>
      </x:c>
      <x:c r="B67" s="22" t="str">
        <x:v>周四</x:v>
      </x:c>
      <x:c r="C67" s="22" t="str">
        <x:v>3月26日</x:v>
      </x:c>
      <x:c r="D67" s="23" t="n">
        <x:v>3924.96</x:v>
      </x:c>
      <x:c r="E67" s="23" t="n">
        <x:v>3937.1</x:v>
      </x:c>
      <x:c r="F67" s="23" t="n">
        <x:v>3880.57</x:v>
      </x:c>
      <x:c r="G67" s="23" t="n">
        <x:v>3889.08</x:v>
      </x:c>
      <x:c r="H67" s="23" t="n">
        <x:v>-42.8</x:v>
      </x:c>
      <x:c r="I67" s="24" t="n">
        <x:v>-0.010875315373972572</x:v>
      </x:c>
      <x:c r="J67" s="26" t="n">
        <x:f>ROUND(E67-F67,1)</x:f>
        <x:v>56.5</x:v>
      </x:c>
      <x:c r="K67" s="22" t="str">
        <x:v>上证指数</x:v>
      </x:c>
    </x:row>
    <x:row r="68">
      <x:c r="A68" s="22" t="n">
        <x:v>20</x:v>
      </x:c>
      <x:c r="B68" s="22" t="str">
        <x:v>周五</x:v>
      </x:c>
      <x:c r="C68" s="22" t="str">
        <x:v>3月27日</x:v>
      </x:c>
      <x:c r="D68" s="23" t="n">
        <x:v>3852.09</x:v>
      </x:c>
      <x:c r="E68" s="23" t="n">
        <x:v>3924.11</x:v>
      </x:c>
      <x:c r="F68" s="23" t="n">
        <x:v>3852.09</x:v>
      </x:c>
      <x:c r="G68" s="23" t="n">
        <x:v>3913.72</x:v>
      </x:c>
      <x:c r="H68" s="23" t="n">
        <x:v>24.6</x:v>
      </x:c>
      <x:c r="I68" s="24" t="n">
        <x:v>0.006335688646157855</x:v>
      </x:c>
      <x:c r="J68" s="26" t="n">
        <x:f>ROUND(E68-F68,1)</x:f>
        <x:v>72</x:v>
      </x:c>
      <x:c r="K68" s="22" t="str">
        <x:v>上证指数</x:v>
      </x:c>
    </x:row>
    <x:row r="69">
      <x:c r="A69" s="22" t="n">
        <x:v>21</x:v>
      </x:c>
      <x:c r="B69" s="22" t="str">
        <x:v>周一</x:v>
      </x:c>
      <x:c r="C69" s="22" t="str">
        <x:v>3月30日</x:v>
      </x:c>
      <x:c r="D69" s="23" t="n">
        <x:v>3884.28</x:v>
      </x:c>
      <x:c r="E69" s="23" t="n">
        <x:v>3924.29</x:v>
      </x:c>
      <x:c r="F69" s="23" t="n">
        <x:v>3872.78</x:v>
      </x:c>
      <x:c r="G69" s="23" t="n">
        <x:v>3923.29</x:v>
      </x:c>
      <x:c r="H69" s="23" t="n">
        <x:v>9.6</x:v>
      </x:c>
      <x:c r="I69" s="24" t="n">
        <x:v>0.0024452439111637414</x:v>
      </x:c>
      <x:c r="J69" s="26" t="n">
        <x:f>ROUND(E69-F69,1)</x:f>
        <x:v>51.5</x:v>
      </x:c>
      <x:c r="K69" s="22" t="str">
        <x:v>上证指数</x:v>
      </x:c>
    </x:row>
    <x:row r="70">
      <x:c r="A70" s="22" t="n">
        <x:v>22</x:v>
      </x:c>
      <x:c r="B70" s="22" t="str">
        <x:v>周二</x:v>
      </x:c>
      <x:c r="C70" s="22" t="str">
        <x:v>3月31日</x:v>
      </x:c>
      <x:c r="D70" s="23" t="n">
        <x:v>3924.07</x:v>
      </x:c>
      <x:c r="E70" s="23" t="n">
        <x:v>3948.81</x:v>
      </x:c>
      <x:c r="F70" s="23" t="n">
        <x:v>3891.86</x:v>
      </x:c>
      <x:c r="G70" s="23" t="n">
        <x:v>3891.86</x:v>
      </x:c>
      <x:c r="H70" s="23" t="n">
        <x:v>-31.4</x:v>
      </x:c>
      <x:c r="I70" s="24" t="n">
        <x:v>-0.008011133512944468</x:v>
      </x:c>
      <x:c r="J70" s="26" t="n">
        <x:f>ROUND(E70-F70,1)</x:f>
        <x:v>56.9</x:v>
      </x:c>
      <x:c r="K70" s="22" t="str">
        <x:v>上证指数</x:v>
      </x:c>
    </x:row>
    <x:row r="71">
      <x:c r="A71" s="31" t="str">
        <x:v>合计</x:v>
      </x:c>
      <x:c r="B71" s="30" t="n">
        <x:v>22</x:v>
      </x:c>
      <x:c r="C71" s="30"/>
      <x:c r="D71" s="30"/>
      <x:c r="E71" s="30"/>
      <x:c r="F71" s="30"/>
      <x:c r="G71" s="30"/>
      <x:c r="H71" s="30"/>
      <x:c r="I71" s="30"/>
      <x:c r="J71" s="32" t="n">
        <x:f>ROUND(SUM(J49:J70),1)</x:f>
        <x:v>1183.2</x:v>
      </x:c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0"/>
      <x:c r="J72" s="34" t="n">
        <x:f>ROUND(IFERROR(AVERAGE(J49:J70),0),1)</x:f>
        <x:v>53.8</x:v>
      </x:c>
      <x:c r="K72" s="30"/>
    </x:row>
    <x:row r="74">
      <x:c r="A74" s="17" t="str">
        <x:v>4月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20" t="str">
        <x:v>序号</x:v>
      </x:c>
      <x:c r="B75" s="20" t="str">
        <x:v>星期</x:v>
      </x:c>
      <x:c r="C75" s="20" t="str">
        <x:v>日期</x:v>
      </x:c>
      <x:c r="D75" s="20" t="str">
        <x:v>开盘</x:v>
      </x:c>
      <x:c r="E75" s="20" t="str">
        <x:v>高点</x:v>
      </x:c>
      <x:c r="F75" s="20" t="str">
        <x:v>低点</x:v>
      </x:c>
      <x:c r="G75" s="20" t="str">
        <x:v>收盘</x:v>
      </x:c>
      <x:c r="H75" s="20" t="str">
        <x:v>涨跌点数</x:v>
      </x:c>
      <x:c r="I75" s="20" t="str">
        <x:v>涨幅</x:v>
      </x:c>
      <x:c r="J75" s="20" t="str">
        <x:v>振幅</x:v>
      </x:c>
      <x:c r="K75" s="20" t="str">
        <x:v>标的</x:v>
      </x:c>
    </x:row>
    <x:row r="76">
      <x:c r="A76" s="22" t="n">
        <x:v>1</x:v>
      </x:c>
      <x:c r="B76" s="22" t="str">
        <x:v>周三</x:v>
      </x:c>
      <x:c r="C76" s="22" t="str">
        <x:v>4月1日</x:v>
      </x:c>
      <x:c r="D76" s="23" t="n">
        <x:v>3939.57</x:v>
      </x:c>
      <x:c r="E76" s="23" t="n">
        <x:v>3955.94</x:v>
      </x:c>
      <x:c r="F76" s="23" t="n">
        <x:v>3929.92</x:v>
      </x:c>
      <x:c r="G76" s="23" t="n">
        <x:v>3948.55</x:v>
      </x:c>
      <x:c r="H76" s="23" t="n">
        <x:v>56.7</x:v>
      </x:c>
      <x:c r="I76" s="24" t="n">
        <x:v>0.014566299918290948</x:v>
      </x:c>
      <x:c r="J76" s="23" t="n">
        <x:f>ROUND(E76-F76,1)</x:f>
        <x:v>26</x:v>
      </x:c>
      <x:c r="K76" s="22" t="str">
        <x:v>上证指数</x:v>
      </x:c>
    </x:row>
    <x:row r="77">
      <x:c r="A77" s="22" t="n">
        <x:v>2</x:v>
      </x:c>
      <x:c r="B77" s="22" t="str">
        <x:v>周四</x:v>
      </x:c>
      <x:c r="C77" s="22" t="str">
        <x:v>4月2日</x:v>
      </x:c>
      <x:c r="D77" s="23" t="n">
        <x:v>3940.8</x:v>
      </x:c>
      <x:c r="E77" s="23" t="n">
        <x:v>3952.58</x:v>
      </x:c>
      <x:c r="F77" s="23" t="n">
        <x:v>3900.12</x:v>
      </x:c>
      <x:c r="G77" s="23" t="n">
        <x:v>3919.29</x:v>
      </x:c>
      <x:c r="H77" s="23" t="n">
        <x:v>-29.3</x:v>
      </x:c>
      <x:c r="I77" s="24" t="n">
        <x:v>-0.007410315178989824</x:v>
      </x:c>
      <x:c r="J77" s="26" t="n">
        <x:f>ROUND(E77-F77,1)</x:f>
        <x:v>52.5</x:v>
      </x:c>
      <x:c r="K77" s="22" t="str">
        <x:v>上证指数</x:v>
      </x:c>
    </x:row>
    <x:row r="78">
      <x:c r="A78" s="22" t="n">
        <x:v>3</x:v>
      </x:c>
      <x:c r="B78" s="22" t="str">
        <x:v>周五</x:v>
      </x:c>
      <x:c r="C78" s="22" t="str">
        <x:v>4月3日</x:v>
      </x:c>
      <x:c r="D78" s="23" t="n">
        <x:v>3927.59</x:v>
      </x:c>
      <x:c r="E78" s="23" t="n">
        <x:v>3929.53</x:v>
      </x:c>
      <x:c r="F78" s="23" t="n">
        <x:v>3871.3</x:v>
      </x:c>
      <x:c r="G78" s="23" t="n">
        <x:v>3880.1</x:v>
      </x:c>
      <x:c r="H78" s="23" t="n">
        <x:v>-39.2</x:v>
      </x:c>
      <x:c r="I78" s="24" t="n">
        <x:v>-0.009999260070063687</x:v>
      </x:c>
      <x:c r="J78" s="26" t="n">
        <x:f>ROUND(E78-F78,1)</x:f>
        <x:v>58.2</x:v>
      </x:c>
      <x:c r="K78" s="22" t="str">
        <x:v>上证指数</x:v>
      </x:c>
    </x:row>
    <x:row r="79">
      <x:c r="A79" s="22" t="n">
        <x:v>4</x:v>
      </x:c>
      <x:c r="B79" s="22" t="str">
        <x:v>周二</x:v>
      </x:c>
      <x:c r="C79" s="22" t="str">
        <x:v>4月7日</x:v>
      </x:c>
      <x:c r="D79" s="23" t="n">
        <x:v>3884.15</x:v>
      </x:c>
      <x:c r="E79" s="23" t="n">
        <x:v>3902.61</x:v>
      </x:c>
      <x:c r="F79" s="23" t="n">
        <x:v>3875.68</x:v>
      </x:c>
      <x:c r="G79" s="23" t="n">
        <x:v>3890.16</x:v>
      </x:c>
      <x:c r="H79" s="23" t="n">
        <x:v>10.1</x:v>
      </x:c>
      <x:c r="I79" s="24" t="n">
        <x:v>0.0025927166825596704</x:v>
      </x:c>
      <x:c r="J79" s="23" t="n">
        <x:f>ROUND(E79-F79,1)</x:f>
        <x:v>26.9</x:v>
      </x:c>
      <x:c r="K79" s="22" t="str">
        <x:v>上证指数</x:v>
      </x:c>
    </x:row>
    <x:row r="80">
      <x:c r="A80" s="22" t="n">
        <x:v>5</x:v>
      </x:c>
      <x:c r="B80" s="22" t="str">
        <x:v>周三</x:v>
      </x:c>
      <x:c r="C80" s="22" t="str">
        <x:v>4月8日</x:v>
      </x:c>
      <x:c r="D80" s="23" t="n">
        <x:v>3930.25</x:v>
      </x:c>
      <x:c r="E80" s="23" t="n">
        <x:v>3995</x:v>
      </x:c>
      <x:c r="F80" s="23" t="n">
        <x:v>3926.25</x:v>
      </x:c>
      <x:c r="G80" s="23" t="n">
        <x:v>3995</x:v>
      </x:c>
      <x:c r="H80" s="23" t="n">
        <x:v>104.8</x:v>
      </x:c>
      <x:c r="I80" s="24" t="n">
        <x:v>0.02695004832706105</x:v>
      </x:c>
      <x:c r="J80" s="26" t="n">
        <x:f>ROUND(E80-F80,1)</x:f>
        <x:v>68.8</x:v>
      </x:c>
      <x:c r="K80" s="22" t="str">
        <x:v>上证指数</x:v>
      </x:c>
    </x:row>
    <x:row r="81">
      <x:c r="A81" s="22" t="n">
        <x:v>6</x:v>
      </x:c>
      <x:c r="B81" s="22" t="str">
        <x:v>周四</x:v>
      </x:c>
      <x:c r="C81" s="22" t="str">
        <x:v>4月9日</x:v>
      </x:c>
      <x:c r="D81" s="23" t="n">
        <x:v>3967.63</x:v>
      </x:c>
      <x:c r="E81" s="23" t="n">
        <x:v>3979.13</x:v>
      </x:c>
      <x:c r="F81" s="23" t="n">
        <x:v>3955.25</x:v>
      </x:c>
      <x:c r="G81" s="23" t="n">
        <x:v>3966.17</x:v>
      </x:c>
      <x:c r="H81" s="23" t="n">
        <x:v>-28.8</x:v>
      </x:c>
      <x:c r="I81" s="24" t="n">
        <x:v>-0.007216520650813463</x:v>
      </x:c>
      <x:c r="J81" s="23" t="n">
        <x:f>ROUND(E81-F81,1)</x:f>
        <x:v>23.9</x:v>
      </x:c>
      <x:c r="K81" s="22" t="str">
        <x:v>上证指数</x:v>
      </x:c>
    </x:row>
    <x:row r="82">
      <x:c r="A82" s="22" t="n">
        <x:v>7</x:v>
      </x:c>
      <x:c r="B82" s="22" t="str">
        <x:v>周五</x:v>
      </x:c>
      <x:c r="C82" s="22" t="str">
        <x:v>4月10日</x:v>
      </x:c>
      <x:c r="D82" s="23" t="n">
        <x:v>3985.46</x:v>
      </x:c>
      <x:c r="E82" s="23" t="n">
        <x:v>4011.02</x:v>
      </x:c>
      <x:c r="F82" s="23" t="n">
        <x:v>3979.81</x:v>
      </x:c>
      <x:c r="G82" s="23" t="n">
        <x:v>3986.22</x:v>
      </x:c>
      <x:c r="H82" s="23" t="n">
        <x:v>20</x:v>
      </x:c>
      <x:c r="I82" s="24" t="n">
        <x:v>0.005055254817619925</x:v>
      </x:c>
      <x:c r="J82" s="23" t="n">
        <x:f>ROUND(E82-F82,1)</x:f>
        <x:v>31.2</x:v>
      </x:c>
      <x:c r="K82" s="22" t="str">
        <x:v>上证指数</x:v>
      </x:c>
    </x:row>
    <x:row r="83">
      <x:c r="A83" s="22" t="n">
        <x:v>8</x:v>
      </x:c>
      <x:c r="B83" s="22" t="str">
        <x:v>周一</x:v>
      </x:c>
      <x:c r="C83" s="22" t="str">
        <x:v>4月13日</x:v>
      </x:c>
      <x:c r="D83" s="23" t="n">
        <x:v>3971.2</x:v>
      </x:c>
      <x:c r="E83" s="23" t="n">
        <x:v>3991.26</x:v>
      </x:c>
      <x:c r="F83" s="23" t="n">
        <x:v>3966.2</x:v>
      </x:c>
      <x:c r="G83" s="23" t="n">
        <x:v>3988.56</x:v>
      </x:c>
      <x:c r="H83" s="23" t="n">
        <x:v>2.3</x:v>
      </x:c>
      <x:c r="I83" s="24" t="n">
        <x:v>0.0005870222917951917</x:v>
      </x:c>
      <x:c r="J83" s="23" t="n">
        <x:f>ROUND(E83-F83,1)</x:f>
        <x:v>25.1</x:v>
      </x:c>
      <x:c r="K83" s="22" t="str">
        <x:v>上证指数</x:v>
      </x:c>
    </x:row>
    <x:row r="84">
      <x:c r="A84" s="22" t="n">
        <x:v>9</x:v>
      </x:c>
      <x:c r="B84" s="22" t="str">
        <x:v>周二</x:v>
      </x:c>
      <x:c r="C84" s="22" t="str">
        <x:v>4月14日</x:v>
      </x:c>
      <x:c r="D84" s="23" t="n">
        <x:v>4006.73</x:v>
      </x:c>
      <x:c r="E84" s="23" t="n">
        <x:v>4026.63</x:v>
      </x:c>
      <x:c r="F84" s="23" t="n">
        <x:v>3992.41</x:v>
      </x:c>
      <x:c r="G84" s="23" t="n">
        <x:v>4026.63</x:v>
      </x:c>
      <x:c r="H84" s="23" t="n">
        <x:v>38.1</x:v>
      </x:c>
      <x:c r="I84" s="24" t="n">
        <x:v>0.009544798122630871</x:v>
      </x:c>
      <x:c r="J84" s="23" t="n">
        <x:f>ROUND(E84-F84,1)</x:f>
        <x:v>34.2</x:v>
      </x:c>
      <x:c r="K84" s="22" t="str">
        <x:v>上证指数</x:v>
      </x:c>
    </x:row>
    <x:row r="85">
      <x:c r="A85" s="22" t="n">
        <x:v>10</x:v>
      </x:c>
      <x:c r="B85" s="22" t="str">
        <x:v>周三</x:v>
      </x:c>
      <x:c r="C85" s="22" t="str">
        <x:v>4月15日</x:v>
      </x:c>
      <x:c r="D85" s="23" t="n">
        <x:v>4039.47</x:v>
      </x:c>
      <x:c r="E85" s="23" t="n">
        <x:v>4050.62</x:v>
      </x:c>
      <x:c r="F85" s="23" t="n">
        <x:v>4020.9</x:v>
      </x:c>
      <x:c r="G85" s="23" t="n">
        <x:v>4027.21</x:v>
      </x:c>
      <x:c r="H85" s="23" t="n">
        <x:v>0.6</x:v>
      </x:c>
      <x:c r="I85" s="24" t="n">
        <x:v>0.00014404104673126916</x:v>
      </x:c>
      <x:c r="J85" s="23" t="n">
        <x:f>ROUND(E85-F85,1)</x:f>
        <x:v>29.7</x:v>
      </x:c>
      <x:c r="K85" s="22" t="str">
        <x:v>上证指数</x:v>
      </x:c>
    </x:row>
    <x:row r="86">
      <x:c r="A86" s="22" t="n">
        <x:v>11</x:v>
      </x:c>
      <x:c r="B86" s="22" t="str">
        <x:v>周四</x:v>
      </x:c>
      <x:c r="C86" s="22" t="str">
        <x:v>4月16日</x:v>
      </x:c>
      <x:c r="D86" s="23" t="n">
        <x:v>4030.14</x:v>
      </x:c>
      <x:c r="E86" s="23" t="n">
        <x:v>4057.83</x:v>
      </x:c>
      <x:c r="F86" s="23" t="n">
        <x:v>4028.91</x:v>
      </x:c>
      <x:c r="G86" s="23" t="n">
        <x:v>4055.55</x:v>
      </x:c>
      <x:c r="H86" s="23" t="n">
        <x:v>28.3</x:v>
      </x:c>
      <x:c r="I86" s="24" t="n">
        <x:v>0.0070371299236942075</x:v>
      </x:c>
      <x:c r="J86" s="23" t="n">
        <x:f>ROUND(E86-F86,1)</x:f>
        <x:v>28.9</x:v>
      </x:c>
      <x:c r="K86" s="22" t="str">
        <x:v>上证指数</x:v>
      </x:c>
    </x:row>
    <x:row r="87">
      <x:c r="A87" s="41" t="n">
        <x:v>12</x:v>
      </x:c>
      <x:c r="B87" s="41" t="str">
        <x:v>周五</x:v>
      </x:c>
      <x:c r="C87" s="41" t="str">
        <x:v>4月17日</x:v>
      </x:c>
      <x:c r="D87" s="42" t="n">
        <x:v>4043.38</x:v>
      </x:c>
      <x:c r="E87" s="42" t="n">
        <x:v>4058.6</x:v>
      </x:c>
      <x:c r="F87" s="42" t="n">
        <x:v>4038.43</x:v>
      </x:c>
      <x:c r="G87" s="42" t="n">
        <x:v>4051.43</x:v>
      </x:c>
      <x:c r="H87" s="42" t="n">
        <x:v>-4.1</x:v>
      </x:c>
      <x:c r="I87" s="43" t="n">
        <x:v>-0.0010158918025916508</x:v>
      </x:c>
      <x:c r="J87" s="42" t="n">
        <x:f>ROUND(E87-F87,1)</x:f>
        <x:v>20.2</x:v>
      </x:c>
      <x:c r="K87" s="41" t="str">
        <x:v>上证指数</x:v>
      </x:c>
    </x:row>
    <x:row r="88">
      <x:c r="A88" s="22" t="n">
        <x:v>13</x:v>
      </x:c>
      <x:c r="B88" s="22" t="str">
        <x:v>周一</x:v>
      </x:c>
      <x:c r="C88" s="22" t="str">
        <x:v>4月20日</x:v>
      </x:c>
      <x:c r="D88" s="23" t="n">
        <x:v>4053.37</x:v>
      </x:c>
      <x:c r="E88" s="23" t="n">
        <x:v>4083.19</x:v>
      </x:c>
      <x:c r="F88" s="23" t="n">
        <x:v>4051.69</x:v>
      </x:c>
      <x:c r="G88" s="23" t="n">
        <x:v>4082.13</x:v>
      </x:c>
      <x:c r="H88" s="23" t="n">
        <x:v>30.7</x:v>
      </x:c>
      <x:c r="I88" s="24" t="n">
        <x:v>0.007577571376032655</x:v>
      </x:c>
      <x:c r="J88" s="23" t="n">
        <x:f>ROUND(E88-F88,1)</x:f>
        <x:v>31.5</x:v>
      </x:c>
      <x:c r="K88" s="22" t="str">
        <x:v>上证指数</x:v>
      </x:c>
    </x:row>
    <x:row r="89">
      <x:c r="A89" s="22" t="n">
        <x:v>14</x:v>
      </x:c>
      <x:c r="B89" s="22" t="str">
        <x:v>周二</x:v>
      </x:c>
      <x:c r="C89" s="22" t="str">
        <x:v>4月21日</x:v>
      </x:c>
      <x:c r="D89" s="23" t="n">
        <x:v>4075.85</x:v>
      </x:c>
      <x:c r="E89" s="23" t="n">
        <x:v>4086.64</x:v>
      </x:c>
      <x:c r="F89" s="23" t="n">
        <x:v>4062.13</x:v>
      </x:c>
      <x:c r="G89" s="23" t="n">
        <x:v>4085.08</x:v>
      </x:c>
      <x:c r="H89" s="23" t="n">
        <x:v>2.9</x:v>
      </x:c>
      <x:c r="I89" s="24" t="n">
        <x:v>0.0007226619436422332</x:v>
      </x:c>
      <x:c r="J89" s="23" t="n">
        <x:f>ROUND(E89-F89,1)</x:f>
        <x:v>24.5</x:v>
      </x:c>
      <x:c r="K89" s="22" t="str">
        <x:v>上证指数</x:v>
      </x:c>
    </x:row>
    <x:row r="90">
      <x:c r="A90" s="22" t="n">
        <x:v>15</x:v>
      </x:c>
      <x:c r="B90" s="22" t="str">
        <x:v>周三</x:v>
      </x:c>
      <x:c r="C90" s="22" t="str">
        <x:v>4月22日</x:v>
      </x:c>
      <x:c r="D90" s="23" t="n">
        <x:v>4074.81</x:v>
      </x:c>
      <x:c r="E90" s="23" t="n">
        <x:v>4106.84</x:v>
      </x:c>
      <x:c r="F90" s="23" t="n">
        <x:v>4074.68</x:v>
      </x:c>
      <x:c r="G90" s="23" t="n">
        <x:v>4106.26</x:v>
      </x:c>
      <x:c r="H90" s="23" t="n">
        <x:v>21.2</x:v>
      </x:c>
      <x:c r="I90" s="24" t="n">
        <x:v>0.005184720984656499</x:v>
      </x:c>
      <x:c r="J90" s="23" t="n">
        <x:f>ROUND(E90-F90,1)</x:f>
        <x:v>32.2</x:v>
      </x:c>
      <x:c r="K90" s="22" t="str">
        <x:v>上证指数</x:v>
      </x:c>
    </x:row>
    <x:row r="91">
      <x:c r="A91" s="22" t="n">
        <x:v>16</x:v>
      </x:c>
      <x:c r="B91" s="22" t="str">
        <x:v>周四</x:v>
      </x:c>
      <x:c r="C91" s="22" t="str">
        <x:v>4月23日</x:v>
      </x:c>
      <x:c r="D91" s="23" t="n">
        <x:v>4110.79</x:v>
      </x:c>
      <x:c r="E91" s="23" t="n">
        <x:v>4114.84</x:v>
      </x:c>
      <x:c r="F91" s="23" t="n">
        <x:v>4070.46</x:v>
      </x:c>
      <x:c r="G91" s="23" t="n">
        <x:v>4093.25</x:v>
      </x:c>
      <x:c r="H91" s="23" t="n">
        <x:v>-13</x:v>
      </x:c>
      <x:c r="I91" s="24" t="n">
        <x:v>-0.0031683332278034104</x:v>
      </x:c>
      <x:c r="J91" s="23" t="n">
        <x:f>ROUND(E91-F91,1)</x:f>
        <x:v>44.4</x:v>
      </x:c>
      <x:c r="K91" s="22" t="str">
        <x:v>上证指数</x:v>
      </x:c>
    </x:row>
    <x:row r="92">
      <x:c r="A92" s="22" t="n">
        <x:v>17</x:v>
      </x:c>
      <x:c r="B92" s="22" t="str">
        <x:v>周五</x:v>
      </x:c>
      <x:c r="C92" s="22" t="str">
        <x:v>4月24日</x:v>
      </x:c>
      <x:c r="D92" s="23" t="n">
        <x:v>4081.03</x:v>
      </x:c>
      <x:c r="E92" s="23" t="n">
        <x:v>4092.61</x:v>
      </x:c>
      <x:c r="F92" s="23" t="n">
        <x:v>4061.15</x:v>
      </x:c>
      <x:c r="G92" s="23" t="n">
        <x:v>4079.9</x:v>
      </x:c>
      <x:c r="H92" s="23" t="n">
        <x:v>-13.3</x:v>
      </x:c>
      <x:c r="I92" s="24" t="n">
        <x:v>-0.003261467049410549</x:v>
      </x:c>
      <x:c r="J92" s="23" t="n">
        <x:f>ROUND(E92-F92,1)</x:f>
        <x:v>31.5</x:v>
      </x:c>
      <x:c r="K92" s="22" t="str">
        <x:v>上证指数</x:v>
      </x:c>
    </x:row>
    <x:row r="93">
      <x:c r="A93" s="22" t="n">
        <x:v>18</x:v>
      </x:c>
      <x:c r="B93" s="22" t="str">
        <x:v>周一</x:v>
      </x:c>
      <x:c r="C93" s="22" t="str">
        <x:v>4月27日</x:v>
      </x:c>
      <x:c r="D93" s="23" t="n">
        <x:v>4074.81</x:v>
      </x:c>
      <x:c r="E93" s="23" t="n">
        <x:v>4092.83</x:v>
      </x:c>
      <x:c r="F93" s="23" t="n">
        <x:v>4071.08</x:v>
      </x:c>
      <x:c r="G93" s="23" t="n">
        <x:v>4086.34</x:v>
      </x:c>
      <x:c r="H93" s="23" t="n">
        <x:v>6.4</x:v>
      </x:c>
      <x:c r="I93" s="24" t="n">
        <x:v>0.001578470060540793</x:v>
      </x:c>
      <x:c r="J93" s="23" t="n">
        <x:f>ROUND(E93-F93,1)</x:f>
        <x:v>21.8</x:v>
      </x:c>
      <x:c r="K93" s="22" t="str">
        <x:v>上证指数</x:v>
      </x:c>
    </x:row>
    <x:row r="94">
      <x:c r="A94" s="22" t="n">
        <x:v>19</x:v>
      </x:c>
      <x:c r="B94" s="22" t="str">
        <x:v>周二</x:v>
      </x:c>
      <x:c r="C94" s="22" t="str">
        <x:v>4月28日</x:v>
      </x:c>
      <x:c r="D94" s="23" t="n">
        <x:v>4076.14</x:v>
      </x:c>
      <x:c r="E94" s="23" t="n">
        <x:v>4090.2</x:v>
      </x:c>
      <x:c r="F94" s="23" t="n">
        <x:v>4062.87</x:v>
      </x:c>
      <x:c r="G94" s="23" t="n">
        <x:v>4078.64</x:v>
      </x:c>
      <x:c r="H94" s="23" t="n">
        <x:v>-7.7</x:v>
      </x:c>
      <x:c r="I94" s="24" t="n">
        <x:v>-0.001884326805894787</x:v>
      </x:c>
      <x:c r="J94" s="23" t="n">
        <x:f>ROUND(E94-F94,1)</x:f>
        <x:v>27.3</x:v>
      </x:c>
      <x:c r="K94" s="22" t="str">
        <x:v>上证指数</x:v>
      </x:c>
    </x:row>
    <x:row r="95">
      <x:c r="A95" s="22" t="n">
        <x:v>20</x:v>
      </x:c>
      <x:c r="B95" s="22" t="str">
        <x:v>周三</x:v>
      </x:c>
      <x:c r="C95" s="22" t="str">
        <x:v>4月29日</x:v>
      </x:c>
      <x:c r="D95" s="23" t="n">
        <x:v>4061.82</x:v>
      </x:c>
      <x:c r="E95" s="23" t="n">
        <x:v>4112.15</x:v>
      </x:c>
      <x:c r="F95" s="23" t="n">
        <x:v>4061.82</x:v>
      </x:c>
      <x:c r="G95" s="23" t="n">
        <x:v>4107.51</x:v>
      </x:c>
      <x:c r="H95" s="23" t="n">
        <x:v>28.9</x:v>
      </x:c>
      <x:c r="I95" s="24" t="n">
        <x:v>0.0070783398387699314</x:v>
      </x:c>
      <x:c r="J95" s="26" t="n">
        <x:f>ROUND(E95-F95,1)</x:f>
        <x:v>50.3</x:v>
      </x:c>
      <x:c r="K95" s="22" t="str">
        <x:v>上证指数</x:v>
      </x:c>
    </x:row>
    <x:row r="96">
      <x:c r="A96" s="22" t="n">
        <x:v>21</x:v>
      </x:c>
      <x:c r="B96" s="22" t="str">
        <x:v>周四</x:v>
      </x:c>
      <x:c r="C96" s="22" t="str">
        <x:v>4月30日</x:v>
      </x:c>
      <x:c r="D96" s="23" t="n">
        <x:v>4107.3</x:v>
      </x:c>
      <x:c r="E96" s="23" t="n">
        <x:v>4118.76</x:v>
      </x:c>
      <x:c r="F96" s="23" t="n">
        <x:v>4100.97</x:v>
      </x:c>
      <x:c r="G96" s="23" t="n">
        <x:v>4112.16</x:v>
      </x:c>
      <x:c r="H96" s="23" t="n">
        <x:v>4.6</x:v>
      </x:c>
      <x:c r="I96" s="24" t="n">
        <x:v>0.001132072715586796</x:v>
      </x:c>
      <x:c r="J96" s="23" t="n">
        <x:f>ROUND(E96-F96,1)</x:f>
        <x:v>17.8</x:v>
      </x:c>
      <x:c r="K96" s="22" t="str">
        <x:v>上证指数</x:v>
      </x:c>
    </x:row>
    <x:row r="97">
      <x:c r="A97" s="31" t="str">
        <x:v>合计</x:v>
      </x:c>
      <x:c r="B97" s="30" t="n">
        <x:v>21</x:v>
      </x:c>
      <x:c r="C97" s="30"/>
      <x:c r="D97" s="30"/>
      <x:c r="E97" s="30"/>
      <x:c r="F97" s="30"/>
      <x:c r="G97" s="30"/>
      <x:c r="H97" s="30"/>
      <x:c r="I97" s="30"/>
      <x:c r="J97" s="32" t="n">
        <x:f>ROUND(SUM(J76:J96),1)</x:f>
        <x:v>706.9</x:v>
      </x:c>
      <x:c r="K97" s="30"/>
    </x:row>
    <x:row r="98">
      <x:c r="A98" s="31" t="str">
        <x:v>均值</x:v>
      </x:c>
      <x:c r="B98" s="30"/>
      <x:c r="C98" s="30"/>
      <x:c r="D98" s="30"/>
      <x:c r="E98" s="30"/>
      <x:c r="F98" s="30"/>
      <x:c r="G98" s="30"/>
      <x:c r="H98" s="30"/>
      <x:c r="I98" s="30"/>
      <x:c r="J98" s="34" t="n">
        <x:f>ROUND(IFERROR(AVERAGE(J76:J96),0),1)</x:f>
        <x:v>33.7</x:v>
      </x:c>
      <x:c r="K98" s="30"/>
    </x:row>
    <x:row r="100">
      <x:c r="A100" s="17" t="str">
        <x:v>5月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20" t="str">
        <x:v>序号</x:v>
      </x:c>
      <x:c r="B101" s="20" t="str">
        <x:v>星期</x:v>
      </x:c>
      <x:c r="C101" s="20" t="str">
        <x:v>日期</x:v>
      </x:c>
      <x:c r="D101" s="20" t="str">
        <x:v>开盘</x:v>
      </x:c>
      <x:c r="E101" s="20" t="str">
        <x:v>高点</x:v>
      </x:c>
      <x:c r="F101" s="20" t="str">
        <x:v>低点</x:v>
      </x:c>
      <x:c r="G101" s="20" t="str">
        <x:v>收盘</x:v>
      </x:c>
      <x:c r="H101" s="20" t="str">
        <x:v>涨跌点数</x:v>
      </x:c>
      <x:c r="I101" s="20" t="str">
        <x:v>涨幅</x:v>
      </x:c>
      <x:c r="J101" s="20" t="str">
        <x:v>振幅</x:v>
      </x:c>
      <x:c r="K101" s="20" t="str">
        <x:v>标的</x:v>
      </x:c>
    </x:row>
    <x:row r="102">
      <x:c r="A102" s="22" t="n">
        <x:v>1</x:v>
      </x:c>
      <x:c r="B102" s="22" t="str">
        <x:v>周三</x:v>
      </x:c>
      <x:c r="C102" s="22" t="str">
        <x:v>5月6日</x:v>
      </x:c>
      <x:c r="D102" s="23" t="n">
        <x:v>4135.45</x:v>
      </x:c>
      <x:c r="E102" s="23" t="n">
        <x:v>4166.15</x:v>
      </x:c>
      <x:c r="F102" s="23" t="n">
        <x:v>4129.91</x:v>
      </x:c>
      <x:c r="G102" s="23" t="n">
        <x:v>4160.17</x:v>
      </x:c>
      <x:c r="H102" s="23" t="n">
        <x:v>48</x:v>
      </x:c>
      <x:c r="I102" s="24" t="n">
        <x:v>0.011675129372398008</x:v>
      </x:c>
      <x:c r="J102" s="23" t="n">
        <x:f>ROUND(E102-F102,1)</x:f>
        <x:v>36.2</x:v>
      </x:c>
      <x:c r="K102" s="22" t="str">
        <x:v>上证指数</x:v>
      </x:c>
    </x:row>
    <x:row r="103">
      <x:c r="A103" s="22" t="n">
        <x:v>2</x:v>
      </x:c>
      <x:c r="B103" s="22" t="str">
        <x:v>周四</x:v>
      </x:c>
      <x:c r="C103" s="22" t="str">
        <x:v>5月7日</x:v>
      </x:c>
      <x:c r="D103" s="23" t="n">
        <x:v>4168.45</x:v>
      </x:c>
      <x:c r="E103" s="23" t="n">
        <x:v>4180.21</x:v>
      </x:c>
      <x:c r="F103" s="23" t="n">
        <x:v>4163.14</x:v>
      </x:c>
      <x:c r="G103" s="23" t="n">
        <x:v>4180.09</x:v>
      </x:c>
      <x:c r="H103" s="23" t="n">
        <x:v>19.9</x:v>
      </x:c>
      <x:c r="I103" s="24" t="n">
        <x:v>0.004788265864135388</x:v>
      </x:c>
      <x:c r="J103" s="23" t="n">
        <x:f>ROUND(E103-F103,1)</x:f>
        <x:v>17.1</x:v>
      </x:c>
      <x:c r="K103" s="22" t="str">
        <x:v>上证指数</x:v>
      </x:c>
    </x:row>
    <x:row r="104">
      <x:c r="A104" s="22" t="n">
        <x:v>3</x:v>
      </x:c>
      <x:c r="B104" s="22" t="str">
        <x:v>周五</x:v>
      </x:c>
      <x:c r="C104" s="22" t="str">
        <x:v>5月8日</x:v>
      </x:c>
      <x:c r="D104" s="23" t="n">
        <x:v>4163.85</x:v>
      </x:c>
      <x:c r="E104" s="23" t="n">
        <x:v>4183.06</x:v>
      </x:c>
      <x:c r="F104" s="23" t="n">
        <x:v>4154.25</x:v>
      </x:c>
      <x:c r="G104" s="23" t="n">
        <x:v>4179.95</x:v>
      </x:c>
      <x:c r="H104" s="23" t="n">
        <x:v>-0.1</x:v>
      </x:c>
      <x:c r="I104" s="24" t="n">
        <x:v>-0.00003349210184477869</x:v>
      </x:c>
      <x:c r="J104" s="23" t="n">
        <x:f>ROUND(E104-F104,1)</x:f>
        <x:v>28.8</x:v>
      </x:c>
      <x:c r="K104" s="22" t="str">
        <x:v>上证指数</x:v>
      </x:c>
    </x:row>
    <x:row r="105">
      <x:c r="A105" s="22" t="n">
        <x:v>4</x:v>
      </x:c>
      <x:c r="B105" s="22" t="str">
        <x:v>周一</x:v>
      </x:c>
      <x:c r="C105" s="22" t="str">
        <x:v>5月11日</x:v>
      </x:c>
      <x:c r="D105" s="23" t="n">
        <x:v>4201.35</x:v>
      </x:c>
      <x:c r="E105" s="23" t="n">
        <x:v>4229.58</x:v>
      </x:c>
      <x:c r="F105" s="23" t="n">
        <x:v>4186.08</x:v>
      </x:c>
      <x:c r="G105" s="23" t="n">
        <x:v>4225.02</x:v>
      </x:c>
      <x:c r="H105" s="23" t="n">
        <x:v>45.1</x:v>
      </x:c>
      <x:c r="I105" s="24" t="n">
        <x:v>0.010782425627100967</x:v>
      </x:c>
      <x:c r="J105" s="23" t="n">
        <x:f>ROUND(E105-F105,1)</x:f>
        <x:v>43.5</x:v>
      </x:c>
      <x:c r="K105" s="22" t="str">
        <x:v>上证指数</x:v>
      </x:c>
    </x:row>
    <x:row r="106">
      <x:c r="A106" s="22" t="n">
        <x:v>5</x:v>
      </x:c>
      <x:c r="B106" s="22" t="str">
        <x:v>周二</x:v>
      </x:c>
      <x:c r="C106" s="22" t="str">
        <x:v>5月12日</x:v>
      </x:c>
      <x:c r="D106" s="23" t="n">
        <x:v>4229.28</x:v>
      </x:c>
      <x:c r="E106" s="23" t="n">
        <x:v>4230.18</x:v>
      </x:c>
      <x:c r="F106" s="23" t="n">
        <x:v>4199.34</x:v>
      </x:c>
      <x:c r="G106" s="23" t="n">
        <x:v>4214.49</x:v>
      </x:c>
      <x:c r="H106" s="23" t="n">
        <x:v>-10.5</x:v>
      </x:c>
      <x:c r="I106" s="24" t="n">
        <x:v>-0.0024922958944574303</x:v>
      </x:c>
      <x:c r="J106" s="23" t="n">
        <x:f>ROUND(E106-F106,1)</x:f>
        <x:v>30.8</x:v>
      </x:c>
      <x:c r="K106" s="22" t="str">
        <x:v>上证指数</x:v>
      </x:c>
    </x:row>
    <x:row r="107">
      <x:c r="A107" s="22" t="n">
        <x:v>6</x:v>
      </x:c>
      <x:c r="B107" s="22" t="str">
        <x:v>周三</x:v>
      </x:c>
      <x:c r="C107" s="22" t="str">
        <x:v>5月13日</x:v>
      </x:c>
      <x:c r="D107" s="23" t="n">
        <x:v>4192.31</x:v>
      </x:c>
      <x:c r="E107" s="23" t="n">
        <x:v>4245.07</x:v>
      </x:c>
      <x:c r="F107" s="23" t="n">
        <x:v>4192.31</x:v>
      </x:c>
      <x:c r="G107" s="23" t="n">
        <x:v>4242.57</x:v>
      </x:c>
      <x:c r="H107" s="23" t="n">
        <x:v>28.1</x:v>
      </x:c>
      <x:c r="I107" s="24" t="n">
        <x:v>0.006662727874547025</x:v>
      </x:c>
      <x:c r="J107" s="26" t="n">
        <x:f>ROUND(E107-F107,1)</x:f>
        <x:v>52.8</x:v>
      </x:c>
      <x:c r="K107" s="22" t="str">
        <x:v>上证指数</x:v>
      </x:c>
    </x:row>
    <x:row r="108">
      <x:c r="A108" s="22" t="n">
        <x:v>7</x:v>
      </x:c>
      <x:c r="B108" s="22" t="str">
        <x:v>周四</x:v>
      </x:c>
      <x:c r="C108" s="22" t="str">
        <x:v>5月14日</x:v>
      </x:c>
      <x:c r="D108" s="23" t="n">
        <x:v>4256.16</x:v>
      </x:c>
      <x:c r="E108" s="23" t="n">
        <x:v>4258.86</x:v>
      </x:c>
      <x:c r="F108" s="23" t="n">
        <x:v>4177.92</x:v>
      </x:c>
      <x:c r="G108" s="23" t="n">
        <x:v>4177.92</x:v>
      </x:c>
      <x:c r="H108" s="23" t="n">
        <x:v>-64.6</x:v>
      </x:c>
      <x:c r="I108" s="24" t="n">
        <x:v>-0.01523840502337015</x:v>
      </x:c>
      <x:c r="J108" s="26" t="n">
        <x:f>ROUND(E108-F108,1)</x:f>
        <x:v>80.9</x:v>
      </x:c>
      <x:c r="K108" s="22" t="str">
        <x:v>上证指数</x:v>
      </x:c>
    </x:row>
    <x:row r="109">
      <x:c r="A109" s="41" t="n">
        <x:v>8</x:v>
      </x:c>
      <x:c r="B109" s="41" t="str">
        <x:v>周五</x:v>
      </x:c>
      <x:c r="C109" s="41" t="str">
        <x:v>5月15日</x:v>
      </x:c>
      <x:c r="D109" s="42" t="n">
        <x:v>4174.18</x:v>
      </x:c>
      <x:c r="E109" s="42" t="n">
        <x:v>4191.81</x:v>
      </x:c>
      <x:c r="F109" s="42" t="n">
        <x:v>4114.09</x:v>
      </x:c>
      <x:c r="G109" s="42" t="n">
        <x:v>4135.39</x:v>
      </x:c>
      <x:c r="H109" s="42" t="n">
        <x:v>-42.5</x:v>
      </x:c>
      <x:c r="I109" s="43" t="n">
        <x:v>-0.01017970664828427</x:v>
      </x:c>
      <x:c r="J109" s="26" t="n">
        <x:f>ROUND(E109-F109,1)</x:f>
        <x:v>77.7</x:v>
      </x:c>
      <x:c r="K109" s="41" t="str">
        <x:v>上证指数</x:v>
      </x:c>
    </x:row>
    <x:row r="110">
      <x:c r="A110" s="22" t="n">
        <x:v>9</x:v>
      </x:c>
      <x:c r="B110" s="22" t="str">
        <x:v>周一</x:v>
      </x:c>
      <x:c r="C110" s="22" t="str">
        <x:v>5月18日</x:v>
      </x:c>
      <x:c r="D110" s="23" t="n">
        <x:v>4120.14</x:v>
      </x:c>
      <x:c r="E110" s="23" t="n">
        <x:v>4145.66</x:v>
      </x:c>
      <x:c r="F110" s="23" t="n">
        <x:v>4108.6</x:v>
      </x:c>
      <x:c r="G110" s="23" t="n">
        <x:v>4131.53</x:v>
      </x:c>
      <x:c r="H110" s="23" t="n">
        <x:v>-3.9</x:v>
      </x:c>
      <x:c r="I110" s="24" t="n">
        <x:v>-0.0009334065227223354</x:v>
      </x:c>
      <x:c r="J110" s="23" t="n">
        <x:f>ROUND(E110-F110,1)</x:f>
        <x:v>37.1</x:v>
      </x:c>
      <x:c r="K110" s="22" t="str">
        <x:v>上证指数</x:v>
      </x:c>
    </x:row>
    <x:row r="111">
      <x:c r="A111" s="22" t="n">
        <x:v>10</x:v>
      </x:c>
      <x:c r="B111" s="22" t="str">
        <x:v>周二</x:v>
      </x:c>
      <x:c r="C111" s="22" t="str">
        <x:v>5月19日</x:v>
      </x:c>
      <x:c r="D111" s="23" t="n">
        <x:v>4122.96</x:v>
      </x:c>
      <x:c r="E111" s="23" t="n">
        <x:v>4170.29</x:v>
      </x:c>
      <x:c r="F111" s="23" t="n">
        <x:v>4107.99</x:v>
      </x:c>
      <x:c r="G111" s="23" t="n">
        <x:v>4169.54</x:v>
      </x:c>
      <x:c r="H111" s="23" t="n">
        <x:v>38</x:v>
      </x:c>
      <x:c r="I111" s="24" t="n">
        <x:v>0.00919998160487756</x:v>
      </x:c>
      <x:c r="J111" s="26" t="n">
        <x:f>ROUND(E111-F111,1)</x:f>
        <x:v>62.3</x:v>
      </x:c>
      <x:c r="K111" s="22" t="str">
        <x:v>上证指数</x:v>
      </x:c>
    </x:row>
    <x:row r="112">
      <x:c r="A112" s="22" t="n">
        <x:v>11</x:v>
      </x:c>
      <x:c r="B112" s="22" t="str">
        <x:v>周三</x:v>
      </x:c>
      <x:c r="C112" s="22" t="str">
        <x:v>5月20日</x:v>
      </x:c>
      <x:c r="D112" s="23" t="n">
        <x:v>4152.7</x:v>
      </x:c>
      <x:c r="E112" s="23" t="n">
        <x:v>4169.85</x:v>
      </x:c>
      <x:c r="F112" s="23" t="n">
        <x:v>4139.97</x:v>
      </x:c>
      <x:c r="G112" s="23" t="n">
        <x:v>4162.18</x:v>
      </x:c>
      <x:c r="H112" s="23" t="n">
        <x:v>-7.4</x:v>
      </x:c>
      <x:c r="I112" s="24" t="n">
        <x:v>-0.0017651827299892675</x:v>
      </x:c>
      <x:c r="J112" s="23" t="n">
        <x:f>ROUND(E112-F112,1)</x:f>
        <x:v>29.9</x:v>
      </x:c>
      <x:c r="K112" s="22" t="str">
        <x:v>上证指数</x:v>
      </x:c>
    </x:row>
    <x:row r="113">
      <x:c r="A113" s="22" t="n">
        <x:v>12</x:v>
      </x:c>
      <x:c r="B113" s="22" t="str">
        <x:v>周四</x:v>
      </x:c>
      <x:c r="C113" s="22" t="str">
        <x:v>5月21日</x:v>
      </x:c>
      <x:c r="D113" s="23" t="n">
        <x:v>4174.38</x:v>
      </x:c>
      <x:c r="E113" s="23" t="n">
        <x:v>4199.53</x:v>
      </x:c>
      <x:c r="F113" s="23" t="n">
        <x:v>4074.22</x:v>
      </x:c>
      <x:c r="G113" s="23" t="n">
        <x:v>4077.28</x:v>
      </x:c>
      <x:c r="H113" s="23" t="n">
        <x:v>-84.9</x:v>
      </x:c>
      <x:c r="I113" s="24" t="n">
        <x:v>-0.02039796452820397</x:v>
      </x:c>
      <x:c r="J113" s="26" t="n">
        <x:f>ROUND(E113-F113,1)</x:f>
        <x:v>125.3</x:v>
      </x:c>
      <x:c r="K113" s="22" t="str">
        <x:v>上证指数</x:v>
      </x:c>
    </x:row>
    <x:row r="114">
      <x:c r="A114" s="22" t="n">
        <x:v>13</x:v>
      </x:c>
      <x:c r="B114" s="22" t="str">
        <x:v>周五</x:v>
      </x:c>
      <x:c r="C114" s="22" t="str">
        <x:v>5月22日</x:v>
      </x:c>
      <x:c r="D114" s="23" t="n">
        <x:v>4096.17</x:v>
      </x:c>
      <x:c r="E114" s="23" t="n">
        <x:v>4120.09</x:v>
      </x:c>
      <x:c r="F114" s="23" t="n">
        <x:v>4067.75</x:v>
      </x:c>
      <x:c r="G114" s="23" t="n">
        <x:v>4112.9</x:v>
      </x:c>
      <x:c r="H114" s="23" t="n">
        <x:v>35.6</x:v>
      </x:c>
      <x:c r="I114" s="24" t="n">
        <x:v>0.00873621630106336</x:v>
      </x:c>
      <x:c r="J114" s="26" t="n">
        <x:f>ROUND(E114-F114,1)</x:f>
        <x:v>52.3</x:v>
      </x:c>
      <x:c r="K114" s="22" t="str">
        <x:v>上证指数</x:v>
      </x:c>
    </x:row>
    <x:row r="115">
      <x:c r="A115" s="22" t="n">
        <x:v>14</x:v>
      </x:c>
      <x:c r="B115" s="22" t="str">
        <x:v>周一</x:v>
      </x:c>
      <x:c r="C115" s="22" t="str">
        <x:v>5月25日</x:v>
      </x:c>
      <x:c r="D115" s="23" t="n">
        <x:v>4126.34</x:v>
      </x:c>
      <x:c r="E115" s="23" t="n">
        <x:v>4153.88</x:v>
      </x:c>
      <x:c r="F115" s="23" t="n">
        <x:v>4119.8</x:v>
      </x:c>
      <x:c r="G115" s="23" t="n">
        <x:v>4152.57</x:v>
      </x:c>
      <x:c r="H115" s="23" t="n">
        <x:v>39.7</x:v>
      </x:c>
      <x:c r="I115" s="24" t="n">
        <x:v>0.009645262466872584</x:v>
      </x:c>
      <x:c r="J115" s="23" t="n">
        <x:f>ROUND(E115-F115,1)</x:f>
        <x:v>34.1</x:v>
      </x:c>
      <x:c r="K115" s="22" t="str">
        <x:v>上证指数</x:v>
      </x:c>
    </x:row>
    <x:row r="116">
      <x:c r="A116" s="22" t="n">
        <x:v>15</x:v>
      </x:c>
      <x:c r="B116" s="22" t="str">
        <x:v>周二</x:v>
      </x:c>
      <x:c r="C116" s="22" t="str">
        <x:v>5月26日</x:v>
      </x:c>
      <x:c r="D116" s="23" t="n">
        <x:v>4137.32</x:v>
      </x:c>
      <x:c r="E116" s="23" t="n">
        <x:v>4150.29</x:v>
      </x:c>
      <x:c r="F116" s="23" t="n">
        <x:v>4104.46</x:v>
      </x:c>
      <x:c r="G116" s="23" t="n">
        <x:v>4145.37</x:v>
      </x:c>
      <x:c r="H116" s="23" t="n">
        <x:v>-7.2</x:v>
      </x:c>
      <x:c r="I116" s="24" t="n">
        <x:v>-0.0017338660155036267</x:v>
      </x:c>
      <x:c r="J116" s="23" t="n">
        <x:f>ROUND(E116-F116,1)</x:f>
        <x:v>45.8</x:v>
      </x:c>
      <x:c r="K116" s="22" t="str">
        <x:v>上证指数</x:v>
      </x:c>
    </x:row>
    <x:row r="117">
      <x:c r="A117" s="22" t="n">
        <x:v>16</x:v>
      </x:c>
      <x:c r="B117" s="22" t="str">
        <x:v>周三</x:v>
      </x:c>
      <x:c r="C117" s="22" t="str">
        <x:v>5月27日</x:v>
      </x:c>
      <x:c r="D117" s="23" t="n">
        <x:v>4138.81</x:v>
      </x:c>
      <x:c r="E117" s="23" t="n">
        <x:v>4153.56</x:v>
      </x:c>
      <x:c r="F117" s="23" t="n">
        <x:v>4077.62</x:v>
      </x:c>
      <x:c r="G117" s="23" t="n">
        <x:v>4093.73</x:v>
      </x:c>
      <x:c r="H117" s="23" t="n">
        <x:v>-51.6</x:v>
      </x:c>
      <x:c r="I117" s="24" t="n">
        <x:v>-0.01245727160663579</x:v>
      </x:c>
      <x:c r="J117" s="26" t="n">
        <x:f>ROUND(E117-F117,1)</x:f>
        <x:v>75.9</x:v>
      </x:c>
      <x:c r="K117" s="22" t="str">
        <x:v>上证指数</x:v>
      </x:c>
    </x:row>
    <x:row r="118">
      <x:c r="A118" s="22" t="n">
        <x:v>17</x:v>
      </x:c>
      <x:c r="B118" s="22" t="str">
        <x:v>周四</x:v>
      </x:c>
      <x:c r="C118" s="22" t="str">
        <x:v>5月28日</x:v>
      </x:c>
      <x:c r="D118" s="23" t="n">
        <x:v>4080.3</x:v>
      </x:c>
      <x:c r="E118" s="23" t="n">
        <x:v>4110.78</x:v>
      </x:c>
      <x:c r="F118" s="23" t="n">
        <x:v>4055.83</x:v>
      </x:c>
      <x:c r="G118" s="23" t="n">
        <x:v>4098.64</x:v>
      </x:c>
      <x:c r="H118" s="23" t="n">
        <x:v>4.9</x:v>
      </x:c>
      <x:c r="I118" s="24" t="n">
        <x:v>0.00119939517261769</x:v>
      </x:c>
      <x:c r="J118" s="26" t="n">
        <x:f>ROUND(E118-F118,1)</x:f>
        <x:v>54.9</x:v>
      </x:c>
      <x:c r="K118" s="22" t="str">
        <x:v>上证指数</x:v>
      </x:c>
    </x:row>
    <x:row r="119">
      <x:c r="A119" s="22" t="n">
        <x:v>18</x:v>
      </x:c>
      <x:c r="B119" s="22" t="str">
        <x:v>周五</x:v>
      </x:c>
      <x:c r="C119" s="22" t="str">
        <x:v>5月29日</x:v>
      </x:c>
      <x:c r="D119" s="23" t="n">
        <x:v>4110.52</x:v>
      </x:c>
      <x:c r="E119" s="23" t="n">
        <x:v>4112.96</x:v>
      </x:c>
      <x:c r="F119" s="23" t="n">
        <x:v>4055.89</x:v>
      </x:c>
      <x:c r="G119" s="23" t="n">
        <x:v>4068.57</x:v>
      </x:c>
      <x:c r="H119" s="23" t="n">
        <x:v>-30.1</x:v>
      </x:c>
      <x:c r="I119" s="24" t="n">
        <x:v>-0.007336579938711396</x:v>
      </x:c>
      <x:c r="J119" s="26" t="n">
        <x:f>ROUND(E119-F119,1)</x:f>
        <x:v>57.1</x:v>
      </x:c>
      <x:c r="K119" s="22" t="str">
        <x:v>上证指数</x:v>
      </x:c>
    </x:row>
    <x:row r="120">
      <x:c r="A120" s="31" t="str">
        <x:v>合计</x:v>
      </x:c>
      <x:c r="B120" s="30" t="n">
        <x:v>18</x:v>
      </x:c>
      <x:c r="C120" s="30"/>
      <x:c r="D120" s="30"/>
      <x:c r="E120" s="30"/>
      <x:c r="F120" s="30"/>
      <x:c r="G120" s="30"/>
      <x:c r="H120" s="30"/>
      <x:c r="I120" s="30"/>
      <x:c r="J120" s="32" t="n">
        <x:f>ROUND(SUM(J102:J119),1)</x:f>
        <x:v>942.5</x:v>
      </x:c>
      <x:c r="K120" s="30"/>
    </x:row>
    <x:row r="121">
      <x:c r="A121" s="31" t="str">
        <x:v>均值</x:v>
      </x:c>
      <x:c r="B121" s="30"/>
      <x:c r="C121" s="30"/>
      <x:c r="D121" s="30"/>
      <x:c r="E121" s="30"/>
      <x:c r="F121" s="30"/>
      <x:c r="G121" s="30"/>
      <x:c r="H121" s="30"/>
      <x:c r="I121" s="30"/>
      <x:c r="J121" s="34" t="n">
        <x:f>ROUND(IFERROR(AVERAGE(J102:J119),0),1)</x:f>
        <x:v>52.4</x:v>
      </x:c>
      <x:c r="K121" s="30"/>
    </x:row>
    <x:row r="123">
      <x:c r="A123" s="17" t="str">
        <x:v>6月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20" t="str">
        <x:v>序号</x:v>
      </x:c>
      <x:c r="B124" s="20" t="str">
        <x:v>星期</x:v>
      </x:c>
      <x:c r="C124" s="20" t="str">
        <x:v>日期</x:v>
      </x:c>
      <x:c r="D124" s="20" t="str">
        <x:v>开盘</x:v>
      </x:c>
      <x:c r="E124" s="20" t="str">
        <x:v>高点</x:v>
      </x:c>
      <x:c r="F124" s="20" t="str">
        <x:v>低点</x:v>
      </x:c>
      <x:c r="G124" s="20" t="str">
        <x:v>收盘</x:v>
      </x:c>
      <x:c r="H124" s="20" t="str">
        <x:v>涨跌点数</x:v>
      </x:c>
      <x:c r="I124" s="20" t="str">
        <x:v>涨幅</x:v>
      </x:c>
      <x:c r="J124" s="20" t="str">
        <x:v>振幅</x:v>
      </x:c>
      <x:c r="K124" s="20" t="str">
        <x:v>标的</x:v>
      </x:c>
    </x:row>
    <x:row r="125">
      <x:c r="A125" s="22" t="n">
        <x:v>1</x:v>
      </x:c>
      <x:c r="B125" s="22" t="str">
        <x:v>周一</x:v>
      </x:c>
      <x:c r="C125" s="22" t="str">
        <x:v>6月1日</x:v>
      </x:c>
      <x:c r="D125" s="23" t="n">
        <x:v>4067.16</x:v>
      </x:c>
      <x:c r="E125" s="23" t="n">
        <x:v>4093.04</x:v>
      </x:c>
      <x:c r="F125" s="23" t="n">
        <x:v>4045.69</x:v>
      </x:c>
      <x:c r="G125" s="23" t="n">
        <x:v>4057.74</x:v>
      </x:c>
      <x:c r="H125" s="23" t="n">
        <x:v>-10.8</x:v>
      </x:c>
      <x:c r="I125" s="24" t="n">
        <x:v>-0.0026618689121731265</x:v>
      </x:c>
      <x:c r="J125" s="23" t="n">
        <x:f>ROUND(E125-F125,1)</x:f>
        <x:v>47.3</x:v>
      </x:c>
      <x:c r="K125" s="22" t="str">
        <x:v>上证指数</x:v>
      </x:c>
    </x:row>
    <x:row r="126">
      <x:c r="A126" s="22" t="n">
        <x:v>2</x:v>
      </x:c>
      <x:c r="B126" s="22" t="str">
        <x:v>周二</x:v>
      </x:c>
      <x:c r="C126" s="22" t="str">
        <x:v>6月2日</x:v>
      </x:c>
      <x:c r="D126" s="23" t="n">
        <x:v>4061.46</x:v>
      </x:c>
      <x:c r="E126" s="23" t="n">
        <x:v>4089.57</x:v>
      </x:c>
      <x:c r="F126" s="23" t="n">
        <x:v>4032.58</x:v>
      </x:c>
      <x:c r="G126" s="23" t="n">
        <x:v>4075.1</x:v>
      </x:c>
      <x:c r="H126" s="23" t="n">
        <x:v>17.4</x:v>
      </x:c>
      <x:c r="I126" s="24" t="n">
        <x:v>0.004278243554293848</x:v>
      </x:c>
      <x:c r="J126" s="26" t="n">
        <x:f>ROUND(E126-F126,1)</x:f>
        <x:v>57</x:v>
      </x:c>
      <x:c r="K126" s="22" t="str">
        <x:v>上证指数</x:v>
      </x:c>
    </x:row>
    <x:row r="127">
      <x:c r="A127" s="22" t="n">
        <x:v>3</x:v>
      </x:c>
      <x:c r="B127" s="22" t="str">
        <x:v>周三</x:v>
      </x:c>
      <x:c r="C127" s="22" t="str">
        <x:v>6月3日</x:v>
      </x:c>
      <x:c r="D127" s="23" t="n">
        <x:v>4068.34</x:v>
      </x:c>
      <x:c r="E127" s="23" t="n">
        <x:v>4107.05</x:v>
      </x:c>
      <x:c r="F127" s="23" t="n">
        <x:v>4059.91</x:v>
      </x:c>
      <x:c r="G127" s="23" t="n">
        <x:v>4083.97</x:v>
      </x:c>
      <x:c r="H127" s="23" t="n">
        <x:v>8.9</x:v>
      </x:c>
      <x:c r="I127" s="24" t="n">
        <x:v>0.002176633702240416</x:v>
      </x:c>
      <x:c r="J127" s="23" t="n">
        <x:f>ROUND(E127-F127,1)</x:f>
        <x:v>47.1</x:v>
      </x:c>
      <x:c r="K127" s="22" t="str">
        <x:v>上证指数</x:v>
      </x:c>
    </x:row>
    <x:row r="128">
      <x:c r="A128" s="22" t="n">
        <x:v>4</x:v>
      </x:c>
      <x:c r="B128" s="22" t="str">
        <x:v>周四</x:v>
      </x:c>
      <x:c r="C128" s="22" t="str">
        <x:v>6月4日</x:v>
      </x:c>
      <x:c r="D128" s="23" t="n">
        <x:v>4053.67</x:v>
      </x:c>
      <x:c r="E128" s="23" t="n">
        <x:v>4080.72</x:v>
      </x:c>
      <x:c r="F128" s="23" t="n">
        <x:v>4043.43</x:v>
      </x:c>
      <x:c r="G128" s="23" t="n">
        <x:v>4057.78</x:v>
      </x:c>
      <x:c r="H128" s="23" t="n">
        <x:v>-26.2</x:v>
      </x:c>
      <x:c r="I128" s="24" t="n">
        <x:v>-0.0064128776656047215</x:v>
      </x:c>
      <x:c r="J128" s="23" t="n">
        <x:f>ROUND(E128-F128,1)</x:f>
        <x:v>37.3</x:v>
      </x:c>
      <x:c r="K128" s="22" t="str">
        <x:v>上证指数</x:v>
      </x:c>
    </x:row>
    <x:row r="129">
      <x:c r="A129" s="22" t="n">
        <x:v>5</x:v>
      </x:c>
      <x:c r="B129" s="22" t="str">
        <x:v>周五</x:v>
      </x:c>
      <x:c r="C129" s="22" t="str">
        <x:v>6月5日</x:v>
      </x:c>
      <x:c r="D129" s="23" t="n">
        <x:v>4044.83</x:v>
      </x:c>
      <x:c r="E129" s="23" t="n">
        <x:v>4078.93</x:v>
      </x:c>
      <x:c r="F129" s="23" t="n">
        <x:v>4015.06</x:v>
      </x:c>
      <x:c r="G129" s="23" t="n">
        <x:v>4027.74</x:v>
      </x:c>
      <x:c r="H129" s="23" t="n">
        <x:v>-30</x:v>
      </x:c>
      <x:c r="I129" s="24" t="n">
        <x:v>-0.00740306275845426</x:v>
      </x:c>
      <x:c r="J129" s="26" t="n">
        <x:f>ROUND(E129-F129,1)</x:f>
        <x:v>63.9</x:v>
      </x:c>
      <x:c r="K129" s="22" t="str">
        <x:v>上证指数</x:v>
      </x:c>
    </x:row>
    <x:row r="130">
      <x:c r="A130" s="22" t="n">
        <x:v>6</x:v>
      </x:c>
      <x:c r="B130" s="22" t="str">
        <x:v>周一</x:v>
      </x:c>
      <x:c r="C130" s="22" t="str">
        <x:v>6月8日</x:v>
      </x:c>
      <x:c r="D130" s="23" t="n">
        <x:v>3938.71</x:v>
      </x:c>
      <x:c r="E130" s="23" t="n">
        <x:v>4007.49</x:v>
      </x:c>
      <x:c r="F130" s="23" t="n">
        <x:v>3927.85</x:v>
      </x:c>
      <x:c r="G130" s="23" t="n">
        <x:v>3959.34</x:v>
      </x:c>
      <x:c r="H130" s="23" t="n">
        <x:v>-68.4</x:v>
      </x:c>
      <x:c r="I130" s="24" t="n">
        <x:v>-0.016982228247106268</x:v>
      </x:c>
      <x:c r="J130" s="26" t="n">
        <x:f>ROUND(E130-F130,1)</x:f>
        <x:v>79.6</x:v>
      </x:c>
      <x:c r="K130" s="22" t="str">
        <x:v>上证指数</x:v>
      </x:c>
    </x:row>
    <x:row r="131">
      <x:c r="A131" s="22" t="n">
        <x:v>7</x:v>
      </x:c>
      <x:c r="B131" s="22" t="str">
        <x:v>周二</x:v>
      </x:c>
      <x:c r="C131" s="22" t="str">
        <x:v>6月9日</x:v>
      </x:c>
      <x:c r="D131" s="23" t="n">
        <x:v>3977.54</x:v>
      </x:c>
      <x:c r="E131" s="23" t="n">
        <x:v>4010.87</x:v>
      </x:c>
      <x:c r="F131" s="23" t="n">
        <x:v>3955.91</x:v>
      </x:c>
      <x:c r="G131" s="23" t="n">
        <x:v>4010.03</x:v>
      </x:c>
      <x:c r="H131" s="23" t="n">
        <x:v>50.7</x:v>
      </x:c>
      <x:c r="I131" s="24" t="n">
        <x:v>0.01280263882364241</x:v>
      </x:c>
      <x:c r="J131" s="26" t="n">
        <x:f>ROUND(E131-F131,1)</x:f>
        <x:v>55</x:v>
      </x:c>
      <x:c r="K131" s="22" t="str">
        <x:v>上证指数</x:v>
      </x:c>
    </x:row>
    <x:row r="132">
      <x:c r="A132" s="22" t="n">
        <x:v>8</x:v>
      </x:c>
      <x:c r="B132" s="22" t="str">
        <x:v>周三</x:v>
      </x:c>
      <x:c r="C132" s="22" t="str">
        <x:v>6月10日</x:v>
      </x:c>
      <x:c r="D132" s="23" t="n">
        <x:v>3985.12</x:v>
      </x:c>
      <x:c r="E132" s="23" t="n">
        <x:v>4006.31</x:v>
      </x:c>
      <x:c r="F132" s="23" t="n">
        <x:v>3963.44</x:v>
      </x:c>
      <x:c r="G132" s="23" t="n">
        <x:v>3993.23</x:v>
      </x:c>
      <x:c r="H132" s="23" t="n">
        <x:v>-16.8</x:v>
      </x:c>
      <x:c r="I132" s="24" t="n">
        <x:v>-0.004189494841684516</x:v>
      </x:c>
      <x:c r="J132" s="23" t="n">
        <x:f>ROUND(E132-F132,1)</x:f>
        <x:v>42.9</x:v>
      </x:c>
      <x:c r="K132" s="22" t="str">
        <x:v>上证指数</x:v>
      </x:c>
    </x:row>
    <x:row r="133">
      <x:c r="A133" s="22" t="n">
        <x:v>9</x:v>
      </x:c>
      <x:c r="B133" s="22" t="str">
        <x:v>周四</x:v>
      </x:c>
      <x:c r="C133" s="22" t="str">
        <x:v>6月11日</x:v>
      </x:c>
      <x:c r="D133" s="23" t="n">
        <x:v>3979.71</x:v>
      </x:c>
      <x:c r="E133" s="23" t="n">
        <x:v>3997.48</x:v>
      </x:c>
      <x:c r="F133" s="23" t="n">
        <x:v>3958.44</x:v>
      </x:c>
      <x:c r="G133" s="23" t="n">
        <x:v>3987.01</x:v>
      </x:c>
      <x:c r="H133" s="23" t="n">
        <x:v>-6.2</x:v>
      </x:c>
      <x:c r="I133" s="24" t="n">
        <x:v>-0.0015576362994367265</x:v>
      </x:c>
      <x:c r="J133" s="23" t="n">
        <x:f>ROUND(E133-F133,1)</x:f>
        <x:v>39</x:v>
      </x:c>
      <x:c r="K133" s="22" t="str">
        <x:v>上证指数</x:v>
      </x:c>
    </x:row>
    <x:row r="134">
      <x:c r="A134" s="22" t="n">
        <x:v>10</x:v>
      </x:c>
      <x:c r="B134" s="22" t="str">
        <x:v>周五</x:v>
      </x:c>
      <x:c r="C134" s="22" t="str">
        <x:v>6月12日</x:v>
      </x:c>
      <x:c r="D134" s="23" t="n">
        <x:v>4017.86</x:v>
      </x:c>
      <x:c r="E134" s="23" t="n">
        <x:v>4060.27</x:v>
      </x:c>
      <x:c r="F134" s="23" t="n">
        <x:v>4008.18</x:v>
      </x:c>
      <x:c r="G134" s="23" t="n">
        <x:v>4031.51</x:v>
      </x:c>
      <x:c r="H134" s="23" t="n">
        <x:v>44.5</x:v>
      </x:c>
      <x:c r="I134" s="24" t="n">
        <x:v>0.01116124614686198</x:v>
      </x:c>
      <x:c r="J134" s="26" t="n">
        <x:f>ROUND(E134-F134,1)</x:f>
        <x:v>52.1</x:v>
      </x:c>
      <x:c r="K134" s="22" t="str">
        <x:v>上证指数</x:v>
      </x:c>
    </x:row>
    <x:row r="135">
      <x:c r="A135" s="22" t="n">
        <x:v>11</x:v>
      </x:c>
      <x:c r="B135" s="22" t="str">
        <x:v>周一</x:v>
      </x:c>
      <x:c r="C135" s="22" t="str">
        <x:v>6月15日</x:v>
      </x:c>
      <x:c r="D135" s="23" t="n">
        <x:v>4053.58</x:v>
      </x:c>
      <x:c r="E135" s="23" t="n">
        <x:v>4097.17</x:v>
      </x:c>
      <x:c r="F135" s="23" t="n">
        <x:v>4051.07</x:v>
      </x:c>
      <x:c r="G135" s="23" t="n">
        <x:v>4096.47</x:v>
      </x:c>
      <x:c r="H135" s="23" t="n">
        <x:v>65</x:v>
      </x:c>
      <x:c r="I135" s="24" t="n">
        <x:v>0.016113069296615823</x:v>
      </x:c>
      <x:c r="J135" s="23" t="n">
        <x:f>ROUND(E135-F135,1)</x:f>
        <x:v>46.1</x:v>
      </x:c>
      <x:c r="K135" s="22" t="str">
        <x:v>上证指数</x:v>
      </x:c>
    </x:row>
    <x:row r="136">
      <x:c r="A136" s="22" t="n">
        <x:v>12</x:v>
      </x:c>
      <x:c r="B136" s="22" t="str">
        <x:v>周二</x:v>
      </x:c>
      <x:c r="C136" s="22" t="str">
        <x:v>6月16日</x:v>
      </x:c>
      <x:c r="D136" s="23" t="n">
        <x:v>4094.21</x:v>
      </x:c>
      <x:c r="E136" s="23" t="n">
        <x:v>4103.93</x:v>
      </x:c>
      <x:c r="F136" s="23" t="n">
        <x:v>4077.87</x:v>
      </x:c>
      <x:c r="G136" s="23" t="n">
        <x:v>4091.89</x:v>
      </x:c>
      <x:c r="H136" s="23" t="n">
        <x:v>-4.6</x:v>
      </x:c>
      <x:c r="I136" s="24" t="n">
        <x:v>-0.001118035772262549</x:v>
      </x:c>
      <x:c r="J136" s="23" t="n">
        <x:f>ROUND(E136-F136,1)</x:f>
        <x:v>26.1</x:v>
      </x:c>
      <x:c r="K136" s="22" t="str">
        <x:v>上证指数</x:v>
      </x:c>
    </x:row>
    <x:row r="137">
      <x:c r="A137" s="22" t="n">
        <x:v>13</x:v>
      </x:c>
      <x:c r="B137" s="22" t="str">
        <x:v>周三</x:v>
      </x:c>
      <x:c r="C137" s="22" t="str">
        <x:v>6月17日</x:v>
      </x:c>
      <x:c r="D137" s="23" t="n">
        <x:v>4074.29</x:v>
      </x:c>
      <x:c r="E137" s="23" t="n">
        <x:v>4109.96</x:v>
      </x:c>
      <x:c r="F137" s="23" t="n">
        <x:v>4073.73</x:v>
      </x:c>
      <x:c r="G137" s="23" t="n">
        <x:v>4108.08</x:v>
      </x:c>
      <x:c r="H137" s="23" t="n">
        <x:v>16.2</x:v>
      </x:c>
      <x:c r="I137" s="24" t="n">
        <x:v>0.003956606849157662</x:v>
      </x:c>
      <x:c r="J137" s="23" t="n">
        <x:f>ROUND(E137-F137,1)</x:f>
        <x:v>36.2</x:v>
      </x:c>
      <x:c r="K137" s="22" t="str">
        <x:v>上证指数</x:v>
      </x:c>
    </x:row>
    <x:row r="138">
      <x:c r="A138" s="22" t="n">
        <x:v>14</x:v>
      </x:c>
      <x:c r="B138" s="22" t="str">
        <x:v>周四</x:v>
      </x:c>
      <x:c r="C138" s="22" t="str">
        <x:v>6月18日</x:v>
      </x:c>
      <x:c r="D138" s="23" t="n">
        <x:v>4094.23</x:v>
      </x:c>
      <x:c r="E138" s="23" t="n">
        <x:v>4117.45</x:v>
      </x:c>
      <x:c r="F138" s="23" t="n">
        <x:v>4080.29</x:v>
      </x:c>
      <x:c r="G138" s="23" t="n">
        <x:v>4090.48</x:v>
      </x:c>
      <x:c r="H138" s="23" t="n">
        <x:v>-17.6</x:v>
      </x:c>
      <x:c r="I138" s="24" t="n">
        <x:v>-0.004284239839535742</x:v>
      </x:c>
      <x:c r="J138" s="23" t="n">
        <x:f>ROUND(E138-F138,1)</x:f>
        <x:v>37.2</x:v>
      </x:c>
      <x:c r="K138" s="22" t="str">
        <x:v>上证指数</x:v>
      </x:c>
    </x:row>
    <x:row r="139">
      <x:c r="A139" s="41" t="n">
        <x:v>15</x:v>
      </x:c>
      <x:c r="B139" s="41" t="str">
        <x:v>周一</x:v>
      </x:c>
      <x:c r="C139" s="41" t="str">
        <x:v>6月22日</x:v>
      </x:c>
      <x:c r="D139" s="42" t="n">
        <x:v>4093.95</x:v>
      </x:c>
      <x:c r="E139" s="42" t="n">
        <x:v>4164.42</x:v>
      </x:c>
      <x:c r="F139" s="42" t="n">
        <x:v>4070.17</x:v>
      </x:c>
      <x:c r="G139" s="42" t="n">
        <x:v>4163.1</x:v>
      </x:c>
      <x:c r="H139" s="42" t="n">
        <x:v>72.6</x:v>
      </x:c>
      <x:c r="I139" s="43" t="n">
        <x:v>0.01775341769181127</x:v>
      </x:c>
      <x:c r="J139" s="26" t="n">
        <x:f>ROUND(E139-F139,1)</x:f>
        <x:v>94.3</x:v>
      </x:c>
      <x:c r="K139" s="41" t="str">
        <x:v>上证指数</x:v>
      </x:c>
    </x:row>
    <x:row r="140">
      <x:c r="A140" s="22" t="n">
        <x:v>16</x:v>
      </x:c>
      <x:c r="B140" s="22" t="str">
        <x:v>周二</x:v>
      </x:c>
      <x:c r="C140" s="22" t="str">
        <x:v>6月23日</x:v>
      </x:c>
      <x:c r="D140" s="23" t="n">
        <x:v>4153.59</x:v>
      </x:c>
      <x:c r="E140" s="23" t="n">
        <x:v>4175.35</x:v>
      </x:c>
      <x:c r="F140" s="23" t="n">
        <x:v>4085.59</x:v>
      </x:c>
      <x:c r="G140" s="23" t="n">
        <x:v>4106.25</x:v>
      </x:c>
      <x:c r="H140" s="23" t="n">
        <x:v>-56.9</x:v>
      </x:c>
      <x:c r="I140" s="24" t="n">
        <x:v>-0.013655689270015259</x:v>
      </x:c>
      <x:c r="J140" s="26" t="n">
        <x:f>ROUND(E140-F140,1)</x:f>
        <x:v>89.8</x:v>
      </x:c>
      <x:c r="K140" s="22" t="str">
        <x:v>上证指数</x:v>
      </x:c>
    </x:row>
    <x:row r="141">
      <x:c r="A141" s="22" t="n">
        <x:v>17</x:v>
      </x:c>
      <x:c r="B141" s="22" t="str">
        <x:v>周三</x:v>
      </x:c>
      <x:c r="C141" s="22" t="str">
        <x:v>6月24日</x:v>
      </x:c>
      <x:c r="D141" s="23" t="n">
        <x:v>4090.1</x:v>
      </x:c>
      <x:c r="E141" s="23" t="n">
        <x:v>4117.28</x:v>
      </x:c>
      <x:c r="F141" s="23" t="n">
        <x:v>4075.49</x:v>
      </x:c>
      <x:c r="G141" s="23" t="n">
        <x:v>4110.81</x:v>
      </x:c>
      <x:c r="H141" s="23" t="n">
        <x:v>4.6</x:v>
      </x:c>
      <x:c r="I141" s="24" t="n">
        <x:v>0.0011105022831050526</x:v>
      </x:c>
      <x:c r="J141" s="23" t="n">
        <x:f>ROUND(E141-F141,1)</x:f>
        <x:v>41.8</x:v>
      </x:c>
      <x:c r="K141" s="22" t="str">
        <x:v>上证指数</x:v>
      </x:c>
    </x:row>
    <x:row r="142">
      <x:c r="A142" s="22" t="n">
        <x:v>18</x:v>
      </x:c>
      <x:c r="B142" s="22" t="str">
        <x:v>周四</x:v>
      </x:c>
      <x:c r="C142" s="22" t="str">
        <x:v>6月25日</x:v>
      </x:c>
      <x:c r="D142" s="23" t="n">
        <x:v>4103.48</x:v>
      </x:c>
      <x:c r="E142" s="23" t="n">
        <x:v>4133.1</x:v>
      </x:c>
      <x:c r="F142" s="23" t="n">
        <x:v>4093.01</x:v>
      </x:c>
      <x:c r="G142" s="23" t="n">
        <x:v>4120.28</x:v>
      </x:c>
      <x:c r="H142" s="23" t="n">
        <x:v>9.5</x:v>
      </x:c>
      <x:c r="I142" s="24" t="n">
        <x:v>0.0023036822426723003</x:v>
      </x:c>
      <x:c r="J142" s="23" t="n">
        <x:f>ROUND(E142-F142,1)</x:f>
        <x:v>40.1</x:v>
      </x:c>
      <x:c r="K142" s="22" t="str">
        <x:v>上证指数</x:v>
      </x:c>
    </x:row>
    <x:row r="143">
      <x:c r="A143" s="22" t="n">
        <x:v>19</x:v>
      </x:c>
      <x:c r="B143" s="22" t="str">
        <x:v>周五</x:v>
      </x:c>
      <x:c r="C143" s="22" t="str">
        <x:v>6月26日</x:v>
      </x:c>
      <x:c r="D143" s="23" t="n">
        <x:v>4098.69</x:v>
      </x:c>
      <x:c r="E143" s="23" t="n">
        <x:v>4099.78</x:v>
      </x:c>
      <x:c r="F143" s="23" t="n">
        <x:v>4007.86</x:v>
      </x:c>
      <x:c r="G143" s="23" t="n">
        <x:v>4027.26</x:v>
      </x:c>
      <x:c r="H143" s="23" t="n">
        <x:v>-93</x:v>
      </x:c>
      <x:c r="I143" s="24" t="n">
        <x:v>-0.022576135602434655</x:v>
      </x:c>
      <x:c r="J143" s="26" t="n">
        <x:f>ROUND(E143-F143,1)</x:f>
        <x:v>91.9</x:v>
      </x:c>
      <x:c r="K143" s="22" t="str">
        <x:v>上证指数</x:v>
      </x:c>
    </x:row>
    <x:row r="144">
      <x:c r="A144" s="22" t="n">
        <x:v>20</x:v>
      </x:c>
      <x:c r="B144" s="22" t="str">
        <x:v>周一</x:v>
      </x:c>
      <x:c r="C144" s="22" t="str">
        <x:v>6月29日</x:v>
      </x:c>
      <x:c r="D144" s="23" t="n">
        <x:v>4026.69</x:v>
      </x:c>
      <x:c r="E144" s="23" t="n">
        <x:v>4075.33</x:v>
      </x:c>
      <x:c r="F144" s="23" t="n">
        <x:v>3992.55</x:v>
      </x:c>
      <x:c r="G144" s="23" t="n">
        <x:v>4073.9</x:v>
      </x:c>
      <x:c r="H144" s="23" t="n">
        <x:v>46.6</x:v>
      </x:c>
      <x:c r="I144" s="24" t="n">
        <x:v>0.011581074974051697</x:v>
      </x:c>
      <x:c r="J144" s="26" t="n">
        <x:f>ROUND(E144-F144,1)</x:f>
        <x:v>82.8</x:v>
      </x:c>
      <x:c r="K144" s="22" t="str">
        <x:v>上证指数</x:v>
      </x:c>
    </x:row>
    <x:row r="145">
      <x:c r="A145" s="22" t="n">
        <x:v>21</x:v>
      </x:c>
      <x:c r="B145" s="22" t="str">
        <x:v>周二</x:v>
      </x:c>
      <x:c r="C145" s="22" t="str">
        <x:v>6月30日</x:v>
      </x:c>
      <x:c r="D145" s="23" t="n">
        <x:v>4058.17</x:v>
      </x:c>
      <x:c r="E145" s="23" t="n">
        <x:v>4097.42</x:v>
      </x:c>
      <x:c r="F145" s="23" t="n">
        <x:v>4052.17</x:v>
      </x:c>
      <x:c r="G145" s="23" t="n">
        <x:v>4094.4</x:v>
      </x:c>
      <x:c r="H145" s="23" t="n">
        <x:v>20.5</x:v>
      </x:c>
      <x:c r="I145" s="24" t="n">
        <x:v>0.005032033186872509</x:v>
      </x:c>
      <x:c r="J145" s="23" t="n">
        <x:f>ROUND(E145-F145,1)</x:f>
        <x:v>45.3</x:v>
      </x:c>
      <x:c r="K145" s="22" t="str">
        <x:v>上证指数</x:v>
      </x:c>
    </x:row>
    <x:row r="146">
      <x:c r="A146" s="31" t="str">
        <x:v>合计</x:v>
      </x:c>
      <x:c r="B146" s="30" t="n">
        <x:v>21</x:v>
      </x:c>
      <x:c r="C146" s="30"/>
      <x:c r="D146" s="30"/>
      <x:c r="E146" s="30"/>
      <x:c r="F146" s="30"/>
      <x:c r="G146" s="30"/>
      <x:c r="H146" s="30"/>
      <x:c r="I146" s="30"/>
      <x:c r="J146" s="32" t="n">
        <x:f>ROUND(SUM(J125:J145),1)</x:f>
        <x:v>1152.8</x:v>
      </x:c>
      <x:c r="K146" s="30"/>
    </x:row>
    <x:row r="147">
      <x:c r="A147" s="31" t="str">
        <x:v>均值</x:v>
      </x:c>
      <x:c r="B147" s="30"/>
      <x:c r="C147" s="30"/>
      <x:c r="D147" s="30"/>
      <x:c r="E147" s="30"/>
      <x:c r="F147" s="30"/>
      <x:c r="G147" s="30"/>
      <x:c r="H147" s="30"/>
      <x:c r="I147" s="30"/>
      <x:c r="J147" s="34" t="n">
        <x:f>ROUND(IFERROR(AVERAGE(J125:J145),0),1)</x:f>
        <x:v>54.9</x:v>
      </x:c>
      <x:c r="K147" s="30"/>
    </x:row>
    <x:row r="149">
      <x:c r="A149" s="17" t="str">
        <x:v>7月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20" t="str">
        <x:v>序号</x:v>
      </x:c>
      <x:c r="B150" s="20" t="str">
        <x:v>星期</x:v>
      </x:c>
      <x:c r="C150" s="20" t="str">
        <x:v>日期</x:v>
      </x:c>
      <x:c r="D150" s="20" t="str">
        <x:v>开盘</x:v>
      </x:c>
      <x:c r="E150" s="20" t="str">
        <x:v>高点</x:v>
      </x:c>
      <x:c r="F150" s="20" t="str">
        <x:v>低点</x:v>
      </x:c>
      <x:c r="G150" s="20" t="str">
        <x:v>收盘</x:v>
      </x:c>
      <x:c r="H150" s="20" t="str">
        <x:v>涨跌点数</x:v>
      </x:c>
      <x:c r="I150" s="20" t="str">
        <x:v>涨幅</x:v>
      </x:c>
      <x:c r="J150" s="20" t="str">
        <x:v>振幅</x:v>
      </x:c>
      <x:c r="K150" s="20" t="str">
        <x:v>标的</x:v>
      </x:c>
    </x:row>
    <x:row r="151">
      <x:c r="A151" s="22" t="n">
        <x:v>1</x:v>
      </x:c>
      <x:c r="B151" s="22" t="str">
        <x:v>周三</x:v>
      </x:c>
      <x:c r="C151" s="22" t="str">
        <x:v>7月1日</x:v>
      </x:c>
      <x:c r="D151" s="23" t="n">
        <x:v>4090.76</x:v>
      </x:c>
      <x:c r="E151" s="23" t="n">
        <x:v>4143.31</x:v>
      </x:c>
      <x:c r="F151" s="23" t="n">
        <x:v>4087.54</x:v>
      </x:c>
      <x:c r="G151" s="23" t="n">
        <x:v>4112.45</x:v>
      </x:c>
      <x:c r="H151" s="23" t="n">
        <x:v>18</x:v>
      </x:c>
      <x:c r="I151" s="24" t="n">
        <x:v>0.004408460336068787</x:v>
      </x:c>
      <x:c r="J151" s="26" t="n">
        <x:f>ROUND(E151-F151,1)</x:f>
        <x:v>55.8</x:v>
      </x:c>
      <x:c r="K151" s="22" t="str">
        <x:v>上证指数</x:v>
      </x:c>
    </x:row>
    <x:row r="152">
      <x:c r="A152" s="22" t="n">
        <x:v>2</x:v>
      </x:c>
      <x:c r="B152" s="22" t="str">
        <x:v>周四</x:v>
      </x:c>
      <x:c r="C152" s="22" t="str">
        <x:v>7月2日</x:v>
      </x:c>
      <x:c r="D152" s="23" t="n">
        <x:v>4054.09</x:v>
      </x:c>
      <x:c r="E152" s="23" t="n">
        <x:v>4093.68</x:v>
      </x:c>
      <x:c r="F152" s="23" t="n">
        <x:v>4019.21</x:v>
      </x:c>
      <x:c r="G152" s="23" t="n">
        <x:v>4028.9</x:v>
      </x:c>
      <x:c r="H152" s="23" t="n">
        <x:v>-83.5</x:v>
      </x:c>
      <x:c r="I152" s="24" t="n">
        <x:v>-0.02031635642986529</x:v>
      </x:c>
      <x:c r="J152" s="26" t="n">
        <x:f>ROUND(E152-F152,1)</x:f>
        <x:v>74.5</x:v>
      </x:c>
      <x:c r="K152" s="22" t="str">
        <x:v>上证指数</x:v>
      </x:c>
    </x:row>
    <x:row r="153">
      <x:c r="A153" s="22" t="n">
        <x:v>3</x:v>
      </x:c>
      <x:c r="B153" s="22" t="str">
        <x:v>周五</x:v>
      </x:c>
      <x:c r="C153" s="22" t="str">
        <x:v>7月3日</x:v>
      </x:c>
      <x:c r="D153" s="23" t="n">
        <x:v>4031.34</x:v>
      </x:c>
      <x:c r="E153" s="23" t="n">
        <x:v>4073.88</x:v>
      </x:c>
      <x:c r="F153" s="23" t="n">
        <x:v>4027.26</x:v>
      </x:c>
      <x:c r="G153" s="23" t="n">
        <x:v>4043.64</x:v>
      </x:c>
      <x:c r="H153" s="23" t="n">
        <x:v>14.7</x:v>
      </x:c>
      <x:c r="I153" s="24" t="n">
        <x:v>0.0036585668544764083</x:v>
      </x:c>
      <x:c r="J153" s="23" t="n">
        <x:f>ROUND(E153-F153,1)</x:f>
        <x:v>46.6</x:v>
      </x:c>
      <x:c r="K153" s="22" t="str">
        <x:v>上证指数</x:v>
      </x:c>
    </x:row>
    <x:row r="154">
      <x:c r="A154" s="22" t="n">
        <x:v>4</x:v>
      </x:c>
      <x:c r="B154" s="22" t="str">
        <x:v>周一</x:v>
      </x:c>
      <x:c r="C154" s="22" t="str">
        <x:v>7月6日</x:v>
      </x:c>
      <x:c r="D154" s="23" t="n">
        <x:v>4059.19</x:v>
      </x:c>
      <x:c r="E154" s="23" t="n">
        <x:v>4060.07</x:v>
      </x:c>
      <x:c r="F154" s="23" t="n">
        <x:v>4005.41</x:v>
      </x:c>
      <x:c r="G154" s="23" t="n">
        <x:v>4041.24</x:v>
      </x:c>
      <x:c r="H154" s="23" t="n">
        <x:v>-2.4</x:v>
      </x:c>
      <x:c r="I154" s="24" t="n">
        <x:v>-0.0005935246461109545</x:v>
      </x:c>
      <x:c r="J154" s="26" t="n">
        <x:f>ROUND(E154-F154,1)</x:f>
        <x:v>54.7</x:v>
      </x:c>
      <x:c r="K154" s="22" t="str">
        <x:v>上证指数</x:v>
      </x:c>
    </x:row>
    <x:row r="155">
      <x:c r="A155" s="22" t="n">
        <x:v>5</x:v>
      </x:c>
      <x:c r="B155" s="22" t="str">
        <x:v>周二</x:v>
      </x:c>
      <x:c r="C155" s="22" t="str">
        <x:v>7月7日</x:v>
      </x:c>
      <x:c r="D155" s="23" t="n">
        <x:v>4019.49</x:v>
      </x:c>
      <x:c r="E155" s="23" t="n">
        <x:v>4028.51</x:v>
      </x:c>
      <x:c r="F155" s="23" t="n">
        <x:v>3971.71</x:v>
      </x:c>
      <x:c r="G155" s="23" t="n">
        <x:v>3990.24</x:v>
      </x:c>
      <x:c r="H155" s="23" t="n">
        <x:v>-51</x:v>
      </x:c>
      <x:c r="I155" s="24" t="n">
        <x:v>-0.012619888944977231</x:v>
      </x:c>
      <x:c r="J155" s="26" t="n">
        <x:f>ROUND(E155-F155,1)</x:f>
        <x:v>56.8</x:v>
      </x:c>
      <x:c r="K155" s="22" t="str">
        <x:v>上证指数</x:v>
      </x:c>
    </x:row>
    <x:row r="156">
      <x:c r="A156" s="22" t="n">
        <x:v>6</x:v>
      </x:c>
      <x:c r="B156" s="22" t="str">
        <x:v>周三</x:v>
      </x:c>
      <x:c r="C156" s="22" t="str">
        <x:v>7月8日</x:v>
      </x:c>
      <x:c r="D156" s="23" t="n">
        <x:v>3996.81</x:v>
      </x:c>
      <x:c r="E156" s="23" t="n">
        <x:v>4016.03</x:v>
      </x:c>
      <x:c r="F156" s="23" t="n">
        <x:v>3967.91</x:v>
      </x:c>
      <x:c r="G156" s="23" t="n">
        <x:v>3970.88</x:v>
      </x:c>
      <x:c r="H156" s="23" t="n">
        <x:v>-19.4</x:v>
      </x:c>
      <x:c r="I156" s="24" t="n">
        <x:v>-0.004851838485905535</x:v>
      </x:c>
      <x:c r="J156" s="23" t="n">
        <x:f>ROUND(E156-F156,1)</x:f>
        <x:v>48.1</x:v>
      </x:c>
      <x:c r="K156" s="22" t="str">
        <x:v>上证指数</x:v>
      </x:c>
    </x:row>
    <x:row r="157">
      <x:c r="A157" s="22" t="n">
        <x:v>7</x:v>
      </x:c>
      <x:c r="B157" s="22" t="str">
        <x:v>周四</x:v>
      </x:c>
      <x:c r="C157" s="22" t="str">
        <x:v>7月9日</x:v>
      </x:c>
      <x:c r="D157" s="23" t="n">
        <x:v>3977.55</x:v>
      </x:c>
      <x:c r="E157" s="23" t="n">
        <x:v>4040.54</x:v>
      </x:c>
      <x:c r="F157" s="23" t="n">
        <x:v>3938.88</x:v>
      </x:c>
      <x:c r="G157" s="23" t="n">
        <x:v>4036.59</x:v>
      </x:c>
      <x:c r="H157" s="23" t="n">
        <x:v>65.7</x:v>
      </x:c>
      <x:c r="I157" s="24" t="n">
        <x:v>0.016547969215891634</x:v>
      </x:c>
      <x:c r="J157" s="26" t="n">
        <x:f>ROUND(E157-F157,1)</x:f>
        <x:v>101.7</x:v>
      </x:c>
      <x:c r="K157" s="22" t="str">
        <x:v>上证指数</x:v>
      </x:c>
    </x:row>
    <x:row r="158">
      <x:c r="A158" s="22" t="n">
        <x:v>8</x:v>
      </x:c>
      <x:c r="B158" s="22" t="str">
        <x:v>周五</x:v>
      </x:c>
      <x:c r="C158" s="22" t="str">
        <x:v>7月10日</x:v>
      </x:c>
      <x:c r="D158" s="23" t="n">
        <x:v>4031.54</x:v>
      </x:c>
      <x:c r="E158" s="23" t="n">
        <x:v>4074.83</x:v>
      </x:c>
      <x:c r="F158" s="23" t="n">
        <x:v>3995.81</x:v>
      </x:c>
      <x:c r="G158" s="23" t="n">
        <x:v>3996.16</x:v>
      </x:c>
      <x:c r="H158" s="23" t="n">
        <x:v>-40.4</x:v>
      </x:c>
      <x:c r="I158" s="24" t="n">
        <x:v>-0.010015879740077671</x:v>
      </x:c>
      <x:c r="J158" s="26" t="n">
        <x:f>ROUND(E158-F158,1)</x:f>
        <x:v>79</x:v>
      </x:c>
      <x:c r="K158" s="22" t="str">
        <x:v>上证指数</x:v>
      </x:c>
    </x:row>
    <x:row r="159">
      <x:c r="A159" s="22" t="n">
        <x:v>9</x:v>
      </x:c>
      <x:c r="B159" s="22" t="str">
        <x:v>周一</x:v>
      </x:c>
      <x:c r="C159" s="22" t="str">
        <x:v>7月13日</x:v>
      </x:c>
      <x:c r="D159" s="23" t="n">
        <x:v>3966.02</x:v>
      </x:c>
      <x:c r="E159" s="23" t="n">
        <x:v>3983.05</x:v>
      </x:c>
      <x:c r="F159" s="23" t="n">
        <x:v>3900.67</x:v>
      </x:c>
      <x:c r="G159" s="23" t="n">
        <x:v>3913.79</x:v>
      </x:c>
      <x:c r="H159" s="23" t="n">
        <x:v>-82.4</x:v>
      </x:c>
      <x:c r="I159" s="24" t="n">
        <x:v>-0.020612287796284434</x:v>
      </x:c>
      <x:c r="J159" s="26" t="n">
        <x:f>ROUND(E159-F159,1)</x:f>
        <x:v>82.4</x:v>
      </x:c>
      <x:c r="K159" s="22" t="str">
        <x:v>上证指数</x:v>
      </x:c>
    </x:row>
    <x:row r="160">
      <x:c r="A160" s="22" t="n">
        <x:v>10</x:v>
      </x:c>
      <x:c r="B160" s="22" t="str">
        <x:v>周二</x:v>
      </x:c>
      <x:c r="C160" s="22" t="str">
        <x:v>7月14日</x:v>
      </x:c>
      <x:c r="D160" s="23" t="n">
        <x:v>3909.27</x:v>
      </x:c>
      <x:c r="E160" s="23" t="n">
        <x:v>3967.13</x:v>
      </x:c>
      <x:c r="F160" s="23" t="n">
        <x:v>3869.3</x:v>
      </x:c>
      <x:c r="G160" s="23" t="n">
        <x:v>3967.13</x:v>
      </x:c>
      <x:c r="H160" s="23" t="n">
        <x:v>53.3</x:v>
      </x:c>
      <x:c r="I160" s="24" t="n">
        <x:v>0.013628733273885363</x:v>
      </x:c>
      <x:c r="J160" s="26" t="n">
        <x:f>ROUND(E160-F160,1)</x:f>
        <x:v>97.8</x:v>
      </x:c>
      <x:c r="K160" s="22" t="str">
        <x:v>上证指数</x:v>
      </x:c>
    </x:row>
    <x:row r="161">
      <x:c r="A161" s="22" t="n">
        <x:v>11</x:v>
      </x:c>
      <x:c r="B161" s="22" t="str">
        <x:v>周三</x:v>
      </x:c>
      <x:c r="C161" s="22" t="str">
        <x:v>7月15日</x:v>
      </x:c>
      <x:c r="D161" s="23" t="n">
        <x:v>3963.73</x:v>
      </x:c>
      <x:c r="E161" s="23" t="n">
        <x:v>3981.67</x:v>
      </x:c>
      <x:c r="F161" s="23" t="n">
        <x:v>3943.7</x:v>
      </x:c>
      <x:c r="G161" s="23" t="n">
        <x:v>3955.58</x:v>
      </x:c>
      <x:c r="H161" s="23" t="n">
        <x:v>-11.6</x:v>
      </x:c>
      <x:c r="I161" s="24" t="n">
        <x:v>-0.00291142463191274</x:v>
      </x:c>
      <x:c r="J161" s="23" t="n">
        <x:f>ROUND(E161-F161,1)</x:f>
        <x:v>38</x:v>
      </x:c>
      <x:c r="K161" s="22" t="str">
        <x:v>上证指数</x:v>
      </x:c>
    </x:row>
    <x:row r="162">
      <x:c r="A162" s="22" t="n">
        <x:v>12</x:v>
      </x:c>
      <x:c r="B162" s="22" t="str">
        <x:v>周四</x:v>
      </x:c>
      <x:c r="C162" s="22" t="str">
        <x:v>7月16日</x:v>
      </x:c>
      <x:c r="D162" s="23" t="n">
        <x:v>3912.38</x:v>
      </x:c>
      <x:c r="E162" s="23" t="n">
        <x:v>3940.45</x:v>
      </x:c>
      <x:c r="F162" s="23" t="n">
        <x:v>3867.6</x:v>
      </x:c>
      <x:c r="G162" s="23" t="n">
        <x:v>3882.41</x:v>
      </x:c>
      <x:c r="H162" s="23" t="n">
        <x:v>-73.2</x:v>
      </x:c>
      <x:c r="I162" s="24" t="n">
        <x:v>-0.018497919394880213</x:v>
      </x:c>
      <x:c r="J162" s="26" t="n">
        <x:f>ROUND(E162-F162,1)</x:f>
        <x:v>72.8</x:v>
      </x:c>
      <x:c r="K162" s="22" t="str">
        <x:v>上证指数</x:v>
      </x:c>
    </x:row>
    <x:row r="163">
      <x:c r="A163" s="41" t="n">
        <x:v>13</x:v>
      </x:c>
      <x:c r="B163" s="41" t="str">
        <x:v>周五</x:v>
      </x:c>
      <x:c r="C163" s="41" t="str">
        <x:v>7月17日</x:v>
      </x:c>
      <x:c r="D163" s="42" t="n">
        <x:v>3865.32</x:v>
      </x:c>
      <x:c r="E163" s="42" t="n">
        <x:v>3869.21</x:v>
      </x:c>
      <x:c r="F163" s="42" t="n">
        <x:v>3745.17</x:v>
      </x:c>
      <x:c r="G163" s="42" t="n">
        <x:v>3764.15</x:v>
      </x:c>
      <x:c r="H163" s="42" t="n">
        <x:v>-118.3</x:v>
      </x:c>
      <x:c r="I163" s="43" t="n">
        <x:v>-0.030460461414430706</x:v>
      </x:c>
      <x:c r="J163" s="26" t="n">
        <x:f>ROUND(E163-F163,1)</x:f>
        <x:v>124</x:v>
      </x:c>
      <x:c r="K163" s="41" t="str">
        <x:v>上证指数</x:v>
      </x:c>
    </x:row>
    <x:row r="164">
      <x:c r="A164" s="22" t="n">
        <x:v>14</x:v>
      </x:c>
      <x:c r="B164" s="22" t="str">
        <x:v>周一</x:v>
      </x:c>
      <x:c r="C164" s="22" t="str">
        <x:v>7月20日</x:v>
      </x:c>
      <x:c r="D164" s="23" t="n">
        <x:v>3791.66</x:v>
      </x:c>
      <x:c r="E164" s="23" t="n">
        <x:v>3831.66</x:v>
      </x:c>
      <x:c r="F164" s="23" t="n">
        <x:v>3741.11</x:v>
      </x:c>
      <x:c r="G164" s="23" t="n">
        <x:v>3796.28</x:v>
      </x:c>
      <x:c r="H164" s="23" t="n">
        <x:v>32.1</x:v>
      </x:c>
      <x:c r="I164" s="24" t="n">
        <x:v>0.008535791612980459</x:v>
      </x:c>
      <x:c r="J164" s="26" t="n">
        <x:f>ROUND(E164-F164,1)</x:f>
        <x:v>90.5</x:v>
      </x:c>
      <x:c r="K164" s="22" t="str">
        <x:v>上证指数</x:v>
      </x:c>
    </x:row>
    <x:row r="165">
      <x:c r="A165" s="22" t="n">
        <x:v>15</x:v>
      </x:c>
      <x:c r="B165" s="22" t="str">
        <x:v>周二</x:v>
      </x:c>
      <x:c r="C165" s="22" t="str">
        <x:v>7月21日</x:v>
      </x:c>
      <x:c r="D165" s="23" t="n">
        <x:v>3812.16</x:v>
      </x:c>
      <x:c r="E165" s="23" t="n">
        <x:v>3864.6</x:v>
      </x:c>
      <x:c r="F165" s="23" t="n">
        <x:v>3743.36</x:v>
      </x:c>
      <x:c r="G165" s="23" t="n">
        <x:v>3864.37</x:v>
      </x:c>
      <x:c r="H165" s="23" t="n">
        <x:v>68.1</x:v>
      </x:c>
      <x:c r="I165" s="24" t="n">
        <x:v>0.017935979432496918</x:v>
      </x:c>
      <x:c r="J165" s="26" t="n">
        <x:f>ROUND(E165-F165,1)</x:f>
        <x:v>121.2</x:v>
      </x:c>
      <x:c r="K165" s="22" t="str">
        <x:v>上证指数</x:v>
      </x:c>
    </x:row>
    <x:row r="166">
      <x:c r="A166" s="22" t="n">
        <x:v>16</x:v>
      </x:c>
      <x:c r="B166" s="22" t="str">
        <x:v>周三</x:v>
      </x:c>
      <x:c r="C166" s="22" t="str">
        <x:v>7月22日</x:v>
      </x:c>
      <x:c r="D166" s="23" t="n">
        <x:v>3839.67</x:v>
      </x:c>
      <x:c r="E166" s="23" t="n">
        <x:v>3884.44</x:v>
      </x:c>
      <x:c r="F166" s="23" t="n">
        <x:v>3839.67</x:v>
      </x:c>
      <x:c r="G166" s="23" t="n">
        <x:v>3867.03</x:v>
      </x:c>
      <x:c r="H166" s="23" t="n">
        <x:v>2.7</x:v>
      </x:c>
      <x:c r="I166" s="24" t="n">
        <x:v>0.0006883398846384559</x:v>
      </x:c>
      <x:c r="J166" s="23" t="n">
        <x:f>ROUND(E166-F166,1)</x:f>
        <x:v>44.8</x:v>
      </x:c>
      <x:c r="K166" s="22" t="str">
        <x:v>上证指数</x:v>
      </x:c>
    </x:row>
    <x:row r="167">
      <x:c r="A167" s="22" t="n">
        <x:v>17</x:v>
      </x:c>
      <x:c r="B167" s="22" t="str">
        <x:v>周四</x:v>
      </x:c>
      <x:c r="C167" s="22" t="str">
        <x:v>7月23日</x:v>
      </x:c>
      <x:c r="D167" s="23" t="n">
        <x:v>3868.09</x:v>
      </x:c>
      <x:c r="E167" s="23" t="n">
        <x:v>3878.83</x:v>
      </x:c>
      <x:c r="F167" s="23" t="n">
        <x:v>3851.71</x:v>
      </x:c>
      <x:c r="G167" s="23" t="n">
        <x:v>3876.78</x:v>
      </x:c>
      <x:c r="H167" s="23" t="n">
        <x:v>9.8</x:v>
      </x:c>
      <x:c r="I167" s="24" t="n">
        <x:v>0.002521314807487851</x:v>
      </x:c>
      <x:c r="J167" s="23" t="n">
        <x:f>ROUND(E167-F167,1)</x:f>
        <x:v>27.1</x:v>
      </x:c>
      <x:c r="K167" s="22" t="str">
        <x:v>上证指数</x:v>
      </x:c>
    </x:row>
    <x:row r="168">
      <x:c r="A168" s="22" t="n">
        <x:v>18</x:v>
      </x:c>
      <x:c r="B168" s="22" t="str">
        <x:v>周五</x:v>
      </x:c>
      <x:c r="C168" s="22" t="str">
        <x:v>7月24日</x:v>
      </x:c>
      <x:c r="D168" s="23" t="n">
        <x:v>3853.63</x:v>
      </x:c>
      <x:c r="E168" s="23" t="n">
        <x:v>3861.04</x:v>
      </x:c>
      <x:c r="F168" s="23" t="n">
        <x:v>3808.64</x:v>
      </x:c>
      <x:c r="G168" s="23" t="n">
        <x:v>3814.2</x:v>
      </x:c>
      <x:c r="H168" s="23" t="n">
        <x:v>-62.6</x:v>
      </x:c>
      <x:c r="I168" s="24" t="n">
        <x:v>-0.01614226239301697</x:v>
      </x:c>
      <x:c r="J168" s="26" t="n">
        <x:f>ROUND(E168-F168,1)</x:f>
        <x:v>52.4</x:v>
      </x:c>
      <x:c r="K168" s="22" t="str">
        <x:v>上证指数</x:v>
      </x:c>
    </x:row>
    <x:row r="169">
      <x:c r="A169" s="22" t="n">
        <x:v>19</x:v>
      </x:c>
      <x:c r="B169" s="22" t="str">
        <x:v>周一</x:v>
      </x:c>
      <x:c r="C169" s="22" t="str">
        <x:v>7月27日</x:v>
      </x:c>
      <x:c r="D169" s="23" t="n">
        <x:v>3808.9</x:v>
      </x:c>
      <x:c r="E169" s="23" t="n">
        <x:v>3858.31</x:v>
      </x:c>
      <x:c r="F169" s="23" t="n">
        <x:v>3793.45</x:v>
      </x:c>
      <x:c r="G169" s="23" t="n">
        <x:v>3858.25</x:v>
      </x:c>
      <x:c r="H169" s="23" t="n">
        <x:v>44.1</x:v>
      </x:c>
      <x:c r="I169" s="24" t="n">
        <x:v>0.011548948665513148</x:v>
      </x:c>
      <x:c r="J169" s="26" t="n">
        <x:f>ROUND(E169-F169,1)</x:f>
        <x:v>64.9</x:v>
      </x:c>
      <x:c r="K169" s="22" t="str">
        <x:v>上证指数</x:v>
      </x:c>
    </x:row>
    <x:row r="170">
      <x:c r="A170" s="22" t="n">
        <x:v>20</x:v>
      </x:c>
      <x:c r="B170" s="22" t="str">
        <x:v>周二</x:v>
      </x:c>
      <x:c r="C170" s="22" t="str">
        <x:v>7月28日</x:v>
      </x:c>
      <x:c r="D170" s="23" t="n">
        <x:v>3823.13</x:v>
      </x:c>
      <x:c r="E170" s="23" t="n">
        <x:v>3844.01</x:v>
      </x:c>
      <x:c r="F170" s="23" t="n">
        <x:v>3797.37</x:v>
      </x:c>
      <x:c r="G170" s="23" t="n">
        <x:v>3813.31</x:v>
      </x:c>
      <x:c r="H170" s="23" t="n">
        <x:v>-44.9</x:v>
      </x:c>
      <x:c r="I170" s="24" t="n">
        <x:v>-0.01164776777036225</x:v>
      </x:c>
      <x:c r="J170" s="23" t="n">
        <x:f>ROUND(E170-F170,1)</x:f>
        <x:v>46.6</x:v>
      </x:c>
      <x:c r="K170" s="22" t="str">
        <x:v>上证指数</x:v>
      </x:c>
    </x:row>
    <x:row r="171">
      <x:c r="A171" s="22" t="n">
        <x:v>21</x:v>
      </x:c>
      <x:c r="B171" s="22" t="str">
        <x:v>周三</x:v>
      </x:c>
      <x:c r="C171" s="22" t="str">
        <x:v>7月29日</x:v>
      </x:c>
      <x:c r="D171" s="23" t="n">
        <x:v>3823.29</x:v>
      </x:c>
      <x:c r="E171" s="23" t="n">
        <x:v>3845.77</x:v>
      </x:c>
      <x:c r="F171" s="23" t="n">
        <x:v>3782.48</x:v>
      </x:c>
      <x:c r="G171" s="23" t="n">
        <x:v>3828.47</x:v>
      </x:c>
      <x:c r="H171" s="23" t="n">
        <x:v>15.2</x:v>
      </x:c>
      <x:c r="I171" s="24" t="n">
        <x:v>0.003975548801435025</x:v>
      </x:c>
      <x:c r="J171" s="26" t="n">
        <x:f>ROUND(E171-F171,1)</x:f>
        <x:v>63.3</x:v>
      </x:c>
      <x:c r="K171" s="22" t="str">
        <x:v>上证指数</x:v>
      </x:c>
    </x:row>
    <x:row r="172">
      <x:c r="A172" s="22" t="n">
        <x:v>22</x:v>
      </x:c>
      <x:c r="B172" s="22" t="str">
        <x:v>周四</x:v>
      </x:c>
      <x:c r="C172" s="22" t="str">
        <x:v>7月30日</x:v>
      </x:c>
      <x:c r="D172" s="23" t="n">
        <x:v>3812.11</x:v>
      </x:c>
      <x:c r="E172" s="23" t="n">
        <x:v>3839.34</x:v>
      </x:c>
      <x:c r="F172" s="23" t="n">
        <x:v>3767.5</x:v>
      </x:c>
      <x:c r="G172" s="23" t="n">
        <x:v>3804.69</x:v>
      </x:c>
      <x:c r="H172" s="23" t="n">
        <x:v>-23.8</x:v>
      </x:c>
      <x:c r="I172" s="24" t="n">
        <x:v>-0.0062113585844997266</x:v>
      </x:c>
      <x:c r="J172" s="26" t="n">
        <x:f>ROUND(E172-F172,1)</x:f>
        <x:v>71.8</x:v>
      </x:c>
      <x:c r="K172" s="22" t="str">
        <x:v>上证指数</x:v>
      </x:c>
    </x:row>
    <x:row r="173">
      <x:c r="A173" s="22" t="n">
        <x:v>23</x:v>
      </x:c>
      <x:c r="B173" s="22" t="str">
        <x:v>周五</x:v>
      </x:c>
      <x:c r="C173" s="22" t="str">
        <x:v>7月31日</x:v>
      </x:c>
      <x:c r="D173" s="23" t="n">
        <x:v>3833.54</x:v>
      </x:c>
      <x:c r="E173" s="23" t="n">
        <x:v>3847.09</x:v>
      </x:c>
      <x:c r="F173" s="23" t="n">
        <x:v>3822.37</x:v>
      </x:c>
      <x:c r="G173" s="23" t="n">
        <x:v>3832.26</x:v>
      </x:c>
      <x:c r="H173" s="23" t="n">
        <x:v>27.6</x:v>
      </x:c>
      <x:c r="I173" s="24" t="n">
        <x:v>0.007246319673876123</x:v>
      </x:c>
      <x:c r="J173" s="23" t="n">
        <x:f>ROUND(E173-F173,1)</x:f>
        <x:v>24.7</x:v>
      </x:c>
      <x:c r="K173" s="22" t="str">
        <x:v>上证指数</x:v>
      </x:c>
    </x:row>
    <x:row r="174">
      <x:c r="A174" s="31" t="str">
        <x:v>合计</x:v>
      </x:c>
      <x:c r="B174" s="30" t="n">
        <x:v>23</x:v>
      </x:c>
      <x:c r="C174" s="30"/>
      <x:c r="D174" s="30"/>
      <x:c r="E174" s="30"/>
      <x:c r="F174" s="30"/>
      <x:c r="G174" s="30"/>
      <x:c r="H174" s="30"/>
      <x:c r="I174" s="30"/>
      <x:c r="J174" s="32" t="n">
        <x:f>ROUND(SUM(J151:J173),1)</x:f>
        <x:v>1539.5</x:v>
      </x:c>
      <x:c r="K174" s="30"/>
    </x:row>
    <x:row r="175">
      <x:c r="A175" s="31" t="str">
        <x:v>均值</x:v>
      </x:c>
      <x:c r="B175" s="30"/>
      <x:c r="C175" s="30"/>
      <x:c r="D175" s="30"/>
      <x:c r="E175" s="30"/>
      <x:c r="F175" s="30"/>
      <x:c r="G175" s="30"/>
      <x:c r="H175" s="30"/>
      <x:c r="I175" s="30"/>
      <x:c r="J175" s="34" t="n">
        <x:f>ROUND(IFERROR(AVERAGE(J151:J173),0),1)</x:f>
        <x:v>66.9</x:v>
      </x:c>
      <x:c r="K175" s="30"/>
    </x:row>
    <x:row r="177">
      <x:c r="A177" s="17" t="str">
        <x:v>8月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20" t="str">
        <x:v>序号</x:v>
      </x:c>
      <x:c r="B178" s="20" t="str">
        <x:v>星期</x:v>
      </x:c>
      <x:c r="C178" s="20" t="str">
        <x:v>日期</x:v>
      </x:c>
      <x:c r="D178" s="20" t="str">
        <x:v>开盘</x:v>
      </x:c>
      <x:c r="E178" s="20" t="str">
        <x:v>高点</x:v>
      </x:c>
      <x:c r="F178" s="20" t="str">
        <x:v>低点</x:v>
      </x:c>
      <x:c r="G178" s="20" t="str">
        <x:v>收盘</x:v>
      </x:c>
      <x:c r="H178" s="20" t="str">
        <x:v>涨跌点数</x:v>
      </x:c>
      <x:c r="I178" s="20" t="str">
        <x:v>涨幅</x:v>
      </x:c>
      <x:c r="J178" s="20" t="str">
        <x:v>振幅</x:v>
      </x:c>
      <x:c r="K178" s="20" t="str">
        <x:v>标的</x:v>
      </x:c>
    </x:row>
    <x:row r="179">
      <x:c r="A179" s="22" t="n">
        <x:v>1</x:v>
      </x:c>
      <x:c r="B179" s="22" t="str">
        <x:v>周一</x:v>
      </x:c>
      <x:c r="C179" s="22" t="str">
        <x:v>8月3日</x:v>
      </x:c>
      <x:c r="D179" s="23" t="n">
        <x:v>3812.61</x:v>
      </x:c>
      <x:c r="E179" s="23" t="n">
        <x:v>3827.64</x:v>
      </x:c>
      <x:c r="F179" s="23" t="n">
        <x:v>3797.64</x:v>
      </x:c>
      <x:c r="G179" s="23" t="n">
        <x:v>3809.66</x:v>
      </x:c>
      <x:c r="H179" s="23" t="n">
        <x:v>-22.6</x:v>
      </x:c>
      <x:c r="I179" s="24" t="n">
        <x:v>-0.005897303418870403</x:v>
      </x:c>
      <x:c r="J179" s="23" t="n">
        <x:f>ROUND(E179-F179,1)</x:f>
        <x:v>30</x:v>
      </x:c>
      <x:c r="K179" s="22" t="str">
        <x:v>上证指数</x:v>
      </x:c>
    </x:row>
    <x:row r="180">
      <x:c r="A180" s="22" t="n">
        <x:v>2</x:v>
      </x:c>
      <x:c r="B180" s="22" t="str">
        <x:v>周二</x:v>
      </x:c>
      <x:c r="C180" s="22" t="str">
        <x:v>8月4日</x:v>
      </x:c>
      <x:c r="D180" s="23" t="n">
        <x:v>3816.37</x:v>
      </x:c>
      <x:c r="E180" s="23" t="n">
        <x:v>3831.94</x:v>
      </x:c>
      <x:c r="F180" s="23" t="n">
        <x:v>3799.52</x:v>
      </x:c>
      <x:c r="G180" s="23" t="n">
        <x:v>3822.28</x:v>
      </x:c>
      <x:c r="H180" s="23" t="n">
        <x:v>12.6</x:v>
      </x:c>
      <x:c r="I180" s="24" t="n">
        <x:v>0.0033126315734213208</x:v>
      </x:c>
      <x:c r="J180" s="23" t="n">
        <x:f>ROUND(E180-F180,1)</x:f>
        <x:v>32.4</x:v>
      </x:c>
      <x:c r="K180" s="22" t="str">
        <x:v>上证指数</x:v>
      </x:c>
    </x:row>
    <x:row r="181">
      <x:c r="A181" s="22" t="n">
        <x:v>3</x:v>
      </x:c>
      <x:c r="B181" s="22" t="str">
        <x:v>周三</x:v>
      </x:c>
      <x:c r="C181" s="22" t="str">
        <x:v>8月5日</x:v>
      </x:c>
      <x:c r="D181" s="23" t="n">
        <x:v>3815.12</x:v>
      </x:c>
      <x:c r="E181" s="23" t="n">
        <x:v>3884.4</x:v>
      </x:c>
      <x:c r="F181" s="23" t="n">
        <x:v>3815.12</x:v>
      </x:c>
      <x:c r="G181" s="23" t="n">
        <x:v>3878.43</x:v>
      </x:c>
      <x:c r="H181" s="23" t="n">
        <x:v>56.1</x:v>
      </x:c>
      <x:c r="I181" s="24" t="n">
        <x:v>0.014690184915809423</x:v>
      </x:c>
      <x:c r="J181" s="26" t="n">
        <x:f>ROUND(E181-F181,1)</x:f>
        <x:v>69.3</x:v>
      </x:c>
      <x:c r="K181" s="22" t="str">
        <x:v>上证指数</x:v>
      </x:c>
    </x:row>
    <x:row r="182">
      <x:c r="A182" s="22" t="n">
        <x:v>4</x:v>
      </x:c>
      <x:c r="B182" s="22" t="str">
        <x:v>周四</x:v>
      </x:c>
      <x:c r="C182" s="22" t="str">
        <x:v>8月6日</x:v>
      </x:c>
      <x:c r="D182" s="23" t="n">
        <x:v>3864.27</x:v>
      </x:c>
      <x:c r="E182" s="23" t="n">
        <x:v>3902.05</x:v>
      </x:c>
      <x:c r="F182" s="23" t="n">
        <x:v>3864.27</x:v>
      </x:c>
      <x:c r="G182" s="23" t="n">
        <x:v>3900.35</x:v>
      </x:c>
      <x:c r="H182" s="23" t="n">
        <x:v>21.9</x:v>
      </x:c>
      <x:c r="I182" s="24" t="n">
        <x:v>0.005651771464226574</x:v>
      </x:c>
      <x:c r="J182" s="23" t="n">
        <x:f>ROUND(E182-F182,1)</x:f>
        <x:v>37.8</x:v>
      </x:c>
      <x:c r="K182" s="22" t="str">
        <x:v>上证指数</x:v>
      </x:c>
    </x:row>
    <x:row r="183">
      <x:c r="A183" s="22" t="n">
        <x:v>5</x:v>
      </x:c>
      <x:c r="B183" s="22" t="str">
        <x:v>周五</x:v>
      </x:c>
      <x:c r="C183" s="22" t="str">
        <x:v>8月7日</x:v>
      </x:c>
      <x:c r="D183" s="23" t="n">
        <x:v>3896.49</x:v>
      </x:c>
      <x:c r="E183" s="23" t="n">
        <x:v>3940.93</x:v>
      </x:c>
      <x:c r="F183" s="23" t="n">
        <x:v>3885.62</x:v>
      </x:c>
      <x:c r="G183" s="23" t="n">
        <x:v>3940.04</x:v>
      </x:c>
      <x:c r="H183" s="23" t="n">
        <x:v>39.7</x:v>
      </x:c>
      <x:c r="I183" s="24" t="n">
        <x:v>0.01017600984527034</x:v>
      </x:c>
      <x:c r="J183" s="26" t="n">
        <x:f>ROUND(E183-F183,1)</x:f>
        <x:v>55.3</x:v>
      </x:c>
      <x:c r="K183" s="22" t="str">
        <x:v>上证指数</x:v>
      </x:c>
    </x:row>
    <x:row r="184">
      <x:c r="A184" s="22" t="n">
        <x:v>6</x:v>
      </x:c>
      <x:c r="B184" s="22" t="str">
        <x:v>周一</x:v>
      </x:c>
      <x:c r="C184" s="22" t="str">
        <x:v>8月10日</x:v>
      </x:c>
      <x:c r="D184" s="23" t="n">
        <x:v>3943.82</x:v>
      </x:c>
      <x:c r="E184" s="23" t="n">
        <x:v>3967.59</x:v>
      </x:c>
      <x:c r="F184" s="23" t="n">
        <x:v>3938.63</x:v>
      </x:c>
      <x:c r="G184" s="23" t="n">
        <x:v>3966.59</x:v>
      </x:c>
      <x:c r="H184" s="23" t="n">
        <x:v>26.6</x:v>
      </x:c>
      <x:c r="I184" s="24" t="n">
        <x:v>0.0067385102689312415</x:v>
      </x:c>
      <x:c r="J184" s="23" t="n">
        <x:f>ROUND(E184-F184,1)</x:f>
        <x:v>29</x:v>
      </x:c>
      <x:c r="K184" s="22" t="str">
        <x:v>上证指数</x:v>
      </x:c>
    </x:row>
    <x:row r="185">
      <x:c r="A185" s="22" t="n">
        <x:v>7</x:v>
      </x:c>
      <x:c r="B185" s="22" t="str">
        <x:v>周二</x:v>
      </x:c>
      <x:c r="C185" s="22" t="str">
        <x:v>8月11日</x:v>
      </x:c>
      <x:c r="D185" s="23" t="n">
        <x:v>3950.71</x:v>
      </x:c>
      <x:c r="E185" s="23" t="n">
        <x:v>3966.39</x:v>
      </x:c>
      <x:c r="F185" s="23" t="n">
        <x:v>3930.64</x:v>
      </x:c>
      <x:c r="G185" s="23" t="n">
        <x:v>3934.09</x:v>
      </x:c>
      <x:c r="H185" s="23" t="n">
        <x:v>-32.5</x:v>
      </x:c>
      <x:c r="I185" s="24" t="n">
        <x:v>-0.008193435671445704</x:v>
      </x:c>
      <x:c r="J185" s="23" t="n">
        <x:f>ROUND(E185-F185,1)</x:f>
        <x:v>35.8</x:v>
      </x:c>
      <x:c r="K185" s="22" t="str">
        <x:v>上证指数</x:v>
      </x:c>
    </x:row>
    <x:row r="186">
      <x:c r="A186" s="22" t="n">
        <x:v>8</x:v>
      </x:c>
      <x:c r="B186" s="22" t="str">
        <x:v>周三</x:v>
      </x:c>
      <x:c r="C186" s="22" t="str">
        <x:v>8月12日</x:v>
      </x:c>
      <x:c r="D186" s="23" t="n">
        <x:v>3933.55</x:v>
      </x:c>
      <x:c r="E186" s="23" t="n">
        <x:v>3950.62</x:v>
      </x:c>
      <x:c r="F186" s="23" t="n">
        <x:v>3927.55</x:v>
      </x:c>
      <x:c r="G186" s="23" t="n">
        <x:v>3946.68</x:v>
      </x:c>
      <x:c r="H186" s="23" t="n">
        <x:v>12.6</x:v>
      </x:c>
      <x:c r="I186" s="24" t="n">
        <x:v>0.0032002318198107726</x:v>
      </x:c>
      <x:c r="J186" s="23" t="n">
        <x:f>ROUND(E186-F186,1)</x:f>
        <x:v>23.1</x:v>
      </x:c>
      <x:c r="K186" s="22" t="str">
        <x:v>上证指数</x:v>
      </x:c>
    </x:row>
    <x:row r="187">
      <x:c r="A187" s="22" t="n">
        <x:v>9</x:v>
      </x:c>
      <x:c r="B187" s="22" t="str">
        <x:v>周四</x:v>
      </x:c>
      <x:c r="C187" s="22" t="str">
        <x:v>8月13日</x:v>
      </x:c>
      <x:c r="D187" s="23" t="n">
        <x:v>3957.16</x:v>
      </x:c>
      <x:c r="E187" s="23" t="n">
        <x:v>3968.48</x:v>
      </x:c>
      <x:c r="F187" s="23" t="n">
        <x:v>3924.64</x:v>
      </x:c>
      <x:c r="G187" s="23" t="n">
        <x:v>3926.96</x:v>
      </x:c>
      <x:c r="H187" s="23" t="n">
        <x:v>-19.7</x:v>
      </x:c>
      <x:c r="I187" s="24" t="n">
        <x:v>-0.004996604741200117</x:v>
      </x:c>
      <x:c r="J187" s="23" t="n">
        <x:f>ROUND(E187-F187,1)</x:f>
        <x:v>43.8</x:v>
      </x:c>
      <x:c r="K187" s="22" t="str">
        <x:v>上证指数</x:v>
      </x:c>
    </x:row>
    <x:row r="188">
      <x:c r="A188" s="22" t="n">
        <x:v>10</x:v>
      </x:c>
      <x:c r="B188" s="22" t="str">
        <x:v>周五</x:v>
      </x:c>
      <x:c r="C188" s="22" t="str">
        <x:v>8月14日</x:v>
      </x:c>
      <x:c r="D188" s="23" t="n">
        <x:v>3930.02</x:v>
      </x:c>
      <x:c r="E188" s="23" t="n">
        <x:v>3932.64</x:v>
      </x:c>
      <x:c r="F188" s="23" t="n">
        <x:v>3903.7</x:v>
      </x:c>
      <x:c r="G188" s="23" t="n">
        <x:v>3927.18</x:v>
      </x:c>
      <x:c r="H188" s="23" t="n">
        <x:v>0.2</x:v>
      </x:c>
      <x:c r="I188" s="24" t="n">
        <x:v>0.00005602297960760616</x:v>
      </x:c>
      <x:c r="J188" s="23" t="n">
        <x:f>ROUND(E188-F188,1)</x:f>
        <x:v>28.9</x:v>
      </x:c>
      <x:c r="K188" s="22" t="str">
        <x:v>上证指数</x:v>
      </x:c>
    </x:row>
    <x:row r="189">
      <x:c r="A189" s="22" t="n">
        <x:v>11</x:v>
      </x:c>
      <x:c r="B189" s="22" t="str">
        <x:v>周一</x:v>
      </x:c>
      <x:c r="C189" s="22" t="str">
        <x:v>8月17日</x:v>
      </x:c>
      <x:c r="D189" s="23" t="n">
        <x:v>3930.1</x:v>
      </x:c>
      <x:c r="E189" s="23" t="n">
        <x:v>3983.51</x:v>
      </x:c>
      <x:c r="F189" s="23" t="n">
        <x:v>3924.47</x:v>
      </x:c>
      <x:c r="G189" s="23" t="n">
        <x:v>3982.65</x:v>
      </x:c>
      <x:c r="H189" s="23" t="n">
        <x:v>55.5</x:v>
      </x:c>
      <x:c r="I189" s="24" t="n">
        <x:v>0.014124639053977761</x:v>
      </x:c>
      <x:c r="J189" s="26" t="n">
        <x:f>ROUND(E189-F189,1)</x:f>
        <x:v>59</x:v>
      </x:c>
      <x:c r="K189" s="22" t="str">
        <x:v>上证指数</x:v>
      </x:c>
    </x:row>
    <x:row r="190">
      <x:c r="A190" s="22" t="n">
        <x:v>12</x:v>
      </x:c>
      <x:c r="B190" s="22" t="str">
        <x:v>周二</x:v>
      </x:c>
      <x:c r="C190" s="22" t="str">
        <x:v>8月18日</x:v>
      </x:c>
      <x:c r="D190" s="23" t="n">
        <x:v>3979.49</x:v>
      </x:c>
      <x:c r="E190" s="23" t="n">
        <x:v>3994.18</x:v>
      </x:c>
      <x:c r="F190" s="23" t="n">
        <x:v>3955.6</x:v>
      </x:c>
      <x:c r="G190" s="23" t="n">
        <x:v>3990.3</x:v>
      </x:c>
      <x:c r="H190" s="23" t="n">
        <x:v>7.7</x:v>
      </x:c>
      <x:c r="I190" s="24" t="n">
        <x:v>0.0019208316070957743</x:v>
      </x:c>
      <x:c r="J190" s="23" t="n">
        <x:f>ROUND(E190-F190,1)</x:f>
        <x:v>38.6</x:v>
      </x:c>
      <x:c r="K190" s="22" t="str">
        <x:v>上证指数</x:v>
      </x:c>
    </x:row>
    <x:row r="191">
      <x:c r="A191" s="22" t="n">
        <x:v>13</x:v>
      </x:c>
      <x:c r="B191" s="22" t="str">
        <x:v>周三</x:v>
      </x:c>
      <x:c r="C191" s="22" t="str">
        <x:v>8月19日</x:v>
      </x:c>
      <x:c r="D191" s="23" t="n">
        <x:v>3952.12</x:v>
      </x:c>
      <x:c r="E191" s="23" t="n">
        <x:v>3961.14</x:v>
      </x:c>
      <x:c r="F191" s="23" t="n">
        <x:v>3879.58</x:v>
      </x:c>
      <x:c r="G191" s="23" t="n">
        <x:v>3894.42</x:v>
      </x:c>
      <x:c r="H191" s="23" t="n">
        <x:v>-95.9</x:v>
      </x:c>
      <x:c r="I191" s="24" t="n">
        <x:v>-0.024028268551236742</x:v>
      </x:c>
      <x:c r="J191" s="26" t="n">
        <x:f>ROUND(E191-F191,1)</x:f>
        <x:v>81.6</x:v>
      </x:c>
      <x:c r="K191" s="22" t="str">
        <x:v>上证指数</x:v>
      </x:c>
    </x:row>
    <x:row r="192">
      <x:c r="A192" s="22" t="n">
        <x:v>14</x:v>
      </x:c>
      <x:c r="B192" s="22" t="str">
        <x:v>周四</x:v>
      </x:c>
      <x:c r="C192" s="22" t="str">
        <x:v>8月20日</x:v>
      </x:c>
      <x:c r="D192" s="23" t="n">
        <x:v>3907.21</x:v>
      </x:c>
      <x:c r="E192" s="23" t="n">
        <x:v>3925.06</x:v>
      </x:c>
      <x:c r="F192" s="23" t="n">
        <x:v>3888.1</x:v>
      </x:c>
      <x:c r="G192" s="23" t="n">
        <x:v>3903.72</x:v>
      </x:c>
      <x:c r="H192" s="23" t="n">
        <x:v>9.3</x:v>
      </x:c>
      <x:c r="I192" s="24" t="n">
        <x:v>0.002388032107476734</x:v>
      </x:c>
      <x:c r="J192" s="23" t="n">
        <x:f>ROUND(E192-F192,1)</x:f>
        <x:v>37</x:v>
      </x:c>
      <x:c r="K192" s="22" t="str">
        <x:v>上证指数</x:v>
      </x:c>
    </x:row>
    <x:row r="193">
      <x:c r="A193" s="41" t="n">
        <x:v>15</x:v>
      </x:c>
      <x:c r="B193" s="41" t="str">
        <x:v>周五</x:v>
      </x:c>
      <x:c r="C193" s="41" t="str">
        <x:v>8月21日</x:v>
      </x:c>
      <x:c r="D193" s="42" t="n">
        <x:v>3891.18</x:v>
      </x:c>
      <x:c r="E193" s="42" t="n">
        <x:v>3912.13</x:v>
      </x:c>
      <x:c r="F193" s="42" t="n">
        <x:v>3883.79</x:v>
      </x:c>
      <x:c r="G193" s="42" t="n">
        <x:v>3905.2</x:v>
      </x:c>
      <x:c r="H193" s="42" t="n">
        <x:v>1.5</x:v>
      </x:c>
      <x:c r="I193" s="43" t="n">
        <x:v>0.0003791255520375625</x:v>
      </x:c>
      <x:c r="J193" s="42" t="n">
        <x:f>ROUND(E193-F193,1)</x:f>
        <x:v>28.3</x:v>
      </x:c>
      <x:c r="K193" s="41" t="str">
        <x:v>上证指数</x:v>
      </x:c>
    </x:row>
    <x:row r="194">
      <x:c r="A194" s="22" t="n">
        <x:v>16</x:v>
      </x:c>
      <x:c r="B194" s="22" t="str">
        <x:v>周一</x:v>
      </x:c>
      <x:c r="C194" s="22" t="str">
        <x:v>8月24日</x:v>
      </x:c>
      <x:c r="D194" s="23" t="n">
        <x:v>3902.7</x:v>
      </x:c>
      <x:c r="E194" s="23" t="n">
        <x:v>3910.24</x:v>
      </x:c>
      <x:c r="F194" s="23" t="n">
        <x:v>3855.35</x:v>
      </x:c>
      <x:c r="G194" s="23" t="n">
        <x:v>3882.01</x:v>
      </x:c>
      <x:c r="H194" s="23" t="n">
        <x:v>-23.2</x:v>
      </x:c>
      <x:c r="I194" s="24" t="n">
        <x:v>-0.005938236197889912</x:v>
      </x:c>
      <x:c r="J194" s="26" t="n">
        <x:f>ROUND(E194-F194,1)</x:f>
        <x:v>54.9</x:v>
      </x:c>
      <x:c r="K194" s="22" t="str">
        <x:v>上证指数</x:v>
      </x:c>
    </x:row>
    <x:row r="195">
      <x:c r="A195" s="22" t="n">
        <x:v>17</x:v>
      </x:c>
      <x:c r="B195" s="22" t="str">
        <x:v>周二</x:v>
      </x:c>
      <x:c r="C195" s="22" t="str">
        <x:v>8月25日</x:v>
      </x:c>
      <x:c r="D195" s="23" t="n">
        <x:v>3863.37</x:v>
      </x:c>
      <x:c r="E195" s="23" t="n">
        <x:v>3896.21</x:v>
      </x:c>
      <x:c r="F195" s="23" t="n">
        <x:v>3850.86</x:v>
      </x:c>
      <x:c r="G195" s="23" t="n">
        <x:v>3889.44</x:v>
      </x:c>
      <x:c r="H195" s="23" t="n">
        <x:v>7.4</x:v>
      </x:c>
      <x:c r="I195" s="24" t="n">
        <x:v>0.0019139569449846405</x:v>
      </x:c>
      <x:c r="J195" s="23" t="n">
        <x:f>ROUND(E195-F195,1)</x:f>
        <x:v>45.3</x:v>
      </x:c>
      <x:c r="K195" s="22" t="str">
        <x:v>上证指数</x:v>
      </x:c>
    </x:row>
    <x:row r="196">
      <x:c r="A196" s="22" t="n">
        <x:v>18</x:v>
      </x:c>
      <x:c r="B196" s="22" t="str">
        <x:v>周三</x:v>
      </x:c>
      <x:c r="C196" s="22" t="str">
        <x:v>8月26日</x:v>
      </x:c>
      <x:c r="D196" s="23" t="n">
        <x:v>3881.74</x:v>
      </x:c>
      <x:c r="E196" s="23" t="n">
        <x:v>3926.44</x:v>
      </x:c>
      <x:c r="F196" s="23" t="n">
        <x:v>3881.74</x:v>
      </x:c>
      <x:c r="G196" s="23" t="n">
        <x:v>3912.52</x:v>
      </x:c>
      <x:c r="H196" s="23" t="n">
        <x:v>23.1</x:v>
      </x:c>
      <x:c r="I196" s="24" t="n">
        <x:v>0.005934016207988835</x:v>
      </x:c>
      <x:c r="J196" s="23" t="n">
        <x:f>ROUND(E196-F196,1)</x:f>
        <x:v>44.7</x:v>
      </x:c>
      <x:c r="K196" s="22" t="str">
        <x:v>上证指数</x:v>
      </x:c>
    </x:row>
    <x:row r="197">
      <x:c r="A197" s="22" t="n">
        <x:v>19</x:v>
      </x:c>
      <x:c r="B197" s="22" t="str">
        <x:v>周四</x:v>
      </x:c>
      <x:c r="C197" s="22" t="str">
        <x:v>8月27日</x:v>
      </x:c>
      <x:c r="D197" s="23" t="n">
        <x:v>3911.89</x:v>
      </x:c>
      <x:c r="E197" s="23" t="n">
        <x:v>3958.03</x:v>
      </x:c>
      <x:c r="F197" s="23" t="n">
        <x:v>3909.31</x:v>
      </x:c>
      <x:c r="G197" s="23" t="n">
        <x:v>3956.57</x:v>
      </x:c>
      <x:c r="H197" s="23" t="n">
        <x:v>44.1</x:v>
      </x:c>
      <x:c r="I197" s="24" t="n">
        <x:v>0.01125872838988684</x:v>
      </x:c>
      <x:c r="J197" s="23" t="n">
        <x:f>ROUND(E197-F197,1)</x:f>
        <x:v>48.7</x:v>
      </x:c>
      <x:c r="K197" s="22" t="str">
        <x:v>上证指数</x:v>
      </x:c>
    </x:row>
    <x:row r="198">
      <x:c r="A198" s="22" t="n">
        <x:v>20</x:v>
      </x:c>
      <x:c r="B198" s="22" t="str">
        <x:v>周五</x:v>
      </x:c>
      <x:c r="C198" s="22" t="str">
        <x:v>8月28日</x:v>
      </x:c>
      <x:c r="D198" s="23" t="n">
        <x:v>3950.24</x:v>
      </x:c>
      <x:c r="E198" s="23" t="n">
        <x:v>3970.31</x:v>
      </x:c>
      <x:c r="F198" s="23" t="n">
        <x:v>3947.8</x:v>
      </x:c>
      <x:c r="G198" s="23" t="n">
        <x:v>3952.18</x:v>
      </x:c>
      <x:c r="H198" s="23" t="n">
        <x:v>-4.4</x:v>
      </x:c>
      <x:c r="I198" s="24" t="n">
        <x:v>-0.0011095469055268925</x:v>
      </x:c>
      <x:c r="J198" s="23" t="n">
        <x:f>ROUND(E198-F198,1)</x:f>
        <x:v>22.5</x:v>
      </x:c>
      <x:c r="K198" s="22" t="str">
        <x:v>上证指数</x:v>
      </x:c>
    </x:row>
    <x:row r="199">
      <x:c r="A199" s="22" t="n">
        <x:v>21</x:v>
      </x:c>
      <x:c r="B199" s="22" t="str">
        <x:v>周一</x:v>
      </x:c>
      <x:c r="C199" s="22" t="str">
        <x:v>8月31日</x:v>
      </x:c>
      <x:c r="D199" s="23" t="n">
        <x:v>3926.53</x:v>
      </x:c>
      <x:c r="E199" s="23" t="n">
        <x:v>3986.3</x:v>
      </x:c>
      <x:c r="F199" s="23" t="n">
        <x:v>3926.5</x:v>
      </x:c>
      <x:c r="G199" s="23" t="n">
        <x:v>3986.3</x:v>
      </x:c>
      <x:c r="H199" s="23" t="n">
        <x:v>34.1</x:v>
      </x:c>
      <x:c r="I199" s="24" t="n">
        <x:v>0.008633210025859261</x:v>
      </x:c>
      <x:c r="J199" s="26" t="n">
        <x:f>ROUND(E199-F199,1)</x:f>
        <x:v>59.8</x:v>
      </x:c>
      <x:c r="K199" s="22" t="str">
        <x:v>上证指数</x:v>
      </x:c>
    </x:row>
    <x:row r="200">
      <x:c r="A200" s="31" t="str">
        <x:v>合计</x:v>
      </x:c>
      <x:c r="B200" s="30" t="n">
        <x:v>21</x:v>
      </x:c>
      <x:c r="C200" s="30"/>
      <x:c r="D200" s="30"/>
      <x:c r="E200" s="30"/>
      <x:c r="F200" s="30"/>
      <x:c r="G200" s="30"/>
      <x:c r="H200" s="30"/>
      <x:c r="I200" s="30"/>
      <x:c r="J200" s="32" t="n">
        <x:f>ROUND(SUM(J179:J199),1)</x:f>
        <x:v>905.8</x:v>
      </x:c>
      <x:c r="K200" s="30"/>
    </x:row>
    <x:row r="201">
      <x:c r="A201" s="31" t="str">
        <x:v>均值</x:v>
      </x:c>
      <x:c r="B201" s="30"/>
      <x:c r="C201" s="30"/>
      <x:c r="D201" s="30"/>
      <x:c r="E201" s="30"/>
      <x:c r="F201" s="30"/>
      <x:c r="G201" s="30"/>
      <x:c r="H201" s="30"/>
      <x:c r="I201" s="30"/>
      <x:c r="J201" s="34" t="n">
        <x:f>ROUND(IFERROR(AVERAGE(J179:J199),0),1)</x:f>
        <x:v>43.1</x:v>
      </x:c>
      <x:c r="K201" s="30"/>
    </x:row>
    <x:row r="203">
      <x:c r="A203" s="17" t="str">
        <x:v>9月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>
      <x:c r="A204" s="20" t="str">
        <x:v>序号</x:v>
      </x:c>
      <x:c r="B204" s="20" t="str">
        <x:v>星期</x:v>
      </x:c>
      <x:c r="C204" s="20" t="str">
        <x:v>日期</x:v>
      </x:c>
      <x:c r="D204" s="20" t="str">
        <x:v>开盘</x:v>
      </x:c>
      <x:c r="E204" s="20" t="str">
        <x:v>高点</x:v>
      </x:c>
      <x:c r="F204" s="20" t="str">
        <x:v>低点</x:v>
      </x:c>
      <x:c r="G204" s="20" t="str">
        <x:v>收盘</x:v>
      </x:c>
      <x:c r="H204" s="20" t="str">
        <x:v>涨跌点数</x:v>
      </x:c>
      <x:c r="I204" s="20" t="str">
        <x:v>涨幅</x:v>
      </x:c>
      <x:c r="J204" s="20" t="str">
        <x:v>振幅</x:v>
      </x:c>
      <x:c r="K204" s="20" t="str">
        <x:v>标的</x:v>
      </x:c>
    </x:row>
    <x:row r="205">
      <x:c r="A205" s="22" t="n">
        <x:v>1</x:v>
      </x:c>
      <x:c r="B205" s="22" t="str">
        <x:v>周二</x:v>
      </x:c>
      <x:c r="C205" s="22" t="str">
        <x:v>9月1日</x:v>
      </x:c>
      <x:c r="D205" s="23" t="n">
        <x:v>3979.88</x:v>
      </x:c>
      <x:c r="E205" s="23" t="n">
        <x:v>3995.18</x:v>
      </x:c>
      <x:c r="F205" s="23" t="n">
        <x:v>3976.47</x:v>
      </x:c>
      <x:c r="G205" s="23" t="n">
        <x:v>3979.89</x:v>
      </x:c>
      <x:c r="H205" s="23" t="n">
        <x:v>-6.4</x:v>
      </x:c>
      <x:c r="I205" s="24" t="n">
        <x:v>-0.0016080074254322119</x:v>
      </x:c>
      <x:c r="J205" s="23" t="n">
        <x:f>ROUND(E205-F205,1)</x:f>
        <x:v>18.7</x:v>
      </x:c>
      <x:c r="K205" s="22" t="str">
        <x:v>上证指数</x:v>
      </x:c>
    </x:row>
    <x:row r="206">
      <x:c r="A206" s="22" t="n">
        <x:v>2</x:v>
      </x:c>
      <x:c r="B206" s="22" t="str">
        <x:v>周三</x:v>
      </x:c>
      <x:c r="C206" s="22" t="str">
        <x:v>9月2日</x:v>
      </x:c>
      <x:c r="D206" s="23" t="n">
        <x:v>3963.07</x:v>
      </x:c>
      <x:c r="E206" s="23" t="n">
        <x:v>3965.81</x:v>
      </x:c>
      <x:c r="F206" s="23" t="n">
        <x:v>3932.25</x:v>
      </x:c>
      <x:c r="G206" s="23" t="n">
        <x:v>3941.39</x:v>
      </x:c>
      <x:c r="H206" s="23" t="n">
        <x:v>-38.5</x:v>
      </x:c>
      <x:c r="I206" s="24" t="n">
        <x:v>-0.009673634195919933</x:v>
      </x:c>
      <x:c r="J206" s="23" t="n">
        <x:f>ROUND(E206-F206,1)</x:f>
        <x:v>33.6</x:v>
      </x:c>
      <x:c r="K206" s="22" t="str">
        <x:v>上证指数</x:v>
      </x:c>
    </x:row>
    <x:row r="207">
      <x:c r="A207" s="22" t="n">
        <x:v>3</x:v>
      </x:c>
      <x:c r="B207" s="22" t="str">
        <x:v>周四</x:v>
      </x:c>
      <x:c r="C207" s="22" t="str">
        <x:v>9月3日</x:v>
      </x:c>
      <x:c r="D207" s="23" t="n">
        <x:v>3952.79</x:v>
      </x:c>
      <x:c r="E207" s="23" t="n">
        <x:v>3968.11</x:v>
      </x:c>
      <x:c r="F207" s="23" t="n">
        <x:v>3930.45</x:v>
      </x:c>
      <x:c r="G207" s="23" t="n">
        <x:v>3942.09</x:v>
      </x:c>
      <x:c r="H207" s="23" t="n">
        <x:v>0.7</x:v>
      </x:c>
      <x:c r="I207" s="24" t="n">
        <x:v>0.0001776023179640429</x:v>
      </x:c>
      <x:c r="J207" s="23" t="n">
        <x:f>ROUND(E207-F207,1)</x:f>
        <x:v>37.7</x:v>
      </x:c>
      <x:c r="K207" s="22" t="str">
        <x:v>上证指数</x:v>
      </x:c>
    </x:row>
    <x:row r="208">
      <x:c r="A208" s="22" t="n">
        <x:v>4</x:v>
      </x:c>
      <x:c r="B208" s="22" t="str">
        <x:v>周五</x:v>
      </x:c>
      <x:c r="C208" s="22" t="str">
        <x:v>9月4日</x:v>
      </x:c>
      <x:c r="D208" s="23" t="n">
        <x:v>3955.55</x:v>
      </x:c>
      <x:c r="E208" s="23" t="n">
        <x:v>3980.2</x:v>
      </x:c>
      <x:c r="F208" s="23" t="n">
        <x:v>3915.22</x:v>
      </x:c>
      <x:c r="G208" s="23" t="n">
        <x:v>3930.12</x:v>
      </x:c>
      <x:c r="H208" s="23" t="n">
        <x:v>-12</x:v>
      </x:c>
      <x:c r="I208" s="24" t="n">
        <x:v>-0.003036460354786441</x:v>
      </x:c>
      <x:c r="J208" s="26" t="n">
        <x:f>ROUND(E208-F208,1)</x:f>
        <x:v>65</x:v>
      </x:c>
      <x:c r="K208" s="22" t="str">
        <x:v>上证指数</x:v>
      </x:c>
    </x:row>
    <x:row r="209">
      <x:c r="A209" s="22" t="n">
        <x:v>5</x:v>
      </x:c>
      <x:c r="B209" s="22" t="str">
        <x:v>周一</x:v>
      </x:c>
      <x:c r="C209" s="22" t="str">
        <x:v>9月7日</x:v>
      </x:c>
      <x:c r="D209" s="23" t="n">
        <x:v>3942.51</x:v>
      </x:c>
      <x:c r="E209" s="23" t="n">
        <x:v>3948.42</x:v>
      </x:c>
      <x:c r="F209" s="23" t="n">
        <x:v>3916.49</x:v>
      </x:c>
      <x:c r="G209" s="23" t="n">
        <x:v>3932.7</x:v>
      </x:c>
      <x:c r="H209" s="23" t="n">
        <x:v>2.6</x:v>
      </x:c>
      <x:c r="I209" s="24" t="n">
        <x:v>0.0006564685047785179</x:v>
      </x:c>
      <x:c r="J209" s="23" t="n">
        <x:f>ROUND(E209-F209,1)</x:f>
        <x:v>31.9</x:v>
      </x:c>
      <x:c r="K209" s="22" t="str">
        <x:v>上证指数</x:v>
      </x:c>
    </x:row>
    <x:row r="210">
      <x:c r="A210" s="22" t="n">
        <x:v>6</x:v>
      </x:c>
      <x:c r="B210" s="22" t="str">
        <x:v>周二</x:v>
      </x:c>
      <x:c r="C210" s="22" t="str">
        <x:v>9月8日</x:v>
      </x:c>
      <x:c r="D210" s="23" t="n">
        <x:v>3935.55</x:v>
      </x:c>
      <x:c r="E210" s="23" t="n">
        <x:v>3951.32</x:v>
      </x:c>
      <x:c r="F210" s="23" t="n">
        <x:v>3925.72</x:v>
      </x:c>
      <x:c r="G210" s="23" t="n">
        <x:v>3940.55</x:v>
      </x:c>
      <x:c r="H210" s="23" t="n">
        <x:v>7.9</x:v>
      </x:c>
      <x:c r="I210" s="24" t="n">
        <x:v>0.001996084115238883</x:v>
      </x:c>
      <x:c r="J210" s="23" t="n">
        <x:f>ROUND(E210-F210,1)</x:f>
        <x:v>25.6</x:v>
      </x:c>
      <x:c r="K210" s="22" t="str">
        <x:v>上证指数</x:v>
      </x:c>
    </x:row>
    <x:row r="211">
      <x:c r="A211" s="22" t="n">
        <x:v>7</x:v>
      </x:c>
      <x:c r="B211" s="22" t="str">
        <x:v>周三</x:v>
      </x:c>
      <x:c r="C211" s="22" t="str">
        <x:v>9月9日</x:v>
      </x:c>
      <x:c r="D211" s="23" t="n">
        <x:v>3943.92</x:v>
      </x:c>
      <x:c r="E211" s="23" t="n">
        <x:v>3958.12</x:v>
      </x:c>
      <x:c r="F211" s="23" t="n">
        <x:v>3933.47</x:v>
      </x:c>
      <x:c r="G211" s="23" t="n">
        <x:v>3951.51</x:v>
      </x:c>
      <x:c r="H211" s="23" t="n">
        <x:v>11</x:v>
      </x:c>
      <x:c r="I211" s="24" t="n">
        <x:v>0.0027813376305338977</x:v>
      </x:c>
      <x:c r="J211" s="23" t="n">
        <x:f>ROUND(E211-F211,1)</x:f>
        <x:v>24.7</x:v>
      </x:c>
      <x:c r="K211" s="22" t="str">
        <x:v>上证指数</x:v>
      </x:c>
    </x:row>
    <x:row r="212">
      <x:c r="A212" s="22" t="n">
        <x:v>8</x:v>
      </x:c>
      <x:c r="B212" s="22" t="str">
        <x:v>周四</x:v>
      </x:c>
      <x:c r="C212" s="22" t="str">
        <x:v>9月10日</x:v>
      </x:c>
      <x:c r="D212" s="23" t="n">
        <x:v>3939.09</x:v>
      </x:c>
      <x:c r="E212" s="23" t="n">
        <x:v>3949.25</x:v>
      </x:c>
      <x:c r="F212" s="23" t="n">
        <x:v>3927.35</x:v>
      </x:c>
      <x:c r="G212" s="23" t="n">
        <x:v>3934.4</x:v>
      </x:c>
      <x:c r="H212" s="23" t="n">
        <x:v>-17.1</x:v>
      </x:c>
      <x:c r="I212" s="24" t="n">
        <x:v>-0.004329990307502696</x:v>
      </x:c>
      <x:c r="J212" s="23" t="n">
        <x:f>ROUND(E212-F212,1)</x:f>
        <x:v>21.9</x:v>
      </x:c>
      <x:c r="K212" s="22" t="str">
        <x:v>上证指数</x:v>
      </x:c>
    </x:row>
    <x:row r="213">
      <x:c r="A213" s="22" t="n">
        <x:v>9</x:v>
      </x:c>
      <x:c r="B213" s="22" t="str">
        <x:v>周五</x:v>
      </x:c>
      <x:c r="C213" s="22" t="str">
        <x:v>9月11日</x:v>
      </x:c>
      <x:c r="D213" s="23" t="n">
        <x:v>3910.92</x:v>
      </x:c>
      <x:c r="E213" s="23" t="n">
        <x:v>3912.32</x:v>
      </x:c>
      <x:c r="F213" s="23" t="n">
        <x:v>3852.03</x:v>
      </x:c>
      <x:c r="G213" s="23" t="n">
        <x:v>3888.11</x:v>
      </x:c>
      <x:c r="H213" s="23" t="n">
        <x:v>-46.3</x:v>
      </x:c>
      <x:c r="I213" s="24" t="n">
        <x:v>-0.011765453436356266</x:v>
      </x:c>
      <x:c r="J213" s="26" t="n">
        <x:f>ROUND(E213-F213,1)</x:f>
        <x:v>60.3</x:v>
      </x:c>
      <x:c r="K213" s="22" t="str">
        <x:v>上证指数</x:v>
      </x:c>
    </x:row>
    <x:row r="214">
      <x:c r="A214" s="22" t="n">
        <x:v>10</x:v>
      </x:c>
      <x:c r="B214" s="22" t="str">
        <x:v>周一</x:v>
      </x:c>
      <x:c r="C214" s="22" t="str">
        <x:v>9月14日</x:v>
      </x:c>
      <x:c r="D214" s="23" t="n">
        <x:v>3867.02</x:v>
      </x:c>
      <x:c r="E214" s="23" t="n">
        <x:v>3895.51</x:v>
      </x:c>
      <x:c r="F214" s="23" t="n">
        <x:v>3867.02</x:v>
      </x:c>
      <x:c r="G214" s="23" t="n">
        <x:v>3885.33</x:v>
      </x:c>
      <x:c r="H214" s="23" t="n">
        <x:v>-2.8</x:v>
      </x:c>
      <x:c r="I214" s="24" t="n">
        <x:v>-0.0007150003472125022</x:v>
      </x:c>
      <x:c r="J214" s="23" t="n">
        <x:f>ROUND(E214-F214,1)</x:f>
        <x:v>28.5</x:v>
      </x:c>
      <x:c r="K214" s="22" t="str">
        <x:v>上证指数</x:v>
      </x:c>
    </x:row>
    <x:row r="215">
      <x:c r="A215" s="22" t="n">
        <x:v>11</x:v>
      </x:c>
      <x:c r="B215" s="22" t="str">
        <x:v>周二</x:v>
      </x:c>
      <x:c r="C215" s="22" t="str">
        <x:v>9月15日</x:v>
      </x:c>
      <x:c r="D215" s="23" t="n">
        <x:v>3879.73</x:v>
      </x:c>
      <x:c r="E215" s="23" t="n">
        <x:v>3891.62</x:v>
      </x:c>
      <x:c r="F215" s="23" t="n">
        <x:v>3858.15</x:v>
      </x:c>
      <x:c r="G215" s="23" t="n">
        <x:v>3864.28</x:v>
      </x:c>
      <x:c r="H215" s="23" t="n">
        <x:v>-21</x:v>
      </x:c>
      <x:c r="I215" s="24" t="n">
        <x:v>-0.005417815217754973</x:v>
      </x:c>
      <x:c r="J215" s="23" t="n">
        <x:f>ROUND(E215-F215,1)</x:f>
        <x:v>33.5</x:v>
      </x:c>
      <x:c r="K215" s="22" t="str">
        <x:v>上证指数</x:v>
      </x:c>
    </x:row>
    <x:row r="216">
      <x:c r="A216" s="22" t="n">
        <x:v>12</x:v>
      </x:c>
      <x:c r="B216" s="22" t="str">
        <x:v>周三</x:v>
      </x:c>
      <x:c r="C216" s="22" t="str">
        <x:v>9月16日</x:v>
      </x:c>
      <x:c r="D216" s="23" t="n">
        <x:v>3861.75</x:v>
      </x:c>
      <x:c r="E216" s="23" t="n">
        <x:v>3894.66</x:v>
      </x:c>
      <x:c r="F216" s="23" t="n">
        <x:v>3842.72</x:v>
      </x:c>
      <x:c r="G216" s="23" t="n">
        <x:v>3891.6</x:v>
      </x:c>
      <x:c r="H216" s="23" t="n">
        <x:v>27.3</x:v>
      </x:c>
      <x:c r="I216" s="24" t="n">
        <x:v>0.007069881064519112</x:v>
      </x:c>
      <x:c r="J216" s="26" t="n">
        <x:f>ROUND(E216-F216,1)</x:f>
        <x:v>51.9</x:v>
      </x:c>
      <x:c r="K216" s="22" t="str">
        <x:v>上证指数</x:v>
      </x:c>
    </x:row>
    <x:row r="217">
      <x:c r="A217" s="22" t="n">
        <x:v>13</x:v>
      </x:c>
      <x:c r="B217" s="22" t="str">
        <x:v>周四</x:v>
      </x:c>
      <x:c r="C217" s="22" t="str">
        <x:v>9月17日</x:v>
      </x:c>
      <x:c r="D217" s="23" t="n">
        <x:v>3877</x:v>
      </x:c>
      <x:c r="E217" s="23" t="n">
        <x:v>3898.84</x:v>
      </x:c>
      <x:c r="F217" s="23" t="n">
        <x:v>3866.89</x:v>
      </x:c>
      <x:c r="G217" s="23" t="n">
        <x:v>3875.6</x:v>
      </x:c>
      <x:c r="H217" s="23" t="n">
        <x:v>-16</x:v>
      </x:c>
      <x:c r="I217" s="24" t="n">
        <x:v>-0.004111419467571209</x:v>
      </x:c>
      <x:c r="J217" s="23" t="n">
        <x:f>ROUND(E217-F217,1)</x:f>
        <x:v>32</x:v>
      </x:c>
      <x:c r="K217" s="22" t="str">
        <x:v>上证指数</x:v>
      </x:c>
    </x:row>
    <x:row r="218">
      <x:c r="A218" s="41" t="n">
        <x:v>14</x:v>
      </x:c>
      <x:c r="B218" s="41" t="str">
        <x:v>周五</x:v>
      </x:c>
      <x:c r="C218" s="41" t="str">
        <x:v>9月18日</x:v>
      </x:c>
      <x:c r="D218" s="42" t="n">
        <x:v>3891.96</x:v>
      </x:c>
      <x:c r="E218" s="42" t="n">
        <x:v>3919.67</x:v>
      </x:c>
      <x:c r="F218" s="42" t="n">
        <x:v>3888.5</x:v>
      </x:c>
      <x:c r="G218" s="42" t="n">
        <x:v>3911.87</x:v>
      </x:c>
      <x:c r="H218" s="42" t="n">
        <x:v>36.3</x:v>
      </x:c>
      <x:c r="I218" s="43" t="n">
        <x:v>0.009358550934049026</x:v>
      </x:c>
      <x:c r="J218" s="42" t="n">
        <x:f>ROUND(E218-F218,1)</x:f>
        <x:v>31.2</x:v>
      </x:c>
      <x:c r="K218" s="41" t="str">
        <x:v>上证指数</x:v>
      </x:c>
    </x:row>
    <x:row r="219">
      <x:c r="A219" s="22" t="n">
        <x:v>15</x:v>
      </x:c>
      <x:c r="B219" s="22" t="str">
        <x:v>周一</x:v>
      </x:c>
      <x:c r="C219" s="22" t="str">
        <x:v>9月21日</x:v>
      </x:c>
      <x:c r="D219" s="23" t="n">
        <x:v>3920.27</x:v>
      </x:c>
      <x:c r="E219" s="23" t="n">
        <x:v>3950.94</x:v>
      </x:c>
      <x:c r="F219" s="23" t="n">
        <x:v>3918.13</x:v>
      </x:c>
      <x:c r="G219" s="23" t="n">
        <x:v>3949.91</x:v>
      </x:c>
      <x:c r="H219" s="23" t="n">
        <x:v>38</x:v>
      </x:c>
      <x:c r="I219" s="24" t="n">
        <x:v>0.009724249527719442</x:v>
      </x:c>
      <x:c r="J219" s="23" t="n">
        <x:f>ROUND(E219-F219,1)</x:f>
        <x:v>32.8</x:v>
      </x:c>
      <x:c r="K219" s="22" t="str">
        <x:v>上证指数</x:v>
      </x:c>
    </x:row>
    <x:row r="220">
      <x:c r="A220" s="22" t="n">
        <x:v>16</x:v>
      </x:c>
      <x:c r="B220" s="22" t="str">
        <x:v>周二</x:v>
      </x:c>
      <x:c r="C220" s="22" t="str">
        <x:v>9月22日</x:v>
      </x:c>
      <x:c r="D220" s="23" t="n">
        <x:v>3963.81</x:v>
      </x:c>
      <x:c r="E220" s="23" t="n">
        <x:v>3967.68</x:v>
      </x:c>
      <x:c r="F220" s="23" t="n">
        <x:v>3945.42</x:v>
      </x:c>
      <x:c r="G220" s="23" t="n">
        <x:v>3952.13</x:v>
      </x:c>
      <x:c r="H220" s="23" t="n">
        <x:v>2.2</x:v>
      </x:c>
      <x:c r="I220" s="24" t="n">
        <x:v>0.0005620381223876425</x:v>
      </x:c>
      <x:c r="J220" s="23" t="n">
        <x:f>ROUND(E220-F220,1)</x:f>
        <x:v>22.3</x:v>
      </x:c>
      <x:c r="K220" s="22" t="str">
        <x:v>上证指数</x:v>
      </x:c>
    </x:row>
    <x:row r="221">
      <x:c r="A221" s="22" t="n">
        <x:v>17</x:v>
      </x:c>
      <x:c r="B221" s="22" t="str">
        <x:v>周三</x:v>
      </x:c>
      <x:c r="C221" s="22" t="str">
        <x:v>9月23日</x:v>
      </x:c>
      <x:c r="D221" s="23" t="n">
        <x:v>3951.37</x:v>
      </x:c>
      <x:c r="E221" s="23" t="n">
        <x:v>3951.52</x:v>
      </x:c>
      <x:c r="F221" s="23" t="n">
        <x:v>3934.46</x:v>
      </x:c>
      <x:c r="G221" s="23" t="n">
        <x:v>3936.52</x:v>
      </x:c>
      <x:c r="H221" s="23" t="n">
        <x:v>-15.6</x:v>
      </x:c>
      <x:c r="I221" s="24" t="n">
        <x:v>-0.003949768858817926</x:v>
      </x:c>
      <x:c r="J221" s="23" t="n">
        <x:f>ROUND(E221-F221,1)</x:f>
        <x:v>17.1</x:v>
      </x:c>
      <x:c r="K221" s="22" t="str">
        <x:v>上证指数</x:v>
      </x:c>
    </x:row>
    <x:row r="222">
      <x:c r="A222" s="22" t="n">
        <x:v>18</x:v>
      </x:c>
      <x:c r="B222" s="22" t="str">
        <x:v>周四</x:v>
      </x:c>
      <x:c r="C222" s="22" t="str">
        <x:v>9月24日</x:v>
      </x:c>
      <x:c r="D222" s="23" t="n">
        <x:v>3925.32</x:v>
      </x:c>
      <x:c r="E222" s="23" t="n">
        <x:v>3930.5</x:v>
      </x:c>
      <x:c r="F222" s="23" t="n">
        <x:v>3888.37</x:v>
      </x:c>
      <x:c r="G222" s="23" t="n">
        <x:v>3888.37</x:v>
      </x:c>
      <x:c r="H222" s="23" t="n">
        <x:v>-48.2</x:v>
      </x:c>
      <x:c r="I222" s="24" t="n">
        <x:v>-0.012231615741822743</x:v>
      </x:c>
      <x:c r="J222" s="23" t="n">
        <x:f>ROUND(E222-F222,1)</x:f>
        <x:v>42.1</x:v>
      </x:c>
      <x:c r="K222" s="22" t="str">
        <x:v>上证指数</x:v>
      </x:c>
    </x:row>
    <x:row r="223">
      <x:c r="A223" s="22" t="n">
        <x:v>19</x:v>
      </x:c>
      <x:c r="B223" s="22" t="str">
        <x:v>周一</x:v>
      </x:c>
      <x:c r="C223" s="22" t="str">
        <x:v>9月28日</x:v>
      </x:c>
      <x:c r="D223" s="23" t="n">
        <x:v>3878.41</x:v>
      </x:c>
      <x:c r="E223" s="23" t="n">
        <x:v>3878.41</x:v>
      </x:c>
      <x:c r="F223" s="23" t="n">
        <x:v>3806.67</x:v>
      </x:c>
      <x:c r="G223" s="23" t="n">
        <x:v>3823.62</x:v>
      </x:c>
      <x:c r="H223" s="23" t="n">
        <x:v>-64.7</x:v>
      </x:c>
      <x:c r="I223" s="24" t="n">
        <x:v>-0.016652221882176854</x:v>
      </x:c>
      <x:c r="J223" s="26" t="n">
        <x:f>ROUND(E223-F223,1)</x:f>
        <x:v>71.7</x:v>
      </x:c>
      <x:c r="K223" s="22" t="str">
        <x:v>上证指数</x:v>
      </x:c>
    </x:row>
    <x:row r="224">
      <x:c r="A224" s="22" t="n">
        <x:v>20</x:v>
      </x:c>
      <x:c r="B224" s="22" t="str">
        <x:v>周二</x:v>
      </x:c>
      <x:c r="C224" s="22" t="str">
        <x:v>9月29日</x:v>
      </x:c>
      <x:c r="D224" s="23" t="n">
        <x:v>3816.15</x:v>
      </x:c>
      <x:c r="E224" s="23" t="n">
        <x:v>3843.84</x:v>
      </x:c>
      <x:c r="F224" s="23" t="n">
        <x:v>3810.81</x:v>
      </x:c>
      <x:c r="G224" s="23" t="n">
        <x:v>3830.45</x:v>
      </x:c>
      <x:c r="H224" s="23" t="n">
        <x:v>6.8</x:v>
      </x:c>
      <x:c r="I224" s="24" t="n">
        <x:v>0.0017862653715587928</x:v>
      </x:c>
      <x:c r="J224" s="23" t="n">
        <x:f>ROUND(E224-F224,1)</x:f>
        <x:v>33</x:v>
      </x:c>
      <x:c r="K224" s="22" t="str">
        <x:v>上证指数</x:v>
      </x:c>
    </x:row>
    <x:row r="225">
      <x:c r="A225" s="22" t="n">
        <x:v>21</x:v>
      </x:c>
      <x:c r="B225" s="22" t="str">
        <x:v>周三</x:v>
      </x:c>
      <x:c r="C225" s="22" t="str">
        <x:v>9月30日</x:v>
      </x:c>
      <x:c r="D225" s="23" t="n">
        <x:v>3839.25</x:v>
      </x:c>
      <x:c r="E225" s="23" t="n">
        <x:v>3851.22</x:v>
      </x:c>
      <x:c r="F225" s="23" t="n">
        <x:v>3833.09</x:v>
      </x:c>
      <x:c r="G225" s="23" t="n">
        <x:v>3842.19</x:v>
      </x:c>
      <x:c r="H225" s="23" t="n">
        <x:v>11.7</x:v>
      </x:c>
      <x:c r="I225" s="24" t="n">
        <x:v>0.0030649140440419664</x:v>
      </x:c>
      <x:c r="J225" s="23" t="n">
        <x:f>ROUND(E225-F225,1)</x:f>
        <x:v>18.1</x:v>
      </x:c>
      <x:c r="K225" s="22" t="str">
        <x:v>上证指数</x:v>
      </x:c>
    </x:row>
    <x:row r="226">
      <x:c r="A226" s="31" t="str">
        <x:v>合计</x:v>
      </x:c>
      <x:c r="B226" s="30" t="n">
        <x:v>21</x:v>
      </x:c>
      <x:c r="C226" s="30"/>
      <x:c r="D226" s="30"/>
      <x:c r="E226" s="30"/>
      <x:c r="F226" s="30"/>
      <x:c r="G226" s="30"/>
      <x:c r="H226" s="30"/>
      <x:c r="I226" s="30"/>
      <x:c r="J226" s="32" t="n">
        <x:f>ROUND(SUM(J205:J225),1)</x:f>
        <x:v>733.6</x:v>
      </x:c>
      <x:c r="K226" s="30"/>
    </x:row>
    <x:row r="227">
      <x:c r="A227" s="31" t="str">
        <x:v>均值</x:v>
      </x:c>
      <x:c r="B227" s="30"/>
      <x:c r="C227" s="30"/>
      <x:c r="D227" s="30"/>
      <x:c r="E227" s="30"/>
      <x:c r="F227" s="30"/>
      <x:c r="G227" s="30"/>
      <x:c r="H227" s="30"/>
      <x:c r="I227" s="30"/>
      <x:c r="J227" s="34" t="n">
        <x:f>ROUND(IFERROR(AVERAGE(J205:J225),0),1)</x:f>
        <x:v>34.9</x:v>
      </x:c>
      <x:c r="K227" s="30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涨跌点数</x:v>
      </x:c>
      <x:c r="I230" s="20" t="str">
        <x:v>涨幅</x:v>
      </x:c>
      <x:c r="J230" s="20" t="str">
        <x:v>振幅</x:v>
      </x:c>
      <x:c r="K230" s="20" t="str">
        <x:v>标的</x:v>
      </x:c>
    </x:row>
    <x:row r="231">
      <x:c r="A231" s="22" t="n">
        <x:v>1</x:v>
      </x:c>
      <x:c r="B231" s="22" t="str">
        <x:v>周四</x:v>
      </x:c>
      <x:c r="C231" s="22" t="str">
        <x:v>10月8日</x:v>
      </x:c>
      <x:c r="D231" s="23" t="n">
        <x:v>3838.98</x:v>
      </x:c>
      <x:c r="E231" s="23" t="n">
        <x:v>3864.12</x:v>
      </x:c>
      <x:c r="F231" s="23" t="n">
        <x:v>3795.37</x:v>
      </x:c>
      <x:c r="G231" s="23" t="n">
        <x:v>3811.9</x:v>
      </x:c>
      <x:c r="H231" s="23" t="n">
        <x:v>-30.3</x:v>
      </x:c>
      <x:c r="I231" s="24" t="n">
        <x:v>-0.007883524760618266</x:v>
      </x:c>
      <x:c r="J231" s="26" t="n">
        <x:f>ROUND(E231-F231,1)</x:f>
        <x:v>68.8</x:v>
      </x:c>
      <x:c r="K231" s="22" t="str">
        <x:v>上证指数</x:v>
      </x:c>
    </x:row>
    <x:row r="232">
      <x:c r="A232" s="22" t="n">
        <x:v>2</x:v>
      </x:c>
      <x:c r="B232" s="22" t="str">
        <x:v>周五</x:v>
      </x:c>
      <x:c r="C232" s="22" t="str">
        <x:v>10月9日</x:v>
      </x:c>
      <x:c r="D232" s="23" t="n">
        <x:v>3804.09</x:v>
      </x:c>
      <x:c r="E232" s="23" t="n">
        <x:v>3824.71</x:v>
      </x:c>
      <x:c r="F232" s="23" t="n">
        <x:v>3754.14</x:v>
      </x:c>
      <x:c r="G232" s="23" t="n">
        <x:v>3813.79</x:v>
      </x:c>
      <x:c r="H232" s="23" t="n">
        <x:v>1.9</x:v>
      </x:c>
      <x:c r="I232" s="24" t="n">
        <x:v>0.0004958157349352899</x:v>
      </x:c>
      <x:c r="J232" s="26" t="n">
        <x:f>ROUND(E232-F232,1)</x:f>
        <x:v>70.6</x:v>
      </x:c>
      <x:c r="K232" s="22" t="str">
        <x:v>上证指数</x:v>
      </x:c>
    </x:row>
    <x:row r="233">
      <x:c r="A233" s="22" t="n">
        <x:v>3</x:v>
      </x:c>
      <x:c r="B233" s="22" t="str">
        <x:v>周一</x:v>
      </x:c>
      <x:c r="C233" s="22" t="str">
        <x:v>10月12日</x:v>
      </x:c>
      <x:c r="D233" s="23" t="n">
        <x:v>3806.98</x:v>
      </x:c>
      <x:c r="E233" s="23" t="n">
        <x:v>3828.22</x:v>
      </x:c>
      <x:c r="F233" s="23" t="n">
        <x:v>3791</x:v>
      </x:c>
      <x:c r="G233" s="23" t="n">
        <x:v>3797.24</x:v>
      </x:c>
      <x:c r="H233" s="23" t="n">
        <x:v>-16.6</x:v>
      </x:c>
      <x:c r="I233" s="24" t="n">
        <x:v>-0.00433951528531995</x:v>
      </x:c>
      <x:c r="J233" s="23" t="n">
        <x:f>ROUND(E233-F233,1)</x:f>
        <x:v>37.2</x:v>
      </x:c>
      <x:c r="K233" s="22" t="str">
        <x:v>上证指数</x:v>
      </x:c>
    </x:row>
    <x:row r="234">
      <x:c r="A234" s="22" t="n">
        <x:v>4</x:v>
      </x:c>
      <x:c r="B234" s="22" t="str">
        <x:v>周二</x:v>
      </x:c>
      <x:c r="C234" s="22" t="str">
        <x:v>10月13日</x:v>
      </x:c>
      <x:c r="D234" s="23" t="n">
        <x:v>3760.8</x:v>
      </x:c>
      <x:c r="E234" s="23" t="n">
        <x:v>3822.11</x:v>
      </x:c>
      <x:c r="F234" s="23" t="n">
        <x:v>3741.53</x:v>
      </x:c>
      <x:c r="G234" s="23" t="n">
        <x:v>3800.86</x:v>
      </x:c>
      <x:c r="H234" s="23" t="n">
        <x:v>3.6</x:v>
      </x:c>
      <x:c r="I234" s="24" t="n">
        <x:v>0.0009533239932162374</x:v>
      </x:c>
      <x:c r="J234" s="26" t="n">
        <x:f>ROUND(E234-F234,1)</x:f>
        <x:v>80.6</x:v>
      </x:c>
      <x:c r="K234" s="22" t="str">
        <x:v>上证指数</x:v>
      </x:c>
    </x:row>
    <x:row r="235">
      <x:c r="A235" s="22" t="n">
        <x:v>5</x:v>
      </x:c>
      <x:c r="B235" s="22" t="str">
        <x:v>周三</x:v>
      </x:c>
      <x:c r="C235" s="22" t="str">
        <x:v>10月14日</x:v>
      </x:c>
      <x:c r="D235" s="23" t="n">
        <x:v>3790.63</x:v>
      </x:c>
      <x:c r="E235" s="23" t="n">
        <x:v>3811.81</x:v>
      </x:c>
      <x:c r="F235" s="23" t="n">
        <x:v>3761.96</x:v>
      </x:c>
      <x:c r="G235" s="23" t="n">
        <x:v>3767.23</x:v>
      </x:c>
      <x:c r="H235" s="23" t="n">
        <x:v>-33.6</x:v>
      </x:c>
      <x:c r="I235" s="24" t="n">
        <x:v>-0.00884799755844734</x:v>
      </x:c>
      <x:c r="J235" s="23" t="n">
        <x:f>ROUND(E235-F235,1)</x:f>
        <x:v>49.8</x:v>
      </x:c>
      <x:c r="K235" s="22" t="str">
        <x:v>上证指数</x:v>
      </x:c>
    </x:row>
    <x:row r="236">
      <x:c r="A236" s="22" t="n">
        <x:v>6</x:v>
      </x:c>
      <x:c r="B236" s="22" t="str">
        <x:v>周四</x:v>
      </x:c>
      <x:c r="C236" s="22" t="str">
        <x:v>10月15日</x:v>
      </x:c>
      <x:c r="D236" s="23" t="n">
        <x:v>3710.7</x:v>
      </x:c>
      <x:c r="E236" s="23" t="n">
        <x:v>3724.56</x:v>
      </x:c>
      <x:c r="F236" s="23" t="n">
        <x:v>3674.82</x:v>
      </x:c>
      <x:c r="G236" s="23" t="n">
        <x:v>3707.48</x:v>
      </x:c>
      <x:c r="H236" s="23" t="n">
        <x:v>-59.7</x:v>
      </x:c>
      <x:c r="I236" s="24" t="n">
        <x:v>-0.015860459807338523</x:v>
      </x:c>
      <x:c r="J236" s="23" t="n">
        <x:f>ROUND(E236-F236,1)</x:f>
        <x:v>49.7</x:v>
      </x:c>
      <x:c r="K236" s="22" t="str">
        <x:v>上证指数</x:v>
      </x:c>
    </x:row>
    <x:row r="237">
      <x:c r="A237" s="41" t="n">
        <x:v>7</x:v>
      </x:c>
      <x:c r="B237" s="41" t="str">
        <x:v>周五</x:v>
      </x:c>
      <x:c r="C237" s="41" t="str">
        <x:v>10月16日</x:v>
      </x:c>
      <x:c r="D237" s="42" t="n">
        <x:v>3723.8</x:v>
      </x:c>
      <x:c r="E237" s="42" t="n">
        <x:v>3750.77</x:v>
      </x:c>
      <x:c r="F237" s="42" t="n">
        <x:v>3681.28</x:v>
      </x:c>
      <x:c r="G237" s="42" t="n">
        <x:v>3716.28</x:v>
      </x:c>
      <x:c r="H237" s="42" t="n">
        <x:v>8.8</x:v>
      </x:c>
      <x:c r="I237" s="43" t="n">
        <x:v>0.0023735798979360734</x:v>
      </x:c>
      <x:c r="J237" s="26" t="n">
        <x:f>ROUND(E237-F237,1)</x:f>
        <x:v>69.5</x:v>
      </x:c>
      <x:c r="K237" s="41" t="str">
        <x:v>上证指数</x:v>
      </x:c>
    </x:row>
    <x:row r="238">
      <x:c r="A238" s="31" t="str">
        <x:v>合计</x:v>
      </x:c>
      <x:c r="B238" s="30" t="n">
        <x:v>7</x:v>
      </x:c>
      <x:c r="C238" s="30"/>
      <x:c r="D238" s="30"/>
      <x:c r="E238" s="30"/>
      <x:c r="F238" s="30"/>
      <x:c r="G238" s="30"/>
      <x:c r="H238" s="30"/>
      <x:c r="I238" s="30"/>
      <x:c r="J238" s="32" t="n">
        <x:f>ROUND(SUM(J231:J237),1)</x:f>
        <x:v>426.2</x:v>
      </x:c>
      <x:c r="K238" s="30"/>
    </x:row>
    <x:row r="239">
      <x:c r="A239" s="31" t="str">
        <x:v>均值</x:v>
      </x:c>
      <x:c r="B239" s="30"/>
      <x:c r="C239" s="30"/>
      <x:c r="D239" s="30"/>
      <x:c r="E239" s="30"/>
      <x:c r="F239" s="30"/>
      <x:c r="G239" s="30"/>
      <x:c r="H239" s="30"/>
      <x:c r="I239" s="30"/>
      <x:c r="J239" s="34" t="n">
        <x:f>ROUND(IFERROR(AVERAGE(J231:J237),0),1)</x:f>
        <x:v>60.9</x:v>
      </x:c>
      <x:c r="K239" s="30"/>
    </x:row>
  </x:sheetData>
  <x:mergeCells>
    <x:mergeCell ref="A1:K1"/>
    <x:mergeCell ref="A3:K3"/>
    <x:mergeCell ref="A28:K28"/>
    <x:mergeCell ref="A47:K47"/>
    <x:mergeCell ref="A74:K74"/>
    <x:mergeCell ref="A100:K100"/>
    <x:mergeCell ref="A123:K123"/>
    <x:mergeCell ref="A149:K149"/>
    <x:mergeCell ref="A177:K177"/>
    <x:mergeCell ref="A203:K203"/>
    <x:mergeCell ref="A229:K2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2026年统计 - IM主力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2" t="n">
        <x:v>1</x:v>
      </x:c>
      <x:c r="B5" s="22" t="str">
        <x:v>周一</x:v>
      </x:c>
      <x:c r="C5" s="22" t="str">
        <x:v>1月5日</x:v>
      </x:c>
      <x:c r="D5" s="23" t="n">
        <x:v>7491.6</x:v>
      </x:c>
      <x:c r="E5" s="23" t="n">
        <x:v>7641</x:v>
      </x:c>
      <x:c r="F5" s="23" t="n">
        <x:v>7462.2</x:v>
      </x:c>
      <x:c r="G5" s="23" t="n">
        <x:v>7639</x:v>
      </x:c>
      <x:c r="H5" s="28" t="n">
        <x:v>202.8</x:v>
      </x:c>
      <x:c r="I5" s="24" t="n">
        <x:v>0.02727199376025391</x:v>
      </x:c>
      <x:c r="J5" s="23" t="n">
        <x:f>ROUND(E5-F5,1)</x:f>
        <x:v>178.8</x:v>
      </x:c>
      <x:c r="K5" s="22" t="str">
        <x:v>IM2603</x:v>
      </x:c>
    </x:row>
    <x:row r="6">
      <x:c r="A6" s="22" t="n">
        <x:v>2</x:v>
      </x:c>
      <x:c r="B6" s="22" t="str">
        <x:v>周二</x:v>
      </x:c>
      <x:c r="C6" s="22" t="str">
        <x:v>1月6日</x:v>
      </x:c>
      <x:c r="D6" s="23" t="n">
        <x:v>7650</x:v>
      </x:c>
      <x:c r="E6" s="23" t="n">
        <x:v>7763.8</x:v>
      </x:c>
      <x:c r="F6" s="23" t="n">
        <x:v>7644.6</x:v>
      </x:c>
      <x:c r="G6" s="23" t="n">
        <x:v>7762.4</x:v>
      </x:c>
      <x:c r="H6" s="23" t="n">
        <x:v>123.4</x:v>
      </x:c>
      <x:c r="I6" s="24" t="n">
        <x:v>0.016153946851682033</x:v>
      </x:c>
      <x:c r="J6" s="23" t="n">
        <x:f>ROUND(E6-F6,1)</x:f>
        <x:v>119.2</x:v>
      </x:c>
      <x:c r="K6" s="22" t="str">
        <x:v>IM2603</x:v>
      </x:c>
    </x:row>
    <x:row r="7">
      <x:c r="A7" s="22" t="n">
        <x:v>3</x:v>
      </x:c>
      <x:c r="B7" s="22" t="str">
        <x:v>周三</x:v>
      </x:c>
      <x:c r="C7" s="22" t="str">
        <x:v>1月7日</x:v>
      </x:c>
      <x:c r="D7" s="23" t="n">
        <x:v>7778.2</x:v>
      </x:c>
      <x:c r="E7" s="23" t="n">
        <x:v>7795.8</x:v>
      </x:c>
      <x:c r="F7" s="23" t="n">
        <x:v>7730</x:v>
      </x:c>
      <x:c r="G7" s="23" t="n">
        <x:v>7760.2</x:v>
      </x:c>
      <x:c r="H7" s="23" t="n">
        <x:v>-2.2</x:v>
      </x:c>
      <x:c r="I7" s="24" t="n">
        <x:v>-0.00028341749974236663</x:v>
      </x:c>
      <x:c r="J7" s="23" t="n">
        <x:f>ROUND(E7-F7,1)</x:f>
        <x:v>65.8</x:v>
      </x:c>
      <x:c r="K7" s="22" t="str">
        <x:v>IM2603</x:v>
      </x:c>
    </x:row>
    <x:row r="8">
      <x:c r="A8" s="22" t="n">
        <x:v>4</x:v>
      </x:c>
      <x:c r="B8" s="22" t="str">
        <x:v>周四</x:v>
      </x:c>
      <x:c r="C8" s="22" t="str">
        <x:v>1月8日</x:v>
      </x:c>
      <x:c r="D8" s="23" t="n">
        <x:v>7740.8</x:v>
      </x:c>
      <x:c r="E8" s="23" t="n">
        <x:v>7863.8</x:v>
      </x:c>
      <x:c r="F8" s="23" t="n">
        <x:v>7739</x:v>
      </x:c>
      <x:c r="G8" s="23" t="n">
        <x:v>7820.6</x:v>
      </x:c>
      <x:c r="H8" s="23" t="n">
        <x:v>60.4</x:v>
      </x:c>
      <x:c r="I8" s="24" t="n">
        <x:v>0.007783304554006332</x:v>
      </x:c>
      <x:c r="J8" s="23" t="n">
        <x:f>ROUND(E8-F8,1)</x:f>
        <x:v>124.8</x:v>
      </x:c>
      <x:c r="K8" s="22" t="str">
        <x:v>IM2603</x:v>
      </x:c>
    </x:row>
    <x:row r="9">
      <x:c r="A9" s="22" t="n">
        <x:v>5</x:v>
      </x:c>
      <x:c r="B9" s="22" t="str">
        <x:v>周五</x:v>
      </x:c>
      <x:c r="C9" s="22" t="str">
        <x:v>1月9日</x:v>
      </x:c>
      <x:c r="D9" s="23" t="n">
        <x:v>7815</x:v>
      </x:c>
      <x:c r="E9" s="23" t="n">
        <x:v>8049.4</x:v>
      </x:c>
      <x:c r="F9" s="23" t="n">
        <x:v>7815</x:v>
      </x:c>
      <x:c r="G9" s="23" t="n">
        <x:v>8048.4</x:v>
      </x:c>
      <x:c r="H9" s="28" t="n">
        <x:v>227.8</x:v>
      </x:c>
      <x:c r="I9" s="24" t="n">
        <x:v>0.029128199882361816</x:v>
      </x:c>
      <x:c r="J9" s="26" t="n">
        <x:f>ROUND(E9-F9,1)</x:f>
        <x:v>234.4</x:v>
      </x:c>
      <x:c r="K9" s="22" t="str">
        <x:v>IM2603</x:v>
      </x:c>
    </x:row>
    <x:row r="10">
      <x:c r="A10" s="22" t="n">
        <x:v>6</x:v>
      </x:c>
      <x:c r="B10" s="22" t="str">
        <x:v>周一</x:v>
      </x:c>
      <x:c r="C10" s="22" t="str">
        <x:v>1月12日</x:v>
      </x:c>
      <x:c r="D10" s="23" t="n">
        <x:v>8131</x:v>
      </x:c>
      <x:c r="E10" s="23" t="n">
        <x:v>8346</x:v>
      </x:c>
      <x:c r="F10" s="23" t="n">
        <x:v>8056.2</x:v>
      </x:c>
      <x:c r="G10" s="23" t="n">
        <x:v>8311.4</x:v>
      </x:c>
      <x:c r="H10" s="28" t="n">
        <x:v>263</x:v>
      </x:c>
      <x:c r="I10" s="24" t="n">
        <x:v>0.03267730232095811</x:v>
      </x:c>
      <x:c r="J10" s="26" t="n">
        <x:f>ROUND(E10-F10,1)</x:f>
        <x:v>289.8</x:v>
      </x:c>
      <x:c r="K10" s="22" t="str">
        <x:v>IM2603</x:v>
      </x:c>
    </x:row>
    <x:row r="11">
      <x:c r="A11" s="22" t="n">
        <x:v>7</x:v>
      </x:c>
      <x:c r="B11" s="22" t="str">
        <x:v>周二</x:v>
      </x:c>
      <x:c r="C11" s="22" t="str">
        <x:v>1月13日</x:v>
      </x:c>
      <x:c r="D11" s="23" t="n">
        <x:v>8324.8</x:v>
      </x:c>
      <x:c r="E11" s="23" t="n">
        <x:v>8335</x:v>
      </x:c>
      <x:c r="F11" s="23" t="n">
        <x:v>8115</x:v>
      </x:c>
      <x:c r="G11" s="23" t="n">
        <x:v>8160.4</x:v>
      </x:c>
      <x:c r="H11" s="28" t="n">
        <x:v>-151</x:v>
      </x:c>
      <x:c r="I11" s="24" t="n">
        <x:v>-0.01816781769617637</x:v>
      </x:c>
      <x:c r="J11" s="26" t="n">
        <x:f>ROUND(E11-F11,1)</x:f>
        <x:v>220</x:v>
      </x:c>
      <x:c r="K11" s="22" t="str">
        <x:v>IM2603</x:v>
      </x:c>
    </x:row>
    <x:row r="12">
      <x:c r="A12" s="22" t="n">
        <x:v>8</x:v>
      </x:c>
      <x:c r="B12" s="22" t="str">
        <x:v>周三</x:v>
      </x:c>
      <x:c r="C12" s="22" t="str">
        <x:v>1月14日</x:v>
      </x:c>
      <x:c r="D12" s="23" t="n">
        <x:v>8200</x:v>
      </x:c>
      <x:c r="E12" s="23" t="n">
        <x:v>8419</x:v>
      </x:c>
      <x:c r="F12" s="23" t="n">
        <x:v>8060</x:v>
      </x:c>
      <x:c r="G12" s="23" t="n">
        <x:v>8156</x:v>
      </x:c>
      <x:c r="H12" s="23" t="n">
        <x:v>-4.4</x:v>
      </x:c>
      <x:c r="I12" s="24" t="n">
        <x:v>-0.0005391892554286182</x:v>
      </x:c>
      <x:c r="J12" s="26" t="n">
        <x:f>ROUND(E12-F12,1)</x:f>
        <x:v>359</x:v>
      </x:c>
      <x:c r="K12" s="22" t="str">
        <x:v>IM2603</x:v>
      </x:c>
    </x:row>
    <x:row r="13">
      <x:c r="A13" s="22" t="n">
        <x:v>9</x:v>
      </x:c>
      <x:c r="B13" s="22" t="str">
        <x:v>周四</x:v>
      </x:c>
      <x:c r="C13" s="22" t="str">
        <x:v>1月15日</x:v>
      </x:c>
      <x:c r="D13" s="23" t="n">
        <x:v>8105.6</x:v>
      </x:c>
      <x:c r="E13" s="23" t="n">
        <x:v>8207.4</x:v>
      </x:c>
      <x:c r="F13" s="23" t="n">
        <x:v>8082</x:v>
      </x:c>
      <x:c r="G13" s="23" t="n">
        <x:v>8195.4</x:v>
      </x:c>
      <x:c r="H13" s="23" t="n">
        <x:v>39.4</x:v>
      </x:c>
      <x:c r="I13" s="24" t="n">
        <x:v>0.004830799411476239</x:v>
      </x:c>
      <x:c r="J13" s="23" t="n">
        <x:f>ROUND(E13-F13,1)</x:f>
        <x:v>125.4</x:v>
      </x:c>
      <x:c r="K13" s="22" t="str">
        <x:v>IM2603</x:v>
      </x:c>
    </x:row>
    <x:row r="14">
      <x:c r="A14" s="41" t="n">
        <x:v>10</x:v>
      </x:c>
      <x:c r="B14" s="41" t="str">
        <x:v>周五</x:v>
      </x:c>
      <x:c r="C14" s="41" t="str">
        <x:v>1月16日</x:v>
      </x:c>
      <x:c r="D14" s="42" t="n">
        <x:v>8250</x:v>
      </x:c>
      <x:c r="E14" s="42" t="n">
        <x:v>8283.8</x:v>
      </x:c>
      <x:c r="F14" s="42" t="n">
        <x:v>8115</x:v>
      </x:c>
      <x:c r="G14" s="42" t="n">
        <x:v>8179.2</x:v>
      </x:c>
      <x:c r="H14" s="42" t="n">
        <x:v>-16.2</x:v>
      </x:c>
      <x:c r="I14" s="43" t="n">
        <x:v>-0.0019767186470458498</x:v>
      </x:c>
      <x:c r="J14" s="42" t="n">
        <x:f>ROUND(E14-F14,1)</x:f>
        <x:v>168.8</x:v>
      </x:c>
      <x:c r="K14" s="41" t="str">
        <x:v>IM2603</x:v>
      </x:c>
    </x:row>
    <x:row r="15">
      <x:c r="A15" s="22" t="n">
        <x:v>11</x:v>
      </x:c>
      <x:c r="B15" s="22" t="str">
        <x:v>周一</x:v>
      </x:c>
      <x:c r="C15" s="22" t="str">
        <x:v>1月19日</x:v>
      </x:c>
      <x:c r="D15" s="23" t="n">
        <x:v>8158</x:v>
      </x:c>
      <x:c r="E15" s="23" t="n">
        <x:v>8275</x:v>
      </x:c>
      <x:c r="F15" s="23" t="n">
        <x:v>8121.6</x:v>
      </x:c>
      <x:c r="G15" s="23" t="n">
        <x:v>8186.6</x:v>
      </x:c>
      <x:c r="H15" s="23" t="n">
        <x:v>7.4</x:v>
      </x:c>
      <x:c r="I15" s="24" t="n">
        <x:v>0.0009047339593115655</x:v>
      </x:c>
      <x:c r="J15" s="23" t="n">
        <x:f>ROUND(E15-F15,1)</x:f>
        <x:v>153.4</x:v>
      </x:c>
      <x:c r="K15" s="22" t="str">
        <x:v>IM2603</x:v>
      </x:c>
    </x:row>
    <x:row r="16">
      <x:c r="A16" s="22" t="n">
        <x:v>12</x:v>
      </x:c>
      <x:c r="B16" s="22" t="str">
        <x:v>周二</x:v>
      </x:c>
      <x:c r="C16" s="22" t="str">
        <x:v>1月20日</x:v>
      </x:c>
      <x:c r="D16" s="23" t="n">
        <x:v>8207</x:v>
      </x:c>
      <x:c r="E16" s="23" t="n">
        <x:v>8247.4</x:v>
      </x:c>
      <x:c r="F16" s="23" t="n">
        <x:v>8016.8</x:v>
      </x:c>
      <x:c r="G16" s="23" t="n">
        <x:v>8120.8</x:v>
      </x:c>
      <x:c r="H16" s="23" t="n">
        <x:v>-65.8</x:v>
      </x:c>
      <x:c r="I16" s="24" t="n">
        <x:v>-0.008037524735543422</x:v>
      </x:c>
      <x:c r="J16" s="26" t="n">
        <x:f>ROUND(E16-F16,1)</x:f>
        <x:v>230.6</x:v>
      </x:c>
      <x:c r="K16" s="22" t="str">
        <x:v>IM2603</x:v>
      </x:c>
    </x:row>
    <x:row r="17">
      <x:c r="A17" s="22" t="n">
        <x:v>13</x:v>
      </x:c>
      <x:c r="B17" s="22" t="str">
        <x:v>周三</x:v>
      </x:c>
      <x:c r="C17" s="22" t="str">
        <x:v>1月21日</x:v>
      </x:c>
      <x:c r="D17" s="23" t="n">
        <x:v>8100</x:v>
      </x:c>
      <x:c r="E17" s="23" t="n">
        <x:v>8252.8</x:v>
      </x:c>
      <x:c r="F17" s="23" t="n">
        <x:v>8071</x:v>
      </x:c>
      <x:c r="G17" s="23" t="n">
        <x:v>8231</x:v>
      </x:c>
      <x:c r="H17" s="23" t="n">
        <x:v>110.2</x:v>
      </x:c>
      <x:c r="I17" s="24" t="n">
        <x:v>0.013570091616589508</x:v>
      </x:c>
      <x:c r="J17" s="23" t="n">
        <x:f>ROUND(E17-F17,1)</x:f>
        <x:v>181.8</x:v>
      </x:c>
      <x:c r="K17" s="22" t="str">
        <x:v>IM2603</x:v>
      </x:c>
    </x:row>
    <x:row r="18">
      <x:c r="A18" s="22" t="n">
        <x:v>14</x:v>
      </x:c>
      <x:c r="B18" s="22" t="str">
        <x:v>周四</x:v>
      </x:c>
      <x:c r="C18" s="22" t="str">
        <x:v>1月22日</x:v>
      </x:c>
      <x:c r="D18" s="23" t="n">
        <x:v>8260</x:v>
      </x:c>
      <x:c r="E18" s="23" t="n">
        <x:v>8302.6</x:v>
      </x:c>
      <x:c r="F18" s="23" t="n">
        <x:v>8218</x:v>
      </x:c>
      <x:c r="G18" s="23" t="n">
        <x:v>8292.6</x:v>
      </x:c>
      <x:c r="H18" s="23" t="n">
        <x:v>61.6</x:v>
      </x:c>
      <x:c r="I18" s="24" t="n">
        <x:v>0.007483902320495783</x:v>
      </x:c>
      <x:c r="J18" s="23" t="n">
        <x:f>ROUND(E18-F18,1)</x:f>
        <x:v>84.6</x:v>
      </x:c>
      <x:c r="K18" s="22" t="str">
        <x:v>IM2603</x:v>
      </x:c>
    </x:row>
    <x:row r="19">
      <x:c r="A19" s="22" t="n">
        <x:v>15</x:v>
      </x:c>
      <x:c r="B19" s="22" t="str">
        <x:v>周五</x:v>
      </x:c>
      <x:c r="C19" s="22" t="str">
        <x:v>1月23日</x:v>
      </x:c>
      <x:c r="D19" s="23" t="n">
        <x:v>8336.6</x:v>
      </x:c>
      <x:c r="E19" s="23" t="n">
        <x:v>8518.2</x:v>
      </x:c>
      <x:c r="F19" s="23" t="n">
        <x:v>8301.4</x:v>
      </x:c>
      <x:c r="G19" s="23" t="n">
        <x:v>8516.6</x:v>
      </x:c>
      <x:c r="H19" s="28" t="n">
        <x:v>224</x:v>
      </x:c>
      <x:c r="I19" s="24" t="n">
        <x:v>0.027012034826230602</x:v>
      </x:c>
      <x:c r="J19" s="26" t="n">
        <x:f>ROUND(E19-F19,1)</x:f>
        <x:v>216.8</x:v>
      </x:c>
      <x:c r="K19" s="22" t="str">
        <x:v>IM2603</x:v>
      </x:c>
    </x:row>
    <x:row r="20">
      <x:c r="A20" s="22" t="n">
        <x:v>16</x:v>
      </x:c>
      <x:c r="B20" s="22" t="str">
        <x:v>周一</x:v>
      </x:c>
      <x:c r="C20" s="22" t="str">
        <x:v>1月26日</x:v>
      </x:c>
      <x:c r="D20" s="23" t="n">
        <x:v>8541.8</x:v>
      </x:c>
      <x:c r="E20" s="23" t="n">
        <x:v>8568</x:v>
      </x:c>
      <x:c r="F20" s="23" t="n">
        <x:v>8238</x:v>
      </x:c>
      <x:c r="G20" s="23" t="n">
        <x:v>8289.2</x:v>
      </x:c>
      <x:c r="H20" s="28" t="n">
        <x:v>-227.4</x:v>
      </x:c>
      <x:c r="I20" s="24" t="n">
        <x:v>-0.02670079609233722</x:v>
      </x:c>
      <x:c r="J20" s="26" t="n">
        <x:f>ROUND(E20-F20,1)</x:f>
        <x:v>330</x:v>
      </x:c>
      <x:c r="K20" s="22" t="str">
        <x:v>IM2603</x:v>
      </x:c>
    </x:row>
    <x:row r="21">
      <x:c r="A21" s="22" t="n">
        <x:v>17</x:v>
      </x:c>
      <x:c r="B21" s="22" t="str">
        <x:v>周二</x:v>
      </x:c>
      <x:c r="C21" s="22" t="str">
        <x:v>1月27日</x:v>
      </x:c>
      <x:c r="D21" s="23" t="n">
        <x:v>8269</x:v>
      </x:c>
      <x:c r="E21" s="23" t="n">
        <x:v>8393.8</x:v>
      </x:c>
      <x:c r="F21" s="23" t="n">
        <x:v>8122</x:v>
      </x:c>
      <x:c r="G21" s="23" t="n">
        <x:v>8357.2</x:v>
      </x:c>
      <x:c r="H21" s="23" t="n">
        <x:v>68</x:v>
      </x:c>
      <x:c r="I21" s="24" t="n">
        <x:v>0.008203445447087843</x:v>
      </x:c>
      <x:c r="J21" s="26" t="n">
        <x:f>ROUND(E21-F21,1)</x:f>
        <x:v>271.8</x:v>
      </x:c>
      <x:c r="K21" s="22" t="str">
        <x:v>IM2603</x:v>
      </x:c>
    </x:row>
    <x:row r="22">
      <x:c r="A22" s="22" t="n">
        <x:v>18</x:v>
      </x:c>
      <x:c r="B22" s="22" t="str">
        <x:v>周三</x:v>
      </x:c>
      <x:c r="C22" s="22" t="str">
        <x:v>1月28日</x:v>
      </x:c>
      <x:c r="D22" s="23" t="n">
        <x:v>8380</x:v>
      </x:c>
      <x:c r="E22" s="23" t="n">
        <x:v>8412</x:v>
      </x:c>
      <x:c r="F22" s="23" t="n">
        <x:v>8284</x:v>
      </x:c>
      <x:c r="G22" s="23" t="n">
        <x:v>8377.8</x:v>
      </x:c>
      <x:c r="H22" s="23" t="n">
        <x:v>20.6</x:v>
      </x:c>
      <x:c r="I22" s="24" t="n">
        <x:v>0.0024649404106635853</x:v>
      </x:c>
      <x:c r="J22" s="23" t="n">
        <x:f>ROUND(E22-F22,1)</x:f>
        <x:v>128</x:v>
      </x:c>
      <x:c r="K22" s="22" t="str">
        <x:v>IM2603</x:v>
      </x:c>
    </x:row>
    <x:row r="23">
      <x:c r="A23" s="22" t="n">
        <x:v>19</x:v>
      </x:c>
      <x:c r="B23" s="22" t="str">
        <x:v>周四</x:v>
      </x:c>
      <x:c r="C23" s="22" t="str">
        <x:v>1月29日</x:v>
      </x:c>
      <x:c r="D23" s="23" t="n">
        <x:v>8357.6</x:v>
      </x:c>
      <x:c r="E23" s="23" t="n">
        <x:v>8479.8</x:v>
      </x:c>
      <x:c r="F23" s="23" t="n">
        <x:v>8280</x:v>
      </x:c>
      <x:c r="G23" s="23" t="n">
        <x:v>8329</x:v>
      </x:c>
      <x:c r="H23" s="23" t="n">
        <x:v>-48.8</x:v>
      </x:c>
      <x:c r="I23" s="24" t="n">
        <x:v>-0.0058249182362910545</x:v>
      </x:c>
      <x:c r="J23" s="26" t="n">
        <x:f>ROUND(E23-F23,1)</x:f>
        <x:v>199.8</x:v>
      </x:c>
      <x:c r="K23" s="22" t="str">
        <x:v>IM2603</x:v>
      </x:c>
    </x:row>
    <x:row r="24">
      <x:c r="A24" s="22" t="n">
        <x:v>20</x:v>
      </x:c>
      <x:c r="B24" s="22" t="str">
        <x:v>周五</x:v>
      </x:c>
      <x:c r="C24" s="22" t="str">
        <x:v>1月30日</x:v>
      </x:c>
      <x:c r="D24" s="23" t="n">
        <x:v>8302</x:v>
      </x:c>
      <x:c r="E24" s="23" t="n">
        <x:v>8344.8</x:v>
      </x:c>
      <x:c r="F24" s="23" t="n">
        <x:v>8050</x:v>
      </x:c>
      <x:c r="G24" s="23" t="n">
        <x:v>8260.6</x:v>
      </x:c>
      <x:c r="H24" s="23" t="n">
        <x:v>-68.4</x:v>
      </x:c>
      <x:c r="I24" s="24" t="n">
        <x:v>-0.008212270380597908</x:v>
      </x:c>
      <x:c r="J24" s="26" t="n">
        <x:f>ROUND(E24-F24,1)</x:f>
        <x:v>294.8</x:v>
      </x:c>
      <x:c r="K24" s="22" t="str">
        <x:v>IM2603</x:v>
      </x:c>
    </x:row>
    <x:row r="25">
      <x:c r="A25" s="31" t="str">
        <x:v>合计</x:v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2" t="n">
        <x:f>ROUND(SUM(J5:J24),1)</x:f>
        <x:v>3977.6</x:v>
      </x:c>
      <x:c r="K25" s="30"/>
    </x:row>
    <x:row r="26">
      <x:c r="A26" s="31" t="str">
        <x:v>均值</x:v>
      </x:c>
      <x:c r="B26" s="30"/>
      <x:c r="C26" s="30"/>
      <x:c r="D26" s="30"/>
      <x:c r="E26" s="30"/>
      <x:c r="F26" s="30"/>
      <x:c r="G26" s="30"/>
      <x:c r="H26" s="30"/>
      <x:c r="I26" s="30"/>
      <x:c r="J26" s="34" t="n">
        <x:f>ROUND(IFERROR(AVERAGE(J5:J24),0),1)</x:f>
        <x:v>198.9</x:v>
      </x:c>
      <x:c r="K26" s="30"/>
    </x:row>
    <x:row r="28">
      <x:c r="A28" s="17" t="str">
        <x:v>2月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20" t="str">
        <x:v>序号</x:v>
      </x:c>
      <x:c r="B29" s="20" t="str">
        <x:v>星期</x:v>
      </x:c>
      <x:c r="C29" s="20" t="str">
        <x:v>日期</x:v>
      </x:c>
      <x:c r="D29" s="20" t="str">
        <x:v>开盘</x:v>
      </x:c>
      <x:c r="E29" s="20" t="str">
        <x:v>高点</x:v>
      </x:c>
      <x:c r="F29" s="20" t="str">
        <x:v>低点</x:v>
      </x:c>
      <x:c r="G29" s="20" t="str">
        <x:v>收盘</x:v>
      </x:c>
      <x:c r="H29" s="20" t="str">
        <x:v>涨跌点数</x:v>
      </x:c>
      <x:c r="I29" s="20" t="str">
        <x:v>涨幅</x:v>
      </x:c>
      <x:c r="J29" s="20" t="str">
        <x:v>振幅</x:v>
      </x:c>
      <x:c r="K29" s="20" t="str">
        <x:v>标的</x:v>
      </x:c>
    </x:row>
    <x:row r="30">
      <x:c r="A30" s="22" t="n">
        <x:v>1</x:v>
      </x:c>
      <x:c r="B30" s="22" t="str">
        <x:v>周一</x:v>
      </x:c>
      <x:c r="C30" s="22" t="str">
        <x:v>2月2日</x:v>
      </x:c>
      <x:c r="D30" s="23" t="n">
        <x:v>8180.2</x:v>
      </x:c>
      <x:c r="E30" s="23" t="n">
        <x:v>8240</x:v>
      </x:c>
      <x:c r="F30" s="23" t="n">
        <x:v>7840</x:v>
      </x:c>
      <x:c r="G30" s="23" t="n">
        <x:v>7871.8</x:v>
      </x:c>
      <x:c r="H30" s="28" t="n">
        <x:v>-388.8</x:v>
      </x:c>
      <x:c r="I30" s="24" t="n">
        <x:v>-0.04706679902186284</x:v>
      </x:c>
      <x:c r="J30" s="26" t="n">
        <x:f>ROUND(E30-F30,1)</x:f>
        <x:v>400</x:v>
      </x:c>
      <x:c r="K30" s="22" t="str">
        <x:v>IM2603</x:v>
      </x:c>
    </x:row>
    <x:row r="31">
      <x:c r="A31" s="22" t="n">
        <x:v>2</x:v>
      </x:c>
      <x:c r="B31" s="22" t="str">
        <x:v>周二</x:v>
      </x:c>
      <x:c r="C31" s="22" t="str">
        <x:v>2月3日</x:v>
      </x:c>
      <x:c r="D31" s="23" t="n">
        <x:v>8019</x:v>
      </x:c>
      <x:c r="E31" s="23" t="n">
        <x:v>8215.2</x:v>
      </x:c>
      <x:c r="F31" s="23" t="n">
        <x:v>7975.2</x:v>
      </x:c>
      <x:c r="G31" s="23" t="n">
        <x:v>8183</x:v>
      </x:c>
      <x:c r="H31" s="28" t="n">
        <x:v>311.2</x:v>
      </x:c>
      <x:c r="I31" s="24" t="n">
        <x:v>0.03953352473386018</x:v>
      </x:c>
      <x:c r="J31" s="26" t="n">
        <x:f>ROUND(E31-F31,1)</x:f>
        <x:v>240</x:v>
      </x:c>
      <x:c r="K31" s="22" t="str">
        <x:v>IM2603</x:v>
      </x:c>
    </x:row>
    <x:row r="32">
      <x:c r="A32" s="22" t="n">
        <x:v>3</x:v>
      </x:c>
      <x:c r="B32" s="22" t="str">
        <x:v>周三</x:v>
      </x:c>
      <x:c r="C32" s="22" t="str">
        <x:v>2月4日</x:v>
      </x:c>
      <x:c r="D32" s="23" t="n">
        <x:v>8159.4</x:v>
      </x:c>
      <x:c r="E32" s="23" t="n">
        <x:v>8213</x:v>
      </x:c>
      <x:c r="F32" s="23" t="n">
        <x:v>8050.2</x:v>
      </x:c>
      <x:c r="G32" s="23" t="n">
        <x:v>8203.4</x:v>
      </x:c>
      <x:c r="H32" s="23" t="n">
        <x:v>20.4</x:v>
      </x:c>
      <x:c r="I32" s="24" t="n">
        <x:v>0.002492973237198992</x:v>
      </x:c>
      <x:c r="J32" s="23" t="n">
        <x:f>ROUND(E32-F32,1)</x:f>
        <x:v>162.8</x:v>
      </x:c>
      <x:c r="K32" s="22" t="str">
        <x:v>IM2603</x:v>
      </x:c>
    </x:row>
    <x:row r="33">
      <x:c r="A33" s="22" t="n">
        <x:v>4</x:v>
      </x:c>
      <x:c r="B33" s="22" t="str">
        <x:v>周四</x:v>
      </x:c>
      <x:c r="C33" s="22" t="str">
        <x:v>2月5日</x:v>
      </x:c>
      <x:c r="D33" s="23" t="n">
        <x:v>8140.8</x:v>
      </x:c>
      <x:c r="E33" s="23" t="n">
        <x:v>8144</x:v>
      </x:c>
      <x:c r="F33" s="23" t="n">
        <x:v>7969.4</x:v>
      </x:c>
      <x:c r="G33" s="23" t="n">
        <x:v>8039.8</x:v>
      </x:c>
      <x:c r="H33" s="28" t="n">
        <x:v>-163.6</x:v>
      </x:c>
      <x:c r="I33" s="24" t="n">
        <x:v>-0.019942950483945565</x:v>
      </x:c>
      <x:c r="J33" s="23" t="n">
        <x:f>ROUND(E33-F33,1)</x:f>
        <x:v>174.6</x:v>
      </x:c>
      <x:c r="K33" s="22" t="str">
        <x:v>IM2603</x:v>
      </x:c>
    </x:row>
    <x:row r="34">
      <x:c r="A34" s="22" t="n">
        <x:v>5</x:v>
      </x:c>
      <x:c r="B34" s="22" t="str">
        <x:v>周五</x:v>
      </x:c>
      <x:c r="C34" s="22" t="str">
        <x:v>2月6日</x:v>
      </x:c>
      <x:c r="D34" s="23" t="n">
        <x:v>7900.2</x:v>
      </x:c>
      <x:c r="E34" s="23" t="n">
        <x:v>8154.4</x:v>
      </x:c>
      <x:c r="F34" s="23" t="n">
        <x:v>7880.8</x:v>
      </x:c>
      <x:c r="G34" s="23" t="n">
        <x:v>7990.8</x:v>
      </x:c>
      <x:c r="H34" s="23" t="n">
        <x:v>-49</x:v>
      </x:c>
      <x:c r="I34" s="24" t="n">
        <x:v>-0.006094678972113687</x:v>
      </x:c>
      <x:c r="J34" s="26" t="n">
        <x:f>ROUND(E34-F34,1)</x:f>
        <x:v>273.6</x:v>
      </x:c>
      <x:c r="K34" s="22" t="str">
        <x:v>IM2603</x:v>
      </x:c>
    </x:row>
    <x:row r="35">
      <x:c r="A35" s="22" t="n">
        <x:v>6</x:v>
      </x:c>
      <x:c r="B35" s="22" t="str">
        <x:v>周一</x:v>
      </x:c>
      <x:c r="C35" s="22" t="str">
        <x:v>2月9日</x:v>
      </x:c>
      <x:c r="D35" s="23" t="n">
        <x:v>8155</x:v>
      </x:c>
      <x:c r="E35" s="23" t="n">
        <x:v>8237.6</x:v>
      </x:c>
      <x:c r="F35" s="23" t="n">
        <x:v>8120.4</x:v>
      </x:c>
      <x:c r="G35" s="23" t="n">
        <x:v>8232.6</x:v>
      </x:c>
      <x:c r="H35" s="28" t="n">
        <x:v>241.8</x:v>
      </x:c>
      <x:c r="I35" s="24" t="n">
        <x:v>0.03025979876858398</x:v>
      </x:c>
      <x:c r="J35" s="23" t="n">
        <x:f>ROUND(E35-F35,1)</x:f>
        <x:v>117.2</x:v>
      </x:c>
      <x:c r="K35" s="22" t="str">
        <x:v>IM2603</x:v>
      </x:c>
    </x:row>
    <x:row r="36">
      <x:c r="A36" s="22" t="n">
        <x:v>7</x:v>
      </x:c>
      <x:c r="B36" s="22" t="str">
        <x:v>周二</x:v>
      </x:c>
      <x:c r="C36" s="22" t="str">
        <x:v>2月10日</x:v>
      </x:c>
      <x:c r="D36" s="23" t="n">
        <x:v>8235</x:v>
      </x:c>
      <x:c r="E36" s="23" t="n">
        <x:v>8258.4</x:v>
      </x:c>
      <x:c r="F36" s="23" t="n">
        <x:v>8182</x:v>
      </x:c>
      <x:c r="G36" s="23" t="n">
        <x:v>8229</x:v>
      </x:c>
      <x:c r="H36" s="23" t="n">
        <x:v>-3.6</x:v>
      </x:c>
      <x:c r="I36" s="24" t="n">
        <x:v>-0.0004372859121055672</x:v>
      </x:c>
      <x:c r="J36" s="23" t="n">
        <x:f>ROUND(E36-F36,1)</x:f>
        <x:v>76.4</x:v>
      </x:c>
      <x:c r="K36" s="22" t="str">
        <x:v>IM2603</x:v>
      </x:c>
    </x:row>
    <x:row r="37">
      <x:c r="A37" s="22" t="n">
        <x:v>8</x:v>
      </x:c>
      <x:c r="B37" s="22" t="str">
        <x:v>周三</x:v>
      </x:c>
      <x:c r="C37" s="22" t="str">
        <x:v>2月11日</x:v>
      </x:c>
      <x:c r="D37" s="23" t="n">
        <x:v>8229</x:v>
      </x:c>
      <x:c r="E37" s="23" t="n">
        <x:v>8307.6</x:v>
      </x:c>
      <x:c r="F37" s="23" t="n">
        <x:v>8227.4</x:v>
      </x:c>
      <x:c r="G37" s="23" t="n">
        <x:v>8241</x:v>
      </x:c>
      <x:c r="H37" s="23" t="n">
        <x:v>12</x:v>
      </x:c>
      <x:c r="I37" s="24" t="n">
        <x:v>0.0014582573824279965</x:v>
      </x:c>
      <x:c r="J37" s="23" t="n">
        <x:f>ROUND(E37-F37,1)</x:f>
        <x:v>80.2</x:v>
      </x:c>
      <x:c r="K37" s="22" t="str">
        <x:v>IM2603</x:v>
      </x:c>
    </x:row>
    <x:row r="38">
      <x:c r="A38" s="22" t="n">
        <x:v>9</x:v>
      </x:c>
      <x:c r="B38" s="22" t="str">
        <x:v>周四</x:v>
      </x:c>
      <x:c r="C38" s="22" t="str">
        <x:v>2月12日</x:v>
      </x:c>
      <x:c r="D38" s="23" t="n">
        <x:v>8250.4</x:v>
      </x:c>
      <x:c r="E38" s="23" t="n">
        <x:v>8351.8</x:v>
      </x:c>
      <x:c r="F38" s="23" t="n">
        <x:v>8205</x:v>
      </x:c>
      <x:c r="G38" s="23" t="n">
        <x:v>8338</x:v>
      </x:c>
      <x:c r="H38" s="23" t="n">
        <x:v>97</x:v>
      </x:c>
      <x:c r="I38" s="24" t="n">
        <x:v>0.011770416211624779</x:v>
      </x:c>
      <x:c r="J38" s="23" t="n">
        <x:f>ROUND(E38-F38,1)</x:f>
        <x:v>146.8</x:v>
      </x:c>
      <x:c r="K38" s="22" t="str">
        <x:v>IM2603</x:v>
      </x:c>
    </x:row>
    <x:row r="39">
      <x:c r="A39" s="22" t="n">
        <x:v>10</x:v>
      </x:c>
      <x:c r="B39" s="22" t="str">
        <x:v>周五</x:v>
      </x:c>
      <x:c r="C39" s="22" t="str">
        <x:v>2月13日</x:v>
      </x:c>
      <x:c r="D39" s="23" t="n">
        <x:v>8288</x:v>
      </x:c>
      <x:c r="E39" s="23" t="n">
        <x:v>8316.8</x:v>
      </x:c>
      <x:c r="F39" s="23" t="n">
        <x:v>8161</x:v>
      </x:c>
      <x:c r="G39" s="23" t="n">
        <x:v>8189</x:v>
      </x:c>
      <x:c r="H39" s="23" t="n">
        <x:v>-149</x:v>
      </x:c>
      <x:c r="I39" s="24" t="n">
        <x:v>-0.01786999280402979</x:v>
      </x:c>
      <x:c r="J39" s="23" t="n">
        <x:f>ROUND(E39-F39,1)</x:f>
        <x:v>155.8</x:v>
      </x:c>
      <x:c r="K39" s="22" t="str">
        <x:v>IM2603</x:v>
      </x:c>
    </x:row>
    <x:row r="40">
      <x:c r="A40" s="41" t="n">
        <x:v>11</x:v>
      </x:c>
      <x:c r="B40" s="41" t="str">
        <x:v>周二</x:v>
      </x:c>
      <x:c r="C40" s="41" t="str">
        <x:v>2月24日</x:v>
      </x:c>
      <x:c r="D40" s="42" t="n">
        <x:v>8307.8</x:v>
      </x:c>
      <x:c r="E40" s="42" t="n">
        <x:v>8365</x:v>
      </x:c>
      <x:c r="F40" s="42" t="n">
        <x:v>8227.2</x:v>
      </x:c>
      <x:c r="G40" s="42" t="n">
        <x:v>8271</x:v>
      </x:c>
      <x:c r="H40" s="42" t="n">
        <x:v>82</x:v>
      </x:c>
      <x:c r="I40" s="43" t="n">
        <x:v>0.010013432653559695</x:v>
      </x:c>
      <x:c r="J40" s="42" t="n">
        <x:f>ROUND(E40-F40,1)</x:f>
        <x:v>137.8</x:v>
      </x:c>
      <x:c r="K40" s="41" t="str">
        <x:v>IM2603</x:v>
      </x:c>
    </x:row>
    <x:row r="41">
      <x:c r="A41" s="22" t="n">
        <x:v>12</x:v>
      </x:c>
      <x:c r="B41" s="22" t="str">
        <x:v>周三</x:v>
      </x:c>
      <x:c r="C41" s="22" t="str">
        <x:v>2月25日</x:v>
      </x:c>
      <x:c r="D41" s="23" t="n">
        <x:v>8300</x:v>
      </x:c>
      <x:c r="E41" s="23" t="n">
        <x:v>8441</x:v>
      </x:c>
      <x:c r="F41" s="23" t="n">
        <x:v>8300</x:v>
      </x:c>
      <x:c r="G41" s="23" t="n">
        <x:v>8405.6</x:v>
      </x:c>
      <x:c r="H41" s="23" t="n">
        <x:v>134.6</x:v>
      </x:c>
      <x:c r="I41" s="24" t="n">
        <x:v>0.016273727481562084</x:v>
      </x:c>
      <x:c r="J41" s="23" t="n">
        <x:f>ROUND(E41-F41,1)</x:f>
        <x:v>141</x:v>
      </x:c>
      <x:c r="K41" s="22" t="str">
        <x:v>IM2603</x:v>
      </x:c>
    </x:row>
    <x:row r="42">
      <x:c r="A42" s="22" t="n">
        <x:v>13</x:v>
      </x:c>
      <x:c r="B42" s="22" t="str">
        <x:v>周四</x:v>
      </x:c>
      <x:c r="C42" s="22" t="str">
        <x:v>2月26日</x:v>
      </x:c>
      <x:c r="D42" s="23" t="n">
        <x:v>8425</x:v>
      </x:c>
      <x:c r="E42" s="23" t="n">
        <x:v>8458.6</x:v>
      </x:c>
      <x:c r="F42" s="23" t="n">
        <x:v>8365.6</x:v>
      </x:c>
      <x:c r="G42" s="23" t="n">
        <x:v>8443.4</x:v>
      </x:c>
      <x:c r="H42" s="23" t="n">
        <x:v>37.8</x:v>
      </x:c>
      <x:c r="I42" s="24" t="n">
        <x:v>0.004497001998667427</x:v>
      </x:c>
      <x:c r="J42" s="23" t="n">
        <x:f>ROUND(E42-F42,1)</x:f>
        <x:v>93</x:v>
      </x:c>
      <x:c r="K42" s="22" t="str">
        <x:v>IM2603</x:v>
      </x:c>
    </x:row>
    <x:row r="43">
      <x:c r="A43" s="22" t="n">
        <x:v>14</x:v>
      </x:c>
      <x:c r="B43" s="22" t="str">
        <x:v>周五</x:v>
      </x:c>
      <x:c r="C43" s="22" t="str">
        <x:v>2月27日</x:v>
      </x:c>
      <x:c r="D43" s="23" t="n">
        <x:v>8400.2</x:v>
      </x:c>
      <x:c r="E43" s="23" t="n">
        <x:v>8538.8</x:v>
      </x:c>
      <x:c r="F43" s="23" t="n">
        <x:v>8391</x:v>
      </x:c>
      <x:c r="G43" s="23" t="n">
        <x:v>8531.4</x:v>
      </x:c>
      <x:c r="H43" s="23" t="n">
        <x:v>88</x:v>
      </x:c>
      <x:c r="I43" s="24" t="n">
        <x:v>0.010422341710685235</x:v>
      </x:c>
      <x:c r="J43" s="23" t="n">
        <x:f>ROUND(E43-F43,1)</x:f>
        <x:v>147.8</x:v>
      </x:c>
      <x:c r="K43" s="22" t="str">
        <x:v>IM2603</x:v>
      </x:c>
    </x:row>
    <x:row r="44">
      <x:c r="A44" s="31" t="str">
        <x:v>合计</x:v>
      </x:c>
      <x:c r="B44" s="30" t="n">
        <x:v>14</x:v>
      </x:c>
      <x:c r="C44" s="30"/>
      <x:c r="D44" s="30"/>
      <x:c r="E44" s="30"/>
      <x:c r="F44" s="30"/>
      <x:c r="G44" s="30"/>
      <x:c r="H44" s="30"/>
      <x:c r="I44" s="30"/>
      <x:c r="J44" s="32" t="n">
        <x:f>ROUND(SUM(J30:J43),1)</x:f>
        <x:v>2347</x:v>
      </x:c>
      <x:c r="K44" s="30"/>
    </x:row>
    <x:row r="45">
      <x:c r="A45" s="31" t="str">
        <x:v>均值</x:v>
      </x:c>
      <x:c r="B45" s="30"/>
      <x:c r="C45" s="30"/>
      <x:c r="D45" s="30"/>
      <x:c r="E45" s="30"/>
      <x:c r="F45" s="30"/>
      <x:c r="G45" s="30"/>
      <x:c r="H45" s="30"/>
      <x:c r="I45" s="30"/>
      <x:c r="J45" s="34" t="n">
        <x:f>ROUND(IFERROR(AVERAGE(J30:J43),0),1)</x:f>
        <x:v>167.6</x:v>
      </x:c>
      <x:c r="K45" s="30"/>
    </x:row>
    <x:row r="47">
      <x:c r="A47" s="17" t="str">
        <x:v>3月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20" t="str">
        <x:v>序号</x:v>
      </x:c>
      <x:c r="B48" s="20" t="str">
        <x:v>星期</x:v>
      </x:c>
      <x:c r="C48" s="20" t="str">
        <x:v>日期</x:v>
      </x:c>
      <x:c r="D48" s="20" t="str">
        <x:v>开盘</x:v>
      </x:c>
      <x:c r="E48" s="20" t="str">
        <x:v>高点</x:v>
      </x:c>
      <x:c r="F48" s="20" t="str">
        <x:v>低点</x:v>
      </x:c>
      <x:c r="G48" s="20" t="str">
        <x:v>收盘</x:v>
      </x:c>
      <x:c r="H48" s="20" t="str">
        <x:v>涨跌点数</x:v>
      </x:c>
      <x:c r="I48" s="20" t="str">
        <x:v>涨幅</x:v>
      </x:c>
      <x:c r="J48" s="20" t="str">
        <x:v>振幅</x:v>
      </x:c>
      <x:c r="K48" s="20" t="str">
        <x:v>标的</x:v>
      </x:c>
    </x:row>
    <x:row r="49">
      <x:c r="A49" s="22" t="n">
        <x:v>1</x:v>
      </x:c>
      <x:c r="B49" s="22" t="str">
        <x:v>周一</x:v>
      </x:c>
      <x:c r="C49" s="22" t="str">
        <x:v>3月2日</x:v>
      </x:c>
      <x:c r="D49" s="23" t="n">
        <x:v>8480</x:v>
      </x:c>
      <x:c r="E49" s="23" t="n">
        <x:v>8514.6</x:v>
      </x:c>
      <x:c r="F49" s="23" t="n">
        <x:v>8338</x:v>
      </x:c>
      <x:c r="G49" s="23" t="n">
        <x:v>8423.8</x:v>
      </x:c>
      <x:c r="H49" s="23" t="n">
        <x:v>-107.6</x:v>
      </x:c>
      <x:c r="I49" s="24" t="n">
        <x:v>-0.012612232458916517</x:v>
      </x:c>
      <x:c r="J49" s="23" t="n">
        <x:f>ROUND(E49-F49,1)</x:f>
        <x:v>176.6</x:v>
      </x:c>
      <x:c r="K49" s="22" t="str">
        <x:v>IM2603</x:v>
      </x:c>
    </x:row>
    <x:row r="50">
      <x:c r="A50" s="22" t="n">
        <x:v>2</x:v>
      </x:c>
      <x:c r="B50" s="22" t="str">
        <x:v>周二</x:v>
      </x:c>
      <x:c r="C50" s="22" t="str">
        <x:v>3月3日</x:v>
      </x:c>
      <x:c r="D50" s="23" t="n">
        <x:v>8445</x:v>
      </x:c>
      <x:c r="E50" s="23" t="n">
        <x:v>8479.4</x:v>
      </x:c>
      <x:c r="F50" s="23" t="n">
        <x:v>8105.6</x:v>
      </x:c>
      <x:c r="G50" s="23" t="n">
        <x:v>8129.4</x:v>
      </x:c>
      <x:c r="H50" s="28" t="n">
        <x:v>-294.4</x:v>
      </x:c>
      <x:c r="I50" s="24" t="n">
        <x:v>-0.034948598019895916</x:v>
      </x:c>
      <x:c r="J50" s="26" t="n">
        <x:f>ROUND(E50-F50,1)</x:f>
        <x:v>373.8</x:v>
      </x:c>
      <x:c r="K50" s="22" t="str">
        <x:v>IM2603</x:v>
      </x:c>
    </x:row>
    <x:row r="51">
      <x:c r="A51" s="22" t="n">
        <x:v>3</x:v>
      </x:c>
      <x:c r="B51" s="22" t="str">
        <x:v>周三</x:v>
      </x:c>
      <x:c r="C51" s="22" t="str">
        <x:v>3月4日</x:v>
      </x:c>
      <x:c r="D51" s="23" t="n">
        <x:v>8076.2</x:v>
      </x:c>
      <x:c r="E51" s="23" t="n">
        <x:v>8225.2</x:v>
      </x:c>
      <x:c r="F51" s="23" t="n">
        <x:v>8037.2</x:v>
      </x:c>
      <x:c r="G51" s="23" t="n">
        <x:v>8064.2</x:v>
      </x:c>
      <x:c r="H51" s="23" t="n">
        <x:v>-65.2</x:v>
      </x:c>
      <x:c r="I51" s="24" t="n">
        <x:v>-0.00802027209880185</x:v>
      </x:c>
      <x:c r="J51" s="23" t="n">
        <x:f>ROUND(E51-F51,1)</x:f>
        <x:v>188</x:v>
      </x:c>
      <x:c r="K51" s="22" t="str">
        <x:v>IM2603</x:v>
      </x:c>
    </x:row>
    <x:row r="52">
      <x:c r="A52" s="22" t="n">
        <x:v>4</x:v>
      </x:c>
      <x:c r="B52" s="22" t="str">
        <x:v>周四</x:v>
      </x:c>
      <x:c r="C52" s="22" t="str">
        <x:v>3月5日</x:v>
      </x:c>
      <x:c r="D52" s="23" t="n">
        <x:v>8190</x:v>
      </x:c>
      <x:c r="E52" s="23" t="n">
        <x:v>8214</x:v>
      </x:c>
      <x:c r="F52" s="23" t="n">
        <x:v>8060.6</x:v>
      </x:c>
      <x:c r="G52" s="23" t="n">
        <x:v>8130</x:v>
      </x:c>
      <x:c r="H52" s="23" t="n">
        <x:v>65.8</x:v>
      </x:c>
      <x:c r="I52" s="24" t="n">
        <x:v>0.00815951985317831</x:v>
      </x:c>
      <x:c r="J52" s="23" t="n">
        <x:f>ROUND(E52-F52,1)</x:f>
        <x:v>153.4</x:v>
      </x:c>
      <x:c r="K52" s="22" t="str">
        <x:v>IM2603</x:v>
      </x:c>
    </x:row>
    <x:row r="53">
      <x:c r="A53" s="22" t="n">
        <x:v>5</x:v>
      </x:c>
      <x:c r="B53" s="22" t="str">
        <x:v>周五</x:v>
      </x:c>
      <x:c r="C53" s="22" t="str">
        <x:v>3月6日</x:v>
      </x:c>
      <x:c r="D53" s="23" t="n">
        <x:v>8101</x:v>
      </x:c>
      <x:c r="E53" s="23" t="n">
        <x:v>8249.4</x:v>
      </x:c>
      <x:c r="F53" s="23" t="n">
        <x:v>8082.2</x:v>
      </x:c>
      <x:c r="G53" s="23" t="n">
        <x:v>8211.8</x:v>
      </x:c>
      <x:c r="H53" s="23" t="n">
        <x:v>81.8</x:v>
      </x:c>
      <x:c r="I53" s="24" t="n">
        <x:v>0.010061500615005992</x:v>
      </x:c>
      <x:c r="J53" s="23" t="n">
        <x:f>ROUND(E53-F53,1)</x:f>
        <x:v>167.2</x:v>
      </x:c>
      <x:c r="K53" s="22" t="str">
        <x:v>IM2603</x:v>
      </x:c>
    </x:row>
    <x:row r="54">
      <x:c r="A54" s="22" t="n">
        <x:v>6</x:v>
      </x:c>
      <x:c r="B54" s="22" t="str">
        <x:v>周一</x:v>
      </x:c>
      <x:c r="C54" s="22" t="str">
        <x:v>3月9日</x:v>
      </x:c>
      <x:c r="D54" s="23" t="n">
        <x:v>8064</x:v>
      </x:c>
      <x:c r="E54" s="23" t="n">
        <x:v>8214</x:v>
      </x:c>
      <x:c r="F54" s="23" t="n">
        <x:v>7850</x:v>
      </x:c>
      <x:c r="G54" s="23" t="n">
        <x:v>8191</x:v>
      </x:c>
      <x:c r="H54" s="23" t="n">
        <x:v>-20.8</x:v>
      </x:c>
      <x:c r="I54" s="24" t="n">
        <x:v>-0.0025329404028348046</x:v>
      </x:c>
      <x:c r="J54" s="26" t="n">
        <x:f>ROUND(E54-F54,1)</x:f>
        <x:v>364</x:v>
      </x:c>
      <x:c r="K54" s="22" t="str">
        <x:v>IM2603</x:v>
      </x:c>
    </x:row>
    <x:row r="55">
      <x:c r="A55" s="22" t="n">
        <x:v>7</x:v>
      </x:c>
      <x:c r="B55" s="22" t="str">
        <x:v>周二</x:v>
      </x:c>
      <x:c r="C55" s="22" t="str">
        <x:v>3月10日</x:v>
      </x:c>
      <x:c r="D55" s="23" t="n">
        <x:v>8274</x:v>
      </x:c>
      <x:c r="E55" s="23" t="n">
        <x:v>8326.2</x:v>
      </x:c>
      <x:c r="F55" s="23" t="n">
        <x:v>8225</x:v>
      </x:c>
      <x:c r="G55" s="23" t="n">
        <x:v>8313.6</x:v>
      </x:c>
      <x:c r="H55" s="23" t="n">
        <x:v>122.6</x:v>
      </x:c>
      <x:c r="I55" s="24" t="n">
        <x:v>0.01496764741789769</x:v>
      </x:c>
      <x:c r="J55" s="23" t="n">
        <x:f>ROUND(E55-F55,1)</x:f>
        <x:v>101.2</x:v>
      </x:c>
      <x:c r="K55" s="22" t="str">
        <x:v>IM2603</x:v>
      </x:c>
    </x:row>
    <x:row r="56">
      <x:c r="A56" s="22" t="n">
        <x:v>8</x:v>
      </x:c>
      <x:c r="B56" s="22" t="str">
        <x:v>周三</x:v>
      </x:c>
      <x:c r="C56" s="22" t="str">
        <x:v>3月11日</x:v>
      </x:c>
      <x:c r="D56" s="23" t="n">
        <x:v>8308.2</x:v>
      </x:c>
      <x:c r="E56" s="23" t="n">
        <x:v>8368</x:v>
      </x:c>
      <x:c r="F56" s="23" t="n">
        <x:v>8290</x:v>
      </x:c>
      <x:c r="G56" s="23" t="n">
        <x:v>8313</x:v>
      </x:c>
      <x:c r="H56" s="23" t="n">
        <x:v>-0.6</x:v>
      </x:c>
      <x:c r="I56" s="24" t="n">
        <x:v>-0.00007217090069289167</x:v>
      </x:c>
      <x:c r="J56" s="23" t="n">
        <x:f>ROUND(E56-F56,1)</x:f>
        <x:v>78</x:v>
      </x:c>
      <x:c r="K56" s="22" t="str">
        <x:v>IM2603</x:v>
      </x:c>
    </x:row>
    <x:row r="57">
      <x:c r="A57" s="22" t="n">
        <x:v>9</x:v>
      </x:c>
      <x:c r="B57" s="22" t="str">
        <x:v>周四</x:v>
      </x:c>
      <x:c r="C57" s="22" t="str">
        <x:v>3月12日</x:v>
      </x:c>
      <x:c r="D57" s="23" t="n">
        <x:v>8297</x:v>
      </x:c>
      <x:c r="E57" s="23" t="n">
        <x:v>8344.2</x:v>
      </x:c>
      <x:c r="F57" s="23" t="n">
        <x:v>8211</x:v>
      </x:c>
      <x:c r="G57" s="23" t="n">
        <x:v>8277.2</x:v>
      </x:c>
      <x:c r="H57" s="23" t="n">
        <x:v>-35.8</x:v>
      </x:c>
      <x:c r="I57" s="24" t="n">
        <x:v>-0.004306507879225263</x:v>
      </x:c>
      <x:c r="J57" s="23" t="n">
        <x:f>ROUND(E57-F57,1)</x:f>
        <x:v>133.2</x:v>
      </x:c>
      <x:c r="K57" s="22" t="str">
        <x:v>IM2603</x:v>
      </x:c>
    </x:row>
    <x:row r="58">
      <x:c r="A58" s="22" t="n">
        <x:v>10</x:v>
      </x:c>
      <x:c r="B58" s="22" t="str">
        <x:v>周五</x:v>
      </x:c>
      <x:c r="C58" s="22" t="str">
        <x:v>3月13日</x:v>
      </x:c>
      <x:c r="D58" s="23" t="n">
        <x:v>8265.2</x:v>
      </x:c>
      <x:c r="E58" s="23" t="n">
        <x:v>8332</x:v>
      </x:c>
      <x:c r="F58" s="23" t="n">
        <x:v>8172</x:v>
      </x:c>
      <x:c r="G58" s="23" t="n">
        <x:v>8187</x:v>
      </x:c>
      <x:c r="H58" s="23" t="n">
        <x:v>-90.2</x:v>
      </x:c>
      <x:c r="I58" s="24" t="n">
        <x:v>-0.010897404919538056</x:v>
      </x:c>
      <x:c r="J58" s="23" t="n">
        <x:f>ROUND(E58-F58,1)</x:f>
        <x:v>160</x:v>
      </x:c>
      <x:c r="K58" s="22" t="str">
        <x:v>IM2603</x:v>
      </x:c>
    </x:row>
    <x:row r="59">
      <x:c r="A59" s="22" t="n">
        <x:v>11</x:v>
      </x:c>
      <x:c r="B59" s="22" t="str">
        <x:v>周一</x:v>
      </x:c>
      <x:c r="C59" s="22" t="str">
        <x:v>3月16日</x:v>
      </x:c>
      <x:c r="D59" s="23" t="n">
        <x:v>8202.4</x:v>
      </x:c>
      <x:c r="E59" s="23" t="n">
        <x:v>8212.6</x:v>
      </x:c>
      <x:c r="F59" s="23" t="n">
        <x:v>8054</x:v>
      </x:c>
      <x:c r="G59" s="23" t="n">
        <x:v>8187</x:v>
      </x:c>
      <x:c r="H59" s="23" t="n">
        <x:v>0</x:v>
      </x:c>
      <x:c r="I59" s="24" t="n">
        <x:v>0</x:v>
      </x:c>
      <x:c r="J59" s="23" t="n">
        <x:f>ROUND(E59-F59,1)</x:f>
        <x:v>158.6</x:v>
      </x:c>
      <x:c r="K59" s="22" t="str">
        <x:v>IM2603</x:v>
      </x:c>
    </x:row>
    <x:row r="60">
      <x:c r="A60" s="22" t="n">
        <x:v>12</x:v>
      </x:c>
      <x:c r="B60" s="22" t="str">
        <x:v>周二</x:v>
      </x:c>
      <x:c r="C60" s="22" t="str">
        <x:v>3月17日</x:v>
      </x:c>
      <x:c r="D60" s="23" t="n">
        <x:v>8203.8</x:v>
      </x:c>
      <x:c r="E60" s="23" t="n">
        <x:v>8220</x:v>
      </x:c>
      <x:c r="F60" s="23" t="n">
        <x:v>8002</x:v>
      </x:c>
      <x:c r="G60" s="23" t="n">
        <x:v>8014</x:v>
      </x:c>
      <x:c r="H60" s="28" t="n">
        <x:v>-173</x:v>
      </x:c>
      <x:c r="I60" s="24" t="n">
        <x:v>-0.02113106143886645</x:v>
      </x:c>
      <x:c r="J60" s="26" t="n">
        <x:f>ROUND(E60-F60,1)</x:f>
        <x:v>218</x:v>
      </x:c>
      <x:c r="K60" s="22" t="str">
        <x:v>IM2603</x:v>
      </x:c>
    </x:row>
    <x:row r="61">
      <x:c r="A61" s="22" t="n">
        <x:v>13</x:v>
      </x:c>
      <x:c r="B61" s="22" t="str">
        <x:v>周三</x:v>
      </x:c>
      <x:c r="C61" s="22" t="str">
        <x:v>3月18日</x:v>
      </x:c>
      <x:c r="D61" s="23" t="n">
        <x:v>8067</x:v>
      </x:c>
      <x:c r="E61" s="23" t="n">
        <x:v>8098.4</x:v>
      </x:c>
      <x:c r="F61" s="23" t="n">
        <x:v>7971.2</x:v>
      </x:c>
      <x:c r="G61" s="23" t="n">
        <x:v>8080.4</x:v>
      </x:c>
      <x:c r="H61" s="23" t="n">
        <x:v>66.4</x:v>
      </x:c>
      <x:c r="I61" s="24" t="n">
        <x:v>0.008285500374344945</x:v>
      </x:c>
      <x:c r="J61" s="23" t="n">
        <x:f>ROUND(E61-F61,1)</x:f>
        <x:v>127.2</x:v>
      </x:c>
      <x:c r="K61" s="22" t="str">
        <x:v>IM2603</x:v>
      </x:c>
    </x:row>
    <x:row r="62">
      <x:c r="A62" s="22" t="n">
        <x:v>14</x:v>
      </x:c>
      <x:c r="B62" s="22" t="str">
        <x:v>周四</x:v>
      </x:c>
      <x:c r="C62" s="22" t="str">
        <x:v>3月19日</x:v>
      </x:c>
      <x:c r="D62" s="23" t="n">
        <x:v>7991.4</x:v>
      </x:c>
      <x:c r="E62" s="23" t="n">
        <x:v>8013.6</x:v>
      </x:c>
      <x:c r="F62" s="23" t="n">
        <x:v>7873.4</x:v>
      </x:c>
      <x:c r="G62" s="23" t="n">
        <x:v>7923.8</x:v>
      </x:c>
      <x:c r="H62" s="28" t="n">
        <x:v>-156.6</x:v>
      </x:c>
      <x:c r="I62" s="24" t="n">
        <x:v>-0.019380228701549318</x:v>
      </x:c>
      <x:c r="J62" s="23" t="n">
        <x:f>ROUND(E62-F62,1)</x:f>
        <x:v>140.2</x:v>
      </x:c>
      <x:c r="K62" s="22" t="str">
        <x:v>IM2603</x:v>
      </x:c>
    </x:row>
    <x:row r="63">
      <x:c r="A63" s="41" t="n">
        <x:v>15</x:v>
      </x:c>
      <x:c r="B63" s="41" t="str">
        <x:v>周五</x:v>
      </x:c>
      <x:c r="C63" s="41" t="str">
        <x:v>3月20日</x:v>
      </x:c>
      <x:c r="D63" s="42" t="n">
        <x:v>7958.2</x:v>
      </x:c>
      <x:c r="E63" s="42" t="n">
        <x:v>8004.8</x:v>
      </x:c>
      <x:c r="F63" s="42" t="n">
        <x:v>7866</x:v>
      </x:c>
      <x:c r="G63" s="42" t="n">
        <x:v>7876.2</x:v>
      </x:c>
      <x:c r="H63" s="42" t="n">
        <x:v>-47.6</x:v>
      </x:c>
      <x:c r="I63" s="43" t="n">
        <x:v>-0.006007218758676491</x:v>
      </x:c>
      <x:c r="J63" s="42" t="n">
        <x:f>ROUND(E63-F63,1)</x:f>
        <x:v>138.8</x:v>
      </x:c>
      <x:c r="K63" s="41" t="str">
        <x:v>IM2603</x:v>
      </x:c>
    </x:row>
    <x:row r="64">
      <x:c r="A64" s="22" t="n">
        <x:v>16</x:v>
      </x:c>
      <x:c r="B64" s="22" t="str">
        <x:v>周一</x:v>
      </x:c>
      <x:c r="C64" s="22" t="str">
        <x:v>3月23日</x:v>
      </x:c>
      <x:c r="D64" s="23" t="n">
        <x:v>7459.8</x:v>
      </x:c>
      <x:c r="E64" s="23" t="n">
        <x:v>7518.6</x:v>
      </x:c>
      <x:c r="F64" s="23" t="n">
        <x:v>7120.2</x:v>
      </x:c>
      <x:c r="G64" s="23" t="n">
        <x:v>7190</x:v>
      </x:c>
      <x:c r="H64" s="28" t="n">
        <x:v>-686.2</x:v>
      </x:c>
      <x:c r="I64" s="24" t="n">
        <x:v>-0.08712323201543892</x:v>
      </x:c>
      <x:c r="J64" s="26" t="n">
        <x:f>ROUND(E64-F64,1)</x:f>
        <x:v>398.4</x:v>
      </x:c>
      <x:c r="K64" s="22" t="str">
        <x:v>IM2606</x:v>
      </x:c>
    </x:row>
    <x:row r="65">
      <x:c r="A65" s="22" t="n">
        <x:v>17</x:v>
      </x:c>
      <x:c r="B65" s="22" t="str">
        <x:v>周二</x:v>
      </x:c>
      <x:c r="C65" s="22" t="str">
        <x:v>3月24日</x:v>
      </x:c>
      <x:c r="D65" s="23" t="n">
        <x:v>7286</x:v>
      </x:c>
      <x:c r="E65" s="23" t="n">
        <x:v>7402</x:v>
      </x:c>
      <x:c r="F65" s="23" t="n">
        <x:v>7153.8</x:v>
      </x:c>
      <x:c r="G65" s="23" t="n">
        <x:v>7387.2</x:v>
      </x:c>
      <x:c r="H65" s="28" t="n">
        <x:v>197.2</x:v>
      </x:c>
      <x:c r="I65" s="24" t="n">
        <x:v>0.02742698191933246</x:v>
      </x:c>
      <x:c r="J65" s="26" t="n">
        <x:f>ROUND(E65-F65,1)</x:f>
        <x:v>248.2</x:v>
      </x:c>
      <x:c r="K65" s="22" t="str">
        <x:v>IM2606</x:v>
      </x:c>
    </x:row>
    <x:row r="66">
      <x:c r="A66" s="22" t="n">
        <x:v>18</x:v>
      </x:c>
      <x:c r="B66" s="22" t="str">
        <x:v>周三</x:v>
      </x:c>
      <x:c r="C66" s="22" t="str">
        <x:v>3月25日</x:v>
      </x:c>
      <x:c r="D66" s="23" t="n">
        <x:v>7454.8</x:v>
      </x:c>
      <x:c r="E66" s="23" t="n">
        <x:v>7589</x:v>
      </x:c>
      <x:c r="F66" s="23" t="n">
        <x:v>7446.6</x:v>
      </x:c>
      <x:c r="G66" s="23" t="n">
        <x:v>7477.4</x:v>
      </x:c>
      <x:c r="H66" s="23" t="n">
        <x:v>90.2</x:v>
      </x:c>
      <x:c r="I66" s="24" t="n">
        <x:v>0.012210309724929536</x:v>
      </x:c>
      <x:c r="J66" s="23" t="n">
        <x:f>ROUND(E66-F66,1)</x:f>
        <x:v>142.4</x:v>
      </x:c>
      <x:c r="K66" s="22" t="str">
        <x:v>IM2606</x:v>
      </x:c>
    </x:row>
    <x:row r="67">
      <x:c r="A67" s="22" t="n">
        <x:v>19</x:v>
      </x:c>
      <x:c r="B67" s="22" t="str">
        <x:v>周四</x:v>
      </x:c>
      <x:c r="C67" s="22" t="str">
        <x:v>3月26日</x:v>
      </x:c>
      <x:c r="D67" s="23" t="n">
        <x:v>7463.8</x:v>
      </x:c>
      <x:c r="E67" s="23" t="n">
        <x:v>7534</x:v>
      </x:c>
      <x:c r="F67" s="23" t="n">
        <x:v>7363.6</x:v>
      </x:c>
      <x:c r="G67" s="23" t="n">
        <x:v>7375.6</x:v>
      </x:c>
      <x:c r="H67" s="23" t="n">
        <x:v>-101.8</x:v>
      </x:c>
      <x:c r="I67" s="24" t="n">
        <x:v>-0.013614357931901355</x:v>
      </x:c>
      <x:c r="J67" s="23" t="n">
        <x:f>ROUND(E67-F67,1)</x:f>
        <x:v>170.4</x:v>
      </x:c>
      <x:c r="K67" s="22" t="str">
        <x:v>IM2606</x:v>
      </x:c>
    </x:row>
    <x:row r="68">
      <x:c r="A68" s="22" t="n">
        <x:v>20</x:v>
      </x:c>
      <x:c r="B68" s="22" t="str">
        <x:v>周五</x:v>
      </x:c>
      <x:c r="C68" s="22" t="str">
        <x:v>3月27日</x:v>
      </x:c>
      <x:c r="D68" s="23" t="n">
        <x:v>7301</x:v>
      </x:c>
      <x:c r="E68" s="23" t="n">
        <x:v>7562.4</x:v>
      </x:c>
      <x:c r="F68" s="23" t="n">
        <x:v>7301</x:v>
      </x:c>
      <x:c r="G68" s="23" t="n">
        <x:v>7523.8</x:v>
      </x:c>
      <x:c r="H68" s="23" t="n">
        <x:v>148.2</x:v>
      </x:c>
      <x:c r="I68" s="24" t="n">
        <x:v>0.02009328054666737</x:v>
      </x:c>
      <x:c r="J68" s="26" t="n">
        <x:f>ROUND(E68-F68,1)</x:f>
        <x:v>261.4</x:v>
      </x:c>
      <x:c r="K68" s="22" t="str">
        <x:v>IM2606</x:v>
      </x:c>
    </x:row>
    <x:row r="69">
      <x:c r="A69" s="22" t="n">
        <x:v>21</x:v>
      </x:c>
      <x:c r="B69" s="22" t="str">
        <x:v>周一</x:v>
      </x:c>
      <x:c r="C69" s="22" t="str">
        <x:v>3月30日</x:v>
      </x:c>
      <x:c r="D69" s="23" t="n">
        <x:v>7445</x:v>
      </x:c>
      <x:c r="E69" s="23" t="n">
        <x:v>7528</x:v>
      </x:c>
      <x:c r="F69" s="23" t="n">
        <x:v>7323</x:v>
      </x:c>
      <x:c r="G69" s="23" t="n">
        <x:v>7509.4</x:v>
      </x:c>
      <x:c r="H69" s="23" t="n">
        <x:v>-14.4</x:v>
      </x:c>
      <x:c r="I69" s="24" t="n">
        <x:v>-0.0019139264733246675</x:v>
      </x:c>
      <x:c r="J69" s="26" t="n">
        <x:f>ROUND(E69-F69,1)</x:f>
        <x:v>205</x:v>
      </x:c>
      <x:c r="K69" s="22" t="str">
        <x:v>IM2606</x:v>
      </x:c>
    </x:row>
    <x:row r="70">
      <x:c r="A70" s="22" t="n">
        <x:v>22</x:v>
      </x:c>
      <x:c r="B70" s="22" t="str">
        <x:v>周二</x:v>
      </x:c>
      <x:c r="C70" s="22" t="str">
        <x:v>3月31日</x:v>
      </x:c>
      <x:c r="D70" s="23" t="n">
        <x:v>7509</x:v>
      </x:c>
      <x:c r="E70" s="23" t="n">
        <x:v>7550</x:v>
      </x:c>
      <x:c r="F70" s="23" t="n">
        <x:v>7364</x:v>
      </x:c>
      <x:c r="G70" s="23" t="n">
        <x:v>7379.4</x:v>
      </x:c>
      <x:c r="H70" s="23" t="n">
        <x:v>-130</x:v>
      </x:c>
      <x:c r="I70" s="24" t="n">
        <x:v>-0.017311636082776305</x:v>
      </x:c>
      <x:c r="J70" s="23" t="n">
        <x:f>ROUND(E70-F70,1)</x:f>
        <x:v>186</x:v>
      </x:c>
      <x:c r="K70" s="22" t="str">
        <x:v>IM2606</x:v>
      </x:c>
    </x:row>
    <x:row r="71">
      <x:c r="A71" s="31" t="str">
        <x:v>合计</x:v>
      </x:c>
      <x:c r="B71" s="30" t="n">
        <x:v>22</x:v>
      </x:c>
      <x:c r="C71" s="30"/>
      <x:c r="D71" s="30"/>
      <x:c r="E71" s="30"/>
      <x:c r="F71" s="30"/>
      <x:c r="G71" s="30"/>
      <x:c r="H71" s="30"/>
      <x:c r="I71" s="30"/>
      <x:c r="J71" s="32" t="n">
        <x:f>ROUND(SUM(J49:J70),1)</x:f>
        <x:v>4290</x:v>
      </x:c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0"/>
      <x:c r="J72" s="34" t="n">
        <x:f>ROUND(IFERROR(AVERAGE(J49:J70),0),1)</x:f>
        <x:v>195</x:v>
      </x:c>
      <x:c r="K72" s="30"/>
    </x:row>
    <x:row r="74">
      <x:c r="A74" s="17" t="str">
        <x:v>4月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20" t="str">
        <x:v>序号</x:v>
      </x:c>
      <x:c r="B75" s="20" t="str">
        <x:v>星期</x:v>
      </x:c>
      <x:c r="C75" s="20" t="str">
        <x:v>日期</x:v>
      </x:c>
      <x:c r="D75" s="20" t="str">
        <x:v>开盘</x:v>
      </x:c>
      <x:c r="E75" s="20" t="str">
        <x:v>高点</x:v>
      </x:c>
      <x:c r="F75" s="20" t="str">
        <x:v>低点</x:v>
      </x:c>
      <x:c r="G75" s="20" t="str">
        <x:v>收盘</x:v>
      </x:c>
      <x:c r="H75" s="20" t="str">
        <x:v>涨跌点数</x:v>
      </x:c>
      <x:c r="I75" s="20" t="str">
        <x:v>涨幅</x:v>
      </x:c>
      <x:c r="J75" s="20" t="str">
        <x:v>振幅</x:v>
      </x:c>
      <x:c r="K75" s="20" t="str">
        <x:v>标的</x:v>
      </x:c>
    </x:row>
    <x:row r="76">
      <x:c r="A76" s="22" t="n">
        <x:v>1</x:v>
      </x:c>
      <x:c r="B76" s="22" t="str">
        <x:v>周三</x:v>
      </x:c>
      <x:c r="C76" s="22" t="str">
        <x:v>4月1日</x:v>
      </x:c>
      <x:c r="D76" s="23" t="n">
        <x:v>7530</x:v>
      </x:c>
      <x:c r="E76" s="23" t="n">
        <x:v>7567.6</x:v>
      </x:c>
      <x:c r="F76" s="23" t="n">
        <x:v>7456.6</x:v>
      </x:c>
      <x:c r="G76" s="23" t="n">
        <x:v>7518.6</x:v>
      </x:c>
      <x:c r="H76" s="23" t="n">
        <x:v>139.2</x:v>
      </x:c>
      <x:c r="I76" s="24" t="n">
        <x:v>0.018863322221318812</x:v>
      </x:c>
      <x:c r="J76" s="23" t="n">
        <x:f>ROUND(E76-F76,1)</x:f>
        <x:v>111</x:v>
      </x:c>
      <x:c r="K76" s="22" t="str">
        <x:v>IM2606</x:v>
      </x:c>
    </x:row>
    <x:row r="77">
      <x:c r="A77" s="22" t="n">
        <x:v>2</x:v>
      </x:c>
      <x:c r="B77" s="22" t="str">
        <x:v>周四</x:v>
      </x:c>
      <x:c r="C77" s="22" t="str">
        <x:v>4月2日</x:v>
      </x:c>
      <x:c r="D77" s="23" t="n">
        <x:v>7460</x:v>
      </x:c>
      <x:c r="E77" s="23" t="n">
        <x:v>7510</x:v>
      </x:c>
      <x:c r="F77" s="23" t="n">
        <x:v>7311.2</x:v>
      </x:c>
      <x:c r="G77" s="23" t="n">
        <x:v>7371.6</x:v>
      </x:c>
      <x:c r="H77" s="23" t="n">
        <x:v>-147</x:v>
      </x:c>
      <x:c r="I77" s="24" t="n">
        <x:v>-0.019551512249620928</x:v>
      </x:c>
      <x:c r="J77" s="26" t="n">
        <x:f>ROUND(E77-F77,1)</x:f>
        <x:v>198.8</x:v>
      </x:c>
      <x:c r="K77" s="22" t="str">
        <x:v>IM2606</x:v>
      </x:c>
    </x:row>
    <x:row r="78">
      <x:c r="A78" s="22" t="n">
        <x:v>3</x:v>
      </x:c>
      <x:c r="B78" s="22" t="str">
        <x:v>周五</x:v>
      </x:c>
      <x:c r="C78" s="22" t="str">
        <x:v>4月3日</x:v>
      </x:c>
      <x:c r="D78" s="23" t="n">
        <x:v>7411.2</x:v>
      </x:c>
      <x:c r="E78" s="23" t="n">
        <x:v>7418</x:v>
      </x:c>
      <x:c r="F78" s="23" t="n">
        <x:v>7280.2</x:v>
      </x:c>
      <x:c r="G78" s="23" t="n">
        <x:v>7309.4</x:v>
      </x:c>
      <x:c r="H78" s="23" t="n">
        <x:v>-62.2</x:v>
      </x:c>
      <x:c r="I78" s="24" t="n">
        <x:v>-0.008437788268489954</x:v>
      </x:c>
      <x:c r="J78" s="23" t="n">
        <x:f>ROUND(E78-F78,1)</x:f>
        <x:v>137.8</x:v>
      </x:c>
      <x:c r="K78" s="22" t="str">
        <x:v>IM2606</x:v>
      </x:c>
    </x:row>
    <x:row r="79">
      <x:c r="A79" s="22" t="n">
        <x:v>4</x:v>
      </x:c>
      <x:c r="B79" s="22" t="str">
        <x:v>周二</x:v>
      </x:c>
      <x:c r="C79" s="22" t="str">
        <x:v>4月7日</x:v>
      </x:c>
      <x:c r="D79" s="23" t="n">
        <x:v>7344.2</x:v>
      </x:c>
      <x:c r="E79" s="23" t="n">
        <x:v>7437.8</x:v>
      </x:c>
      <x:c r="F79" s="23" t="n">
        <x:v>7332.8</x:v>
      </x:c>
      <x:c r="G79" s="23" t="n">
        <x:v>7376.6</x:v>
      </x:c>
      <x:c r="H79" s="23" t="n">
        <x:v>67.2</x:v>
      </x:c>
      <x:c r="I79" s="24" t="n">
        <x:v>0.009193641064930258</x:v>
      </x:c>
      <x:c r="J79" s="23" t="n">
        <x:f>ROUND(E79-F79,1)</x:f>
        <x:v>105</x:v>
      </x:c>
      <x:c r="K79" s="22" t="str">
        <x:v>IM2606</x:v>
      </x:c>
    </x:row>
    <x:row r="80">
      <x:c r="A80" s="22" t="n">
        <x:v>5</x:v>
      </x:c>
      <x:c r="B80" s="22" t="str">
        <x:v>周三</x:v>
      </x:c>
      <x:c r="C80" s="22" t="str">
        <x:v>4月8日</x:v>
      </x:c>
      <x:c r="D80" s="23" t="n">
        <x:v>7560</x:v>
      </x:c>
      <x:c r="E80" s="23" t="n">
        <x:v>7782</x:v>
      </x:c>
      <x:c r="F80" s="23" t="n">
        <x:v>7560</x:v>
      </x:c>
      <x:c r="G80" s="23" t="n">
        <x:v>7778</x:v>
      </x:c>
      <x:c r="H80" s="28" t="n">
        <x:v>401.4</x:v>
      </x:c>
      <x:c r="I80" s="24" t="n">
        <x:v>0.05441531328796456</x:v>
      </x:c>
      <x:c r="J80" s="26" t="n">
        <x:f>ROUND(E80-F80,1)</x:f>
        <x:v>222</x:v>
      </x:c>
      <x:c r="K80" s="22" t="str">
        <x:v>IM2606</x:v>
      </x:c>
    </x:row>
    <x:row r="81">
      <x:c r="A81" s="22" t="n">
        <x:v>6</x:v>
      </x:c>
      <x:c r="B81" s="22" t="str">
        <x:v>周四</x:v>
      </x:c>
      <x:c r="C81" s="22" t="str">
        <x:v>4月9日</x:v>
      </x:c>
      <x:c r="D81" s="23" t="n">
        <x:v>7710</x:v>
      </x:c>
      <x:c r="E81" s="23" t="n">
        <x:v>7757.6</x:v>
      </x:c>
      <x:c r="F81" s="23" t="n">
        <x:v>7680.2</x:v>
      </x:c>
      <x:c r="G81" s="23" t="n">
        <x:v>7709.4</x:v>
      </x:c>
      <x:c r="H81" s="23" t="n">
        <x:v>-68.6</x:v>
      </x:c>
      <x:c r="I81" s="24" t="n">
        <x:v>-0.008819748007199868</x:v>
      </x:c>
      <x:c r="J81" s="23" t="n">
        <x:f>ROUND(E81-F81,1)</x:f>
        <x:v>77.4</x:v>
      </x:c>
      <x:c r="K81" s="22" t="str">
        <x:v>IM2606</x:v>
      </x:c>
    </x:row>
    <x:row r="82">
      <x:c r="A82" s="22" t="n">
        <x:v>7</x:v>
      </x:c>
      <x:c r="B82" s="22" t="str">
        <x:v>周五</x:v>
      </x:c>
      <x:c r="C82" s="22" t="str">
        <x:v>4月10日</x:v>
      </x:c>
      <x:c r="D82" s="23" t="n">
        <x:v>7775</x:v>
      </x:c>
      <x:c r="E82" s="23" t="n">
        <x:v>7869.6</x:v>
      </x:c>
      <x:c r="F82" s="23" t="n">
        <x:v>7761</x:v>
      </x:c>
      <x:c r="G82" s="23" t="n">
        <x:v>7785.8</x:v>
      </x:c>
      <x:c r="H82" s="23" t="n">
        <x:v>76.4</x:v>
      </x:c>
      <x:c r="I82" s="24" t="n">
        <x:v>0.009909980024385812</x:v>
      </x:c>
      <x:c r="J82" s="23" t="n">
        <x:f>ROUND(E82-F82,1)</x:f>
        <x:v>108.6</x:v>
      </x:c>
      <x:c r="K82" s="22" t="str">
        <x:v>IM2606</x:v>
      </x:c>
    </x:row>
    <x:row r="83">
      <x:c r="A83" s="22" t="n">
        <x:v>8</x:v>
      </x:c>
      <x:c r="B83" s="22" t="str">
        <x:v>周一</x:v>
      </x:c>
      <x:c r="C83" s="22" t="str">
        <x:v>4月13日</x:v>
      </x:c>
      <x:c r="D83" s="23" t="n">
        <x:v>7758</x:v>
      </x:c>
      <x:c r="E83" s="23" t="n">
        <x:v>7829.8</x:v>
      </x:c>
      <x:c r="F83" s="23" t="n">
        <x:v>7751</x:v>
      </x:c>
      <x:c r="G83" s="23" t="n">
        <x:v>7795.6</x:v>
      </x:c>
      <x:c r="H83" s="23" t="n">
        <x:v>9.8</x:v>
      </x:c>
      <x:c r="I83" s="24" t="n">
        <x:v>0.0012587017390635058</x:v>
      </x:c>
      <x:c r="J83" s="23" t="n">
        <x:f>ROUND(E83-F83,1)</x:f>
        <x:v>78.8</x:v>
      </x:c>
      <x:c r="K83" s="22" t="str">
        <x:v>IM2606</x:v>
      </x:c>
    </x:row>
    <x:row r="84">
      <x:c r="A84" s="22" t="n">
        <x:v>9</x:v>
      </x:c>
      <x:c r="B84" s="22" t="str">
        <x:v>周二</x:v>
      </x:c>
      <x:c r="C84" s="22" t="str">
        <x:v>4月14日</x:v>
      </x:c>
      <x:c r="D84" s="23" t="n">
        <x:v>7872</x:v>
      </x:c>
      <x:c r="E84" s="23" t="n">
        <x:v>7918</x:v>
      </x:c>
      <x:c r="F84" s="23" t="n">
        <x:v>7821.8</x:v>
      </x:c>
      <x:c r="G84" s="23" t="n">
        <x:v>7913</x:v>
      </x:c>
      <x:c r="H84" s="23" t="n">
        <x:v>117.4</x:v>
      </x:c>
      <x:c r="I84" s="24" t="n">
        <x:v>0.015059777310277633</x:v>
      </x:c>
      <x:c r="J84" s="23" t="n">
        <x:f>ROUND(E84-F84,1)</x:f>
        <x:v>96.2</x:v>
      </x:c>
      <x:c r="K84" s="22" t="str">
        <x:v>IM2606</x:v>
      </x:c>
    </x:row>
    <x:row r="85">
      <x:c r="A85" s="22" t="n">
        <x:v>10</x:v>
      </x:c>
      <x:c r="B85" s="22" t="str">
        <x:v>周三</x:v>
      </x:c>
      <x:c r="C85" s="22" t="str">
        <x:v>4月15日</x:v>
      </x:c>
      <x:c r="D85" s="23" t="n">
        <x:v>7960</x:v>
      </x:c>
      <x:c r="E85" s="23" t="n">
        <x:v>7982</x:v>
      </x:c>
      <x:c r="F85" s="23" t="n">
        <x:v>7895.2</x:v>
      </x:c>
      <x:c r="G85" s="23" t="n">
        <x:v>7904.6</x:v>
      </x:c>
      <x:c r="H85" s="23" t="n">
        <x:v>-8.4</x:v>
      </x:c>
      <x:c r="I85" s="24" t="n">
        <x:v>-0.001061544294199357</x:v>
      </x:c>
      <x:c r="J85" s="23" t="n">
        <x:f>ROUND(E85-F85,1)</x:f>
        <x:v>86.8</x:v>
      </x:c>
      <x:c r="K85" s="22" t="str">
        <x:v>IM2606</x:v>
      </x:c>
    </x:row>
    <x:row r="86">
      <x:c r="A86" s="22" t="n">
        <x:v>11</x:v>
      </x:c>
      <x:c r="B86" s="22" t="str">
        <x:v>周四</x:v>
      </x:c>
      <x:c r="C86" s="22" t="str">
        <x:v>4月16日</x:v>
      </x:c>
      <x:c r="D86" s="23" t="n">
        <x:v>7941.6</x:v>
      </x:c>
      <x:c r="E86" s="23" t="n">
        <x:v>8072.2</x:v>
      </x:c>
      <x:c r="F86" s="23" t="n">
        <x:v>7923.6</x:v>
      </x:c>
      <x:c r="G86" s="23" t="n">
        <x:v>8052.2</x:v>
      </x:c>
      <x:c r="H86" s="23" t="n">
        <x:v>147.6</x:v>
      </x:c>
      <x:c r="I86" s="24" t="n">
        <x:v>0.018672671608936486</x:v>
      </x:c>
      <x:c r="J86" s="23" t="n">
        <x:f>ROUND(E86-F86,1)</x:f>
        <x:v>148.6</x:v>
      </x:c>
      <x:c r="K86" s="22" t="str">
        <x:v>IM2606</x:v>
      </x:c>
    </x:row>
    <x:row r="87">
      <x:c r="A87" s="41" t="n">
        <x:v>12</x:v>
      </x:c>
      <x:c r="B87" s="41" t="str">
        <x:v>周五</x:v>
      </x:c>
      <x:c r="C87" s="41" t="str">
        <x:v>4月17日</x:v>
      </x:c>
      <x:c r="D87" s="42" t="n">
        <x:v>8030.2</x:v>
      </x:c>
      <x:c r="E87" s="42" t="n">
        <x:v>8165.8</x:v>
      </x:c>
      <x:c r="F87" s="42" t="n">
        <x:v>8020</x:v>
      </x:c>
      <x:c r="G87" s="42" t="n">
        <x:v>8132</x:v>
      </x:c>
      <x:c r="H87" s="42" t="n">
        <x:v>79.8</x:v>
      </x:c>
      <x:c r="I87" s="43" t="n">
        <x:v>0.009910335063709308</x:v>
      </x:c>
      <x:c r="J87" s="42" t="n">
        <x:f>ROUND(E87-F87,1)</x:f>
        <x:v>145.8</x:v>
      </x:c>
      <x:c r="K87" s="41" t="str">
        <x:v>IM2606</x:v>
      </x:c>
    </x:row>
    <x:row r="88">
      <x:c r="A88" s="22" t="n">
        <x:v>13</x:v>
      </x:c>
      <x:c r="B88" s="22" t="str">
        <x:v>周一</x:v>
      </x:c>
      <x:c r="C88" s="22" t="str">
        <x:v>4月20日</x:v>
      </x:c>
      <x:c r="D88" s="23" t="n">
        <x:v>8130</x:v>
      </x:c>
      <x:c r="E88" s="23" t="n">
        <x:v>8223.8</x:v>
      </x:c>
      <x:c r="F88" s="23" t="n">
        <x:v>8102.6</x:v>
      </x:c>
      <x:c r="G88" s="23" t="n">
        <x:v>8159.2</x:v>
      </x:c>
      <x:c r="H88" s="23" t="n">
        <x:v>27.2</x:v>
      </x:c>
      <x:c r="I88" s="24" t="n">
        <x:v>0.003344810624692496</x:v>
      </x:c>
      <x:c r="J88" s="23" t="n">
        <x:f>ROUND(E88-F88,1)</x:f>
        <x:v>121.2</x:v>
      </x:c>
      <x:c r="K88" s="22" t="str">
        <x:v>IM2606</x:v>
      </x:c>
    </x:row>
    <x:row r="89">
      <x:c r="A89" s="22" t="n">
        <x:v>14</x:v>
      </x:c>
      <x:c r="B89" s="22" t="str">
        <x:v>周二</x:v>
      </x:c>
      <x:c r="C89" s="22" t="str">
        <x:v>4月21日</x:v>
      </x:c>
      <x:c r="D89" s="23" t="n">
        <x:v>8140</x:v>
      </x:c>
      <x:c r="E89" s="23" t="n">
        <x:v>8185.8</x:v>
      </x:c>
      <x:c r="F89" s="23" t="n">
        <x:v>8092</x:v>
      </x:c>
      <x:c r="G89" s="23" t="n">
        <x:v>8170</x:v>
      </x:c>
      <x:c r="H89" s="23" t="n">
        <x:v>10.8</x:v>
      </x:c>
      <x:c r="I89" s="24" t="n">
        <x:v>0.0013236591822727295</x:v>
      </x:c>
      <x:c r="J89" s="23" t="n">
        <x:f>ROUND(E89-F89,1)</x:f>
        <x:v>93.8</x:v>
      </x:c>
      <x:c r="K89" s="22" t="str">
        <x:v>IM2606</x:v>
      </x:c>
    </x:row>
    <x:row r="90">
      <x:c r="A90" s="22" t="n">
        <x:v>15</x:v>
      </x:c>
      <x:c r="B90" s="22" t="str">
        <x:v>周三</x:v>
      </x:c>
      <x:c r="C90" s="22" t="str">
        <x:v>4月22日</x:v>
      </x:c>
      <x:c r="D90" s="23" t="n">
        <x:v>8141</x:v>
      </x:c>
      <x:c r="E90" s="23" t="n">
        <x:v>8326.4</x:v>
      </x:c>
      <x:c r="F90" s="23" t="n">
        <x:v>8141</x:v>
      </x:c>
      <x:c r="G90" s="23" t="n">
        <x:v>8322.8</x:v>
      </x:c>
      <x:c r="H90" s="28" t="n">
        <x:v>152.8</x:v>
      </x:c>
      <x:c r="I90" s="24" t="n">
        <x:v>0.01870257037943679</x:v>
      </x:c>
      <x:c r="J90" s="23" t="n">
        <x:f>ROUND(E90-F90,1)</x:f>
        <x:v>185.4</x:v>
      </x:c>
      <x:c r="K90" s="22" t="str">
        <x:v>IM2606</x:v>
      </x:c>
    </x:row>
    <x:row r="91">
      <x:c r="A91" s="22" t="n">
        <x:v>16</x:v>
      </x:c>
      <x:c r="B91" s="22" t="str">
        <x:v>周四</x:v>
      </x:c>
      <x:c r="C91" s="22" t="str">
        <x:v>4月23日</x:v>
      </x:c>
      <x:c r="D91" s="23" t="n">
        <x:v>8330</x:v>
      </x:c>
      <x:c r="E91" s="23" t="n">
        <x:v>8337</x:v>
      </x:c>
      <x:c r="F91" s="23" t="n">
        <x:v>8144.8</x:v>
      </x:c>
      <x:c r="G91" s="23" t="n">
        <x:v>8219.2</x:v>
      </x:c>
      <x:c r="H91" s="23" t="n">
        <x:v>-103.6</x:v>
      </x:c>
      <x:c r="I91" s="24" t="n">
        <x:v>-0.012447733935694538</x:v>
      </x:c>
      <x:c r="J91" s="26" t="n">
        <x:f>ROUND(E91-F91,1)</x:f>
        <x:v>192.2</x:v>
      </x:c>
      <x:c r="K91" s="22" t="str">
        <x:v>IM2606</x:v>
      </x:c>
    </x:row>
    <x:row r="92">
      <x:c r="A92" s="22" t="n">
        <x:v>17</x:v>
      </x:c>
      <x:c r="B92" s="22" t="str">
        <x:v>周五</x:v>
      </x:c>
      <x:c r="C92" s="22" t="str">
        <x:v>4月24日</x:v>
      </x:c>
      <x:c r="D92" s="23" t="n">
        <x:v>8208</x:v>
      </x:c>
      <x:c r="E92" s="23" t="n">
        <x:v>8232</x:v>
      </x:c>
      <x:c r="F92" s="23" t="n">
        <x:v>8115.6</x:v>
      </x:c>
      <x:c r="G92" s="23" t="n">
        <x:v>8163</x:v>
      </x:c>
      <x:c r="H92" s="23" t="n">
        <x:v>-56.2</x:v>
      </x:c>
      <x:c r="I92" s="24" t="n">
        <x:v>-0.006837648432937549</x:v>
      </x:c>
      <x:c r="J92" s="23" t="n">
        <x:f>ROUND(E92-F92,1)</x:f>
        <x:v>116.4</x:v>
      </x:c>
      <x:c r="K92" s="22" t="str">
        <x:v>IM2606</x:v>
      </x:c>
    </x:row>
    <x:row r="93">
      <x:c r="A93" s="22" t="n">
        <x:v>18</x:v>
      </x:c>
      <x:c r="B93" s="22" t="str">
        <x:v>周一</x:v>
      </x:c>
      <x:c r="C93" s="22" t="str">
        <x:v>4月27日</x:v>
      </x:c>
      <x:c r="D93" s="23" t="n">
        <x:v>8181.4</x:v>
      </x:c>
      <x:c r="E93" s="23" t="n">
        <x:v>8239</x:v>
      </x:c>
      <x:c r="F93" s="23" t="n">
        <x:v>8126.8</x:v>
      </x:c>
      <x:c r="G93" s="23" t="n">
        <x:v>8199.2</x:v>
      </x:c>
      <x:c r="H93" s="23" t="n">
        <x:v>36.2</x:v>
      </x:c>
      <x:c r="I93" s="24" t="n">
        <x:v>0.004434644125934195</x:v>
      </x:c>
      <x:c r="J93" s="23" t="n">
        <x:f>ROUND(E93-F93,1)</x:f>
        <x:v>112.2</x:v>
      </x:c>
      <x:c r="K93" s="22" t="str">
        <x:v>IM2606</x:v>
      </x:c>
    </x:row>
    <x:row r="94">
      <x:c r="A94" s="22" t="n">
        <x:v>19</x:v>
      </x:c>
      <x:c r="B94" s="22" t="str">
        <x:v>周二</x:v>
      </x:c>
      <x:c r="C94" s="22" t="str">
        <x:v>4月28日</x:v>
      </x:c>
      <x:c r="D94" s="23" t="n">
        <x:v>8170</x:v>
      </x:c>
      <x:c r="E94" s="23" t="n">
        <x:v>8195</x:v>
      </x:c>
      <x:c r="F94" s="23" t="n">
        <x:v>8056</x:v>
      </x:c>
      <x:c r="G94" s="23" t="n">
        <x:v>8103.6</x:v>
      </x:c>
      <x:c r="H94" s="23" t="n">
        <x:v>-95.6</x:v>
      </x:c>
      <x:c r="I94" s="24" t="n">
        <x:v>-0.011659674114547824</x:v>
      </x:c>
      <x:c r="J94" s="23" t="n">
        <x:f>ROUND(E94-F94,1)</x:f>
        <x:v>139</x:v>
      </x:c>
      <x:c r="K94" s="22" t="str">
        <x:v>IM2606</x:v>
      </x:c>
    </x:row>
    <x:row r="95">
      <x:c r="A95" s="22" t="n">
        <x:v>20</x:v>
      </x:c>
      <x:c r="B95" s="22" t="str">
        <x:v>周三</x:v>
      </x:c>
      <x:c r="C95" s="22" t="str">
        <x:v>4月29日</x:v>
      </x:c>
      <x:c r="D95" s="23" t="n">
        <x:v>8085.2</x:v>
      </x:c>
      <x:c r="E95" s="23" t="n">
        <x:v>8271</x:v>
      </x:c>
      <x:c r="F95" s="23" t="n">
        <x:v>8070</x:v>
      </x:c>
      <x:c r="G95" s="23" t="n">
        <x:v>8246</x:v>
      </x:c>
      <x:c r="H95" s="23" t="n">
        <x:v>142.4</x:v>
      </x:c>
      <x:c r="I95" s="24" t="n">
        <x:v>0.01757243694160615</x:v>
      </x:c>
      <x:c r="J95" s="26" t="n">
        <x:f>ROUND(E95-F95,1)</x:f>
        <x:v>201</x:v>
      </x:c>
      <x:c r="K95" s="22" t="str">
        <x:v>IM2606</x:v>
      </x:c>
    </x:row>
    <x:row r="96">
      <x:c r="A96" s="22" t="n">
        <x:v>21</x:v>
      </x:c>
      <x:c r="B96" s="22" t="str">
        <x:v>周四</x:v>
      </x:c>
      <x:c r="C96" s="22" t="str">
        <x:v>4月30日</x:v>
      </x:c>
      <x:c r="D96" s="23" t="n">
        <x:v>8255.4</x:v>
      </x:c>
      <x:c r="E96" s="23" t="n">
        <x:v>8292</x:v>
      </x:c>
      <x:c r="F96" s="23" t="n">
        <x:v>8211.8</x:v>
      </x:c>
      <x:c r="G96" s="23" t="n">
        <x:v>8279.2</x:v>
      </x:c>
      <x:c r="H96" s="23" t="n">
        <x:v>33.2</x:v>
      </x:c>
      <x:c r="I96" s="24" t="n">
        <x:v>0.00402619451855446</x:v>
      </x:c>
      <x:c r="J96" s="23" t="n">
        <x:f>ROUND(E96-F96,1)</x:f>
        <x:v>80.2</x:v>
      </x:c>
      <x:c r="K96" s="22" t="str">
        <x:v>IM2606</x:v>
      </x:c>
    </x:row>
    <x:row r="97">
      <x:c r="A97" s="31" t="str">
        <x:v>合计</x:v>
      </x:c>
      <x:c r="B97" s="30" t="n">
        <x:v>21</x:v>
      </x:c>
      <x:c r="C97" s="30"/>
      <x:c r="D97" s="30"/>
      <x:c r="E97" s="30"/>
      <x:c r="F97" s="30"/>
      <x:c r="G97" s="30"/>
      <x:c r="H97" s="30"/>
      <x:c r="I97" s="30"/>
      <x:c r="J97" s="32" t="n">
        <x:f>ROUND(SUM(J76:J96),1)</x:f>
        <x:v>2758.2</x:v>
      </x:c>
      <x:c r="K97" s="30"/>
    </x:row>
    <x:row r="98">
      <x:c r="A98" s="31" t="str">
        <x:v>均值</x:v>
      </x:c>
      <x:c r="B98" s="30"/>
      <x:c r="C98" s="30"/>
      <x:c r="D98" s="30"/>
      <x:c r="E98" s="30"/>
      <x:c r="F98" s="30"/>
      <x:c r="G98" s="30"/>
      <x:c r="H98" s="30"/>
      <x:c r="I98" s="30"/>
      <x:c r="J98" s="34" t="n">
        <x:f>ROUND(IFERROR(AVERAGE(J76:J96),0),1)</x:f>
        <x:v>131.3</x:v>
      </x:c>
      <x:c r="K98" s="30"/>
    </x:row>
    <x:row r="100">
      <x:c r="A100" s="17" t="str">
        <x:v>5月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20" t="str">
        <x:v>序号</x:v>
      </x:c>
      <x:c r="B101" s="20" t="str">
        <x:v>星期</x:v>
      </x:c>
      <x:c r="C101" s="20" t="str">
        <x:v>日期</x:v>
      </x:c>
      <x:c r="D101" s="20" t="str">
        <x:v>开盘</x:v>
      </x:c>
      <x:c r="E101" s="20" t="str">
        <x:v>高点</x:v>
      </x:c>
      <x:c r="F101" s="20" t="str">
        <x:v>低点</x:v>
      </x:c>
      <x:c r="G101" s="20" t="str">
        <x:v>收盘</x:v>
      </x:c>
      <x:c r="H101" s="20" t="str">
        <x:v>涨跌点数</x:v>
      </x:c>
      <x:c r="I101" s="20" t="str">
        <x:v>涨幅</x:v>
      </x:c>
      <x:c r="J101" s="20" t="str">
        <x:v>振幅</x:v>
      </x:c>
      <x:c r="K101" s="20" t="str">
        <x:v>标的</x:v>
      </x:c>
    </x:row>
    <x:row r="102">
      <x:c r="A102" s="22" t="n">
        <x:v>1</x:v>
      </x:c>
      <x:c r="B102" s="22" t="str">
        <x:v>周三</x:v>
      </x:c>
      <x:c r="C102" s="22" t="str">
        <x:v>5月6日</x:v>
      </x:c>
      <x:c r="D102" s="23" t="n">
        <x:v>8398</x:v>
      </x:c>
      <x:c r="E102" s="23" t="n">
        <x:v>8553</x:v>
      </x:c>
      <x:c r="F102" s="23" t="n">
        <x:v>8381</x:v>
      </x:c>
      <x:c r="G102" s="23" t="n">
        <x:v>8461.6</x:v>
      </x:c>
      <x:c r="H102" s="28" t="n">
        <x:v>182.4</x:v>
      </x:c>
      <x:c r="I102" s="24" t="n">
        <x:v>0.02203111411730596</x:v>
      </x:c>
      <x:c r="J102" s="23" t="n">
        <x:f>ROUND(E102-F102,1)</x:f>
        <x:v>172</x:v>
      </x:c>
      <x:c r="K102" s="22" t="str">
        <x:v>IM2606</x:v>
      </x:c>
    </x:row>
    <x:row r="103">
      <x:c r="A103" s="22" t="n">
        <x:v>2</x:v>
      </x:c>
      <x:c r="B103" s="22" t="str">
        <x:v>周四</x:v>
      </x:c>
      <x:c r="C103" s="22" t="str">
        <x:v>5月7日</x:v>
      </x:c>
      <x:c r="D103" s="23" t="n">
        <x:v>8499.8</x:v>
      </x:c>
      <x:c r="E103" s="23" t="n">
        <x:v>8639.6</x:v>
      </x:c>
      <x:c r="F103" s="23" t="n">
        <x:v>8491</x:v>
      </x:c>
      <x:c r="G103" s="23" t="n">
        <x:v>8627.6</x:v>
      </x:c>
      <x:c r="H103" s="28" t="n">
        <x:v>166</x:v>
      </x:c>
      <x:c r="I103" s="24" t="n">
        <x:v>0.019618039141533483</x:v>
      </x:c>
      <x:c r="J103" s="23" t="n">
        <x:f>ROUND(E103-F103,1)</x:f>
        <x:v>148.6</x:v>
      </x:c>
      <x:c r="K103" s="22" t="str">
        <x:v>IM2606</x:v>
      </x:c>
    </x:row>
    <x:row r="104">
      <x:c r="A104" s="22" t="n">
        <x:v>3</x:v>
      </x:c>
      <x:c r="B104" s="22" t="str">
        <x:v>周五</x:v>
      </x:c>
      <x:c r="C104" s="22" t="str">
        <x:v>5月8日</x:v>
      </x:c>
      <x:c r="D104" s="23" t="n">
        <x:v>8590</x:v>
      </x:c>
      <x:c r="E104" s="23" t="n">
        <x:v>8670</x:v>
      </x:c>
      <x:c r="F104" s="23" t="n">
        <x:v>8568.2</x:v>
      </x:c>
      <x:c r="G104" s="23" t="n">
        <x:v>8642.2</x:v>
      </x:c>
      <x:c r="H104" s="23" t="n">
        <x:v>14.6</x:v>
      </x:c>
      <x:c r="I104" s="24" t="n">
        <x:v>0.0016922434976123224</x:v>
      </x:c>
      <x:c r="J104" s="23" t="n">
        <x:f>ROUND(E104-F104,1)</x:f>
        <x:v>101.8</x:v>
      </x:c>
      <x:c r="K104" s="22" t="str">
        <x:v>IM2606</x:v>
      </x:c>
    </x:row>
    <x:row r="105">
      <x:c r="A105" s="22" t="n">
        <x:v>4</x:v>
      </x:c>
      <x:c r="B105" s="22" t="str">
        <x:v>周一</x:v>
      </x:c>
      <x:c r="C105" s="22" t="str">
        <x:v>5月11日</x:v>
      </x:c>
      <x:c r="D105" s="23" t="n">
        <x:v>8720</x:v>
      </x:c>
      <x:c r="E105" s="23" t="n">
        <x:v>8794.8</x:v>
      </x:c>
      <x:c r="F105" s="23" t="n">
        <x:v>8655.8</x:v>
      </x:c>
      <x:c r="G105" s="23" t="n">
        <x:v>8723</x:v>
      </x:c>
      <x:c r="H105" s="23" t="n">
        <x:v>80.8</x:v>
      </x:c>
      <x:c r="I105" s="24" t="n">
        <x:v>0.009349471199463055</x:v>
      </x:c>
      <x:c r="J105" s="23" t="n">
        <x:f>ROUND(E105-F105,1)</x:f>
        <x:v>139</x:v>
      </x:c>
      <x:c r="K105" s="22" t="str">
        <x:v>IM2606</x:v>
      </x:c>
    </x:row>
    <x:row r="106">
      <x:c r="A106" s="22" t="n">
        <x:v>5</x:v>
      </x:c>
      <x:c r="B106" s="22" t="str">
        <x:v>周二</x:v>
      </x:c>
      <x:c r="C106" s="22" t="str">
        <x:v>5月12日</x:v>
      </x:c>
      <x:c r="D106" s="23" t="n">
        <x:v>8730</x:v>
      </x:c>
      <x:c r="E106" s="23" t="n">
        <x:v>8739.2</x:v>
      </x:c>
      <x:c r="F106" s="23" t="n">
        <x:v>8644.2</x:v>
      </x:c>
      <x:c r="G106" s="23" t="n">
        <x:v>8701.8</x:v>
      </x:c>
      <x:c r="H106" s="23" t="n">
        <x:v>-21.2</x:v>
      </x:c>
      <x:c r="I106" s="24" t="n">
        <x:v>-0.002430356528717259</x:v>
      </x:c>
      <x:c r="J106" s="23" t="n">
        <x:f>ROUND(E106-F106,1)</x:f>
        <x:v>95</x:v>
      </x:c>
      <x:c r="K106" s="22" t="str">
        <x:v>IM2606</x:v>
      </x:c>
    </x:row>
    <x:row r="107">
      <x:c r="A107" s="22" t="n">
        <x:v>6</x:v>
      </x:c>
      <x:c r="B107" s="22" t="str">
        <x:v>周三</x:v>
      </x:c>
      <x:c r="C107" s="22" t="str">
        <x:v>5月13日</x:v>
      </x:c>
      <x:c r="D107" s="23" t="n">
        <x:v>8673.6</x:v>
      </x:c>
      <x:c r="E107" s="23" t="n">
        <x:v>8877.4</x:v>
      </x:c>
      <x:c r="F107" s="23" t="n">
        <x:v>8666</x:v>
      </x:c>
      <x:c r="G107" s="23" t="n">
        <x:v>8870.6</x:v>
      </x:c>
      <x:c r="H107" s="28" t="n">
        <x:v>168.8</x:v>
      </x:c>
      <x:c r="I107" s="24" t="n">
        <x:v>0.019398285412213667</x:v>
      </x:c>
      <x:c r="J107" s="26" t="n">
        <x:f>ROUND(E107-F107,1)</x:f>
        <x:v>211.4</x:v>
      </x:c>
      <x:c r="K107" s="22" t="str">
        <x:v>IM2606</x:v>
      </x:c>
    </x:row>
    <x:row r="108">
      <x:c r="A108" s="22" t="n">
        <x:v>7</x:v>
      </x:c>
      <x:c r="B108" s="22" t="str">
        <x:v>周四</x:v>
      </x:c>
      <x:c r="C108" s="22" t="str">
        <x:v>5月14日</x:v>
      </x:c>
      <x:c r="D108" s="23" t="n">
        <x:v>8891.4</x:v>
      </x:c>
      <x:c r="E108" s="23" t="n">
        <x:v>8908.8</x:v>
      </x:c>
      <x:c r="F108" s="23" t="n">
        <x:v>8685.2</x:v>
      </x:c>
      <x:c r="G108" s="23" t="n">
        <x:v>8689.8</x:v>
      </x:c>
      <x:c r="H108" s="28" t="n">
        <x:v>-180.8</x:v>
      </x:c>
      <x:c r="I108" s="24" t="n">
        <x:v>-0.020381935832976428</x:v>
      </x:c>
      <x:c r="J108" s="26" t="n">
        <x:f>ROUND(E108-F108,1)</x:f>
        <x:v>223.6</x:v>
      </x:c>
      <x:c r="K108" s="22" t="str">
        <x:v>IM2606</x:v>
      </x:c>
    </x:row>
    <x:row r="109">
      <x:c r="A109" s="41" t="n">
        <x:v>8</x:v>
      </x:c>
      <x:c r="B109" s="41" t="str">
        <x:v>周五</x:v>
      </x:c>
      <x:c r="C109" s="41" t="str">
        <x:v>5月15日</x:v>
      </x:c>
      <x:c r="D109" s="42" t="n">
        <x:v>8710</x:v>
      </x:c>
      <x:c r="E109" s="42" t="n">
        <x:v>8758.2</x:v>
      </x:c>
      <x:c r="F109" s="42" t="n">
        <x:v>8505.6</x:v>
      </x:c>
      <x:c r="G109" s="42" t="n">
        <x:v>8582.6</x:v>
      </x:c>
      <x:c r="H109" s="42" t="n">
        <x:v>-107.2</x:v>
      </x:c>
      <x:c r="I109" s="43" t="n">
        <x:v>-0.012336302331468985</x:v>
      </x:c>
      <x:c r="J109" s="26" t="n">
        <x:f>ROUND(E109-F109,1)</x:f>
        <x:v>252.6</x:v>
      </x:c>
      <x:c r="K109" s="41" t="str">
        <x:v>IM2606</x:v>
      </x:c>
    </x:row>
    <x:row r="110">
      <x:c r="A110" s="22" t="n">
        <x:v>9</x:v>
      </x:c>
      <x:c r="B110" s="22" t="str">
        <x:v>周一</x:v>
      </x:c>
      <x:c r="C110" s="22" t="str">
        <x:v>5月18日</x:v>
      </x:c>
      <x:c r="D110" s="23" t="n">
        <x:v>8563</x:v>
      </x:c>
      <x:c r="E110" s="23" t="n">
        <x:v>8697.8</x:v>
      </x:c>
      <x:c r="F110" s="23" t="n">
        <x:v>8532.2</x:v>
      </x:c>
      <x:c r="G110" s="23" t="n">
        <x:v>8632.6</x:v>
      </x:c>
      <x:c r="H110" s="23" t="n">
        <x:v>50</x:v>
      </x:c>
      <x:c r="I110" s="24" t="n">
        <x:v>0.005825740451611328</x:v>
      </x:c>
      <x:c r="J110" s="23" t="n">
        <x:f>ROUND(E110-F110,1)</x:f>
        <x:v>165.6</x:v>
      </x:c>
      <x:c r="K110" s="22" t="str">
        <x:v>IM2606</x:v>
      </x:c>
    </x:row>
    <x:row r="111">
      <x:c r="A111" s="22" t="n">
        <x:v>10</x:v>
      </x:c>
      <x:c r="B111" s="22" t="str">
        <x:v>周二</x:v>
      </x:c>
      <x:c r="C111" s="22" t="str">
        <x:v>5月19日</x:v>
      </x:c>
      <x:c r="D111" s="23" t="n">
        <x:v>8610</x:v>
      </x:c>
      <x:c r="E111" s="23" t="n">
        <x:v>8721.6</x:v>
      </x:c>
      <x:c r="F111" s="23" t="n">
        <x:v>8511</x:v>
      </x:c>
      <x:c r="G111" s="23" t="n">
        <x:v>8718.6</x:v>
      </x:c>
      <x:c r="H111" s="23" t="n">
        <x:v>86</x:v>
      </x:c>
      <x:c r="I111" s="24" t="n">
        <x:v>0.009962236174501315</x:v>
      </x:c>
      <x:c r="J111" s="26" t="n">
        <x:f>ROUND(E111-F111,1)</x:f>
        <x:v>210.6</x:v>
      </x:c>
      <x:c r="K111" s="22" t="str">
        <x:v>IM2606</x:v>
      </x:c>
    </x:row>
    <x:row r="112">
      <x:c r="A112" s="22" t="n">
        <x:v>11</x:v>
      </x:c>
      <x:c r="B112" s="22" t="str">
        <x:v>周三</x:v>
      </x:c>
      <x:c r="C112" s="22" t="str">
        <x:v>5月20日</x:v>
      </x:c>
      <x:c r="D112" s="23" t="n">
        <x:v>8692.2</x:v>
      </x:c>
      <x:c r="E112" s="23" t="n">
        <x:v>8717.2</x:v>
      </x:c>
      <x:c r="F112" s="23" t="n">
        <x:v>8581</x:v>
      </x:c>
      <x:c r="G112" s="23" t="n">
        <x:v>8705</x:v>
      </x:c>
      <x:c r="H112" s="23" t="n">
        <x:v>-13.6</x:v>
      </x:c>
      <x:c r="I112" s="24" t="n">
        <x:v>-0.0015598834675292217</x:v>
      </x:c>
      <x:c r="J112" s="23" t="n">
        <x:f>ROUND(E112-F112,1)</x:f>
        <x:v>136.2</x:v>
      </x:c>
      <x:c r="K112" s="22" t="str">
        <x:v>IM2606</x:v>
      </x:c>
    </x:row>
    <x:row r="113">
      <x:c r="A113" s="22" t="n">
        <x:v>12</x:v>
      </x:c>
      <x:c r="B113" s="22" t="str">
        <x:v>周四</x:v>
      </x:c>
      <x:c r="C113" s="22" t="str">
        <x:v>5月21日</x:v>
      </x:c>
      <x:c r="D113" s="23" t="n">
        <x:v>8765</x:v>
      </x:c>
      <x:c r="E113" s="23" t="n">
        <x:v>8814.2</x:v>
      </x:c>
      <x:c r="F113" s="23" t="n">
        <x:v>8426.2</x:v>
      </x:c>
      <x:c r="G113" s="23" t="n">
        <x:v>8438.2</x:v>
      </x:c>
      <x:c r="H113" s="28" t="n">
        <x:v>-266.8</x:v>
      </x:c>
      <x:c r="I113" s="24" t="n">
        <x:v>-0.030649052268810983</x:v>
      </x:c>
      <x:c r="J113" s="26" t="n">
        <x:f>ROUND(E113-F113,1)</x:f>
        <x:v>388</x:v>
      </x:c>
      <x:c r="K113" s="22" t="str">
        <x:v>IM2606</x:v>
      </x:c>
    </x:row>
    <x:row r="114">
      <x:c r="A114" s="22" t="n">
        <x:v>13</x:v>
      </x:c>
      <x:c r="B114" s="22" t="str">
        <x:v>周五</x:v>
      </x:c>
      <x:c r="C114" s="22" t="str">
        <x:v>5月22日</x:v>
      </x:c>
      <x:c r="D114" s="23" t="n">
        <x:v>8509.8</x:v>
      </x:c>
      <x:c r="E114" s="23" t="n">
        <x:v>8651.2</x:v>
      </x:c>
      <x:c r="F114" s="23" t="n">
        <x:v>8459</x:v>
      </x:c>
      <x:c r="G114" s="23" t="n">
        <x:v>8589.8</x:v>
      </x:c>
      <x:c r="H114" s="28" t="n">
        <x:v>151.6</x:v>
      </x:c>
      <x:c r="I114" s="24" t="n">
        <x:v>0.01796591690170879</x:v>
      </x:c>
      <x:c r="J114" s="26" t="n">
        <x:f>ROUND(E114-F114,1)</x:f>
        <x:v>192.2</x:v>
      </x:c>
      <x:c r="K114" s="22" t="str">
        <x:v>IM2606</x:v>
      </x:c>
    </x:row>
    <x:row r="115">
      <x:c r="A115" s="22" t="n">
        <x:v>14</x:v>
      </x:c>
      <x:c r="B115" s="22" t="str">
        <x:v>周一</x:v>
      </x:c>
      <x:c r="C115" s="22" t="str">
        <x:v>5月25日</x:v>
      </x:c>
      <x:c r="D115" s="23" t="n">
        <x:v>8670</x:v>
      </x:c>
      <x:c r="E115" s="23" t="n">
        <x:v>8691.4</x:v>
      </x:c>
      <x:c r="F115" s="23" t="n">
        <x:v>8570.4</x:v>
      </x:c>
      <x:c r="G115" s="23" t="n">
        <x:v>8661.4</x:v>
      </x:c>
      <x:c r="H115" s="23" t="n">
        <x:v>71.6</x:v>
      </x:c>
      <x:c r="I115" s="24" t="n">
        <x:v>0.008335467647675232</x:v>
      </x:c>
      <x:c r="J115" s="23" t="n">
        <x:f>ROUND(E115-F115,1)</x:f>
        <x:v>121</x:v>
      </x:c>
      <x:c r="K115" s="22" t="str">
        <x:v>IM2606</x:v>
      </x:c>
    </x:row>
    <x:row r="116">
      <x:c r="A116" s="22" t="n">
        <x:v>15</x:v>
      </x:c>
      <x:c r="B116" s="22" t="str">
        <x:v>周二</x:v>
      </x:c>
      <x:c r="C116" s="22" t="str">
        <x:v>5月26日</x:v>
      </x:c>
      <x:c r="D116" s="23" t="n">
        <x:v>8645</x:v>
      </x:c>
      <x:c r="E116" s="23" t="n">
        <x:v>8645</x:v>
      </x:c>
      <x:c r="F116" s="23" t="n">
        <x:v>8462.6</x:v>
      </x:c>
      <x:c r="G116" s="23" t="n">
        <x:v>8596</x:v>
      </x:c>
      <x:c r="H116" s="23" t="n">
        <x:v>-65.4</x:v>
      </x:c>
      <x:c r="I116" s="24" t="n">
        <x:v>-0.007550742374211938</x:v>
      </x:c>
      <x:c r="J116" s="23" t="n">
        <x:f>ROUND(E116-F116,1)</x:f>
        <x:v>182.4</x:v>
      </x:c>
      <x:c r="K116" s="22" t="str">
        <x:v>IM2606</x:v>
      </x:c>
    </x:row>
    <x:row r="117">
      <x:c r="A117" s="22" t="n">
        <x:v>16</x:v>
      </x:c>
      <x:c r="B117" s="22" t="str">
        <x:v>周三</x:v>
      </x:c>
      <x:c r="C117" s="22" t="str">
        <x:v>5月27日</x:v>
      </x:c>
      <x:c r="D117" s="23" t="n">
        <x:v>8613</x:v>
      </x:c>
      <x:c r="E117" s="23" t="n">
        <x:v>8664.8</x:v>
      </x:c>
      <x:c r="F117" s="23" t="n">
        <x:v>8388</x:v>
      </x:c>
      <x:c r="G117" s="23" t="n">
        <x:v>8441.2</x:v>
      </x:c>
      <x:c r="H117" s="28" t="n">
        <x:v>-154.8</x:v>
      </x:c>
      <x:c r="I117" s="24" t="n">
        <x:v>-0.01800837598883198</x:v>
      </x:c>
      <x:c r="J117" s="26" t="n">
        <x:f>ROUND(E117-F117,1)</x:f>
        <x:v>276.8</x:v>
      </x:c>
      <x:c r="K117" s="22" t="str">
        <x:v>IM2606</x:v>
      </x:c>
    </x:row>
    <x:row r="118">
      <x:c r="A118" s="22" t="n">
        <x:v>17</x:v>
      </x:c>
      <x:c r="B118" s="22" t="str">
        <x:v>周四</x:v>
      </x:c>
      <x:c r="C118" s="22" t="str">
        <x:v>5月28日</x:v>
      </x:c>
      <x:c r="D118" s="23" t="n">
        <x:v>8448</x:v>
      </x:c>
      <x:c r="E118" s="23" t="n">
        <x:v>8571.6</x:v>
      </x:c>
      <x:c r="F118" s="23" t="n">
        <x:v>8367</x:v>
      </x:c>
      <x:c r="G118" s="23" t="n">
        <x:v>8524.4</x:v>
      </x:c>
      <x:c r="H118" s="23" t="n">
        <x:v>83.2</x:v>
      </x:c>
      <x:c r="I118" s="24" t="n">
        <x:v>0.009856418518693788</x:v>
      </x:c>
      <x:c r="J118" s="26" t="n">
        <x:f>ROUND(E118-F118,1)</x:f>
        <x:v>204.6</x:v>
      </x:c>
      <x:c r="K118" s="22" t="str">
        <x:v>IM2606</x:v>
      </x:c>
    </x:row>
    <x:row r="119">
      <x:c r="A119" s="22" t="n">
        <x:v>18</x:v>
      </x:c>
      <x:c r="B119" s="22" t="str">
        <x:v>周五</x:v>
      </x:c>
      <x:c r="C119" s="22" t="str">
        <x:v>5月29日</x:v>
      </x:c>
      <x:c r="D119" s="23" t="n">
        <x:v>8574</x:v>
      </x:c>
      <x:c r="E119" s="23" t="n">
        <x:v>8589.8</x:v>
      </x:c>
      <x:c r="F119" s="23" t="n">
        <x:v>8291.6</x:v>
      </x:c>
      <x:c r="G119" s="23" t="n">
        <x:v>8344.8</x:v>
      </x:c>
      <x:c r="H119" s="28" t="n">
        <x:v>-179.6</x:v>
      </x:c>
      <x:c r="I119" s="24" t="n">
        <x:v>-0.021068931537703617</x:v>
      </x:c>
      <x:c r="J119" s="26" t="n">
        <x:f>ROUND(E119-F119,1)</x:f>
        <x:v>298.2</x:v>
      </x:c>
      <x:c r="K119" s="22" t="str">
        <x:v>IM2606</x:v>
      </x:c>
    </x:row>
    <x:row r="120">
      <x:c r="A120" s="31" t="str">
        <x:v>合计</x:v>
      </x:c>
      <x:c r="B120" s="30" t="n">
        <x:v>18</x:v>
      </x:c>
      <x:c r="C120" s="30"/>
      <x:c r="D120" s="30"/>
      <x:c r="E120" s="30"/>
      <x:c r="F120" s="30"/>
      <x:c r="G120" s="30"/>
      <x:c r="H120" s="30"/>
      <x:c r="I120" s="30"/>
      <x:c r="J120" s="32" t="n">
        <x:f>ROUND(SUM(J102:J119),1)</x:f>
        <x:v>3519.6</x:v>
      </x:c>
      <x:c r="K120" s="30"/>
    </x:row>
    <x:row r="121">
      <x:c r="A121" s="31" t="str">
        <x:v>均值</x:v>
      </x:c>
      <x:c r="B121" s="30"/>
      <x:c r="C121" s="30"/>
      <x:c r="D121" s="30"/>
      <x:c r="E121" s="30"/>
      <x:c r="F121" s="30"/>
      <x:c r="G121" s="30"/>
      <x:c r="H121" s="30"/>
      <x:c r="I121" s="30"/>
      <x:c r="J121" s="34" t="n">
        <x:f>ROUND(IFERROR(AVERAGE(J102:J119),0),1)</x:f>
        <x:v>195.5</x:v>
      </x:c>
      <x:c r="K121" s="30"/>
    </x:row>
    <x:row r="123">
      <x:c r="A123" s="17" t="str">
        <x:v>6月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20" t="str">
        <x:v>序号</x:v>
      </x:c>
      <x:c r="B124" s="20" t="str">
        <x:v>星期</x:v>
      </x:c>
      <x:c r="C124" s="20" t="str">
        <x:v>日期</x:v>
      </x:c>
      <x:c r="D124" s="20" t="str">
        <x:v>开盘</x:v>
      </x:c>
      <x:c r="E124" s="20" t="str">
        <x:v>高点</x:v>
      </x:c>
      <x:c r="F124" s="20" t="str">
        <x:v>低点</x:v>
      </x:c>
      <x:c r="G124" s="20" t="str">
        <x:v>收盘</x:v>
      </x:c>
      <x:c r="H124" s="20" t="str">
        <x:v>涨跌点数</x:v>
      </x:c>
      <x:c r="I124" s="20" t="str">
        <x:v>涨幅</x:v>
      </x:c>
      <x:c r="J124" s="20" t="str">
        <x:v>振幅</x:v>
      </x:c>
      <x:c r="K124" s="20" t="str">
        <x:v>标的</x:v>
      </x:c>
    </x:row>
    <x:row r="125">
      <x:c r="A125" s="22" t="n">
        <x:v>1</x:v>
      </x:c>
      <x:c r="B125" s="22" t="str">
        <x:v>周一</x:v>
      </x:c>
      <x:c r="C125" s="22" t="str">
        <x:v>6月1日</x:v>
      </x:c>
      <x:c r="D125" s="23" t="n">
        <x:v>8355</x:v>
      </x:c>
      <x:c r="E125" s="23" t="n">
        <x:v>8450</x:v>
      </x:c>
      <x:c r="F125" s="23" t="n">
        <x:v>8294.2</x:v>
      </x:c>
      <x:c r="G125" s="23" t="n">
        <x:v>8305.8</x:v>
      </x:c>
      <x:c r="H125" s="23" t="n">
        <x:v>-39</x:v>
      </x:c>
      <x:c r="I125" s="24" t="n">
        <x:v>-0.004673569168823666</x:v>
      </x:c>
      <x:c r="J125" s="23" t="n">
        <x:f>ROUND(E125-F125,1)</x:f>
        <x:v>155.8</x:v>
      </x:c>
      <x:c r="K125" s="22" t="str">
        <x:v>IM2606</x:v>
      </x:c>
    </x:row>
    <x:row r="126">
      <x:c r="A126" s="22" t="n">
        <x:v>2</x:v>
      </x:c>
      <x:c r="B126" s="22" t="str">
        <x:v>周二</x:v>
      </x:c>
      <x:c r="C126" s="22" t="str">
        <x:v>6月2日</x:v>
      </x:c>
      <x:c r="D126" s="23" t="n">
        <x:v>8343.8</x:v>
      </x:c>
      <x:c r="E126" s="23" t="n">
        <x:v>8395</x:v>
      </x:c>
      <x:c r="F126" s="23" t="n">
        <x:v>8190</x:v>
      </x:c>
      <x:c r="G126" s="23" t="n">
        <x:v>8324.6</x:v>
      </x:c>
      <x:c r="H126" s="23" t="n">
        <x:v>18.8</x:v>
      </x:c>
      <x:c r="I126" s="24" t="n">
        <x:v>0.002263478533073515</x:v>
      </x:c>
      <x:c r="J126" s="26" t="n">
        <x:f>ROUND(E126-F126,1)</x:f>
        <x:v>205</x:v>
      </x:c>
      <x:c r="K126" s="22" t="str">
        <x:v>IM2606</x:v>
      </x:c>
    </x:row>
    <x:row r="127">
      <x:c r="A127" s="22" t="n">
        <x:v>3</x:v>
      </x:c>
      <x:c r="B127" s="22" t="str">
        <x:v>周三</x:v>
      </x:c>
      <x:c r="C127" s="22" t="str">
        <x:v>6月3日</x:v>
      </x:c>
      <x:c r="D127" s="23" t="n">
        <x:v>8330.2</x:v>
      </x:c>
      <x:c r="E127" s="23" t="n">
        <x:v>8493.4</x:v>
      </x:c>
      <x:c r="F127" s="23" t="n">
        <x:v>8300.4</x:v>
      </x:c>
      <x:c r="G127" s="23" t="n">
        <x:v>8368.4</x:v>
      </x:c>
      <x:c r="H127" s="23" t="n">
        <x:v>43.8</x:v>
      </x:c>
      <x:c r="I127" s="24" t="n">
        <x:v>0.0052615140667418014</x:v>
      </x:c>
      <x:c r="J127" s="26" t="n">
        <x:f>ROUND(E127-F127,1)</x:f>
        <x:v>193</x:v>
      </x:c>
      <x:c r="K127" s="22" t="str">
        <x:v>IM2606</x:v>
      </x:c>
    </x:row>
    <x:row r="128">
      <x:c r="A128" s="22" t="n">
        <x:v>4</x:v>
      </x:c>
      <x:c r="B128" s="22" t="str">
        <x:v>周四</x:v>
      </x:c>
      <x:c r="C128" s="22" t="str">
        <x:v>6月4日</x:v>
      </x:c>
      <x:c r="D128" s="23" t="n">
        <x:v>8320</x:v>
      </x:c>
      <x:c r="E128" s="23" t="n">
        <x:v>8400</x:v>
      </x:c>
      <x:c r="F128" s="23" t="n">
        <x:v>8306.4</x:v>
      </x:c>
      <x:c r="G128" s="23" t="n">
        <x:v>8354.8</x:v>
      </x:c>
      <x:c r="H128" s="23" t="n">
        <x:v>-13.6</x:v>
      </x:c>
      <x:c r="I128" s="24" t="n">
        <x:v>-0.0016251613211606397</x:v>
      </x:c>
      <x:c r="J128" s="23" t="n">
        <x:f>ROUND(E128-F128,1)</x:f>
        <x:v>93.6</x:v>
      </x:c>
      <x:c r="K128" s="22" t="str">
        <x:v>IM2606</x:v>
      </x:c>
    </x:row>
    <x:row r="129">
      <x:c r="A129" s="22" t="n">
        <x:v>5</x:v>
      </x:c>
      <x:c r="B129" s="22" t="str">
        <x:v>周五</x:v>
      </x:c>
      <x:c r="C129" s="22" t="str">
        <x:v>6月5日</x:v>
      </x:c>
      <x:c r="D129" s="23" t="n">
        <x:v>8305</x:v>
      </x:c>
      <x:c r="E129" s="23" t="n">
        <x:v>8444.6</x:v>
      </x:c>
      <x:c r="F129" s="23" t="n">
        <x:v>8240</x:v>
      </x:c>
      <x:c r="G129" s="23" t="n">
        <x:v>8291.8</x:v>
      </x:c>
      <x:c r="H129" s="23" t="n">
        <x:v>-63</x:v>
      </x:c>
      <x:c r="I129" s="24" t="n">
        <x:v>-0.007540575477569811</x:v>
      </x:c>
      <x:c r="J129" s="26" t="n">
        <x:f>ROUND(E129-F129,1)</x:f>
        <x:v>204.6</x:v>
      </x:c>
      <x:c r="K129" s="22" t="str">
        <x:v>IM2606</x:v>
      </x:c>
    </x:row>
    <x:row r="130">
      <x:c r="A130" s="22" t="n">
        <x:v>6</x:v>
      </x:c>
      <x:c r="B130" s="22" t="str">
        <x:v>周一</x:v>
      </x:c>
      <x:c r="C130" s="22" t="str">
        <x:v>6月8日</x:v>
      </x:c>
      <x:c r="D130" s="23" t="n">
        <x:v>8117.8</x:v>
      </x:c>
      <x:c r="E130" s="23" t="n">
        <x:v>8222</x:v>
      </x:c>
      <x:c r="F130" s="23" t="n">
        <x:v>7962</x:v>
      </x:c>
      <x:c r="G130" s="23" t="n">
        <x:v>8072.8</x:v>
      </x:c>
      <x:c r="H130" s="28" t="n">
        <x:v>-219</x:v>
      </x:c>
      <x:c r="I130" s="24" t="n">
        <x:v>-0.026411635591789384</x:v>
      </x:c>
      <x:c r="J130" s="26" t="n">
        <x:f>ROUND(E130-F130,1)</x:f>
        <x:v>260</x:v>
      </x:c>
      <x:c r="K130" s="22" t="str">
        <x:v>IM2606</x:v>
      </x:c>
    </x:row>
    <x:row r="131">
      <x:c r="A131" s="22" t="n">
        <x:v>7</x:v>
      </x:c>
      <x:c r="B131" s="22" t="str">
        <x:v>周二</x:v>
      </x:c>
      <x:c r="C131" s="22" t="str">
        <x:v>6月9日</x:v>
      </x:c>
      <x:c r="D131" s="23" t="n">
        <x:v>8120</x:v>
      </x:c>
      <x:c r="E131" s="23" t="n">
        <x:v>8261.6</x:v>
      </x:c>
      <x:c r="F131" s="23" t="n">
        <x:v>8065</x:v>
      </x:c>
      <x:c r="G131" s="23" t="n">
        <x:v>8233.4</x:v>
      </x:c>
      <x:c r="H131" s="28" t="n">
        <x:v>160.6</x:v>
      </x:c>
      <x:c r="I131" s="24" t="n">
        <x:v>0.019893964919234897</x:v>
      </x:c>
      <x:c r="J131" s="26" t="n">
        <x:f>ROUND(E131-F131,1)</x:f>
        <x:v>196.6</x:v>
      </x:c>
      <x:c r="K131" s="22" t="str">
        <x:v>IM2606</x:v>
      </x:c>
    </x:row>
    <x:row r="132">
      <x:c r="A132" s="22" t="n">
        <x:v>8</x:v>
      </x:c>
      <x:c r="B132" s="22" t="str">
        <x:v>周三</x:v>
      </x:c>
      <x:c r="C132" s="22" t="str">
        <x:v>6月10日</x:v>
      </x:c>
      <x:c r="D132" s="23" t="n">
        <x:v>8190</x:v>
      </x:c>
      <x:c r="E132" s="23" t="n">
        <x:v>8214.8</x:v>
      </x:c>
      <x:c r="F132" s="23" t="n">
        <x:v>8053</x:v>
      </x:c>
      <x:c r="G132" s="23" t="n">
        <x:v>8162.2</x:v>
      </x:c>
      <x:c r="H132" s="23" t="n">
        <x:v>-71.2</x:v>
      </x:c>
      <x:c r="I132" s="24" t="n">
        <x:v>-0.008647703257463446</x:v>
      </x:c>
      <x:c r="J132" s="23" t="n">
        <x:f>ROUND(E132-F132,1)</x:f>
        <x:v>161.8</x:v>
      </x:c>
      <x:c r="K132" s="22" t="str">
        <x:v>IM2606</x:v>
      </x:c>
    </x:row>
    <x:row r="133">
      <x:c r="A133" s="22" t="n">
        <x:v>9</x:v>
      </x:c>
      <x:c r="B133" s="22" t="str">
        <x:v>周四</x:v>
      </x:c>
      <x:c r="C133" s="22" t="str">
        <x:v>6月11日</x:v>
      </x:c>
      <x:c r="D133" s="23" t="n">
        <x:v>8145</x:v>
      </x:c>
      <x:c r="E133" s="23" t="n">
        <x:v>8194.4</x:v>
      </x:c>
      <x:c r="F133" s="23" t="n">
        <x:v>8048</x:v>
      </x:c>
      <x:c r="G133" s="23" t="n">
        <x:v>8126.4</x:v>
      </x:c>
      <x:c r="H133" s="23" t="n">
        <x:v>-35.8</x:v>
      </x:c>
      <x:c r="I133" s="24" t="n">
        <x:v>-0.004386072382445927</x:v>
      </x:c>
      <x:c r="J133" s="23" t="n">
        <x:f>ROUND(E133-F133,1)</x:f>
        <x:v>146.4</x:v>
      </x:c>
      <x:c r="K133" s="22" t="str">
        <x:v>IM2606</x:v>
      </x:c>
    </x:row>
    <x:row r="134">
      <x:c r="A134" s="22" t="n">
        <x:v>10</x:v>
      </x:c>
      <x:c r="B134" s="22" t="str">
        <x:v>周五</x:v>
      </x:c>
      <x:c r="C134" s="22" t="str">
        <x:v>6月12日</x:v>
      </x:c>
      <x:c r="D134" s="23" t="n">
        <x:v>8250</x:v>
      </x:c>
      <x:c r="E134" s="23" t="n">
        <x:v>8323.8</x:v>
      </x:c>
      <x:c r="F134" s="23" t="n">
        <x:v>8165.2</x:v>
      </x:c>
      <x:c r="G134" s="23" t="n">
        <x:v>8196.8</x:v>
      </x:c>
      <x:c r="H134" s="23" t="n">
        <x:v>70.4</x:v>
      </x:c>
      <x:c r="I134" s="24" t="n">
        <x:v>0.008663122661941358</x:v>
      </x:c>
      <x:c r="J134" s="23" t="n">
        <x:f>ROUND(E134-F134,1)</x:f>
        <x:v>158.6</x:v>
      </x:c>
      <x:c r="K134" s="22" t="str">
        <x:v>IM2606</x:v>
      </x:c>
    </x:row>
    <x:row r="135">
      <x:c r="A135" s="22" t="n">
        <x:v>11</x:v>
      </x:c>
      <x:c r="B135" s="22" t="str">
        <x:v>周一</x:v>
      </x:c>
      <x:c r="C135" s="22" t="str">
        <x:v>6月15日</x:v>
      </x:c>
      <x:c r="D135" s="23" t="n">
        <x:v>8292</x:v>
      </x:c>
      <x:c r="E135" s="23" t="n">
        <x:v>8480.6</x:v>
      </x:c>
      <x:c r="F135" s="23" t="n">
        <x:v>8285</x:v>
      </x:c>
      <x:c r="G135" s="23" t="n">
        <x:v>8475.2</x:v>
      </x:c>
      <x:c r="H135" s="28" t="n">
        <x:v>278.4</x:v>
      </x:c>
      <x:c r="I135" s="24" t="n">
        <x:v>0.03396447394105029</x:v>
      </x:c>
      <x:c r="J135" s="26" t="n">
        <x:f>ROUND(E135-F135,1)</x:f>
        <x:v>195.6</x:v>
      </x:c>
      <x:c r="K135" s="22" t="str">
        <x:v>IM2606</x:v>
      </x:c>
    </x:row>
    <x:row r="136">
      <x:c r="A136" s="22" t="n">
        <x:v>12</x:v>
      </x:c>
      <x:c r="B136" s="22" t="str">
        <x:v>周二</x:v>
      </x:c>
      <x:c r="C136" s="22" t="str">
        <x:v>6月16日</x:v>
      </x:c>
      <x:c r="D136" s="23" t="n">
        <x:v>8471.8</x:v>
      </x:c>
      <x:c r="E136" s="23" t="n">
        <x:v>8645</x:v>
      </x:c>
      <x:c r="F136" s="23" t="n">
        <x:v>8447</x:v>
      </x:c>
      <x:c r="G136" s="23" t="n">
        <x:v>8602.4</x:v>
      </x:c>
      <x:c r="H136" s="23" t="n">
        <x:v>127.2</x:v>
      </x:c>
      <x:c r="I136" s="24" t="n">
        <x:v>0.01500849537474025</x:v>
      </x:c>
      <x:c r="J136" s="26" t="n">
        <x:f>ROUND(E136-F136,1)</x:f>
        <x:v>198</x:v>
      </x:c>
      <x:c r="K136" s="22" t="str">
        <x:v>IM2606</x:v>
      </x:c>
    </x:row>
    <x:row r="137">
      <x:c r="A137" s="22" t="n">
        <x:v>13</x:v>
      </x:c>
      <x:c r="B137" s="22" t="str">
        <x:v>周三</x:v>
      </x:c>
      <x:c r="C137" s="22" t="str">
        <x:v>6月17日</x:v>
      </x:c>
      <x:c r="D137" s="23" t="n">
        <x:v>8570</x:v>
      </x:c>
      <x:c r="E137" s="23" t="n">
        <x:v>8696</x:v>
      </x:c>
      <x:c r="F137" s="23" t="n">
        <x:v>8570</x:v>
      </x:c>
      <x:c r="G137" s="23" t="n">
        <x:v>8695</x:v>
      </x:c>
      <x:c r="H137" s="23" t="n">
        <x:v>92.6</x:v>
      </x:c>
      <x:c r="I137" s="24" t="n">
        <x:v>0.010764437831302986</x:v>
      </x:c>
      <x:c r="J137" s="23" t="n">
        <x:f>ROUND(E137-F137,1)</x:f>
        <x:v>126</x:v>
      </x:c>
      <x:c r="K137" s="22" t="str">
        <x:v>IM2606</x:v>
      </x:c>
    </x:row>
    <x:row r="138">
      <x:c r="A138" s="22" t="n">
        <x:v>14</x:v>
      </x:c>
      <x:c r="B138" s="22" t="str">
        <x:v>周四</x:v>
      </x:c>
      <x:c r="C138" s="22" t="str">
        <x:v>6月18日</x:v>
      </x:c>
      <x:c r="D138" s="23" t="n">
        <x:v>8666.8</x:v>
      </x:c>
      <x:c r="E138" s="23" t="n">
        <x:v>8788</x:v>
      </x:c>
      <x:c r="F138" s="23" t="n">
        <x:v>8646.6</x:v>
      </x:c>
      <x:c r="G138" s="23" t="n">
        <x:v>8766</x:v>
      </x:c>
      <x:c r="H138" s="23" t="n">
        <x:v>71</x:v>
      </x:c>
      <x:c r="I138" s="24" t="n">
        <x:v>0.0081656124209315</x:v>
      </x:c>
      <x:c r="J138" s="23" t="n">
        <x:f>ROUND(E138-F138,1)</x:f>
        <x:v>141.4</x:v>
      </x:c>
      <x:c r="K138" s="22" t="str">
        <x:v>IM2606</x:v>
      </x:c>
    </x:row>
    <x:row r="139">
      <x:c r="A139" s="41" t="n">
        <x:v>15</x:v>
      </x:c>
      <x:c r="B139" s="41" t="str">
        <x:v>周一</x:v>
      </x:c>
      <x:c r="C139" s="41" t="str">
        <x:v>6月22日</x:v>
      </x:c>
      <x:c r="D139" s="42" t="n">
        <x:v>8790</x:v>
      </x:c>
      <x:c r="E139" s="42" t="n">
        <x:v>8802.4</x:v>
      </x:c>
      <x:c r="F139" s="42" t="n">
        <x:v>8620.4</x:v>
      </x:c>
      <x:c r="G139" s="42" t="n">
        <x:v>8774.2</x:v>
      </x:c>
      <x:c r="H139" s="42" t="n">
        <x:v>8.2</x:v>
      </x:c>
      <x:c r="I139" s="43" t="n">
        <x:v>0.0009354323522701158</x:v>
      </x:c>
      <x:c r="J139" s="42" t="n">
        <x:f>ROUND(E139-F139,1)</x:f>
        <x:v>182</x:v>
      </x:c>
      <x:c r="K139" s="41" t="str">
        <x:v>IM2606</x:v>
      </x:c>
    </x:row>
    <x:row r="140">
      <x:c r="A140" s="22" t="n">
        <x:v>16</x:v>
      </x:c>
      <x:c r="B140" s="22" t="str">
        <x:v>周二</x:v>
      </x:c>
      <x:c r="C140" s="22" t="str">
        <x:v>6月23日</x:v>
      </x:c>
      <x:c r="D140" s="23" t="n">
        <x:v>8501.8</x:v>
      </x:c>
      <x:c r="E140" s="23" t="n">
        <x:v>8535</x:v>
      </x:c>
      <x:c r="F140" s="23" t="n">
        <x:v>8339.2</x:v>
      </x:c>
      <x:c r="G140" s="23" t="n">
        <x:v>8403</x:v>
      </x:c>
      <x:c r="H140" s="28" t="n">
        <x:v>-371.2</x:v>
      </x:c>
      <x:c r="I140" s="24" t="n">
        <x:v>-0.042305851245697745</x:v>
      </x:c>
      <x:c r="J140" s="26" t="n">
        <x:f>ROUND(E140-F140,1)</x:f>
        <x:v>195.8</x:v>
      </x:c>
      <x:c r="K140" s="22" t="str">
        <x:v>IM2609</x:v>
      </x:c>
    </x:row>
    <x:row r="141">
      <x:c r="A141" s="22" t="n">
        <x:v>17</x:v>
      </x:c>
      <x:c r="B141" s="22" t="str">
        <x:v>周三</x:v>
      </x:c>
      <x:c r="C141" s="22" t="str">
        <x:v>6月24日</x:v>
      </x:c>
      <x:c r="D141" s="23" t="n">
        <x:v>8413.2</x:v>
      </x:c>
      <x:c r="E141" s="23" t="n">
        <x:v>8520</x:v>
      </x:c>
      <x:c r="F141" s="23" t="n">
        <x:v>8344.6</x:v>
      </x:c>
      <x:c r="G141" s="23" t="n">
        <x:v>8472.4</x:v>
      </x:c>
      <x:c r="H141" s="23" t="n">
        <x:v>69.4</x:v>
      </x:c>
      <x:c r="I141" s="24" t="n">
        <x:v>0.008258955135070689</x:v>
      </x:c>
      <x:c r="J141" s="23" t="n">
        <x:f>ROUND(E141-F141,1)</x:f>
        <x:v>175.4</x:v>
      </x:c>
      <x:c r="K141" s="22" t="str">
        <x:v>IM2609</x:v>
      </x:c>
    </x:row>
    <x:row r="142">
      <x:c r="A142" s="22" t="n">
        <x:v>18</x:v>
      </x:c>
      <x:c r="B142" s="22" t="str">
        <x:v>周四</x:v>
      </x:c>
      <x:c r="C142" s="22" t="str">
        <x:v>6月25日</x:v>
      </x:c>
      <x:c r="D142" s="23" t="n">
        <x:v>8498</x:v>
      </x:c>
      <x:c r="E142" s="23" t="n">
        <x:v>8562</x:v>
      </x:c>
      <x:c r="F142" s="23" t="n">
        <x:v>8430</x:v>
      </x:c>
      <x:c r="G142" s="23" t="n">
        <x:v>8523.8</x:v>
      </x:c>
      <x:c r="H142" s="23" t="n">
        <x:v>51.4</x:v>
      </x:c>
      <x:c r="I142" s="24" t="n">
        <x:v>0.0060667579434399155</x:v>
      </x:c>
      <x:c r="J142" s="23" t="n">
        <x:f>ROUND(E142-F142,1)</x:f>
        <x:v>132</x:v>
      </x:c>
      <x:c r="K142" s="22" t="str">
        <x:v>IM2609</x:v>
      </x:c>
    </x:row>
    <x:row r="143">
      <x:c r="A143" s="22" t="n">
        <x:v>19</x:v>
      </x:c>
      <x:c r="B143" s="22" t="str">
        <x:v>周五</x:v>
      </x:c>
      <x:c r="C143" s="22" t="str">
        <x:v>6月26日</x:v>
      </x:c>
      <x:c r="D143" s="23" t="n">
        <x:v>8480</x:v>
      </x:c>
      <x:c r="E143" s="23" t="n">
        <x:v>8490.2</x:v>
      </x:c>
      <x:c r="F143" s="23" t="n">
        <x:v>8260.2</x:v>
      </x:c>
      <x:c r="G143" s="23" t="n">
        <x:v>8319.2</x:v>
      </x:c>
      <x:c r="H143" s="28" t="n">
        <x:v>-204.6</x:v>
      </x:c>
      <x:c r="I143" s="24" t="n">
        <x:v>-0.024003378774724693</x:v>
      </x:c>
      <x:c r="J143" s="26" t="n">
        <x:f>ROUND(E143-F143,1)</x:f>
        <x:v>230</x:v>
      </x:c>
      <x:c r="K143" s="22" t="str">
        <x:v>IM2609</x:v>
      </x:c>
    </x:row>
    <x:row r="144">
      <x:c r="A144" s="22" t="n">
        <x:v>20</x:v>
      </x:c>
      <x:c r="B144" s="22" t="str">
        <x:v>周一</x:v>
      </x:c>
      <x:c r="C144" s="22" t="str">
        <x:v>6月29日</x:v>
      </x:c>
      <x:c r="D144" s="23" t="n">
        <x:v>8335</x:v>
      </x:c>
      <x:c r="E144" s="23" t="n">
        <x:v>8393</x:v>
      </x:c>
      <x:c r="F144" s="23" t="n">
        <x:v>8145.2</x:v>
      </x:c>
      <x:c r="G144" s="23" t="n">
        <x:v>8308.6</x:v>
      </x:c>
      <x:c r="H144" s="23" t="n">
        <x:v>-10.6</x:v>
      </x:c>
      <x:c r="I144" s="24" t="n">
        <x:v>-0.001274160977017047</x:v>
      </x:c>
      <x:c r="J144" s="26" t="n">
        <x:f>ROUND(E144-F144,1)</x:f>
        <x:v>247.8</x:v>
      </x:c>
      <x:c r="K144" s="22" t="str">
        <x:v>IM2609</x:v>
      </x:c>
    </x:row>
    <x:row r="145">
      <x:c r="A145" s="22" t="n">
        <x:v>21</x:v>
      </x:c>
      <x:c r="B145" s="22" t="str">
        <x:v>周二</x:v>
      </x:c>
      <x:c r="C145" s="22" t="str">
        <x:v>6月30日</x:v>
      </x:c>
      <x:c r="D145" s="23" t="n">
        <x:v>8300</x:v>
      </x:c>
      <x:c r="E145" s="23" t="n">
        <x:v>8518.8</x:v>
      </x:c>
      <x:c r="F145" s="23" t="n">
        <x:v>8270</x:v>
      </x:c>
      <x:c r="G145" s="23" t="n">
        <x:v>8504.2</x:v>
      </x:c>
      <x:c r="H145" s="28" t="n">
        <x:v>195.6</x:v>
      </x:c>
      <x:c r="I145" s="24" t="n">
        <x:v>0.02354187227691784</x:v>
      </x:c>
      <x:c r="J145" s="26" t="n">
        <x:f>ROUND(E145-F145,1)</x:f>
        <x:v>248.8</x:v>
      </x:c>
      <x:c r="K145" s="22" t="str">
        <x:v>IM2609</x:v>
      </x:c>
    </x:row>
    <x:row r="146">
      <x:c r="A146" s="31" t="str">
        <x:v>合计</x:v>
      </x:c>
      <x:c r="B146" s="30" t="n">
        <x:v>21</x:v>
      </x:c>
      <x:c r="C146" s="30"/>
      <x:c r="D146" s="30"/>
      <x:c r="E146" s="30"/>
      <x:c r="F146" s="30"/>
      <x:c r="G146" s="30"/>
      <x:c r="H146" s="30"/>
      <x:c r="I146" s="30"/>
      <x:c r="J146" s="32" t="n">
        <x:f>ROUND(SUM(J125:J145),1)</x:f>
        <x:v>3848.2</x:v>
      </x:c>
      <x:c r="K146" s="30"/>
    </x:row>
    <x:row r="147">
      <x:c r="A147" s="31" t="str">
        <x:v>均值</x:v>
      </x:c>
      <x:c r="B147" s="30"/>
      <x:c r="C147" s="30"/>
      <x:c r="D147" s="30"/>
      <x:c r="E147" s="30"/>
      <x:c r="F147" s="30"/>
      <x:c r="G147" s="30"/>
      <x:c r="H147" s="30"/>
      <x:c r="I147" s="30"/>
      <x:c r="J147" s="34" t="n">
        <x:f>ROUND(IFERROR(AVERAGE(J125:J145),0),1)</x:f>
        <x:v>183.2</x:v>
      </x:c>
      <x:c r="K147" s="30"/>
    </x:row>
    <x:row r="149">
      <x:c r="A149" s="17" t="str">
        <x:v>7月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20" t="str">
        <x:v>序号</x:v>
      </x:c>
      <x:c r="B150" s="20" t="str">
        <x:v>星期</x:v>
      </x:c>
      <x:c r="C150" s="20" t="str">
        <x:v>日期</x:v>
      </x:c>
      <x:c r="D150" s="20" t="str">
        <x:v>开盘</x:v>
      </x:c>
      <x:c r="E150" s="20" t="str">
        <x:v>高点</x:v>
      </x:c>
      <x:c r="F150" s="20" t="str">
        <x:v>低点</x:v>
      </x:c>
      <x:c r="G150" s="20" t="str">
        <x:v>收盘</x:v>
      </x:c>
      <x:c r="H150" s="20" t="str">
        <x:v>涨跌点数</x:v>
      </x:c>
      <x:c r="I150" s="20" t="str">
        <x:v>涨幅</x:v>
      </x:c>
      <x:c r="J150" s="20" t="str">
        <x:v>振幅</x:v>
      </x:c>
      <x:c r="K150" s="20" t="str">
        <x:v>标的</x:v>
      </x:c>
    </x:row>
    <x:row r="151">
      <x:c r="A151" s="22" t="n">
        <x:v>1</x:v>
      </x:c>
      <x:c r="B151" s="22" t="str">
        <x:v>周三</x:v>
      </x:c>
      <x:c r="C151" s="22" t="str">
        <x:v>7月1日</x:v>
      </x:c>
      <x:c r="D151" s="23" t="n">
        <x:v>8500</x:v>
      </x:c>
      <x:c r="E151" s="23" t="n">
        <x:v>8629</x:v>
      </x:c>
      <x:c r="F151" s="23" t="n">
        <x:v>8480</x:v>
      </x:c>
      <x:c r="G151" s="23" t="n">
        <x:v>8517.6</x:v>
      </x:c>
      <x:c r="H151" s="23" t="n">
        <x:v>13.4</x:v>
      </x:c>
      <x:c r="I151" s="24" t="n">
        <x:v>0.00157569201100638</x:v>
      </x:c>
      <x:c r="J151" s="23" t="n">
        <x:f>ROUND(E151-F151,1)</x:f>
        <x:v>149</x:v>
      </x:c>
      <x:c r="K151" s="22" t="str">
        <x:v>IM2609</x:v>
      </x:c>
    </x:row>
    <x:row r="152">
      <x:c r="A152" s="22" t="n">
        <x:v>2</x:v>
      </x:c>
      <x:c r="B152" s="22" t="str">
        <x:v>周四</x:v>
      </x:c>
      <x:c r="C152" s="22" t="str">
        <x:v>7月2日</x:v>
      </x:c>
      <x:c r="D152" s="23" t="n">
        <x:v>8475.4</x:v>
      </x:c>
      <x:c r="E152" s="23" t="n">
        <x:v>8556</x:v>
      </x:c>
      <x:c r="F152" s="23" t="n">
        <x:v>8344</x:v>
      </x:c>
      <x:c r="G152" s="23" t="n">
        <x:v>8370.2</x:v>
      </x:c>
      <x:c r="H152" s="23" t="n">
        <x:v>-147.4</x:v>
      </x:c>
      <x:c r="I152" s="24" t="n">
        <x:v>-0.017305344228421116</x:v>
      </x:c>
      <x:c r="J152" s="26" t="n">
        <x:f>ROUND(E152-F152,1)</x:f>
        <x:v>212</x:v>
      </x:c>
      <x:c r="K152" s="22" t="str">
        <x:v>IM2609</x:v>
      </x:c>
    </x:row>
    <x:row r="153">
      <x:c r="A153" s="22" t="n">
        <x:v>3</x:v>
      </x:c>
      <x:c r="B153" s="22" t="str">
        <x:v>周五</x:v>
      </x:c>
      <x:c r="C153" s="22" t="str">
        <x:v>7月3日</x:v>
      </x:c>
      <x:c r="D153" s="23" t="n">
        <x:v>8401</x:v>
      </x:c>
      <x:c r="E153" s="23" t="n">
        <x:v>8475</x:v>
      </x:c>
      <x:c r="F153" s="23" t="n">
        <x:v>8337.8</x:v>
      </x:c>
      <x:c r="G153" s="23" t="n">
        <x:v>8373</x:v>
      </x:c>
      <x:c r="H153" s="23" t="n">
        <x:v>2.8</x:v>
      </x:c>
      <x:c r="I153" s="24" t="n">
        <x:v>0.00033452008315215664</x:v>
      </x:c>
      <x:c r="J153" s="23" t="n">
        <x:f>ROUND(E153-F153,1)</x:f>
        <x:v>137.2</x:v>
      </x:c>
      <x:c r="K153" s="22" t="str">
        <x:v>IM2609</x:v>
      </x:c>
    </x:row>
    <x:row r="154">
      <x:c r="A154" s="22" t="n">
        <x:v>4</x:v>
      </x:c>
      <x:c r="B154" s="22" t="str">
        <x:v>周一</x:v>
      </x:c>
      <x:c r="C154" s="22" t="str">
        <x:v>7月6日</x:v>
      </x:c>
      <x:c r="D154" s="23" t="n">
        <x:v>8403</x:v>
      </x:c>
      <x:c r="E154" s="23" t="n">
        <x:v>8419.8</x:v>
      </x:c>
      <x:c r="F154" s="23" t="n">
        <x:v>8213</x:v>
      </x:c>
      <x:c r="G154" s="23" t="n">
        <x:v>8265</x:v>
      </x:c>
      <x:c r="H154" s="23" t="n">
        <x:v>-108</x:v>
      </x:c>
      <x:c r="I154" s="24" t="n">
        <x:v>-0.012898602651379432</x:v>
      </x:c>
      <x:c r="J154" s="26" t="n">
        <x:f>ROUND(E154-F154,1)</x:f>
        <x:v>206.8</x:v>
      </x:c>
      <x:c r="K154" s="22" t="str">
        <x:v>IM2609</x:v>
      </x:c>
    </x:row>
    <x:row r="155">
      <x:c r="A155" s="22" t="n">
        <x:v>5</x:v>
      </x:c>
      <x:c r="B155" s="22" t="str">
        <x:v>周二</x:v>
      </x:c>
      <x:c r="C155" s="22" t="str">
        <x:v>7月7日</x:v>
      </x:c>
      <x:c r="D155" s="23" t="n">
        <x:v>8235</x:v>
      </x:c>
      <x:c r="E155" s="23" t="n">
        <x:v>8274.2</x:v>
      </x:c>
      <x:c r="F155" s="23" t="n">
        <x:v>8068.8</x:v>
      </x:c>
      <x:c r="G155" s="23" t="n">
        <x:v>8115.2</x:v>
      </x:c>
      <x:c r="H155" s="23" t="n">
        <x:v>-149.8</x:v>
      </x:c>
      <x:c r="I155" s="24" t="n">
        <x:v>-0.018124621899576532</x:v>
      </x:c>
      <x:c r="J155" s="26" t="n">
        <x:f>ROUND(E155-F155,1)</x:f>
        <x:v>205.4</x:v>
      </x:c>
      <x:c r="K155" s="22" t="str">
        <x:v>IM2609</x:v>
      </x:c>
    </x:row>
    <x:row r="156">
      <x:c r="A156" s="22" t="n">
        <x:v>6</x:v>
      </x:c>
      <x:c r="B156" s="22" t="str">
        <x:v>周三</x:v>
      </x:c>
      <x:c r="C156" s="22" t="str">
        <x:v>7月8日</x:v>
      </x:c>
      <x:c r="D156" s="23" t="n">
        <x:v>8140.2</x:v>
      </x:c>
      <x:c r="E156" s="23" t="n">
        <x:v>8149.8</x:v>
      </x:c>
      <x:c r="F156" s="23" t="n">
        <x:v>7965</x:v>
      </x:c>
      <x:c r="G156" s="23" t="n">
        <x:v>7974</x:v>
      </x:c>
      <x:c r="H156" s="23" t="n">
        <x:v>-141.2</x:v>
      </x:c>
      <x:c r="I156" s="24" t="n">
        <x:v>-0.017399447949526747</x:v>
      </x:c>
      <x:c r="J156" s="23" t="n">
        <x:f>ROUND(E156-F156,1)</x:f>
        <x:v>184.8</x:v>
      </x:c>
      <x:c r="K156" s="22" t="str">
        <x:v>IM2609</x:v>
      </x:c>
    </x:row>
    <x:row r="157">
      <x:c r="A157" s="22" t="n">
        <x:v>7</x:v>
      </x:c>
      <x:c r="B157" s="22" t="str">
        <x:v>周四</x:v>
      </x:c>
      <x:c r="C157" s="22" t="str">
        <x:v>7月9日</x:v>
      </x:c>
      <x:c r="D157" s="23" t="n">
        <x:v>8034.8</x:v>
      </x:c>
      <x:c r="E157" s="23" t="n">
        <x:v>8140.2</x:v>
      </x:c>
      <x:c r="F157" s="23" t="n">
        <x:v>7868.2</x:v>
      </x:c>
      <x:c r="G157" s="23" t="n">
        <x:v>8127.4</x:v>
      </x:c>
      <x:c r="H157" s="28" t="n">
        <x:v>153.4</x:v>
      </x:c>
      <x:c r="I157" s="24" t="n">
        <x:v>0.019237521946325442</x:v>
      </x:c>
      <x:c r="J157" s="26" t="n">
        <x:f>ROUND(E157-F157,1)</x:f>
        <x:v>272</x:v>
      </x:c>
      <x:c r="K157" s="22" t="str">
        <x:v>IM2609</x:v>
      </x:c>
    </x:row>
    <x:row r="158">
      <x:c r="A158" s="22" t="n">
        <x:v>8</x:v>
      </x:c>
      <x:c r="B158" s="22" t="str">
        <x:v>周五</x:v>
      </x:c>
      <x:c r="C158" s="22" t="str">
        <x:v>7月10日</x:v>
      </x:c>
      <x:c r="D158" s="23" t="n">
        <x:v>8140.2</x:v>
      </x:c>
      <x:c r="E158" s="23" t="n">
        <x:v>8244.8</x:v>
      </x:c>
      <x:c r="F158" s="23" t="n">
        <x:v>8016</x:v>
      </x:c>
      <x:c r="G158" s="23" t="n">
        <x:v>8019.4</x:v>
      </x:c>
      <x:c r="H158" s="23" t="n">
        <x:v>-108</x:v>
      </x:c>
      <x:c r="I158" s="24" t="n">
        <x:v>-0.013288382508551355</x:v>
      </x:c>
      <x:c r="J158" s="26" t="n">
        <x:f>ROUND(E158-F158,1)</x:f>
        <x:v>228.8</x:v>
      </x:c>
      <x:c r="K158" s="22" t="str">
        <x:v>IM2609</x:v>
      </x:c>
    </x:row>
    <x:row r="159">
      <x:c r="A159" s="22" t="n">
        <x:v>9</x:v>
      </x:c>
      <x:c r="B159" s="22" t="str">
        <x:v>周一</x:v>
      </x:c>
      <x:c r="C159" s="22" t="str">
        <x:v>7月13日</x:v>
      </x:c>
      <x:c r="D159" s="23" t="n">
        <x:v>7995</x:v>
      </x:c>
      <x:c r="E159" s="23" t="n">
        <x:v>8029.8</x:v>
      </x:c>
      <x:c r="F159" s="23" t="n">
        <x:v>7651</x:v>
      </x:c>
      <x:c r="G159" s="23" t="n">
        <x:v>7684.4</x:v>
      </x:c>
      <x:c r="H159" s="28" t="n">
        <x:v>-335</x:v>
      </x:c>
      <x:c r="I159" s="24" t="n">
        <x:v>-0.04177369878045745</x:v>
      </x:c>
      <x:c r="J159" s="26" t="n">
        <x:f>ROUND(E159-F159,1)</x:f>
        <x:v>378.8</x:v>
      </x:c>
      <x:c r="K159" s="22" t="str">
        <x:v>IM2609</x:v>
      </x:c>
    </x:row>
    <x:row r="160">
      <x:c r="A160" s="22" t="n">
        <x:v>10</x:v>
      </x:c>
      <x:c r="B160" s="22" t="str">
        <x:v>周二</x:v>
      </x:c>
      <x:c r="C160" s="22" t="str">
        <x:v>7月14日</x:v>
      </x:c>
      <x:c r="D160" s="23" t="n">
        <x:v>7720</x:v>
      </x:c>
      <x:c r="E160" s="23" t="n">
        <x:v>7810.6</x:v>
      </x:c>
      <x:c r="F160" s="23" t="n">
        <x:v>7580</x:v>
      </x:c>
      <x:c r="G160" s="23" t="n">
        <x:v>7788</x:v>
      </x:c>
      <x:c r="H160" s="23" t="n">
        <x:v>103.6</x:v>
      </x:c>
      <x:c r="I160" s="24" t="n">
        <x:v>0.013481859351413217</x:v>
      </x:c>
      <x:c r="J160" s="26" t="n">
        <x:f>ROUND(E160-F160,1)</x:f>
        <x:v>230.6</x:v>
      </x:c>
      <x:c r="K160" s="22" t="str">
        <x:v>IM2609</x:v>
      </x:c>
    </x:row>
    <x:row r="161">
      <x:c r="A161" s="22" t="n">
        <x:v>11</x:v>
      </x:c>
      <x:c r="B161" s="22" t="str">
        <x:v>周三</x:v>
      </x:c>
      <x:c r="C161" s="22" t="str">
        <x:v>7月15日</x:v>
      </x:c>
      <x:c r="D161" s="23" t="n">
        <x:v>7838</x:v>
      </x:c>
      <x:c r="E161" s="23" t="n">
        <x:v>7846</x:v>
      </x:c>
      <x:c r="F161" s="23" t="n">
        <x:v>7661.4</x:v>
      </x:c>
      <x:c r="G161" s="23" t="n">
        <x:v>7723.2</x:v>
      </x:c>
      <x:c r="H161" s="23" t="n">
        <x:v>-64.8</x:v>
      </x:c>
      <x:c r="I161" s="24" t="n">
        <x:v>-0.008320493066255819</x:v>
      </x:c>
      <x:c r="J161" s="23" t="n">
        <x:f>ROUND(E161-F161,1)</x:f>
        <x:v>184.6</x:v>
      </x:c>
      <x:c r="K161" s="22" t="str">
        <x:v>IM2609</x:v>
      </x:c>
    </x:row>
    <x:row r="162">
      <x:c r="A162" s="22" t="n">
        <x:v>12</x:v>
      </x:c>
      <x:c r="B162" s="22" t="str">
        <x:v>周四</x:v>
      </x:c>
      <x:c r="C162" s="22" t="str">
        <x:v>7月16日</x:v>
      </x:c>
      <x:c r="D162" s="23" t="n">
        <x:v>7648.6</x:v>
      </x:c>
      <x:c r="E162" s="23" t="n">
        <x:v>7750.2</x:v>
      </x:c>
      <x:c r="F162" s="23" t="n">
        <x:v>7511</x:v>
      </x:c>
      <x:c r="G162" s="23" t="n">
        <x:v>7552.6</x:v>
      </x:c>
      <x:c r="H162" s="28" t="n">
        <x:v>-170.6</x:v>
      </x:c>
      <x:c r="I162" s="24" t="n">
        <x:v>-0.022089289413714464</x:v>
      </x:c>
      <x:c r="J162" s="26" t="n">
        <x:f>ROUND(E162-F162,1)</x:f>
        <x:v>239.2</x:v>
      </x:c>
      <x:c r="K162" s="22" t="str">
        <x:v>IM2609</x:v>
      </x:c>
    </x:row>
    <x:row r="163">
      <x:c r="A163" s="41" t="n">
        <x:v>13</x:v>
      </x:c>
      <x:c r="B163" s="41" t="str">
        <x:v>周五</x:v>
      </x:c>
      <x:c r="C163" s="41" t="str">
        <x:v>7月17日</x:v>
      </x:c>
      <x:c r="D163" s="42" t="n">
        <x:v>7520</x:v>
      </x:c>
      <x:c r="E163" s="42" t="n">
        <x:v>7534.6</x:v>
      </x:c>
      <x:c r="F163" s="42" t="n">
        <x:v>7018.8</x:v>
      </x:c>
      <x:c r="G163" s="42" t="n">
        <x:v>7065.2</x:v>
      </x:c>
      <x:c r="H163" s="28" t="n">
        <x:v>-487.4</x:v>
      </x:c>
      <x:c r="I163" s="43" t="n">
        <x:v>-0.06453406773826242</x:v>
      </x:c>
      <x:c r="J163" s="26" t="n">
        <x:f>ROUND(E163-F163,1)</x:f>
        <x:v>515.8</x:v>
      </x:c>
      <x:c r="K163" s="41" t="str">
        <x:v>IM2609</x:v>
      </x:c>
    </x:row>
    <x:row r="164">
      <x:c r="A164" s="22" t="n">
        <x:v>14</x:v>
      </x:c>
      <x:c r="B164" s="22" t="str">
        <x:v>周一</x:v>
      </x:c>
      <x:c r="C164" s="22" t="str">
        <x:v>7月20日</x:v>
      </x:c>
      <x:c r="D164" s="23" t="n">
        <x:v>7165.2</x:v>
      </x:c>
      <x:c r="E164" s="23" t="n">
        <x:v>7237</x:v>
      </x:c>
      <x:c r="F164" s="23" t="n">
        <x:v>6652.2</x:v>
      </x:c>
      <x:c r="G164" s="23" t="n">
        <x:v>6849.8</x:v>
      </x:c>
      <x:c r="H164" s="28" t="n">
        <x:v>-215.4</x:v>
      </x:c>
      <x:c r="I164" s="24" t="n">
        <x:v>-0.030487459661439065</x:v>
      </x:c>
      <x:c r="J164" s="26" t="n">
        <x:f>ROUND(E164-F164,1)</x:f>
        <x:v>584.8</x:v>
      </x:c>
      <x:c r="K164" s="22" t="str">
        <x:v>IM2609</x:v>
      </x:c>
    </x:row>
    <x:row r="165">
      <x:c r="A165" s="22" t="n">
        <x:v>15</x:v>
      </x:c>
      <x:c r="B165" s="22" t="str">
        <x:v>周二</x:v>
      </x:c>
      <x:c r="C165" s="22" t="str">
        <x:v>7月21日</x:v>
      </x:c>
      <x:c r="D165" s="23" t="n">
        <x:v>6920</x:v>
      </x:c>
      <x:c r="E165" s="23" t="n">
        <x:v>7175.8</x:v>
      </x:c>
      <x:c r="F165" s="23" t="n">
        <x:v>6641.8</x:v>
      </x:c>
      <x:c r="G165" s="23" t="n">
        <x:v>7164.4</x:v>
      </x:c>
      <x:c r="H165" s="28" t="n">
        <x:v>314.6</x:v>
      </x:c>
      <x:c r="I165" s="24" t="n">
        <x:v>0.04592834827294223</x:v>
      </x:c>
      <x:c r="J165" s="26" t="n">
        <x:f>ROUND(E165-F165,1)</x:f>
        <x:v>534</x:v>
      </x:c>
      <x:c r="K165" s="22" t="str">
        <x:v>IM2609</x:v>
      </x:c>
    </x:row>
    <x:row r="166">
      <x:c r="A166" s="22" t="n">
        <x:v>16</x:v>
      </x:c>
      <x:c r="B166" s="22" t="str">
        <x:v>周三</x:v>
      </x:c>
      <x:c r="C166" s="22" t="str">
        <x:v>7月22日</x:v>
      </x:c>
      <x:c r="D166" s="23" t="n">
        <x:v>7148</x:v>
      </x:c>
      <x:c r="E166" s="23" t="n">
        <x:v>7194.6</x:v>
      </x:c>
      <x:c r="F166" s="23" t="n">
        <x:v>6985.8</x:v>
      </x:c>
      <x:c r="G166" s="23" t="n">
        <x:v>7028.8</x:v>
      </x:c>
      <x:c r="H166" s="23" t="n">
        <x:v>-135.6</x:v>
      </x:c>
      <x:c r="I166" s="24" t="n">
        <x:v>-0.018926916420076934</x:v>
      </x:c>
      <x:c r="J166" s="26" t="n">
        <x:f>ROUND(E166-F166,1)</x:f>
        <x:v>208.8</x:v>
      </x:c>
      <x:c r="K166" s="22" t="str">
        <x:v>IM2609</x:v>
      </x:c>
    </x:row>
    <x:row r="167">
      <x:c r="A167" s="22" t="n">
        <x:v>17</x:v>
      </x:c>
      <x:c r="B167" s="22" t="str">
        <x:v>周四</x:v>
      </x:c>
      <x:c r="C167" s="22" t="str">
        <x:v>7月23日</x:v>
      </x:c>
      <x:c r="D167" s="23" t="n">
        <x:v>7061</x:v>
      </x:c>
      <x:c r="E167" s="23" t="n">
        <x:v>7159.6</x:v>
      </x:c>
      <x:c r="F167" s="23" t="n">
        <x:v>7000.6</x:v>
      </x:c>
      <x:c r="G167" s="23" t="n">
        <x:v>7071.6</x:v>
      </x:c>
      <x:c r="H167" s="23" t="n">
        <x:v>42.8</x:v>
      </x:c>
      <x:c r="I167" s="24" t="n">
        <x:v>0.0060892328704758025</x:v>
      </x:c>
      <x:c r="J167" s="23" t="n">
        <x:f>ROUND(E167-F167,1)</x:f>
        <x:v>159</x:v>
      </x:c>
      <x:c r="K167" s="22" t="str">
        <x:v>IM2609</x:v>
      </x:c>
    </x:row>
    <x:row r="168">
      <x:c r="A168" s="22" t="n">
        <x:v>18</x:v>
      </x:c>
      <x:c r="B168" s="22" t="str">
        <x:v>周五</x:v>
      </x:c>
      <x:c r="C168" s="22" t="str">
        <x:v>7月24日</x:v>
      </x:c>
      <x:c r="D168" s="23" t="n">
        <x:v>7000</x:v>
      </x:c>
      <x:c r="E168" s="23" t="n">
        <x:v>7054.8</x:v>
      </x:c>
      <x:c r="F168" s="23" t="n">
        <x:v>6866</x:v>
      </x:c>
      <x:c r="G168" s="23" t="n">
        <x:v>6880.2</x:v>
      </x:c>
      <x:c r="H168" s="28" t="n">
        <x:v>-191.4</x:v>
      </x:c>
      <x:c r="I168" s="24" t="n">
        <x:v>-0.02706601052095714</x:v>
      </x:c>
      <x:c r="J168" s="23" t="n">
        <x:f>ROUND(E168-F168,1)</x:f>
        <x:v>188.8</x:v>
      </x:c>
      <x:c r="K168" s="22" t="str">
        <x:v>IM2609</x:v>
      </x:c>
    </x:row>
    <x:row r="169">
      <x:c r="A169" s="22" t="n">
        <x:v>19</x:v>
      </x:c>
      <x:c r="B169" s="22" t="str">
        <x:v>周一</x:v>
      </x:c>
      <x:c r="C169" s="22" t="str">
        <x:v>7月27日</x:v>
      </x:c>
      <x:c r="D169" s="23" t="n">
        <x:v>6880.4</x:v>
      </x:c>
      <x:c r="E169" s="23" t="n">
        <x:v>7155</x:v>
      </x:c>
      <x:c r="F169" s="23" t="n">
        <x:v>6880.4</x:v>
      </x:c>
      <x:c r="G169" s="23" t="n">
        <x:v>7148.8</x:v>
      </x:c>
      <x:c r="H169" s="28" t="n">
        <x:v>268.6</x:v>
      </x:c>
      <x:c r="I169" s="24" t="n">
        <x:v>0.039039562803407035</x:v>
      </x:c>
      <x:c r="J169" s="26" t="n">
        <x:f>ROUND(E169-F169,1)</x:f>
        <x:v>274.6</x:v>
      </x:c>
      <x:c r="K169" s="22" t="str">
        <x:v>IM2609</x:v>
      </x:c>
    </x:row>
    <x:row r="170">
      <x:c r="A170" s="22" t="n">
        <x:v>20</x:v>
      </x:c>
      <x:c r="B170" s="22" t="str">
        <x:v>周二</x:v>
      </x:c>
      <x:c r="C170" s="22" t="str">
        <x:v>7月28日</x:v>
      </x:c>
      <x:c r="D170" s="23" t="n">
        <x:v>7020</x:v>
      </x:c>
      <x:c r="E170" s="23" t="n">
        <x:v>7075.6</x:v>
      </x:c>
      <x:c r="F170" s="23" t="n">
        <x:v>6888.8</x:v>
      </x:c>
      <x:c r="G170" s="23" t="n">
        <x:v>6943.2</x:v>
      </x:c>
      <x:c r="H170" s="28" t="n">
        <x:v>-205.6</x:v>
      </x:c>
      <x:c r="I170" s="24" t="n">
        <x:v>-0.02876007162041183</x:v>
      </x:c>
      <x:c r="J170" s="23" t="n">
        <x:f>ROUND(E170-F170,1)</x:f>
        <x:v>186.8</x:v>
      </x:c>
      <x:c r="K170" s="22" t="str">
        <x:v>IM2609</x:v>
      </x:c>
    </x:row>
    <x:row r="171">
      <x:c r="A171" s="22" t="n">
        <x:v>21</x:v>
      </x:c>
      <x:c r="B171" s="22" t="str">
        <x:v>周三</x:v>
      </x:c>
      <x:c r="C171" s="22" t="str">
        <x:v>7月29日</x:v>
      </x:c>
      <x:c r="D171" s="23" t="n">
        <x:v>6966</x:v>
      </x:c>
      <x:c r="E171" s="23" t="n">
        <x:v>7081</x:v>
      </x:c>
      <x:c r="F171" s="23" t="n">
        <x:v>6825</x:v>
      </x:c>
      <x:c r="G171" s="23" t="n">
        <x:v>7047.2</x:v>
      </x:c>
      <x:c r="H171" s="23" t="n">
        <x:v>104</x:v>
      </x:c>
      <x:c r="I171" s="24" t="n">
        <x:v>0.014978684180205093</x:v>
      </x:c>
      <x:c r="J171" s="26" t="n">
        <x:f>ROUND(E171-F171,1)</x:f>
        <x:v>256</x:v>
      </x:c>
      <x:c r="K171" s="22" t="str">
        <x:v>IM2609</x:v>
      </x:c>
    </x:row>
    <x:row r="172">
      <x:c r="A172" s="22" t="n">
        <x:v>22</x:v>
      </x:c>
      <x:c r="B172" s="22" t="str">
        <x:v>周四</x:v>
      </x:c>
      <x:c r="C172" s="22" t="str">
        <x:v>7月30日</x:v>
      </x:c>
      <x:c r="D172" s="23" t="n">
        <x:v>7033.4</x:v>
      </x:c>
      <x:c r="E172" s="23" t="n">
        <x:v>7088</x:v>
      </x:c>
      <x:c r="F172" s="23" t="n">
        <x:v>6757.6</x:v>
      </x:c>
      <x:c r="G172" s="23" t="n">
        <x:v>6845.2</x:v>
      </x:c>
      <x:c r="H172" s="28" t="n">
        <x:v>-202</x:v>
      </x:c>
      <x:c r="I172" s="24" t="n">
        <x:v>-0.028663866500170276</x:v>
      </x:c>
      <x:c r="J172" s="26" t="n">
        <x:f>ROUND(E172-F172,1)</x:f>
        <x:v>330.4</x:v>
      </x:c>
      <x:c r="K172" s="22" t="str">
        <x:v>IM2609</x:v>
      </x:c>
    </x:row>
    <x:row r="173">
      <x:c r="A173" s="22" t="n">
        <x:v>23</x:v>
      </x:c>
      <x:c r="B173" s="22" t="str">
        <x:v>周五</x:v>
      </x:c>
      <x:c r="C173" s="22" t="str">
        <x:v>7月31日</x:v>
      </x:c>
      <x:c r="D173" s="23" t="n">
        <x:v>7110</x:v>
      </x:c>
      <x:c r="E173" s="23" t="n">
        <x:v>7205</x:v>
      </x:c>
      <x:c r="F173" s="23" t="n">
        <x:v>6986</x:v>
      </x:c>
      <x:c r="G173" s="23" t="n">
        <x:v>6987.8</x:v>
      </x:c>
      <x:c r="H173" s="23" t="n">
        <x:v>142.6</x:v>
      </x:c>
      <x:c r="I173" s="24" t="n">
        <x:v>0.020832115935254025</x:v>
      </x:c>
      <x:c r="J173" s="26" t="n">
        <x:f>ROUND(E173-F173,1)</x:f>
        <x:v>219</x:v>
      </x:c>
      <x:c r="K173" s="22" t="str">
        <x:v>IM2609</x:v>
      </x:c>
    </x:row>
    <x:row r="174">
      <x:c r="A174" s="31" t="str">
        <x:v>合计</x:v>
      </x:c>
      <x:c r="B174" s="30" t="n">
        <x:v>23</x:v>
      </x:c>
      <x:c r="C174" s="30"/>
      <x:c r="D174" s="30"/>
      <x:c r="E174" s="30"/>
      <x:c r="F174" s="30"/>
      <x:c r="G174" s="30"/>
      <x:c r="H174" s="30"/>
      <x:c r="I174" s="30"/>
      <x:c r="J174" s="32" t="n">
        <x:f>ROUND(SUM(J151:J173),1)</x:f>
        <x:v>6087.2</x:v>
      </x:c>
      <x:c r="K174" s="30"/>
    </x:row>
    <x:row r="175">
      <x:c r="A175" s="31" t="str">
        <x:v>均值</x:v>
      </x:c>
      <x:c r="B175" s="30"/>
      <x:c r="C175" s="30"/>
      <x:c r="D175" s="30"/>
      <x:c r="E175" s="30"/>
      <x:c r="F175" s="30"/>
      <x:c r="G175" s="30"/>
      <x:c r="H175" s="30"/>
      <x:c r="I175" s="30"/>
      <x:c r="J175" s="34" t="n">
        <x:f>ROUND(IFERROR(AVERAGE(J151:J173),0),1)</x:f>
        <x:v>264.7</x:v>
      </x:c>
      <x:c r="K175" s="30"/>
    </x:row>
    <x:row r="177">
      <x:c r="A177" s="17" t="str">
        <x:v>8月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20" t="str">
        <x:v>序号</x:v>
      </x:c>
      <x:c r="B178" s="20" t="str">
        <x:v>星期</x:v>
      </x:c>
      <x:c r="C178" s="20" t="str">
        <x:v>日期</x:v>
      </x:c>
      <x:c r="D178" s="20" t="str">
        <x:v>开盘</x:v>
      </x:c>
      <x:c r="E178" s="20" t="str">
        <x:v>高点</x:v>
      </x:c>
      <x:c r="F178" s="20" t="str">
        <x:v>低点</x:v>
      </x:c>
      <x:c r="G178" s="20" t="str">
        <x:v>收盘</x:v>
      </x:c>
      <x:c r="H178" s="20" t="str">
        <x:v>涨跌点数</x:v>
      </x:c>
      <x:c r="I178" s="20" t="str">
        <x:v>涨幅</x:v>
      </x:c>
      <x:c r="J178" s="20" t="str">
        <x:v>振幅</x:v>
      </x:c>
      <x:c r="K178" s="20" t="str">
        <x:v>标的</x:v>
      </x:c>
    </x:row>
    <x:row r="179">
      <x:c r="A179" s="22" t="n">
        <x:v>1</x:v>
      </x:c>
      <x:c r="B179" s="22" t="str">
        <x:v>周一</x:v>
      </x:c>
      <x:c r="C179" s="22" t="str">
        <x:v>8月3日</x:v>
      </x:c>
      <x:c r="D179" s="23" t="n">
        <x:v>7000</x:v>
      </x:c>
      <x:c r="E179" s="23" t="n">
        <x:v>7064.2</x:v>
      </x:c>
      <x:c r="F179" s="23" t="n">
        <x:v>6976</x:v>
      </x:c>
      <x:c r="G179" s="23" t="n">
        <x:v>7023.4</x:v>
      </x:c>
      <x:c r="H179" s="23" t="n">
        <x:v>35.6</x:v>
      </x:c>
      <x:c r="I179" s="24" t="n">
        <x:v>0.005094593434270989</x:v>
      </x:c>
      <x:c r="J179" s="23" t="n">
        <x:f>ROUND(E179-F179,1)</x:f>
        <x:v>88.2</x:v>
      </x:c>
      <x:c r="K179" s="22" t="str">
        <x:v>IM2609</x:v>
      </x:c>
    </x:row>
    <x:row r="180">
      <x:c r="A180" s="22" t="n">
        <x:v>2</x:v>
      </x:c>
      <x:c r="B180" s="22" t="str">
        <x:v>周二</x:v>
      </x:c>
      <x:c r="C180" s="22" t="str">
        <x:v>8月4日</x:v>
      </x:c>
      <x:c r="D180" s="23" t="n">
        <x:v>7073.2</x:v>
      </x:c>
      <x:c r="E180" s="23" t="n">
        <x:v>7269.8</x:v>
      </x:c>
      <x:c r="F180" s="23" t="n">
        <x:v>7057.8</x:v>
      </x:c>
      <x:c r="G180" s="23" t="n">
        <x:v>7211.4</x:v>
      </x:c>
      <x:c r="H180" s="28" t="n">
        <x:v>188</x:v>
      </x:c>
      <x:c r="I180" s="24" t="n">
        <x:v>0.026767662385739133</x:v>
      </x:c>
      <x:c r="J180" s="26" t="n">
        <x:f>ROUND(E180-F180,1)</x:f>
        <x:v>212</x:v>
      </x:c>
      <x:c r="K180" s="22" t="str">
        <x:v>IM2609</x:v>
      </x:c>
    </x:row>
    <x:row r="181">
      <x:c r="A181" s="22" t="n">
        <x:v>3</x:v>
      </x:c>
      <x:c r="B181" s="22" t="str">
        <x:v>周三</x:v>
      </x:c>
      <x:c r="C181" s="22" t="str">
        <x:v>8月5日</x:v>
      </x:c>
      <x:c r="D181" s="23" t="n">
        <x:v>7206.4</x:v>
      </x:c>
      <x:c r="E181" s="23" t="n">
        <x:v>7466</x:v>
      </x:c>
      <x:c r="F181" s="23" t="n">
        <x:v>7201.6</x:v>
      </x:c>
      <x:c r="G181" s="23" t="n">
        <x:v>7433.8</x:v>
      </x:c>
      <x:c r="H181" s="28" t="n">
        <x:v>222.4</x:v>
      </x:c>
      <x:c r="I181" s="24" t="n">
        <x:v>0.030840058795795544</x:v>
      </x:c>
      <x:c r="J181" s="26" t="n">
        <x:f>ROUND(E181-F181,1)</x:f>
        <x:v>264.4</x:v>
      </x:c>
      <x:c r="K181" s="22" t="str">
        <x:v>IM2609</x:v>
      </x:c>
    </x:row>
    <x:row r="182">
      <x:c r="A182" s="22" t="n">
        <x:v>4</x:v>
      </x:c>
      <x:c r="B182" s="22" t="str">
        <x:v>周四</x:v>
      </x:c>
      <x:c r="C182" s="22" t="str">
        <x:v>8月6日</x:v>
      </x:c>
      <x:c r="D182" s="23" t="n">
        <x:v>7377</x:v>
      </x:c>
      <x:c r="E182" s="23" t="n">
        <x:v>7477</x:v>
      </x:c>
      <x:c r="F182" s="23" t="n">
        <x:v>7352</x:v>
      </x:c>
      <x:c r="G182" s="23" t="n">
        <x:v>7451.8</x:v>
      </x:c>
      <x:c r="H182" s="23" t="n">
        <x:v>18</x:v>
      </x:c>
      <x:c r="I182" s="24" t="n">
        <x:v>0.002421372649250797</x:v>
      </x:c>
      <x:c r="J182" s="23" t="n">
        <x:f>ROUND(E182-F182,1)</x:f>
        <x:v>125</x:v>
      </x:c>
      <x:c r="K182" s="22" t="str">
        <x:v>IM2609</x:v>
      </x:c>
    </x:row>
    <x:row r="183">
      <x:c r="A183" s="22" t="n">
        <x:v>5</x:v>
      </x:c>
      <x:c r="B183" s="22" t="str">
        <x:v>周五</x:v>
      </x:c>
      <x:c r="C183" s="22" t="str">
        <x:v>8月7日</x:v>
      </x:c>
      <x:c r="D183" s="23" t="n">
        <x:v>7450</x:v>
      </x:c>
      <x:c r="E183" s="23" t="n">
        <x:v>7594.2</x:v>
      </x:c>
      <x:c r="F183" s="23" t="n">
        <x:v>7369</x:v>
      </x:c>
      <x:c r="G183" s="23" t="n">
        <x:v>7590.6</x:v>
      </x:c>
      <x:c r="H183" s="23" t="n">
        <x:v>138.8</x:v>
      </x:c>
      <x:c r="I183" s="24" t="n">
        <x:v>0.018626372151694826</x:v>
      </x:c>
      <x:c r="J183" s="26" t="n">
        <x:f>ROUND(E183-F183,1)</x:f>
        <x:v>225.2</x:v>
      </x:c>
      <x:c r="K183" s="22" t="str">
        <x:v>IM2609</x:v>
      </x:c>
    </x:row>
    <x:row r="184">
      <x:c r="A184" s="22" t="n">
        <x:v>6</x:v>
      </x:c>
      <x:c r="B184" s="22" t="str">
        <x:v>周一</x:v>
      </x:c>
      <x:c r="C184" s="22" t="str">
        <x:v>8月10日</x:v>
      </x:c>
      <x:c r="D184" s="23" t="n">
        <x:v>7628.8</x:v>
      </x:c>
      <x:c r="E184" s="23" t="n">
        <x:v>7631.2</x:v>
      </x:c>
      <x:c r="F184" s="23" t="n">
        <x:v>7525</x:v>
      </x:c>
      <x:c r="G184" s="23" t="n">
        <x:v>7607.2</x:v>
      </x:c>
      <x:c r="H184" s="23" t="n">
        <x:v>16.6</x:v>
      </x:c>
      <x:c r="I184" s="24" t="n">
        <x:v>0.002186915395357314</x:v>
      </x:c>
      <x:c r="J184" s="23" t="n">
        <x:f>ROUND(E184-F184,1)</x:f>
        <x:v>106.2</x:v>
      </x:c>
      <x:c r="K184" s="22" t="str">
        <x:v>IM2609</x:v>
      </x:c>
    </x:row>
    <x:row r="185">
      <x:c r="A185" s="22" t="n">
        <x:v>7</x:v>
      </x:c>
      <x:c r="B185" s="22" t="str">
        <x:v>周二</x:v>
      </x:c>
      <x:c r="C185" s="22" t="str">
        <x:v>8月11日</x:v>
      </x:c>
      <x:c r="D185" s="23" t="n">
        <x:v>7588</x:v>
      </x:c>
      <x:c r="E185" s="23" t="n">
        <x:v>7692</x:v>
      </x:c>
      <x:c r="F185" s="23" t="n">
        <x:v>7547.2</x:v>
      </x:c>
      <x:c r="G185" s="23" t="n">
        <x:v>7613.2</x:v>
      </x:c>
      <x:c r="H185" s="23" t="n">
        <x:v>6</x:v>
      </x:c>
      <x:c r="I185" s="24" t="n">
        <x:v>0.000788726469660217</x:v>
      </x:c>
      <x:c r="J185" s="23" t="n">
        <x:f>ROUND(E185-F185,1)</x:f>
        <x:v>144.8</x:v>
      </x:c>
      <x:c r="K185" s="22" t="str">
        <x:v>IM2609</x:v>
      </x:c>
    </x:row>
    <x:row r="186">
      <x:c r="A186" s="22" t="n">
        <x:v>8</x:v>
      </x:c>
      <x:c r="B186" s="22" t="str">
        <x:v>周三</x:v>
      </x:c>
      <x:c r="C186" s="22" t="str">
        <x:v>8月12日</x:v>
      </x:c>
      <x:c r="D186" s="23" t="n">
        <x:v>7633.2</x:v>
      </x:c>
      <x:c r="E186" s="23" t="n">
        <x:v>7712.8</x:v>
      </x:c>
      <x:c r="F186" s="23" t="n">
        <x:v>7600</x:v>
      </x:c>
      <x:c r="G186" s="23" t="n">
        <x:v>7677.4</x:v>
      </x:c>
      <x:c r="H186" s="23" t="n">
        <x:v>64.2</x:v>
      </x:c>
      <x:c r="I186" s="24" t="n">
        <x:v>0.008432722114222635</x:v>
      </x:c>
      <x:c r="J186" s="23" t="n">
        <x:f>ROUND(E186-F186,1)</x:f>
        <x:v>112.8</x:v>
      </x:c>
      <x:c r="K186" s="22" t="str">
        <x:v>IM2609</x:v>
      </x:c>
    </x:row>
    <x:row r="187">
      <x:c r="A187" s="22" t="n">
        <x:v>9</x:v>
      </x:c>
      <x:c r="B187" s="22" t="str">
        <x:v>周四</x:v>
      </x:c>
      <x:c r="C187" s="22" t="str">
        <x:v>8月13日</x:v>
      </x:c>
      <x:c r="D187" s="23" t="n">
        <x:v>7723</x:v>
      </x:c>
      <x:c r="E187" s="23" t="n">
        <x:v>7776</x:v>
      </x:c>
      <x:c r="F187" s="23" t="n">
        <x:v>7627</x:v>
      </x:c>
      <x:c r="G187" s="23" t="n">
        <x:v>7634.2</x:v>
      </x:c>
      <x:c r="H187" s="23" t="n">
        <x:v>-43.2</x:v>
      </x:c>
      <x:c r="I187" s="24" t="n">
        <x:v>-0.005626904941777089</x:v>
      </x:c>
      <x:c r="J187" s="23" t="n">
        <x:f>ROUND(E187-F187,1)</x:f>
        <x:v>149</x:v>
      </x:c>
      <x:c r="K187" s="22" t="str">
        <x:v>IM2609</x:v>
      </x:c>
    </x:row>
    <x:row r="188">
      <x:c r="A188" s="22" t="n">
        <x:v>10</x:v>
      </x:c>
      <x:c r="B188" s="22" t="str">
        <x:v>周五</x:v>
      </x:c>
      <x:c r="C188" s="22" t="str">
        <x:v>8月14日</x:v>
      </x:c>
      <x:c r="D188" s="23" t="n">
        <x:v>7670</x:v>
      </x:c>
      <x:c r="E188" s="23" t="n">
        <x:v>7695</x:v>
      </x:c>
      <x:c r="F188" s="23" t="n">
        <x:v>7597.6</x:v>
      </x:c>
      <x:c r="G188" s="23" t="n">
        <x:v>7650.2</x:v>
      </x:c>
      <x:c r="H188" s="23" t="n">
        <x:v>16</x:v>
      </x:c>
      <x:c r="I188" s="24" t="n">
        <x:v>0.0020958319142805326</x:v>
      </x:c>
      <x:c r="J188" s="23" t="n">
        <x:f>ROUND(E188-F188,1)</x:f>
        <x:v>97.4</x:v>
      </x:c>
      <x:c r="K188" s="22" t="str">
        <x:v>IM2609</x:v>
      </x:c>
    </x:row>
    <x:row r="189">
      <x:c r="A189" s="22" t="n">
        <x:v>11</x:v>
      </x:c>
      <x:c r="B189" s="22" t="str">
        <x:v>周一</x:v>
      </x:c>
      <x:c r="C189" s="22" t="str">
        <x:v>8月17日</x:v>
      </x:c>
      <x:c r="D189" s="23" t="n">
        <x:v>7675</x:v>
      </x:c>
      <x:c r="E189" s="23" t="n">
        <x:v>7875</x:v>
      </x:c>
      <x:c r="F189" s="23" t="n">
        <x:v>7631.4</x:v>
      </x:c>
      <x:c r="G189" s="23" t="n">
        <x:v>7875</x:v>
      </x:c>
      <x:c r="H189" s="28" t="n">
        <x:v>224.8</x:v>
      </x:c>
      <x:c r="I189" s="24" t="n">
        <x:v>0.029384852683590035</x:v>
      </x:c>
      <x:c r="J189" s="26" t="n">
        <x:f>ROUND(E189-F189,1)</x:f>
        <x:v>243.6</x:v>
      </x:c>
      <x:c r="K189" s="22" t="str">
        <x:v>IM2609</x:v>
      </x:c>
    </x:row>
    <x:row r="190">
      <x:c r="A190" s="22" t="n">
        <x:v>12</x:v>
      </x:c>
      <x:c r="B190" s="22" t="str">
        <x:v>周二</x:v>
      </x:c>
      <x:c r="C190" s="22" t="str">
        <x:v>8月18日</x:v>
      </x:c>
      <x:c r="D190" s="23" t="n">
        <x:v>7861</x:v>
      </x:c>
      <x:c r="E190" s="23" t="n">
        <x:v>7882.8</x:v>
      </x:c>
      <x:c r="F190" s="23" t="n">
        <x:v>7725</x:v>
      </x:c>
      <x:c r="G190" s="23" t="n">
        <x:v>7807</x:v>
      </x:c>
      <x:c r="H190" s="23" t="n">
        <x:v>-68</x:v>
      </x:c>
      <x:c r="I190" s="24" t="n">
        <x:v>-0.008634920634920662</x:v>
      </x:c>
      <x:c r="J190" s="23" t="n">
        <x:f>ROUND(E190-F190,1)</x:f>
        <x:v>157.8</x:v>
      </x:c>
      <x:c r="K190" s="22" t="str">
        <x:v>IM2609</x:v>
      </x:c>
    </x:row>
    <x:row r="191">
      <x:c r="A191" s="22" t="n">
        <x:v>13</x:v>
      </x:c>
      <x:c r="B191" s="22" t="str">
        <x:v>周三</x:v>
      </x:c>
      <x:c r="C191" s="22" t="str">
        <x:v>8月19日</x:v>
      </x:c>
      <x:c r="D191" s="23" t="n">
        <x:v>7711</x:v>
      </x:c>
      <x:c r="E191" s="23" t="n">
        <x:v>7734.6</x:v>
      </x:c>
      <x:c r="F191" s="23" t="n">
        <x:v>7430</x:v>
      </x:c>
      <x:c r="G191" s="23" t="n">
        <x:v>7468.8</x:v>
      </x:c>
      <x:c r="H191" s="28" t="n">
        <x:v>-338.2</x:v>
      </x:c>
      <x:c r="I191" s="24" t="n">
        <x:v>-0.04332009734853337</x:v>
      </x:c>
      <x:c r="J191" s="26" t="n">
        <x:f>ROUND(E191-F191,1)</x:f>
        <x:v>304.6</x:v>
      </x:c>
      <x:c r="K191" s="22" t="str">
        <x:v>IM2609</x:v>
      </x:c>
    </x:row>
    <x:row r="192">
      <x:c r="A192" s="22" t="n">
        <x:v>14</x:v>
      </x:c>
      <x:c r="B192" s="22" t="str">
        <x:v>周四</x:v>
      </x:c>
      <x:c r="C192" s="22" t="str">
        <x:v>8月20日</x:v>
      </x:c>
      <x:c r="D192" s="23" t="n">
        <x:v>7550</x:v>
      </x:c>
      <x:c r="E192" s="23" t="n">
        <x:v>7582.2</x:v>
      </x:c>
      <x:c r="F192" s="23" t="n">
        <x:v>7482.8</x:v>
      </x:c>
      <x:c r="G192" s="23" t="n">
        <x:v>7516.2</x:v>
      </x:c>
      <x:c r="H192" s="23" t="n">
        <x:v>47.4</x:v>
      </x:c>
      <x:c r="I192" s="24" t="n">
        <x:v>0.0063464010282776595</x:v>
      </x:c>
      <x:c r="J192" s="23" t="n">
        <x:f>ROUND(E192-F192,1)</x:f>
        <x:v>99.4</x:v>
      </x:c>
      <x:c r="K192" s="22" t="str">
        <x:v>IM2609</x:v>
      </x:c>
    </x:row>
    <x:row r="193">
      <x:c r="A193" s="41" t="n">
        <x:v>15</x:v>
      </x:c>
      <x:c r="B193" s="41" t="str">
        <x:v>周五</x:v>
      </x:c>
      <x:c r="C193" s="41" t="str">
        <x:v>8月21日</x:v>
      </x:c>
      <x:c r="D193" s="42" t="n">
        <x:v>7500</x:v>
      </x:c>
      <x:c r="E193" s="42" t="n">
        <x:v>7575</x:v>
      </x:c>
      <x:c r="F193" s="42" t="n">
        <x:v>7410</x:v>
      </x:c>
      <x:c r="G193" s="42" t="n">
        <x:v>7527</x:v>
      </x:c>
      <x:c r="H193" s="42" t="n">
        <x:v>10.8</x:v>
      </x:c>
      <x:c r="I193" s="43" t="n">
        <x:v>0.0014368963039834703</x:v>
      </x:c>
      <x:c r="J193" s="42" t="n">
        <x:f>ROUND(E193-F193,1)</x:f>
        <x:v>165</x:v>
      </x:c>
      <x:c r="K193" s="41" t="str">
        <x:v>IM2609</x:v>
      </x:c>
    </x:row>
    <x:row r="194">
      <x:c r="A194" s="22" t="n">
        <x:v>16</x:v>
      </x:c>
      <x:c r="B194" s="22" t="str">
        <x:v>周一</x:v>
      </x:c>
      <x:c r="C194" s="22" t="str">
        <x:v>8月24日</x:v>
      </x:c>
      <x:c r="D194" s="23" t="n">
        <x:v>7534.8</x:v>
      </x:c>
      <x:c r="E194" s="23" t="n">
        <x:v>7549</x:v>
      </x:c>
      <x:c r="F194" s="23" t="n">
        <x:v>7308.8</x:v>
      </x:c>
      <x:c r="G194" s="23" t="n">
        <x:v>7425.8</x:v>
      </x:c>
      <x:c r="H194" s="23" t="n">
        <x:v>-101.2</x:v>
      </x:c>
      <x:c r="I194" s="24" t="n">
        <x:v>-0.013444931579646546</x:v>
      </x:c>
      <x:c r="J194" s="26" t="n">
        <x:f>ROUND(E194-F194,1)</x:f>
        <x:v>240.2</x:v>
      </x:c>
      <x:c r="K194" s="22" t="str">
        <x:v>IM2609</x:v>
      </x:c>
    </x:row>
    <x:row r="195">
      <x:c r="A195" s="22" t="n">
        <x:v>17</x:v>
      </x:c>
      <x:c r="B195" s="22" t="str">
        <x:v>周二</x:v>
      </x:c>
      <x:c r="C195" s="22" t="str">
        <x:v>8月25日</x:v>
      </x:c>
      <x:c r="D195" s="23" t="n">
        <x:v>7380</x:v>
      </x:c>
      <x:c r="E195" s="23" t="n">
        <x:v>7509.6</x:v>
      </x:c>
      <x:c r="F195" s="23" t="n">
        <x:v>7300.2</x:v>
      </x:c>
      <x:c r="G195" s="23" t="n">
        <x:v>7466.4</x:v>
      </x:c>
      <x:c r="H195" s="23" t="n">
        <x:v>40.6</x:v>
      </x:c>
      <x:c r="I195" s="24" t="n">
        <x:v>0.005467424385251274</x:v>
      </x:c>
      <x:c r="J195" s="26" t="n">
        <x:f>ROUND(E195-F195,1)</x:f>
        <x:v>209.4</x:v>
      </x:c>
      <x:c r="K195" s="22" t="str">
        <x:v>IM2609</x:v>
      </x:c>
    </x:row>
    <x:row r="196">
      <x:c r="A196" s="22" t="n">
        <x:v>18</x:v>
      </x:c>
      <x:c r="B196" s="22" t="str">
        <x:v>周三</x:v>
      </x:c>
      <x:c r="C196" s="22" t="str">
        <x:v>8月26日</x:v>
      </x:c>
      <x:c r="D196" s="23" t="n">
        <x:v>7466</x:v>
      </x:c>
      <x:c r="E196" s="23" t="n">
        <x:v>7558</x:v>
      </x:c>
      <x:c r="F196" s="23" t="n">
        <x:v>7395</x:v>
      </x:c>
      <x:c r="G196" s="23" t="n">
        <x:v>7491.8</x:v>
      </x:c>
      <x:c r="H196" s="23" t="n">
        <x:v>25.4</x:v>
      </x:c>
      <x:c r="I196" s="24" t="n">
        <x:v>0.0034019072109718884</x:v>
      </x:c>
      <x:c r="J196" s="23" t="n">
        <x:f>ROUND(E196-F196,1)</x:f>
        <x:v>163</x:v>
      </x:c>
      <x:c r="K196" s="22" t="str">
        <x:v>IM2609</x:v>
      </x:c>
    </x:row>
    <x:row r="197">
      <x:c r="A197" s="22" t="n">
        <x:v>19</x:v>
      </x:c>
      <x:c r="B197" s="22" t="str">
        <x:v>周四</x:v>
      </x:c>
      <x:c r="C197" s="22" t="str">
        <x:v>8月27日</x:v>
      </x:c>
      <x:c r="D197" s="23" t="n">
        <x:v>7511</x:v>
      </x:c>
      <x:c r="E197" s="23" t="n">
        <x:v>7696</x:v>
      </x:c>
      <x:c r="F197" s="23" t="n">
        <x:v>7472</x:v>
      </x:c>
      <x:c r="G197" s="23" t="n">
        <x:v>7686.6</x:v>
      </x:c>
      <x:c r="H197" s="28" t="n">
        <x:v>194.8</x:v>
      </x:c>
      <x:c r="I197" s="24" t="n">
        <x:v>0.026001761926372824</x:v>
      </x:c>
      <x:c r="J197" s="26" t="n">
        <x:f>ROUND(E197-F197,1)</x:f>
        <x:v>224</x:v>
      </x:c>
      <x:c r="K197" s="22" t="str">
        <x:v>IM2609</x:v>
      </x:c>
    </x:row>
    <x:row r="198">
      <x:c r="A198" s="22" t="n">
        <x:v>20</x:v>
      </x:c>
      <x:c r="B198" s="22" t="str">
        <x:v>周五</x:v>
      </x:c>
      <x:c r="C198" s="22" t="str">
        <x:v>8月28日</x:v>
      </x:c>
      <x:c r="D198" s="23" t="n">
        <x:v>7680</x:v>
      </x:c>
      <x:c r="E198" s="23" t="n">
        <x:v>7753.8</x:v>
      </x:c>
      <x:c r="F198" s="23" t="n">
        <x:v>7652</x:v>
      </x:c>
      <x:c r="G198" s="23" t="n">
        <x:v>7666.6</x:v>
      </x:c>
      <x:c r="H198" s="23" t="n">
        <x:v>-20</x:v>
      </x:c>
      <x:c r="I198" s="24" t="n">
        <x:v>-0.0026019306325293368</x:v>
      </x:c>
      <x:c r="J198" s="23" t="n">
        <x:f>ROUND(E198-F198,1)</x:f>
        <x:v>101.8</x:v>
      </x:c>
      <x:c r="K198" s="22" t="str">
        <x:v>IM2609</x:v>
      </x:c>
    </x:row>
    <x:row r="199">
      <x:c r="A199" s="22" t="n">
        <x:v>21</x:v>
      </x:c>
      <x:c r="B199" s="22" t="str">
        <x:v>周一</x:v>
      </x:c>
      <x:c r="C199" s="22" t="str">
        <x:v>8月31日</x:v>
      </x:c>
      <x:c r="D199" s="23" t="n">
        <x:v>7582</x:v>
      </x:c>
      <x:c r="E199" s="23" t="n">
        <x:v>7735</x:v>
      </x:c>
      <x:c r="F199" s="23" t="n">
        <x:v>7552.8</x:v>
      </x:c>
      <x:c r="G199" s="23" t="n">
        <x:v>7713.6</x:v>
      </x:c>
      <x:c r="H199" s="23" t="n">
        <x:v>47</x:v>
      </x:c>
      <x:c r="I199" s="24" t="n">
        <x:v>0.006130488091200759</x:v>
      </x:c>
      <x:c r="J199" s="23" t="n">
        <x:f>ROUND(E199-F199,1)</x:f>
        <x:v>182.2</x:v>
      </x:c>
      <x:c r="K199" s="22" t="str">
        <x:v>IM2609</x:v>
      </x:c>
    </x:row>
    <x:row r="200">
      <x:c r="A200" s="31" t="str">
        <x:v>合计</x:v>
      </x:c>
      <x:c r="B200" s="30" t="n">
        <x:v>21</x:v>
      </x:c>
      <x:c r="C200" s="30"/>
      <x:c r="D200" s="30"/>
      <x:c r="E200" s="30"/>
      <x:c r="F200" s="30"/>
      <x:c r="G200" s="30"/>
      <x:c r="H200" s="30"/>
      <x:c r="I200" s="30"/>
      <x:c r="J200" s="32" t="n">
        <x:f>ROUND(SUM(J179:J199),1)</x:f>
        <x:v>3616</x:v>
      </x:c>
      <x:c r="K200" s="30"/>
    </x:row>
    <x:row r="201">
      <x:c r="A201" s="31" t="str">
        <x:v>均值</x:v>
      </x:c>
      <x:c r="B201" s="30"/>
      <x:c r="C201" s="30"/>
      <x:c r="D201" s="30"/>
      <x:c r="E201" s="30"/>
      <x:c r="F201" s="30"/>
      <x:c r="G201" s="30"/>
      <x:c r="H201" s="30"/>
      <x:c r="I201" s="30"/>
      <x:c r="J201" s="34" t="n">
        <x:f>ROUND(IFERROR(AVERAGE(J179:J199),0),1)</x:f>
        <x:v>172.2</x:v>
      </x:c>
      <x:c r="K201" s="30"/>
    </x:row>
    <x:row r="203">
      <x:c r="A203" s="17" t="str">
        <x:v>9月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>
      <x:c r="A204" s="20" t="str">
        <x:v>序号</x:v>
      </x:c>
      <x:c r="B204" s="20" t="str">
        <x:v>星期</x:v>
      </x:c>
      <x:c r="C204" s="20" t="str">
        <x:v>日期</x:v>
      </x:c>
      <x:c r="D204" s="20" t="str">
        <x:v>开盘</x:v>
      </x:c>
      <x:c r="E204" s="20" t="str">
        <x:v>高点</x:v>
      </x:c>
      <x:c r="F204" s="20" t="str">
        <x:v>低点</x:v>
      </x:c>
      <x:c r="G204" s="20" t="str">
        <x:v>收盘</x:v>
      </x:c>
      <x:c r="H204" s="20" t="str">
        <x:v>涨跌点数</x:v>
      </x:c>
      <x:c r="I204" s="20" t="str">
        <x:v>涨幅</x:v>
      </x:c>
      <x:c r="J204" s="20" t="str">
        <x:v>振幅</x:v>
      </x:c>
      <x:c r="K204" s="20" t="str">
        <x:v>标的</x:v>
      </x:c>
    </x:row>
    <x:row r="205">
      <x:c r="A205" s="22" t="n">
        <x:v>1</x:v>
      </x:c>
      <x:c r="B205" s="22" t="str">
        <x:v>周二</x:v>
      </x:c>
      <x:c r="C205" s="22" t="str">
        <x:v>9月1日</x:v>
      </x:c>
      <x:c r="D205" s="23" t="n">
        <x:v>7713.4</x:v>
      </x:c>
      <x:c r="E205" s="23" t="n">
        <x:v>7721</x:v>
      </x:c>
      <x:c r="F205" s="23" t="n">
        <x:v>7598.4</x:v>
      </x:c>
      <x:c r="G205" s="23" t="n">
        <x:v>7645</x:v>
      </x:c>
      <x:c r="H205" s="23" t="n">
        <x:v>-68.6</x:v>
      </x:c>
      <x:c r="I205" s="24" t="n">
        <x:v>-0.008893383115536224</x:v>
      </x:c>
      <x:c r="J205" s="23" t="n">
        <x:f>ROUND(E205-F205,1)</x:f>
        <x:v>122.6</x:v>
      </x:c>
      <x:c r="K205" s="22" t="str">
        <x:v>IM2609</x:v>
      </x:c>
    </x:row>
    <x:row r="206">
      <x:c r="A206" s="22" t="n">
        <x:v>2</x:v>
      </x:c>
      <x:c r="B206" s="22" t="str">
        <x:v>周三</x:v>
      </x:c>
      <x:c r="C206" s="22" t="str">
        <x:v>9月2日</x:v>
      </x:c>
      <x:c r="D206" s="23" t="n">
        <x:v>7570</x:v>
      </x:c>
      <x:c r="E206" s="23" t="n">
        <x:v>7575</x:v>
      </x:c>
      <x:c r="F206" s="23" t="n">
        <x:v>7466.2</x:v>
      </x:c>
      <x:c r="G206" s="23" t="n">
        <x:v>7540.4</x:v>
      </x:c>
      <x:c r="H206" s="23" t="n">
        <x:v>-104.6</x:v>
      </x:c>
      <x:c r="I206" s="24" t="n">
        <x:v>-0.013682145192936646</x:v>
      </x:c>
      <x:c r="J206" s="23" t="n">
        <x:f>ROUND(E206-F206,1)</x:f>
        <x:v>108.8</x:v>
      </x:c>
      <x:c r="K206" s="22" t="str">
        <x:v>IM2609</x:v>
      </x:c>
    </x:row>
    <x:row r="207">
      <x:c r="A207" s="22" t="n">
        <x:v>3</x:v>
      </x:c>
      <x:c r="B207" s="22" t="str">
        <x:v>周四</x:v>
      </x:c>
      <x:c r="C207" s="22" t="str">
        <x:v>9月3日</x:v>
      </x:c>
      <x:c r="D207" s="23" t="n">
        <x:v>7595</x:v>
      </x:c>
      <x:c r="E207" s="23" t="n">
        <x:v>7618.6</x:v>
      </x:c>
      <x:c r="F207" s="23" t="n">
        <x:v>7476</x:v>
      </x:c>
      <x:c r="G207" s="23" t="n">
        <x:v>7559.4</x:v>
      </x:c>
      <x:c r="H207" s="23" t="n">
        <x:v>19</x:v>
      </x:c>
      <x:c r="I207" s="24" t="n">
        <x:v>0.002519760224921841</x:v>
      </x:c>
      <x:c r="J207" s="23" t="n">
        <x:f>ROUND(E207-F207,1)</x:f>
        <x:v>142.6</x:v>
      </x:c>
      <x:c r="K207" s="22" t="str">
        <x:v>IM2609</x:v>
      </x:c>
    </x:row>
    <x:row r="208">
      <x:c r="A208" s="22" t="n">
        <x:v>4</x:v>
      </x:c>
      <x:c r="B208" s="22" t="str">
        <x:v>周五</x:v>
      </x:c>
      <x:c r="C208" s="22" t="str">
        <x:v>9月4日</x:v>
      </x:c>
      <x:c r="D208" s="23" t="n">
        <x:v>7626.6</x:v>
      </x:c>
      <x:c r="E208" s="23" t="n">
        <x:v>7689.4</x:v>
      </x:c>
      <x:c r="F208" s="23" t="n">
        <x:v>7432</x:v>
      </x:c>
      <x:c r="G208" s="23" t="n">
        <x:v>7468.2</x:v>
      </x:c>
      <x:c r="H208" s="23" t="n">
        <x:v>-91.2</x:v>
      </x:c>
      <x:c r="I208" s="24" t="n">
        <x:v>-0.012064449559488821</x:v>
      </x:c>
      <x:c r="J208" s="26" t="n">
        <x:f>ROUND(E208-F208,1)</x:f>
        <x:v>257.4</x:v>
      </x:c>
      <x:c r="K208" s="22" t="str">
        <x:v>IM2609</x:v>
      </x:c>
    </x:row>
    <x:row r="209">
      <x:c r="A209" s="22" t="n">
        <x:v>5</x:v>
      </x:c>
      <x:c r="B209" s="22" t="str">
        <x:v>周一</x:v>
      </x:c>
      <x:c r="C209" s="22" t="str">
        <x:v>9月7日</x:v>
      </x:c>
      <x:c r="D209" s="23" t="n">
        <x:v>7527.2</x:v>
      </x:c>
      <x:c r="E209" s="23" t="n">
        <x:v>7662.2</x:v>
      </x:c>
      <x:c r="F209" s="23" t="n">
        <x:v>7512.6</x:v>
      </x:c>
      <x:c r="G209" s="23" t="n">
        <x:v>7604</x:v>
      </x:c>
      <x:c r="H209" s="23" t="n">
        <x:v>135.8</x:v>
      </x:c>
      <x:c r="I209" s="24" t="n">
        <x:v>0.01818376583380199</x:v>
      </x:c>
      <x:c r="J209" s="23" t="n">
        <x:f>ROUND(E209-F209,1)</x:f>
        <x:v>149.6</x:v>
      </x:c>
      <x:c r="K209" s="22" t="str">
        <x:v>IM2609</x:v>
      </x:c>
    </x:row>
    <x:row r="210">
      <x:c r="A210" s="22" t="n">
        <x:v>6</x:v>
      </x:c>
      <x:c r="B210" s="22" t="str">
        <x:v>周二</x:v>
      </x:c>
      <x:c r="C210" s="22" t="str">
        <x:v>9月8日</x:v>
      </x:c>
      <x:c r="D210" s="23" t="n">
        <x:v>7625.8</x:v>
      </x:c>
      <x:c r="E210" s="23" t="n">
        <x:v>7714.6</x:v>
      </x:c>
      <x:c r="F210" s="23" t="n">
        <x:v>7592.4</x:v>
      </x:c>
      <x:c r="G210" s="23" t="n">
        <x:v>7633.4</x:v>
      </x:c>
      <x:c r="H210" s="23" t="n">
        <x:v>29.4</x:v>
      </x:c>
      <x:c r="I210" s="24" t="n">
        <x:v>0.0038663861125722843</x:v>
      </x:c>
      <x:c r="J210" s="23" t="n">
        <x:f>ROUND(E210-F210,1)</x:f>
        <x:v>122.2</x:v>
      </x:c>
      <x:c r="K210" s="22" t="str">
        <x:v>IM2609</x:v>
      </x:c>
    </x:row>
    <x:row r="211">
      <x:c r="A211" s="22" t="n">
        <x:v>7</x:v>
      </x:c>
      <x:c r="B211" s="22" t="str">
        <x:v>周三</x:v>
      </x:c>
      <x:c r="C211" s="22" t="str">
        <x:v>9月9日</x:v>
      </x:c>
      <x:c r="D211" s="23" t="n">
        <x:v>7671.8</x:v>
      </x:c>
      <x:c r="E211" s="23" t="n">
        <x:v>7705</x:v>
      </x:c>
      <x:c r="F211" s="23" t="n">
        <x:v>7575</x:v>
      </x:c>
      <x:c r="G211" s="23" t="n">
        <x:v>7618.6</x:v>
      </x:c>
      <x:c r="H211" s="23" t="n">
        <x:v>-14.8</x:v>
      </x:c>
      <x:c r="I211" s="24" t="n">
        <x:v>-0.001938847695653223</x:v>
      </x:c>
      <x:c r="J211" s="23" t="n">
        <x:f>ROUND(E211-F211,1)</x:f>
        <x:v>130</x:v>
      </x:c>
      <x:c r="K211" s="22" t="str">
        <x:v>IM2609</x:v>
      </x:c>
    </x:row>
    <x:row r="212">
      <x:c r="A212" s="22" t="n">
        <x:v>8</x:v>
      </x:c>
      <x:c r="B212" s="22" t="str">
        <x:v>周四</x:v>
      </x:c>
      <x:c r="C212" s="22" t="str">
        <x:v>9月10日</x:v>
      </x:c>
      <x:c r="D212" s="23" t="n">
        <x:v>7575</x:v>
      </x:c>
      <x:c r="E212" s="23" t="n">
        <x:v>7627.8</x:v>
      </x:c>
      <x:c r="F212" s="23" t="n">
        <x:v>7534</x:v>
      </x:c>
      <x:c r="G212" s="23" t="n">
        <x:v>7574</x:v>
      </x:c>
      <x:c r="H212" s="23" t="n">
        <x:v>-44.6</x:v>
      </x:c>
      <x:c r="I212" s="24" t="n">
        <x:v>-0.005854093928018278</x:v>
      </x:c>
      <x:c r="J212" s="23" t="n">
        <x:f>ROUND(E212-F212,1)</x:f>
        <x:v>93.8</x:v>
      </x:c>
      <x:c r="K212" s="22" t="str">
        <x:v>IM2609</x:v>
      </x:c>
    </x:row>
    <x:row r="213">
      <x:c r="A213" s="22" t="n">
        <x:v>9</x:v>
      </x:c>
      <x:c r="B213" s="22" t="str">
        <x:v>周五</x:v>
      </x:c>
      <x:c r="C213" s="22" t="str">
        <x:v>9月11日</x:v>
      </x:c>
      <x:c r="D213" s="23" t="n">
        <x:v>7480</x:v>
      </x:c>
      <x:c r="E213" s="23" t="n">
        <x:v>7488.8</x:v>
      </x:c>
      <x:c r="F213" s="23" t="n">
        <x:v>7259.4</x:v>
      </x:c>
      <x:c r="G213" s="23" t="n">
        <x:v>7415.2</x:v>
      </x:c>
      <x:c r="H213" s="28" t="n">
        <x:v>-158.8</x:v>
      </x:c>
      <x:c r="I213" s="24" t="n">
        <x:v>-0.020966464219698944</x:v>
      </x:c>
      <x:c r="J213" s="26" t="n">
        <x:f>ROUND(E213-F213,1)</x:f>
        <x:v>229.4</x:v>
      </x:c>
      <x:c r="K213" s="22" t="str">
        <x:v>IM2609</x:v>
      </x:c>
    </x:row>
    <x:row r="214">
      <x:c r="A214" s="22" t="n">
        <x:v>10</x:v>
      </x:c>
      <x:c r="B214" s="22" t="str">
        <x:v>周一</x:v>
      </x:c>
      <x:c r="C214" s="22" t="str">
        <x:v>9月14日</x:v>
      </x:c>
      <x:c r="D214" s="23" t="n">
        <x:v>7312</x:v>
      </x:c>
      <x:c r="E214" s="23" t="n">
        <x:v>7483</x:v>
      </x:c>
      <x:c r="F214" s="23" t="n">
        <x:v>7283.4</x:v>
      </x:c>
      <x:c r="G214" s="23" t="n">
        <x:v>7470</x:v>
      </x:c>
      <x:c r="H214" s="23" t="n">
        <x:v>54.8</x:v>
      </x:c>
      <x:c r="I214" s="24" t="n">
        <x:v>0.007390225482792223</x:v>
      </x:c>
      <x:c r="J214" s="26" t="n">
        <x:f>ROUND(E214-F214,1)</x:f>
        <x:v>199.6</x:v>
      </x:c>
      <x:c r="K214" s="22" t="str">
        <x:v>IM2609</x:v>
      </x:c>
    </x:row>
    <x:row r="215">
      <x:c r="A215" s="22" t="n">
        <x:v>11</x:v>
      </x:c>
      <x:c r="B215" s="22" t="str">
        <x:v>周二</x:v>
      </x:c>
      <x:c r="C215" s="22" t="str">
        <x:v>9月15日</x:v>
      </x:c>
      <x:c r="D215" s="23" t="n">
        <x:v>7471</x:v>
      </x:c>
      <x:c r="E215" s="23" t="n">
        <x:v>7523.8</x:v>
      </x:c>
      <x:c r="F215" s="23" t="n">
        <x:v>7413.2</x:v>
      </x:c>
      <x:c r="G215" s="23" t="n">
        <x:v>7443.2</x:v>
      </x:c>
      <x:c r="H215" s="23" t="n">
        <x:v>-26.8</x:v>
      </x:c>
      <x:c r="I215" s="24" t="n">
        <x:v>-0.0035876840696118517</x:v>
      </x:c>
      <x:c r="J215" s="23" t="n">
        <x:f>ROUND(E215-F215,1)</x:f>
        <x:v>110.6</x:v>
      </x:c>
      <x:c r="K215" s="22" t="str">
        <x:v>IM2609</x:v>
      </x:c>
    </x:row>
    <x:row r="216">
      <x:c r="A216" s="22" t="n">
        <x:v>12</x:v>
      </x:c>
      <x:c r="B216" s="22" t="str">
        <x:v>周三</x:v>
      </x:c>
      <x:c r="C216" s="22" t="str">
        <x:v>9月16日</x:v>
      </x:c>
      <x:c r="D216" s="23" t="n">
        <x:v>7456.2</x:v>
      </x:c>
      <x:c r="E216" s="23" t="n">
        <x:v>7623.6</x:v>
      </x:c>
      <x:c r="F216" s="23" t="n">
        <x:v>7401.6</x:v>
      </x:c>
      <x:c r="G216" s="23" t="n">
        <x:v>7593</x:v>
      </x:c>
      <x:c r="H216" s="23" t="n">
        <x:v>149.8</x:v>
      </x:c>
      <x:c r="I216" s="24" t="n">
        <x:v>0.020125752364574367</x:v>
      </x:c>
      <x:c r="J216" s="26" t="n">
        <x:f>ROUND(E216-F216,1)</x:f>
        <x:v>222</x:v>
      </x:c>
      <x:c r="K216" s="22" t="str">
        <x:v>IM2609</x:v>
      </x:c>
    </x:row>
    <x:row r="217">
      <x:c r="A217" s="22" t="n">
        <x:v>13</x:v>
      </x:c>
      <x:c r="B217" s="22" t="str">
        <x:v>周四</x:v>
      </x:c>
      <x:c r="C217" s="22" t="str">
        <x:v>9月17日</x:v>
      </x:c>
      <x:c r="D217" s="23" t="n">
        <x:v>7570</x:v>
      </x:c>
      <x:c r="E217" s="23" t="n">
        <x:v>7648</x:v>
      </x:c>
      <x:c r="F217" s="23" t="n">
        <x:v>7522.2</x:v>
      </x:c>
      <x:c r="G217" s="23" t="n">
        <x:v>7559.8</x:v>
      </x:c>
      <x:c r="H217" s="23" t="n">
        <x:v>-33.2</x:v>
      </x:c>
      <x:c r="I217" s="24" t="n">
        <x:v>-0.004372448307651711</x:v>
      </x:c>
      <x:c r="J217" s="23" t="n">
        <x:f>ROUND(E217-F217,1)</x:f>
        <x:v>125.8</x:v>
      </x:c>
      <x:c r="K217" s="22" t="str">
        <x:v>IM2609</x:v>
      </x:c>
    </x:row>
    <x:row r="218">
      <x:c r="A218" s="41" t="n">
        <x:v>14</x:v>
      </x:c>
      <x:c r="B218" s="41" t="str">
        <x:v>周五</x:v>
      </x:c>
      <x:c r="C218" s="41" t="str">
        <x:v>9月18日</x:v>
      </x:c>
      <x:c r="D218" s="42" t="n">
        <x:v>7626.6</x:v>
      </x:c>
      <x:c r="E218" s="42" t="n">
        <x:v>7712.4</x:v>
      </x:c>
      <x:c r="F218" s="42" t="n">
        <x:v>7606.6</x:v>
      </x:c>
      <x:c r="G218" s="42" t="n">
        <x:v>7679.2</x:v>
      </x:c>
      <x:c r="H218" s="42" t="n">
        <x:v>119.4</x:v>
      </x:c>
      <x:c r="I218" s="43" t="n">
        <x:v>0.01579406862615418</x:v>
      </x:c>
      <x:c r="J218" s="42" t="n">
        <x:f>ROUND(E218-F218,1)</x:f>
        <x:v>105.8</x:v>
      </x:c>
      <x:c r="K218" s="41" t="str">
        <x:v>IM2609</x:v>
      </x:c>
    </x:row>
    <x:row r="219">
      <x:c r="A219" s="22" t="n">
        <x:v>15</x:v>
      </x:c>
      <x:c r="B219" s="22" t="str">
        <x:v>周一</x:v>
      </x:c>
      <x:c r="C219" s="22" t="str">
        <x:v>9月21日</x:v>
      </x:c>
      <x:c r="D219" s="23" t="n">
        <x:v>7549</x:v>
      </x:c>
      <x:c r="E219" s="23" t="n">
        <x:v>7599</x:v>
      </x:c>
      <x:c r="F219" s="23" t="n">
        <x:v>7527</x:v>
      </x:c>
      <x:c r="G219" s="23" t="n">
        <x:v>7560.6</x:v>
      </x:c>
      <x:c r="H219" s="23" t="n">
        <x:v>-118.6</x:v>
      </x:c>
      <x:c r="I219" s="24" t="n">
        <x:v>-0.01544431711636618</x:v>
      </x:c>
      <x:c r="J219" s="23" t="n">
        <x:f>ROUND(E219-F219,1)</x:f>
        <x:v>72</x:v>
      </x:c>
      <x:c r="K219" s="22" t="str">
        <x:v>IM2612</x:v>
      </x:c>
    </x:row>
    <x:row r="220">
      <x:c r="A220" s="22" t="n">
        <x:v>16</x:v>
      </x:c>
      <x:c r="B220" s="22" t="str">
        <x:v>周二</x:v>
      </x:c>
      <x:c r="C220" s="22" t="str">
        <x:v>9月22日</x:v>
      </x:c>
      <x:c r="D220" s="23" t="n">
        <x:v>7638.2</x:v>
      </x:c>
      <x:c r="E220" s="23" t="n">
        <x:v>7687</x:v>
      </x:c>
      <x:c r="F220" s="23" t="n">
        <x:v>7563</x:v>
      </x:c>
      <x:c r="G220" s="23" t="n">
        <x:v>7580.2</x:v>
      </x:c>
      <x:c r="H220" s="23" t="n">
        <x:v>19.6</x:v>
      </x:c>
      <x:c r="I220" s="24" t="n">
        <x:v>0.002592386847604544</x:v>
      </x:c>
      <x:c r="J220" s="23" t="n">
        <x:f>ROUND(E220-F220,1)</x:f>
        <x:v>124</x:v>
      </x:c>
      <x:c r="K220" s="22" t="str">
        <x:v>IM2612</x:v>
      </x:c>
    </x:row>
    <x:row r="221">
      <x:c r="A221" s="22" t="n">
        <x:v>17</x:v>
      </x:c>
      <x:c r="B221" s="22" t="str">
        <x:v>周三</x:v>
      </x:c>
      <x:c r="C221" s="22" t="str">
        <x:v>9月23日</x:v>
      </x:c>
      <x:c r="D221" s="23" t="n">
        <x:v>7600</x:v>
      </x:c>
      <x:c r="E221" s="23" t="n">
        <x:v>7614.8</x:v>
      </x:c>
      <x:c r="F221" s="23" t="n">
        <x:v>7572.6</x:v>
      </x:c>
      <x:c r="G221" s="23" t="n">
        <x:v>7578</x:v>
      </x:c>
      <x:c r="H221" s="23" t="n">
        <x:v>-2.2</x:v>
      </x:c>
      <x:c r="I221" s="24" t="n">
        <x:v>-0.0002902298092398725</x:v>
      </x:c>
      <x:c r="J221" s="23" t="n">
        <x:f>ROUND(E221-F221,1)</x:f>
        <x:v>42.2</x:v>
      </x:c>
      <x:c r="K221" s="22" t="str">
        <x:v>IM2612</x:v>
      </x:c>
    </x:row>
    <x:row r="222">
      <x:c r="A222" s="22" t="n">
        <x:v>18</x:v>
      </x:c>
      <x:c r="B222" s="22" t="str">
        <x:v>周四</x:v>
      </x:c>
      <x:c r="C222" s="22" t="str">
        <x:v>9月24日</x:v>
      </x:c>
      <x:c r="D222" s="23" t="n">
        <x:v>7551.2</x:v>
      </x:c>
      <x:c r="E222" s="23" t="n">
        <x:v>7578</x:v>
      </x:c>
      <x:c r="F222" s="23" t="n">
        <x:v>7386</x:v>
      </x:c>
      <x:c r="G222" s="23" t="n">
        <x:v>7391</x:v>
      </x:c>
      <x:c r="H222" s="28" t="n">
        <x:v>-187</x:v>
      </x:c>
      <x:c r="I222" s="24" t="n">
        <x:v>-0.024676695698073403</x:v>
      </x:c>
      <x:c r="J222" s="26" t="n">
        <x:f>ROUND(E222-F222,1)</x:f>
        <x:v>192</x:v>
      </x:c>
      <x:c r="K222" s="22" t="str">
        <x:v>IM2612</x:v>
      </x:c>
    </x:row>
    <x:row r="223">
      <x:c r="A223" s="22" t="n">
        <x:v>19</x:v>
      </x:c>
      <x:c r="B223" s="22" t="str">
        <x:v>周一</x:v>
      </x:c>
      <x:c r="C223" s="22" t="str">
        <x:v>9月28日</x:v>
      </x:c>
      <x:c r="D223" s="23" t="n">
        <x:v>7390</x:v>
      </x:c>
      <x:c r="E223" s="23" t="n">
        <x:v>7393</x:v>
      </x:c>
      <x:c r="F223" s="23" t="n">
        <x:v>7076.2</x:v>
      </x:c>
      <x:c r="G223" s="23" t="n">
        <x:v>7157.2</x:v>
      </x:c>
      <x:c r="H223" s="28" t="n">
        <x:v>-233.8</x:v>
      </x:c>
      <x:c r="I223" s="24" t="n">
        <x:v>-0.03163306724394532</x:v>
      </x:c>
      <x:c r="J223" s="26" t="n">
        <x:f>ROUND(E223-F223,1)</x:f>
        <x:v>316.8</x:v>
      </x:c>
      <x:c r="K223" s="22" t="str">
        <x:v>IM2612</x:v>
      </x:c>
    </x:row>
    <x:row r="224">
      <x:c r="A224" s="22" t="n">
        <x:v>20</x:v>
      </x:c>
      <x:c r="B224" s="22" t="str">
        <x:v>周二</x:v>
      </x:c>
      <x:c r="C224" s="22" t="str">
        <x:v>9月29日</x:v>
      </x:c>
      <x:c r="D224" s="23" t="n">
        <x:v>7144</x:v>
      </x:c>
      <x:c r="E224" s="23" t="n">
        <x:v>7226.4</x:v>
      </x:c>
      <x:c r="F224" s="23" t="n">
        <x:v>7123</x:v>
      </x:c>
      <x:c r="G224" s="23" t="n">
        <x:v>7191.2</x:v>
      </x:c>
      <x:c r="H224" s="23" t="n">
        <x:v>34</x:v>
      </x:c>
      <x:c r="I224" s="24" t="n">
        <x:v>0.004750461074163104</x:v>
      </x:c>
      <x:c r="J224" s="23" t="n">
        <x:f>ROUND(E224-F224,1)</x:f>
        <x:v>103.4</x:v>
      </x:c>
      <x:c r="K224" s="22" t="str">
        <x:v>IM2612</x:v>
      </x:c>
    </x:row>
    <x:row r="225">
      <x:c r="A225" s="22" t="n">
        <x:v>21</x:v>
      </x:c>
      <x:c r="B225" s="22" t="str">
        <x:v>周三</x:v>
      </x:c>
      <x:c r="C225" s="22" t="str">
        <x:v>9月30日</x:v>
      </x:c>
      <x:c r="D225" s="23" t="n">
        <x:v>7223.6</x:v>
      </x:c>
      <x:c r="E225" s="23" t="n">
        <x:v>7232</x:v>
      </x:c>
      <x:c r="F225" s="23" t="n">
        <x:v>7153</x:v>
      </x:c>
      <x:c r="G225" s="23" t="n">
        <x:v>7168.8</x:v>
      </x:c>
      <x:c r="H225" s="23" t="n">
        <x:v>-22.4</x:v>
      </x:c>
      <x:c r="I225" s="24" t="n">
        <x:v>-0.003114918233396269</x:v>
      </x:c>
      <x:c r="J225" s="23" t="n">
        <x:f>ROUND(E225-F225,1)</x:f>
        <x:v>79</x:v>
      </x:c>
      <x:c r="K225" s="22" t="str">
        <x:v>IM2612</x:v>
      </x:c>
    </x:row>
    <x:row r="226">
      <x:c r="A226" s="31" t="str">
        <x:v>合计</x:v>
      </x:c>
      <x:c r="B226" s="30" t="n">
        <x:v>21</x:v>
      </x:c>
      <x:c r="C226" s="30"/>
      <x:c r="D226" s="30"/>
      <x:c r="E226" s="30"/>
      <x:c r="F226" s="30"/>
      <x:c r="G226" s="30"/>
      <x:c r="H226" s="30"/>
      <x:c r="I226" s="30"/>
      <x:c r="J226" s="32" t="n">
        <x:f>ROUND(SUM(J205:J225),1)</x:f>
        <x:v>3049.6</x:v>
      </x:c>
      <x:c r="K226" s="30"/>
    </x:row>
    <x:row r="227">
      <x:c r="A227" s="31" t="str">
        <x:v>均值</x:v>
      </x:c>
      <x:c r="B227" s="30"/>
      <x:c r="C227" s="30"/>
      <x:c r="D227" s="30"/>
      <x:c r="E227" s="30"/>
      <x:c r="F227" s="30"/>
      <x:c r="G227" s="30"/>
      <x:c r="H227" s="30"/>
      <x:c r="I227" s="30"/>
      <x:c r="J227" s="34" t="n">
        <x:f>ROUND(IFERROR(AVERAGE(J205:J225),0),1)</x:f>
        <x:v>145.2</x:v>
      </x:c>
      <x:c r="K227" s="30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涨跌点数</x:v>
      </x:c>
      <x:c r="I230" s="20" t="str">
        <x:v>涨幅</x:v>
      </x:c>
      <x:c r="J230" s="20" t="str">
        <x:v>振幅</x:v>
      </x:c>
      <x:c r="K230" s="20" t="str">
        <x:v>标的</x:v>
      </x:c>
    </x:row>
    <x:row r="231">
      <x:c r="A231" s="22" t="n">
        <x:v>1</x:v>
      </x:c>
      <x:c r="B231" s="22" t="str">
        <x:v>周四</x:v>
      </x:c>
      <x:c r="C231" s="22" t="str">
        <x:v>10月8日</x:v>
      </x:c>
      <x:c r="D231" s="23" t="n">
        <x:v>7182.8</x:v>
      </x:c>
      <x:c r="E231" s="23" t="n">
        <x:v>7251.8</x:v>
      </x:c>
      <x:c r="F231" s="23" t="n">
        <x:v>6948.2</x:v>
      </x:c>
      <x:c r="G231" s="23" t="n">
        <x:v>7022.2</x:v>
      </x:c>
      <x:c r="H231" s="23" t="n">
        <x:v>-146.6</x:v>
      </x:c>
      <x:c r="I231" s="24" t="n">
        <x:v>-0.02044972659301425</x:v>
      </x:c>
      <x:c r="J231" s="26" t="n">
        <x:f>ROUND(E231-F231,1)</x:f>
        <x:v>303.6</x:v>
      </x:c>
      <x:c r="K231" s="22" t="str">
        <x:v>IM2612</x:v>
      </x:c>
    </x:row>
    <x:row r="232">
      <x:c r="A232" s="22" t="n">
        <x:v>2</x:v>
      </x:c>
      <x:c r="B232" s="22" t="str">
        <x:v>周五</x:v>
      </x:c>
      <x:c r="C232" s="22" t="str">
        <x:v>10月9日</x:v>
      </x:c>
      <x:c r="D232" s="23" t="n">
        <x:v>7001.4</x:v>
      </x:c>
      <x:c r="E232" s="23" t="n">
        <x:v>7049</x:v>
      </x:c>
      <x:c r="F232" s="23" t="n">
        <x:v>6819.2</x:v>
      </x:c>
      <x:c r="G232" s="23" t="n">
        <x:v>7015.8</x:v>
      </x:c>
      <x:c r="H232" s="23" t="n">
        <x:v>-6.4</x:v>
      </x:c>
      <x:c r="I232" s="24" t="n">
        <x:v>-0.0009113952892255694</x:v>
      </x:c>
      <x:c r="J232" s="26" t="n">
        <x:f>ROUND(E232-F232,1)</x:f>
        <x:v>229.8</x:v>
      </x:c>
      <x:c r="K232" s="22" t="str">
        <x:v>IM2612</x:v>
      </x:c>
    </x:row>
    <x:row r="233">
      <x:c r="A233" s="22" t="n">
        <x:v>3</x:v>
      </x:c>
      <x:c r="B233" s="22" t="str">
        <x:v>周一</x:v>
      </x:c>
      <x:c r="C233" s="22" t="str">
        <x:v>10月12日</x:v>
      </x:c>
      <x:c r="D233" s="23" t="n">
        <x:v>7000</x:v>
      </x:c>
      <x:c r="E233" s="23" t="n">
        <x:v>7031.2</x:v>
      </x:c>
      <x:c r="F233" s="23" t="n">
        <x:v>6886.6</x:v>
      </x:c>
      <x:c r="G233" s="23" t="n">
        <x:v>6921</x:v>
      </x:c>
      <x:c r="H233" s="23" t="n">
        <x:v>-94.8</x:v>
      </x:c>
      <x:c r="I233" s="24" t="n">
        <x:v>-0.01351235782091853</x:v>
      </x:c>
      <x:c r="J233" s="23" t="n">
        <x:f>ROUND(E233-F233,1)</x:f>
        <x:v>144.6</x:v>
      </x:c>
      <x:c r="K233" s="22" t="str">
        <x:v>IM2612</x:v>
      </x:c>
    </x:row>
    <x:row r="234">
      <x:c r="A234" s="22" t="n">
        <x:v>4</x:v>
      </x:c>
      <x:c r="B234" s="22" t="str">
        <x:v>周二</x:v>
      </x:c>
      <x:c r="C234" s="22" t="str">
        <x:v>10月13日</x:v>
      </x:c>
      <x:c r="D234" s="23" t="n">
        <x:v>6800</x:v>
      </x:c>
      <x:c r="E234" s="23" t="n">
        <x:v>6971.6</x:v>
      </x:c>
      <x:c r="F234" s="23" t="n">
        <x:v>6680</x:v>
      </x:c>
      <x:c r="G234" s="23" t="n">
        <x:v>6901.8</x:v>
      </x:c>
      <x:c r="H234" s="23" t="n">
        <x:v>-19.2</x:v>
      </x:c>
      <x:c r="I234" s="24" t="n">
        <x:v>-0.002774165583008248</x:v>
      </x:c>
      <x:c r="J234" s="26" t="n">
        <x:f>ROUND(E234-F234,1)</x:f>
        <x:v>291.6</x:v>
      </x:c>
      <x:c r="K234" s="22" t="str">
        <x:v>IM2612</x:v>
      </x:c>
    </x:row>
    <x:row r="235">
      <x:c r="A235" s="22" t="n">
        <x:v>5</x:v>
      </x:c>
      <x:c r="B235" s="22" t="str">
        <x:v>周三</x:v>
      </x:c>
      <x:c r="C235" s="22" t="str">
        <x:v>10月14日</x:v>
      </x:c>
      <x:c r="D235" s="23" t="n">
        <x:v>6895</x:v>
      </x:c>
      <x:c r="E235" s="23" t="n">
        <x:v>6925.2</x:v>
      </x:c>
      <x:c r="F235" s="23" t="n">
        <x:v>6761</x:v>
      </x:c>
      <x:c r="G235" s="23" t="n">
        <x:v>6805.8</x:v>
      </x:c>
      <x:c r="H235" s="23" t="n">
        <x:v>-96</x:v>
      </x:c>
      <x:c r="I235" s="24" t="n">
        <x:v>-0.013909414935234232</x:v>
      </x:c>
      <x:c r="J235" s="23" t="n">
        <x:f>ROUND(E235-F235,1)</x:f>
        <x:v>164.2</x:v>
      </x:c>
      <x:c r="K235" s="22" t="str">
        <x:v>IM2612</x:v>
      </x:c>
    </x:row>
    <x:row r="236">
      <x:c r="A236" s="22" t="n">
        <x:v>6</x:v>
      </x:c>
      <x:c r="B236" s="22" t="str">
        <x:v>周四</x:v>
      </x:c>
      <x:c r="C236" s="22" t="str">
        <x:v>10月15日</x:v>
      </x:c>
      <x:c r="D236" s="23" t="n">
        <x:v>6627</x:v>
      </x:c>
      <x:c r="E236" s="23" t="n">
        <x:v>6706.6</x:v>
      </x:c>
      <x:c r="F236" s="23" t="n">
        <x:v>6532.4</x:v>
      </x:c>
      <x:c r="G236" s="23" t="n">
        <x:v>6553.6</x:v>
      </x:c>
      <x:c r="H236" s="28" t="n">
        <x:v>-252.2</x:v>
      </x:c>
      <x:c r="I236" s="24" t="n">
        <x:v>-0.037056628170090145</x:v>
      </x:c>
      <x:c r="J236" s="23" t="n">
        <x:f>ROUND(E236-F236,1)</x:f>
        <x:v>174.2</x:v>
      </x:c>
      <x:c r="K236" s="22" t="str">
        <x:v>IM2612</x:v>
      </x:c>
    </x:row>
    <x:row r="237">
      <x:c r="A237" s="41" t="n">
        <x:v>7</x:v>
      </x:c>
      <x:c r="B237" s="41" t="str">
        <x:v>周五</x:v>
      </x:c>
      <x:c r="C237" s="41" t="str">
        <x:v>10月16日</x:v>
      </x:c>
      <x:c r="D237" s="42" t="n">
        <x:v>6652</x:v>
      </x:c>
      <x:c r="E237" s="42" t="n">
        <x:v>6748</x:v>
      </x:c>
      <x:c r="F237" s="42" t="n">
        <x:v>6519.6</x:v>
      </x:c>
      <x:c r="G237" s="42" t="n">
        <x:v>6583.6</x:v>
      </x:c>
      <x:c r="H237" s="42" t="n">
        <x:v>30</x:v>
      </x:c>
      <x:c r="I237" s="43" t="n">
        <x:v>0.00457763671875</x:v>
      </x:c>
      <x:c r="J237" s="26" t="n">
        <x:f>ROUND(E237-F237,1)</x:f>
        <x:v>228.4</x:v>
      </x:c>
      <x:c r="K237" s="41" t="str">
        <x:v>IM2612</x:v>
      </x:c>
    </x:row>
    <x:row r="238">
      <x:c r="A238" s="31" t="str">
        <x:v>合计</x:v>
      </x:c>
      <x:c r="B238" s="30" t="n">
        <x:v>7</x:v>
      </x:c>
      <x:c r="C238" s="30"/>
      <x:c r="D238" s="30"/>
      <x:c r="E238" s="30"/>
      <x:c r="F238" s="30"/>
      <x:c r="G238" s="30"/>
      <x:c r="H238" s="30"/>
      <x:c r="I238" s="30"/>
      <x:c r="J238" s="32" t="n">
        <x:f>ROUND(SUM(J231:J237),1)</x:f>
        <x:v>1536.4</x:v>
      </x:c>
      <x:c r="K238" s="30"/>
    </x:row>
    <x:row r="239">
      <x:c r="A239" s="31" t="str">
        <x:v>均值</x:v>
      </x:c>
      <x:c r="B239" s="30"/>
      <x:c r="C239" s="30"/>
      <x:c r="D239" s="30"/>
      <x:c r="E239" s="30"/>
      <x:c r="F239" s="30"/>
      <x:c r="G239" s="30"/>
      <x:c r="H239" s="30"/>
      <x:c r="I239" s="30"/>
      <x:c r="J239" s="34" t="n">
        <x:f>ROUND(IFERROR(AVERAGE(J231:J237),0),1)</x:f>
        <x:v>219.5</x:v>
      </x:c>
      <x:c r="K239" s="30"/>
    </x:row>
  </x:sheetData>
  <x:mergeCells>
    <x:mergeCell ref="A1:K1"/>
    <x:mergeCell ref="A3:K3"/>
    <x:mergeCell ref="A28:K28"/>
    <x:mergeCell ref="A47:K47"/>
    <x:mergeCell ref="A74:K74"/>
    <x:mergeCell ref="A100:K100"/>
    <x:mergeCell ref="A123:K123"/>
    <x:mergeCell ref="A149:K149"/>
    <x:mergeCell ref="A177:K177"/>
    <x:mergeCell ref="A203:K203"/>
    <x:mergeCell ref="A229:K2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2026年统计 - IC主力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2" t="n">
        <x:v>1</x:v>
      </x:c>
      <x:c r="B5" s="22" t="str">
        <x:v>周一</x:v>
      </x:c>
      <x:c r="C5" s="22" t="str">
        <x:v>1月5日</x:v>
      </x:c>
      <x:c r="D5" s="23" t="n">
        <x:v>7424.4</x:v>
      </x:c>
      <x:c r="E5" s="23" t="n">
        <x:v>7599.2</x:v>
      </x:c>
      <x:c r="F5" s="23" t="n">
        <x:v>7422</x:v>
      </x:c>
      <x:c r="G5" s="23" t="n">
        <x:v>7596</x:v>
      </x:c>
      <x:c r="H5" s="28" t="n">
        <x:v>233.2</x:v>
      </x:c>
      <x:c r="I5" s="24" t="n">
        <x:v>0.031672733199326286</x:v>
      </x:c>
      <x:c r="J5" s="26" t="n">
        <x:f>ROUND(E5-F5,1)</x:f>
        <x:v>177.2</x:v>
      </x:c>
      <x:c r="K5" s="22" t="str">
        <x:v>IC2603</x:v>
      </x:c>
    </x:row>
    <x:row r="6">
      <x:c r="A6" s="22" t="n">
        <x:v>2</x:v>
      </x:c>
      <x:c r="B6" s="22" t="str">
        <x:v>周二</x:v>
      </x:c>
      <x:c r="C6" s="22" t="str">
        <x:v>1月6日</x:v>
      </x:c>
      <x:c r="D6" s="23" t="n">
        <x:v>7630</x:v>
      </x:c>
      <x:c r="E6" s="23" t="n">
        <x:v>7786.4</x:v>
      </x:c>
      <x:c r="F6" s="23" t="n">
        <x:v>7616</x:v>
      </x:c>
      <x:c r="G6" s="23" t="n">
        <x:v>7786.4</x:v>
      </x:c>
      <x:c r="H6" s="28" t="n">
        <x:v>190.4</x:v>
      </x:c>
      <x:c r="I6" s="24" t="n">
        <x:v>0.02506582411795688</x:v>
      </x:c>
      <x:c r="J6" s="26" t="n">
        <x:f>ROUND(E6-F6,1)</x:f>
        <x:v>170.4</x:v>
      </x:c>
      <x:c r="K6" s="22" t="str">
        <x:v>IC2603</x:v>
      </x:c>
    </x:row>
    <x:row r="7">
      <x:c r="A7" s="22" t="n">
        <x:v>3</x:v>
      </x:c>
      <x:c r="B7" s="22" t="str">
        <x:v>周三</x:v>
      </x:c>
      <x:c r="C7" s="22" t="str">
        <x:v>1月7日</x:v>
      </x:c>
      <x:c r="D7" s="23" t="n">
        <x:v>7804</x:v>
      </x:c>
      <x:c r="E7" s="23" t="n">
        <x:v>7845.6</x:v>
      </x:c>
      <x:c r="F7" s="23" t="n">
        <x:v>7770</x:v>
      </x:c>
      <x:c r="G7" s="23" t="n">
        <x:v>7802.6</x:v>
      </x:c>
      <x:c r="H7" s="23" t="n">
        <x:v>16.2</x:v>
      </x:c>
      <x:c r="I7" s="24" t="n">
        <x:v>0.0020805507037913173</x:v>
      </x:c>
      <x:c r="J7" s="23" t="n">
        <x:f>ROUND(E7-F7,1)</x:f>
        <x:v>75.6</x:v>
      </x:c>
      <x:c r="K7" s="22" t="str">
        <x:v>IC2603</x:v>
      </x:c>
    </x:row>
    <x:row r="8">
      <x:c r="A8" s="22" t="n">
        <x:v>4</x:v>
      </x:c>
      <x:c r="B8" s="22" t="str">
        <x:v>周四</x:v>
      </x:c>
      <x:c r="C8" s="22" t="str">
        <x:v>1月8日</x:v>
      </x:c>
      <x:c r="D8" s="23" t="n">
        <x:v>7786</x:v>
      </x:c>
      <x:c r="E8" s="23" t="n">
        <x:v>7883.8</x:v>
      </x:c>
      <x:c r="F8" s="23" t="n">
        <x:v>7774.6</x:v>
      </x:c>
      <x:c r="G8" s="23" t="n">
        <x:v>7814.4</x:v>
      </x:c>
      <x:c r="H8" s="23" t="n">
        <x:v>11.8</x:v>
      </x:c>
      <x:c r="I8" s="24" t="n">
        <x:v>0.0015123164073513884</x:v>
      </x:c>
      <x:c r="J8" s="23" t="n">
        <x:f>ROUND(E8-F8,1)</x:f>
        <x:v>109.2</x:v>
      </x:c>
      <x:c r="K8" s="22" t="str">
        <x:v>IC2603</x:v>
      </x:c>
    </x:row>
    <x:row r="9">
      <x:c r="A9" s="22" t="n">
        <x:v>5</x:v>
      </x:c>
      <x:c r="B9" s="22" t="str">
        <x:v>周五</x:v>
      </x:c>
      <x:c r="C9" s="22" t="str">
        <x:v>1月9日</x:v>
      </x:c>
      <x:c r="D9" s="23" t="n">
        <x:v>7822</x:v>
      </x:c>
      <x:c r="E9" s="23" t="n">
        <x:v>8037.8</x:v>
      </x:c>
      <x:c r="F9" s="23" t="n">
        <x:v>7822</x:v>
      </x:c>
      <x:c r="G9" s="23" t="n">
        <x:v>8037.8</x:v>
      </x:c>
      <x:c r="H9" s="28" t="n">
        <x:v>223.4</x:v>
      </x:c>
      <x:c r="I9" s="24" t="n">
        <x:v>0.028588247338247497</x:v>
      </x:c>
      <x:c r="J9" s="26" t="n">
        <x:f>ROUND(E9-F9,1)</x:f>
        <x:v>215.8</x:v>
      </x:c>
      <x:c r="K9" s="22" t="str">
        <x:v>IC2603</x:v>
      </x:c>
    </x:row>
    <x:row r="10">
      <x:c r="A10" s="22" t="n">
        <x:v>6</x:v>
      </x:c>
      <x:c r="B10" s="22" t="str">
        <x:v>周一</x:v>
      </x:c>
      <x:c r="C10" s="22" t="str">
        <x:v>1月12日</x:v>
      </x:c>
      <x:c r="D10" s="23" t="n">
        <x:v>8099</x:v>
      </x:c>
      <x:c r="E10" s="23" t="n">
        <x:v>8268</x:v>
      </x:c>
      <x:c r="F10" s="23" t="n">
        <x:v>8044</x:v>
      </x:c>
      <x:c r="G10" s="23" t="n">
        <x:v>8236.6</x:v>
      </x:c>
      <x:c r="H10" s="28" t="n">
        <x:v>198.8</x:v>
      </x:c>
      <x:c r="I10" s="24" t="n">
        <x:v>0.024733135932717865</x:v>
      </x:c>
      <x:c r="J10" s="26" t="n">
        <x:f>ROUND(E10-F10,1)</x:f>
        <x:v>224</x:v>
      </x:c>
      <x:c r="K10" s="22" t="str">
        <x:v>IC2603</x:v>
      </x:c>
    </x:row>
    <x:row r="11">
      <x:c r="A11" s="22" t="n">
        <x:v>7</x:v>
      </x:c>
      <x:c r="B11" s="22" t="str">
        <x:v>周二</x:v>
      </x:c>
      <x:c r="C11" s="22" t="str">
        <x:v>1月13日</x:v>
      </x:c>
      <x:c r="D11" s="23" t="n">
        <x:v>8260.6</x:v>
      </x:c>
      <x:c r="E11" s="23" t="n">
        <x:v>8265</x:v>
      </x:c>
      <x:c r="F11" s="23" t="n">
        <x:v>8078</x:v>
      </x:c>
      <x:c r="G11" s="23" t="n">
        <x:v>8131.2</x:v>
      </x:c>
      <x:c r="H11" s="23" t="n">
        <x:v>-105.4</x:v>
      </x:c>
      <x:c r="I11" s="24" t="n">
        <x:v>-0.012796542262584087</x:v>
      </x:c>
      <x:c r="J11" s="26" t="n">
        <x:f>ROUND(E11-F11,1)</x:f>
        <x:v>187</x:v>
      </x:c>
      <x:c r="K11" s="22" t="str">
        <x:v>IC2603</x:v>
      </x:c>
    </x:row>
    <x:row r="12">
      <x:c r="A12" s="22" t="n">
        <x:v>8</x:v>
      </x:c>
      <x:c r="B12" s="22" t="str">
        <x:v>周三</x:v>
      </x:c>
      <x:c r="C12" s="22" t="str">
        <x:v>1月14日</x:v>
      </x:c>
      <x:c r="D12" s="23" t="n">
        <x:v>8168</x:v>
      </x:c>
      <x:c r="E12" s="23" t="n">
        <x:v>8388.6</x:v>
      </x:c>
      <x:c r="F12" s="23" t="n">
        <x:v>8059.4</x:v>
      </x:c>
      <x:c r="G12" s="23" t="n">
        <x:v>8197.8</x:v>
      </x:c>
      <x:c r="H12" s="23" t="n">
        <x:v>66.6</x:v>
      </x:c>
      <x:c r="I12" s="24" t="n">
        <x:v>0.008190672963400258</x:v>
      </x:c>
      <x:c r="J12" s="26" t="n">
        <x:f>ROUND(E12-F12,1)</x:f>
        <x:v>329.2</x:v>
      </x:c>
      <x:c r="K12" s="22" t="str">
        <x:v>IC2603</x:v>
      </x:c>
    </x:row>
    <x:row r="13">
      <x:c r="A13" s="22" t="n">
        <x:v>9</x:v>
      </x:c>
      <x:c r="B13" s="22" t="str">
        <x:v>周四</x:v>
      </x:c>
      <x:c r="C13" s="22" t="str">
        <x:v>1月15日</x:v>
      </x:c>
      <x:c r="D13" s="23" t="n">
        <x:v>8130</x:v>
      </x:c>
      <x:c r="E13" s="23" t="n">
        <x:v>8239.2</x:v>
      </x:c>
      <x:c r="F13" s="23" t="n">
        <x:v>8115</x:v>
      </x:c>
      <x:c r="G13" s="23" t="n">
        <x:v>8206.8</x:v>
      </x:c>
      <x:c r="H13" s="23" t="n">
        <x:v>9</x:v>
      </x:c>
      <x:c r="I13" s="24" t="n">
        <x:v>0.001097855522213198</x:v>
      </x:c>
      <x:c r="J13" s="23" t="n">
        <x:f>ROUND(E13-F13,1)</x:f>
        <x:v>124.2</x:v>
      </x:c>
      <x:c r="K13" s="22" t="str">
        <x:v>IC2603</x:v>
      </x:c>
    </x:row>
    <x:row r="14">
      <x:c r="A14" s="41" t="n">
        <x:v>10</x:v>
      </x:c>
      <x:c r="B14" s="41" t="str">
        <x:v>周五</x:v>
      </x:c>
      <x:c r="C14" s="41" t="str">
        <x:v>1月16日</x:v>
      </x:c>
      <x:c r="D14" s="42" t="n">
        <x:v>8277.8</x:v>
      </x:c>
      <x:c r="E14" s="42" t="n">
        <x:v>8280.2</x:v>
      </x:c>
      <x:c r="F14" s="42" t="n">
        <x:v>8162.4</x:v>
      </x:c>
      <x:c r="G14" s="42" t="n">
        <x:v>8210.4</x:v>
      </x:c>
      <x:c r="H14" s="42" t="n">
        <x:v>3.6</x:v>
      </x:c>
      <x:c r="I14" s="43" t="n">
        <x:v>0.0004386606228981016</x:v>
      </x:c>
      <x:c r="J14" s="42" t="n">
        <x:f>ROUND(E14-F14,1)</x:f>
        <x:v>117.8</x:v>
      </x:c>
      <x:c r="K14" s="41" t="str">
        <x:v>IC2603</x:v>
      </x:c>
    </x:row>
    <x:row r="15">
      <x:c r="A15" s="22" t="n">
        <x:v>11</x:v>
      </x:c>
      <x:c r="B15" s="22" t="str">
        <x:v>周一</x:v>
      </x:c>
      <x:c r="C15" s="22" t="str">
        <x:v>1月19日</x:v>
      </x:c>
      <x:c r="D15" s="23" t="n">
        <x:v>8182.6</x:v>
      </x:c>
      <x:c r="E15" s="23" t="n">
        <x:v>8324.8</x:v>
      </x:c>
      <x:c r="F15" s="23" t="n">
        <x:v>8172.2</x:v>
      </x:c>
      <x:c r="G15" s="23" t="n">
        <x:v>8266</x:v>
      </x:c>
      <x:c r="H15" s="23" t="n">
        <x:v>55.6</x:v>
      </x:c>
      <x:c r="I15" s="24" t="n">
        <x:v>0.006771899054857311</x:v>
      </x:c>
      <x:c r="J15" s="26" t="n">
        <x:f>ROUND(E15-F15,1)</x:f>
        <x:v>152.6</x:v>
      </x:c>
      <x:c r="K15" s="22" t="str">
        <x:v>IC2603</x:v>
      </x:c>
    </x:row>
    <x:row r="16">
      <x:c r="A16" s="22" t="n">
        <x:v>12</x:v>
      </x:c>
      <x:c r="B16" s="22" t="str">
        <x:v>周二</x:v>
      </x:c>
      <x:c r="C16" s="22" t="str">
        <x:v>1月20日</x:v>
      </x:c>
      <x:c r="D16" s="23" t="n">
        <x:v>8289</x:v>
      </x:c>
      <x:c r="E16" s="23" t="n">
        <x:v>8348</x:v>
      </x:c>
      <x:c r="F16" s="23" t="n">
        <x:v>8112</x:v>
      </x:c>
      <x:c r="G16" s="23" t="n">
        <x:v>8248.8</x:v>
      </x:c>
      <x:c r="H16" s="23" t="n">
        <x:v>-17.2</x:v>
      </x:c>
      <x:c r="I16" s="24" t="n">
        <x:v>-0.002080812968787926</x:v>
      </x:c>
      <x:c r="J16" s="26" t="n">
        <x:f>ROUND(E16-F16,1)</x:f>
        <x:v>236</x:v>
      </x:c>
      <x:c r="K16" s="22" t="str">
        <x:v>IC2603</x:v>
      </x:c>
    </x:row>
    <x:row r="17">
      <x:c r="A17" s="22" t="n">
        <x:v>13</x:v>
      </x:c>
      <x:c r="B17" s="22" t="str">
        <x:v>周三</x:v>
      </x:c>
      <x:c r="C17" s="22" t="str">
        <x:v>1月21日</x:v>
      </x:c>
      <x:c r="D17" s="23" t="n">
        <x:v>8216.6</x:v>
      </x:c>
      <x:c r="E17" s="23" t="n">
        <x:v>8372</x:v>
      </x:c>
      <x:c r="F17" s="23" t="n">
        <x:v>8205</x:v>
      </x:c>
      <x:c r="G17" s="23" t="n">
        <x:v>8371</x:v>
      </x:c>
      <x:c r="H17" s="23" t="n">
        <x:v>122.2</x:v>
      </x:c>
      <x:c r="I17" s="24" t="n">
        <x:v>0.014814276015905348</x:v>
      </x:c>
      <x:c r="J17" s="26" t="n">
        <x:f>ROUND(E17-F17,1)</x:f>
        <x:v>167</x:v>
      </x:c>
      <x:c r="K17" s="22" t="str">
        <x:v>IC2603</x:v>
      </x:c>
    </x:row>
    <x:row r="18">
      <x:c r="A18" s="22" t="n">
        <x:v>14</x:v>
      </x:c>
      <x:c r="B18" s="22" t="str">
        <x:v>周四</x:v>
      </x:c>
      <x:c r="C18" s="22" t="str">
        <x:v>1月22日</x:v>
      </x:c>
      <x:c r="D18" s="23" t="n">
        <x:v>8405</x:v>
      </x:c>
      <x:c r="E18" s="23" t="n">
        <x:v>8434</x:v>
      </x:c>
      <x:c r="F18" s="23" t="n">
        <x:v>8333.6</x:v>
      </x:c>
      <x:c r="G18" s="23" t="n">
        <x:v>8400</x:v>
      </x:c>
      <x:c r="H18" s="23" t="n">
        <x:v>29</x:v>
      </x:c>
      <x:c r="I18" s="24" t="n">
        <x:v>0.0034643411778760846</x:v>
      </x:c>
      <x:c r="J18" s="23" t="n">
        <x:f>ROUND(E18-F18,1)</x:f>
        <x:v>100.4</x:v>
      </x:c>
      <x:c r="K18" s="22" t="str">
        <x:v>IC2603</x:v>
      </x:c>
    </x:row>
    <x:row r="19">
      <x:c r="A19" s="22" t="n">
        <x:v>15</x:v>
      </x:c>
      <x:c r="B19" s="22" t="str">
        <x:v>周五</x:v>
      </x:c>
      <x:c r="C19" s="22" t="str">
        <x:v>1月23日</x:v>
      </x:c>
      <x:c r="D19" s="23" t="n">
        <x:v>8440</x:v>
      </x:c>
      <x:c r="E19" s="23" t="n">
        <x:v>8660</x:v>
      </x:c>
      <x:c r="F19" s="23" t="n">
        <x:v>8427</x:v>
      </x:c>
      <x:c r="G19" s="23" t="n">
        <x:v>8658.2</x:v>
      </x:c>
      <x:c r="H19" s="28" t="n">
        <x:v>258.2</x:v>
      </x:c>
      <x:c r="I19" s="24" t="n">
        <x:v>0.030738095238095342</x:v>
      </x:c>
      <x:c r="J19" s="26" t="n">
        <x:f>ROUND(E19-F19,1)</x:f>
        <x:v>233</x:v>
      </x:c>
      <x:c r="K19" s="22" t="str">
        <x:v>IC2603</x:v>
      </x:c>
    </x:row>
    <x:row r="20">
      <x:c r="A20" s="22" t="n">
        <x:v>16</x:v>
      </x:c>
      <x:c r="B20" s="22" t="str">
        <x:v>周一</x:v>
      </x:c>
      <x:c r="C20" s="22" t="str">
        <x:v>1月26日</x:v>
      </x:c>
      <x:c r="D20" s="23" t="n">
        <x:v>8695</x:v>
      </x:c>
      <x:c r="E20" s="23" t="n">
        <x:v>8728.2</x:v>
      </x:c>
      <x:c r="F20" s="23" t="n">
        <x:v>8428.2</x:v>
      </x:c>
      <x:c r="G20" s="23" t="n">
        <x:v>8470</x:v>
      </x:c>
      <x:c r="H20" s="28" t="n">
        <x:v>-188.2</x:v>
      </x:c>
      <x:c r="I20" s="24" t="n">
        <x:v>-0.0217366196207065</x:v>
      </x:c>
      <x:c r="J20" s="26" t="n">
        <x:f>ROUND(E20-F20,1)</x:f>
        <x:v>300</x:v>
      </x:c>
      <x:c r="K20" s="22" t="str">
        <x:v>IC2603</x:v>
      </x:c>
    </x:row>
    <x:row r="21">
      <x:c r="A21" s="22" t="n">
        <x:v>17</x:v>
      </x:c>
      <x:c r="B21" s="22" t="str">
        <x:v>周二</x:v>
      </x:c>
      <x:c r="C21" s="22" t="str">
        <x:v>1月27日</x:v>
      </x:c>
      <x:c r="D21" s="23" t="n">
        <x:v>8461</x:v>
      </x:c>
      <x:c r="E21" s="23" t="n">
        <x:v>8604.6</x:v>
      </x:c>
      <x:c r="F21" s="23" t="n">
        <x:v>8346</x:v>
      </x:c>
      <x:c r="G21" s="23" t="n">
        <x:v>8547.6</x:v>
      </x:c>
      <x:c r="H21" s="23" t="n">
        <x:v>77.6</x:v>
      </x:c>
      <x:c r="I21" s="24" t="n">
        <x:v>0.009161747343565674</x:v>
      </x:c>
      <x:c r="J21" s="26" t="n">
        <x:f>ROUND(E21-F21,1)</x:f>
        <x:v>258.6</x:v>
      </x:c>
      <x:c r="K21" s="22" t="str">
        <x:v>IC2603</x:v>
      </x:c>
    </x:row>
    <x:row r="22">
      <x:c r="A22" s="22" t="n">
        <x:v>18</x:v>
      </x:c>
      <x:c r="B22" s="22" t="str">
        <x:v>周三</x:v>
      </x:c>
      <x:c r="C22" s="22" t="str">
        <x:v>1月28日</x:v>
      </x:c>
      <x:c r="D22" s="23" t="n">
        <x:v>8564.2</x:v>
      </x:c>
      <x:c r="E22" s="23" t="n">
        <x:v>8658</x:v>
      </x:c>
      <x:c r="F22" s="23" t="n">
        <x:v>8515.2</x:v>
      </x:c>
      <x:c r="G22" s="23" t="n">
        <x:v>8622</x:v>
      </x:c>
      <x:c r="H22" s="23" t="n">
        <x:v>74.4</x:v>
      </x:c>
      <x:c r="I22" s="24" t="n">
        <x:v>0.00870419766952124</x:v>
      </x:c>
      <x:c r="J22" s="23" t="n">
        <x:f>ROUND(E22-F22,1)</x:f>
        <x:v>142.8</x:v>
      </x:c>
      <x:c r="K22" s="22" t="str">
        <x:v>IC2603</x:v>
      </x:c>
    </x:row>
    <x:row r="23">
      <x:c r="A23" s="22" t="n">
        <x:v>19</x:v>
      </x:c>
      <x:c r="B23" s="22" t="str">
        <x:v>周四</x:v>
      </x:c>
      <x:c r="C23" s="22" t="str">
        <x:v>1月29日</x:v>
      </x:c>
      <x:c r="D23" s="23" t="n">
        <x:v>8615</x:v>
      </x:c>
      <x:c r="E23" s="23" t="n">
        <x:v>8700</x:v>
      </x:c>
      <x:c r="F23" s="23" t="n">
        <x:v>8488.2</x:v>
      </x:c>
      <x:c r="G23" s="23" t="n">
        <x:v>8517.6</x:v>
      </x:c>
      <x:c r="H23" s="23" t="n">
        <x:v>-104.4</x:v>
      </x:c>
      <x:c r="I23" s="24" t="n">
        <x:v>-0.012108559498956062</x:v>
      </x:c>
      <x:c r="J23" s="26" t="n">
        <x:f>ROUND(E23-F23,1)</x:f>
        <x:v>211.8</x:v>
      </x:c>
      <x:c r="K23" s="22" t="str">
        <x:v>IC2603</x:v>
      </x:c>
    </x:row>
    <x:row r="24">
      <x:c r="A24" s="22" t="n">
        <x:v>20</x:v>
      </x:c>
      <x:c r="B24" s="22" t="str">
        <x:v>周五</x:v>
      </x:c>
      <x:c r="C24" s="22" t="str">
        <x:v>1月30日</x:v>
      </x:c>
      <x:c r="D24" s="23" t="n">
        <x:v>8469.2</x:v>
      </x:c>
      <x:c r="E24" s="23" t="n">
        <x:v>8535</x:v>
      </x:c>
      <x:c r="F24" s="23" t="n">
        <x:v>8135</x:v>
      </x:c>
      <x:c r="G24" s="23" t="n">
        <x:v>8362.4</x:v>
      </x:c>
      <x:c r="H24" s="28" t="n">
        <x:v>-155.2</x:v>
      </x:c>
      <x:c r="I24" s="24" t="n">
        <x:v>-0.01822109514417214</x:v>
      </x:c>
      <x:c r="J24" s="26" t="n">
        <x:f>ROUND(E24-F24,1)</x:f>
        <x:v>400</x:v>
      </x:c>
      <x:c r="K24" s="22" t="str">
        <x:v>IC2603</x:v>
      </x:c>
    </x:row>
    <x:row r="25">
      <x:c r="A25" s="31" t="str">
        <x:v>合计</x:v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2" t="n">
        <x:f>ROUND(SUM(J5:J24),1)</x:f>
        <x:v>3932.6</x:v>
      </x:c>
      <x:c r="K25" s="30"/>
    </x:row>
    <x:row r="26">
      <x:c r="A26" s="31" t="str">
        <x:v>均值</x:v>
      </x:c>
      <x:c r="B26" s="30"/>
      <x:c r="C26" s="30"/>
      <x:c r="D26" s="30"/>
      <x:c r="E26" s="30"/>
      <x:c r="F26" s="30"/>
      <x:c r="G26" s="30"/>
      <x:c r="H26" s="30"/>
      <x:c r="I26" s="30"/>
      <x:c r="J26" s="34" t="n">
        <x:f>ROUND(IFERROR(AVERAGE(J5:J24),0),1)</x:f>
        <x:v>196.6</x:v>
      </x:c>
      <x:c r="K26" s="30"/>
    </x:row>
    <x:row r="28">
      <x:c r="A28" s="17" t="str">
        <x:v>2月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20" t="str">
        <x:v>序号</x:v>
      </x:c>
      <x:c r="B29" s="20" t="str">
        <x:v>星期</x:v>
      </x:c>
      <x:c r="C29" s="20" t="str">
        <x:v>日期</x:v>
      </x:c>
      <x:c r="D29" s="20" t="str">
        <x:v>开盘</x:v>
      </x:c>
      <x:c r="E29" s="20" t="str">
        <x:v>高点</x:v>
      </x:c>
      <x:c r="F29" s="20" t="str">
        <x:v>低点</x:v>
      </x:c>
      <x:c r="G29" s="20" t="str">
        <x:v>收盘</x:v>
      </x:c>
      <x:c r="H29" s="20" t="str">
        <x:v>涨跌点数</x:v>
      </x:c>
      <x:c r="I29" s="20" t="str">
        <x:v>涨幅</x:v>
      </x:c>
      <x:c r="J29" s="20" t="str">
        <x:v>振幅</x:v>
      </x:c>
      <x:c r="K29" s="20" t="str">
        <x:v>标的</x:v>
      </x:c>
    </x:row>
    <x:row r="30">
      <x:c r="A30" s="22" t="n">
        <x:v>1</x:v>
      </x:c>
      <x:c r="B30" s="22" t="str">
        <x:v>周一</x:v>
      </x:c>
      <x:c r="C30" s="22" t="str">
        <x:v>2月2日</x:v>
      </x:c>
      <x:c r="D30" s="23" t="n">
        <x:v>8262.2</x:v>
      </x:c>
      <x:c r="E30" s="23" t="n">
        <x:v>8334.4</x:v>
      </x:c>
      <x:c r="F30" s="23" t="n">
        <x:v>7832</x:v>
      </x:c>
      <x:c r="G30" s="23" t="n">
        <x:v>7903.2</x:v>
      </x:c>
      <x:c r="H30" s="28" t="n">
        <x:v>-459.2</x:v>
      </x:c>
      <x:c r="I30" s="24" t="n">
        <x:v>-0.0549124653209605</x:v>
      </x:c>
      <x:c r="J30" s="26" t="n">
        <x:f>ROUND(E30-F30,1)</x:f>
        <x:v>502.4</x:v>
      </x:c>
      <x:c r="K30" s="22" t="str">
        <x:v>IC2603</x:v>
      </x:c>
    </x:row>
    <x:row r="31">
      <x:c r="A31" s="22" t="n">
        <x:v>2</x:v>
      </x:c>
      <x:c r="B31" s="22" t="str">
        <x:v>周二</x:v>
      </x:c>
      <x:c r="C31" s="22" t="str">
        <x:v>2月3日</x:v>
      </x:c>
      <x:c r="D31" s="23" t="n">
        <x:v>8100</x:v>
      </x:c>
      <x:c r="E31" s="23" t="n">
        <x:v>8296.8</x:v>
      </x:c>
      <x:c r="F31" s="23" t="n">
        <x:v>8011.2</x:v>
      </x:c>
      <x:c r="G31" s="23" t="n">
        <x:v>8282</x:v>
      </x:c>
      <x:c r="H31" s="28" t="n">
        <x:v>378.8</x:v>
      </x:c>
      <x:c r="I31" s="24" t="n">
        <x:v>0.0479299524243344</x:v>
      </x:c>
      <x:c r="J31" s="26" t="n">
        <x:f>ROUND(E31-F31,1)</x:f>
        <x:v>285.6</x:v>
      </x:c>
      <x:c r="K31" s="22" t="str">
        <x:v>IC2603</x:v>
      </x:c>
    </x:row>
    <x:row r="32">
      <x:c r="A32" s="22" t="n">
        <x:v>3</x:v>
      </x:c>
      <x:c r="B32" s="22" t="str">
        <x:v>周三</x:v>
      </x:c>
      <x:c r="C32" s="22" t="str">
        <x:v>2月4日</x:v>
      </x:c>
      <x:c r="D32" s="23" t="n">
        <x:v>8245</x:v>
      </x:c>
      <x:c r="E32" s="23" t="n">
        <x:v>8317.8</x:v>
      </x:c>
      <x:c r="F32" s="23" t="n">
        <x:v>8133.6</x:v>
      </x:c>
      <x:c r="G32" s="23" t="n">
        <x:v>8313.6</x:v>
      </x:c>
      <x:c r="H32" s="23" t="n">
        <x:v>31.6</x:v>
      </x:c>
      <x:c r="I32" s="24" t="n">
        <x:v>0.0038155035015696726</x:v>
      </x:c>
      <x:c r="J32" s="26" t="n">
        <x:f>ROUND(E32-F32,1)</x:f>
        <x:v>184.2</x:v>
      </x:c>
      <x:c r="K32" s="22" t="str">
        <x:v>IC2603</x:v>
      </x:c>
    </x:row>
    <x:row r="33">
      <x:c r="A33" s="22" t="n">
        <x:v>4</x:v>
      </x:c>
      <x:c r="B33" s="22" t="str">
        <x:v>周四</x:v>
      </x:c>
      <x:c r="C33" s="22" t="str">
        <x:v>2月5日</x:v>
      </x:c>
      <x:c r="D33" s="23" t="n">
        <x:v>8221</x:v>
      </x:c>
      <x:c r="E33" s="23" t="n">
        <x:v>8229</x:v>
      </x:c>
      <x:c r="F33" s="23" t="n">
        <x:v>8030</x:v>
      </x:c>
      <x:c r="G33" s="23" t="n">
        <x:v>8120.2</x:v>
      </x:c>
      <x:c r="H33" s="28" t="n">
        <x:v>-193.4</x:v>
      </x:c>
      <x:c r="I33" s="24" t="n">
        <x:v>-0.023263086989992354</x:v>
      </x:c>
      <x:c r="J33" s="26" t="n">
        <x:f>ROUND(E33-F33,1)</x:f>
        <x:v>199</x:v>
      </x:c>
      <x:c r="K33" s="22" t="str">
        <x:v>IC2603</x:v>
      </x:c>
    </x:row>
    <x:row r="34">
      <x:c r="A34" s="22" t="n">
        <x:v>5</x:v>
      </x:c>
      <x:c r="B34" s="22" t="str">
        <x:v>周五</x:v>
      </x:c>
      <x:c r="C34" s="22" t="str">
        <x:v>2月6日</x:v>
      </x:c>
      <x:c r="D34" s="23" t="n">
        <x:v>8000</x:v>
      </x:c>
      <x:c r="E34" s="23" t="n">
        <x:v>8249.6</x:v>
      </x:c>
      <x:c r="F34" s="23" t="n">
        <x:v>7950</x:v>
      </x:c>
      <x:c r="G34" s="23" t="n">
        <x:v>8117.4</x:v>
      </x:c>
      <x:c r="H34" s="23" t="n">
        <x:v>-2.8</x:v>
      </x:c>
      <x:c r="I34" s="24" t="n">
        <x:v>-0.0003448190931257811</x:v>
      </x:c>
      <x:c r="J34" s="26" t="n">
        <x:f>ROUND(E34-F34,1)</x:f>
        <x:v>299.6</x:v>
      </x:c>
      <x:c r="K34" s="22" t="str">
        <x:v>IC2603</x:v>
      </x:c>
    </x:row>
    <x:row r="35">
      <x:c r="A35" s="22" t="n">
        <x:v>6</x:v>
      </x:c>
      <x:c r="B35" s="22" t="str">
        <x:v>周一</x:v>
      </x:c>
      <x:c r="C35" s="22" t="str">
        <x:v>2月9日</x:v>
      </x:c>
      <x:c r="D35" s="23" t="n">
        <x:v>8260</x:v>
      </x:c>
      <x:c r="E35" s="23" t="n">
        <x:v>8324</x:v>
      </x:c>
      <x:c r="F35" s="23" t="n">
        <x:v>8220</x:v>
      </x:c>
      <x:c r="G35" s="23" t="n">
        <x:v>8311.6</x:v>
      </x:c>
      <x:c r="H35" s="28" t="n">
        <x:v>194.2</x:v>
      </x:c>
      <x:c r="I35" s="24" t="n">
        <x:v>0.023923916524995814</x:v>
      </x:c>
      <x:c r="J35" s="23" t="n">
        <x:f>ROUND(E35-F35,1)</x:f>
        <x:v>104</x:v>
      </x:c>
      <x:c r="K35" s="22" t="str">
        <x:v>IC2603</x:v>
      </x:c>
    </x:row>
    <x:row r="36">
      <x:c r="A36" s="22" t="n">
        <x:v>7</x:v>
      </x:c>
      <x:c r="B36" s="22" t="str">
        <x:v>周二</x:v>
      </x:c>
      <x:c r="C36" s="22" t="str">
        <x:v>2月10日</x:v>
      </x:c>
      <x:c r="D36" s="23" t="n">
        <x:v>8318</x:v>
      </x:c>
      <x:c r="E36" s="23" t="n">
        <x:v>8329</x:v>
      </x:c>
      <x:c r="F36" s="23" t="n">
        <x:v>8244.8</x:v>
      </x:c>
      <x:c r="G36" s="23" t="n">
        <x:v>8290.8</x:v>
      </x:c>
      <x:c r="H36" s="23" t="n">
        <x:v>-20.8</x:v>
      </x:c>
      <x:c r="I36" s="24" t="n">
        <x:v>-0.002502526589345133</x:v>
      </x:c>
      <x:c r="J36" s="23" t="n">
        <x:f>ROUND(E36-F36,1)</x:f>
        <x:v>84.2</x:v>
      </x:c>
      <x:c r="K36" s="22" t="str">
        <x:v>IC2603</x:v>
      </x:c>
    </x:row>
    <x:row r="37">
      <x:c r="A37" s="22" t="n">
        <x:v>8</x:v>
      </x:c>
      <x:c r="B37" s="22" t="str">
        <x:v>周三</x:v>
      </x:c>
      <x:c r="C37" s="22" t="str">
        <x:v>2月11日</x:v>
      </x:c>
      <x:c r="D37" s="23" t="n">
        <x:v>8290.8</x:v>
      </x:c>
      <x:c r="E37" s="23" t="n">
        <x:v>8384</x:v>
      </x:c>
      <x:c r="F37" s="23" t="n">
        <x:v>8282.8</x:v>
      </x:c>
      <x:c r="G37" s="23" t="n">
        <x:v>8336.4</x:v>
      </x:c>
      <x:c r="H37" s="23" t="n">
        <x:v>45.6</x:v>
      </x:c>
      <x:c r="I37" s="24" t="n">
        <x:v>0.005500072369373221</x:v>
      </x:c>
      <x:c r="J37" s="23" t="n">
        <x:f>ROUND(E37-F37,1)</x:f>
        <x:v>101.2</x:v>
      </x:c>
      <x:c r="K37" s="22" t="str">
        <x:v>IC2603</x:v>
      </x:c>
    </x:row>
    <x:row r="38">
      <x:c r="A38" s="22" t="n">
        <x:v>9</x:v>
      </x:c>
      <x:c r="B38" s="22" t="str">
        <x:v>周四</x:v>
      </x:c>
      <x:c r="C38" s="22" t="str">
        <x:v>2月12日</x:v>
      </x:c>
      <x:c r="D38" s="23" t="n">
        <x:v>8348.2</x:v>
      </x:c>
      <x:c r="E38" s="23" t="n">
        <x:v>8458.8</x:v>
      </x:c>
      <x:c r="F38" s="23" t="n">
        <x:v>8331.2</x:v>
      </x:c>
      <x:c r="G38" s="23" t="n">
        <x:v>8448.8</x:v>
      </x:c>
      <x:c r="H38" s="23" t="n">
        <x:v>112.4</x:v>
      </x:c>
      <x:c r="I38" s="24" t="n">
        <x:v>0.01348303824192687</x:v>
      </x:c>
      <x:c r="J38" s="23" t="n">
        <x:f>ROUND(E38-F38,1)</x:f>
        <x:v>127.6</x:v>
      </x:c>
      <x:c r="K38" s="22" t="str">
        <x:v>IC2603</x:v>
      </x:c>
    </x:row>
    <x:row r="39">
      <x:c r="A39" s="22" t="n">
        <x:v>10</x:v>
      </x:c>
      <x:c r="B39" s="22" t="str">
        <x:v>周五</x:v>
      </x:c>
      <x:c r="C39" s="22" t="str">
        <x:v>2月13日</x:v>
      </x:c>
      <x:c r="D39" s="23" t="n">
        <x:v>8398</x:v>
      </x:c>
      <x:c r="E39" s="23" t="n">
        <x:v>8419</x:v>
      </x:c>
      <x:c r="F39" s="23" t="n">
        <x:v>8250</x:v>
      </x:c>
      <x:c r="G39" s="23" t="n">
        <x:v>8274.8</x:v>
      </x:c>
      <x:c r="H39" s="28" t="n">
        <x:v>-174</x:v>
      </x:c>
      <x:c r="I39" s="24" t="n">
        <x:v>-0.020594640659028496</x:v>
      </x:c>
      <x:c r="J39" s="26" t="n">
        <x:f>ROUND(E39-F39,1)</x:f>
        <x:v>169</x:v>
      </x:c>
      <x:c r="K39" s="22" t="str">
        <x:v>IC2603</x:v>
      </x:c>
    </x:row>
    <x:row r="40">
      <x:c r="A40" s="41" t="n">
        <x:v>11</x:v>
      </x:c>
      <x:c r="B40" s="41" t="str">
        <x:v>周二</x:v>
      </x:c>
      <x:c r="C40" s="41" t="str">
        <x:v>2月24日</x:v>
      </x:c>
      <x:c r="D40" s="42" t="n">
        <x:v>8360</x:v>
      </x:c>
      <x:c r="E40" s="42" t="n">
        <x:v>8455</x:v>
      </x:c>
      <x:c r="F40" s="42" t="n">
        <x:v>8314</x:v>
      </x:c>
      <x:c r="G40" s="42" t="n">
        <x:v>8371.6</x:v>
      </x:c>
      <x:c r="H40" s="42" t="n">
        <x:v>96.8</x:v>
      </x:c>
      <x:c r="I40" s="43" t="n">
        <x:v>0.011698167931551318</x:v>
      </x:c>
      <x:c r="J40" s="42" t="n">
        <x:f>ROUND(E40-F40,1)</x:f>
        <x:v>141</x:v>
      </x:c>
      <x:c r="K40" s="41" t="str">
        <x:v>IC2603</x:v>
      </x:c>
    </x:row>
    <x:row r="41">
      <x:c r="A41" s="22" t="n">
        <x:v>12</x:v>
      </x:c>
      <x:c r="B41" s="22" t="str">
        <x:v>周三</x:v>
      </x:c>
      <x:c r="C41" s="22" t="str">
        <x:v>2月25日</x:v>
      </x:c>
      <x:c r="D41" s="23" t="n">
        <x:v>8411</x:v>
      </x:c>
      <x:c r="E41" s="23" t="n">
        <x:v>8558</x:v>
      </x:c>
      <x:c r="F41" s="23" t="n">
        <x:v>8394</x:v>
      </x:c>
      <x:c r="G41" s="23" t="n">
        <x:v>8529</x:v>
      </x:c>
      <x:c r="H41" s="28" t="n">
        <x:v>157.4</x:v>
      </x:c>
      <x:c r="I41" s="24" t="n">
        <x:v>0.01880166276458506</x:v>
      </x:c>
      <x:c r="J41" s="26" t="n">
        <x:f>ROUND(E41-F41,1)</x:f>
        <x:v>164</x:v>
      </x:c>
      <x:c r="K41" s="22" t="str">
        <x:v>IC2603</x:v>
      </x:c>
    </x:row>
    <x:row r="42">
      <x:c r="A42" s="22" t="n">
        <x:v>13</x:v>
      </x:c>
      <x:c r="B42" s="22" t="str">
        <x:v>周四</x:v>
      </x:c>
      <x:c r="C42" s="22" t="str">
        <x:v>2月26日</x:v>
      </x:c>
      <x:c r="D42" s="23" t="n">
        <x:v>8558.6</x:v>
      </x:c>
      <x:c r="E42" s="23" t="n">
        <x:v>8568</x:v>
      </x:c>
      <x:c r="F42" s="23" t="n">
        <x:v>8477.4</x:v>
      </x:c>
      <x:c r="G42" s="23" t="n">
        <x:v>8537.4</x:v>
      </x:c>
      <x:c r="H42" s="23" t="n">
        <x:v>8.4</x:v>
      </x:c>
      <x:c r="I42" s="24" t="n">
        <x:v>0.0009848751319028182</x:v>
      </x:c>
      <x:c r="J42" s="23" t="n">
        <x:f>ROUND(E42-F42,1)</x:f>
        <x:v>90.6</x:v>
      </x:c>
      <x:c r="K42" s="22" t="str">
        <x:v>IC2603</x:v>
      </x:c>
    </x:row>
    <x:row r="43">
      <x:c r="A43" s="22" t="n">
        <x:v>14</x:v>
      </x:c>
      <x:c r="B43" s="22" t="str">
        <x:v>周五</x:v>
      </x:c>
      <x:c r="C43" s="22" t="str">
        <x:v>2月27日</x:v>
      </x:c>
      <x:c r="D43" s="23" t="n">
        <x:v>8490</x:v>
      </x:c>
      <x:c r="E43" s="23" t="n">
        <x:v>8650</x:v>
      </x:c>
      <x:c r="F43" s="23" t="n">
        <x:v>8484</x:v>
      </x:c>
      <x:c r="G43" s="23" t="n">
        <x:v>8645.4</x:v>
      </x:c>
      <x:c r="H43" s="23" t="n">
        <x:v>108</x:v>
      </x:c>
      <x:c r="I43" s="24" t="n">
        <x:v>0.012650221378874171</x:v>
      </x:c>
      <x:c r="J43" s="26" t="n">
        <x:f>ROUND(E43-F43,1)</x:f>
        <x:v>166</x:v>
      </x:c>
      <x:c r="K43" s="22" t="str">
        <x:v>IC2603</x:v>
      </x:c>
    </x:row>
    <x:row r="44">
      <x:c r="A44" s="31" t="str">
        <x:v>合计</x:v>
      </x:c>
      <x:c r="B44" s="30" t="n">
        <x:v>14</x:v>
      </x:c>
      <x:c r="C44" s="30"/>
      <x:c r="D44" s="30"/>
      <x:c r="E44" s="30"/>
      <x:c r="F44" s="30"/>
      <x:c r="G44" s="30"/>
      <x:c r="H44" s="30"/>
      <x:c r="I44" s="30"/>
      <x:c r="J44" s="32" t="n">
        <x:f>ROUND(SUM(J30:J43),1)</x:f>
        <x:v>2618.4</x:v>
      </x:c>
      <x:c r="K44" s="30"/>
    </x:row>
    <x:row r="45">
      <x:c r="A45" s="31" t="str">
        <x:v>均值</x:v>
      </x:c>
      <x:c r="B45" s="30"/>
      <x:c r="C45" s="30"/>
      <x:c r="D45" s="30"/>
      <x:c r="E45" s="30"/>
      <x:c r="F45" s="30"/>
      <x:c r="G45" s="30"/>
      <x:c r="H45" s="30"/>
      <x:c r="I45" s="30"/>
      <x:c r="J45" s="34" t="n">
        <x:f>ROUND(IFERROR(AVERAGE(J30:J43),0),1)</x:f>
        <x:v>187</x:v>
      </x:c>
      <x:c r="K45" s="30"/>
    </x:row>
    <x:row r="47">
      <x:c r="A47" s="17" t="str">
        <x:v>3月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20" t="str">
        <x:v>序号</x:v>
      </x:c>
      <x:c r="B48" s="20" t="str">
        <x:v>星期</x:v>
      </x:c>
      <x:c r="C48" s="20" t="str">
        <x:v>日期</x:v>
      </x:c>
      <x:c r="D48" s="20" t="str">
        <x:v>开盘</x:v>
      </x:c>
      <x:c r="E48" s="20" t="str">
        <x:v>高点</x:v>
      </x:c>
      <x:c r="F48" s="20" t="str">
        <x:v>低点</x:v>
      </x:c>
      <x:c r="G48" s="20" t="str">
        <x:v>收盘</x:v>
      </x:c>
      <x:c r="H48" s="20" t="str">
        <x:v>涨跌点数</x:v>
      </x:c>
      <x:c r="I48" s="20" t="str">
        <x:v>涨幅</x:v>
      </x:c>
      <x:c r="J48" s="20" t="str">
        <x:v>振幅</x:v>
      </x:c>
      <x:c r="K48" s="20" t="str">
        <x:v>标的</x:v>
      </x:c>
    </x:row>
    <x:row r="49">
      <x:c r="A49" s="22" t="n">
        <x:v>1</x:v>
      </x:c>
      <x:c r="B49" s="22" t="str">
        <x:v>周一</x:v>
      </x:c>
      <x:c r="C49" s="22" t="str">
        <x:v>3月2日</x:v>
      </x:c>
      <x:c r="D49" s="23" t="n">
        <x:v>8600</x:v>
      </x:c>
      <x:c r="E49" s="23" t="n">
        <x:v>8686</x:v>
      </x:c>
      <x:c r="F49" s="23" t="n">
        <x:v>8519.8</x:v>
      </x:c>
      <x:c r="G49" s="23" t="n">
        <x:v>8627</x:v>
      </x:c>
      <x:c r="H49" s="23" t="n">
        <x:v>-18.4</x:v>
      </x:c>
      <x:c r="I49" s="24" t="n">
        <x:v>-0.0021282994424780544</x:v>
      </x:c>
      <x:c r="J49" s="26" t="n">
        <x:f>ROUND(E49-F49,1)</x:f>
        <x:v>166.2</x:v>
      </x:c>
      <x:c r="K49" s="22" t="str">
        <x:v>IC2603</x:v>
      </x:c>
    </x:row>
    <x:row r="50">
      <x:c r="A50" s="22" t="n">
        <x:v>2</x:v>
      </x:c>
      <x:c r="B50" s="22" t="str">
        <x:v>周二</x:v>
      </x:c>
      <x:c r="C50" s="22" t="str">
        <x:v>3月3日</x:v>
      </x:c>
      <x:c r="D50" s="23" t="n">
        <x:v>8641.8</x:v>
      </x:c>
      <x:c r="E50" s="23" t="n">
        <x:v>8642</x:v>
      </x:c>
      <x:c r="F50" s="23" t="n">
        <x:v>8238.8</x:v>
      </x:c>
      <x:c r="G50" s="23" t="n">
        <x:v>8266.2</x:v>
      </x:c>
      <x:c r="H50" s="28" t="n">
        <x:v>-360.8</x:v>
      </x:c>
      <x:c r="I50" s="24" t="n">
        <x:v>-0.04182218615973099</x:v>
      </x:c>
      <x:c r="J50" s="26" t="n">
        <x:f>ROUND(E50-F50,1)</x:f>
        <x:v>403.2</x:v>
      </x:c>
      <x:c r="K50" s="22" t="str">
        <x:v>IC2603</x:v>
      </x:c>
    </x:row>
    <x:row r="51">
      <x:c r="A51" s="22" t="n">
        <x:v>3</x:v>
      </x:c>
      <x:c r="B51" s="22" t="str">
        <x:v>周三</x:v>
      </x:c>
      <x:c r="C51" s="22" t="str">
        <x:v>3月4日</x:v>
      </x:c>
      <x:c r="D51" s="23" t="n">
        <x:v>8253</x:v>
      </x:c>
      <x:c r="E51" s="23" t="n">
        <x:v>8380.4</x:v>
      </x:c>
      <x:c r="F51" s="23" t="n">
        <x:v>8193</x:v>
      </x:c>
      <x:c r="G51" s="23" t="n">
        <x:v>8219.4</x:v>
      </x:c>
      <x:c r="H51" s="23" t="n">
        <x:v>-46.8</x:v>
      </x:c>
      <x:c r="I51" s="24" t="n">
        <x:v>-0.00566160992959297</x:v>
      </x:c>
      <x:c r="J51" s="26" t="n">
        <x:f>ROUND(E51-F51,1)</x:f>
        <x:v>187.4</x:v>
      </x:c>
      <x:c r="K51" s="22" t="str">
        <x:v>IC2603</x:v>
      </x:c>
    </x:row>
    <x:row r="52">
      <x:c r="A52" s="22" t="n">
        <x:v>4</x:v>
      </x:c>
      <x:c r="B52" s="22" t="str">
        <x:v>周四</x:v>
      </x:c>
      <x:c r="C52" s="22" t="str">
        <x:v>3月5日</x:v>
      </x:c>
      <x:c r="D52" s="23" t="n">
        <x:v>8339.4</x:v>
      </x:c>
      <x:c r="E52" s="23" t="n">
        <x:v>8361.4</x:v>
      </x:c>
      <x:c r="F52" s="23" t="n">
        <x:v>8180.6</x:v>
      </x:c>
      <x:c r="G52" s="23" t="n">
        <x:v>8255.6</x:v>
      </x:c>
      <x:c r="H52" s="23" t="n">
        <x:v>36.2</x:v>
      </x:c>
      <x:c r="I52" s="24" t="n">
        <x:v>0.004404214419544195</x:v>
      </x:c>
      <x:c r="J52" s="26" t="n">
        <x:f>ROUND(E52-F52,1)</x:f>
        <x:v>180.8</x:v>
      </x:c>
      <x:c r="K52" s="22" t="str">
        <x:v>IC2603</x:v>
      </x:c>
    </x:row>
    <x:row r="53">
      <x:c r="A53" s="22" t="n">
        <x:v>5</x:v>
      </x:c>
      <x:c r="B53" s="22" t="str">
        <x:v>周五</x:v>
      </x:c>
      <x:c r="C53" s="22" t="str">
        <x:v>3月6日</x:v>
      </x:c>
      <x:c r="D53" s="23" t="n">
        <x:v>8244</x:v>
      </x:c>
      <x:c r="E53" s="23" t="n">
        <x:v>8379.8</x:v>
      </x:c>
      <x:c r="F53" s="23" t="n">
        <x:v>8224.2</x:v>
      </x:c>
      <x:c r="G53" s="23" t="n">
        <x:v>8322.6</x:v>
      </x:c>
      <x:c r="H53" s="23" t="n">
        <x:v>67</x:v>
      </x:c>
      <x:c r="I53" s="24" t="n">
        <x:v>0.008115703280197728</x:v>
      </x:c>
      <x:c r="J53" s="26" t="n">
        <x:f>ROUND(E53-F53,1)</x:f>
        <x:v>155.6</x:v>
      </x:c>
      <x:c r="K53" s="22" t="str">
        <x:v>IC2603</x:v>
      </x:c>
    </x:row>
    <x:row r="54">
      <x:c r="A54" s="22" t="n">
        <x:v>6</x:v>
      </x:c>
      <x:c r="B54" s="22" t="str">
        <x:v>周一</x:v>
      </x:c>
      <x:c r="C54" s="22" t="str">
        <x:v>3月9日</x:v>
      </x:c>
      <x:c r="D54" s="23" t="n">
        <x:v>8201.8</x:v>
      </x:c>
      <x:c r="E54" s="23" t="n">
        <x:v>8294.2</x:v>
      </x:c>
      <x:c r="F54" s="23" t="n">
        <x:v>7710</x:v>
      </x:c>
      <x:c r="G54" s="23" t="n">
        <x:v>8267</x:v>
      </x:c>
      <x:c r="H54" s="23" t="n">
        <x:v>-55.6</x:v>
      </x:c>
      <x:c r="I54" s="24" t="n">
        <x:v>-0.006680604618748975</x:v>
      </x:c>
      <x:c r="J54" s="26" t="n">
        <x:f>ROUND(E54-F54,1)</x:f>
        <x:v>584.2</x:v>
      </x:c>
      <x:c r="K54" s="22" t="str">
        <x:v>IC2603</x:v>
      </x:c>
    </x:row>
    <x:row r="55">
      <x:c r="A55" s="22" t="n">
        <x:v>7</x:v>
      </x:c>
      <x:c r="B55" s="22" t="str">
        <x:v>周二</x:v>
      </x:c>
      <x:c r="C55" s="22" t="str">
        <x:v>3月10日</x:v>
      </x:c>
      <x:c r="D55" s="23" t="n">
        <x:v>8347</x:v>
      </x:c>
      <x:c r="E55" s="23" t="n">
        <x:v>8405.8</x:v>
      </x:c>
      <x:c r="F55" s="23" t="n">
        <x:v>8290</x:v>
      </x:c>
      <x:c r="G55" s="23" t="n">
        <x:v>8393.6</x:v>
      </x:c>
      <x:c r="H55" s="23" t="n">
        <x:v>126.6</x:v>
      </x:c>
      <x:c r="I55" s="24" t="n">
        <x:v>0.015313898633119605</x:v>
      </x:c>
      <x:c r="J55" s="23" t="n">
        <x:f>ROUND(E55-F55,1)</x:f>
        <x:v>115.8</x:v>
      </x:c>
      <x:c r="K55" s="22" t="str">
        <x:v>IC2603</x:v>
      </x:c>
    </x:row>
    <x:row r="56">
      <x:c r="A56" s="22" t="n">
        <x:v>8</x:v>
      </x:c>
      <x:c r="B56" s="22" t="str">
        <x:v>周三</x:v>
      </x:c>
      <x:c r="C56" s="22" t="str">
        <x:v>3月11日</x:v>
      </x:c>
      <x:c r="D56" s="23" t="n">
        <x:v>8401.8</x:v>
      </x:c>
      <x:c r="E56" s="23" t="n">
        <x:v>8434.4</x:v>
      </x:c>
      <x:c r="F56" s="23" t="n">
        <x:v>8346</x:v>
      </x:c>
      <x:c r="G56" s="23" t="n">
        <x:v>8360</x:v>
      </x:c>
      <x:c r="H56" s="23" t="n">
        <x:v>-33.6</x:v>
      </x:c>
      <x:c r="I56" s="24" t="n">
        <x:v>-0.004003049942813641</x:v>
      </x:c>
      <x:c r="J56" s="23" t="n">
        <x:f>ROUND(E56-F56,1)</x:f>
        <x:v>88.4</x:v>
      </x:c>
      <x:c r="K56" s="22" t="str">
        <x:v>IC2603</x:v>
      </x:c>
    </x:row>
    <x:row r="57">
      <x:c r="A57" s="22" t="n">
        <x:v>9</x:v>
      </x:c>
      <x:c r="B57" s="22" t="str">
        <x:v>周四</x:v>
      </x:c>
      <x:c r="C57" s="22" t="str">
        <x:v>3月12日</x:v>
      </x:c>
      <x:c r="D57" s="23" t="n">
        <x:v>8355</x:v>
      </x:c>
      <x:c r="E57" s="23" t="n">
        <x:v>8396</x:v>
      </x:c>
      <x:c r="F57" s="23" t="n">
        <x:v>8233.8</x:v>
      </x:c>
      <x:c r="G57" s="23" t="n">
        <x:v>8301</x:v>
      </x:c>
      <x:c r="H57" s="23" t="n">
        <x:v>-59</x:v>
      </x:c>
      <x:c r="I57" s="24" t="n">
        <x:v>-0.00705741626794254</x:v>
      </x:c>
      <x:c r="J57" s="26" t="n">
        <x:f>ROUND(E57-F57,1)</x:f>
        <x:v>162.2</x:v>
      </x:c>
      <x:c r="K57" s="22" t="str">
        <x:v>IC2603</x:v>
      </x:c>
    </x:row>
    <x:row r="58">
      <x:c r="A58" s="22" t="n">
        <x:v>10</x:v>
      </x:c>
      <x:c r="B58" s="22" t="str">
        <x:v>周五</x:v>
      </x:c>
      <x:c r="C58" s="22" t="str">
        <x:v>3月13日</x:v>
      </x:c>
      <x:c r="D58" s="23" t="n">
        <x:v>8276</x:v>
      </x:c>
      <x:c r="E58" s="23" t="n">
        <x:v>8360</x:v>
      </x:c>
      <x:c r="F58" s="23" t="n">
        <x:v>8195.4</x:v>
      </x:c>
      <x:c r="G58" s="23" t="n">
        <x:v>8213.8</x:v>
      </x:c>
      <x:c r="H58" s="23" t="n">
        <x:v>-87.2</x:v>
      </x:c>
      <x:c r="I58" s="24" t="n">
        <x:v>-0.01050475846283594</x:v>
      </x:c>
      <x:c r="J58" s="26" t="n">
        <x:f>ROUND(E58-F58,1)</x:f>
        <x:v>164.6</x:v>
      </x:c>
      <x:c r="K58" s="22" t="str">
        <x:v>IC2603</x:v>
      </x:c>
    </x:row>
    <x:row r="59">
      <x:c r="A59" s="22" t="n">
        <x:v>11</x:v>
      </x:c>
      <x:c r="B59" s="22" t="str">
        <x:v>周一</x:v>
      </x:c>
      <x:c r="C59" s="22" t="str">
        <x:v>3月16日</x:v>
      </x:c>
      <x:c r="D59" s="23" t="n">
        <x:v>8225.2</x:v>
      </x:c>
      <x:c r="E59" s="23" t="n">
        <x:v>8229.6</x:v>
      </x:c>
      <x:c r="F59" s="23" t="n">
        <x:v>8033.8</x:v>
      </x:c>
      <x:c r="G59" s="23" t="n">
        <x:v>8178.4</x:v>
      </x:c>
      <x:c r="H59" s="23" t="n">
        <x:v>-35.4</x:v>
      </x:c>
      <x:c r="I59" s="24" t="n">
        <x:v>-0.004309820058925218</x:v>
      </x:c>
      <x:c r="J59" s="26" t="n">
        <x:f>ROUND(E59-F59,1)</x:f>
        <x:v>195.8</x:v>
      </x:c>
      <x:c r="K59" s="22" t="str">
        <x:v>IC2603</x:v>
      </x:c>
    </x:row>
    <x:row r="60">
      <x:c r="A60" s="22" t="n">
        <x:v>12</x:v>
      </x:c>
      <x:c r="B60" s="22" t="str">
        <x:v>周二</x:v>
      </x:c>
      <x:c r="C60" s="22" t="str">
        <x:v>3月17日</x:v>
      </x:c>
      <x:c r="D60" s="23" t="n">
        <x:v>8193</x:v>
      </x:c>
      <x:c r="E60" s="23" t="n">
        <x:v>8216.6</x:v>
      </x:c>
      <x:c r="F60" s="23" t="n">
        <x:v>7994</x:v>
      </x:c>
      <x:c r="G60" s="23" t="n">
        <x:v>8000</x:v>
      </x:c>
      <x:c r="H60" s="28" t="n">
        <x:v>-178.4</x:v>
      </x:c>
      <x:c r="I60" s="24" t="n">
        <x:v>-0.021813557664090766</x:v>
      </x:c>
      <x:c r="J60" s="26" t="n">
        <x:f>ROUND(E60-F60,1)</x:f>
        <x:v>222.6</x:v>
      </x:c>
      <x:c r="K60" s="22" t="str">
        <x:v>IC2603</x:v>
      </x:c>
    </x:row>
    <x:row r="61">
      <x:c r="A61" s="22" t="n">
        <x:v>13</x:v>
      </x:c>
      <x:c r="B61" s="22" t="str">
        <x:v>周三</x:v>
      </x:c>
      <x:c r="C61" s="22" t="str">
        <x:v>3月18日</x:v>
      </x:c>
      <x:c r="D61" s="23" t="n">
        <x:v>8056.2</x:v>
      </x:c>
      <x:c r="E61" s="23" t="n">
        <x:v>8099</x:v>
      </x:c>
      <x:c r="F61" s="23" t="n">
        <x:v>7950</x:v>
      </x:c>
      <x:c r="G61" s="23" t="n">
        <x:v>8086</x:v>
      </x:c>
      <x:c r="H61" s="23" t="n">
        <x:v>86</x:v>
      </x:c>
      <x:c r="I61" s="24" t="n">
        <x:v>0.010750000000000037</x:v>
      </x:c>
      <x:c r="J61" s="23" t="n">
        <x:f>ROUND(E61-F61,1)</x:f>
        <x:v>149</x:v>
      </x:c>
      <x:c r="K61" s="22" t="str">
        <x:v>IC2603</x:v>
      </x:c>
    </x:row>
    <x:row r="62">
      <x:c r="A62" s="22" t="n">
        <x:v>14</x:v>
      </x:c>
      <x:c r="B62" s="22" t="str">
        <x:v>周四</x:v>
      </x:c>
      <x:c r="C62" s="22" t="str">
        <x:v>3月19日</x:v>
      </x:c>
      <x:c r="D62" s="23" t="n">
        <x:v>7985.6</x:v>
      </x:c>
      <x:c r="E62" s="23" t="n">
        <x:v>8005.6</x:v>
      </x:c>
      <x:c r="F62" s="23" t="n">
        <x:v>7839.2</x:v>
      </x:c>
      <x:c r="G62" s="23" t="n">
        <x:v>7886.4</x:v>
      </x:c>
      <x:c r="H62" s="28" t="n">
        <x:v>-199.6</x:v>
      </x:c>
      <x:c r="I62" s="24" t="n">
        <x:v>-0.024684640118723733</x:v>
      </x:c>
      <x:c r="J62" s="26" t="n">
        <x:f>ROUND(E62-F62,1)</x:f>
        <x:v>166.4</x:v>
      </x:c>
      <x:c r="K62" s="22" t="str">
        <x:v>IC2603</x:v>
      </x:c>
    </x:row>
    <x:row r="63">
      <x:c r="A63" s="41" t="n">
        <x:v>15</x:v>
      </x:c>
      <x:c r="B63" s="41" t="str">
        <x:v>周五</x:v>
      </x:c>
      <x:c r="C63" s="41" t="str">
        <x:v>3月20日</x:v>
      </x:c>
      <x:c r="D63" s="42" t="n">
        <x:v>7907</x:v>
      </x:c>
      <x:c r="E63" s="42" t="n">
        <x:v>7955</x:v>
      </x:c>
      <x:c r="F63" s="42" t="n">
        <x:v>7827.8</x:v>
      </x:c>
      <x:c r="G63" s="42" t="n">
        <x:v>7844.4</x:v>
      </x:c>
      <x:c r="H63" s="42" t="n">
        <x:v>-42</x:v>
      </x:c>
      <x:c r="I63" s="43" t="n">
        <x:v>-0.00532562385879487</x:v>
      </x:c>
      <x:c r="J63" s="42" t="n">
        <x:f>ROUND(E63-F63,1)</x:f>
        <x:v>127.2</x:v>
      </x:c>
      <x:c r="K63" s="41" t="str">
        <x:v>IC2603</x:v>
      </x:c>
    </x:row>
    <x:row r="64">
      <x:c r="A64" s="22" t="n">
        <x:v>16</x:v>
      </x:c>
      <x:c r="B64" s="22" t="str">
        <x:v>周一</x:v>
      </x:c>
      <x:c r="C64" s="22" t="str">
        <x:v>3月23日</x:v>
      </x:c>
      <x:c r="D64" s="23" t="n">
        <x:v>7460</x:v>
      </x:c>
      <x:c r="E64" s="23" t="n">
        <x:v>7532.2</x:v>
      </x:c>
      <x:c r="F64" s="23" t="n">
        <x:v>7171</x:v>
      </x:c>
      <x:c r="G64" s="23" t="n">
        <x:v>7235</x:v>
      </x:c>
      <x:c r="H64" s="28" t="n">
        <x:v>-609.4</x:v>
      </x:c>
      <x:c r="I64" s="24" t="n">
        <x:v>-0.07768599255519859</x:v>
      </x:c>
      <x:c r="J64" s="26" t="n">
        <x:f>ROUND(E64-F64,1)</x:f>
        <x:v>361.2</x:v>
      </x:c>
      <x:c r="K64" s="22" t="str">
        <x:v>IC2606</x:v>
      </x:c>
    </x:row>
    <x:row r="65">
      <x:c r="A65" s="22" t="n">
        <x:v>17</x:v>
      </x:c>
      <x:c r="B65" s="22" t="str">
        <x:v>周二</x:v>
      </x:c>
      <x:c r="C65" s="22" t="str">
        <x:v>3月24日</x:v>
      </x:c>
      <x:c r="D65" s="23" t="n">
        <x:v>7300</x:v>
      </x:c>
      <x:c r="E65" s="23" t="n">
        <x:v>7420.4</x:v>
      </x:c>
      <x:c r="F65" s="23" t="n">
        <x:v>7179</x:v>
      </x:c>
      <x:c r="G65" s="23" t="n">
        <x:v>7409.6</x:v>
      </x:c>
      <x:c r="H65" s="28" t="n">
        <x:v>174.6</x:v>
      </x:c>
      <x:c r="I65" s="24" t="n">
        <x:v>0.024132688320663398</x:v>
      </x:c>
      <x:c r="J65" s="26" t="n">
        <x:f>ROUND(E65-F65,1)</x:f>
        <x:v>241.4</x:v>
      </x:c>
      <x:c r="K65" s="22" t="str">
        <x:v>IC2606</x:v>
      </x:c>
    </x:row>
    <x:row r="66">
      <x:c r="A66" s="22" t="n">
        <x:v>18</x:v>
      </x:c>
      <x:c r="B66" s="22" t="str">
        <x:v>周三</x:v>
      </x:c>
      <x:c r="C66" s="22" t="str">
        <x:v>3月25日</x:v>
      </x:c>
      <x:c r="D66" s="23" t="n">
        <x:v>7500</x:v>
      </x:c>
      <x:c r="E66" s="23" t="n">
        <x:v>7652</x:v>
      </x:c>
      <x:c r="F66" s="23" t="n">
        <x:v>7480</x:v>
      </x:c>
      <x:c r="G66" s="23" t="n">
        <x:v>7530</x:v>
      </x:c>
      <x:c r="H66" s="23" t="n">
        <x:v>120.4</x:v>
      </x:c>
      <x:c r="I66" s="24" t="n">
        <x:v>0.01624919023968907</x:v>
      </x:c>
      <x:c r="J66" s="26" t="n">
        <x:f>ROUND(E66-F66,1)</x:f>
        <x:v>172</x:v>
      </x:c>
      <x:c r="K66" s="22" t="str">
        <x:v>IC2606</x:v>
      </x:c>
    </x:row>
    <x:row r="67">
      <x:c r="A67" s="22" t="n">
        <x:v>19</x:v>
      </x:c>
      <x:c r="B67" s="22" t="str">
        <x:v>周四</x:v>
      </x:c>
      <x:c r="C67" s="22" t="str">
        <x:v>3月26日</x:v>
      </x:c>
      <x:c r="D67" s="23" t="n">
        <x:v>7501</x:v>
      </x:c>
      <x:c r="E67" s="23" t="n">
        <x:v>7578.8</x:v>
      </x:c>
      <x:c r="F67" s="23" t="n">
        <x:v>7406.6</x:v>
      </x:c>
      <x:c r="G67" s="23" t="n">
        <x:v>7413.8</x:v>
      </x:c>
      <x:c r="H67" s="23" t="n">
        <x:v>-116.2</x:v>
      </x:c>
      <x:c r="I67" s="24" t="n">
        <x:v>-0.015431606905710438</x:v>
      </x:c>
      <x:c r="J67" s="26" t="n">
        <x:f>ROUND(E67-F67,1)</x:f>
        <x:v>172.2</x:v>
      </x:c>
      <x:c r="K67" s="22" t="str">
        <x:v>IC2606</x:v>
      </x:c>
    </x:row>
    <x:row r="68">
      <x:c r="A68" s="22" t="n">
        <x:v>20</x:v>
      </x:c>
      <x:c r="B68" s="22" t="str">
        <x:v>周五</x:v>
      </x:c>
      <x:c r="C68" s="22" t="str">
        <x:v>3月27日</x:v>
      </x:c>
      <x:c r="D68" s="23" t="n">
        <x:v>7358.8</x:v>
      </x:c>
      <x:c r="E68" s="23" t="n">
        <x:v>7612.6</x:v>
      </x:c>
      <x:c r="F68" s="23" t="n">
        <x:v>7348</x:v>
      </x:c>
      <x:c r="G68" s="23" t="n">
        <x:v>7559.2</x:v>
      </x:c>
      <x:c r="H68" s="23" t="n">
        <x:v>145.4</x:v>
      </x:c>
      <x:c r="I68" s="24" t="n">
        <x:v>0.01961207477946525</x:v>
      </x:c>
      <x:c r="J68" s="26" t="n">
        <x:f>ROUND(E68-F68,1)</x:f>
        <x:v>264.6</x:v>
      </x:c>
      <x:c r="K68" s="22" t="str">
        <x:v>IC2606</x:v>
      </x:c>
    </x:row>
    <x:row r="69">
      <x:c r="A69" s="22" t="n">
        <x:v>21</x:v>
      </x:c>
      <x:c r="B69" s="22" t="str">
        <x:v>周一</x:v>
      </x:c>
      <x:c r="C69" s="22" t="str">
        <x:v>3月30日</x:v>
      </x:c>
      <x:c r="D69" s="23" t="n">
        <x:v>7470.8</x:v>
      </x:c>
      <x:c r="E69" s="23" t="n">
        <x:v>7576.6</x:v>
      </x:c>
      <x:c r="F69" s="23" t="n">
        <x:v>7372.4</x:v>
      </x:c>
      <x:c r="G69" s="23" t="n">
        <x:v>7560.6</x:v>
      </x:c>
      <x:c r="H69" s="23" t="n">
        <x:v>1.4</x:v>
      </x:c>
      <x:c r="I69" s="24" t="n">
        <x:v>0.00018520478357508807</x:v>
      </x:c>
      <x:c r="J69" s="26" t="n">
        <x:f>ROUND(E69-F69,1)</x:f>
        <x:v>204.2</x:v>
      </x:c>
      <x:c r="K69" s="22" t="str">
        <x:v>IC2606</x:v>
      </x:c>
    </x:row>
    <x:row r="70">
      <x:c r="A70" s="22" t="n">
        <x:v>22</x:v>
      </x:c>
      <x:c r="B70" s="22" t="str">
        <x:v>周二</x:v>
      </x:c>
      <x:c r="C70" s="22" t="str">
        <x:v>3月31日</x:v>
      </x:c>
      <x:c r="D70" s="23" t="n">
        <x:v>7568</x:v>
      </x:c>
      <x:c r="E70" s="23" t="n">
        <x:v>7619</x:v>
      </x:c>
      <x:c r="F70" s="23" t="n">
        <x:v>7417.8</x:v>
      </x:c>
      <x:c r="G70" s="23" t="n">
        <x:v>7425</x:v>
      </x:c>
      <x:c r="H70" s="23" t="n">
        <x:v>-135.6</x:v>
      </x:c>
      <x:c r="I70" s="24" t="n">
        <x:v>-0.017935084517101907</x:v>
      </x:c>
      <x:c r="J70" s="26" t="n">
        <x:f>ROUND(E70-F70,1)</x:f>
        <x:v>201.2</x:v>
      </x:c>
      <x:c r="K70" s="22" t="str">
        <x:v>IC2606</x:v>
      </x:c>
    </x:row>
    <x:row r="71">
      <x:c r="A71" s="31" t="str">
        <x:v>合计</x:v>
      </x:c>
      <x:c r="B71" s="30" t="n">
        <x:v>22</x:v>
      </x:c>
      <x:c r="C71" s="30"/>
      <x:c r="D71" s="30"/>
      <x:c r="E71" s="30"/>
      <x:c r="F71" s="30"/>
      <x:c r="G71" s="30"/>
      <x:c r="H71" s="30"/>
      <x:c r="I71" s="30"/>
      <x:c r="J71" s="32" t="n">
        <x:f>ROUND(SUM(J49:J70),1)</x:f>
        <x:v>4686.2</x:v>
      </x:c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0"/>
      <x:c r="J72" s="34" t="n">
        <x:f>ROUND(IFERROR(AVERAGE(J49:J70),0),1)</x:f>
        <x:v>213</x:v>
      </x:c>
      <x:c r="K72" s="30"/>
    </x:row>
    <x:row r="74">
      <x:c r="A74" s="17" t="str">
        <x:v>4月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20" t="str">
        <x:v>序号</x:v>
      </x:c>
      <x:c r="B75" s="20" t="str">
        <x:v>星期</x:v>
      </x:c>
      <x:c r="C75" s="20" t="str">
        <x:v>日期</x:v>
      </x:c>
      <x:c r="D75" s="20" t="str">
        <x:v>开盘</x:v>
      </x:c>
      <x:c r="E75" s="20" t="str">
        <x:v>高点</x:v>
      </x:c>
      <x:c r="F75" s="20" t="str">
        <x:v>低点</x:v>
      </x:c>
      <x:c r="G75" s="20" t="str">
        <x:v>收盘</x:v>
      </x:c>
      <x:c r="H75" s="20" t="str">
        <x:v>涨跌点数</x:v>
      </x:c>
      <x:c r="I75" s="20" t="str">
        <x:v>涨幅</x:v>
      </x:c>
      <x:c r="J75" s="20" t="str">
        <x:v>振幅</x:v>
      </x:c>
      <x:c r="K75" s="20" t="str">
        <x:v>标的</x:v>
      </x:c>
    </x:row>
    <x:row r="76">
      <x:c r="A76" s="22" t="n">
        <x:v>1</x:v>
      </x:c>
      <x:c r="B76" s="22" t="str">
        <x:v>周三</x:v>
      </x:c>
      <x:c r="C76" s="22" t="str">
        <x:v>4月1日</x:v>
      </x:c>
      <x:c r="D76" s="23" t="n">
        <x:v>7585</x:v>
      </x:c>
      <x:c r="E76" s="23" t="n">
        <x:v>7612.8</x:v>
      </x:c>
      <x:c r="F76" s="23" t="n">
        <x:v>7509</x:v>
      </x:c>
      <x:c r="G76" s="23" t="n">
        <x:v>7565.8</x:v>
      </x:c>
      <x:c r="H76" s="23" t="n">
        <x:v>140.8</x:v>
      </x:c>
      <x:c r="I76" s="24" t="n">
        <x:v>0.01896296296296307</x:v>
      </x:c>
      <x:c r="J76" s="23" t="n">
        <x:f>ROUND(E76-F76,1)</x:f>
        <x:v>103.8</x:v>
      </x:c>
      <x:c r="K76" s="22" t="str">
        <x:v>IC2606</x:v>
      </x:c>
    </x:row>
    <x:row r="77">
      <x:c r="A77" s="22" t="n">
        <x:v>2</x:v>
      </x:c>
      <x:c r="B77" s="22" t="str">
        <x:v>周四</x:v>
      </x:c>
      <x:c r="C77" s="22" t="str">
        <x:v>4月2日</x:v>
      </x:c>
      <x:c r="D77" s="23" t="n">
        <x:v>7500</x:v>
      </x:c>
      <x:c r="E77" s="23" t="n">
        <x:v>7561.4</x:v>
      </x:c>
      <x:c r="F77" s="23" t="n">
        <x:v>7341.4</x:v>
      </x:c>
      <x:c r="G77" s="23" t="n">
        <x:v>7409.6</x:v>
      </x:c>
      <x:c r="H77" s="28" t="n">
        <x:v>-156.2</x:v>
      </x:c>
      <x:c r="I77" s="24" t="n">
        <x:v>-0.020645536493166583</x:v>
      </x:c>
      <x:c r="J77" s="26" t="n">
        <x:f>ROUND(E77-F77,1)</x:f>
        <x:v>220</x:v>
      </x:c>
      <x:c r="K77" s="22" t="str">
        <x:v>IC2606</x:v>
      </x:c>
    </x:row>
    <x:row r="78">
      <x:c r="A78" s="22" t="n">
        <x:v>3</x:v>
      </x:c>
      <x:c r="B78" s="22" t="str">
        <x:v>周五</x:v>
      </x:c>
      <x:c r="C78" s="22" t="str">
        <x:v>4月3日</x:v>
      </x:c>
      <x:c r="D78" s="23" t="n">
        <x:v>7459.2</x:v>
      </x:c>
      <x:c r="E78" s="23" t="n">
        <x:v>7459.8</x:v>
      </x:c>
      <x:c r="F78" s="23" t="n">
        <x:v>7325.2</x:v>
      </x:c>
      <x:c r="G78" s="23" t="n">
        <x:v>7352</x:v>
      </x:c>
      <x:c r="H78" s="23" t="n">
        <x:v>-57.6</x:v>
      </x:c>
      <x:c r="I78" s="24" t="n">
        <x:v>-0.007773698985100497</x:v>
      </x:c>
      <x:c r="J78" s="23" t="n">
        <x:f>ROUND(E78-F78,1)</x:f>
        <x:v>134.6</x:v>
      </x:c>
      <x:c r="K78" s="22" t="str">
        <x:v>IC2606</x:v>
      </x:c>
    </x:row>
    <x:row r="79">
      <x:c r="A79" s="22" t="n">
        <x:v>4</x:v>
      </x:c>
      <x:c r="B79" s="22" t="str">
        <x:v>周二</x:v>
      </x:c>
      <x:c r="C79" s="22" t="str">
        <x:v>4月7日</x:v>
      </x:c>
      <x:c r="D79" s="23" t="n">
        <x:v>7380</x:v>
      </x:c>
      <x:c r="E79" s="23" t="n">
        <x:v>7470</x:v>
      </x:c>
      <x:c r="F79" s="23" t="n">
        <x:v>7355.6</x:v>
      </x:c>
      <x:c r="G79" s="23" t="n">
        <x:v>7388.8</x:v>
      </x:c>
      <x:c r="H79" s="23" t="n">
        <x:v>36.8</x:v>
      </x:c>
      <x:c r="I79" s="24" t="n">
        <x:v>0.005005440696409069</x:v>
      </x:c>
      <x:c r="J79" s="23" t="n">
        <x:f>ROUND(E79-F79,1)</x:f>
        <x:v>114.4</x:v>
      </x:c>
      <x:c r="K79" s="22" t="str">
        <x:v>IC2606</x:v>
      </x:c>
    </x:row>
    <x:row r="80">
      <x:c r="A80" s="22" t="n">
        <x:v>5</x:v>
      </x:c>
      <x:c r="B80" s="22" t="str">
        <x:v>周三</x:v>
      </x:c>
      <x:c r="C80" s="22" t="str">
        <x:v>4月8日</x:v>
      </x:c>
      <x:c r="D80" s="23" t="n">
        <x:v>7616</x:v>
      </x:c>
      <x:c r="E80" s="23" t="n">
        <x:v>7834.6</x:v>
      </x:c>
      <x:c r="F80" s="23" t="n">
        <x:v>7600</x:v>
      </x:c>
      <x:c r="G80" s="23" t="n">
        <x:v>7831.8</x:v>
      </x:c>
      <x:c r="H80" s="28" t="n">
        <x:v>443</x:v>
      </x:c>
      <x:c r="I80" s="24" t="n">
        <x:v>0.059955608488523104</x:v>
      </x:c>
      <x:c r="J80" s="26" t="n">
        <x:f>ROUND(E80-F80,1)</x:f>
        <x:v>234.6</x:v>
      </x:c>
      <x:c r="K80" s="22" t="str">
        <x:v>IC2606</x:v>
      </x:c>
    </x:row>
    <x:row r="81">
      <x:c r="A81" s="22" t="n">
        <x:v>6</x:v>
      </x:c>
      <x:c r="B81" s="22" t="str">
        <x:v>周四</x:v>
      </x:c>
      <x:c r="C81" s="22" t="str">
        <x:v>4月9日</x:v>
      </x:c>
      <x:c r="D81" s="23" t="n">
        <x:v>7749.8</x:v>
      </x:c>
      <x:c r="E81" s="23" t="n">
        <x:v>7793.6</x:v>
      </x:c>
      <x:c r="F81" s="23" t="n">
        <x:v>7698.8</x:v>
      </x:c>
      <x:c r="G81" s="23" t="n">
        <x:v>7748.8</x:v>
      </x:c>
      <x:c r="H81" s="23" t="n">
        <x:v>-83</x:v>
      </x:c>
      <x:c r="I81" s="24" t="n">
        <x:v>-0.010597819147577847</x:v>
      </x:c>
      <x:c r="J81" s="23" t="n">
        <x:f>ROUND(E81-F81,1)</x:f>
        <x:v>94.8</x:v>
      </x:c>
      <x:c r="K81" s="22" t="str">
        <x:v>IC2606</x:v>
      </x:c>
    </x:row>
    <x:row r="82">
      <x:c r="A82" s="22" t="n">
        <x:v>7</x:v>
      </x:c>
      <x:c r="B82" s="22" t="str">
        <x:v>周五</x:v>
      </x:c>
      <x:c r="C82" s="22" t="str">
        <x:v>4月10日</x:v>
      </x:c>
      <x:c r="D82" s="23" t="n">
        <x:v>7828</x:v>
      </x:c>
      <x:c r="E82" s="23" t="n">
        <x:v>7945.4</x:v>
      </x:c>
      <x:c r="F82" s="23" t="n">
        <x:v>7796.4</x:v>
      </x:c>
      <x:c r="G82" s="23" t="n">
        <x:v>7828.6</x:v>
      </x:c>
      <x:c r="H82" s="23" t="n">
        <x:v>79.8</x:v>
      </x:c>
      <x:c r="I82" s="24" t="n">
        <x:v>0.010298368779682043</x:v>
      </x:c>
      <x:c r="J82" s="23" t="n">
        <x:f>ROUND(E82-F82,1)</x:f>
        <x:v>149</x:v>
      </x:c>
      <x:c r="K82" s="22" t="str">
        <x:v>IC2606</x:v>
      </x:c>
    </x:row>
    <x:row r="83">
      <x:c r="A83" s="22" t="n">
        <x:v>8</x:v>
      </x:c>
      <x:c r="B83" s="22" t="str">
        <x:v>周一</x:v>
      </x:c>
      <x:c r="C83" s="22" t="str">
        <x:v>4月13日</x:v>
      </x:c>
      <x:c r="D83" s="23" t="n">
        <x:v>7792</x:v>
      </x:c>
      <x:c r="E83" s="23" t="n">
        <x:v>7864</x:v>
      </x:c>
      <x:c r="F83" s="23" t="n">
        <x:v>7792</x:v>
      </x:c>
      <x:c r="G83" s="23" t="n">
        <x:v>7808.8</x:v>
      </x:c>
      <x:c r="H83" s="23" t="n">
        <x:v>-19.8</x:v>
      </x:c>
      <x:c r="I83" s="24" t="n">
        <x:v>-0.0025291878496793707</x:v>
      </x:c>
      <x:c r="J83" s="23" t="n">
        <x:f>ROUND(E83-F83,1)</x:f>
        <x:v>72</x:v>
      </x:c>
      <x:c r="K83" s="22" t="str">
        <x:v>IC2606</x:v>
      </x:c>
    </x:row>
    <x:row r="84">
      <x:c r="A84" s="22" t="n">
        <x:v>9</x:v>
      </x:c>
      <x:c r="B84" s="22" t="str">
        <x:v>周二</x:v>
      </x:c>
      <x:c r="C84" s="22" t="str">
        <x:v>4月14日</x:v>
      </x:c>
      <x:c r="D84" s="23" t="n">
        <x:v>7900</x:v>
      </x:c>
      <x:c r="E84" s="23" t="n">
        <x:v>7944.4</x:v>
      </x:c>
      <x:c r="F84" s="23" t="n">
        <x:v>7842.4</x:v>
      </x:c>
      <x:c r="G84" s="23" t="n">
        <x:v>7938.4</x:v>
      </x:c>
      <x:c r="H84" s="23" t="n">
        <x:v>129.6</x:v>
      </x:c>
      <x:c r="I84" s="24" t="n">
        <x:v>0.016596660178260336</x:v>
      </x:c>
      <x:c r="J84" s="23" t="n">
        <x:f>ROUND(E84-F84,1)</x:f>
        <x:v>102</x:v>
      </x:c>
      <x:c r="K84" s="22" t="str">
        <x:v>IC2606</x:v>
      </x:c>
    </x:row>
    <x:row r="85">
      <x:c r="A85" s="22" t="n">
        <x:v>10</x:v>
      </x:c>
      <x:c r="B85" s="22" t="str">
        <x:v>周三</x:v>
      </x:c>
      <x:c r="C85" s="22" t="str">
        <x:v>4月15日</x:v>
      </x:c>
      <x:c r="D85" s="23" t="n">
        <x:v>7994.2</x:v>
      </x:c>
      <x:c r="E85" s="23" t="n">
        <x:v>8023</x:v>
      </x:c>
      <x:c r="F85" s="23" t="n">
        <x:v>7901</x:v>
      </x:c>
      <x:c r="G85" s="23" t="n">
        <x:v>7904</x:v>
      </x:c>
      <x:c r="H85" s="23" t="n">
        <x:v>-34.4</x:v>
      </x:c>
      <x:c r="I85" s="24" t="n">
        <x:v>-0.004333366925324933</x:v>
      </x:c>
      <x:c r="J85" s="23" t="n">
        <x:f>ROUND(E85-F85,1)</x:f>
        <x:v>122</x:v>
      </x:c>
      <x:c r="K85" s="22" t="str">
        <x:v>IC2606</x:v>
      </x:c>
    </x:row>
    <x:row r="86">
      <x:c r="A86" s="22" t="n">
        <x:v>11</x:v>
      </x:c>
      <x:c r="B86" s="22" t="str">
        <x:v>周四</x:v>
      </x:c>
      <x:c r="C86" s="22" t="str">
        <x:v>4月16日</x:v>
      </x:c>
      <x:c r="D86" s="23" t="n">
        <x:v>7950</x:v>
      </x:c>
      <x:c r="E86" s="23" t="n">
        <x:v>8084.4</x:v>
      </x:c>
      <x:c r="F86" s="23" t="n">
        <x:v>7937.4</x:v>
      </x:c>
      <x:c r="G86" s="23" t="n">
        <x:v>8065</x:v>
      </x:c>
      <x:c r="H86" s="28" t="n">
        <x:v>161</x:v>
      </x:c>
      <x:c r="I86" s="24" t="n">
        <x:v>0.020369433198380582</x:v>
      </x:c>
      <x:c r="J86" s="23" t="n">
        <x:f>ROUND(E86-F86,1)</x:f>
        <x:v>147</x:v>
      </x:c>
      <x:c r="K86" s="22" t="str">
        <x:v>IC2606</x:v>
      </x:c>
    </x:row>
    <x:row r="87">
      <x:c r="A87" s="41" t="n">
        <x:v>12</x:v>
      </x:c>
      <x:c r="B87" s="41" t="str">
        <x:v>周五</x:v>
      </x:c>
      <x:c r="C87" s="41" t="str">
        <x:v>4月17日</x:v>
      </x:c>
      <x:c r="D87" s="42" t="n">
        <x:v>8036.8</x:v>
      </x:c>
      <x:c r="E87" s="42" t="n">
        <x:v>8119.6</x:v>
      </x:c>
      <x:c r="F87" s="42" t="n">
        <x:v>8015</x:v>
      </x:c>
      <x:c r="G87" s="42" t="n">
        <x:v>8098.8</x:v>
      </x:c>
      <x:c r="H87" s="42" t="n">
        <x:v>33.8</x:v>
      </x:c>
      <x:c r="I87" s="43" t="n">
        <x:v>0.004190948543087547</x:v>
      </x:c>
      <x:c r="J87" s="42" t="n">
        <x:f>ROUND(E87-F87,1)</x:f>
        <x:v>104.6</x:v>
      </x:c>
      <x:c r="K87" s="41" t="str">
        <x:v>IC2606</x:v>
      </x:c>
    </x:row>
    <x:row r="88">
      <x:c r="A88" s="22" t="n">
        <x:v>13</x:v>
      </x:c>
      <x:c r="B88" s="22" t="str">
        <x:v>周一</x:v>
      </x:c>
      <x:c r="C88" s="22" t="str">
        <x:v>4月20日</x:v>
      </x:c>
      <x:c r="D88" s="23" t="n">
        <x:v>8076.4</x:v>
      </x:c>
      <x:c r="E88" s="23" t="n">
        <x:v>8213.8</x:v>
      </x:c>
      <x:c r="F88" s="23" t="n">
        <x:v>8076.4</x:v>
      </x:c>
      <x:c r="G88" s="23" t="n">
        <x:v>8146.2</x:v>
      </x:c>
      <x:c r="H88" s="23" t="n">
        <x:v>47.4</x:v>
      </x:c>
      <x:c r="I88" s="24" t="n">
        <x:v>0.005852718921321554</x:v>
      </x:c>
      <x:c r="J88" s="23" t="n">
        <x:f>ROUND(E88-F88,1)</x:f>
        <x:v>137.4</x:v>
      </x:c>
      <x:c r="K88" s="22" t="str">
        <x:v>IC2606</x:v>
      </x:c>
    </x:row>
    <x:row r="89">
      <x:c r="A89" s="22" t="n">
        <x:v>14</x:v>
      </x:c>
      <x:c r="B89" s="22" t="str">
        <x:v>周二</x:v>
      </x:c>
      <x:c r="C89" s="22" t="str">
        <x:v>4月21日</x:v>
      </x:c>
      <x:c r="D89" s="23" t="n">
        <x:v>8137</x:v>
      </x:c>
      <x:c r="E89" s="23" t="n">
        <x:v>8150</x:v>
      </x:c>
      <x:c r="F89" s="23" t="n">
        <x:v>8055</x:v>
      </x:c>
      <x:c r="G89" s="23" t="n">
        <x:v>8124.4</x:v>
      </x:c>
      <x:c r="H89" s="23" t="n">
        <x:v>-21.8</x:v>
      </x:c>
      <x:c r="I89" s="24" t="n">
        <x:v>-0.0026760943752915933</x:v>
      </x:c>
      <x:c r="J89" s="23" t="n">
        <x:f>ROUND(E89-F89,1)</x:f>
        <x:v>95</x:v>
      </x:c>
      <x:c r="K89" s="22" t="str">
        <x:v>IC2606</x:v>
      </x:c>
    </x:row>
    <x:row r="90">
      <x:c r="A90" s="22" t="n">
        <x:v>15</x:v>
      </x:c>
      <x:c r="B90" s="22" t="str">
        <x:v>周三</x:v>
      </x:c>
      <x:c r="C90" s="22" t="str">
        <x:v>4月22日</x:v>
      </x:c>
      <x:c r="D90" s="23" t="n">
        <x:v>8100</x:v>
      </x:c>
      <x:c r="E90" s="23" t="n">
        <x:v>8265.6</x:v>
      </x:c>
      <x:c r="F90" s="23" t="n">
        <x:v>8091</x:v>
      </x:c>
      <x:c r="G90" s="23" t="n">
        <x:v>8264.2</x:v>
      </x:c>
      <x:c r="H90" s="23" t="n">
        <x:v>139.8</x:v>
      </x:c>
      <x:c r="I90" s="24" t="n">
        <x:v>0.017207424548274508</x:v>
      </x:c>
      <x:c r="J90" s="26" t="n">
        <x:f>ROUND(E90-F90,1)</x:f>
        <x:v>174.6</x:v>
      </x:c>
      <x:c r="K90" s="22" t="str">
        <x:v>IC2606</x:v>
      </x:c>
    </x:row>
    <x:row r="91">
      <x:c r="A91" s="22" t="n">
        <x:v>16</x:v>
      </x:c>
      <x:c r="B91" s="22" t="str">
        <x:v>周四</x:v>
      </x:c>
      <x:c r="C91" s="22" t="str">
        <x:v>4月23日</x:v>
      </x:c>
      <x:c r="D91" s="23" t="n">
        <x:v>8288.2</x:v>
      </x:c>
      <x:c r="E91" s="23" t="n">
        <x:v>8288.2</x:v>
      </x:c>
      <x:c r="F91" s="23" t="n">
        <x:v>8090</x:v>
      </x:c>
      <x:c r="G91" s="23" t="n">
        <x:v>8177</x:v>
      </x:c>
      <x:c r="H91" s="23" t="n">
        <x:v>-87.2</x:v>
      </x:c>
      <x:c r="I91" s="24" t="n">
        <x:v>-0.010551535538830259</x:v>
      </x:c>
      <x:c r="J91" s="26" t="n">
        <x:f>ROUND(E91-F91,1)</x:f>
        <x:v>198.2</x:v>
      </x:c>
      <x:c r="K91" s="22" t="str">
        <x:v>IC2606</x:v>
      </x:c>
    </x:row>
    <x:row r="92">
      <x:c r="A92" s="22" t="n">
        <x:v>17</x:v>
      </x:c>
      <x:c r="B92" s="22" t="str">
        <x:v>周五</x:v>
      </x:c>
      <x:c r="C92" s="22" t="str">
        <x:v>4月24日</x:v>
      </x:c>
      <x:c r="D92" s="23" t="n">
        <x:v>8150.8</x:v>
      </x:c>
      <x:c r="E92" s="23" t="n">
        <x:v>8193.8</x:v>
      </x:c>
      <x:c r="F92" s="23" t="n">
        <x:v>8042</x:v>
      </x:c>
      <x:c r="G92" s="23" t="n">
        <x:v>8132.8</x:v>
      </x:c>
      <x:c r="H92" s="23" t="n">
        <x:v>-44.2</x:v>
      </x:c>
      <x:c r="I92" s="24" t="n">
        <x:v>-0.00540540540540535</x:v>
      </x:c>
      <x:c r="J92" s="26" t="n">
        <x:f>ROUND(E92-F92,1)</x:f>
        <x:v>151.8</x:v>
      </x:c>
      <x:c r="K92" s="22" t="str">
        <x:v>IC2606</x:v>
      </x:c>
    </x:row>
    <x:row r="93">
      <x:c r="A93" s="22" t="n">
        <x:v>18</x:v>
      </x:c>
      <x:c r="B93" s="22" t="str">
        <x:v>周一</x:v>
      </x:c>
      <x:c r="C93" s="22" t="str">
        <x:v>4月27日</x:v>
      </x:c>
      <x:c r="D93" s="23" t="n">
        <x:v>8145.2</x:v>
      </x:c>
      <x:c r="E93" s="23" t="n">
        <x:v>8220.2</x:v>
      </x:c>
      <x:c r="F93" s="23" t="n">
        <x:v>8103</x:v>
      </x:c>
      <x:c r="G93" s="23" t="n">
        <x:v>8186.4</x:v>
      </x:c>
      <x:c r="H93" s="23" t="n">
        <x:v>53.6</x:v>
      </x:c>
      <x:c r="I93" s="24" t="n">
        <x:v>0.006590596104662616</x:v>
      </x:c>
      <x:c r="J93" s="23" t="n">
        <x:f>ROUND(E93-F93,1)</x:f>
        <x:v>117.2</x:v>
      </x:c>
      <x:c r="K93" s="22" t="str">
        <x:v>IC2606</x:v>
      </x:c>
    </x:row>
    <x:row r="94">
      <x:c r="A94" s="22" t="n">
        <x:v>19</x:v>
      </x:c>
      <x:c r="B94" s="22" t="str">
        <x:v>周二</x:v>
      </x:c>
      <x:c r="C94" s="22" t="str">
        <x:v>4月28日</x:v>
      </x:c>
      <x:c r="D94" s="23" t="n">
        <x:v>8176.6</x:v>
      </x:c>
      <x:c r="E94" s="23" t="n">
        <x:v>8178.4</x:v>
      </x:c>
      <x:c r="F94" s="23" t="n">
        <x:v>8056.2</x:v>
      </x:c>
      <x:c r="G94" s="23" t="n">
        <x:v>8094.6</x:v>
      </x:c>
      <x:c r="H94" s="23" t="n">
        <x:v>-91.8</x:v>
      </x:c>
      <x:c r="I94" s="24" t="n">
        <x:v>-0.0112137203166226</x:v>
      </x:c>
      <x:c r="J94" s="23" t="n">
        <x:f>ROUND(E94-F94,1)</x:f>
        <x:v>122.2</x:v>
      </x:c>
      <x:c r="K94" s="22" t="str">
        <x:v>IC2606</x:v>
      </x:c>
    </x:row>
    <x:row r="95">
      <x:c r="A95" s="22" t="n">
        <x:v>20</x:v>
      </x:c>
      <x:c r="B95" s="22" t="str">
        <x:v>周三</x:v>
      </x:c>
      <x:c r="C95" s="22" t="str">
        <x:v>4月29日</x:v>
      </x:c>
      <x:c r="D95" s="23" t="n">
        <x:v>8066</x:v>
      </x:c>
      <x:c r="E95" s="23" t="n">
        <x:v>8281.8</x:v>
      </x:c>
      <x:c r="F95" s="23" t="n">
        <x:v>8066</x:v>
      </x:c>
      <x:c r="G95" s="23" t="n">
        <x:v>8270</x:v>
      </x:c>
      <x:c r="H95" s="28" t="n">
        <x:v>175.4</x:v>
      </x:c>
      <x:c r="I95" s="24" t="n">
        <x:v>0.021668766832209085</x:v>
      </x:c>
      <x:c r="J95" s="26" t="n">
        <x:f>ROUND(E95-F95,1)</x:f>
        <x:v>215.8</x:v>
      </x:c>
      <x:c r="K95" s="22" t="str">
        <x:v>IC2606</x:v>
      </x:c>
    </x:row>
    <x:row r="96">
      <x:c r="A96" s="22" t="n">
        <x:v>21</x:v>
      </x:c>
      <x:c r="B96" s="22" t="str">
        <x:v>周四</x:v>
      </x:c>
      <x:c r="C96" s="22" t="str">
        <x:v>4月30日</x:v>
      </x:c>
      <x:c r="D96" s="23" t="n">
        <x:v>8270</x:v>
      </x:c>
      <x:c r="E96" s="23" t="n">
        <x:v>8287.8</x:v>
      </x:c>
      <x:c r="F96" s="23" t="n">
        <x:v>8206</x:v>
      </x:c>
      <x:c r="G96" s="23" t="n">
        <x:v>8270</x:v>
      </x:c>
      <x:c r="H96" s="23" t="n">
        <x:v>0</x:v>
      </x:c>
      <x:c r="I96" s="24" t="n">
        <x:v>0</x:v>
      </x:c>
      <x:c r="J96" s="23" t="n">
        <x:f>ROUND(E96-F96,1)</x:f>
        <x:v>81.8</x:v>
      </x:c>
      <x:c r="K96" s="22" t="str">
        <x:v>IC2606</x:v>
      </x:c>
    </x:row>
    <x:row r="97">
      <x:c r="A97" s="31" t="str">
        <x:v>合计</x:v>
      </x:c>
      <x:c r="B97" s="30" t="n">
        <x:v>21</x:v>
      </x:c>
      <x:c r="C97" s="30"/>
      <x:c r="D97" s="30"/>
      <x:c r="E97" s="30"/>
      <x:c r="F97" s="30"/>
      <x:c r="G97" s="30"/>
      <x:c r="H97" s="30"/>
      <x:c r="I97" s="30"/>
      <x:c r="J97" s="32" t="n">
        <x:f>ROUND(SUM(J76:J96),1)</x:f>
        <x:v>2892.8</x:v>
      </x:c>
      <x:c r="K97" s="30"/>
    </x:row>
    <x:row r="98">
      <x:c r="A98" s="31" t="str">
        <x:v>均值</x:v>
      </x:c>
      <x:c r="B98" s="30"/>
      <x:c r="C98" s="30"/>
      <x:c r="D98" s="30"/>
      <x:c r="E98" s="30"/>
      <x:c r="F98" s="30"/>
      <x:c r="G98" s="30"/>
      <x:c r="H98" s="30"/>
      <x:c r="I98" s="30"/>
      <x:c r="J98" s="34" t="n">
        <x:f>ROUND(IFERROR(AVERAGE(J76:J96),0),1)</x:f>
        <x:v>137.8</x:v>
      </x:c>
      <x:c r="K98" s="30"/>
    </x:row>
    <x:row r="100">
      <x:c r="A100" s="17" t="str">
        <x:v>5月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20" t="str">
        <x:v>序号</x:v>
      </x:c>
      <x:c r="B101" s="20" t="str">
        <x:v>星期</x:v>
      </x:c>
      <x:c r="C101" s="20" t="str">
        <x:v>日期</x:v>
      </x:c>
      <x:c r="D101" s="20" t="str">
        <x:v>开盘</x:v>
      </x:c>
      <x:c r="E101" s="20" t="str">
        <x:v>高点</x:v>
      </x:c>
      <x:c r="F101" s="20" t="str">
        <x:v>低点</x:v>
      </x:c>
      <x:c r="G101" s="20" t="str">
        <x:v>收盘</x:v>
      </x:c>
      <x:c r="H101" s="20" t="str">
        <x:v>涨跌点数</x:v>
      </x:c>
      <x:c r="I101" s="20" t="str">
        <x:v>涨幅</x:v>
      </x:c>
      <x:c r="J101" s="20" t="str">
        <x:v>振幅</x:v>
      </x:c>
      <x:c r="K101" s="20" t="str">
        <x:v>标的</x:v>
      </x:c>
    </x:row>
    <x:row r="102">
      <x:c r="A102" s="22" t="n">
        <x:v>1</x:v>
      </x:c>
      <x:c r="B102" s="22" t="str">
        <x:v>周三</x:v>
      </x:c>
      <x:c r="C102" s="22" t="str">
        <x:v>5月6日</x:v>
      </x:c>
      <x:c r="D102" s="23" t="n">
        <x:v>8377.6</x:v>
      </x:c>
      <x:c r="E102" s="23" t="n">
        <x:v>8565.4</x:v>
      </x:c>
      <x:c r="F102" s="23" t="n">
        <x:v>8375.4</x:v>
      </x:c>
      <x:c r="G102" s="23" t="n">
        <x:v>8497.6</x:v>
      </x:c>
      <x:c r="H102" s="28" t="n">
        <x:v>227.6</x:v>
      </x:c>
      <x:c r="I102" s="24" t="n">
        <x:v>0.027521160822249202</x:v>
      </x:c>
      <x:c r="J102" s="26" t="n">
        <x:f>ROUND(E102-F102,1)</x:f>
        <x:v>190</x:v>
      </x:c>
      <x:c r="K102" s="22" t="str">
        <x:v>IC2606</x:v>
      </x:c>
    </x:row>
    <x:row r="103">
      <x:c r="A103" s="22" t="n">
        <x:v>2</x:v>
      </x:c>
      <x:c r="B103" s="22" t="str">
        <x:v>周四</x:v>
      </x:c>
      <x:c r="C103" s="22" t="str">
        <x:v>5月7日</x:v>
      </x:c>
      <x:c r="D103" s="23" t="n">
        <x:v>8550.4</x:v>
      </x:c>
      <x:c r="E103" s="23" t="n">
        <x:v>8638.4</x:v>
      </x:c>
      <x:c r="F103" s="23" t="n">
        <x:v>8520.4</x:v>
      </x:c>
      <x:c r="G103" s="23" t="n">
        <x:v>8624.8</x:v>
      </x:c>
      <x:c r="H103" s="23" t="n">
        <x:v>127.2</x:v>
      </x:c>
      <x:c r="I103" s="24" t="n">
        <x:v>0.014968932404443525</x:v>
      </x:c>
      <x:c r="J103" s="23" t="n">
        <x:f>ROUND(E103-F103,1)</x:f>
        <x:v>118</x:v>
      </x:c>
      <x:c r="K103" s="22" t="str">
        <x:v>IC2606</x:v>
      </x:c>
    </x:row>
    <x:row r="104">
      <x:c r="A104" s="22" t="n">
        <x:v>3</x:v>
      </x:c>
      <x:c r="B104" s="22" t="str">
        <x:v>周五</x:v>
      </x:c>
      <x:c r="C104" s="22" t="str">
        <x:v>5月8日</x:v>
      </x:c>
      <x:c r="D104" s="23" t="n">
        <x:v>8586</x:v>
      </x:c>
      <x:c r="E104" s="23" t="n">
        <x:v>8648</x:v>
      </x:c>
      <x:c r="F104" s="23" t="n">
        <x:v>8546.4</x:v>
      </x:c>
      <x:c r="G104" s="23" t="n">
        <x:v>8620.8</x:v>
      </x:c>
      <x:c r="H104" s="23" t="n">
        <x:v>-4</x:v>
      </x:c>
      <x:c r="I104" s="24" t="n">
        <x:v>-0.0004637788702346324</x:v>
      </x:c>
      <x:c r="J104" s="23" t="n">
        <x:f>ROUND(E104-F104,1)</x:f>
        <x:v>101.6</x:v>
      </x:c>
      <x:c r="K104" s="22" t="str">
        <x:v>IC2606</x:v>
      </x:c>
    </x:row>
    <x:row r="105">
      <x:c r="A105" s="22" t="n">
        <x:v>4</x:v>
      </x:c>
      <x:c r="B105" s="22" t="str">
        <x:v>周一</x:v>
      </x:c>
      <x:c r="C105" s="22" t="str">
        <x:v>5月11日</x:v>
      </x:c>
      <x:c r="D105" s="23" t="n">
        <x:v>8691</x:v>
      </x:c>
      <x:c r="E105" s="23" t="n">
        <x:v>8791</x:v>
      </x:c>
      <x:c r="F105" s="23" t="n">
        <x:v>8628.4</x:v>
      </x:c>
      <x:c r="G105" s="23" t="n">
        <x:v>8738.6</x:v>
      </x:c>
      <x:c r="H105" s="23" t="n">
        <x:v>117.8</x:v>
      </x:c>
      <x:c r="I105" s="24" t="n">
        <x:v>0.013664625092798977</x:v>
      </x:c>
      <x:c r="J105" s="26" t="n">
        <x:f>ROUND(E105-F105,1)</x:f>
        <x:v>162.6</x:v>
      </x:c>
      <x:c r="K105" s="22" t="str">
        <x:v>IC2606</x:v>
      </x:c>
    </x:row>
    <x:row r="106">
      <x:c r="A106" s="22" t="n">
        <x:v>5</x:v>
      </x:c>
      <x:c r="B106" s="22" t="str">
        <x:v>周二</x:v>
      </x:c>
      <x:c r="C106" s="22" t="str">
        <x:v>5月12日</x:v>
      </x:c>
      <x:c r="D106" s="23" t="n">
        <x:v>8753.2</x:v>
      </x:c>
      <x:c r="E106" s="23" t="n">
        <x:v>8754</x:v>
      </x:c>
      <x:c r="F106" s="23" t="n">
        <x:v>8656.2</x:v>
      </x:c>
      <x:c r="G106" s="23" t="n">
        <x:v>8695.4</x:v>
      </x:c>
      <x:c r="H106" s="23" t="n">
        <x:v>-43.2</x:v>
      </x:c>
      <x:c r="I106" s="24" t="n">
        <x:v>-0.004943583640400151</x:v>
      </x:c>
      <x:c r="J106" s="23" t="n">
        <x:f>ROUND(E106-F106,1)</x:f>
        <x:v>97.8</x:v>
      </x:c>
      <x:c r="K106" s="22" t="str">
        <x:v>IC2606</x:v>
      </x:c>
    </x:row>
    <x:row r="107">
      <x:c r="A107" s="22" t="n">
        <x:v>6</x:v>
      </x:c>
      <x:c r="B107" s="22" t="str">
        <x:v>周三</x:v>
      </x:c>
      <x:c r="C107" s="22" t="str">
        <x:v>5月13日</x:v>
      </x:c>
      <x:c r="D107" s="23" t="n">
        <x:v>8666</x:v>
      </x:c>
      <x:c r="E107" s="23" t="n">
        <x:v>8866.6</x:v>
      </x:c>
      <x:c r="F107" s="23" t="n">
        <x:v>8653</x:v>
      </x:c>
      <x:c r="G107" s="23" t="n">
        <x:v>8850.2</x:v>
      </x:c>
      <x:c r="H107" s="28" t="n">
        <x:v>154.8</x:v>
      </x:c>
      <x:c r="I107" s="24" t="n">
        <x:v>0.017802516272972024</x:v>
      </x:c>
      <x:c r="J107" s="26" t="n">
        <x:f>ROUND(E107-F107,1)</x:f>
        <x:v>213.6</x:v>
      </x:c>
      <x:c r="K107" s="22" t="str">
        <x:v>IC2606</x:v>
      </x:c>
    </x:row>
    <x:row r="108">
      <x:c r="A108" s="22" t="n">
        <x:v>7</x:v>
      </x:c>
      <x:c r="B108" s="22" t="str">
        <x:v>周四</x:v>
      </x:c>
      <x:c r="C108" s="22" t="str">
        <x:v>5月14日</x:v>
      </x:c>
      <x:c r="D108" s="23" t="n">
        <x:v>8870</x:v>
      </x:c>
      <x:c r="E108" s="23" t="n">
        <x:v>8886.8</x:v>
      </x:c>
      <x:c r="F108" s="23" t="n">
        <x:v>8603.4</x:v>
      </x:c>
      <x:c r="G108" s="23" t="n">
        <x:v>8608</x:v>
      </x:c>
      <x:c r="H108" s="28" t="n">
        <x:v>-242.2</x:v>
      </x:c>
      <x:c r="I108" s="24" t="n">
        <x:v>-0.027366613183882893</x:v>
      </x:c>
      <x:c r="J108" s="26" t="n">
        <x:f>ROUND(E108-F108,1)</x:f>
        <x:v>283.4</x:v>
      </x:c>
      <x:c r="K108" s="22" t="str">
        <x:v>IC2606</x:v>
      </x:c>
    </x:row>
    <x:row r="109">
      <x:c r="A109" s="41" t="n">
        <x:v>8</x:v>
      </x:c>
      <x:c r="B109" s="41" t="str">
        <x:v>周五</x:v>
      </x:c>
      <x:c r="C109" s="41" t="str">
        <x:v>5月15日</x:v>
      </x:c>
      <x:c r="D109" s="42" t="n">
        <x:v>8622.2</x:v>
      </x:c>
      <x:c r="E109" s="42" t="n">
        <x:v>8652.2</x:v>
      </x:c>
      <x:c r="F109" s="42" t="n">
        <x:v>8378.2</x:v>
      </x:c>
      <x:c r="G109" s="42" t="n">
        <x:v>8448.8</x:v>
      </x:c>
      <x:c r="H109" s="28" t="n">
        <x:v>-159.2</x:v>
      </x:c>
      <x:c r="I109" s="43" t="n">
        <x:v>-0.018494423791821646</x:v>
      </x:c>
      <x:c r="J109" s="26" t="n">
        <x:f>ROUND(E109-F109,1)</x:f>
        <x:v>274</x:v>
      </x:c>
      <x:c r="K109" s="41" t="str">
        <x:v>IC2606</x:v>
      </x:c>
    </x:row>
    <x:row r="110">
      <x:c r="A110" s="22" t="n">
        <x:v>9</x:v>
      </x:c>
      <x:c r="B110" s="22" t="str">
        <x:v>周一</x:v>
      </x:c>
      <x:c r="C110" s="22" t="str">
        <x:v>5月18日</x:v>
      </x:c>
      <x:c r="D110" s="23" t="n">
        <x:v>8418.4</x:v>
      </x:c>
      <x:c r="E110" s="23" t="n">
        <x:v>8545</x:v>
      </x:c>
      <x:c r="F110" s="23" t="n">
        <x:v>8403.2</x:v>
      </x:c>
      <x:c r="G110" s="23" t="n">
        <x:v>8479.2</x:v>
      </x:c>
      <x:c r="H110" s="23" t="n">
        <x:v>30.4</x:v>
      </x:c>
      <x:c r="I110" s="24" t="n">
        <x:v>0.0035981441151407</x:v>
      </x:c>
      <x:c r="J110" s="23" t="n">
        <x:f>ROUND(E110-F110,1)</x:f>
        <x:v>141.8</x:v>
      </x:c>
      <x:c r="K110" s="22" t="str">
        <x:v>IC2606</x:v>
      </x:c>
    </x:row>
    <x:row r="111">
      <x:c r="A111" s="22" t="n">
        <x:v>10</x:v>
      </x:c>
      <x:c r="B111" s="22" t="str">
        <x:v>周二</x:v>
      </x:c>
      <x:c r="C111" s="22" t="str">
        <x:v>5月19日</x:v>
      </x:c>
      <x:c r="D111" s="23" t="n">
        <x:v>8455</x:v>
      </x:c>
      <x:c r="E111" s="23" t="n">
        <x:v>8542.8</x:v>
      </x:c>
      <x:c r="F111" s="23" t="n">
        <x:v>8324.6</x:v>
      </x:c>
      <x:c r="G111" s="23" t="n">
        <x:v>8535.2</x:v>
      </x:c>
      <x:c r="H111" s="23" t="n">
        <x:v>56</x:v>
      </x:c>
      <x:c r="I111" s="24" t="n">
        <x:v>0.006604396641192611</x:v>
      </x:c>
      <x:c r="J111" s="26" t="n">
        <x:f>ROUND(E111-F111,1)</x:f>
        <x:v>218.2</x:v>
      </x:c>
      <x:c r="K111" s="22" t="str">
        <x:v>IC2606</x:v>
      </x:c>
    </x:row>
    <x:row r="112">
      <x:c r="A112" s="22" t="n">
        <x:v>11</x:v>
      </x:c>
      <x:c r="B112" s="22" t="str">
        <x:v>周三</x:v>
      </x:c>
      <x:c r="C112" s="22" t="str">
        <x:v>5月20日</x:v>
      </x:c>
      <x:c r="D112" s="23" t="n">
        <x:v>8516</x:v>
      </x:c>
      <x:c r="E112" s="23" t="n">
        <x:v>8586.8</x:v>
      </x:c>
      <x:c r="F112" s="23" t="n">
        <x:v>8450</x:v>
      </x:c>
      <x:c r="G112" s="23" t="n">
        <x:v>8573.8</x:v>
      </x:c>
      <x:c r="H112" s="23" t="n">
        <x:v>38.6</x:v>
      </x:c>
      <x:c r="I112" s="24" t="n">
        <x:v>0.004522448214453023</x:v>
      </x:c>
      <x:c r="J112" s="23" t="n">
        <x:f>ROUND(E112-F112,1)</x:f>
        <x:v>136.8</x:v>
      </x:c>
      <x:c r="K112" s="22" t="str">
        <x:v>IC2606</x:v>
      </x:c>
    </x:row>
    <x:row r="113">
      <x:c r="A113" s="22" t="n">
        <x:v>12</x:v>
      </x:c>
      <x:c r="B113" s="22" t="str">
        <x:v>周四</x:v>
      </x:c>
      <x:c r="C113" s="22" t="str">
        <x:v>5月21日</x:v>
      </x:c>
      <x:c r="D113" s="23" t="n">
        <x:v>8650.8</x:v>
      </x:c>
      <x:c r="E113" s="23" t="n">
        <x:v>8728</x:v>
      </x:c>
      <x:c r="F113" s="23" t="n">
        <x:v>8310</x:v>
      </x:c>
      <x:c r="G113" s="23" t="n">
        <x:v>8326.8</x:v>
      </x:c>
      <x:c r="H113" s="28" t="n">
        <x:v>-247</x:v>
      </x:c>
      <x:c r="I113" s="24" t="n">
        <x:v>-0.02880869626070126</x:v>
      </x:c>
      <x:c r="J113" s="26" t="n">
        <x:f>ROUND(E113-F113,1)</x:f>
        <x:v>418</x:v>
      </x:c>
      <x:c r="K113" s="22" t="str">
        <x:v>IC2606</x:v>
      </x:c>
    </x:row>
    <x:row r="114">
      <x:c r="A114" s="22" t="n">
        <x:v>13</x:v>
      </x:c>
      <x:c r="B114" s="22" t="str">
        <x:v>周五</x:v>
      </x:c>
      <x:c r="C114" s="22" t="str">
        <x:v>5月22日</x:v>
      </x:c>
      <x:c r="D114" s="23" t="n">
        <x:v>8401</x:v>
      </x:c>
      <x:c r="E114" s="23" t="n">
        <x:v>8532.6</x:v>
      </x:c>
      <x:c r="F114" s="23" t="n">
        <x:v>8357.8</x:v>
      </x:c>
      <x:c r="G114" s="23" t="n">
        <x:v>8469.2</x:v>
      </x:c>
      <x:c r="H114" s="23" t="n">
        <x:v>142.4</x:v>
      </x:c>
      <x:c r="I114" s="24" t="n">
        <x:v>0.01710140750348299</x:v>
      </x:c>
      <x:c r="J114" s="26" t="n">
        <x:f>ROUND(E114-F114,1)</x:f>
        <x:v>174.8</x:v>
      </x:c>
      <x:c r="K114" s="22" t="str">
        <x:v>IC2606</x:v>
      </x:c>
    </x:row>
    <x:row r="115">
      <x:c r="A115" s="22" t="n">
        <x:v>14</x:v>
      </x:c>
      <x:c r="B115" s="22" t="str">
        <x:v>周一</x:v>
      </x:c>
      <x:c r="C115" s="22" t="str">
        <x:v>5月25日</x:v>
      </x:c>
      <x:c r="D115" s="23" t="n">
        <x:v>8543</x:v>
      </x:c>
      <x:c r="E115" s="23" t="n">
        <x:v>8603.8</x:v>
      </x:c>
      <x:c r="F115" s="23" t="n">
        <x:v>8444.2</x:v>
      </x:c>
      <x:c r="G115" s="23" t="n">
        <x:v>8582.8</x:v>
      </x:c>
      <x:c r="H115" s="23" t="n">
        <x:v>113.6</x:v>
      </x:c>
      <x:c r="I115" s="24" t="n">
        <x:v>0.013413309403485396</x:v>
      </x:c>
      <x:c r="J115" s="26" t="n">
        <x:f>ROUND(E115-F115,1)</x:f>
        <x:v>159.6</x:v>
      </x:c>
      <x:c r="K115" s="22" t="str">
        <x:v>IC2606</x:v>
      </x:c>
    </x:row>
    <x:row r="116">
      <x:c r="A116" s="22" t="n">
        <x:v>15</x:v>
      </x:c>
      <x:c r="B116" s="22" t="str">
        <x:v>周二</x:v>
      </x:c>
      <x:c r="C116" s="22" t="str">
        <x:v>5月26日</x:v>
      </x:c>
      <x:c r="D116" s="23" t="n">
        <x:v>8563.2</x:v>
      </x:c>
      <x:c r="E116" s="23" t="n">
        <x:v>8576.6</x:v>
      </x:c>
      <x:c r="F116" s="23" t="n">
        <x:v>8425</x:v>
      </x:c>
      <x:c r="G116" s="23" t="n">
        <x:v>8565</x:v>
      </x:c>
      <x:c r="H116" s="23" t="n">
        <x:v>-17.8</x:v>
      </x:c>
      <x:c r="I116" s="24" t="n">
        <x:v>-0.0020739152724051912</x:v>
      </x:c>
      <x:c r="J116" s="26" t="n">
        <x:f>ROUND(E116-F116,1)</x:f>
        <x:v>151.6</x:v>
      </x:c>
      <x:c r="K116" s="22" t="str">
        <x:v>IC2606</x:v>
      </x:c>
    </x:row>
    <x:row r="117">
      <x:c r="A117" s="22" t="n">
        <x:v>16</x:v>
      </x:c>
      <x:c r="B117" s="22" t="str">
        <x:v>周三</x:v>
      </x:c>
      <x:c r="C117" s="22" t="str">
        <x:v>5月27日</x:v>
      </x:c>
      <x:c r="D117" s="23" t="n">
        <x:v>8566</x:v>
      </x:c>
      <x:c r="E117" s="23" t="n">
        <x:v>8658.2</x:v>
      </x:c>
      <x:c r="F117" s="23" t="n">
        <x:v>8372.2</x:v>
      </x:c>
      <x:c r="G117" s="23" t="n">
        <x:v>8415.8</x:v>
      </x:c>
      <x:c r="H117" s="23" t="n">
        <x:v>-149.2</x:v>
      </x:c>
      <x:c r="I117" s="24" t="n">
        <x:v>-0.017419731465265653</x:v>
      </x:c>
      <x:c r="J117" s="26" t="n">
        <x:f>ROUND(E117-F117,1)</x:f>
        <x:v>286</x:v>
      </x:c>
      <x:c r="K117" s="22" t="str">
        <x:v>IC2606</x:v>
      </x:c>
    </x:row>
    <x:row r="118">
      <x:c r="A118" s="22" t="n">
        <x:v>17</x:v>
      </x:c>
      <x:c r="B118" s="22" t="str">
        <x:v>周四</x:v>
      </x:c>
      <x:c r="C118" s="22" t="str">
        <x:v>5月28日</x:v>
      </x:c>
      <x:c r="D118" s="23" t="n">
        <x:v>8410.2</x:v>
      </x:c>
      <x:c r="E118" s="23" t="n">
        <x:v>8526.2</x:v>
      </x:c>
      <x:c r="F118" s="23" t="n">
        <x:v>8321.6</x:v>
      </x:c>
      <x:c r="G118" s="23" t="n">
        <x:v>8458</x:v>
      </x:c>
      <x:c r="H118" s="23" t="n">
        <x:v>42.2</x:v>
      </x:c>
      <x:c r="I118" s="24" t="n">
        <x:v>0.005014377718101759</x:v>
      </x:c>
      <x:c r="J118" s="26" t="n">
        <x:f>ROUND(E118-F118,1)</x:f>
        <x:v>204.6</x:v>
      </x:c>
      <x:c r="K118" s="22" t="str">
        <x:v>IC2606</x:v>
      </x:c>
    </x:row>
    <x:row r="119">
      <x:c r="A119" s="22" t="n">
        <x:v>18</x:v>
      </x:c>
      <x:c r="B119" s="22" t="str">
        <x:v>周五</x:v>
      </x:c>
      <x:c r="C119" s="22" t="str">
        <x:v>5月29日</x:v>
      </x:c>
      <x:c r="D119" s="23" t="n">
        <x:v>8500</x:v>
      </x:c>
      <x:c r="E119" s="23" t="n">
        <x:v>8518</x:v>
      </x:c>
      <x:c r="F119" s="23" t="n">
        <x:v>8218.2</x:v>
      </x:c>
      <x:c r="G119" s="23" t="n">
        <x:v>8274.6</x:v>
      </x:c>
      <x:c r="H119" s="28" t="n">
        <x:v>-183.4</x:v>
      </x:c>
      <x:c r="I119" s="24" t="n">
        <x:v>-0.02168361314731615</x:v>
      </x:c>
      <x:c r="J119" s="26" t="n">
        <x:f>ROUND(E119-F119,1)</x:f>
        <x:v>299.8</x:v>
      </x:c>
      <x:c r="K119" s="22" t="str">
        <x:v>IC2606</x:v>
      </x:c>
    </x:row>
    <x:row r="120">
      <x:c r="A120" s="31" t="str">
        <x:v>合计</x:v>
      </x:c>
      <x:c r="B120" s="30" t="n">
        <x:v>18</x:v>
      </x:c>
      <x:c r="C120" s="30"/>
      <x:c r="D120" s="30"/>
      <x:c r="E120" s="30"/>
      <x:c r="F120" s="30"/>
      <x:c r="G120" s="30"/>
      <x:c r="H120" s="30"/>
      <x:c r="I120" s="30"/>
      <x:c r="J120" s="32" t="n">
        <x:f>ROUND(SUM(J102:J119),1)</x:f>
        <x:v>3632.2</x:v>
      </x:c>
      <x:c r="K120" s="30"/>
    </x:row>
    <x:row r="121">
      <x:c r="A121" s="31" t="str">
        <x:v>均值</x:v>
      </x:c>
      <x:c r="B121" s="30"/>
      <x:c r="C121" s="30"/>
      <x:c r="D121" s="30"/>
      <x:c r="E121" s="30"/>
      <x:c r="F121" s="30"/>
      <x:c r="G121" s="30"/>
      <x:c r="H121" s="30"/>
      <x:c r="I121" s="30"/>
      <x:c r="J121" s="34" t="n">
        <x:f>ROUND(IFERROR(AVERAGE(J102:J119),0),1)</x:f>
        <x:v>201.8</x:v>
      </x:c>
      <x:c r="K121" s="30"/>
    </x:row>
    <x:row r="123">
      <x:c r="A123" s="17" t="str">
        <x:v>6月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20" t="str">
        <x:v>序号</x:v>
      </x:c>
      <x:c r="B124" s="20" t="str">
        <x:v>星期</x:v>
      </x:c>
      <x:c r="C124" s="20" t="str">
        <x:v>日期</x:v>
      </x:c>
      <x:c r="D124" s="20" t="str">
        <x:v>开盘</x:v>
      </x:c>
      <x:c r="E124" s="20" t="str">
        <x:v>高点</x:v>
      </x:c>
      <x:c r="F124" s="20" t="str">
        <x:v>低点</x:v>
      </x:c>
      <x:c r="G124" s="20" t="str">
        <x:v>收盘</x:v>
      </x:c>
      <x:c r="H124" s="20" t="str">
        <x:v>涨跌点数</x:v>
      </x:c>
      <x:c r="I124" s="20" t="str">
        <x:v>涨幅</x:v>
      </x:c>
      <x:c r="J124" s="20" t="str">
        <x:v>振幅</x:v>
      </x:c>
      <x:c r="K124" s="20" t="str">
        <x:v>标的</x:v>
      </x:c>
    </x:row>
    <x:row r="125">
      <x:c r="A125" s="22" t="n">
        <x:v>1</x:v>
      </x:c>
      <x:c r="B125" s="22" t="str">
        <x:v>周一</x:v>
      </x:c>
      <x:c r="C125" s="22" t="str">
        <x:v>6月1日</x:v>
      </x:c>
      <x:c r="D125" s="23" t="n">
        <x:v>8298</x:v>
      </x:c>
      <x:c r="E125" s="23" t="n">
        <x:v>8383</x:v>
      </x:c>
      <x:c r="F125" s="23" t="n">
        <x:v>8206</x:v>
      </x:c>
      <x:c r="G125" s="23" t="n">
        <x:v>8225.2</x:v>
      </x:c>
      <x:c r="H125" s="23" t="n">
        <x:v>-49.4</x:v>
      </x:c>
      <x:c r="I125" s="24" t="n">
        <x:v>-0.005970077103424898</x:v>
      </x:c>
      <x:c r="J125" s="26" t="n">
        <x:f>ROUND(E125-F125,1)</x:f>
        <x:v>177</x:v>
      </x:c>
      <x:c r="K125" s="22" t="str">
        <x:v>IC2606</x:v>
      </x:c>
    </x:row>
    <x:row r="126">
      <x:c r="A126" s="22" t="n">
        <x:v>2</x:v>
      </x:c>
      <x:c r="B126" s="22" t="str">
        <x:v>周二</x:v>
      </x:c>
      <x:c r="C126" s="22" t="str">
        <x:v>6月2日</x:v>
      </x:c>
      <x:c r="D126" s="23" t="n">
        <x:v>8270</x:v>
      </x:c>
      <x:c r="E126" s="23" t="n">
        <x:v>8343.2</x:v>
      </x:c>
      <x:c r="F126" s="23" t="n">
        <x:v>8101.6</x:v>
      </x:c>
      <x:c r="G126" s="23" t="n">
        <x:v>8260.4</x:v>
      </x:c>
      <x:c r="H126" s="23" t="n">
        <x:v>35.2</x:v>
      </x:c>
      <x:c r="I126" s="24" t="n">
        <x:v>0.004279531196809572</x:v>
      </x:c>
      <x:c r="J126" s="26" t="n">
        <x:f>ROUND(E126-F126,1)</x:f>
        <x:v>241.6</x:v>
      </x:c>
      <x:c r="K126" s="22" t="str">
        <x:v>IC2606</x:v>
      </x:c>
    </x:row>
    <x:row r="127">
      <x:c r="A127" s="22" t="n">
        <x:v>3</x:v>
      </x:c>
      <x:c r="B127" s="22" t="str">
        <x:v>周三</x:v>
      </x:c>
      <x:c r="C127" s="22" t="str">
        <x:v>6月3日</x:v>
      </x:c>
      <x:c r="D127" s="23" t="n">
        <x:v>8260.8</x:v>
      </x:c>
      <x:c r="E127" s="23" t="n">
        <x:v>8425</x:v>
      </x:c>
      <x:c r="F127" s="23" t="n">
        <x:v>8241</x:v>
      </x:c>
      <x:c r="G127" s="23" t="n">
        <x:v>8314.2</x:v>
      </x:c>
      <x:c r="H127" s="23" t="n">
        <x:v>53.8</x:v>
      </x:c>
      <x:c r="I127" s="24" t="n">
        <x:v>0.006513001791681017</x:v>
      </x:c>
      <x:c r="J127" s="26" t="n">
        <x:f>ROUND(E127-F127,1)</x:f>
        <x:v>184</x:v>
      </x:c>
      <x:c r="K127" s="22" t="str">
        <x:v>IC2606</x:v>
      </x:c>
    </x:row>
    <x:row r="128">
      <x:c r="A128" s="22" t="n">
        <x:v>4</x:v>
      </x:c>
      <x:c r="B128" s="22" t="str">
        <x:v>周四</x:v>
      </x:c>
      <x:c r="C128" s="22" t="str">
        <x:v>6月4日</x:v>
      </x:c>
      <x:c r="D128" s="23" t="n">
        <x:v>8272</x:v>
      </x:c>
      <x:c r="E128" s="23" t="n">
        <x:v>8351.8</x:v>
      </x:c>
      <x:c r="F128" s="23" t="n">
        <x:v>8256</x:v>
      </x:c>
      <x:c r="G128" s="23" t="n">
        <x:v>8300.2</x:v>
      </x:c>
      <x:c r="H128" s="23" t="n">
        <x:v>-14</x:v>
      </x:c>
      <x:c r="I128" s="24" t="n">
        <x:v>-0.0016838661566958013</x:v>
      </x:c>
      <x:c r="J128" s="23" t="n">
        <x:f>ROUND(E128-F128,1)</x:f>
        <x:v>95.8</x:v>
      </x:c>
      <x:c r="K128" s="22" t="str">
        <x:v>IC2606</x:v>
      </x:c>
    </x:row>
    <x:row r="129">
      <x:c r="A129" s="22" t="n">
        <x:v>5</x:v>
      </x:c>
      <x:c r="B129" s="22" t="str">
        <x:v>周五</x:v>
      </x:c>
      <x:c r="C129" s="22" t="str">
        <x:v>6月5日</x:v>
      </x:c>
      <x:c r="D129" s="23" t="n">
        <x:v>8254.2</x:v>
      </x:c>
      <x:c r="E129" s="23" t="n">
        <x:v>8354.6</x:v>
      </x:c>
      <x:c r="F129" s="23" t="n">
        <x:v>8161</x:v>
      </x:c>
      <x:c r="G129" s="23" t="n">
        <x:v>8190.6</x:v>
      </x:c>
      <x:c r="H129" s="23" t="n">
        <x:v>-109.6</x:v>
      </x:c>
      <x:c r="I129" s="24" t="n">
        <x:v>-0.013204501096359178</x:v>
      </x:c>
      <x:c r="J129" s="26" t="n">
        <x:f>ROUND(E129-F129,1)</x:f>
        <x:v>193.6</x:v>
      </x:c>
      <x:c r="K129" s="22" t="str">
        <x:v>IC2606</x:v>
      </x:c>
    </x:row>
    <x:row r="130">
      <x:c r="A130" s="22" t="n">
        <x:v>6</x:v>
      </x:c>
      <x:c r="B130" s="22" t="str">
        <x:v>周一</x:v>
      </x:c>
      <x:c r="C130" s="22" t="str">
        <x:v>6月8日</x:v>
      </x:c>
      <x:c r="D130" s="23" t="n">
        <x:v>8050</x:v>
      </x:c>
      <x:c r="E130" s="23" t="n">
        <x:v>8095.2</x:v>
      </x:c>
      <x:c r="F130" s="23" t="n">
        <x:v>7838</x:v>
      </x:c>
      <x:c r="G130" s="23" t="n">
        <x:v>7935</x:v>
      </x:c>
      <x:c r="H130" s="28" t="n">
        <x:v>-255.6</x:v>
      </x:c>
      <x:c r="I130" s="24" t="n">
        <x:v>-0.031206505017947417</x:v>
      </x:c>
      <x:c r="J130" s="26" t="n">
        <x:f>ROUND(E130-F130,1)</x:f>
        <x:v>257.2</x:v>
      </x:c>
      <x:c r="K130" s="22" t="str">
        <x:v>IC2606</x:v>
      </x:c>
    </x:row>
    <x:row r="131">
      <x:c r="A131" s="22" t="n">
        <x:v>7</x:v>
      </x:c>
      <x:c r="B131" s="22" t="str">
        <x:v>周二</x:v>
      </x:c>
      <x:c r="C131" s="22" t="str">
        <x:v>6月9日</x:v>
      </x:c>
      <x:c r="D131" s="23" t="n">
        <x:v>7986</x:v>
      </x:c>
      <x:c r="E131" s="23" t="n">
        <x:v>8133.8</x:v>
      </x:c>
      <x:c r="F131" s="23" t="n">
        <x:v>7912</x:v>
      </x:c>
      <x:c r="G131" s="23" t="n">
        <x:v>8112.4</x:v>
      </x:c>
      <x:c r="H131" s="28" t="n">
        <x:v>177.4</x:v>
      </x:c>
      <x:c r="I131" s="24" t="n">
        <x:v>0.022356647763075</x:v>
      </x:c>
      <x:c r="J131" s="26" t="n">
        <x:f>ROUND(E131-F131,1)</x:f>
        <x:v>221.8</x:v>
      </x:c>
      <x:c r="K131" s="22" t="str">
        <x:v>IC2606</x:v>
      </x:c>
    </x:row>
    <x:row r="132">
      <x:c r="A132" s="22" t="n">
        <x:v>8</x:v>
      </x:c>
      <x:c r="B132" s="22" t="str">
        <x:v>周三</x:v>
      </x:c>
      <x:c r="C132" s="22" t="str">
        <x:v>6月10日</x:v>
      </x:c>
      <x:c r="D132" s="23" t="n">
        <x:v>8048.8</x:v>
      </x:c>
      <x:c r="E132" s="23" t="n">
        <x:v>8085.2</x:v>
      </x:c>
      <x:c r="F132" s="23" t="n">
        <x:v>7921.8</x:v>
      </x:c>
      <x:c r="G132" s="23" t="n">
        <x:v>8024.2</x:v>
      </x:c>
      <x:c r="H132" s="23" t="n">
        <x:v>-88.2</x:v>
      </x:c>
      <x:c r="I132" s="24" t="n">
        <x:v>-0.010872244958335386</x:v>
      </x:c>
      <x:c r="J132" s="26" t="n">
        <x:f>ROUND(E132-F132,1)</x:f>
        <x:v>163.4</x:v>
      </x:c>
      <x:c r="K132" s="22" t="str">
        <x:v>IC2606</x:v>
      </x:c>
    </x:row>
    <x:row r="133">
      <x:c r="A133" s="22" t="n">
        <x:v>9</x:v>
      </x:c>
      <x:c r="B133" s="22" t="str">
        <x:v>周四</x:v>
      </x:c>
      <x:c r="C133" s="22" t="str">
        <x:v>6月11日</x:v>
      </x:c>
      <x:c r="D133" s="23" t="n">
        <x:v>8007.4</x:v>
      </x:c>
      <x:c r="E133" s="23" t="n">
        <x:v>8052.2</x:v>
      </x:c>
      <x:c r="F133" s="23" t="n">
        <x:v>7915</x:v>
      </x:c>
      <x:c r="G133" s="23" t="n">
        <x:v>7990.8</x:v>
      </x:c>
      <x:c r="H133" s="23" t="n">
        <x:v>-33.4</x:v>
      </x:c>
      <x:c r="I133" s="24" t="n">
        <x:v>-0.0041624087136411525</x:v>
      </x:c>
      <x:c r="J133" s="23" t="n">
        <x:f>ROUND(E133-F133,1)</x:f>
        <x:v>137.2</x:v>
      </x:c>
      <x:c r="K133" s="22" t="str">
        <x:v>IC2606</x:v>
      </x:c>
    </x:row>
    <x:row r="134">
      <x:c r="A134" s="22" t="n">
        <x:v>10</x:v>
      </x:c>
      <x:c r="B134" s="22" t="str">
        <x:v>周五</x:v>
      </x:c>
      <x:c r="C134" s="22" t="str">
        <x:v>6月12日</x:v>
      </x:c>
      <x:c r="D134" s="23" t="n">
        <x:v>8130</x:v>
      </x:c>
      <x:c r="E134" s="23" t="n">
        <x:v>8237.6</x:v>
      </x:c>
      <x:c r="F134" s="23" t="n">
        <x:v>8077</x:v>
      </x:c>
      <x:c r="G134" s="23" t="n">
        <x:v>8117.2</x:v>
      </x:c>
      <x:c r="H134" s="23" t="n">
        <x:v>126.4</x:v>
      </x:c>
      <x:c r="I134" s="24" t="n">
        <x:v>0.015818190919557384</x:v>
      </x:c>
      <x:c r="J134" s="26" t="n">
        <x:f>ROUND(E134-F134,1)</x:f>
        <x:v>160.6</x:v>
      </x:c>
      <x:c r="K134" s="22" t="str">
        <x:v>IC2606</x:v>
      </x:c>
    </x:row>
    <x:row r="135">
      <x:c r="A135" s="22" t="n">
        <x:v>11</x:v>
      </x:c>
      <x:c r="B135" s="22" t="str">
        <x:v>周一</x:v>
      </x:c>
      <x:c r="C135" s="22" t="str">
        <x:v>6月15日</x:v>
      </x:c>
      <x:c r="D135" s="23" t="n">
        <x:v>8181.2</x:v>
      </x:c>
      <x:c r="E135" s="23" t="n">
        <x:v>8385</x:v>
      </x:c>
      <x:c r="F135" s="23" t="n">
        <x:v>8181.2</x:v>
      </x:c>
      <x:c r="G135" s="23" t="n">
        <x:v>8384.8</x:v>
      </x:c>
      <x:c r="H135" s="28" t="n">
        <x:v>267.6</x:v>
      </x:c>
      <x:c r="I135" s="24" t="n">
        <x:v>0.03296703296703285</x:v>
      </x:c>
      <x:c r="J135" s="26" t="n">
        <x:f>ROUND(E135-F135,1)</x:f>
        <x:v>203.8</x:v>
      </x:c>
      <x:c r="K135" s="22" t="str">
        <x:v>IC2606</x:v>
      </x:c>
    </x:row>
    <x:row r="136">
      <x:c r="A136" s="22" t="n">
        <x:v>12</x:v>
      </x:c>
      <x:c r="B136" s="22" t="str">
        <x:v>周二</x:v>
      </x:c>
      <x:c r="C136" s="22" t="str">
        <x:v>6月16日</x:v>
      </x:c>
      <x:c r="D136" s="23" t="n">
        <x:v>8369</x:v>
      </x:c>
      <x:c r="E136" s="23" t="n">
        <x:v>8514.4</x:v>
      </x:c>
      <x:c r="F136" s="23" t="n">
        <x:v>8362.2</x:v>
      </x:c>
      <x:c r="G136" s="23" t="n">
        <x:v>8475.8</x:v>
      </x:c>
      <x:c r="H136" s="23" t="n">
        <x:v>91</x:v>
      </x:c>
      <x:c r="I136" s="24" t="n">
        <x:v>0.010852972044652187</x:v>
      </x:c>
      <x:c r="J136" s="26" t="n">
        <x:f>ROUND(E136-F136,1)</x:f>
        <x:v>152.2</x:v>
      </x:c>
      <x:c r="K136" s="22" t="str">
        <x:v>IC2606</x:v>
      </x:c>
    </x:row>
    <x:row r="137">
      <x:c r="A137" s="22" t="n">
        <x:v>13</x:v>
      </x:c>
      <x:c r="B137" s="22" t="str">
        <x:v>周三</x:v>
      </x:c>
      <x:c r="C137" s="22" t="str">
        <x:v>6月17日</x:v>
      </x:c>
      <x:c r="D137" s="23" t="n">
        <x:v>8458</x:v>
      </x:c>
      <x:c r="E137" s="23" t="n">
        <x:v>8616.6</x:v>
      </x:c>
      <x:c r="F137" s="23" t="n">
        <x:v>8444.4</x:v>
      </x:c>
      <x:c r="G137" s="23" t="n">
        <x:v>8613.2</x:v>
      </x:c>
      <x:c r="H137" s="23" t="n">
        <x:v>137.4</x:v>
      </x:c>
      <x:c r="I137" s="24" t="n">
        <x:v>0.01621085915193854</x:v>
      </x:c>
      <x:c r="J137" s="26" t="n">
        <x:f>ROUND(E137-F137,1)</x:f>
        <x:v>172.2</x:v>
      </x:c>
      <x:c r="K137" s="22" t="str">
        <x:v>IC2606</x:v>
      </x:c>
    </x:row>
    <x:row r="138">
      <x:c r="A138" s="22" t="n">
        <x:v>14</x:v>
      </x:c>
      <x:c r="B138" s="22" t="str">
        <x:v>周四</x:v>
      </x:c>
      <x:c r="C138" s="22" t="str">
        <x:v>6月18日</x:v>
      </x:c>
      <x:c r="D138" s="23" t="n">
        <x:v>8580.6</x:v>
      </x:c>
      <x:c r="E138" s="23" t="n">
        <x:v>8718</x:v>
      </x:c>
      <x:c r="F138" s="23" t="n">
        <x:v>8571</x:v>
      </x:c>
      <x:c r="G138" s="23" t="n">
        <x:v>8682.8</x:v>
      </x:c>
      <x:c r="H138" s="23" t="n">
        <x:v>69.6</x:v>
      </x:c>
      <x:c r="I138" s="24" t="n">
        <x:v>0.008080620443040809</x:v>
      </x:c>
      <x:c r="J138" s="23" t="n">
        <x:f>ROUND(E138-F138,1)</x:f>
        <x:v>147</x:v>
      </x:c>
      <x:c r="K138" s="22" t="str">
        <x:v>IC2606</x:v>
      </x:c>
    </x:row>
    <x:row r="139">
      <x:c r="A139" s="41" t="n">
        <x:v>15</x:v>
      </x:c>
      <x:c r="B139" s="41" t="str">
        <x:v>周一</x:v>
      </x:c>
      <x:c r="C139" s="41" t="str">
        <x:v>6月22日</x:v>
      </x:c>
      <x:c r="D139" s="42" t="n">
        <x:v>8692.8</x:v>
      </x:c>
      <x:c r="E139" s="42" t="n">
        <x:v>8778.8</x:v>
      </x:c>
      <x:c r="F139" s="42" t="n">
        <x:v>8607.4</x:v>
      </x:c>
      <x:c r="G139" s="42" t="n">
        <x:v>8778.2</x:v>
      </x:c>
      <x:c r="H139" s="42" t="n">
        <x:v>95.4</x:v>
      </x:c>
      <x:c r="I139" s="43" t="n">
        <x:v>0.010987239139448324</x:v>
      </x:c>
      <x:c r="J139" s="26" t="n">
        <x:f>ROUND(E139-F139,1)</x:f>
        <x:v>171.4</x:v>
      </x:c>
      <x:c r="K139" s="41" t="str">
        <x:v>IC2606</x:v>
      </x:c>
    </x:row>
    <x:row r="140">
      <x:c r="A140" s="22" t="n">
        <x:v>16</x:v>
      </x:c>
      <x:c r="B140" s="22" t="str">
        <x:v>周二</x:v>
      </x:c>
      <x:c r="C140" s="22" t="str">
        <x:v>6月23日</x:v>
      </x:c>
      <x:c r="D140" s="23" t="n">
        <x:v>8630</x:v>
      </x:c>
      <x:c r="E140" s="23" t="n">
        <x:v>8672.2</x:v>
      </x:c>
      <x:c r="F140" s="23" t="n">
        <x:v>8377</x:v>
      </x:c>
      <x:c r="G140" s="23" t="n">
        <x:v>8455</x:v>
      </x:c>
      <x:c r="H140" s="28" t="n">
        <x:v>-323.2</x:v>
      </x:c>
      <x:c r="I140" s="24" t="n">
        <x:v>-0.03681848214896</x:v>
      </x:c>
      <x:c r="J140" s="26" t="n">
        <x:f>ROUND(E140-F140,1)</x:f>
        <x:v>295.2</x:v>
      </x:c>
      <x:c r="K140" s="22" t="str">
        <x:v>IC2609</x:v>
      </x:c>
    </x:row>
    <x:row r="141">
      <x:c r="A141" s="22" t="n">
        <x:v>17</x:v>
      </x:c>
      <x:c r="B141" s="22" t="str">
        <x:v>周三</x:v>
      </x:c>
      <x:c r="C141" s="22" t="str">
        <x:v>6月24日</x:v>
      </x:c>
      <x:c r="D141" s="23" t="n">
        <x:v>8462.8</x:v>
      </x:c>
      <x:c r="E141" s="23" t="n">
        <x:v>8635</x:v>
      </x:c>
      <x:c r="F141" s="23" t="n">
        <x:v>8418.8</x:v>
      </x:c>
      <x:c r="G141" s="23" t="n">
        <x:v>8595</x:v>
      </x:c>
      <x:c r="H141" s="23" t="n">
        <x:v>140</x:v>
      </x:c>
      <x:c r="I141" s="24" t="n">
        <x:v>0.016558249556475557</x:v>
      </x:c>
      <x:c r="J141" s="26" t="n">
        <x:f>ROUND(E141-F141,1)</x:f>
        <x:v>216.2</x:v>
      </x:c>
      <x:c r="K141" s="22" t="str">
        <x:v>IC2609</x:v>
      </x:c>
    </x:row>
    <x:row r="142">
      <x:c r="A142" s="22" t="n">
        <x:v>18</x:v>
      </x:c>
      <x:c r="B142" s="22" t="str">
        <x:v>周四</x:v>
      </x:c>
      <x:c r="C142" s="22" t="str">
        <x:v>6月25日</x:v>
      </x:c>
      <x:c r="D142" s="23" t="n">
        <x:v>8595.2</x:v>
      </x:c>
      <x:c r="E142" s="23" t="n">
        <x:v>8714.8</x:v>
      </x:c>
      <x:c r="F142" s="23" t="n">
        <x:v>8561.6</x:v>
      </x:c>
      <x:c r="G142" s="23" t="n">
        <x:v>8699.4</x:v>
      </x:c>
      <x:c r="H142" s="23" t="n">
        <x:v>104.4</x:v>
      </x:c>
      <x:c r="I142" s="24" t="n">
        <x:v>0.012146596858638725</x:v>
      </x:c>
      <x:c r="J142" s="26" t="n">
        <x:f>ROUND(E142-F142,1)</x:f>
        <x:v>153.2</x:v>
      </x:c>
      <x:c r="K142" s="22" t="str">
        <x:v>IC2609</x:v>
      </x:c>
    </x:row>
    <x:row r="143">
      <x:c r="A143" s="22" t="n">
        <x:v>19</x:v>
      </x:c>
      <x:c r="B143" s="22" t="str">
        <x:v>周五</x:v>
      </x:c>
      <x:c r="C143" s="22" t="str">
        <x:v>6月26日</x:v>
      </x:c>
      <x:c r="D143" s="23" t="n">
        <x:v>8647.4</x:v>
      </x:c>
      <x:c r="E143" s="23" t="n">
        <x:v>8672.2</x:v>
      </x:c>
      <x:c r="F143" s="23" t="n">
        <x:v>8402</x:v>
      </x:c>
      <x:c r="G143" s="23" t="n">
        <x:v>8447</x:v>
      </x:c>
      <x:c r="H143" s="28" t="n">
        <x:v>-252.4</x:v>
      </x:c>
      <x:c r="I143" s="24" t="n">
        <x:v>-0.029013495183575877</x:v>
      </x:c>
      <x:c r="J143" s="26" t="n">
        <x:f>ROUND(E143-F143,1)</x:f>
        <x:v>270.2</x:v>
      </x:c>
      <x:c r="K143" s="22" t="str">
        <x:v>IC2609</x:v>
      </x:c>
    </x:row>
    <x:row r="144">
      <x:c r="A144" s="22" t="n">
        <x:v>20</x:v>
      </x:c>
      <x:c r="B144" s="22" t="str">
        <x:v>周一</x:v>
      </x:c>
      <x:c r="C144" s="22" t="str">
        <x:v>6月29日</x:v>
      </x:c>
      <x:c r="D144" s="23" t="n">
        <x:v>8463.8</x:v>
      </x:c>
      <x:c r="E144" s="23" t="n">
        <x:v>8590</x:v>
      </x:c>
      <x:c r="F144" s="23" t="n">
        <x:v>8350.4</x:v>
      </x:c>
      <x:c r="G144" s="23" t="n">
        <x:v>8537.6</x:v>
      </x:c>
      <x:c r="H144" s="23" t="n">
        <x:v>90.6</x:v>
      </x:c>
      <x:c r="I144" s="24" t="n">
        <x:v>0.010725701432461321</x:v>
      </x:c>
      <x:c r="J144" s="26" t="n">
        <x:f>ROUND(E144-F144,1)</x:f>
        <x:v>239.6</x:v>
      </x:c>
      <x:c r="K144" s="22" t="str">
        <x:v>IC2609</x:v>
      </x:c>
    </x:row>
    <x:row r="145">
      <x:c r="A145" s="22" t="n">
        <x:v>21</x:v>
      </x:c>
      <x:c r="B145" s="22" t="str">
        <x:v>周二</x:v>
      </x:c>
      <x:c r="C145" s="22" t="str">
        <x:v>6月30日</x:v>
      </x:c>
      <x:c r="D145" s="23" t="n">
        <x:v>8540.2</x:v>
      </x:c>
      <x:c r="E145" s="23" t="n">
        <x:v>8805</x:v>
      </x:c>
      <x:c r="F145" s="23" t="n">
        <x:v>8512</x:v>
      </x:c>
      <x:c r="G145" s="23" t="n">
        <x:v>8783</x:v>
      </x:c>
      <x:c r="H145" s="28" t="n">
        <x:v>245.4</x:v>
      </x:c>
      <x:c r="I145" s="24" t="n">
        <x:v>0.028743440779610108</x:v>
      </x:c>
      <x:c r="J145" s="26" t="n">
        <x:f>ROUND(E145-F145,1)</x:f>
        <x:v>293</x:v>
      </x:c>
      <x:c r="K145" s="22" t="str">
        <x:v>IC2609</x:v>
      </x:c>
    </x:row>
    <x:row r="146">
      <x:c r="A146" s="31" t="str">
        <x:v>合计</x:v>
      </x:c>
      <x:c r="B146" s="30" t="n">
        <x:v>21</x:v>
      </x:c>
      <x:c r="C146" s="30"/>
      <x:c r="D146" s="30"/>
      <x:c r="E146" s="30"/>
      <x:c r="F146" s="30"/>
      <x:c r="G146" s="30"/>
      <x:c r="H146" s="30"/>
      <x:c r="I146" s="30"/>
      <x:c r="J146" s="32" t="n">
        <x:f>ROUND(SUM(J125:J145),1)</x:f>
        <x:v>4146.2</x:v>
      </x:c>
      <x:c r="K146" s="30"/>
    </x:row>
    <x:row r="147">
      <x:c r="A147" s="31" t="str">
        <x:v>均值</x:v>
      </x:c>
      <x:c r="B147" s="30"/>
      <x:c r="C147" s="30"/>
      <x:c r="D147" s="30"/>
      <x:c r="E147" s="30"/>
      <x:c r="F147" s="30"/>
      <x:c r="G147" s="30"/>
      <x:c r="H147" s="30"/>
      <x:c r="I147" s="30"/>
      <x:c r="J147" s="34" t="n">
        <x:f>ROUND(IFERROR(AVERAGE(J125:J145),0),1)</x:f>
        <x:v>197.4</x:v>
      </x:c>
      <x:c r="K147" s="30"/>
    </x:row>
    <x:row r="149">
      <x:c r="A149" s="17" t="str">
        <x:v>7月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20" t="str">
        <x:v>序号</x:v>
      </x:c>
      <x:c r="B150" s="20" t="str">
        <x:v>星期</x:v>
      </x:c>
      <x:c r="C150" s="20" t="str">
        <x:v>日期</x:v>
      </x:c>
      <x:c r="D150" s="20" t="str">
        <x:v>开盘</x:v>
      </x:c>
      <x:c r="E150" s="20" t="str">
        <x:v>高点</x:v>
      </x:c>
      <x:c r="F150" s="20" t="str">
        <x:v>低点</x:v>
      </x:c>
      <x:c r="G150" s="20" t="str">
        <x:v>收盘</x:v>
      </x:c>
      <x:c r="H150" s="20" t="str">
        <x:v>涨跌点数</x:v>
      </x:c>
      <x:c r="I150" s="20" t="str">
        <x:v>涨幅</x:v>
      </x:c>
      <x:c r="J150" s="20" t="str">
        <x:v>振幅</x:v>
      </x:c>
      <x:c r="K150" s="20" t="str">
        <x:v>标的</x:v>
      </x:c>
    </x:row>
    <x:row r="151">
      <x:c r="A151" s="22" t="n">
        <x:v>1</x:v>
      </x:c>
      <x:c r="B151" s="22" t="str">
        <x:v>周三</x:v>
      </x:c>
      <x:c r="C151" s="22" t="str">
        <x:v>7月1日</x:v>
      </x:c>
      <x:c r="D151" s="23" t="n">
        <x:v>8763</x:v>
      </x:c>
      <x:c r="E151" s="23" t="n">
        <x:v>8873.8</x:v>
      </x:c>
      <x:c r="F151" s="23" t="n">
        <x:v>8656.8</x:v>
      </x:c>
      <x:c r="G151" s="23" t="n">
        <x:v>8713</x:v>
      </x:c>
      <x:c r="H151" s="23" t="n">
        <x:v>-70</x:v>
      </x:c>
      <x:c r="I151" s="24" t="n">
        <x:v>-0.007969941933280156</x:v>
      </x:c>
      <x:c r="J151" s="26" t="n">
        <x:f>ROUND(E151-F151,1)</x:f>
        <x:v>217</x:v>
      </x:c>
      <x:c r="K151" s="22" t="str">
        <x:v>IC2609</x:v>
      </x:c>
    </x:row>
    <x:row r="152">
      <x:c r="A152" s="22" t="n">
        <x:v>2</x:v>
      </x:c>
      <x:c r="B152" s="22" t="str">
        <x:v>周四</x:v>
      </x:c>
      <x:c r="C152" s="22" t="str">
        <x:v>7月2日</x:v>
      </x:c>
      <x:c r="D152" s="23" t="n">
        <x:v>8616</x:v>
      </x:c>
      <x:c r="E152" s="23" t="n">
        <x:v>8678.6</x:v>
      </x:c>
      <x:c r="F152" s="23" t="n">
        <x:v>8456.8</x:v>
      </x:c>
      <x:c r="G152" s="23" t="n">
        <x:v>8488</x:v>
      </x:c>
      <x:c r="H152" s="28" t="n">
        <x:v>-225</x:v>
      </x:c>
      <x:c r="I152" s="24" t="n">
        <x:v>-0.025823482153104593</x:v>
      </x:c>
      <x:c r="J152" s="26" t="n">
        <x:f>ROUND(E152-F152,1)</x:f>
        <x:v>221.8</x:v>
      </x:c>
      <x:c r="K152" s="22" t="str">
        <x:v>IC2609</x:v>
      </x:c>
    </x:row>
    <x:row r="153">
      <x:c r="A153" s="22" t="n">
        <x:v>3</x:v>
      </x:c>
      <x:c r="B153" s="22" t="str">
        <x:v>周五</x:v>
      </x:c>
      <x:c r="C153" s="22" t="str">
        <x:v>7月3日</x:v>
      </x:c>
      <x:c r="D153" s="23" t="n">
        <x:v>8519</x:v>
      </x:c>
      <x:c r="E153" s="23" t="n">
        <x:v>8650</x:v>
      </x:c>
      <x:c r="F153" s="23" t="n">
        <x:v>8442</x:v>
      </x:c>
      <x:c r="G153" s="23" t="n">
        <x:v>8538</x:v>
      </x:c>
      <x:c r="H153" s="23" t="n">
        <x:v>50</x:v>
      </x:c>
      <x:c r="I153" s="24" t="n">
        <x:v>0.005890669180018904</x:v>
      </x:c>
      <x:c r="J153" s="26" t="n">
        <x:f>ROUND(E153-F153,1)</x:f>
        <x:v>208</x:v>
      </x:c>
      <x:c r="K153" s="22" t="str">
        <x:v>IC2609</x:v>
      </x:c>
    </x:row>
    <x:row r="154">
      <x:c r="A154" s="22" t="n">
        <x:v>4</x:v>
      </x:c>
      <x:c r="B154" s="22" t="str">
        <x:v>周一</x:v>
      </x:c>
      <x:c r="C154" s="22" t="str">
        <x:v>7月6日</x:v>
      </x:c>
      <x:c r="D154" s="23" t="n">
        <x:v>8574.4</x:v>
      </x:c>
      <x:c r="E154" s="23" t="n">
        <x:v>8584.2</x:v>
      </x:c>
      <x:c r="F154" s="23" t="n">
        <x:v>8376</x:v>
      </x:c>
      <x:c r="G154" s="23" t="n">
        <x:v>8467</x:v>
      </x:c>
      <x:c r="H154" s="23" t="n">
        <x:v>-71</x:v>
      </x:c>
      <x:c r="I154" s="24" t="n">
        <x:v>-0.008315764816116178</x:v>
      </x:c>
      <x:c r="J154" s="26" t="n">
        <x:f>ROUND(E154-F154,1)</x:f>
        <x:v>208.2</x:v>
      </x:c>
      <x:c r="K154" s="22" t="str">
        <x:v>IC2609</x:v>
      </x:c>
    </x:row>
    <x:row r="155">
      <x:c r="A155" s="22" t="n">
        <x:v>5</x:v>
      </x:c>
      <x:c r="B155" s="22" t="str">
        <x:v>周二</x:v>
      </x:c>
      <x:c r="C155" s="22" t="str">
        <x:v>7月7日</x:v>
      </x:c>
      <x:c r="D155" s="23" t="n">
        <x:v>8420</x:v>
      </x:c>
      <x:c r="E155" s="23" t="n">
        <x:v>8478.8</x:v>
      </x:c>
      <x:c r="F155" s="23" t="n">
        <x:v>8281</x:v>
      </x:c>
      <x:c r="G155" s="23" t="n">
        <x:v>8322.6</x:v>
      </x:c>
      <x:c r="H155" s="23" t="n">
        <x:v>-144.4</x:v>
      </x:c>
      <x:c r="I155" s="24" t="n">
        <x:v>-0.01705444667532774</x:v>
      </x:c>
      <x:c r="J155" s="26" t="n">
        <x:f>ROUND(E155-F155,1)</x:f>
        <x:v>197.8</x:v>
      </x:c>
      <x:c r="K155" s="22" t="str">
        <x:v>IC2609</x:v>
      </x:c>
    </x:row>
    <x:row r="156">
      <x:c r="A156" s="22" t="n">
        <x:v>6</x:v>
      </x:c>
      <x:c r="B156" s="22" t="str">
        <x:v>周三</x:v>
      </x:c>
      <x:c r="C156" s="22" t="str">
        <x:v>7月8日</x:v>
      </x:c>
      <x:c r="D156" s="23" t="n">
        <x:v>8376</x:v>
      </x:c>
      <x:c r="E156" s="23" t="n">
        <x:v>8376</x:v>
      </x:c>
      <x:c r="F156" s="23" t="n">
        <x:v>8203.6</x:v>
      </x:c>
      <x:c r="G156" s="23" t="n">
        <x:v>8255.2</x:v>
      </x:c>
      <x:c r="H156" s="23" t="n">
        <x:v>-67.4</x:v>
      </x:c>
      <x:c r="I156" s="24" t="n">
        <x:v>-0.008098430778843091</x:v>
      </x:c>
      <x:c r="J156" s="26" t="n">
        <x:f>ROUND(E156-F156,1)</x:f>
        <x:v>172.4</x:v>
      </x:c>
      <x:c r="K156" s="22" t="str">
        <x:v>IC2609</x:v>
      </x:c>
    </x:row>
    <x:row r="157">
      <x:c r="A157" s="22" t="n">
        <x:v>7</x:v>
      </x:c>
      <x:c r="B157" s="22" t="str">
        <x:v>周四</x:v>
      </x:c>
      <x:c r="C157" s="22" t="str">
        <x:v>7月9日</x:v>
      </x:c>
      <x:c r="D157" s="23" t="n">
        <x:v>8300</x:v>
      </x:c>
      <x:c r="E157" s="23" t="n">
        <x:v>8509.2</x:v>
      </x:c>
      <x:c r="F157" s="23" t="n">
        <x:v>8173</x:v>
      </x:c>
      <x:c r="G157" s="23" t="n">
        <x:v>8502.4</x:v>
      </x:c>
      <x:c r="H157" s="28" t="n">
        <x:v>247.2</x:v>
      </x:c>
      <x:c r="I157" s="24" t="n">
        <x:v>0.029944762089349597</x:v>
      </x:c>
      <x:c r="J157" s="26" t="n">
        <x:f>ROUND(E157-F157,1)</x:f>
        <x:v>336.2</x:v>
      </x:c>
      <x:c r="K157" s="22" t="str">
        <x:v>IC2609</x:v>
      </x:c>
    </x:row>
    <x:row r="158">
      <x:c r="A158" s="22" t="n">
        <x:v>8</x:v>
      </x:c>
      <x:c r="B158" s="22" t="str">
        <x:v>周五</x:v>
      </x:c>
      <x:c r="C158" s="22" t="str">
        <x:v>7月10日</x:v>
      </x:c>
      <x:c r="D158" s="23" t="n">
        <x:v>8522</x:v>
      </x:c>
      <x:c r="E158" s="23" t="n">
        <x:v>8618</x:v>
      </x:c>
      <x:c r="F158" s="23" t="n">
        <x:v>8330</x:v>
      </x:c>
      <x:c r="G158" s="23" t="n">
        <x:v>8333</x:v>
      </x:c>
      <x:c r="H158" s="28" t="n">
        <x:v>-169.4</x:v>
      </x:c>
      <x:c r="I158" s="24" t="n">
        <x:v>-0.019923786225065854</x:v>
      </x:c>
      <x:c r="J158" s="26" t="n">
        <x:f>ROUND(E158-F158,1)</x:f>
        <x:v>288</x:v>
      </x:c>
      <x:c r="K158" s="22" t="str">
        <x:v>IC2609</x:v>
      </x:c>
    </x:row>
    <x:row r="159">
      <x:c r="A159" s="22" t="n">
        <x:v>9</x:v>
      </x:c>
      <x:c r="B159" s="22" t="str">
        <x:v>周一</x:v>
      </x:c>
      <x:c r="C159" s="22" t="str">
        <x:v>7月13日</x:v>
      </x:c>
      <x:c r="D159" s="23" t="n">
        <x:v>8303</x:v>
      </x:c>
      <x:c r="E159" s="23" t="n">
        <x:v>8328</x:v>
      </x:c>
      <x:c r="F159" s="23" t="n">
        <x:v>7995.8</x:v>
      </x:c>
      <x:c r="G159" s="23" t="n">
        <x:v>8021.6</x:v>
      </x:c>
      <x:c r="H159" s="28" t="n">
        <x:v>-311.4</x:v>
      </x:c>
      <x:c r="I159" s="24" t="n">
        <x:v>-0.037369494779791124</x:v>
      </x:c>
      <x:c r="J159" s="26" t="n">
        <x:f>ROUND(E159-F159,1)</x:f>
        <x:v>332.2</x:v>
      </x:c>
      <x:c r="K159" s="22" t="str">
        <x:v>IC2609</x:v>
      </x:c>
    </x:row>
    <x:row r="160">
      <x:c r="A160" s="22" t="n">
        <x:v>10</x:v>
      </x:c>
      <x:c r="B160" s="22" t="str">
        <x:v>周二</x:v>
      </x:c>
      <x:c r="C160" s="22" t="str">
        <x:v>7月14日</x:v>
      </x:c>
      <x:c r="D160" s="23" t="n">
        <x:v>8043.2</x:v>
      </x:c>
      <x:c r="E160" s="23" t="n">
        <x:v>8166</x:v>
      </x:c>
      <x:c r="F160" s="23" t="n">
        <x:v>7881</x:v>
      </x:c>
      <x:c r="G160" s="23" t="n">
        <x:v>8117</x:v>
      </x:c>
      <x:c r="H160" s="23" t="n">
        <x:v>95.4</x:v>
      </x:c>
      <x:c r="I160" s="24" t="n">
        <x:v>0.011892889199162315</x:v>
      </x:c>
      <x:c r="J160" s="26" t="n">
        <x:f>ROUND(E160-F160,1)</x:f>
        <x:v>285</x:v>
      </x:c>
      <x:c r="K160" s="22" t="str">
        <x:v>IC2609</x:v>
      </x:c>
    </x:row>
    <x:row r="161">
      <x:c r="A161" s="22" t="n">
        <x:v>11</x:v>
      </x:c>
      <x:c r="B161" s="22" t="str">
        <x:v>周三</x:v>
      </x:c>
      <x:c r="C161" s="22" t="str">
        <x:v>7月15日</x:v>
      </x:c>
      <x:c r="D161" s="23" t="n">
        <x:v>8160</x:v>
      </x:c>
      <x:c r="E161" s="23" t="n">
        <x:v>8192.2</x:v>
      </x:c>
      <x:c r="F161" s="23" t="n">
        <x:v>7983.8</x:v>
      </x:c>
      <x:c r="G161" s="23" t="n">
        <x:v>8046.4</x:v>
      </x:c>
      <x:c r="H161" s="23" t="n">
        <x:v>-70.6</x:v>
      </x:c>
      <x:c r="I161" s="24" t="n">
        <x:v>-0.008697794751755583</x:v>
      </x:c>
      <x:c r="J161" s="26" t="n">
        <x:f>ROUND(E161-F161,1)</x:f>
        <x:v>208.4</x:v>
      </x:c>
      <x:c r="K161" s="22" t="str">
        <x:v>IC2609</x:v>
      </x:c>
    </x:row>
    <x:row r="162">
      <x:c r="A162" s="22" t="n">
        <x:v>12</x:v>
      </x:c>
      <x:c r="B162" s="22" t="str">
        <x:v>周四</x:v>
      </x:c>
      <x:c r="C162" s="22" t="str">
        <x:v>7月16日</x:v>
      </x:c>
      <x:c r="D162" s="23" t="n">
        <x:v>7955.4</x:v>
      </x:c>
      <x:c r="E162" s="23" t="n">
        <x:v>8054.4</x:v>
      </x:c>
      <x:c r="F162" s="23" t="n">
        <x:v>7823</x:v>
      </x:c>
      <x:c r="G162" s="23" t="n">
        <x:v>7869.6</x:v>
      </x:c>
      <x:c r="H162" s="28" t="n">
        <x:v>-176.8</x:v>
      </x:c>
      <x:c r="I162" s="24" t="n">
        <x:v>-0.021972559156890004</x:v>
      </x:c>
      <x:c r="J162" s="26" t="n">
        <x:f>ROUND(E162-F162,1)</x:f>
        <x:v>231.4</x:v>
      </x:c>
      <x:c r="K162" s="22" t="str">
        <x:v>IC2609</x:v>
      </x:c>
    </x:row>
    <x:row r="163">
      <x:c r="A163" s="41" t="n">
        <x:v>13</x:v>
      </x:c>
      <x:c r="B163" s="41" t="str">
        <x:v>周五</x:v>
      </x:c>
      <x:c r="C163" s="41" t="str">
        <x:v>7月17日</x:v>
      </x:c>
      <x:c r="D163" s="42" t="n">
        <x:v>7842</x:v>
      </x:c>
      <x:c r="E163" s="42" t="n">
        <x:v>7848.2</x:v>
      </x:c>
      <x:c r="F163" s="42" t="n">
        <x:v>7362.8</x:v>
      </x:c>
      <x:c r="G163" s="42" t="n">
        <x:v>7389</x:v>
      </x:c>
      <x:c r="H163" s="28" t="n">
        <x:v>-480.6</x:v>
      </x:c>
      <x:c r="I163" s="43" t="n">
        <x:v>-0.06107044830741082</x:v>
      </x:c>
      <x:c r="J163" s="26" t="n">
        <x:f>ROUND(E163-F163,1)</x:f>
        <x:v>485.4</x:v>
      </x:c>
      <x:c r="K163" s="41" t="str">
        <x:v>IC2609</x:v>
      </x:c>
    </x:row>
    <x:row r="164">
      <x:c r="A164" s="22" t="n">
        <x:v>14</x:v>
      </x:c>
      <x:c r="B164" s="22" t="str">
        <x:v>周一</x:v>
      </x:c>
      <x:c r="C164" s="22" t="str">
        <x:v>7月20日</x:v>
      </x:c>
      <x:c r="D164" s="23" t="n">
        <x:v>7490</x:v>
      </x:c>
      <x:c r="E164" s="23" t="n">
        <x:v>7561.8</x:v>
      </x:c>
      <x:c r="F164" s="23" t="n">
        <x:v>7092</x:v>
      </x:c>
      <x:c r="G164" s="23" t="n">
        <x:v>7302.2</x:v>
      </x:c>
      <x:c r="H164" s="23" t="n">
        <x:v>-86.8</x:v>
      </x:c>
      <x:c r="I164" s="24" t="n">
        <x:v>-0.011747191771552368</x:v>
      </x:c>
      <x:c r="J164" s="26" t="n">
        <x:f>ROUND(E164-F164,1)</x:f>
        <x:v>469.8</x:v>
      </x:c>
      <x:c r="K164" s="22" t="str">
        <x:v>IC2609</x:v>
      </x:c>
    </x:row>
    <x:row r="165">
      <x:c r="A165" s="22" t="n">
        <x:v>15</x:v>
      </x:c>
      <x:c r="B165" s="22" t="str">
        <x:v>周二</x:v>
      </x:c>
      <x:c r="C165" s="22" t="str">
        <x:v>7月21日</x:v>
      </x:c>
      <x:c r="D165" s="23" t="n">
        <x:v>7385</x:v>
      </x:c>
      <x:c r="E165" s="23" t="n">
        <x:v>7700.6</x:v>
      </x:c>
      <x:c r="F165" s="23" t="n">
        <x:v>7201.2</x:v>
      </x:c>
      <x:c r="G165" s="23" t="n">
        <x:v>7685.8</x:v>
      </x:c>
      <x:c r="H165" s="28" t="n">
        <x:v>383.6</x:v>
      </x:c>
      <x:c r="I165" s="24" t="n">
        <x:v>0.052532113609597086</x:v>
      </x:c>
      <x:c r="J165" s="26" t="n">
        <x:f>ROUND(E165-F165,1)</x:f>
        <x:v>499.4</x:v>
      </x:c>
      <x:c r="K165" s="22" t="str">
        <x:v>IC2609</x:v>
      </x:c>
    </x:row>
    <x:row r="166">
      <x:c r="A166" s="22" t="n">
        <x:v>16</x:v>
      </x:c>
      <x:c r="B166" s="22" t="str">
        <x:v>周三</x:v>
      </x:c>
      <x:c r="C166" s="22" t="str">
        <x:v>7月22日</x:v>
      </x:c>
      <x:c r="D166" s="23" t="n">
        <x:v>7674.8</x:v>
      </x:c>
      <x:c r="E166" s="23" t="n">
        <x:v>7765.6</x:v>
      </x:c>
      <x:c r="F166" s="23" t="n">
        <x:v>7583.8</x:v>
      </x:c>
      <x:c r="G166" s="23" t="n">
        <x:v>7611</x:v>
      </x:c>
      <x:c r="H166" s="23" t="n">
        <x:v>-74.8</x:v>
      </x:c>
      <x:c r="I166" s="24" t="n">
        <x:v>-0.009732233469515239</x:v>
      </x:c>
      <x:c r="J166" s="26" t="n">
        <x:f>ROUND(E166-F166,1)</x:f>
        <x:v>181.8</x:v>
      </x:c>
      <x:c r="K166" s="22" t="str">
        <x:v>IC2609</x:v>
      </x:c>
    </x:row>
    <x:row r="167">
      <x:c r="A167" s="22" t="n">
        <x:v>17</x:v>
      </x:c>
      <x:c r="B167" s="22" t="str">
        <x:v>周四</x:v>
      </x:c>
      <x:c r="C167" s="22" t="str">
        <x:v>7月23日</x:v>
      </x:c>
      <x:c r="D167" s="23" t="n">
        <x:v>7675</x:v>
      </x:c>
      <x:c r="E167" s="23" t="n">
        <x:v>7693</x:v>
      </x:c>
      <x:c r="F167" s="23" t="n">
        <x:v>7538</x:v>
      </x:c>
      <x:c r="G167" s="23" t="n">
        <x:v>7602.6</x:v>
      </x:c>
      <x:c r="H167" s="23" t="n">
        <x:v>-8.4</x:v>
      </x:c>
      <x:c r="I167" s="24" t="n">
        <x:v>-0.0011036657469452038</x:v>
      </x:c>
      <x:c r="J167" s="26" t="n">
        <x:f>ROUND(E167-F167,1)</x:f>
        <x:v>155</x:v>
      </x:c>
      <x:c r="K167" s="22" t="str">
        <x:v>IC2609</x:v>
      </x:c>
    </x:row>
    <x:row r="168">
      <x:c r="A168" s="22" t="n">
        <x:v>18</x:v>
      </x:c>
      <x:c r="B168" s="22" t="str">
        <x:v>周五</x:v>
      </x:c>
      <x:c r="C168" s="22" t="str">
        <x:v>7月24日</x:v>
      </x:c>
      <x:c r="D168" s="23" t="n">
        <x:v>7520</x:v>
      </x:c>
      <x:c r="E168" s="23" t="n">
        <x:v>7596</x:v>
      </x:c>
      <x:c r="F168" s="23" t="n">
        <x:v>7410.6</x:v>
      </x:c>
      <x:c r="G168" s="23" t="n">
        <x:v>7416</x:v>
      </x:c>
      <x:c r="H168" s="28" t="n">
        <x:v>-186.6</x:v>
      </x:c>
      <x:c r="I168" s="24" t="n">
        <x:v>-0.024544234867019177</x:v>
      </x:c>
      <x:c r="J168" s="26" t="n">
        <x:f>ROUND(E168-F168,1)</x:f>
        <x:v>185.4</x:v>
      </x:c>
      <x:c r="K168" s="22" t="str">
        <x:v>IC2609</x:v>
      </x:c>
    </x:row>
    <x:row r="169">
      <x:c r="A169" s="22" t="n">
        <x:v>19</x:v>
      </x:c>
      <x:c r="B169" s="22" t="str">
        <x:v>周一</x:v>
      </x:c>
      <x:c r="C169" s="22" t="str">
        <x:v>7月27日</x:v>
      </x:c>
      <x:c r="D169" s="23" t="n">
        <x:v>7447</x:v>
      </x:c>
      <x:c r="E169" s="23" t="n">
        <x:v>7666.6</x:v>
      </x:c>
      <x:c r="F169" s="23" t="n">
        <x:v>7394.2</x:v>
      </x:c>
      <x:c r="G169" s="23" t="n">
        <x:v>7647</x:v>
      </x:c>
      <x:c r="H169" s="28" t="n">
        <x:v>231</x:v>
      </x:c>
      <x:c r="I169" s="24" t="n">
        <x:v>0.03114886731391575</x:v>
      </x:c>
      <x:c r="J169" s="26" t="n">
        <x:f>ROUND(E169-F169,1)</x:f>
        <x:v>272.4</x:v>
      </x:c>
      <x:c r="K169" s="22" t="str">
        <x:v>IC2609</x:v>
      </x:c>
    </x:row>
    <x:row r="170">
      <x:c r="A170" s="22" t="n">
        <x:v>20</x:v>
      </x:c>
      <x:c r="B170" s="22" t="str">
        <x:v>周二</x:v>
      </x:c>
      <x:c r="C170" s="22" t="str">
        <x:v>7月28日</x:v>
      </x:c>
      <x:c r="D170" s="23" t="n">
        <x:v>7489</x:v>
      </x:c>
      <x:c r="E170" s="23" t="n">
        <x:v>7535.8</x:v>
      </x:c>
      <x:c r="F170" s="23" t="n">
        <x:v>7285.2</x:v>
      </x:c>
      <x:c r="G170" s="23" t="n">
        <x:v>7352.4</x:v>
      </x:c>
      <x:c r="H170" s="28" t="n">
        <x:v>-294.6</x:v>
      </x:c>
      <x:c r="I170" s="24" t="n">
        <x:v>-0.03852491173009032</x:v>
      </x:c>
      <x:c r="J170" s="26" t="n">
        <x:f>ROUND(E170-F170,1)</x:f>
        <x:v>250.6</x:v>
      </x:c>
      <x:c r="K170" s="22" t="str">
        <x:v>IC2609</x:v>
      </x:c>
    </x:row>
    <x:row r="171">
      <x:c r="A171" s="22" t="n">
        <x:v>21</x:v>
      </x:c>
      <x:c r="B171" s="22" t="str">
        <x:v>周三</x:v>
      </x:c>
      <x:c r="C171" s="22" t="str">
        <x:v>7月29日</x:v>
      </x:c>
      <x:c r="D171" s="23" t="n">
        <x:v>7380</x:v>
      </x:c>
      <x:c r="E171" s="23" t="n">
        <x:v>7514.8</x:v>
      </x:c>
      <x:c r="F171" s="23" t="n">
        <x:v>7260.6</x:v>
      </x:c>
      <x:c r="G171" s="23" t="n">
        <x:v>7454.2</x:v>
      </x:c>
      <x:c r="H171" s="23" t="n">
        <x:v>101.8</x:v>
      </x:c>
      <x:c r="I171" s="24" t="n">
        <x:v>0.013845819052282327</x:v>
      </x:c>
      <x:c r="J171" s="26" t="n">
        <x:f>ROUND(E171-F171,1)</x:f>
        <x:v>254.2</x:v>
      </x:c>
      <x:c r="K171" s="22" t="str">
        <x:v>IC2609</x:v>
      </x:c>
    </x:row>
    <x:row r="172">
      <x:c r="A172" s="22" t="n">
        <x:v>22</x:v>
      </x:c>
      <x:c r="B172" s="22" t="str">
        <x:v>周四</x:v>
      </x:c>
      <x:c r="C172" s="22" t="str">
        <x:v>7月30日</x:v>
      </x:c>
      <x:c r="D172" s="23" t="n">
        <x:v>7405</x:v>
      </x:c>
      <x:c r="E172" s="23" t="n">
        <x:v>7487.6</x:v>
      </x:c>
      <x:c r="F172" s="23" t="n">
        <x:v>7106</x:v>
      </x:c>
      <x:c r="G172" s="23" t="n">
        <x:v>7245.6</x:v>
      </x:c>
      <x:c r="H172" s="28" t="n">
        <x:v>-208.6</x:v>
      </x:c>
      <x:c r="I172" s="24" t="n">
        <x:v>-0.027984223659145102</x:v>
      </x:c>
      <x:c r="J172" s="26" t="n">
        <x:f>ROUND(E172-F172,1)</x:f>
        <x:v>381.6</x:v>
      </x:c>
      <x:c r="K172" s="22" t="str">
        <x:v>IC2609</x:v>
      </x:c>
    </x:row>
    <x:row r="173">
      <x:c r="A173" s="22" t="n">
        <x:v>23</x:v>
      </x:c>
      <x:c r="B173" s="22" t="str">
        <x:v>周五</x:v>
      </x:c>
      <x:c r="C173" s="22" t="str">
        <x:v>7月31日</x:v>
      </x:c>
      <x:c r="D173" s="23" t="n">
        <x:v>7514.8</x:v>
      </x:c>
      <x:c r="E173" s="23" t="n">
        <x:v>7611.8</x:v>
      </x:c>
      <x:c r="F173" s="23" t="n">
        <x:v>7389.6</x:v>
      </x:c>
      <x:c r="G173" s="23" t="n">
        <x:v>7395</x:v>
      </x:c>
      <x:c r="H173" s="23" t="n">
        <x:v>149.4</x:v>
      </x:c>
      <x:c r="I173" s="24" t="n">
        <x:v>0.020619410400794846</x:v>
      </x:c>
      <x:c r="J173" s="26" t="n">
        <x:f>ROUND(E173-F173,1)</x:f>
        <x:v>222.2</x:v>
      </x:c>
      <x:c r="K173" s="22" t="str">
        <x:v>IC2609</x:v>
      </x:c>
    </x:row>
    <x:row r="174">
      <x:c r="A174" s="31" t="str">
        <x:v>合计</x:v>
      </x:c>
      <x:c r="B174" s="30" t="n">
        <x:v>23</x:v>
      </x:c>
      <x:c r="C174" s="30"/>
      <x:c r="D174" s="30"/>
      <x:c r="E174" s="30"/>
      <x:c r="F174" s="30"/>
      <x:c r="G174" s="30"/>
      <x:c r="H174" s="30"/>
      <x:c r="I174" s="30"/>
      <x:c r="J174" s="32" t="n">
        <x:f>ROUND(SUM(J151:J173),1)</x:f>
        <x:v>6264.2</x:v>
      </x:c>
      <x:c r="K174" s="30"/>
    </x:row>
    <x:row r="175">
      <x:c r="A175" s="31" t="str">
        <x:v>均值</x:v>
      </x:c>
      <x:c r="B175" s="30"/>
      <x:c r="C175" s="30"/>
      <x:c r="D175" s="30"/>
      <x:c r="E175" s="30"/>
      <x:c r="F175" s="30"/>
      <x:c r="G175" s="30"/>
      <x:c r="H175" s="30"/>
      <x:c r="I175" s="30"/>
      <x:c r="J175" s="34" t="n">
        <x:f>ROUND(IFERROR(AVERAGE(J151:J173),0),1)</x:f>
        <x:v>272.4</x:v>
      </x:c>
      <x:c r="K175" s="30"/>
    </x:row>
    <x:row r="177">
      <x:c r="A177" s="17" t="str">
        <x:v>8月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20" t="str">
        <x:v>序号</x:v>
      </x:c>
      <x:c r="B178" s="20" t="str">
        <x:v>星期</x:v>
      </x:c>
      <x:c r="C178" s="20" t="str">
        <x:v>日期</x:v>
      </x:c>
      <x:c r="D178" s="20" t="str">
        <x:v>开盘</x:v>
      </x:c>
      <x:c r="E178" s="20" t="str">
        <x:v>高点</x:v>
      </x:c>
      <x:c r="F178" s="20" t="str">
        <x:v>低点</x:v>
      </x:c>
      <x:c r="G178" s="20" t="str">
        <x:v>收盘</x:v>
      </x:c>
      <x:c r="H178" s="20" t="str">
        <x:v>涨跌点数</x:v>
      </x:c>
      <x:c r="I178" s="20" t="str">
        <x:v>涨幅</x:v>
      </x:c>
      <x:c r="J178" s="20" t="str">
        <x:v>振幅</x:v>
      </x:c>
      <x:c r="K178" s="20" t="str">
        <x:v>标的</x:v>
      </x:c>
    </x:row>
    <x:row r="179">
      <x:c r="A179" s="22" t="n">
        <x:v>1</x:v>
      </x:c>
      <x:c r="B179" s="22" t="str">
        <x:v>周一</x:v>
      </x:c>
      <x:c r="C179" s="22" t="str">
        <x:v>8月3日</x:v>
      </x:c>
      <x:c r="D179" s="23" t="n">
        <x:v>7391</x:v>
      </x:c>
      <x:c r="E179" s="23" t="n">
        <x:v>7440</x:v>
      </x:c>
      <x:c r="F179" s="23" t="n">
        <x:v>7335</x:v>
      </x:c>
      <x:c r="G179" s="23" t="n">
        <x:v>7356</x:v>
      </x:c>
      <x:c r="H179" s="23" t="n">
        <x:v>-39</x:v>
      </x:c>
      <x:c r="I179" s="24" t="n">
        <x:v>-0.005273833671399553</x:v>
      </x:c>
      <x:c r="J179" s="23" t="n">
        <x:f>ROUND(E179-F179,1)</x:f>
        <x:v>105</x:v>
      </x:c>
      <x:c r="K179" s="22" t="str">
        <x:v>IC2609</x:v>
      </x:c>
    </x:row>
    <x:row r="180">
      <x:c r="A180" s="22" t="n">
        <x:v>2</x:v>
      </x:c>
      <x:c r="B180" s="22" t="str">
        <x:v>周二</x:v>
      </x:c>
      <x:c r="C180" s="22" t="str">
        <x:v>8月4日</x:v>
      </x:c>
      <x:c r="D180" s="23" t="n">
        <x:v>7406</x:v>
      </x:c>
      <x:c r="E180" s="23" t="n">
        <x:v>7599</x:v>
      </x:c>
      <x:c r="F180" s="23" t="n">
        <x:v>7392.8</x:v>
      </x:c>
      <x:c r="G180" s="23" t="n">
        <x:v>7529</x:v>
      </x:c>
      <x:c r="H180" s="28" t="n">
        <x:v>173</x:v>
      </x:c>
      <x:c r="I180" s="24" t="n">
        <x:v>0.023518216421968496</x:v>
      </x:c>
      <x:c r="J180" s="26" t="n">
        <x:f>ROUND(E180-F180,1)</x:f>
        <x:v>206.2</x:v>
      </x:c>
      <x:c r="K180" s="22" t="str">
        <x:v>IC2609</x:v>
      </x:c>
    </x:row>
    <x:row r="181">
      <x:c r="A181" s="22" t="n">
        <x:v>3</x:v>
      </x:c>
      <x:c r="B181" s="22" t="str">
        <x:v>周三</x:v>
      </x:c>
      <x:c r="C181" s="22" t="str">
        <x:v>8月5日</x:v>
      </x:c>
      <x:c r="D181" s="23" t="n">
        <x:v>7510.6</x:v>
      </x:c>
      <x:c r="E181" s="23" t="n">
        <x:v>7775.6</x:v>
      </x:c>
      <x:c r="F181" s="23" t="n">
        <x:v>7501</x:v>
      </x:c>
      <x:c r="G181" s="23" t="n">
        <x:v>7744.4</x:v>
      </x:c>
      <x:c r="H181" s="28" t="n">
        <x:v>215.4</x:v>
      </x:c>
      <x:c r="I181" s="24" t="n">
        <x:v>0.02860937707530886</x:v>
      </x:c>
      <x:c r="J181" s="26" t="n">
        <x:f>ROUND(E181-F181,1)</x:f>
        <x:v>274.6</x:v>
      </x:c>
      <x:c r="K181" s="22" t="str">
        <x:v>IC2609</x:v>
      </x:c>
    </x:row>
    <x:row r="182">
      <x:c r="A182" s="22" t="n">
        <x:v>4</x:v>
      </x:c>
      <x:c r="B182" s="22" t="str">
        <x:v>周四</x:v>
      </x:c>
      <x:c r="C182" s="22" t="str">
        <x:v>8月6日</x:v>
      </x:c>
      <x:c r="D182" s="23" t="n">
        <x:v>7680</x:v>
      </x:c>
      <x:c r="E182" s="23" t="n">
        <x:v>7768</x:v>
      </x:c>
      <x:c r="F182" s="23" t="n">
        <x:v>7640</x:v>
      </x:c>
      <x:c r="G182" s="23" t="n">
        <x:v>7730</x:v>
      </x:c>
      <x:c r="H182" s="23" t="n">
        <x:v>-14.4</x:v>
      </x:c>
      <x:c r="I182" s="24" t="n">
        <x:v>-0.0018594080884251074</x:v>
      </x:c>
      <x:c r="J182" s="23" t="n">
        <x:f>ROUND(E182-F182,1)</x:f>
        <x:v>128</x:v>
      </x:c>
      <x:c r="K182" s="22" t="str">
        <x:v>IC2609</x:v>
      </x:c>
    </x:row>
    <x:row r="183">
      <x:c r="A183" s="22" t="n">
        <x:v>5</x:v>
      </x:c>
      <x:c r="B183" s="22" t="str">
        <x:v>周五</x:v>
      </x:c>
      <x:c r="C183" s="22" t="str">
        <x:v>8月7日</x:v>
      </x:c>
      <x:c r="D183" s="23" t="n">
        <x:v>7725</x:v>
      </x:c>
      <x:c r="E183" s="23" t="n">
        <x:v>7882.6</x:v>
      </x:c>
      <x:c r="F183" s="23" t="n">
        <x:v>7667.4</x:v>
      </x:c>
      <x:c r="G183" s="23" t="n">
        <x:v>7877.8</x:v>
      </x:c>
      <x:c r="H183" s="23" t="n">
        <x:v>147.8</x:v>
      </x:c>
      <x:c r="I183" s="24" t="n">
        <x:v>0.01912031047865459</x:v>
      </x:c>
      <x:c r="J183" s="26" t="n">
        <x:f>ROUND(E183-F183,1)</x:f>
        <x:v>215.2</x:v>
      </x:c>
      <x:c r="K183" s="22" t="str">
        <x:v>IC2609</x:v>
      </x:c>
    </x:row>
    <x:row r="184">
      <x:c r="A184" s="22" t="n">
        <x:v>6</x:v>
      </x:c>
      <x:c r="B184" s="22" t="str">
        <x:v>周一</x:v>
      </x:c>
      <x:c r="C184" s="22" t="str">
        <x:v>8月10日</x:v>
      </x:c>
      <x:c r="D184" s="23" t="n">
        <x:v>7888</x:v>
      </x:c>
      <x:c r="E184" s="23" t="n">
        <x:v>7918</x:v>
      </x:c>
      <x:c r="F184" s="23" t="n">
        <x:v>7795.8</x:v>
      </x:c>
      <x:c r="G184" s="23" t="n">
        <x:v>7881.4</x:v>
      </x:c>
      <x:c r="H184" s="23" t="n">
        <x:v>3.6</x:v>
      </x:c>
      <x:c r="I184" s="24" t="n">
        <x:v>0.0004569803752316748</x:v>
      </x:c>
      <x:c r="J184" s="23" t="n">
        <x:f>ROUND(E184-F184,1)</x:f>
        <x:v>122.2</x:v>
      </x:c>
      <x:c r="K184" s="22" t="str">
        <x:v>IC2609</x:v>
      </x:c>
    </x:row>
    <x:row r="185">
      <x:c r="A185" s="22" t="n">
        <x:v>7</x:v>
      </x:c>
      <x:c r="B185" s="22" t="str">
        <x:v>周二</x:v>
      </x:c>
      <x:c r="C185" s="22" t="str">
        <x:v>8月11日</x:v>
      </x:c>
      <x:c r="D185" s="23" t="n">
        <x:v>7864.2</x:v>
      </x:c>
      <x:c r="E185" s="23" t="n">
        <x:v>7963.8</x:v>
      </x:c>
      <x:c r="F185" s="23" t="n">
        <x:v>7830</x:v>
      </x:c>
      <x:c r="G185" s="23" t="n">
        <x:v>7872</x:v>
      </x:c>
      <x:c r="H185" s="23" t="n">
        <x:v>-9.4</x:v>
      </x:c>
      <x:c r="I185" s="24" t="n">
        <x:v>-0.0011926815032862192</x:v>
      </x:c>
      <x:c r="J185" s="23" t="n">
        <x:f>ROUND(E185-F185,1)</x:f>
        <x:v>133.8</x:v>
      </x:c>
      <x:c r="K185" s="22" t="str">
        <x:v>IC2609</x:v>
      </x:c>
    </x:row>
    <x:row r="186">
      <x:c r="A186" s="22" t="n">
        <x:v>8</x:v>
      </x:c>
      <x:c r="B186" s="22" t="str">
        <x:v>周三</x:v>
      </x:c>
      <x:c r="C186" s="22" t="str">
        <x:v>8月12日</x:v>
      </x:c>
      <x:c r="D186" s="23" t="n">
        <x:v>7890</x:v>
      </x:c>
      <x:c r="E186" s="23" t="n">
        <x:v>7971.8</x:v>
      </x:c>
      <x:c r="F186" s="23" t="n">
        <x:v>7859</x:v>
      </x:c>
      <x:c r="G186" s="23" t="n">
        <x:v>7914.2</x:v>
      </x:c>
      <x:c r="H186" s="23" t="n">
        <x:v>42.2</x:v>
      </x:c>
      <x:c r="I186" s="24" t="n">
        <x:v>0.005360772357723587</x:v>
      </x:c>
      <x:c r="J186" s="23" t="n">
        <x:f>ROUND(E186-F186,1)</x:f>
        <x:v>112.8</x:v>
      </x:c>
      <x:c r="K186" s="22" t="str">
        <x:v>IC2609</x:v>
      </x:c>
    </x:row>
    <x:row r="187">
      <x:c r="A187" s="22" t="n">
        <x:v>9</x:v>
      </x:c>
      <x:c r="B187" s="22" t="str">
        <x:v>周四</x:v>
      </x:c>
      <x:c r="C187" s="22" t="str">
        <x:v>8月13日</x:v>
      </x:c>
      <x:c r="D187" s="23" t="n">
        <x:v>7971</x:v>
      </x:c>
      <x:c r="E187" s="23" t="n">
        <x:v>8024</x:v>
      </x:c>
      <x:c r="F187" s="23" t="n">
        <x:v>7860.8</x:v>
      </x:c>
      <x:c r="G187" s="23" t="n">
        <x:v>7866.2</x:v>
      </x:c>
      <x:c r="H187" s="23" t="n">
        <x:v>-48</x:v>
      </x:c>
      <x:c r="I187" s="24" t="n">
        <x:v>-0.006065047635894993</x:v>
      </x:c>
      <x:c r="J187" s="26" t="n">
        <x:f>ROUND(E187-F187,1)</x:f>
        <x:v>163.2</x:v>
      </x:c>
      <x:c r="K187" s="22" t="str">
        <x:v>IC2609</x:v>
      </x:c>
    </x:row>
    <x:row r="188">
      <x:c r="A188" s="22" t="n">
        <x:v>10</x:v>
      </x:c>
      <x:c r="B188" s="22" t="str">
        <x:v>周五</x:v>
      </x:c>
      <x:c r="C188" s="22" t="str">
        <x:v>8月14日</x:v>
      </x:c>
      <x:c r="D188" s="23" t="n">
        <x:v>7905</x:v>
      </x:c>
      <x:c r="E188" s="23" t="n">
        <x:v>7914</x:v>
      </x:c>
      <x:c r="F188" s="23" t="n">
        <x:v>7802</x:v>
      </x:c>
      <x:c r="G188" s="23" t="n">
        <x:v>7861.2</x:v>
      </x:c>
      <x:c r="H188" s="23" t="n">
        <x:v>-5</x:v>
      </x:c>
      <x:c r="I188" s="24" t="n">
        <x:v>-0.0006356309272583793</x:v>
      </x:c>
      <x:c r="J188" s="23" t="n">
        <x:f>ROUND(E188-F188,1)</x:f>
        <x:v>112</x:v>
      </x:c>
      <x:c r="K188" s="22" t="str">
        <x:v>IC2609</x:v>
      </x:c>
    </x:row>
    <x:row r="189">
      <x:c r="A189" s="22" t="n">
        <x:v>11</x:v>
      </x:c>
      <x:c r="B189" s="22" t="str">
        <x:v>周一</x:v>
      </x:c>
      <x:c r="C189" s="22" t="str">
        <x:v>8月17日</x:v>
      </x:c>
      <x:c r="D189" s="23" t="n">
        <x:v>7885</x:v>
      </x:c>
      <x:c r="E189" s="23" t="n">
        <x:v>8086</x:v>
      </x:c>
      <x:c r="F189" s="23" t="n">
        <x:v>7869</x:v>
      </x:c>
      <x:c r="G189" s="23" t="n">
        <x:v>8082</x:v>
      </x:c>
      <x:c r="H189" s="28" t="n">
        <x:v>220.8</x:v>
      </x:c>
      <x:c r="I189" s="24" t="n">
        <x:v>0.028087314913753714</x:v>
      </x:c>
      <x:c r="J189" s="26" t="n">
        <x:f>ROUND(E189-F189,1)</x:f>
        <x:v>217</x:v>
      </x:c>
      <x:c r="K189" s="22" t="str">
        <x:v>IC2609</x:v>
      </x:c>
    </x:row>
    <x:row r="190">
      <x:c r="A190" s="22" t="n">
        <x:v>12</x:v>
      </x:c>
      <x:c r="B190" s="22" t="str">
        <x:v>周二</x:v>
      </x:c>
      <x:c r="C190" s="22" t="str">
        <x:v>8月18日</x:v>
      </x:c>
      <x:c r="D190" s="23" t="n">
        <x:v>8078</x:v>
      </x:c>
      <x:c r="E190" s="23" t="n">
        <x:v>8091.8</x:v>
      </x:c>
      <x:c r="F190" s="23" t="n">
        <x:v>7932.4</x:v>
      </x:c>
      <x:c r="G190" s="23" t="n">
        <x:v>8022.6</x:v>
      </x:c>
      <x:c r="H190" s="23" t="n">
        <x:v>-59.4</x:v>
      </x:c>
      <x:c r="I190" s="24" t="n">
        <x:v>-0.007349665924276105</x:v>
      </x:c>
      <x:c r="J190" s="26" t="n">
        <x:f>ROUND(E190-F190,1)</x:f>
        <x:v>159.4</x:v>
      </x:c>
      <x:c r="K190" s="22" t="str">
        <x:v>IC2609</x:v>
      </x:c>
    </x:row>
    <x:row r="191">
      <x:c r="A191" s="22" t="n">
        <x:v>13</x:v>
      </x:c>
      <x:c r="B191" s="22" t="str">
        <x:v>周三</x:v>
      </x:c>
      <x:c r="C191" s="22" t="str">
        <x:v>8月19日</x:v>
      </x:c>
      <x:c r="D191" s="23" t="n">
        <x:v>7927.8</x:v>
      </x:c>
      <x:c r="E191" s="23" t="n">
        <x:v>7939.8</x:v>
      </x:c>
      <x:c r="F191" s="23" t="n">
        <x:v>7680.2</x:v>
      </x:c>
      <x:c r="G191" s="23" t="n">
        <x:v>7712</x:v>
      </x:c>
      <x:c r="H191" s="28" t="n">
        <x:v>-310.6</x:v>
      </x:c>
      <x:c r="I191" s="24" t="n">
        <x:v>-0.03871562834991149</x:v>
      </x:c>
      <x:c r="J191" s="26" t="n">
        <x:f>ROUND(E191-F191,1)</x:f>
        <x:v>259.6</x:v>
      </x:c>
      <x:c r="K191" s="22" t="str">
        <x:v>IC2609</x:v>
      </x:c>
    </x:row>
    <x:row r="192">
      <x:c r="A192" s="22" t="n">
        <x:v>14</x:v>
      </x:c>
      <x:c r="B192" s="22" t="str">
        <x:v>周四</x:v>
      </x:c>
      <x:c r="C192" s="22" t="str">
        <x:v>8月20日</x:v>
      </x:c>
      <x:c r="D192" s="23" t="n">
        <x:v>7789.6</x:v>
      </x:c>
      <x:c r="E192" s="23" t="n">
        <x:v>7811</x:v>
      </x:c>
      <x:c r="F192" s="23" t="n">
        <x:v>7713</x:v>
      </x:c>
      <x:c r="G192" s="23" t="n">
        <x:v>7761</x:v>
      </x:c>
      <x:c r="H192" s="23" t="n">
        <x:v>49</x:v>
      </x:c>
      <x:c r="I192" s="24" t="n">
        <x:v>0.006353734439834113</x:v>
      </x:c>
      <x:c r="J192" s="23" t="n">
        <x:f>ROUND(E192-F192,1)</x:f>
        <x:v>98</x:v>
      </x:c>
      <x:c r="K192" s="22" t="str">
        <x:v>IC2609</x:v>
      </x:c>
    </x:row>
    <x:row r="193">
      <x:c r="A193" s="41" t="n">
        <x:v>15</x:v>
      </x:c>
      <x:c r="B193" s="41" t="str">
        <x:v>周五</x:v>
      </x:c>
      <x:c r="C193" s="41" t="str">
        <x:v>8月21日</x:v>
      </x:c>
      <x:c r="D193" s="42" t="n">
        <x:v>7744</x:v>
      </x:c>
      <x:c r="E193" s="42" t="n">
        <x:v>7797.2</x:v>
      </x:c>
      <x:c r="F193" s="42" t="n">
        <x:v>7669.6</x:v>
      </x:c>
      <x:c r="G193" s="42" t="n">
        <x:v>7762</x:v>
      </x:c>
      <x:c r="H193" s="42" t="n">
        <x:v>1</x:v>
      </x:c>
      <x:c r="I193" s="43" t="n">
        <x:v>0.00012884937508061967</x:v>
      </x:c>
      <x:c r="J193" s="42" t="n">
        <x:f>ROUND(E193-F193,1)</x:f>
        <x:v>127.6</x:v>
      </x:c>
      <x:c r="K193" s="41" t="str">
        <x:v>IC2609</x:v>
      </x:c>
    </x:row>
    <x:row r="194">
      <x:c r="A194" s="22" t="n">
        <x:v>16</x:v>
      </x:c>
      <x:c r="B194" s="22" t="str">
        <x:v>周一</x:v>
      </x:c>
      <x:c r="C194" s="22" t="str">
        <x:v>8月24日</x:v>
      </x:c>
      <x:c r="D194" s="23" t="n">
        <x:v>7757</x:v>
      </x:c>
      <x:c r="E194" s="23" t="n">
        <x:v>7764.4</x:v>
      </x:c>
      <x:c r="F194" s="23" t="n">
        <x:v>7514.4</x:v>
      </x:c>
      <x:c r="G194" s="23" t="n">
        <x:v>7628.4</x:v>
      </x:c>
      <x:c r="H194" s="23" t="n">
        <x:v>-133.6</x:v>
      </x:c>
      <x:c r="I194" s="24" t="n">
        <x:v>-0.01721205874774545</x:v>
      </x:c>
      <x:c r="J194" s="26" t="n">
        <x:f>ROUND(E194-F194,1)</x:f>
        <x:v>250</x:v>
      </x:c>
      <x:c r="K194" s="22" t="str">
        <x:v>IC2609</x:v>
      </x:c>
    </x:row>
    <x:row r="195">
      <x:c r="A195" s="22" t="n">
        <x:v>17</x:v>
      </x:c>
      <x:c r="B195" s="22" t="str">
        <x:v>周二</x:v>
      </x:c>
      <x:c r="C195" s="22" t="str">
        <x:v>8月25日</x:v>
      </x:c>
      <x:c r="D195" s="23" t="n">
        <x:v>7593</x:v>
      </x:c>
      <x:c r="E195" s="23" t="n">
        <x:v>7687.8</x:v>
      </x:c>
      <x:c r="F195" s="23" t="n">
        <x:v>7496</x:v>
      </x:c>
      <x:c r="G195" s="23" t="n">
        <x:v>7637</x:v>
      </x:c>
      <x:c r="H195" s="23" t="n">
        <x:v>8.6</x:v>
      </x:c>
      <x:c r="I195" s="24" t="n">
        <x:v>0.0011273661580410987</x:v>
      </x:c>
      <x:c r="J195" s="26" t="n">
        <x:f>ROUND(E195-F195,1)</x:f>
        <x:v>191.8</x:v>
      </x:c>
      <x:c r="K195" s="22" t="str">
        <x:v>IC2609</x:v>
      </x:c>
    </x:row>
    <x:row r="196">
      <x:c r="A196" s="22" t="n">
        <x:v>18</x:v>
      </x:c>
      <x:c r="B196" s="22" t="str">
        <x:v>周三</x:v>
      </x:c>
      <x:c r="C196" s="22" t="str">
        <x:v>8月26日</x:v>
      </x:c>
      <x:c r="D196" s="23" t="n">
        <x:v>7633.8</x:v>
      </x:c>
      <x:c r="E196" s="23" t="n">
        <x:v>7783.2</x:v>
      </x:c>
      <x:c r="F196" s="23" t="n">
        <x:v>7604</x:v>
      </x:c>
      <x:c r="G196" s="23" t="n">
        <x:v>7708.8</x:v>
      </x:c>
      <x:c r="H196" s="23" t="n">
        <x:v>71.8</x:v>
      </x:c>
      <x:c r="I196" s="24" t="n">
        <x:v>0.00940159748592384</x:v>
      </x:c>
      <x:c r="J196" s="26" t="n">
        <x:f>ROUND(E196-F196,1)</x:f>
        <x:v>179.2</x:v>
      </x:c>
      <x:c r="K196" s="22" t="str">
        <x:v>IC2609</x:v>
      </x:c>
    </x:row>
    <x:row r="197">
      <x:c r="A197" s="22" t="n">
        <x:v>19</x:v>
      </x:c>
      <x:c r="B197" s="22" t="str">
        <x:v>周四</x:v>
      </x:c>
      <x:c r="C197" s="22" t="str">
        <x:v>8月27日</x:v>
      </x:c>
      <x:c r="D197" s="23" t="n">
        <x:v>7730.6</x:v>
      </x:c>
      <x:c r="E197" s="23" t="n">
        <x:v>7907</x:v>
      </x:c>
      <x:c r="F197" s="23" t="n">
        <x:v>7700</x:v>
      </x:c>
      <x:c r="G197" s="23" t="n">
        <x:v>7903</x:v>
      </x:c>
      <x:c r="H197" s="28" t="n">
        <x:v>194.2</x:v>
      </x:c>
      <x:c r="I197" s="24" t="n">
        <x:v>0.025191988376919827</x:v>
      </x:c>
      <x:c r="J197" s="26" t="n">
        <x:f>ROUND(E197-F197,1)</x:f>
        <x:v>207</x:v>
      </x:c>
      <x:c r="K197" s="22" t="str">
        <x:v>IC2609</x:v>
      </x:c>
    </x:row>
    <x:row r="198">
      <x:c r="A198" s="22" t="n">
        <x:v>20</x:v>
      </x:c>
      <x:c r="B198" s="22" t="str">
        <x:v>周五</x:v>
      </x:c>
      <x:c r="C198" s="22" t="str">
        <x:v>8月28日</x:v>
      </x:c>
      <x:c r="D198" s="23" t="n">
        <x:v>7895</x:v>
      </x:c>
      <x:c r="E198" s="23" t="n">
        <x:v>7931</x:v>
      </x:c>
      <x:c r="F198" s="23" t="n">
        <x:v>7841</x:v>
      </x:c>
      <x:c r="G198" s="23" t="n">
        <x:v>7853.8</x:v>
      </x:c>
      <x:c r="H198" s="23" t="n">
        <x:v>-49.2</x:v>
      </x:c>
      <x:c r="I198" s="24" t="n">
        <x:v>-0.006225483993420156</x:v>
      </x:c>
      <x:c r="J198" s="23" t="n">
        <x:f>ROUND(E198-F198,1)</x:f>
        <x:v>90</x:v>
      </x:c>
      <x:c r="K198" s="22" t="str">
        <x:v>IC2609</x:v>
      </x:c>
    </x:row>
    <x:row r="199">
      <x:c r="A199" s="22" t="n">
        <x:v>21</x:v>
      </x:c>
      <x:c r="B199" s="22" t="str">
        <x:v>周一</x:v>
      </x:c>
      <x:c r="C199" s="22" t="str">
        <x:v>8月31日</x:v>
      </x:c>
      <x:c r="D199" s="23" t="n">
        <x:v>7761</x:v>
      </x:c>
      <x:c r="E199" s="23" t="n">
        <x:v>7913</x:v>
      </x:c>
      <x:c r="F199" s="23" t="n">
        <x:v>7694</x:v>
      </x:c>
      <x:c r="G199" s="23" t="n">
        <x:v>7895.8</x:v>
      </x:c>
      <x:c r="H199" s="23" t="n">
        <x:v>42</x:v>
      </x:c>
      <x:c r="I199" s="24" t="n">
        <x:v>0.005347729761389308</x:v>
      </x:c>
      <x:c r="J199" s="26" t="n">
        <x:f>ROUND(E199-F199,1)</x:f>
        <x:v>219</x:v>
      </x:c>
      <x:c r="K199" s="22" t="str">
        <x:v>IC2609</x:v>
      </x:c>
    </x:row>
    <x:row r="200">
      <x:c r="A200" s="31" t="str">
        <x:v>合计</x:v>
      </x:c>
      <x:c r="B200" s="30" t="n">
        <x:v>21</x:v>
      </x:c>
      <x:c r="C200" s="30"/>
      <x:c r="D200" s="30"/>
      <x:c r="E200" s="30"/>
      <x:c r="F200" s="30"/>
      <x:c r="G200" s="30"/>
      <x:c r="H200" s="30"/>
      <x:c r="I200" s="30"/>
      <x:c r="J200" s="32" t="n">
        <x:f>ROUND(SUM(J179:J199),1)</x:f>
        <x:v>3571.6</x:v>
      </x:c>
      <x:c r="K200" s="30"/>
    </x:row>
    <x:row r="201">
      <x:c r="A201" s="31" t="str">
        <x:v>均值</x:v>
      </x:c>
      <x:c r="B201" s="30"/>
      <x:c r="C201" s="30"/>
      <x:c r="D201" s="30"/>
      <x:c r="E201" s="30"/>
      <x:c r="F201" s="30"/>
      <x:c r="G201" s="30"/>
      <x:c r="H201" s="30"/>
      <x:c r="I201" s="30"/>
      <x:c r="J201" s="34" t="n">
        <x:f>ROUND(IFERROR(AVERAGE(J179:J199),0),1)</x:f>
        <x:v>170.1</x:v>
      </x:c>
      <x:c r="K201" s="30"/>
    </x:row>
    <x:row r="203">
      <x:c r="A203" s="17" t="str">
        <x:v>9月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>
      <x:c r="A204" s="20" t="str">
        <x:v>序号</x:v>
      </x:c>
      <x:c r="B204" s="20" t="str">
        <x:v>星期</x:v>
      </x:c>
      <x:c r="C204" s="20" t="str">
        <x:v>日期</x:v>
      </x:c>
      <x:c r="D204" s="20" t="str">
        <x:v>开盘</x:v>
      </x:c>
      <x:c r="E204" s="20" t="str">
        <x:v>高点</x:v>
      </x:c>
      <x:c r="F204" s="20" t="str">
        <x:v>低点</x:v>
      </x:c>
      <x:c r="G204" s="20" t="str">
        <x:v>收盘</x:v>
      </x:c>
      <x:c r="H204" s="20" t="str">
        <x:v>涨跌点数</x:v>
      </x:c>
      <x:c r="I204" s="20" t="str">
        <x:v>涨幅</x:v>
      </x:c>
      <x:c r="J204" s="20" t="str">
        <x:v>振幅</x:v>
      </x:c>
      <x:c r="K204" s="20" t="str">
        <x:v>标的</x:v>
      </x:c>
    </x:row>
    <x:row r="205">
      <x:c r="A205" s="22" t="n">
        <x:v>1</x:v>
      </x:c>
      <x:c r="B205" s="22" t="str">
        <x:v>周二</x:v>
      </x:c>
      <x:c r="C205" s="22" t="str">
        <x:v>9月1日</x:v>
      </x:c>
      <x:c r="D205" s="23" t="n">
        <x:v>7880.8</x:v>
      </x:c>
      <x:c r="E205" s="23" t="n">
        <x:v>7903</x:v>
      </x:c>
      <x:c r="F205" s="23" t="n">
        <x:v>7765</x:v>
      </x:c>
      <x:c r="G205" s="23" t="n">
        <x:v>7801.6</x:v>
      </x:c>
      <x:c r="H205" s="23" t="n">
        <x:v>-94.2</x:v>
      </x:c>
      <x:c r="I205" s="24" t="n">
        <x:v>-0.011930393373692283</x:v>
      </x:c>
      <x:c r="J205" s="23" t="n">
        <x:f>ROUND(E205-F205,1)</x:f>
        <x:v>138</x:v>
      </x:c>
      <x:c r="K205" s="22" t="str">
        <x:v>IC2609</x:v>
      </x:c>
    </x:row>
    <x:row r="206">
      <x:c r="A206" s="22" t="n">
        <x:v>2</x:v>
      </x:c>
      <x:c r="B206" s="22" t="str">
        <x:v>周三</x:v>
      </x:c>
      <x:c r="C206" s="22" t="str">
        <x:v>9月2日</x:v>
      </x:c>
      <x:c r="D206" s="23" t="n">
        <x:v>7720</x:v>
      </x:c>
      <x:c r="E206" s="23" t="n">
        <x:v>7720</x:v>
      </x:c>
      <x:c r="F206" s="23" t="n">
        <x:v>7593</x:v>
      </x:c>
      <x:c r="G206" s="23" t="n">
        <x:v>7675.6</x:v>
      </x:c>
      <x:c r="H206" s="23" t="n">
        <x:v>-126</x:v>
      </x:c>
      <x:c r="I206" s="24" t="n">
        <x:v>-0.0161505332239541</x:v>
      </x:c>
      <x:c r="J206" s="23" t="n">
        <x:f>ROUND(E206-F206,1)</x:f>
        <x:v>127</x:v>
      </x:c>
      <x:c r="K206" s="22" t="str">
        <x:v>IC2609</x:v>
      </x:c>
    </x:row>
    <x:row r="207">
      <x:c r="A207" s="22" t="n">
        <x:v>3</x:v>
      </x:c>
      <x:c r="B207" s="22" t="str">
        <x:v>周四</x:v>
      </x:c>
      <x:c r="C207" s="22" t="str">
        <x:v>9月3日</x:v>
      </x:c>
      <x:c r="D207" s="23" t="n">
        <x:v>7720</x:v>
      </x:c>
      <x:c r="E207" s="23" t="n">
        <x:v>7752.8</x:v>
      </x:c>
      <x:c r="F207" s="23" t="n">
        <x:v>7601.6</x:v>
      </x:c>
      <x:c r="G207" s="23" t="n">
        <x:v>7706.2</x:v>
      </x:c>
      <x:c r="H207" s="23" t="n">
        <x:v>30.6</x:v>
      </x:c>
      <x:c r="I207" s="24" t="n">
        <x:v>0.003986659023398786</x:v>
      </x:c>
      <x:c r="J207" s="26" t="n">
        <x:f>ROUND(E207-F207,1)</x:f>
        <x:v>151.2</x:v>
      </x:c>
      <x:c r="K207" s="22" t="str">
        <x:v>IC2609</x:v>
      </x:c>
    </x:row>
    <x:row r="208">
      <x:c r="A208" s="22" t="n">
        <x:v>4</x:v>
      </x:c>
      <x:c r="B208" s="22" t="str">
        <x:v>周五</x:v>
      </x:c>
      <x:c r="C208" s="22" t="str">
        <x:v>9月4日</x:v>
      </x:c>
      <x:c r="D208" s="23" t="n">
        <x:v>7763.8</x:v>
      </x:c>
      <x:c r="E208" s="23" t="n">
        <x:v>7824.2</x:v>
      </x:c>
      <x:c r="F208" s="23" t="n">
        <x:v>7568</x:v>
      </x:c>
      <x:c r="G208" s="23" t="n">
        <x:v>7608</x:v>
      </x:c>
      <x:c r="H208" s="23" t="n">
        <x:v>-98.2</x:v>
      </x:c>
      <x:c r="I208" s="24" t="n">
        <x:v>-0.01274298616698244</x:v>
      </x:c>
      <x:c r="J208" s="26" t="n">
        <x:f>ROUND(E208-F208,1)</x:f>
        <x:v>256.2</x:v>
      </x:c>
      <x:c r="K208" s="22" t="str">
        <x:v>IC2609</x:v>
      </x:c>
    </x:row>
    <x:row r="209">
      <x:c r="A209" s="22" t="n">
        <x:v>5</x:v>
      </x:c>
      <x:c r="B209" s="22" t="str">
        <x:v>周一</x:v>
      </x:c>
      <x:c r="C209" s="22" t="str">
        <x:v>9月7日</x:v>
      </x:c>
      <x:c r="D209" s="23" t="n">
        <x:v>7665.6</x:v>
      </x:c>
      <x:c r="E209" s="23" t="n">
        <x:v>7784.2</x:v>
      </x:c>
      <x:c r="F209" s="23" t="n">
        <x:v>7651.2</x:v>
      </x:c>
      <x:c r="G209" s="23" t="n">
        <x:v>7716.2</x:v>
      </x:c>
      <x:c r="H209" s="23" t="n">
        <x:v>108.2</x:v>
      </x:c>
      <x:c r="I209" s="24" t="n">
        <x:v>0.014221871713985257</x:v>
      </x:c>
      <x:c r="J209" s="23" t="n">
        <x:f>ROUND(E209-F209,1)</x:f>
        <x:v>133</x:v>
      </x:c>
      <x:c r="K209" s="22" t="str">
        <x:v>IC2609</x:v>
      </x:c>
    </x:row>
    <x:row r="210">
      <x:c r="A210" s="22" t="n">
        <x:v>6</x:v>
      </x:c>
      <x:c r="B210" s="22" t="str">
        <x:v>周二</x:v>
      </x:c>
      <x:c r="C210" s="22" t="str">
        <x:v>9月8日</x:v>
      </x:c>
      <x:c r="D210" s="23" t="n">
        <x:v>7734</x:v>
      </x:c>
      <x:c r="E210" s="23" t="n">
        <x:v>7817.2</x:v>
      </x:c>
      <x:c r="F210" s="23" t="n">
        <x:v>7703.2</x:v>
      </x:c>
      <x:c r="G210" s="23" t="n">
        <x:v>7743.4</x:v>
      </x:c>
      <x:c r="H210" s="23" t="n">
        <x:v>27.2</x:v>
      </x:c>
      <x:c r="I210" s="24" t="n">
        <x:v>0.003525051191000772</x:v>
      </x:c>
      <x:c r="J210" s="23" t="n">
        <x:f>ROUND(E210-F210,1)</x:f>
        <x:v>114</x:v>
      </x:c>
      <x:c r="K210" s="22" t="str">
        <x:v>IC2609</x:v>
      </x:c>
    </x:row>
    <x:row r="211">
      <x:c r="A211" s="22" t="n">
        <x:v>7</x:v>
      </x:c>
      <x:c r="B211" s="22" t="str">
        <x:v>周三</x:v>
      </x:c>
      <x:c r="C211" s="22" t="str">
        <x:v>9月9日</x:v>
      </x:c>
      <x:c r="D211" s="23" t="n">
        <x:v>7771</x:v>
      </x:c>
      <x:c r="E211" s="23" t="n">
        <x:v>7804.8</x:v>
      </x:c>
      <x:c r="F211" s="23" t="n">
        <x:v>7695.4</x:v>
      </x:c>
      <x:c r="G211" s="23" t="n">
        <x:v>7738.6</x:v>
      </x:c>
      <x:c r="H211" s="23" t="n">
        <x:v>-4.8</x:v>
      </x:c>
      <x:c r="I211" s="24" t="n">
        <x:v>-0.0006198827388484984</x:v>
      </x:c>
      <x:c r="J211" s="23" t="n">
        <x:f>ROUND(E211-F211,1)</x:f>
        <x:v>109.4</x:v>
      </x:c>
      <x:c r="K211" s="22" t="str">
        <x:v>IC2609</x:v>
      </x:c>
    </x:row>
    <x:row r="212">
      <x:c r="A212" s="22" t="n">
        <x:v>8</x:v>
      </x:c>
      <x:c r="B212" s="22" t="str">
        <x:v>周四</x:v>
      </x:c>
      <x:c r="C212" s="22" t="str">
        <x:v>9月10日</x:v>
      </x:c>
      <x:c r="D212" s="23" t="n">
        <x:v>7696.8</x:v>
      </x:c>
      <x:c r="E212" s="23" t="n">
        <x:v>7754.8</x:v>
      </x:c>
      <x:c r="F212" s="23" t="n">
        <x:v>7664</x:v>
      </x:c>
      <x:c r="G212" s="23" t="n">
        <x:v>7705.8</x:v>
      </x:c>
      <x:c r="H212" s="23" t="n">
        <x:v>-32.8</x:v>
      </x:c>
      <x:c r="I212" s="24" t="n">
        <x:v>-0.00423849275062671</x:v>
      </x:c>
      <x:c r="J212" s="23" t="n">
        <x:f>ROUND(E212-F212,1)</x:f>
        <x:v>90.8</x:v>
      </x:c>
      <x:c r="K212" s="22" t="str">
        <x:v>IC2609</x:v>
      </x:c>
    </x:row>
    <x:row r="213">
      <x:c r="A213" s="22" t="n">
        <x:v>9</x:v>
      </x:c>
      <x:c r="B213" s="22" t="str">
        <x:v>周五</x:v>
      </x:c>
      <x:c r="C213" s="22" t="str">
        <x:v>9月11日</x:v>
      </x:c>
      <x:c r="D213" s="23" t="n">
        <x:v>7626</x:v>
      </x:c>
      <x:c r="E213" s="23" t="n">
        <x:v>7626</x:v>
      </x:c>
      <x:c r="F213" s="23" t="n">
        <x:v>7418.8</x:v>
      </x:c>
      <x:c r="G213" s="23" t="n">
        <x:v>7569</x:v>
      </x:c>
      <x:c r="H213" s="23" t="n">
        <x:v>-136.8</x:v>
      </x:c>
      <x:c r="I213" s="24" t="n">
        <x:v>-0.017752861480962445</x:v>
      </x:c>
      <x:c r="J213" s="26" t="n">
        <x:f>ROUND(E213-F213,1)</x:f>
        <x:v>207.2</x:v>
      </x:c>
      <x:c r="K213" s="22" t="str">
        <x:v>IC2609</x:v>
      </x:c>
    </x:row>
    <x:row r="214">
      <x:c r="A214" s="22" t="n">
        <x:v>10</x:v>
      </x:c>
      <x:c r="B214" s="22" t="str">
        <x:v>周一</x:v>
      </x:c>
      <x:c r="C214" s="22" t="str">
        <x:v>9月14日</x:v>
      </x:c>
      <x:c r="D214" s="23" t="n">
        <x:v>7482.2</x:v>
      </x:c>
      <x:c r="E214" s="23" t="n">
        <x:v>7595.2</x:v>
      </x:c>
      <x:c r="F214" s="23" t="n">
        <x:v>7452.2</x:v>
      </x:c>
      <x:c r="G214" s="23" t="n">
        <x:v>7573.6</x:v>
      </x:c>
      <x:c r="H214" s="23" t="n">
        <x:v>4.6</x:v>
      </x:c>
      <x:c r="I214" s="24" t="n">
        <x:v>0.0006077421059584864</x:v>
      </x:c>
      <x:c r="J214" s="23" t="n">
        <x:f>ROUND(E214-F214,1)</x:f>
        <x:v>143</x:v>
      </x:c>
      <x:c r="K214" s="22" t="str">
        <x:v>IC2609</x:v>
      </x:c>
    </x:row>
    <x:row r="215">
      <x:c r="A215" s="22" t="n">
        <x:v>11</x:v>
      </x:c>
      <x:c r="B215" s="22" t="str">
        <x:v>周二</x:v>
      </x:c>
      <x:c r="C215" s="22" t="str">
        <x:v>9月15日</x:v>
      </x:c>
      <x:c r="D215" s="23" t="n">
        <x:v>7564.6</x:v>
      </x:c>
      <x:c r="E215" s="23" t="n">
        <x:v>7641.8</x:v>
      </x:c>
      <x:c r="F215" s="23" t="n">
        <x:v>7531</x:v>
      </x:c>
      <x:c r="G215" s="23" t="n">
        <x:v>7567.8</x:v>
      </x:c>
      <x:c r="H215" s="23" t="n">
        <x:v>-5.8</x:v>
      </x:c>
      <x:c r="I215" s="24" t="n">
        <x:v>-0.0007658181049963186</x:v>
      </x:c>
      <x:c r="J215" s="23" t="n">
        <x:f>ROUND(E215-F215,1)</x:f>
        <x:v>110.8</x:v>
      </x:c>
      <x:c r="K215" s="22" t="str">
        <x:v>IC2609</x:v>
      </x:c>
    </x:row>
    <x:row r="216">
      <x:c r="A216" s="22" t="n">
        <x:v>12</x:v>
      </x:c>
      <x:c r="B216" s="22" t="str">
        <x:v>周三</x:v>
      </x:c>
      <x:c r="C216" s="22" t="str">
        <x:v>9月16日</x:v>
      </x:c>
      <x:c r="D216" s="23" t="n">
        <x:v>7571.8</x:v>
      </x:c>
      <x:c r="E216" s="23" t="n">
        <x:v>7710</x:v>
      </x:c>
      <x:c r="F216" s="23" t="n">
        <x:v>7516.2</x:v>
      </x:c>
      <x:c r="G216" s="23" t="n">
        <x:v>7689.6</x:v>
      </x:c>
      <x:c r="H216" s="23" t="n">
        <x:v>121.8</x:v>
      </x:c>
      <x:c r="I216" s="24" t="n">
        <x:v>0.016094505668754477</x:v>
      </x:c>
      <x:c r="J216" s="26" t="n">
        <x:f>ROUND(E216-F216,1)</x:f>
        <x:v>193.8</x:v>
      </x:c>
      <x:c r="K216" s="22" t="str">
        <x:v>IC2609</x:v>
      </x:c>
    </x:row>
    <x:row r="217">
      <x:c r="A217" s="22" t="n">
        <x:v>13</x:v>
      </x:c>
      <x:c r="B217" s="22" t="str">
        <x:v>周四</x:v>
      </x:c>
      <x:c r="C217" s="22" t="str">
        <x:v>9月17日</x:v>
      </x:c>
      <x:c r="D217" s="23" t="n">
        <x:v>7678.4</x:v>
      </x:c>
      <x:c r="E217" s="23" t="n">
        <x:v>7754</x:v>
      </x:c>
      <x:c r="F217" s="23" t="n">
        <x:v>7617.2</x:v>
      </x:c>
      <x:c r="G217" s="23" t="n">
        <x:v>7664.6</x:v>
      </x:c>
      <x:c r="H217" s="23" t="n">
        <x:v>-25</x:v>
      </x:c>
      <x:c r="I217" s="24" t="n">
        <x:v>-0.0032511444028298087</x:v>
      </x:c>
      <x:c r="J217" s="23" t="n">
        <x:f>ROUND(E217-F217,1)</x:f>
        <x:v>136.8</x:v>
      </x:c>
      <x:c r="K217" s="22" t="str">
        <x:v>IC2609</x:v>
      </x:c>
    </x:row>
    <x:row r="218">
      <x:c r="A218" s="41" t="n">
        <x:v>14</x:v>
      </x:c>
      <x:c r="B218" s="41" t="str">
        <x:v>周五</x:v>
      </x:c>
      <x:c r="C218" s="41" t="str">
        <x:v>9月18日</x:v>
      </x:c>
      <x:c r="D218" s="42" t="n">
        <x:v>7723</x:v>
      </x:c>
      <x:c r="E218" s="42" t="n">
        <x:v>7820</x:v>
      </x:c>
      <x:c r="F218" s="42" t="n">
        <x:v>7709.2</x:v>
      </x:c>
      <x:c r="G218" s="42" t="n">
        <x:v>7789.8</x:v>
      </x:c>
      <x:c r="H218" s="42" t="n">
        <x:v>125.2</x:v>
      </x:c>
      <x:c r="I218" s="43" t="n">
        <x:v>0.016334838086788483</x:v>
      </x:c>
      <x:c r="J218" s="42" t="n">
        <x:f>ROUND(E218-F218,1)</x:f>
        <x:v>110.8</x:v>
      </x:c>
      <x:c r="K218" s="41" t="str">
        <x:v>IC2609</x:v>
      </x:c>
    </x:row>
    <x:row r="219">
      <x:c r="A219" s="22" t="n">
        <x:v>15</x:v>
      </x:c>
      <x:c r="B219" s="22" t="str">
        <x:v>周一</x:v>
      </x:c>
      <x:c r="C219" s="22" t="str">
        <x:v>9月21日</x:v>
      </x:c>
      <x:c r="D219" s="23" t="n">
        <x:v>7688</x:v>
      </x:c>
      <x:c r="E219" s="23" t="n">
        <x:v>7728</x:v>
      </x:c>
      <x:c r="F219" s="23" t="n">
        <x:v>7640</x:v>
      </x:c>
      <x:c r="G219" s="23" t="n">
        <x:v>7672.6</x:v>
      </x:c>
      <x:c r="H219" s="23" t="n">
        <x:v>-117.2</x:v>
      </x:c>
      <x:c r="I219" s="24" t="n">
        <x:v>-0.015045315669208414</x:v>
      </x:c>
      <x:c r="J219" s="23" t="n">
        <x:f>ROUND(E219-F219,1)</x:f>
        <x:v>88</x:v>
      </x:c>
      <x:c r="K219" s="22" t="str">
        <x:v>IC2612</x:v>
      </x:c>
    </x:row>
    <x:row r="220">
      <x:c r="A220" s="22" t="n">
        <x:v>16</x:v>
      </x:c>
      <x:c r="B220" s="22" t="str">
        <x:v>周二</x:v>
      </x:c>
      <x:c r="C220" s="22" t="str">
        <x:v>9月22日</x:v>
      </x:c>
      <x:c r="D220" s="23" t="n">
        <x:v>7756</x:v>
      </x:c>
      <x:c r="E220" s="23" t="n">
        <x:v>7780</x:v>
      </x:c>
      <x:c r="F220" s="23" t="n">
        <x:v>7657.4</x:v>
      </x:c>
      <x:c r="G220" s="23" t="n">
        <x:v>7671</x:v>
      </x:c>
      <x:c r="H220" s="23" t="n">
        <x:v>-1.6</x:v>
      </x:c>
      <x:c r="I220" s="24" t="n">
        <x:v>-0.00020853426478639747</x:v>
      </x:c>
      <x:c r="J220" s="23" t="n">
        <x:f>ROUND(E220-F220,1)</x:f>
        <x:v>122.6</x:v>
      </x:c>
      <x:c r="K220" s="22" t="str">
        <x:v>IC2612</x:v>
      </x:c>
    </x:row>
    <x:row r="221">
      <x:c r="A221" s="22" t="n">
        <x:v>17</x:v>
      </x:c>
      <x:c r="B221" s="22" t="str">
        <x:v>周三</x:v>
      </x:c>
      <x:c r="C221" s="22" t="str">
        <x:v>9月23日</x:v>
      </x:c>
      <x:c r="D221" s="23" t="n">
        <x:v>7699.4</x:v>
      </x:c>
      <x:c r="E221" s="23" t="n">
        <x:v>7705.6</x:v>
      </x:c>
      <x:c r="F221" s="23" t="n">
        <x:v>7638</x:v>
      </x:c>
      <x:c r="G221" s="23" t="n">
        <x:v>7650.4</x:v>
      </x:c>
      <x:c r="H221" s="23" t="n">
        <x:v>-20.6</x:v>
      </x:c>
      <x:c r="I221" s="24" t="n">
        <x:v>-0.002685438665102402</x:v>
      </x:c>
      <x:c r="J221" s="23" t="n">
        <x:f>ROUND(E221-F221,1)</x:f>
        <x:v>67.6</x:v>
      </x:c>
      <x:c r="K221" s="22" t="str">
        <x:v>IC2612</x:v>
      </x:c>
    </x:row>
    <x:row r="222">
      <x:c r="A222" s="22" t="n">
        <x:v>18</x:v>
      </x:c>
      <x:c r="B222" s="22" t="str">
        <x:v>周四</x:v>
      </x:c>
      <x:c r="C222" s="22" t="str">
        <x:v>9月24日</x:v>
      </x:c>
      <x:c r="D222" s="23" t="n">
        <x:v>7615</x:v>
      </x:c>
      <x:c r="E222" s="23" t="n">
        <x:v>7639.6</x:v>
      </x:c>
      <x:c r="F222" s="23" t="n">
        <x:v>7450</x:v>
      </x:c>
      <x:c r="G222" s="23" t="n">
        <x:v>7451.6</x:v>
      </x:c>
      <x:c r="H222" s="28" t="n">
        <x:v>-198.8</x:v>
      </x:c>
      <x:c r="I222" s="24" t="n">
        <x:v>-0.025985569381993034</x:v>
      </x:c>
      <x:c r="J222" s="26" t="n">
        <x:f>ROUND(E222-F222,1)</x:f>
        <x:v>189.6</x:v>
      </x:c>
      <x:c r="K222" s="22" t="str">
        <x:v>IC2612</x:v>
      </x:c>
    </x:row>
    <x:row r="223">
      <x:c r="A223" s="22" t="n">
        <x:v>19</x:v>
      </x:c>
      <x:c r="B223" s="22" t="str">
        <x:v>周一</x:v>
      </x:c>
      <x:c r="C223" s="22" t="str">
        <x:v>9月28日</x:v>
      </x:c>
      <x:c r="D223" s="23" t="n">
        <x:v>7440.8</x:v>
      </x:c>
      <x:c r="E223" s="23" t="n">
        <x:v>7458.4</x:v>
      </x:c>
      <x:c r="F223" s="23" t="n">
        <x:v>7186</x:v>
      </x:c>
      <x:c r="G223" s="23" t="n">
        <x:v>7270</x:v>
      </x:c>
      <x:c r="H223" s="28" t="n">
        <x:v>-181.6</x:v>
      </x:c>
      <x:c r="I223" s="24" t="n">
        <x:v>-0.024370604970744614</x:v>
      </x:c>
      <x:c r="J223" s="26" t="n">
        <x:f>ROUND(E223-F223,1)</x:f>
        <x:v>272.4</x:v>
      </x:c>
      <x:c r="K223" s="22" t="str">
        <x:v>IC2612</x:v>
      </x:c>
    </x:row>
    <x:row r="224">
      <x:c r="A224" s="22" t="n">
        <x:v>20</x:v>
      </x:c>
      <x:c r="B224" s="22" t="str">
        <x:v>周二</x:v>
      </x:c>
      <x:c r="C224" s="22" t="str">
        <x:v>9月29日</x:v>
      </x:c>
      <x:c r="D224" s="23" t="n">
        <x:v>7270</x:v>
      </x:c>
      <x:c r="E224" s="23" t="n">
        <x:v>7352.8</x:v>
      </x:c>
      <x:c r="F224" s="23" t="n">
        <x:v>7238</x:v>
      </x:c>
      <x:c r="G224" s="23" t="n">
        <x:v>7309.6</x:v>
      </x:c>
      <x:c r="H224" s="23" t="n">
        <x:v>39.6</x:v>
      </x:c>
      <x:c r="I224" s="24" t="n">
        <x:v>0.005447042640990496</x:v>
      </x:c>
      <x:c r="J224" s="23" t="n">
        <x:f>ROUND(E224-F224,1)</x:f>
        <x:v>114.8</x:v>
      </x:c>
      <x:c r="K224" s="22" t="str">
        <x:v>IC2612</x:v>
      </x:c>
    </x:row>
    <x:row r="225">
      <x:c r="A225" s="22" t="n">
        <x:v>21</x:v>
      </x:c>
      <x:c r="B225" s="22" t="str">
        <x:v>周三</x:v>
      </x:c>
      <x:c r="C225" s="22" t="str">
        <x:v>9月30日</x:v>
      </x:c>
      <x:c r="D225" s="23" t="n">
        <x:v>7332</x:v>
      </x:c>
      <x:c r="E225" s="23" t="n">
        <x:v>7344</x:v>
      </x:c>
      <x:c r="F225" s="23" t="n">
        <x:v>7282</x:v>
      </x:c>
      <x:c r="G225" s="23" t="n">
        <x:v>7310.2</x:v>
      </x:c>
      <x:c r="H225" s="23" t="n">
        <x:v>0.6</x:v>
      </x:c>
      <x:c r="I225" s="24" t="n">
        <x:v>0.00008208383495666993</x:v>
      </x:c>
      <x:c r="J225" s="23" t="n">
        <x:f>ROUND(E225-F225,1)</x:f>
        <x:v>62</x:v>
      </x:c>
      <x:c r="K225" s="22" t="str">
        <x:v>IC2612</x:v>
      </x:c>
    </x:row>
    <x:row r="226">
      <x:c r="A226" s="31" t="str">
        <x:v>合计</x:v>
      </x:c>
      <x:c r="B226" s="30" t="n">
        <x:v>21</x:v>
      </x:c>
      <x:c r="C226" s="30"/>
      <x:c r="D226" s="30"/>
      <x:c r="E226" s="30"/>
      <x:c r="F226" s="30"/>
      <x:c r="G226" s="30"/>
      <x:c r="H226" s="30"/>
      <x:c r="I226" s="30"/>
      <x:c r="J226" s="32" t="n">
        <x:f>ROUND(SUM(J205:J225),1)</x:f>
        <x:v>2939</x:v>
      </x:c>
      <x:c r="K226" s="30"/>
    </x:row>
    <x:row r="227">
      <x:c r="A227" s="31" t="str">
        <x:v>均值</x:v>
      </x:c>
      <x:c r="B227" s="30"/>
      <x:c r="C227" s="30"/>
      <x:c r="D227" s="30"/>
      <x:c r="E227" s="30"/>
      <x:c r="F227" s="30"/>
      <x:c r="G227" s="30"/>
      <x:c r="H227" s="30"/>
      <x:c r="I227" s="30"/>
      <x:c r="J227" s="34" t="n">
        <x:f>ROUND(IFERROR(AVERAGE(J205:J225),0),1)</x:f>
        <x:v>140</x:v>
      </x:c>
      <x:c r="K227" s="30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涨跌点数</x:v>
      </x:c>
      <x:c r="I230" s="20" t="str">
        <x:v>涨幅</x:v>
      </x:c>
      <x:c r="J230" s="20" t="str">
        <x:v>振幅</x:v>
      </x:c>
      <x:c r="K230" s="20" t="str">
        <x:v>标的</x:v>
      </x:c>
    </x:row>
    <x:row r="231">
      <x:c r="A231" s="22" t="n">
        <x:v>1</x:v>
      </x:c>
      <x:c r="B231" s="22" t="str">
        <x:v>周四</x:v>
      </x:c>
      <x:c r="C231" s="22" t="str">
        <x:v>10月8日</x:v>
      </x:c>
      <x:c r="D231" s="23" t="n">
        <x:v>7295</x:v>
      </x:c>
      <x:c r="E231" s="23" t="n">
        <x:v>7355</x:v>
      </x:c>
      <x:c r="F231" s="23" t="n">
        <x:v>7056.4</x:v>
      </x:c>
      <x:c r="G231" s="23" t="n">
        <x:v>7122.8</x:v>
      </x:c>
      <x:c r="H231" s="28" t="n">
        <x:v>-187.4</x:v>
      </x:c>
      <x:c r="I231" s="24" t="n">
        <x:v>-0.02563541353177745</x:v>
      </x:c>
      <x:c r="J231" s="26" t="n">
        <x:f>ROUND(E231-F231,1)</x:f>
        <x:v>298.6</x:v>
      </x:c>
      <x:c r="K231" s="22" t="str">
        <x:v>IC2612</x:v>
      </x:c>
    </x:row>
    <x:row r="232">
      <x:c r="A232" s="22" t="n">
        <x:v>2</x:v>
      </x:c>
      <x:c r="B232" s="22" t="str">
        <x:v>周五</x:v>
      </x:c>
      <x:c r="C232" s="22" t="str">
        <x:v>10月9日</x:v>
      </x:c>
      <x:c r="D232" s="23" t="n">
        <x:v>7110</x:v>
      </x:c>
      <x:c r="E232" s="23" t="n">
        <x:v>7148</x:v>
      </x:c>
      <x:c r="F232" s="23" t="n">
        <x:v>6932</x:v>
      </x:c>
      <x:c r="G232" s="23" t="n">
        <x:v>7111</x:v>
      </x:c>
      <x:c r="H232" s="23" t="n">
        <x:v>-11.8</x:v>
      </x:c>
      <x:c r="I232" s="24" t="n">
        <x:v>-0.0016566518784747464</x:v>
      </x:c>
      <x:c r="J232" s="26" t="n">
        <x:f>ROUND(E232-F232,1)</x:f>
        <x:v>216</x:v>
      </x:c>
      <x:c r="K232" s="22" t="str">
        <x:v>IC2612</x:v>
      </x:c>
    </x:row>
    <x:row r="233">
      <x:c r="A233" s="22" t="n">
        <x:v>3</x:v>
      </x:c>
      <x:c r="B233" s="22" t="str">
        <x:v>周一</x:v>
      </x:c>
      <x:c r="C233" s="22" t="str">
        <x:v>10月12日</x:v>
      </x:c>
      <x:c r="D233" s="23" t="n">
        <x:v>7076.6</x:v>
      </x:c>
      <x:c r="E233" s="23" t="n">
        <x:v>7115.6</x:v>
      </x:c>
      <x:c r="F233" s="23" t="n">
        <x:v>6943.6</x:v>
      </x:c>
      <x:c r="G233" s="23" t="n">
        <x:v>6986</x:v>
      </x:c>
      <x:c r="H233" s="23" t="n">
        <x:v>-125</x:v>
      </x:c>
      <x:c r="I233" s="24" t="n">
        <x:v>-0.017578399662494748</x:v>
      </x:c>
      <x:c r="J233" s="26" t="n">
        <x:f>ROUND(E233-F233,1)</x:f>
        <x:v>172</x:v>
      </x:c>
      <x:c r="K233" s="22" t="str">
        <x:v>IC2612</x:v>
      </x:c>
    </x:row>
    <x:row r="234">
      <x:c r="A234" s="22" t="n">
        <x:v>4</x:v>
      </x:c>
      <x:c r="B234" s="22" t="str">
        <x:v>周二</x:v>
      </x:c>
      <x:c r="C234" s="22" t="str">
        <x:v>10月13日</x:v>
      </x:c>
      <x:c r="D234" s="23" t="n">
        <x:v>6830</x:v>
      </x:c>
      <x:c r="E234" s="23" t="n">
        <x:v>7029.2</x:v>
      </x:c>
      <x:c r="F234" s="23" t="n">
        <x:v>6778.4</x:v>
      </x:c>
      <x:c r="G234" s="23" t="n">
        <x:v>6962.2</x:v>
      </x:c>
      <x:c r="H234" s="23" t="n">
        <x:v>-23.8</x:v>
      </x:c>
      <x:c r="I234" s="24" t="n">
        <x:v>-0.00340681362725459</x:v>
      </x:c>
      <x:c r="J234" s="26" t="n">
        <x:f>ROUND(E234-F234,1)</x:f>
        <x:v>250.8</x:v>
      </x:c>
      <x:c r="K234" s="22" t="str">
        <x:v>IC2612</x:v>
      </x:c>
    </x:row>
    <x:row r="235">
      <x:c r="A235" s="22" t="n">
        <x:v>5</x:v>
      </x:c>
      <x:c r="B235" s="22" t="str">
        <x:v>周三</x:v>
      </x:c>
      <x:c r="C235" s="22" t="str">
        <x:v>10月14日</x:v>
      </x:c>
      <x:c r="D235" s="23" t="n">
        <x:v>6952</x:v>
      </x:c>
      <x:c r="E235" s="23" t="n">
        <x:v>6994.8</x:v>
      </x:c>
      <x:c r="F235" s="23" t="n">
        <x:v>6828.6</x:v>
      </x:c>
      <x:c r="G235" s="23" t="n">
        <x:v>6874.6</x:v>
      </x:c>
      <x:c r="H235" s="23" t="n">
        <x:v>-87.6</x:v>
      </x:c>
      <x:c r="I235" s="24" t="n">
        <x:v>-0.012582229754962482</x:v>
      </x:c>
      <x:c r="J235" s="26" t="n">
        <x:f>ROUND(E235-F235,1)</x:f>
        <x:v>166.2</x:v>
      </x:c>
      <x:c r="K235" s="22" t="str">
        <x:v>IC2612</x:v>
      </x:c>
    </x:row>
    <x:row r="236">
      <x:c r="A236" s="22" t="n">
        <x:v>6</x:v>
      </x:c>
      <x:c r="B236" s="22" t="str">
        <x:v>周四</x:v>
      </x:c>
      <x:c r="C236" s="22" t="str">
        <x:v>10月15日</x:v>
      </x:c>
      <x:c r="D236" s="23" t="n">
        <x:v>6700</x:v>
      </x:c>
      <x:c r="E236" s="23" t="n">
        <x:v>6769</x:v>
      </x:c>
      <x:c r="F236" s="23" t="n">
        <x:v>6583.2</x:v>
      </x:c>
      <x:c r="G236" s="23" t="n">
        <x:v>6638.2</x:v>
      </x:c>
      <x:c r="H236" s="28" t="n">
        <x:v>-236.4</x:v>
      </x:c>
      <x:c r="I236" s="24" t="n">
        <x:v>-0.03438745527012488</x:v>
      </x:c>
      <x:c r="J236" s="26" t="n">
        <x:f>ROUND(E236-F236,1)</x:f>
        <x:v>185.8</x:v>
      </x:c>
      <x:c r="K236" s="22" t="str">
        <x:v>IC2612</x:v>
      </x:c>
    </x:row>
    <x:row r="237">
      <x:c r="A237" s="31" t="str">
        <x:v>合计</x:v>
      </x:c>
      <x:c r="B237" s="30" t="n">
        <x:v>6</x:v>
      </x:c>
      <x:c r="C237" s="30"/>
      <x:c r="D237" s="30"/>
      <x:c r="E237" s="30"/>
      <x:c r="F237" s="30"/>
      <x:c r="G237" s="30"/>
      <x:c r="H237" s="30"/>
      <x:c r="I237" s="30"/>
      <x:c r="J237" s="32" t="n">
        <x:f>ROUND(SUM(J231:J236),1)</x:f>
        <x:v>1289.4</x:v>
      </x:c>
      <x:c r="K237" s="30"/>
    </x:row>
    <x:row r="238">
      <x:c r="A238" s="31" t="str">
        <x:v>均值</x:v>
      </x:c>
      <x:c r="B238" s="30"/>
      <x:c r="C238" s="30"/>
      <x:c r="D238" s="30"/>
      <x:c r="E238" s="30"/>
      <x:c r="F238" s="30"/>
      <x:c r="G238" s="30"/>
      <x:c r="H238" s="30"/>
      <x:c r="I238" s="30"/>
      <x:c r="J238" s="34" t="n">
        <x:f>ROUND(IFERROR(AVERAGE(J231:J236),0),1)</x:f>
        <x:v>214.9</x:v>
      </x:c>
      <x:c r="K238" s="30"/>
    </x:row>
  </x:sheetData>
  <x:mergeCells>
    <x:mergeCell ref="A1:K1"/>
    <x:mergeCell ref="A3:K3"/>
    <x:mergeCell ref="A28:K28"/>
    <x:mergeCell ref="A47:K47"/>
    <x:mergeCell ref="A74:K74"/>
    <x:mergeCell ref="A100:K100"/>
    <x:mergeCell ref="A123:K123"/>
    <x:mergeCell ref="A149:K149"/>
    <x:mergeCell ref="A177:K177"/>
    <x:mergeCell ref="A203:K203"/>
    <x:mergeCell ref="A229:K2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2026年统计 - IF主力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2" t="n">
        <x:v>1</x:v>
      </x:c>
      <x:c r="B5" s="22" t="str">
        <x:v>周一</x:v>
      </x:c>
      <x:c r="C5" s="22" t="str">
        <x:v>1月5日</x:v>
      </x:c>
      <x:c r="D5" s="23" t="n">
        <x:v>4627</x:v>
      </x:c>
      <x:c r="E5" s="23" t="n">
        <x:v>4705</x:v>
      </x:c>
      <x:c r="F5" s="23" t="n">
        <x:v>4627</x:v>
      </x:c>
      <x:c r="G5" s="23" t="n">
        <x:v>4697</x:v>
      </x:c>
      <x:c r="H5" s="23" t="n">
        <x:v>97.2</x:v>
      </x:c>
      <x:c r="I5" s="24" t="n">
        <x:v>0.021131353537110265</x:v>
      </x:c>
      <x:c r="J5" s="23" t="n">
        <x:f>ROUND(E5-F5,1)</x:f>
        <x:v>78</x:v>
      </x:c>
      <x:c r="K5" s="22" t="str">
        <x:v>IF2603</x:v>
      </x:c>
    </x:row>
    <x:row r="6">
      <x:c r="A6" s="22" t="n">
        <x:v>2</x:v>
      </x:c>
      <x:c r="B6" s="22" t="str">
        <x:v>周二</x:v>
      </x:c>
      <x:c r="C6" s="22" t="str">
        <x:v>1月6日</x:v>
      </x:c>
      <x:c r="D6" s="23" t="n">
        <x:v>4705</x:v>
      </x:c>
      <x:c r="E6" s="23" t="n">
        <x:v>4780.8</x:v>
      </x:c>
      <x:c r="F6" s="23" t="n">
        <x:v>4705</x:v>
      </x:c>
      <x:c r="G6" s="23" t="n">
        <x:v>4778</x:v>
      </x:c>
      <x:c r="H6" s="23" t="n">
        <x:v>81</x:v>
      </x:c>
      <x:c r="I6" s="24" t="n">
        <x:v>0.017245050031935216</x:v>
      </x:c>
      <x:c r="J6" s="23" t="n">
        <x:f>ROUND(E6-F6,1)</x:f>
        <x:v>75.8</x:v>
      </x:c>
      <x:c r="K6" s="22" t="str">
        <x:v>IF2603</x:v>
      </x:c>
    </x:row>
    <x:row r="7">
      <x:c r="A7" s="22" t="n">
        <x:v>3</x:v>
      </x:c>
      <x:c r="B7" s="22" t="str">
        <x:v>周三</x:v>
      </x:c>
      <x:c r="C7" s="22" t="str">
        <x:v>1月7日</x:v>
      </x:c>
      <x:c r="D7" s="23" t="n">
        <x:v>4781</x:v>
      </x:c>
      <x:c r="E7" s="23" t="n">
        <x:v>4785.8</x:v>
      </x:c>
      <x:c r="F7" s="23" t="n">
        <x:v>4733</x:v>
      </x:c>
      <x:c r="G7" s="23" t="n">
        <x:v>4753</x:v>
      </x:c>
      <x:c r="H7" s="23" t="n">
        <x:v>-25</x:v>
      </x:c>
      <x:c r="I7" s="24" t="n">
        <x:v>-0.005232314776056901</x:v>
      </x:c>
      <x:c r="J7" s="23" t="n">
        <x:f>ROUND(E7-F7,1)</x:f>
        <x:v>52.8</x:v>
      </x:c>
      <x:c r="K7" s="22" t="str">
        <x:v>IF2603</x:v>
      </x:c>
    </x:row>
    <x:row r="8">
      <x:c r="A8" s="22" t="n">
        <x:v>4</x:v>
      </x:c>
      <x:c r="B8" s="22" t="str">
        <x:v>周四</x:v>
      </x:c>
      <x:c r="C8" s="22" t="str">
        <x:v>1月8日</x:v>
      </x:c>
      <x:c r="D8" s="23" t="n">
        <x:v>4745</x:v>
      </x:c>
      <x:c r="E8" s="23" t="n">
        <x:v>4751</x:v>
      </x:c>
      <x:c r="F8" s="23" t="n">
        <x:v>4694.2</x:v>
      </x:c>
      <x:c r="G8" s="23" t="n">
        <x:v>4718.4</x:v>
      </x:c>
      <x:c r="H8" s="23" t="n">
        <x:v>-34.6</x:v>
      </x:c>
      <x:c r="I8" s="24" t="n">
        <x:v>-0.007279612876078367</x:v>
      </x:c>
      <x:c r="J8" s="23" t="n">
        <x:f>ROUND(E8-F8,1)</x:f>
        <x:v>56.8</x:v>
      </x:c>
      <x:c r="K8" s="22" t="str">
        <x:v>IF2603</x:v>
      </x:c>
    </x:row>
    <x:row r="9">
      <x:c r="A9" s="22" t="n">
        <x:v>5</x:v>
      </x:c>
      <x:c r="B9" s="22" t="str">
        <x:v>周五</x:v>
      </x:c>
      <x:c r="C9" s="22" t="str">
        <x:v>1月9日</x:v>
      </x:c>
      <x:c r="D9" s="23" t="n">
        <x:v>4714.4</x:v>
      </x:c>
      <x:c r="E9" s="23" t="n">
        <x:v>4767.6</x:v>
      </x:c>
      <x:c r="F9" s="23" t="n">
        <x:v>4703.6</x:v>
      </x:c>
      <x:c r="G9" s="23" t="n">
        <x:v>4743.8</x:v>
      </x:c>
      <x:c r="H9" s="23" t="n">
        <x:v>25.4</x:v>
      </x:c>
      <x:c r="I9" s="24" t="n">
        <x:v>0.005383180739233717</x:v>
      </x:c>
      <x:c r="J9" s="23" t="n">
        <x:f>ROUND(E9-F9,1)</x:f>
        <x:v>64</x:v>
      </x:c>
      <x:c r="K9" s="22" t="str">
        <x:v>IF2603</x:v>
      </x:c>
    </x:row>
    <x:row r="10">
      <x:c r="A10" s="22" t="n">
        <x:v>6</x:v>
      </x:c>
      <x:c r="B10" s="22" t="str">
        <x:v>周一</x:v>
      </x:c>
      <x:c r="C10" s="22" t="str">
        <x:v>1月12日</x:v>
      </x:c>
      <x:c r="D10" s="23" t="n">
        <x:v>4762</x:v>
      </x:c>
      <x:c r="E10" s="23" t="n">
        <x:v>4797</x:v>
      </x:c>
      <x:c r="F10" s="23" t="n">
        <x:v>4722.6</x:v>
      </x:c>
      <x:c r="G10" s="23" t="n">
        <x:v>4774</x:v>
      </x:c>
      <x:c r="H10" s="23" t="n">
        <x:v>30.2</x:v>
      </x:c>
      <x:c r="I10" s="24" t="n">
        <x:v>0.006366204308781986</x:v>
      </x:c>
      <x:c r="J10" s="23" t="n">
        <x:f>ROUND(E10-F10,1)</x:f>
        <x:v>74.4</x:v>
      </x:c>
      <x:c r="K10" s="22" t="str">
        <x:v>IF2603</x:v>
      </x:c>
    </x:row>
    <x:row r="11">
      <x:c r="A11" s="22" t="n">
        <x:v>7</x:v>
      </x:c>
      <x:c r="B11" s="22" t="str">
        <x:v>周二</x:v>
      </x:c>
      <x:c r="C11" s="22" t="str">
        <x:v>1月13日</x:v>
      </x:c>
      <x:c r="D11" s="23" t="n">
        <x:v>4788</x:v>
      </x:c>
      <x:c r="E11" s="23" t="n">
        <x:v>4828</x:v>
      </x:c>
      <x:c r="F11" s="23" t="n">
        <x:v>4738.6</x:v>
      </x:c>
      <x:c r="G11" s="23" t="n">
        <x:v>4758.6</x:v>
      </x:c>
      <x:c r="H11" s="23" t="n">
        <x:v>-15.4</x:v>
      </x:c>
      <x:c r="I11" s="24" t="n">
        <x:v>-0.003225806451612856</x:v>
      </x:c>
      <x:c r="J11" s="23" t="n">
        <x:f>ROUND(E11-F11,1)</x:f>
        <x:v>89.4</x:v>
      </x:c>
      <x:c r="K11" s="22" t="str">
        <x:v>IF2603</x:v>
      </x:c>
    </x:row>
    <x:row r="12">
      <x:c r="A12" s="22" t="n">
        <x:v>8</x:v>
      </x:c>
      <x:c r="B12" s="22" t="str">
        <x:v>周三</x:v>
      </x:c>
      <x:c r="C12" s="22" t="str">
        <x:v>1月14日</x:v>
      </x:c>
      <x:c r="D12" s="23" t="n">
        <x:v>4781</x:v>
      </x:c>
      <x:c r="E12" s="23" t="n">
        <x:v>4833.2</x:v>
      </x:c>
      <x:c r="F12" s="23" t="n">
        <x:v>4707</x:v>
      </x:c>
      <x:c r="G12" s="23" t="n">
        <x:v>4740</x:v>
      </x:c>
      <x:c r="H12" s="23" t="n">
        <x:v>-18.6</x:v>
      </x:c>
      <x:c r="I12" s="24" t="n">
        <x:v>-0.003908712646576773</x:v>
      </x:c>
      <x:c r="J12" s="26" t="n">
        <x:f>ROUND(E12-F12,1)</x:f>
        <x:v>126.2</x:v>
      </x:c>
      <x:c r="K12" s="22" t="str">
        <x:v>IF2603</x:v>
      </x:c>
    </x:row>
    <x:row r="13">
      <x:c r="A13" s="22" t="n">
        <x:v>9</x:v>
      </x:c>
      <x:c r="B13" s="22" t="str">
        <x:v>周四</x:v>
      </x:c>
      <x:c r="C13" s="22" t="str">
        <x:v>1月15日</x:v>
      </x:c>
      <x:c r="D13" s="23" t="n">
        <x:v>4725</x:v>
      </x:c>
      <x:c r="E13" s="23" t="n">
        <x:v>4764.8</x:v>
      </x:c>
      <x:c r="F13" s="23" t="n">
        <x:v>4708.2</x:v>
      </x:c>
      <x:c r="G13" s="23" t="n">
        <x:v>4746.6</x:v>
      </x:c>
      <x:c r="H13" s="23" t="n">
        <x:v>6.6</x:v>
      </x:c>
      <x:c r="I13" s="24" t="n">
        <x:v>0.001392405063291191</x:v>
      </x:c>
      <x:c r="J13" s="23" t="n">
        <x:f>ROUND(E13-F13,1)</x:f>
        <x:v>56.6</x:v>
      </x:c>
      <x:c r="K13" s="22" t="str">
        <x:v>IF2603</x:v>
      </x:c>
    </x:row>
    <x:row r="14">
      <x:c r="A14" s="41" t="n">
        <x:v>10</x:v>
      </x:c>
      <x:c r="B14" s="41" t="str">
        <x:v>周五</x:v>
      </x:c>
      <x:c r="C14" s="41" t="str">
        <x:v>1月16日</x:v>
      </x:c>
      <x:c r="D14" s="42" t="n">
        <x:v>4770</x:v>
      </x:c>
      <x:c r="E14" s="42" t="n">
        <x:v>4790</x:v>
      </x:c>
      <x:c r="F14" s="42" t="n">
        <x:v>4711.6</x:v>
      </x:c>
      <x:c r="G14" s="42" t="n">
        <x:v>4723.2</x:v>
      </x:c>
      <x:c r="H14" s="42" t="n">
        <x:v>-23.4</x:v>
      </x:c>
      <x:c r="I14" s="43" t="n">
        <x:v>-0.004929844520288329</x:v>
      </x:c>
      <x:c r="J14" s="42" t="n">
        <x:f>ROUND(E14-F14,1)</x:f>
        <x:v>78.4</x:v>
      </x:c>
      <x:c r="K14" s="41" t="str">
        <x:v>IF2603</x:v>
      </x:c>
    </x:row>
    <x:row r="15">
      <x:c r="A15" s="22" t="n">
        <x:v>11</x:v>
      </x:c>
      <x:c r="B15" s="22" t="str">
        <x:v>周一</x:v>
      </x:c>
      <x:c r="C15" s="22" t="str">
        <x:v>1月19日</x:v>
      </x:c>
      <x:c r="D15" s="23" t="n">
        <x:v>4711.8</x:v>
      </x:c>
      <x:c r="E15" s="23" t="n">
        <x:v>4763</x:v>
      </x:c>
      <x:c r="F15" s="23" t="n">
        <x:v>4708.8</x:v>
      </x:c>
      <x:c r="G15" s="23" t="n">
        <x:v>4728.6</x:v>
      </x:c>
      <x:c r="H15" s="23" t="n">
        <x:v>5.4</x:v>
      </x:c>
      <x:c r="I15" s="24" t="n">
        <x:v>0.0011432926829268997</x:v>
      </x:c>
      <x:c r="J15" s="23" t="n">
        <x:f>ROUND(E15-F15,1)</x:f>
        <x:v>54.2</x:v>
      </x:c>
      <x:c r="K15" s="22" t="str">
        <x:v>IF2603</x:v>
      </x:c>
    </x:row>
    <x:row r="16">
      <x:c r="A16" s="22" t="n">
        <x:v>12</x:v>
      </x:c>
      <x:c r="B16" s="22" t="str">
        <x:v>周二</x:v>
      </x:c>
      <x:c r="C16" s="22" t="str">
        <x:v>1月20日</x:v>
      </x:c>
      <x:c r="D16" s="23" t="n">
        <x:v>4731.6</x:v>
      </x:c>
      <x:c r="E16" s="23" t="n">
        <x:v>4743.8</x:v>
      </x:c>
      <x:c r="F16" s="23" t="n">
        <x:v>4672.8</x:v>
      </x:c>
      <x:c r="G16" s="23" t="n">
        <x:v>4708.6</x:v>
      </x:c>
      <x:c r="H16" s="23" t="n">
        <x:v>-20</x:v>
      </x:c>
      <x:c r="I16" s="24" t="n">
        <x:v>-0.004229581694370377</x:v>
      </x:c>
      <x:c r="J16" s="23" t="n">
        <x:f>ROUND(E16-F16,1)</x:f>
        <x:v>71</x:v>
      </x:c>
      <x:c r="K16" s="22" t="str">
        <x:v>IF2603</x:v>
      </x:c>
    </x:row>
    <x:row r="17">
      <x:c r="A17" s="22" t="n">
        <x:v>13</x:v>
      </x:c>
      <x:c r="B17" s="22" t="str">
        <x:v>周三</x:v>
      </x:c>
      <x:c r="C17" s="22" t="str">
        <x:v>1月21日</x:v>
      </x:c>
      <x:c r="D17" s="23" t="n">
        <x:v>4699</x:v>
      </x:c>
      <x:c r="E17" s="23" t="n">
        <x:v>4756.4</x:v>
      </x:c>
      <x:c r="F17" s="23" t="n">
        <x:v>4698.8</x:v>
      </x:c>
      <x:c r="G17" s="23" t="n">
        <x:v>4722.8</x:v>
      </x:c>
      <x:c r="H17" s="23" t="n">
        <x:v>14.2</x:v>
      </x:c>
      <x:c r="I17" s="24" t="n">
        <x:v>0.003015758399524282</x:v>
      </x:c>
      <x:c r="J17" s="23" t="n">
        <x:f>ROUND(E17-F17,1)</x:f>
        <x:v>57.6</x:v>
      </x:c>
      <x:c r="K17" s="22" t="str">
        <x:v>IF2603</x:v>
      </x:c>
    </x:row>
    <x:row r="18">
      <x:c r="A18" s="22" t="n">
        <x:v>14</x:v>
      </x:c>
      <x:c r="B18" s="22" t="str">
        <x:v>周四</x:v>
      </x:c>
      <x:c r="C18" s="22" t="str">
        <x:v>1月22日</x:v>
      </x:c>
      <x:c r="D18" s="23" t="n">
        <x:v>4740.8</x:v>
      </x:c>
      <x:c r="E18" s="23" t="n">
        <x:v>4756.2</x:v>
      </x:c>
      <x:c r="F18" s="23" t="n">
        <x:v>4700.6</x:v>
      </x:c>
      <x:c r="G18" s="23" t="n">
        <x:v>4719.4</x:v>
      </x:c>
      <x:c r="H18" s="23" t="n">
        <x:v>-3.4</x:v>
      </x:c>
      <x:c r="I18" s="24" t="n">
        <x:v>-0.0007199119166597656</x:v>
      </x:c>
      <x:c r="J18" s="23" t="n">
        <x:f>ROUND(E18-F18,1)</x:f>
        <x:v>55.6</x:v>
      </x:c>
      <x:c r="K18" s="22" t="str">
        <x:v>IF2603</x:v>
      </x:c>
    </x:row>
    <x:row r="19">
      <x:c r="A19" s="22" t="n">
        <x:v>15</x:v>
      </x:c>
      <x:c r="B19" s="22" t="str">
        <x:v>周五</x:v>
      </x:c>
      <x:c r="C19" s="22" t="str">
        <x:v>1月23日</x:v>
      </x:c>
      <x:c r="D19" s="23" t="n">
        <x:v>4731.6</x:v>
      </x:c>
      <x:c r="E19" s="23" t="n">
        <x:v>4739.4</x:v>
      </x:c>
      <x:c r="F19" s="23" t="n">
        <x:v>4705.4</x:v>
      </x:c>
      <x:c r="G19" s="23" t="n">
        <x:v>4709.2</x:v>
      </x:c>
      <x:c r="H19" s="23" t="n">
        <x:v>-10.2</x:v>
      </x:c>
      <x:c r="I19" s="24" t="n">
        <x:v>-0.002161291689621536</x:v>
      </x:c>
      <x:c r="J19" s="23" t="n">
        <x:f>ROUND(E19-F19,1)</x:f>
        <x:v>34</x:v>
      </x:c>
      <x:c r="K19" s="22" t="str">
        <x:v>IF2603</x:v>
      </x:c>
    </x:row>
    <x:row r="20">
      <x:c r="A20" s="22" t="n">
        <x:v>16</x:v>
      </x:c>
      <x:c r="B20" s="22" t="str">
        <x:v>周一</x:v>
      </x:c>
      <x:c r="C20" s="22" t="str">
        <x:v>1月26日</x:v>
      </x:c>
      <x:c r="D20" s="23" t="n">
        <x:v>4726.8</x:v>
      </x:c>
      <x:c r="E20" s="23" t="n">
        <x:v>4775.6</x:v>
      </x:c>
      <x:c r="F20" s="23" t="n">
        <x:v>4712.4</x:v>
      </x:c>
      <x:c r="G20" s="23" t="n">
        <x:v>4719.4</x:v>
      </x:c>
      <x:c r="H20" s="23" t="n">
        <x:v>10.2</x:v>
      </x:c>
      <x:c r="I20" s="24" t="n">
        <x:v>0.0021659729890426416</x:v>
      </x:c>
      <x:c r="J20" s="23" t="n">
        <x:f>ROUND(E20-F20,1)</x:f>
        <x:v>63.2</x:v>
      </x:c>
      <x:c r="K20" s="22" t="str">
        <x:v>IF2603</x:v>
      </x:c>
    </x:row>
    <x:row r="21">
      <x:c r="A21" s="22" t="n">
        <x:v>17</x:v>
      </x:c>
      <x:c r="B21" s="22" t="str">
        <x:v>周二</x:v>
      </x:c>
      <x:c r="C21" s="22" t="str">
        <x:v>1月27日</x:v>
      </x:c>
      <x:c r="D21" s="23" t="n">
        <x:v>4720</x:v>
      </x:c>
      <x:c r="E21" s="23" t="n">
        <x:v>4748.6</x:v>
      </x:c>
      <x:c r="F21" s="23" t="n">
        <x:v>4681</x:v>
      </x:c>
      <x:c r="G21" s="23" t="n">
        <x:v>4718.2</x:v>
      </x:c>
      <x:c r="H21" s="23" t="n">
        <x:v>-1.2</x:v>
      </x:c>
      <x:c r="I21" s="24" t="n">
        <x:v>-0.00025426961054364483</x:v>
      </x:c>
      <x:c r="J21" s="23" t="n">
        <x:f>ROUND(E21-F21,1)</x:f>
        <x:v>67.6</x:v>
      </x:c>
      <x:c r="K21" s="22" t="str">
        <x:v>IF2603</x:v>
      </x:c>
    </x:row>
    <x:row r="22">
      <x:c r="A22" s="22" t="n">
        <x:v>18</x:v>
      </x:c>
      <x:c r="B22" s="22" t="str">
        <x:v>周三</x:v>
      </x:c>
      <x:c r="C22" s="22" t="str">
        <x:v>1月28日</x:v>
      </x:c>
      <x:c r="D22" s="23" t="n">
        <x:v>4735</x:v>
      </x:c>
      <x:c r="E22" s="23" t="n">
        <x:v>4747.8</x:v>
      </x:c>
      <x:c r="F22" s="23" t="n">
        <x:v>4716</x:v>
      </x:c>
      <x:c r="G22" s="23" t="n">
        <x:v>4732.8</x:v>
      </x:c>
      <x:c r="H22" s="23" t="n">
        <x:v>14.6</x:v>
      </x:c>
      <x:c r="I22" s="24" t="n">
        <x:v>0.003094400406934872</x:v>
      </x:c>
      <x:c r="J22" s="23" t="n">
        <x:f>ROUND(E22-F22,1)</x:f>
        <x:v>31.8</x:v>
      </x:c>
      <x:c r="K22" s="22" t="str">
        <x:v>IF2603</x:v>
      </x:c>
    </x:row>
    <x:row r="23">
      <x:c r="A23" s="22" t="n">
        <x:v>19</x:v>
      </x:c>
      <x:c r="B23" s="22" t="str">
        <x:v>周四</x:v>
      </x:c>
      <x:c r="C23" s="22" t="str">
        <x:v>1月29日</x:v>
      </x:c>
      <x:c r="D23" s="23" t="n">
        <x:v>4740</x:v>
      </x:c>
      <x:c r="E23" s="23" t="n">
        <x:v>4793</x:v>
      </x:c>
      <x:c r="F23" s="23" t="n">
        <x:v>4716.2</x:v>
      </x:c>
      <x:c r="G23" s="23" t="n">
        <x:v>4784</x:v>
      </x:c>
      <x:c r="H23" s="23" t="n">
        <x:v>51.2</x:v>
      </x:c>
      <x:c r="I23" s="24" t="n">
        <x:v>0.010818120351588911</x:v>
      </x:c>
      <x:c r="J23" s="23" t="n">
        <x:f>ROUND(E23-F23,1)</x:f>
        <x:v>76.8</x:v>
      </x:c>
      <x:c r="K23" s="22" t="str">
        <x:v>IF2603</x:v>
      </x:c>
    </x:row>
    <x:row r="24">
      <x:c r="A24" s="22" t="n">
        <x:v>20</x:v>
      </x:c>
      <x:c r="B24" s="22" t="str">
        <x:v>周五</x:v>
      </x:c>
      <x:c r="C24" s="22" t="str">
        <x:v>1月30日</x:v>
      </x:c>
      <x:c r="D24" s="23" t="n">
        <x:v>4760</x:v>
      </x:c>
      <x:c r="E24" s="23" t="n">
        <x:v>4780</x:v>
      </x:c>
      <x:c r="F24" s="23" t="n">
        <x:v>4640</x:v>
      </x:c>
      <x:c r="G24" s="23" t="n">
        <x:v>4711</x:v>
      </x:c>
      <x:c r="H24" s="23" t="n">
        <x:v>-73</x:v>
      </x:c>
      <x:c r="I24" s="24" t="n">
        <x:v>-0.01525919732441472</x:v>
      </x:c>
      <x:c r="J24" s="26" t="n">
        <x:f>ROUND(E24-F24,1)</x:f>
        <x:v>140</x:v>
      </x:c>
      <x:c r="K24" s="22" t="str">
        <x:v>IF2603</x:v>
      </x:c>
    </x:row>
    <x:row r="25">
      <x:c r="A25" s="31" t="str">
        <x:v>合计</x:v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2" t="n">
        <x:f>ROUND(SUM(J5:J24),1)</x:f>
        <x:v>1404.2</x:v>
      </x:c>
      <x:c r="K25" s="30"/>
    </x:row>
    <x:row r="26">
      <x:c r="A26" s="31" t="str">
        <x:v>均值</x:v>
      </x:c>
      <x:c r="B26" s="30"/>
      <x:c r="C26" s="30"/>
      <x:c r="D26" s="30"/>
      <x:c r="E26" s="30"/>
      <x:c r="F26" s="30"/>
      <x:c r="G26" s="30"/>
      <x:c r="H26" s="30"/>
      <x:c r="I26" s="30"/>
      <x:c r="J26" s="34" t="n">
        <x:f>ROUND(IFERROR(AVERAGE(J5:J24),0),1)</x:f>
        <x:v>70.2</x:v>
      </x:c>
      <x:c r="K26" s="30"/>
    </x:row>
    <x:row r="28">
      <x:c r="A28" s="17" t="str">
        <x:v>2月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20" t="str">
        <x:v>序号</x:v>
      </x:c>
      <x:c r="B29" s="20" t="str">
        <x:v>星期</x:v>
      </x:c>
      <x:c r="C29" s="20" t="str">
        <x:v>日期</x:v>
      </x:c>
      <x:c r="D29" s="20" t="str">
        <x:v>开盘</x:v>
      </x:c>
      <x:c r="E29" s="20" t="str">
        <x:v>高点</x:v>
      </x:c>
      <x:c r="F29" s="20" t="str">
        <x:v>低点</x:v>
      </x:c>
      <x:c r="G29" s="20" t="str">
        <x:v>收盘</x:v>
      </x:c>
      <x:c r="H29" s="20" t="str">
        <x:v>涨跌点数</x:v>
      </x:c>
      <x:c r="I29" s="20" t="str">
        <x:v>涨幅</x:v>
      </x:c>
      <x:c r="J29" s="20" t="str">
        <x:v>振幅</x:v>
      </x:c>
      <x:c r="K29" s="20" t="str">
        <x:v>标的</x:v>
      </x:c>
    </x:row>
    <x:row r="30">
      <x:c r="A30" s="22" t="n">
        <x:v>1</x:v>
      </x:c>
      <x:c r="B30" s="22" t="str">
        <x:v>周一</x:v>
      </x:c>
      <x:c r="C30" s="22" t="str">
        <x:v>2月2日</x:v>
      </x:c>
      <x:c r="D30" s="23" t="n">
        <x:v>4680.6</x:v>
      </x:c>
      <x:c r="E30" s="23" t="n">
        <x:v>4724</x:v>
      </x:c>
      <x:c r="F30" s="23" t="n">
        <x:v>4555.6</x:v>
      </x:c>
      <x:c r="G30" s="23" t="n">
        <x:v>4577.4</x:v>
      </x:c>
      <x:c r="H30" s="23" t="n">
        <x:v>-133.6</x:v>
      </x:c>
      <x:c r="I30" s="24" t="n">
        <x:v>-0.028359159414137247</x:v>
      </x:c>
      <x:c r="J30" s="26" t="n">
        <x:f>ROUND(E30-F30,1)</x:f>
        <x:v>168.4</x:v>
      </x:c>
      <x:c r="K30" s="22" t="str">
        <x:v>IF2603</x:v>
      </x:c>
    </x:row>
    <x:row r="31">
      <x:c r="A31" s="22" t="n">
        <x:v>2</x:v>
      </x:c>
      <x:c r="B31" s="22" t="str">
        <x:v>周二</x:v>
      </x:c>
      <x:c r="C31" s="22" t="str">
        <x:v>2月3日</x:v>
      </x:c>
      <x:c r="D31" s="23" t="n">
        <x:v>4621</x:v>
      </x:c>
      <x:c r="E31" s="23" t="n">
        <x:v>4662.4</x:v>
      </x:c>
      <x:c r="F31" s="23" t="n">
        <x:v>4574.8</x:v>
      </x:c>
      <x:c r="G31" s="23" t="n">
        <x:v>4653</x:v>
      </x:c>
      <x:c r="H31" s="23" t="n">
        <x:v>75.6</x:v>
      </x:c>
      <x:c r="I31" s="24" t="n">
        <x:v>0.016515926071569043</x:v>
      </x:c>
      <x:c r="J31" s="23" t="n">
        <x:f>ROUND(E31-F31,1)</x:f>
        <x:v>87.6</x:v>
      </x:c>
      <x:c r="K31" s="22" t="str">
        <x:v>IF2603</x:v>
      </x:c>
    </x:row>
    <x:row r="32">
      <x:c r="A32" s="22" t="n">
        <x:v>3</x:v>
      </x:c>
      <x:c r="B32" s="22" t="str">
        <x:v>周三</x:v>
      </x:c>
      <x:c r="C32" s="22" t="str">
        <x:v>2月4日</x:v>
      </x:c>
      <x:c r="D32" s="23" t="n">
        <x:v>4645</x:v>
      </x:c>
      <x:c r="E32" s="23" t="n">
        <x:v>4697.2</x:v>
      </x:c>
      <x:c r="F32" s="23" t="n">
        <x:v>4631.2</x:v>
      </x:c>
      <x:c r="G32" s="23" t="n">
        <x:v>4693.6</x:v>
      </x:c>
      <x:c r="H32" s="23" t="n">
        <x:v>40.6</x:v>
      </x:c>
      <x:c r="I32" s="24" t="n">
        <x:v>0.008725553406404574</x:v>
      </x:c>
      <x:c r="J32" s="23" t="n">
        <x:f>ROUND(E32-F32,1)</x:f>
        <x:v>66</x:v>
      </x:c>
      <x:c r="K32" s="22" t="str">
        <x:v>IF2603</x:v>
      </x:c>
    </x:row>
    <x:row r="33">
      <x:c r="A33" s="22" t="n">
        <x:v>4</x:v>
      </x:c>
      <x:c r="B33" s="22" t="str">
        <x:v>周四</x:v>
      </x:c>
      <x:c r="C33" s="22" t="str">
        <x:v>2月5日</x:v>
      </x:c>
      <x:c r="D33" s="23" t="n">
        <x:v>4662.2</x:v>
      </x:c>
      <x:c r="E33" s="23" t="n">
        <x:v>4684.8</x:v>
      </x:c>
      <x:c r="F33" s="23" t="n">
        <x:v>4623</x:v>
      </x:c>
      <x:c r="G33" s="23" t="n">
        <x:v>4665.2</x:v>
      </x:c>
      <x:c r="H33" s="23" t="n">
        <x:v>-28.4</x:v>
      </x:c>
      <x:c r="I33" s="24" t="n">
        <x:v>-0.006050792568604191</x:v>
      </x:c>
      <x:c r="J33" s="23" t="n">
        <x:f>ROUND(E33-F33,1)</x:f>
        <x:v>61.8</x:v>
      </x:c>
      <x:c r="K33" s="22" t="str">
        <x:v>IF2603</x:v>
      </x:c>
    </x:row>
    <x:row r="34">
      <x:c r="A34" s="22" t="n">
        <x:v>5</x:v>
      </x:c>
      <x:c r="B34" s="22" t="str">
        <x:v>周五</x:v>
      </x:c>
      <x:c r="C34" s="22" t="str">
        <x:v>2月6日</x:v>
      </x:c>
      <x:c r="D34" s="23" t="n">
        <x:v>4614</x:v>
      </x:c>
      <x:c r="E34" s="23" t="n">
        <x:v>4682.8</x:v>
      </x:c>
      <x:c r="F34" s="23" t="n">
        <x:v>4587</x:v>
      </x:c>
      <x:c r="G34" s="23" t="n">
        <x:v>4637.6</x:v>
      </x:c>
      <x:c r="H34" s="23" t="n">
        <x:v>-27.6</x:v>
      </x:c>
      <x:c r="I34" s="24" t="n">
        <x:v>-0.005916145074166046</x:v>
      </x:c>
      <x:c r="J34" s="26" t="n">
        <x:f>ROUND(E34-F34,1)</x:f>
        <x:v>95.8</x:v>
      </x:c>
      <x:c r="K34" s="22" t="str">
        <x:v>IF2603</x:v>
      </x:c>
    </x:row>
    <x:row r="35">
      <x:c r="A35" s="22" t="n">
        <x:v>6</x:v>
      </x:c>
      <x:c r="B35" s="22" t="str">
        <x:v>周一</x:v>
      </x:c>
      <x:c r="C35" s="22" t="str">
        <x:v>2月9日</x:v>
      </x:c>
      <x:c r="D35" s="23" t="n">
        <x:v>4688.8</x:v>
      </x:c>
      <x:c r="E35" s="23" t="n">
        <x:v>4725.4</x:v>
      </x:c>
      <x:c r="F35" s="23" t="n">
        <x:v>4678</x:v>
      </x:c>
      <x:c r="G35" s="23" t="n">
        <x:v>4721.2</x:v>
      </x:c>
      <x:c r="H35" s="23" t="n">
        <x:v>83.6</x:v>
      </x:c>
      <x:c r="I35" s="24" t="n">
        <x:v>0.01802656546489545</x:v>
      </x:c>
      <x:c r="J35" s="23" t="n">
        <x:f>ROUND(E35-F35,1)</x:f>
        <x:v>47.4</x:v>
      </x:c>
      <x:c r="K35" s="22" t="str">
        <x:v>IF2603</x:v>
      </x:c>
    </x:row>
    <x:row r="36">
      <x:c r="A36" s="22" t="n">
        <x:v>7</x:v>
      </x:c>
      <x:c r="B36" s="22" t="str">
        <x:v>周二</x:v>
      </x:c>
      <x:c r="C36" s="22" t="str">
        <x:v>2月10日</x:v>
      </x:c>
      <x:c r="D36" s="23" t="n">
        <x:v>4722</x:v>
      </x:c>
      <x:c r="E36" s="23" t="n">
        <x:v>4733.8</x:v>
      </x:c>
      <x:c r="F36" s="23" t="n">
        <x:v>4713.4</x:v>
      </x:c>
      <x:c r="G36" s="23" t="n">
        <x:v>4724</x:v>
      </x:c>
      <x:c r="H36" s="23" t="n">
        <x:v>2.8</x:v>
      </x:c>
      <x:c r="I36" s="24" t="n">
        <x:v>0.000593069558586734</x:v>
      </x:c>
      <x:c r="J36" s="23" t="n">
        <x:f>ROUND(E36-F36,1)</x:f>
        <x:v>20.4</x:v>
      </x:c>
      <x:c r="K36" s="22" t="str">
        <x:v>IF2603</x:v>
      </x:c>
    </x:row>
    <x:row r="37">
      <x:c r="A37" s="22" t="n">
        <x:v>8</x:v>
      </x:c>
      <x:c r="B37" s="22" t="str">
        <x:v>周三</x:v>
      </x:c>
      <x:c r="C37" s="22" t="str">
        <x:v>2月11日</x:v>
      </x:c>
      <x:c r="D37" s="23" t="n">
        <x:v>4721.2</x:v>
      </x:c>
      <x:c r="E37" s="23" t="n">
        <x:v>4725</x:v>
      </x:c>
      <x:c r="F37" s="23" t="n">
        <x:v>4705</x:v>
      </x:c>
      <x:c r="G37" s="23" t="n">
        <x:v>4714.8</x:v>
      </x:c>
      <x:c r="H37" s="23" t="n">
        <x:v>-9.2</x:v>
      </x:c>
      <x:c r="I37" s="24" t="n">
        <x:v>-0.0019475021168501305</x:v>
      </x:c>
      <x:c r="J37" s="23" t="n">
        <x:f>ROUND(E37-F37,1)</x:f>
        <x:v>20</x:v>
      </x:c>
      <x:c r="K37" s="22" t="str">
        <x:v>IF2603</x:v>
      </x:c>
    </x:row>
    <x:row r="38">
      <x:c r="A38" s="22" t="n">
        <x:v>9</x:v>
      </x:c>
      <x:c r="B38" s="22" t="str">
        <x:v>周四</x:v>
      </x:c>
      <x:c r="C38" s="22" t="str">
        <x:v>2月12日</x:v>
      </x:c>
      <x:c r="D38" s="23" t="n">
        <x:v>4716.2</x:v>
      </x:c>
      <x:c r="E38" s="23" t="n">
        <x:v>4727</x:v>
      </x:c>
      <x:c r="F38" s="23" t="n">
        <x:v>4705</x:v>
      </x:c>
      <x:c r="G38" s="23" t="n">
        <x:v>4716.8</x:v>
      </x:c>
      <x:c r="H38" s="23" t="n">
        <x:v>2</x:v>
      </x:c>
      <x:c r="I38" s="24" t="n">
        <x:v>0.0004241961482989165</x:v>
      </x:c>
      <x:c r="J38" s="23" t="n">
        <x:f>ROUND(E38-F38,1)</x:f>
        <x:v>22</x:v>
      </x:c>
      <x:c r="K38" s="22" t="str">
        <x:v>IF2603</x:v>
      </x:c>
    </x:row>
    <x:row r="39">
      <x:c r="A39" s="22" t="n">
        <x:v>10</x:v>
      </x:c>
      <x:c r="B39" s="22" t="str">
        <x:v>周五</x:v>
      </x:c>
      <x:c r="C39" s="22" t="str">
        <x:v>2月13日</x:v>
      </x:c>
      <x:c r="D39" s="23" t="n">
        <x:v>4683.8</x:v>
      </x:c>
      <x:c r="E39" s="23" t="n">
        <x:v>4697.8</x:v>
      </x:c>
      <x:c r="F39" s="23" t="n">
        <x:v>4624</x:v>
      </x:c>
      <x:c r="G39" s="23" t="n">
        <x:v>4627</x:v>
      </x:c>
      <x:c r="H39" s="23" t="n">
        <x:v>-89.8</x:v>
      </x:c>
      <x:c r="I39" s="24" t="n">
        <x:v>-0.019038331071913217</x:v>
      </x:c>
      <x:c r="J39" s="23" t="n">
        <x:f>ROUND(E39-F39,1)</x:f>
        <x:v>73.8</x:v>
      </x:c>
      <x:c r="K39" s="22" t="str">
        <x:v>IF2603</x:v>
      </x:c>
    </x:row>
    <x:row r="40">
      <x:c r="A40" s="41" t="n">
        <x:v>11</x:v>
      </x:c>
      <x:c r="B40" s="41" t="str">
        <x:v>周二</x:v>
      </x:c>
      <x:c r="C40" s="41" t="str">
        <x:v>2月24日</x:v>
      </x:c>
      <x:c r="D40" s="42" t="n">
        <x:v>4680.2</x:v>
      </x:c>
      <x:c r="E40" s="42" t="n">
        <x:v>4711.2</x:v>
      </x:c>
      <x:c r="F40" s="42" t="n">
        <x:v>4671.2</x:v>
      </x:c>
      <x:c r="G40" s="42" t="n">
        <x:v>4683.4</x:v>
      </x:c>
      <x:c r="H40" s="42" t="n">
        <x:v>56.4</x:v>
      </x:c>
      <x:c r="I40" s="43" t="n">
        <x:v>0.012189323535768182</x:v>
      </x:c>
      <x:c r="J40" s="42" t="n">
        <x:f>ROUND(E40-F40,1)</x:f>
        <x:v>40</x:v>
      </x:c>
      <x:c r="K40" s="41" t="str">
        <x:v>IF2603</x:v>
      </x:c>
    </x:row>
    <x:row r="41">
      <x:c r="A41" s="22" t="n">
        <x:v>12</x:v>
      </x:c>
      <x:c r="B41" s="22" t="str">
        <x:v>周三</x:v>
      </x:c>
      <x:c r="C41" s="22" t="str">
        <x:v>2月25日</x:v>
      </x:c>
      <x:c r="D41" s="23" t="n">
        <x:v>4697</x:v>
      </x:c>
      <x:c r="E41" s="23" t="n">
        <x:v>4768</x:v>
      </x:c>
      <x:c r="F41" s="23" t="n">
        <x:v>4693.6</x:v>
      </x:c>
      <x:c r="G41" s="23" t="n">
        <x:v>4731.4</x:v>
      </x:c>
      <x:c r="H41" s="23" t="n">
        <x:v>48</x:v>
      </x:c>
      <x:c r="I41" s="24" t="n">
        <x:v>0.010248964427552743</x:v>
      </x:c>
      <x:c r="J41" s="23" t="n">
        <x:f>ROUND(E41-F41,1)</x:f>
        <x:v>74.4</x:v>
      </x:c>
      <x:c r="K41" s="22" t="str">
        <x:v>IF2603</x:v>
      </x:c>
    </x:row>
    <x:row r="42">
      <x:c r="A42" s="22" t="n">
        <x:v>13</x:v>
      </x:c>
      <x:c r="B42" s="22" t="str">
        <x:v>周四</x:v>
      </x:c>
      <x:c r="C42" s="22" t="str">
        <x:v>2月26日</x:v>
      </x:c>
      <x:c r="D42" s="23" t="n">
        <x:v>4740</x:v>
      </x:c>
      <x:c r="E42" s="23" t="n">
        <x:v>4741</x:v>
      </x:c>
      <x:c r="F42" s="23" t="n">
        <x:v>4691.8</x:v>
      </x:c>
      <x:c r="G42" s="23" t="n">
        <x:v>4712.2</x:v>
      </x:c>
      <x:c r="H42" s="23" t="n">
        <x:v>-19.2</x:v>
      </x:c>
      <x:c r="I42" s="24" t="n">
        <x:v>-0.004057995519296531</x:v>
      </x:c>
      <x:c r="J42" s="23" t="n">
        <x:f>ROUND(E42-F42,1)</x:f>
        <x:v>49.2</x:v>
      </x:c>
      <x:c r="K42" s="22" t="str">
        <x:v>IF2603</x:v>
      </x:c>
    </x:row>
    <x:row r="43">
      <x:c r="A43" s="22" t="n">
        <x:v>14</x:v>
      </x:c>
      <x:c r="B43" s="22" t="str">
        <x:v>周五</x:v>
      </x:c>
      <x:c r="C43" s="22" t="str">
        <x:v>2月27日</x:v>
      </x:c>
      <x:c r="D43" s="23" t="n">
        <x:v>4690</x:v>
      </x:c>
      <x:c r="E43" s="23" t="n">
        <x:v>4719.2</x:v>
      </x:c>
      <x:c r="F43" s="23" t="n">
        <x:v>4682.2</x:v>
      </x:c>
      <x:c r="G43" s="23" t="n">
        <x:v>4713.8</x:v>
      </x:c>
      <x:c r="H43" s="23" t="n">
        <x:v>1.6</x:v>
      </x:c>
      <x:c r="I43" s="24" t="n">
        <x:v>0.00033954416196269044</x:v>
      </x:c>
      <x:c r="J43" s="23" t="n">
        <x:f>ROUND(E43-F43,1)</x:f>
        <x:v>37</x:v>
      </x:c>
      <x:c r="K43" s="22" t="str">
        <x:v>IF2603</x:v>
      </x:c>
    </x:row>
    <x:row r="44">
      <x:c r="A44" s="31" t="str">
        <x:v>合计</x:v>
      </x:c>
      <x:c r="B44" s="30" t="n">
        <x:v>14</x:v>
      </x:c>
      <x:c r="C44" s="30"/>
      <x:c r="D44" s="30"/>
      <x:c r="E44" s="30"/>
      <x:c r="F44" s="30"/>
      <x:c r="G44" s="30"/>
      <x:c r="H44" s="30"/>
      <x:c r="I44" s="30"/>
      <x:c r="J44" s="32" t="n">
        <x:f>ROUND(SUM(J30:J43),1)</x:f>
        <x:v>863.8</x:v>
      </x:c>
      <x:c r="K44" s="30"/>
    </x:row>
    <x:row r="45">
      <x:c r="A45" s="31" t="str">
        <x:v>均值</x:v>
      </x:c>
      <x:c r="B45" s="30"/>
      <x:c r="C45" s="30"/>
      <x:c r="D45" s="30"/>
      <x:c r="E45" s="30"/>
      <x:c r="F45" s="30"/>
      <x:c r="G45" s="30"/>
      <x:c r="H45" s="30"/>
      <x:c r="I45" s="30"/>
      <x:c r="J45" s="34" t="n">
        <x:f>ROUND(IFERROR(AVERAGE(J30:J43),0),1)</x:f>
        <x:v>61.7</x:v>
      </x:c>
      <x:c r="K45" s="30"/>
    </x:row>
    <x:row r="47">
      <x:c r="A47" s="17" t="str">
        <x:v>3月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20" t="str">
        <x:v>序号</x:v>
      </x:c>
      <x:c r="B48" s="20" t="str">
        <x:v>星期</x:v>
      </x:c>
      <x:c r="C48" s="20" t="str">
        <x:v>日期</x:v>
      </x:c>
      <x:c r="D48" s="20" t="str">
        <x:v>开盘</x:v>
      </x:c>
      <x:c r="E48" s="20" t="str">
        <x:v>高点</x:v>
      </x:c>
      <x:c r="F48" s="20" t="str">
        <x:v>低点</x:v>
      </x:c>
      <x:c r="G48" s="20" t="str">
        <x:v>收盘</x:v>
      </x:c>
      <x:c r="H48" s="20" t="str">
        <x:v>涨跌点数</x:v>
      </x:c>
      <x:c r="I48" s="20" t="str">
        <x:v>涨幅</x:v>
      </x:c>
      <x:c r="J48" s="20" t="str">
        <x:v>振幅</x:v>
      </x:c>
      <x:c r="K48" s="20" t="str">
        <x:v>标的</x:v>
      </x:c>
    </x:row>
    <x:row r="49">
      <x:c r="A49" s="22" t="n">
        <x:v>1</x:v>
      </x:c>
      <x:c r="B49" s="22" t="str">
        <x:v>周一</x:v>
      </x:c>
      <x:c r="C49" s="22" t="str">
        <x:v>3月2日</x:v>
      </x:c>
      <x:c r="D49" s="23" t="n">
        <x:v>4681.2</x:v>
      </x:c>
      <x:c r="E49" s="23" t="n">
        <x:v>4724</x:v>
      </x:c>
      <x:c r="F49" s="23" t="n">
        <x:v>4646</x:v>
      </x:c>
      <x:c r="G49" s="23" t="n">
        <x:v>4711.2</x:v>
      </x:c>
      <x:c r="H49" s="23" t="n">
        <x:v>-2.6</x:v>
      </x:c>
      <x:c r="I49" s="24" t="n">
        <x:v>-0.0005515719801434393</x:v>
      </x:c>
      <x:c r="J49" s="23" t="n">
        <x:f>ROUND(E49-F49,1)</x:f>
        <x:v>78</x:v>
      </x:c>
      <x:c r="K49" s="22" t="str">
        <x:v>IF2603</x:v>
      </x:c>
    </x:row>
    <x:row r="50">
      <x:c r="A50" s="22" t="n">
        <x:v>2</x:v>
      </x:c>
      <x:c r="B50" s="22" t="str">
        <x:v>周二</x:v>
      </x:c>
      <x:c r="C50" s="22" t="str">
        <x:v>3月3日</x:v>
      </x:c>
      <x:c r="D50" s="23" t="n">
        <x:v>4718.2</x:v>
      </x:c>
      <x:c r="E50" s="23" t="n">
        <x:v>4725</x:v>
      </x:c>
      <x:c r="F50" s="23" t="n">
        <x:v>4630</x:v>
      </x:c>
      <x:c r="G50" s="23" t="n">
        <x:v>4651.4</x:v>
      </x:c>
      <x:c r="H50" s="23" t="n">
        <x:v>-59.8</x:v>
      </x:c>
      <x:c r="I50" s="24" t="n">
        <x:v>-0.012693156732891842</x:v>
      </x:c>
      <x:c r="J50" s="26" t="n">
        <x:f>ROUND(E50-F50,1)</x:f>
        <x:v>95</x:v>
      </x:c>
      <x:c r="K50" s="22" t="str">
        <x:v>IF2603</x:v>
      </x:c>
    </x:row>
    <x:row r="51">
      <x:c r="A51" s="22" t="n">
        <x:v>3</x:v>
      </x:c>
      <x:c r="B51" s="22" t="str">
        <x:v>周三</x:v>
      </x:c>
      <x:c r="C51" s="22" t="str">
        <x:v>3月4日</x:v>
      </x:c>
      <x:c r="D51" s="23" t="n">
        <x:v>4605.8</x:v>
      </x:c>
      <x:c r="E51" s="23" t="n">
        <x:v>4632.2</x:v>
      </x:c>
      <x:c r="F51" s="23" t="n">
        <x:v>4560.2</x:v>
      </x:c>
      <x:c r="G51" s="23" t="n">
        <x:v>4591</x:v>
      </x:c>
      <x:c r="H51" s="23" t="n">
        <x:v>-60.4</x:v>
      </x:c>
      <x:c r="I51" s="24" t="n">
        <x:v>-0.012985337747774772</x:v>
      </x:c>
      <x:c r="J51" s="23" t="n">
        <x:f>ROUND(E51-F51,1)</x:f>
        <x:v>72</x:v>
      </x:c>
      <x:c r="K51" s="22" t="str">
        <x:v>IF2603</x:v>
      </x:c>
    </x:row>
    <x:row r="52">
      <x:c r="A52" s="22" t="n">
        <x:v>4</x:v>
      </x:c>
      <x:c r="B52" s="22" t="str">
        <x:v>周四</x:v>
      </x:c>
      <x:c r="C52" s="22" t="str">
        <x:v>3月5日</x:v>
      </x:c>
      <x:c r="D52" s="23" t="n">
        <x:v>4629.6</x:v>
      </x:c>
      <x:c r="E52" s="23" t="n">
        <x:v>4654.2</x:v>
      </x:c>
      <x:c r="F52" s="23" t="n">
        <x:v>4605.8</x:v>
      </x:c>
      <x:c r="G52" s="23" t="n">
        <x:v>4629</x:v>
      </x:c>
      <x:c r="H52" s="23" t="n">
        <x:v>38</x:v>
      </x:c>
      <x:c r="I52" s="24" t="n">
        <x:v>0.008277063820518515</x:v>
      </x:c>
      <x:c r="J52" s="23" t="n">
        <x:f>ROUND(E52-F52,1)</x:f>
        <x:v>48.4</x:v>
      </x:c>
      <x:c r="K52" s="22" t="str">
        <x:v>IF2603</x:v>
      </x:c>
    </x:row>
    <x:row r="53">
      <x:c r="A53" s="22" t="n">
        <x:v>5</x:v>
      </x:c>
      <x:c r="B53" s="22" t="str">
        <x:v>周五</x:v>
      </x:c>
      <x:c r="C53" s="22" t="str">
        <x:v>3月6日</x:v>
      </x:c>
      <x:c r="D53" s="23" t="n">
        <x:v>4605</x:v>
      </x:c>
      <x:c r="E53" s="23" t="n">
        <x:v>4667.4</x:v>
      </x:c>
      <x:c r="F53" s="23" t="n">
        <x:v>4601.8</x:v>
      </x:c>
      <x:c r="G53" s="23" t="n">
        <x:v>4646</x:v>
      </x:c>
      <x:c r="H53" s="23" t="n">
        <x:v>17</x:v>
      </x:c>
      <x:c r="I53" s="24" t="n">
        <x:v>0.003672499459926648</x:v>
      </x:c>
      <x:c r="J53" s="23" t="n">
        <x:f>ROUND(E53-F53,1)</x:f>
        <x:v>65.6</x:v>
      </x:c>
      <x:c r="K53" s="22" t="str">
        <x:v>IF2603</x:v>
      </x:c>
    </x:row>
    <x:row r="54">
      <x:c r="A54" s="22" t="n">
        <x:v>6</x:v>
      </x:c>
      <x:c r="B54" s="22" t="str">
        <x:v>周一</x:v>
      </x:c>
      <x:c r="C54" s="22" t="str">
        <x:v>3月9日</x:v>
      </x:c>
      <x:c r="D54" s="23" t="n">
        <x:v>4600</x:v>
      </x:c>
      <x:c r="E54" s="23" t="n">
        <x:v>4616.8</x:v>
      </x:c>
      <x:c r="F54" s="23" t="n">
        <x:v>4500</x:v>
      </x:c>
      <x:c r="G54" s="23" t="n">
        <x:v>4599.2</x:v>
      </x:c>
      <x:c r="H54" s="23" t="n">
        <x:v>-46.8</x:v>
      </x:c>
      <x:c r="I54" s="24" t="n">
        <x:v>-0.010073181231166628</x:v>
      </x:c>
      <x:c r="J54" s="26" t="n">
        <x:f>ROUND(E54-F54,1)</x:f>
        <x:v>116.8</x:v>
      </x:c>
      <x:c r="K54" s="22" t="str">
        <x:v>IF2603</x:v>
      </x:c>
    </x:row>
    <x:row r="55">
      <x:c r="A55" s="22" t="n">
        <x:v>7</x:v>
      </x:c>
      <x:c r="B55" s="22" t="str">
        <x:v>周二</x:v>
      </x:c>
      <x:c r="C55" s="22" t="str">
        <x:v>3月10日</x:v>
      </x:c>
      <x:c r="D55" s="23" t="n">
        <x:v>4630.4</x:v>
      </x:c>
      <x:c r="E55" s="23" t="n">
        <x:v>4674</x:v>
      </x:c>
      <x:c r="F55" s="23" t="n">
        <x:v>4630</x:v>
      </x:c>
      <x:c r="G55" s="23" t="n">
        <x:v>4664</x:v>
      </x:c>
      <x:c r="H55" s="23" t="n">
        <x:v>64.8</x:v>
      </x:c>
      <x:c r="I55" s="24" t="n">
        <x:v>0.014089406853365904</x:v>
      </x:c>
      <x:c r="J55" s="23" t="n">
        <x:f>ROUND(E55-F55,1)</x:f>
        <x:v>44</x:v>
      </x:c>
      <x:c r="K55" s="22" t="str">
        <x:v>IF2603</x:v>
      </x:c>
    </x:row>
    <x:row r="56">
      <x:c r="A56" s="22" t="n">
        <x:v>8</x:v>
      </x:c>
      <x:c r="B56" s="22" t="str">
        <x:v>周三</x:v>
      </x:c>
      <x:c r="C56" s="22" t="str">
        <x:v>3月11日</x:v>
      </x:c>
      <x:c r="D56" s="23" t="n">
        <x:v>4667.8</x:v>
      </x:c>
      <x:c r="E56" s="23" t="n">
        <x:v>4699</x:v>
      </x:c>
      <x:c r="F56" s="23" t="n">
        <x:v>4664.4</x:v>
      </x:c>
      <x:c r="G56" s="23" t="n">
        <x:v>4687</x:v>
      </x:c>
      <x:c r="H56" s="23" t="n">
        <x:v>23</x:v>
      </x:c>
      <x:c r="I56" s="24" t="n">
        <x:v>0.004931389365351535</x:v>
      </x:c>
      <x:c r="J56" s="23" t="n">
        <x:f>ROUND(E56-F56,1)</x:f>
        <x:v>34.6</x:v>
      </x:c>
      <x:c r="K56" s="22" t="str">
        <x:v>IF2603</x:v>
      </x:c>
    </x:row>
    <x:row r="57">
      <x:c r="A57" s="22" t="n">
        <x:v>9</x:v>
      </x:c>
      <x:c r="B57" s="22" t="str">
        <x:v>周四</x:v>
      </x:c>
      <x:c r="C57" s="22" t="str">
        <x:v>3月12日</x:v>
      </x:c>
      <x:c r="D57" s="23" t="n">
        <x:v>4682.2</x:v>
      </x:c>
      <x:c r="E57" s="23" t="n">
        <x:v>4685.6</x:v>
      </x:c>
      <x:c r="F57" s="23" t="n">
        <x:v>4631</x:v>
      </x:c>
      <x:c r="G57" s="23" t="n">
        <x:v>4658.4</x:v>
      </x:c>
      <x:c r="H57" s="23" t="n">
        <x:v>-28.6</x:v>
      </x:c>
      <x:c r="I57" s="24" t="n">
        <x:v>-0.006101984211649314</x:v>
      </x:c>
      <x:c r="J57" s="23" t="n">
        <x:f>ROUND(E57-F57,1)</x:f>
        <x:v>54.6</x:v>
      </x:c>
      <x:c r="K57" s="22" t="str">
        <x:v>IF2603</x:v>
      </x:c>
    </x:row>
    <x:row r="58">
      <x:c r="A58" s="22" t="n">
        <x:v>10</x:v>
      </x:c>
      <x:c r="B58" s="22" t="str">
        <x:v>周五</x:v>
      </x:c>
      <x:c r="C58" s="22" t="str">
        <x:v>3月13日</x:v>
      </x:c>
      <x:c r="D58" s="23" t="n">
        <x:v>4646.4</x:v>
      </x:c>
      <x:c r="E58" s="23" t="n">
        <x:v>4697</x:v>
      </x:c>
      <x:c r="F58" s="23" t="n">
        <x:v>4642.6</x:v>
      </x:c>
      <x:c r="G58" s="23" t="n">
        <x:v>4658</x:v>
      </x:c>
      <x:c r="H58" s="23" t="n">
        <x:v>-0.4</x:v>
      </x:c>
      <x:c r="I58" s="24" t="n">
        <x:v>-0.00008586639189411827</x:v>
      </x:c>
      <x:c r="J58" s="23" t="n">
        <x:f>ROUND(E58-F58,1)</x:f>
        <x:v>54.4</x:v>
      </x:c>
      <x:c r="K58" s="22" t="str">
        <x:v>IF2603</x:v>
      </x:c>
    </x:row>
    <x:row r="59">
      <x:c r="A59" s="22" t="n">
        <x:v>11</x:v>
      </x:c>
      <x:c r="B59" s="22" t="str">
        <x:v>周一</x:v>
      </x:c>
      <x:c r="C59" s="22" t="str">
        <x:v>3月16日</x:v>
      </x:c>
      <x:c r="D59" s="23" t="n">
        <x:v>4665</x:v>
      </x:c>
      <x:c r="E59" s="23" t="n">
        <x:v>4670.6</x:v>
      </x:c>
      <x:c r="F59" s="23" t="n">
        <x:v>4609.2</x:v>
      </x:c>
      <x:c r="G59" s="23" t="n">
        <x:v>4662.8</x:v>
      </x:c>
      <x:c r="H59" s="23" t="n">
        <x:v>4.8</x:v>
      </x:c>
      <x:c r="I59" s="24" t="n">
        <x:v>0.0010304851867755094</x:v>
      </x:c>
      <x:c r="J59" s="23" t="n">
        <x:f>ROUND(E59-F59,1)</x:f>
        <x:v>61.4</x:v>
      </x:c>
      <x:c r="K59" s="22" t="str">
        <x:v>IF2603</x:v>
      </x:c>
    </x:row>
    <x:row r="60">
      <x:c r="A60" s="22" t="n">
        <x:v>12</x:v>
      </x:c>
      <x:c r="B60" s="22" t="str">
        <x:v>周二</x:v>
      </x:c>
      <x:c r="C60" s="22" t="str">
        <x:v>3月17日</x:v>
      </x:c>
      <x:c r="D60" s="23" t="n">
        <x:v>4680</x:v>
      </x:c>
      <x:c r="E60" s="23" t="n">
        <x:v>4718.4</x:v>
      </x:c>
      <x:c r="F60" s="23" t="n">
        <x:v>4628</x:v>
      </x:c>
      <x:c r="G60" s="23" t="n">
        <x:v>4628.8</x:v>
      </x:c>
      <x:c r="H60" s="23" t="n">
        <x:v>-34</x:v>
      </x:c>
      <x:c r="I60" s="24" t="n">
        <x:v>-0.007291756026421847</x:v>
      </x:c>
      <x:c r="J60" s="26" t="n">
        <x:f>ROUND(E60-F60,1)</x:f>
        <x:v>90.4</x:v>
      </x:c>
      <x:c r="K60" s="22" t="str">
        <x:v>IF2603</x:v>
      </x:c>
    </x:row>
    <x:row r="61">
      <x:c r="A61" s="22" t="n">
        <x:v>13</x:v>
      </x:c>
      <x:c r="B61" s="22" t="str">
        <x:v>周三</x:v>
      </x:c>
      <x:c r="C61" s="22" t="str">
        <x:v>3月18日</x:v>
      </x:c>
      <x:c r="D61" s="23" t="n">
        <x:v>4648</x:v>
      </x:c>
      <x:c r="E61" s="23" t="n">
        <x:v>4658.6</x:v>
      </x:c>
      <x:c r="F61" s="23" t="n">
        <x:v>4602.6</x:v>
      </x:c>
      <x:c r="G61" s="23" t="n">
        <x:v>4651.4</x:v>
      </x:c>
      <x:c r="H61" s="23" t="n">
        <x:v>22.6</x:v>
      </x:c>
      <x:c r="I61" s="24" t="n">
        <x:v>0.004882474939509107</x:v>
      </x:c>
      <x:c r="J61" s="23" t="n">
        <x:f>ROUND(E61-F61,1)</x:f>
        <x:v>56</x:v>
      </x:c>
      <x:c r="K61" s="22" t="str">
        <x:v>IF2603</x:v>
      </x:c>
    </x:row>
    <x:row r="62">
      <x:c r="A62" s="22" t="n">
        <x:v>14</x:v>
      </x:c>
      <x:c r="B62" s="22" t="str">
        <x:v>周四</x:v>
      </x:c>
      <x:c r="C62" s="22" t="str">
        <x:v>3月19日</x:v>
      </x:c>
      <x:c r="D62" s="23" t="n">
        <x:v>4611</x:v>
      </x:c>
      <x:c r="E62" s="23" t="n">
        <x:v>4630.6</x:v>
      </x:c>
      <x:c r="F62" s="23" t="n">
        <x:v>4570</x:v>
      </x:c>
      <x:c r="G62" s="23" t="n">
        <x:v>4586.6</x:v>
      </x:c>
      <x:c r="H62" s="23" t="n">
        <x:v>-64.8</x:v>
      </x:c>
      <x:c r="I62" s="24" t="n">
        <x:v>-0.013931289504235167</x:v>
      </x:c>
      <x:c r="J62" s="23" t="n">
        <x:f>ROUND(E62-F62,1)</x:f>
        <x:v>60.6</x:v>
      </x:c>
      <x:c r="K62" s="22" t="str">
        <x:v>IF2603</x:v>
      </x:c>
    </x:row>
    <x:row r="63">
      <x:c r="A63" s="41" t="n">
        <x:v>15</x:v>
      </x:c>
      <x:c r="B63" s="41" t="str">
        <x:v>周五</x:v>
      </x:c>
      <x:c r="C63" s="41" t="str">
        <x:v>3月20日</x:v>
      </x:c>
      <x:c r="D63" s="42" t="n">
        <x:v>4599.8</x:v>
      </x:c>
      <x:c r="E63" s="42" t="n">
        <x:v>4629.6</x:v>
      </x:c>
      <x:c r="F63" s="42" t="n">
        <x:v>4589.2</x:v>
      </x:c>
      <x:c r="G63" s="42" t="n">
        <x:v>4596.8</x:v>
      </x:c>
      <x:c r="H63" s="42" t="n">
        <x:v>10.2</x:v>
      </x:c>
      <x:c r="I63" s="43" t="n">
        <x:v>0.002223869532987255</x:v>
      </x:c>
      <x:c r="J63" s="42" t="n">
        <x:f>ROUND(E63-F63,1)</x:f>
        <x:v>40.4</x:v>
      </x:c>
      <x:c r="K63" s="41" t="str">
        <x:v>IF2603</x:v>
      </x:c>
    </x:row>
    <x:row r="64">
      <x:c r="A64" s="22" t="n">
        <x:v>16</x:v>
      </x:c>
      <x:c r="B64" s="22" t="str">
        <x:v>周一</x:v>
      </x:c>
      <x:c r="C64" s="22" t="str">
        <x:v>3月23日</x:v>
      </x:c>
      <x:c r="D64" s="23" t="n">
        <x:v>4434.4</x:v>
      </x:c>
      <x:c r="E64" s="23" t="n">
        <x:v>4453.8</x:v>
      </x:c>
      <x:c r="F64" s="23" t="n">
        <x:v>4307.2</x:v>
      </x:c>
      <x:c r="G64" s="23" t="n">
        <x:v>4344.4</x:v>
      </x:c>
      <x:c r="H64" s="28" t="n">
        <x:v>-252.4</x:v>
      </x:c>
      <x:c r="I64" s="24" t="n">
        <x:v>-0.05490776192133673</x:v>
      </x:c>
      <x:c r="J64" s="26" t="n">
        <x:f>ROUND(E64-F64,1)</x:f>
        <x:v>146.6</x:v>
      </x:c>
      <x:c r="K64" s="22" t="str">
        <x:v>IF2606</x:v>
      </x:c>
    </x:row>
    <x:row r="65">
      <x:c r="A65" s="22" t="n">
        <x:v>17</x:v>
      </x:c>
      <x:c r="B65" s="22" t="str">
        <x:v>周二</x:v>
      </x:c>
      <x:c r="C65" s="22" t="str">
        <x:v>3月24日</x:v>
      </x:c>
      <x:c r="D65" s="23" t="n">
        <x:v>4380</x:v>
      </x:c>
      <x:c r="E65" s="23" t="n">
        <x:v>4394.8</x:v>
      </x:c>
      <x:c r="F65" s="23" t="n">
        <x:v>4319</x:v>
      </x:c>
      <x:c r="G65" s="23" t="n">
        <x:v>4388.4</x:v>
      </x:c>
      <x:c r="H65" s="23" t="n">
        <x:v>44</x:v>
      </x:c>
      <x:c r="I65" s="24" t="n">
        <x:v>0.01012798084890898</x:v>
      </x:c>
      <x:c r="J65" s="23" t="n">
        <x:f>ROUND(E65-F65,1)</x:f>
        <x:v>75.8</x:v>
      </x:c>
      <x:c r="K65" s="22" t="str">
        <x:v>IF2606</x:v>
      </x:c>
    </x:row>
    <x:row r="66">
      <x:c r="A66" s="22" t="n">
        <x:v>18</x:v>
      </x:c>
      <x:c r="B66" s="22" t="str">
        <x:v>周三</x:v>
      </x:c>
      <x:c r="C66" s="22" t="str">
        <x:v>3月25日</x:v>
      </x:c>
      <x:c r="D66" s="23" t="n">
        <x:v>4420.8</x:v>
      </x:c>
      <x:c r="E66" s="23" t="n">
        <x:v>4466.2</x:v>
      </x:c>
      <x:c r="F66" s="23" t="n">
        <x:v>4415.4</x:v>
      </x:c>
      <x:c r="G66" s="23" t="n">
        <x:v>4450</x:v>
      </x:c>
      <x:c r="H66" s="23" t="n">
        <x:v>61.6</x:v>
      </x:c>
      <x:c r="I66" s="24" t="n">
        <x:v>0.014037006653905726</x:v>
      </x:c>
      <x:c r="J66" s="23" t="n">
        <x:f>ROUND(E66-F66,1)</x:f>
        <x:v>50.8</x:v>
      </x:c>
      <x:c r="K66" s="22" t="str">
        <x:v>IF2606</x:v>
      </x:c>
    </x:row>
    <x:row r="67">
      <x:c r="A67" s="22" t="n">
        <x:v>19</x:v>
      </x:c>
      <x:c r="B67" s="22" t="str">
        <x:v>周四</x:v>
      </x:c>
      <x:c r="C67" s="22" t="str">
        <x:v>3月26日</x:v>
      </x:c>
      <x:c r="D67" s="23" t="n">
        <x:v>4442.4</x:v>
      </x:c>
      <x:c r="E67" s="23" t="n">
        <x:v>4462</x:v>
      </x:c>
      <x:c r="F67" s="23" t="n">
        <x:v>4386.6</x:v>
      </x:c>
      <x:c r="G67" s="23" t="n">
        <x:v>4396</x:v>
      </x:c>
      <x:c r="H67" s="23" t="n">
        <x:v>-54</x:v>
      </x:c>
      <x:c r="I67" s="24" t="n">
        <x:v>-0.012134831460674178</x:v>
      </x:c>
      <x:c r="J67" s="23" t="n">
        <x:f>ROUND(E67-F67,1)</x:f>
        <x:v>75.4</x:v>
      </x:c>
      <x:c r="K67" s="22" t="str">
        <x:v>IF2606</x:v>
      </x:c>
    </x:row>
    <x:row r="68">
      <x:c r="A68" s="22" t="n">
        <x:v>20</x:v>
      </x:c>
      <x:c r="B68" s="22" t="str">
        <x:v>周五</x:v>
      </x:c>
      <x:c r="C68" s="22" t="str">
        <x:v>3月27日</x:v>
      </x:c>
      <x:c r="D68" s="23" t="n">
        <x:v>4357.6</x:v>
      </x:c>
      <x:c r="E68" s="23" t="n">
        <x:v>4455</x:v>
      </x:c>
      <x:c r="F68" s="23" t="n">
        <x:v>4357.6</x:v>
      </x:c>
      <x:c r="G68" s="23" t="n">
        <x:v>4427.4</x:v>
      </x:c>
      <x:c r="H68" s="23" t="n">
        <x:v>31.4</x:v>
      </x:c>
      <x:c r="I68" s="24" t="n">
        <x:v>0.0071428571428571175</x:v>
      </x:c>
      <x:c r="J68" s="26" t="n">
        <x:f>ROUND(E68-F68,1)</x:f>
        <x:v>97.4</x:v>
      </x:c>
      <x:c r="K68" s="22" t="str">
        <x:v>IF2606</x:v>
      </x:c>
    </x:row>
    <x:row r="69">
      <x:c r="A69" s="22" t="n">
        <x:v>21</x:v>
      </x:c>
      <x:c r="B69" s="22" t="str">
        <x:v>周一</x:v>
      </x:c>
      <x:c r="C69" s="22" t="str">
        <x:v>3月30日</x:v>
      </x:c>
      <x:c r="D69" s="23" t="n">
        <x:v>4387.2</x:v>
      </x:c>
      <x:c r="E69" s="23" t="n">
        <x:v>4418</x:v>
      </x:c>
      <x:c r="F69" s="23" t="n">
        <x:v>4355.2</x:v>
      </x:c>
      <x:c r="G69" s="23" t="n">
        <x:v>4414</x:v>
      </x:c>
      <x:c r="H69" s="23" t="n">
        <x:v>-13.4</x:v>
      </x:c>
      <x:c r="I69" s="24" t="n">
        <x:v>-0.003026607037990625</x:v>
      </x:c>
      <x:c r="J69" s="23" t="n">
        <x:f>ROUND(E69-F69,1)</x:f>
        <x:v>62.8</x:v>
      </x:c>
      <x:c r="K69" s="22" t="str">
        <x:v>IF2606</x:v>
      </x:c>
    </x:row>
    <x:row r="70">
      <x:c r="A70" s="22" t="n">
        <x:v>22</x:v>
      </x:c>
      <x:c r="B70" s="22" t="str">
        <x:v>周二</x:v>
      </x:c>
      <x:c r="C70" s="22" t="str">
        <x:v>3月31日</x:v>
      </x:c>
      <x:c r="D70" s="23" t="n">
        <x:v>4420.2</x:v>
      </x:c>
      <x:c r="E70" s="23" t="n">
        <x:v>4444.6</x:v>
      </x:c>
      <x:c r="F70" s="23" t="n">
        <x:v>4370.4</x:v>
      </x:c>
      <x:c r="G70" s="23" t="n">
        <x:v>4375.8</x:v>
      </x:c>
      <x:c r="H70" s="23" t="n">
        <x:v>-38.2</x:v>
      </x:c>
      <x:c r="I70" s="24" t="n">
        <x:v>-0.008654281830539179</x:v>
      </x:c>
      <x:c r="J70" s="23" t="n">
        <x:f>ROUND(E70-F70,1)</x:f>
        <x:v>74.2</x:v>
      </x:c>
      <x:c r="K70" s="22" t="str">
        <x:v>IF2606</x:v>
      </x:c>
    </x:row>
    <x:row r="71">
      <x:c r="A71" s="31" t="str">
        <x:v>合计</x:v>
      </x:c>
      <x:c r="B71" s="30" t="n">
        <x:v>22</x:v>
      </x:c>
      <x:c r="C71" s="30"/>
      <x:c r="D71" s="30"/>
      <x:c r="E71" s="30"/>
      <x:c r="F71" s="30"/>
      <x:c r="G71" s="30"/>
      <x:c r="H71" s="30"/>
      <x:c r="I71" s="30"/>
      <x:c r="J71" s="32" t="n">
        <x:f>ROUND(SUM(J49:J70),1)</x:f>
        <x:v>1555.2</x:v>
      </x:c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0"/>
      <x:c r="J72" s="34" t="n">
        <x:f>ROUND(IFERROR(AVERAGE(J49:J70),0),1)</x:f>
        <x:v>70.7</x:v>
      </x:c>
      <x:c r="K72" s="30"/>
    </x:row>
    <x:row r="74">
      <x:c r="A74" s="17" t="str">
        <x:v>4月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20" t="str">
        <x:v>序号</x:v>
      </x:c>
      <x:c r="B75" s="20" t="str">
        <x:v>星期</x:v>
      </x:c>
      <x:c r="C75" s="20" t="str">
        <x:v>日期</x:v>
      </x:c>
      <x:c r="D75" s="20" t="str">
        <x:v>开盘</x:v>
      </x:c>
      <x:c r="E75" s="20" t="str">
        <x:v>高点</x:v>
      </x:c>
      <x:c r="F75" s="20" t="str">
        <x:v>低点</x:v>
      </x:c>
      <x:c r="G75" s="20" t="str">
        <x:v>收盘</x:v>
      </x:c>
      <x:c r="H75" s="20" t="str">
        <x:v>涨跌点数</x:v>
      </x:c>
      <x:c r="I75" s="20" t="str">
        <x:v>涨幅</x:v>
      </x:c>
      <x:c r="J75" s="20" t="str">
        <x:v>振幅</x:v>
      </x:c>
      <x:c r="K75" s="20" t="str">
        <x:v>标的</x:v>
      </x:c>
    </x:row>
    <x:row r="76">
      <x:c r="A76" s="22" t="n">
        <x:v>1</x:v>
      </x:c>
      <x:c r="B76" s="22" t="str">
        <x:v>周三</x:v>
      </x:c>
      <x:c r="C76" s="22" t="str">
        <x:v>4月1日</x:v>
      </x:c>
      <x:c r="D76" s="23" t="n">
        <x:v>4433</x:v>
      </x:c>
      <x:c r="E76" s="23" t="n">
        <x:v>4459.8</x:v>
      </x:c>
      <x:c r="F76" s="23" t="n">
        <x:v>4417</x:v>
      </x:c>
      <x:c r="G76" s="23" t="n">
        <x:v>4448.2</x:v>
      </x:c>
      <x:c r="H76" s="23" t="n">
        <x:v>72.4</x:v>
      </x:c>
      <x:c r="I76" s="24" t="n">
        <x:v>0.016545545957310503</x:v>
      </x:c>
      <x:c r="J76" s="23" t="n">
        <x:f>ROUND(E76-F76,1)</x:f>
        <x:v>42.8</x:v>
      </x:c>
      <x:c r="K76" s="22" t="str">
        <x:v>IF2606</x:v>
      </x:c>
    </x:row>
    <x:row r="77">
      <x:c r="A77" s="22" t="n">
        <x:v>2</x:v>
      </x:c>
      <x:c r="B77" s="22" t="str">
        <x:v>周四</x:v>
      </x:c>
      <x:c r="C77" s="22" t="str">
        <x:v>4月2日</x:v>
      </x:c>
      <x:c r="D77" s="23" t="n">
        <x:v>4425</x:v>
      </x:c>
      <x:c r="E77" s="23" t="n">
        <x:v>4436.6</x:v>
      </x:c>
      <x:c r="F77" s="23" t="n">
        <x:v>4365.2</x:v>
      </x:c>
      <x:c r="G77" s="23" t="n">
        <x:v>4390.2</x:v>
      </x:c>
      <x:c r="H77" s="23" t="n">
        <x:v>-58</x:v>
      </x:c>
      <x:c r="I77" s="24" t="n">
        <x:v>-0.013038982060159188</x:v>
      </x:c>
      <x:c r="J77" s="23" t="n">
        <x:f>ROUND(E77-F77,1)</x:f>
        <x:v>71.4</x:v>
      </x:c>
      <x:c r="K77" s="22" t="str">
        <x:v>IF2606</x:v>
      </x:c>
    </x:row>
    <x:row r="78">
      <x:c r="A78" s="22" t="n">
        <x:v>3</x:v>
      </x:c>
      <x:c r="B78" s="22" t="str">
        <x:v>周五</x:v>
      </x:c>
      <x:c r="C78" s="22" t="str">
        <x:v>4月3日</x:v>
      </x:c>
      <x:c r="D78" s="23" t="n">
        <x:v>4420</x:v>
      </x:c>
      <x:c r="E78" s="23" t="n">
        <x:v>4420</x:v>
      </x:c>
      <x:c r="F78" s="23" t="n">
        <x:v>4346</x:v>
      </x:c>
      <x:c r="G78" s="23" t="n">
        <x:v>4362.2</x:v>
      </x:c>
      <x:c r="H78" s="23" t="n">
        <x:v>-28</x:v>
      </x:c>
      <x:c r="I78" s="24" t="n">
        <x:v>-0.006377841556193364</x:v>
      </x:c>
      <x:c r="J78" s="23" t="n">
        <x:f>ROUND(E78-F78,1)</x:f>
        <x:v>74</x:v>
      </x:c>
      <x:c r="K78" s="22" t="str">
        <x:v>IF2606</x:v>
      </x:c>
    </x:row>
    <x:row r="79">
      <x:c r="A79" s="22" t="n">
        <x:v>4</x:v>
      </x:c>
      <x:c r="B79" s="22" t="str">
        <x:v>周二</x:v>
      </x:c>
      <x:c r="C79" s="22" t="str">
        <x:v>4月7日</x:v>
      </x:c>
      <x:c r="D79" s="23" t="n">
        <x:v>4369.8</x:v>
      </x:c>
      <x:c r="E79" s="23" t="n">
        <x:v>4390.6</x:v>
      </x:c>
      <x:c r="F79" s="23" t="n">
        <x:v>4347</x:v>
      </x:c>
      <x:c r="G79" s="23" t="n">
        <x:v>4360</x:v>
      </x:c>
      <x:c r="H79" s="23" t="n">
        <x:v>-2.2</x:v>
      </x:c>
      <x:c r="I79" s="24" t="n">
        <x:v>-0.0005043326761725586</x:v>
      </x:c>
      <x:c r="J79" s="23" t="n">
        <x:f>ROUND(E79-F79,1)</x:f>
        <x:v>43.6</x:v>
      </x:c>
      <x:c r="K79" s="22" t="str">
        <x:v>IF2606</x:v>
      </x:c>
    </x:row>
    <x:row r="80">
      <x:c r="A80" s="22" t="n">
        <x:v>5</x:v>
      </x:c>
      <x:c r="B80" s="22" t="str">
        <x:v>周三</x:v>
      </x:c>
      <x:c r="C80" s="22" t="str">
        <x:v>4月8日</x:v>
      </x:c>
      <x:c r="D80" s="23" t="n">
        <x:v>4431.4</x:v>
      </x:c>
      <x:c r="E80" s="23" t="n">
        <x:v>4540.6</x:v>
      </x:c>
      <x:c r="F80" s="23" t="n">
        <x:v>4430.6</x:v>
      </x:c>
      <x:c r="G80" s="23" t="n">
        <x:v>4539.6</x:v>
      </x:c>
      <x:c r="H80" s="28" t="n">
        <x:v>179.6</x:v>
      </x:c>
      <x:c r="I80" s="24" t="n">
        <x:v>0.04119266055045889</x:v>
      </x:c>
      <x:c r="J80" s="26" t="n">
        <x:f>ROUND(E80-F80,1)</x:f>
        <x:v>110</x:v>
      </x:c>
      <x:c r="K80" s="22" t="str">
        <x:v>IF2606</x:v>
      </x:c>
    </x:row>
    <x:row r="81">
      <x:c r="A81" s="22" t="n">
        <x:v>6</x:v>
      </x:c>
      <x:c r="B81" s="22" t="str">
        <x:v>周四</x:v>
      </x:c>
      <x:c r="C81" s="22" t="str">
        <x:v>4月9日</x:v>
      </x:c>
      <x:c r="D81" s="23" t="n">
        <x:v>4507.2</x:v>
      </x:c>
      <x:c r="E81" s="23" t="n">
        <x:v>4511.2</x:v>
      </x:c>
      <x:c r="F81" s="23" t="n">
        <x:v>4485.6</x:v>
      </x:c>
      <x:c r="G81" s="23" t="n">
        <x:v>4500</x:v>
      </x:c>
      <x:c r="H81" s="23" t="n">
        <x:v>-39.6</x:v>
      </x:c>
      <x:c r="I81" s="24" t="n">
        <x:v>-0.008723235527359319</x:v>
      </x:c>
      <x:c r="J81" s="23" t="n">
        <x:f>ROUND(E81-F81,1)</x:f>
        <x:v>25.6</x:v>
      </x:c>
      <x:c r="K81" s="22" t="str">
        <x:v>IF2606</x:v>
      </x:c>
    </x:row>
    <x:row r="82">
      <x:c r="A82" s="22" t="n">
        <x:v>7</x:v>
      </x:c>
      <x:c r="B82" s="22" t="str">
        <x:v>周五</x:v>
      </x:c>
      <x:c r="C82" s="22" t="str">
        <x:v>4月10日</x:v>
      </x:c>
      <x:c r="D82" s="23" t="n">
        <x:v>4525</x:v>
      </x:c>
      <x:c r="E82" s="23" t="n">
        <x:v>4591.8</x:v>
      </x:c>
      <x:c r="F82" s="23" t="n">
        <x:v>4518.4</x:v>
      </x:c>
      <x:c r="G82" s="23" t="n">
        <x:v>4562</x:v>
      </x:c>
      <x:c r="H82" s="23" t="n">
        <x:v>62</x:v>
      </x:c>
      <x:c r="I82" s="24" t="n">
        <x:v>0.013777777777777889</x:v>
      </x:c>
      <x:c r="J82" s="23" t="n">
        <x:f>ROUND(E82-F82,1)</x:f>
        <x:v>73.4</x:v>
      </x:c>
      <x:c r="K82" s="22" t="str">
        <x:v>IF2606</x:v>
      </x:c>
    </x:row>
    <x:row r="83">
      <x:c r="A83" s="22" t="n">
        <x:v>8</x:v>
      </x:c>
      <x:c r="B83" s="22" t="str">
        <x:v>周一</x:v>
      </x:c>
      <x:c r="C83" s="22" t="str">
        <x:v>4月13日</x:v>
      </x:c>
      <x:c r="D83" s="23" t="n">
        <x:v>4542</x:v>
      </x:c>
      <x:c r="E83" s="23" t="n">
        <x:v>4582.4</x:v>
      </x:c>
      <x:c r="F83" s="23" t="n">
        <x:v>4541.6</x:v>
      </x:c>
      <x:c r="G83" s="23" t="n">
        <x:v>4570.6</x:v>
      </x:c>
      <x:c r="H83" s="23" t="n">
        <x:v>8.6</x:v>
      </x:c>
      <x:c r="I83" s="24" t="n">
        <x:v>0.0018851380973257115</x:v>
      </x:c>
      <x:c r="J83" s="23" t="n">
        <x:f>ROUND(E83-F83,1)</x:f>
        <x:v>40.8</x:v>
      </x:c>
      <x:c r="K83" s="22" t="str">
        <x:v>IF2606</x:v>
      </x:c>
    </x:row>
    <x:row r="84">
      <x:c r="A84" s="22" t="n">
        <x:v>9</x:v>
      </x:c>
      <x:c r="B84" s="22" t="str">
        <x:v>周二</x:v>
      </x:c>
      <x:c r="C84" s="22" t="str">
        <x:v>4月14日</x:v>
      </x:c>
      <x:c r="D84" s="23" t="n">
        <x:v>4600.4</x:v>
      </x:c>
      <x:c r="E84" s="23" t="n">
        <x:v>4640</x:v>
      </x:c>
      <x:c r="F84" s="23" t="n">
        <x:v>4583.8</x:v>
      </x:c>
      <x:c r="G84" s="23" t="n">
        <x:v>4639.6</x:v>
      </x:c>
      <x:c r="H84" s="23" t="n">
        <x:v>69</x:v>
      </x:c>
      <x:c r="I84" s="24" t="n">
        <x:v>0.015096486238130646</x:v>
      </x:c>
      <x:c r="J84" s="23" t="n">
        <x:f>ROUND(E84-F84,1)</x:f>
        <x:v>56.2</x:v>
      </x:c>
      <x:c r="K84" s="22" t="str">
        <x:v>IF2606</x:v>
      </x:c>
    </x:row>
    <x:row r="85">
      <x:c r="A85" s="22" t="n">
        <x:v>10</x:v>
      </x:c>
      <x:c r="B85" s="22" t="str">
        <x:v>周三</x:v>
      </x:c>
      <x:c r="C85" s="22" t="str">
        <x:v>4月15日</x:v>
      </x:c>
      <x:c r="D85" s="23" t="n">
        <x:v>4675.8</x:v>
      </x:c>
      <x:c r="E85" s="23" t="n">
        <x:v>4680.8</x:v>
      </x:c>
      <x:c r="F85" s="23" t="n">
        <x:v>4618.4</x:v>
      </x:c>
      <x:c r="G85" s="23" t="n">
        <x:v>4625.2</x:v>
      </x:c>
      <x:c r="H85" s="23" t="n">
        <x:v>-14.4</x:v>
      </x:c>
      <x:c r="I85" s="24" t="n">
        <x:v>-0.003103715837572296</x:v>
      </x:c>
      <x:c r="J85" s="23" t="n">
        <x:f>ROUND(E85-F85,1)</x:f>
        <x:v>62.4</x:v>
      </x:c>
      <x:c r="K85" s="22" t="str">
        <x:v>IF2606</x:v>
      </x:c>
    </x:row>
    <x:row r="86">
      <x:c r="A86" s="22" t="n">
        <x:v>11</x:v>
      </x:c>
      <x:c r="B86" s="22" t="str">
        <x:v>周四</x:v>
      </x:c>
      <x:c r="C86" s="22" t="str">
        <x:v>4月16日</x:v>
      </x:c>
      <x:c r="D86" s="23" t="n">
        <x:v>4645.2</x:v>
      </x:c>
      <x:c r="E86" s="23" t="n">
        <x:v>4685</x:v>
      </x:c>
      <x:c r="F86" s="23" t="n">
        <x:v>4639.2</x:v>
      </x:c>
      <x:c r="G86" s="23" t="n">
        <x:v>4677.8</x:v>
      </x:c>
      <x:c r="H86" s="23" t="n">
        <x:v>52.6</x:v>
      </x:c>
      <x:c r="I86" s="24" t="n">
        <x:v>0.01137248119000267</x:v>
      </x:c>
      <x:c r="J86" s="23" t="n">
        <x:f>ROUND(E86-F86,1)</x:f>
        <x:v>45.8</x:v>
      </x:c>
      <x:c r="K86" s="22" t="str">
        <x:v>IF2606</x:v>
      </x:c>
    </x:row>
    <x:row r="87">
      <x:c r="A87" s="41" t="n">
        <x:v>12</x:v>
      </x:c>
      <x:c r="B87" s="41" t="str">
        <x:v>周五</x:v>
      </x:c>
      <x:c r="C87" s="41" t="str">
        <x:v>4月17日</x:v>
      </x:c>
      <x:c r="D87" s="42" t="n">
        <x:v>4662</x:v>
      </x:c>
      <x:c r="E87" s="42" t="n">
        <x:v>4680.6</x:v>
      </x:c>
      <x:c r="F87" s="42" t="n">
        <x:v>4649.2</x:v>
      </x:c>
      <x:c r="G87" s="42" t="n">
        <x:v>4667</x:v>
      </x:c>
      <x:c r="H87" s="42" t="n">
        <x:v>-10.8</x:v>
      </x:c>
      <x:c r="I87" s="43" t="n">
        <x:v>-0.0023087776305100727</x:v>
      </x:c>
      <x:c r="J87" s="42" t="n">
        <x:f>ROUND(E87-F87,1)</x:f>
        <x:v>31.4</x:v>
      </x:c>
      <x:c r="K87" s="41" t="str">
        <x:v>IF2606</x:v>
      </x:c>
    </x:row>
    <x:row r="88">
      <x:c r="A88" s="22" t="n">
        <x:v>13</x:v>
      </x:c>
      <x:c r="B88" s="22" t="str">
        <x:v>周一</x:v>
      </x:c>
      <x:c r="C88" s="22" t="str">
        <x:v>4月20日</x:v>
      </x:c>
      <x:c r="D88" s="23" t="n">
        <x:v>4665</x:v>
      </x:c>
      <x:c r="E88" s="23" t="n">
        <x:v>4714.8</x:v>
      </x:c>
      <x:c r="F88" s="23" t="n">
        <x:v>4656.8</x:v>
      </x:c>
      <x:c r="G88" s="23" t="n">
        <x:v>4696.6</x:v>
      </x:c>
      <x:c r="H88" s="23" t="n">
        <x:v>29.6</x:v>
      </x:c>
      <x:c r="I88" s="24" t="n">
        <x:v>0.006342404113991895</x:v>
      </x:c>
      <x:c r="J88" s="23" t="n">
        <x:f>ROUND(E88-F88,1)</x:f>
        <x:v>58</x:v>
      </x:c>
      <x:c r="K88" s="22" t="str">
        <x:v>IF2606</x:v>
      </x:c>
    </x:row>
    <x:row r="89">
      <x:c r="A89" s="22" t="n">
        <x:v>14</x:v>
      </x:c>
      <x:c r="B89" s="22" t="str">
        <x:v>周二</x:v>
      </x:c>
      <x:c r="C89" s="22" t="str">
        <x:v>4月21日</x:v>
      </x:c>
      <x:c r="D89" s="23" t="n">
        <x:v>4691</x:v>
      </x:c>
      <x:c r="E89" s="23" t="n">
        <x:v>4718</x:v>
      </x:c>
      <x:c r="F89" s="23" t="n">
        <x:v>4660</x:v>
      </x:c>
      <x:c r="G89" s="23" t="n">
        <x:v>4707.8</x:v>
      </x:c>
      <x:c r="H89" s="23" t="n">
        <x:v>11.2</x:v>
      </x:c>
      <x:c r="I89" s="24" t="n">
        <x:v>0.00238470382830136</x:v>
      </x:c>
      <x:c r="J89" s="23" t="n">
        <x:f>ROUND(E89-F89,1)</x:f>
        <x:v>58</x:v>
      </x:c>
      <x:c r="K89" s="22" t="str">
        <x:v>IF2606</x:v>
      </x:c>
    </x:row>
    <x:row r="90">
      <x:c r="A90" s="22" t="n">
        <x:v>15</x:v>
      </x:c>
      <x:c r="B90" s="22" t="str">
        <x:v>周三</x:v>
      </x:c>
      <x:c r="C90" s="22" t="str">
        <x:v>4月22日</x:v>
      </x:c>
      <x:c r="D90" s="23" t="n">
        <x:v>4693</x:v>
      </x:c>
      <x:c r="E90" s="23" t="n">
        <x:v>4745.6</x:v>
      </x:c>
      <x:c r="F90" s="23" t="n">
        <x:v>4688</x:v>
      </x:c>
      <x:c r="G90" s="23" t="n">
        <x:v>4744.8</x:v>
      </x:c>
      <x:c r="H90" s="23" t="n">
        <x:v>37</x:v>
      </x:c>
      <x:c r="I90" s="24" t="n">
        <x:v>0.007859297336335391</x:v>
      </x:c>
      <x:c r="J90" s="23" t="n">
        <x:f>ROUND(E90-F90,1)</x:f>
        <x:v>57.6</x:v>
      </x:c>
      <x:c r="K90" s="22" t="str">
        <x:v>IF2606</x:v>
      </x:c>
    </x:row>
    <x:row r="91">
      <x:c r="A91" s="22" t="n">
        <x:v>16</x:v>
      </x:c>
      <x:c r="B91" s="22" t="str">
        <x:v>周四</x:v>
      </x:c>
      <x:c r="C91" s="22" t="str">
        <x:v>4月23日</x:v>
      </x:c>
      <x:c r="D91" s="23" t="n">
        <x:v>4754.2</x:v>
      </x:c>
      <x:c r="E91" s="23" t="n">
        <x:v>4763</x:v>
      </x:c>
      <x:c r="F91" s="23" t="n">
        <x:v>4691.8</x:v>
      </x:c>
      <x:c r="G91" s="23" t="n">
        <x:v>4724.4</x:v>
      </x:c>
      <x:c r="H91" s="23" t="n">
        <x:v>-20.4</x:v>
      </x:c>
      <x:c r="I91" s="24" t="n">
        <x:v>-0.0042994436014164306</x:v>
      </x:c>
      <x:c r="J91" s="23" t="n">
        <x:f>ROUND(E91-F91,1)</x:f>
        <x:v>71.2</x:v>
      </x:c>
      <x:c r="K91" s="22" t="str">
        <x:v>IF2606</x:v>
      </x:c>
    </x:row>
    <x:row r="92">
      <x:c r="A92" s="22" t="n">
        <x:v>17</x:v>
      </x:c>
      <x:c r="B92" s="22" t="str">
        <x:v>周五</x:v>
      </x:c>
      <x:c r="C92" s="22" t="str">
        <x:v>4月24日</x:v>
      </x:c>
      <x:c r="D92" s="23" t="n">
        <x:v>4712.2</x:v>
      </x:c>
      <x:c r="E92" s="23" t="n">
        <x:v>4733</x:v>
      </x:c>
      <x:c r="F92" s="23" t="n">
        <x:v>4678.6</x:v>
      </x:c>
      <x:c r="G92" s="23" t="n">
        <x:v>4713.6</x:v>
      </x:c>
      <x:c r="H92" s="23" t="n">
        <x:v>-10.8</x:v>
      </x:c>
      <x:c r="I92" s="24" t="n">
        <x:v>-0.002286004572009004</x:v>
      </x:c>
      <x:c r="J92" s="23" t="n">
        <x:f>ROUND(E92-F92,1)</x:f>
        <x:v>54.4</x:v>
      </x:c>
      <x:c r="K92" s="22" t="str">
        <x:v>IF2606</x:v>
      </x:c>
    </x:row>
    <x:row r="93">
      <x:c r="A93" s="22" t="n">
        <x:v>18</x:v>
      </x:c>
      <x:c r="B93" s="22" t="str">
        <x:v>周一</x:v>
      </x:c>
      <x:c r="C93" s="22" t="str">
        <x:v>4月27日</x:v>
      </x:c>
      <x:c r="D93" s="23" t="n">
        <x:v>4720</x:v>
      </x:c>
      <x:c r="E93" s="23" t="n">
        <x:v>4743.4</x:v>
      </x:c>
      <x:c r="F93" s="23" t="n">
        <x:v>4708.8</x:v>
      </x:c>
      <x:c r="G93" s="23" t="n">
        <x:v>4715.6</x:v>
      </x:c>
      <x:c r="H93" s="23" t="n">
        <x:v>2</x:v>
      </x:c>
      <x:c r="I93" s="24" t="n">
        <x:v>0.0004243041412084203</x:v>
      </x:c>
      <x:c r="J93" s="23" t="n">
        <x:f>ROUND(E93-F93,1)</x:f>
        <x:v>34.6</x:v>
      </x:c>
      <x:c r="K93" s="22" t="str">
        <x:v>IF2606</x:v>
      </x:c>
    </x:row>
    <x:row r="94">
      <x:c r="A94" s="22" t="n">
        <x:v>19</x:v>
      </x:c>
      <x:c r="B94" s="22" t="str">
        <x:v>周二</x:v>
      </x:c>
      <x:c r="C94" s="22" t="str">
        <x:v>4月28日</x:v>
      </x:c>
      <x:c r="D94" s="23" t="n">
        <x:v>4701</x:v>
      </x:c>
      <x:c r="E94" s="23" t="n">
        <x:v>4725.8</x:v>
      </x:c>
      <x:c r="F94" s="23" t="n">
        <x:v>4687.2</x:v>
      </x:c>
      <x:c r="G94" s="23" t="n">
        <x:v>4702.4</x:v>
      </x:c>
      <x:c r="H94" s="23" t="n">
        <x:v>-13.2</x:v>
      </x:c>
      <x:c r="I94" s="24" t="n">
        <x:v>-0.0027992196115024237</x:v>
      </x:c>
      <x:c r="J94" s="23" t="n">
        <x:f>ROUND(E94-F94,1)</x:f>
        <x:v>38.6</x:v>
      </x:c>
      <x:c r="K94" s="22" t="str">
        <x:v>IF2606</x:v>
      </x:c>
    </x:row>
    <x:row r="95">
      <x:c r="A95" s="22" t="n">
        <x:v>20</x:v>
      </x:c>
      <x:c r="B95" s="22" t="str">
        <x:v>周三</x:v>
      </x:c>
      <x:c r="C95" s="22" t="str">
        <x:v>4月29日</x:v>
      </x:c>
      <x:c r="D95" s="23" t="n">
        <x:v>4688</x:v>
      </x:c>
      <x:c r="E95" s="23" t="n">
        <x:v>4776.6</x:v>
      </x:c>
      <x:c r="F95" s="23" t="n">
        <x:v>4687.2</x:v>
      </x:c>
      <x:c r="G95" s="23" t="n">
        <x:v>4766</x:v>
      </x:c>
      <x:c r="H95" s="23" t="n">
        <x:v>63.6</x:v>
      </x:c>
      <x:c r="I95" s="24" t="n">
        <x:v>0.013525008506294789</x:v>
      </x:c>
      <x:c r="J95" s="23" t="n">
        <x:f>ROUND(E95-F95,1)</x:f>
        <x:v>89.4</x:v>
      </x:c>
      <x:c r="K95" s="22" t="str">
        <x:v>IF2606</x:v>
      </x:c>
    </x:row>
    <x:row r="96">
      <x:c r="A96" s="22" t="n">
        <x:v>21</x:v>
      </x:c>
      <x:c r="B96" s="22" t="str">
        <x:v>周四</x:v>
      </x:c>
      <x:c r="C96" s="22" t="str">
        <x:v>4月30日</x:v>
      </x:c>
      <x:c r="D96" s="23" t="n">
        <x:v>4773.4</x:v>
      </x:c>
      <x:c r="E96" s="23" t="n">
        <x:v>4776.2</x:v>
      </x:c>
      <x:c r="F96" s="23" t="n">
        <x:v>4744.2</x:v>
      </x:c>
      <x:c r="G96" s="23" t="n">
        <x:v>4763.4</x:v>
      </x:c>
      <x:c r="H96" s="23" t="n">
        <x:v>-2.6</x:v>
      </x:c>
      <x:c r="I96" s="24" t="n">
        <x:v>-0.0005455308434746398</x:v>
      </x:c>
      <x:c r="J96" s="23" t="n">
        <x:f>ROUND(E96-F96,1)</x:f>
        <x:v>32</x:v>
      </x:c>
      <x:c r="K96" s="22" t="str">
        <x:v>IF2606</x:v>
      </x:c>
    </x:row>
    <x:row r="97">
      <x:c r="A97" s="31" t="str">
        <x:v>合计</x:v>
      </x:c>
      <x:c r="B97" s="30" t="n">
        <x:v>21</x:v>
      </x:c>
      <x:c r="C97" s="30"/>
      <x:c r="D97" s="30"/>
      <x:c r="E97" s="30"/>
      <x:c r="F97" s="30"/>
      <x:c r="G97" s="30"/>
      <x:c r="H97" s="30"/>
      <x:c r="I97" s="30"/>
      <x:c r="J97" s="32" t="n">
        <x:f>ROUND(SUM(J76:J96),1)</x:f>
        <x:v>1171.2</x:v>
      </x:c>
      <x:c r="K97" s="30"/>
    </x:row>
    <x:row r="98">
      <x:c r="A98" s="31" t="str">
        <x:v>均值</x:v>
      </x:c>
      <x:c r="B98" s="30"/>
      <x:c r="C98" s="30"/>
      <x:c r="D98" s="30"/>
      <x:c r="E98" s="30"/>
      <x:c r="F98" s="30"/>
      <x:c r="G98" s="30"/>
      <x:c r="H98" s="30"/>
      <x:c r="I98" s="30"/>
      <x:c r="J98" s="34" t="n">
        <x:f>ROUND(IFERROR(AVERAGE(J76:J96),0),1)</x:f>
        <x:v>55.8</x:v>
      </x:c>
      <x:c r="K98" s="30"/>
    </x:row>
    <x:row r="100">
      <x:c r="A100" s="17" t="str">
        <x:v>5月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20" t="str">
        <x:v>序号</x:v>
      </x:c>
      <x:c r="B101" s="20" t="str">
        <x:v>星期</x:v>
      </x:c>
      <x:c r="C101" s="20" t="str">
        <x:v>日期</x:v>
      </x:c>
      <x:c r="D101" s="20" t="str">
        <x:v>开盘</x:v>
      </x:c>
      <x:c r="E101" s="20" t="str">
        <x:v>高点</x:v>
      </x:c>
      <x:c r="F101" s="20" t="str">
        <x:v>低点</x:v>
      </x:c>
      <x:c r="G101" s="20" t="str">
        <x:v>收盘</x:v>
      </x:c>
      <x:c r="H101" s="20" t="str">
        <x:v>涨跌点数</x:v>
      </x:c>
      <x:c r="I101" s="20" t="str">
        <x:v>涨幅</x:v>
      </x:c>
      <x:c r="J101" s="20" t="str">
        <x:v>振幅</x:v>
      </x:c>
      <x:c r="K101" s="20" t="str">
        <x:v>标的</x:v>
      </x:c>
    </x:row>
    <x:row r="102">
      <x:c r="A102" s="22" t="n">
        <x:v>1</x:v>
      </x:c>
      <x:c r="B102" s="22" t="str">
        <x:v>周三</x:v>
      </x:c>
      <x:c r="C102" s="22" t="str">
        <x:v>5月6日</x:v>
      </x:c>
      <x:c r="D102" s="23" t="n">
        <x:v>4808.2</x:v>
      </x:c>
      <x:c r="E102" s="23" t="n">
        <x:v>4869</x:v>
      </x:c>
      <x:c r="F102" s="23" t="n">
        <x:v>4797</x:v>
      </x:c>
      <x:c r="G102" s="23" t="n">
        <x:v>4839.4</x:v>
      </x:c>
      <x:c r="H102" s="23" t="n">
        <x:v>76</x:v>
      </x:c>
      <x:c r="I102" s="24" t="n">
        <x:v>0.0159549901330982</x:v>
      </x:c>
      <x:c r="J102" s="23" t="n">
        <x:f>ROUND(E102-F102,1)</x:f>
        <x:v>72</x:v>
      </x:c>
      <x:c r="K102" s="22" t="str">
        <x:v>IF2606</x:v>
      </x:c>
    </x:row>
    <x:row r="103">
      <x:c r="A103" s="22" t="n">
        <x:v>2</x:v>
      </x:c>
      <x:c r="B103" s="22" t="str">
        <x:v>周四</x:v>
      </x:c>
      <x:c r="C103" s="22" t="str">
        <x:v>5月7日</x:v>
      </x:c>
      <x:c r="D103" s="23" t="n">
        <x:v>4860</x:v>
      </x:c>
      <x:c r="E103" s="23" t="n">
        <x:v>4867.6</x:v>
      </x:c>
      <x:c r="F103" s="23" t="n">
        <x:v>4832</x:v>
      </x:c>
      <x:c r="G103" s="23" t="n">
        <x:v>4862.4</x:v>
      </x:c>
      <x:c r="H103" s="23" t="n">
        <x:v>23</x:v>
      </x:c>
      <x:c r="I103" s="24" t="n">
        <x:v>0.004752655287845631</x:v>
      </x:c>
      <x:c r="J103" s="23" t="n">
        <x:f>ROUND(E103-F103,1)</x:f>
        <x:v>35.6</x:v>
      </x:c>
      <x:c r="K103" s="22" t="str">
        <x:v>IF2606</x:v>
      </x:c>
    </x:row>
    <x:row r="104">
      <x:c r="A104" s="22" t="n">
        <x:v>3</x:v>
      </x:c>
      <x:c r="B104" s="22" t="str">
        <x:v>周五</x:v>
      </x:c>
      <x:c r="C104" s="22" t="str">
        <x:v>5月8日</x:v>
      </x:c>
      <x:c r="D104" s="23" t="n">
        <x:v>4840</x:v>
      </x:c>
      <x:c r="E104" s="23" t="n">
        <x:v>4855</x:v>
      </x:c>
      <x:c r="F104" s="23" t="n">
        <x:v>4812</x:v>
      </x:c>
      <x:c r="G104" s="23" t="n">
        <x:v>4836.8</x:v>
      </x:c>
      <x:c r="H104" s="23" t="n">
        <x:v>-25.6</x:v>
      </x:c>
      <x:c r="I104" s="24" t="n">
        <x:v>-0.005264889766370406</x:v>
      </x:c>
      <x:c r="J104" s="23" t="n">
        <x:f>ROUND(E104-F104,1)</x:f>
        <x:v>43</x:v>
      </x:c>
      <x:c r="K104" s="22" t="str">
        <x:v>IF2606</x:v>
      </x:c>
    </x:row>
    <x:row r="105">
      <x:c r="A105" s="22" t="n">
        <x:v>4</x:v>
      </x:c>
      <x:c r="B105" s="22" t="str">
        <x:v>周一</x:v>
      </x:c>
      <x:c r="C105" s="22" t="str">
        <x:v>5月11日</x:v>
      </x:c>
      <x:c r="D105" s="23" t="n">
        <x:v>4860</x:v>
      </x:c>
      <x:c r="E105" s="23" t="n">
        <x:v>4931.6</x:v>
      </x:c>
      <x:c r="F105" s="23" t="n">
        <x:v>4844.4</x:v>
      </x:c>
      <x:c r="G105" s="23" t="n">
        <x:v>4912.6</x:v>
      </x:c>
      <x:c r="H105" s="23" t="n">
        <x:v>75.8</x:v>
      </x:c>
      <x:c r="I105" s="24" t="n">
        <x:v>0.01567151835924574</x:v>
      </x:c>
      <x:c r="J105" s="23" t="n">
        <x:f>ROUND(E105-F105,1)</x:f>
        <x:v>87.2</x:v>
      </x:c>
      <x:c r="K105" s="22" t="str">
        <x:v>IF2606</x:v>
      </x:c>
    </x:row>
    <x:row r="106">
      <x:c r="A106" s="22" t="n">
        <x:v>5</x:v>
      </x:c>
      <x:c r="B106" s="22" t="str">
        <x:v>周二</x:v>
      </x:c>
      <x:c r="C106" s="22" t="str">
        <x:v>5月12日</x:v>
      </x:c>
      <x:c r="D106" s="23" t="n">
        <x:v>4931</x:v>
      </x:c>
      <x:c r="E106" s="23" t="n">
        <x:v>4937.6</x:v>
      </x:c>
      <x:c r="F106" s="23" t="n">
        <x:v>4892.4</x:v>
      </x:c>
      <x:c r="G106" s="23" t="n">
        <x:v>4911.6</x:v>
      </x:c>
      <x:c r="H106" s="23" t="n">
        <x:v>-1</x:v>
      </x:c>
      <x:c r="I106" s="24" t="n">
        <x:v>-0.00020355819728856694</x:v>
      </x:c>
      <x:c r="J106" s="23" t="n">
        <x:f>ROUND(E106-F106,1)</x:f>
        <x:v>45.2</x:v>
      </x:c>
      <x:c r="K106" s="22" t="str">
        <x:v>IF2606</x:v>
      </x:c>
    </x:row>
    <x:row r="107">
      <x:c r="A107" s="22" t="n">
        <x:v>6</x:v>
      </x:c>
      <x:c r="B107" s="22" t="str">
        <x:v>周三</x:v>
      </x:c>
      <x:c r="C107" s="22" t="str">
        <x:v>5月13日</x:v>
      </x:c>
      <x:c r="D107" s="23" t="n">
        <x:v>4901</x:v>
      </x:c>
      <x:c r="E107" s="23" t="n">
        <x:v>4975.6</x:v>
      </x:c>
      <x:c r="F107" s="23" t="n">
        <x:v>4891.6</x:v>
      </x:c>
      <x:c r="G107" s="23" t="n">
        <x:v>4968.8</x:v>
      </x:c>
      <x:c r="H107" s="23" t="n">
        <x:v>57.2</x:v>
      </x:c>
      <x:c r="I107" s="24" t="n">
        <x:v>0.011645899503216928</x:v>
      </x:c>
      <x:c r="J107" s="23" t="n">
        <x:f>ROUND(E107-F107,1)</x:f>
        <x:v>84</x:v>
      </x:c>
      <x:c r="K107" s="22" t="str">
        <x:v>IF2606</x:v>
      </x:c>
    </x:row>
    <x:row r="108">
      <x:c r="A108" s="22" t="n">
        <x:v>7</x:v>
      </x:c>
      <x:c r="B108" s="22" t="str">
        <x:v>周四</x:v>
      </x:c>
      <x:c r="C108" s="22" t="str">
        <x:v>5月14日</x:v>
      </x:c>
      <x:c r="D108" s="23" t="n">
        <x:v>4990.2</x:v>
      </x:c>
      <x:c r="E108" s="23" t="n">
        <x:v>4995</x:v>
      </x:c>
      <x:c r="F108" s="23" t="n">
        <x:v>4877.4</x:v>
      </x:c>
      <x:c r="G108" s="23" t="n">
        <x:v>4884.4</x:v>
      </x:c>
      <x:c r="H108" s="23" t="n">
        <x:v>-84.4</x:v>
      </x:c>
      <x:c r="I108" s="24" t="n">
        <x:v>-0.016985992593785304</x:v>
      </x:c>
      <x:c r="J108" s="26" t="n">
        <x:f>ROUND(E108-F108,1)</x:f>
        <x:v>117.6</x:v>
      </x:c>
      <x:c r="K108" s="22" t="str">
        <x:v>IF2606</x:v>
      </x:c>
    </x:row>
    <x:row r="109">
      <x:c r="A109" s="41" t="n">
        <x:v>8</x:v>
      </x:c>
      <x:c r="B109" s="41" t="str">
        <x:v>周五</x:v>
      </x:c>
      <x:c r="C109" s="41" t="str">
        <x:v>5月15日</x:v>
      </x:c>
      <x:c r="D109" s="42" t="n">
        <x:v>4887.2</x:v>
      </x:c>
      <x:c r="E109" s="42" t="n">
        <x:v>4895.8</x:v>
      </x:c>
      <x:c r="F109" s="42" t="n">
        <x:v>4794</x:v>
      </x:c>
      <x:c r="G109" s="42" t="n">
        <x:v>4824</x:v>
      </x:c>
      <x:c r="H109" s="42" t="n">
        <x:v>-60.4</x:v>
      </x:c>
      <x:c r="I109" s="43" t="n">
        <x:v>-0.012365899598722363</x:v>
      </x:c>
      <x:c r="J109" s="26" t="n">
        <x:f>ROUND(E109-F109,1)</x:f>
        <x:v>101.8</x:v>
      </x:c>
      <x:c r="K109" s="41" t="str">
        <x:v>IF2606</x:v>
      </x:c>
    </x:row>
    <x:row r="110">
      <x:c r="A110" s="22" t="n">
        <x:v>9</x:v>
      </x:c>
      <x:c r="B110" s="22" t="str">
        <x:v>周一</x:v>
      </x:c>
      <x:c r="C110" s="22" t="str">
        <x:v>5月18日</x:v>
      </x:c>
      <x:c r="D110" s="23" t="n">
        <x:v>4810</x:v>
      </x:c>
      <x:c r="E110" s="23" t="n">
        <x:v>4834.6</x:v>
      </x:c>
      <x:c r="F110" s="23" t="n">
        <x:v>4765.6</x:v>
      </x:c>
      <x:c r="G110" s="23" t="n">
        <x:v>4802</x:v>
      </x:c>
      <x:c r="H110" s="23" t="n">
        <x:v>-22</x:v>
      </x:c>
      <x:c r="I110" s="24" t="n">
        <x:v>-0.004560530679933672</x:v>
      </x:c>
      <x:c r="J110" s="23" t="n">
        <x:f>ROUND(E110-F110,1)</x:f>
        <x:v>69</x:v>
      </x:c>
      <x:c r="K110" s="22" t="str">
        <x:v>IF2606</x:v>
      </x:c>
    </x:row>
    <x:row r="111">
      <x:c r="A111" s="22" t="n">
        <x:v>10</x:v>
      </x:c>
      <x:c r="B111" s="22" t="str">
        <x:v>周二</x:v>
      </x:c>
      <x:c r="C111" s="22" t="str">
        <x:v>5月19日</x:v>
      </x:c>
      <x:c r="D111" s="23" t="n">
        <x:v>4797</x:v>
      </x:c>
      <x:c r="E111" s="23" t="n">
        <x:v>4817</x:v>
      </x:c>
      <x:c r="F111" s="23" t="n">
        <x:v>4735</x:v>
      </x:c>
      <x:c r="G111" s="23" t="n">
        <x:v>4813.2</x:v>
      </x:c>
      <x:c r="H111" s="23" t="n">
        <x:v>11.2</x:v>
      </x:c>
      <x:c r="I111" s="24" t="n">
        <x:v>0.0023323615160348865</x:v>
      </x:c>
      <x:c r="J111" s="23" t="n">
        <x:f>ROUND(E111-F111,1)</x:f>
        <x:v>82</x:v>
      </x:c>
      <x:c r="K111" s="22" t="str">
        <x:v>IF2606</x:v>
      </x:c>
    </x:row>
    <x:row r="112">
      <x:c r="A112" s="22" t="n">
        <x:v>11</x:v>
      </x:c>
      <x:c r="B112" s="22" t="str">
        <x:v>周三</x:v>
      </x:c>
      <x:c r="C112" s="22" t="str">
        <x:v>5月20日</x:v>
      </x:c>
      <x:c r="D112" s="23" t="n">
        <x:v>4790.2</x:v>
      </x:c>
      <x:c r="E112" s="23" t="n">
        <x:v>4821.8</x:v>
      </x:c>
      <x:c r="F112" s="23" t="n">
        <x:v>4771.8</x:v>
      </x:c>
      <x:c r="G112" s="23" t="n">
        <x:v>4806.6</x:v>
      </x:c>
      <x:c r="H112" s="23" t="n">
        <x:v>-6.6</x:v>
      </x:c>
      <x:c r="I112" s="24" t="n">
        <x:v>-0.0013712291199201587</x:v>
      </x:c>
      <x:c r="J112" s="23" t="n">
        <x:f>ROUND(E112-F112,1)</x:f>
        <x:v>50</x:v>
      </x:c>
      <x:c r="K112" s="22" t="str">
        <x:v>IF2606</x:v>
      </x:c>
    </x:row>
    <x:row r="113">
      <x:c r="A113" s="22" t="n">
        <x:v>12</x:v>
      </x:c>
      <x:c r="B113" s="22" t="str">
        <x:v>周四</x:v>
      </x:c>
      <x:c r="C113" s="22" t="str">
        <x:v>5月21日</x:v>
      </x:c>
      <x:c r="D113" s="23" t="n">
        <x:v>4839.4</x:v>
      </x:c>
      <x:c r="E113" s="23" t="n">
        <x:v>4900.8</x:v>
      </x:c>
      <x:c r="F113" s="23" t="n">
        <x:v>4740.2</x:v>
      </x:c>
      <x:c r="G113" s="23" t="n">
        <x:v>4743</x:v>
      </x:c>
      <x:c r="H113" s="23" t="n">
        <x:v>-63.6</x:v>
      </x:c>
      <x:c r="I113" s="24" t="n">
        <x:v>-0.013231806266383761</x:v>
      </x:c>
      <x:c r="J113" s="26" t="n">
        <x:f>ROUND(E113-F113,1)</x:f>
        <x:v>160.6</x:v>
      </x:c>
      <x:c r="K113" s="22" t="str">
        <x:v>IF2606</x:v>
      </x:c>
    </x:row>
    <x:row r="114">
      <x:c r="A114" s="22" t="n">
        <x:v>13</x:v>
      </x:c>
      <x:c r="B114" s="22" t="str">
        <x:v>周五</x:v>
      </x:c>
      <x:c r="C114" s="22" t="str">
        <x:v>5月22日</x:v>
      </x:c>
      <x:c r="D114" s="23" t="n">
        <x:v>4780</x:v>
      </x:c>
      <x:c r="E114" s="23" t="n">
        <x:v>4814.4</x:v>
      </x:c>
      <x:c r="F114" s="23" t="n">
        <x:v>4757</x:v>
      </x:c>
      <x:c r="G114" s="23" t="n">
        <x:v>4788.2</x:v>
      </x:c>
      <x:c r="H114" s="23" t="n">
        <x:v>45.2</x:v>
      </x:c>
      <x:c r="I114" s="24" t="n">
        <x:v>0.009529833438751911</x:v>
      </x:c>
      <x:c r="J114" s="23" t="n">
        <x:f>ROUND(E114-F114,1)</x:f>
        <x:v>57.4</x:v>
      </x:c>
      <x:c r="K114" s="22" t="str">
        <x:v>IF2606</x:v>
      </x:c>
    </x:row>
    <x:row r="115">
      <x:c r="A115" s="22" t="n">
        <x:v>14</x:v>
      </x:c>
      <x:c r="B115" s="22" t="str">
        <x:v>周一</x:v>
      </x:c>
      <x:c r="C115" s="22" t="str">
        <x:v>5月25日</x:v>
      </x:c>
      <x:c r="D115" s="23" t="n">
        <x:v>4817.8</x:v>
      </x:c>
      <x:c r="E115" s="23" t="n">
        <x:v>4864.8</x:v>
      </x:c>
      <x:c r="F115" s="23" t="n">
        <x:v>4811.4</x:v>
      </x:c>
      <x:c r="G115" s="23" t="n">
        <x:v>4852.6</x:v>
      </x:c>
      <x:c r="H115" s="23" t="n">
        <x:v>64.4</x:v>
      </x:c>
      <x:c r="I115" s="24" t="n">
        <x:v>0.01344973058769483</x:v>
      </x:c>
      <x:c r="J115" s="23" t="n">
        <x:f>ROUND(E115-F115,1)</x:f>
        <x:v>53.4</x:v>
      </x:c>
      <x:c r="K115" s="22" t="str">
        <x:v>IF2606</x:v>
      </x:c>
    </x:row>
    <x:row r="116">
      <x:c r="A116" s="22" t="n">
        <x:v>15</x:v>
      </x:c>
      <x:c r="B116" s="22" t="str">
        <x:v>周二</x:v>
      </x:c>
      <x:c r="C116" s="22" t="str">
        <x:v>5月26日</x:v>
      </x:c>
      <x:c r="D116" s="23" t="n">
        <x:v>4847</x:v>
      </x:c>
      <x:c r="E116" s="23" t="n">
        <x:v>4902.4</x:v>
      </x:c>
      <x:c r="F116" s="23" t="n">
        <x:v>4838</x:v>
      </x:c>
      <x:c r="G116" s="23" t="n">
        <x:v>4899.2</x:v>
      </x:c>
      <x:c r="H116" s="23" t="n">
        <x:v>46.6</x:v>
      </x:c>
      <x:c r="I116" s="24" t="n">
        <x:v>0.009603099369410062</x:v>
      </x:c>
      <x:c r="J116" s="23" t="n">
        <x:f>ROUND(E116-F116,1)</x:f>
        <x:v>64.4</x:v>
      </x:c>
      <x:c r="K116" s="22" t="str">
        <x:v>IF2606</x:v>
      </x:c>
    </x:row>
    <x:row r="117">
      <x:c r="A117" s="22" t="n">
        <x:v>16</x:v>
      </x:c>
      <x:c r="B117" s="22" t="str">
        <x:v>周三</x:v>
      </x:c>
      <x:c r="C117" s="22" t="str">
        <x:v>5月27日</x:v>
      </x:c>
      <x:c r="D117" s="23" t="n">
        <x:v>4898</x:v>
      </x:c>
      <x:c r="E117" s="23" t="n">
        <x:v>4928.4</x:v>
      </x:c>
      <x:c r="F117" s="23" t="n">
        <x:v>4837.6</x:v>
      </x:c>
      <x:c r="G117" s="23" t="n">
        <x:v>4857.2</x:v>
      </x:c>
      <x:c r="H117" s="23" t="n">
        <x:v>-42</x:v>
      </x:c>
      <x:c r="I117" s="24" t="n">
        <x:v>-0.00857282821685168</x:v>
      </x:c>
      <x:c r="J117" s="26" t="n">
        <x:f>ROUND(E117-F117,1)</x:f>
        <x:v>90.8</x:v>
      </x:c>
      <x:c r="K117" s="22" t="str">
        <x:v>IF2606</x:v>
      </x:c>
    </x:row>
    <x:row r="118">
      <x:c r="A118" s="22" t="n">
        <x:v>17</x:v>
      </x:c>
      <x:c r="B118" s="22" t="str">
        <x:v>周四</x:v>
      </x:c>
      <x:c r="C118" s="22" t="str">
        <x:v>5月28日</x:v>
      </x:c>
      <x:c r="D118" s="23" t="n">
        <x:v>4850</x:v>
      </x:c>
      <x:c r="E118" s="23" t="n">
        <x:v>4880.4</x:v>
      </x:c>
      <x:c r="F118" s="23" t="n">
        <x:v>4793.2</x:v>
      </x:c>
      <x:c r="G118" s="23" t="n">
        <x:v>4856</x:v>
      </x:c>
      <x:c r="H118" s="23" t="n">
        <x:v>-1.2</x:v>
      </x:c>
      <x:c r="I118" s="24" t="n">
        <x:v>-0.0002470559169891473</x:v>
      </x:c>
      <x:c r="J118" s="23" t="n">
        <x:f>ROUND(E118-F118,1)</x:f>
        <x:v>87.2</x:v>
      </x:c>
      <x:c r="K118" s="22" t="str">
        <x:v>IF2606</x:v>
      </x:c>
    </x:row>
    <x:row r="119">
      <x:c r="A119" s="22" t="n">
        <x:v>18</x:v>
      </x:c>
      <x:c r="B119" s="22" t="str">
        <x:v>周五</x:v>
      </x:c>
      <x:c r="C119" s="22" t="str">
        <x:v>5月29日</x:v>
      </x:c>
      <x:c r="D119" s="23" t="n">
        <x:v>4880</x:v>
      </x:c>
      <x:c r="E119" s="23" t="n">
        <x:v>4901.2</x:v>
      </x:c>
      <x:c r="F119" s="23" t="n">
        <x:v>4827</x:v>
      </x:c>
      <x:c r="G119" s="23" t="n">
        <x:v>4847.8</x:v>
      </x:c>
      <x:c r="H119" s="23" t="n">
        <x:v>-8.2</x:v>
      </x:c>
      <x:c r="I119" s="24" t="n">
        <x:v>-0.001688632619439856</x:v>
      </x:c>
      <x:c r="J119" s="23" t="n">
        <x:f>ROUND(E119-F119,1)</x:f>
        <x:v>74.2</x:v>
      </x:c>
      <x:c r="K119" s="22" t="str">
        <x:v>IF2606</x:v>
      </x:c>
    </x:row>
    <x:row r="120">
      <x:c r="A120" s="31" t="str">
        <x:v>合计</x:v>
      </x:c>
      <x:c r="B120" s="30" t="n">
        <x:v>18</x:v>
      </x:c>
      <x:c r="C120" s="30"/>
      <x:c r="D120" s="30"/>
      <x:c r="E120" s="30"/>
      <x:c r="F120" s="30"/>
      <x:c r="G120" s="30"/>
      <x:c r="H120" s="30"/>
      <x:c r="I120" s="30"/>
      <x:c r="J120" s="32" t="n">
        <x:f>ROUND(SUM(J102:J119),1)</x:f>
        <x:v>1375.4</x:v>
      </x:c>
      <x:c r="K120" s="30"/>
    </x:row>
    <x:row r="121">
      <x:c r="A121" s="31" t="str">
        <x:v>均值</x:v>
      </x:c>
      <x:c r="B121" s="30"/>
      <x:c r="C121" s="30"/>
      <x:c r="D121" s="30"/>
      <x:c r="E121" s="30"/>
      <x:c r="F121" s="30"/>
      <x:c r="G121" s="30"/>
      <x:c r="H121" s="30"/>
      <x:c r="I121" s="30"/>
      <x:c r="J121" s="34" t="n">
        <x:f>ROUND(IFERROR(AVERAGE(J102:J119),0),1)</x:f>
        <x:v>76.4</x:v>
      </x:c>
      <x:c r="K121" s="30"/>
    </x:row>
    <x:row r="123">
      <x:c r="A123" s="17" t="str">
        <x:v>6月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20" t="str">
        <x:v>序号</x:v>
      </x:c>
      <x:c r="B124" s="20" t="str">
        <x:v>星期</x:v>
      </x:c>
      <x:c r="C124" s="20" t="str">
        <x:v>日期</x:v>
      </x:c>
      <x:c r="D124" s="20" t="str">
        <x:v>开盘</x:v>
      </x:c>
      <x:c r="E124" s="20" t="str">
        <x:v>高点</x:v>
      </x:c>
      <x:c r="F124" s="20" t="str">
        <x:v>低点</x:v>
      </x:c>
      <x:c r="G124" s="20" t="str">
        <x:v>收盘</x:v>
      </x:c>
      <x:c r="H124" s="20" t="str">
        <x:v>涨跌点数</x:v>
      </x:c>
      <x:c r="I124" s="20" t="str">
        <x:v>涨幅</x:v>
      </x:c>
      <x:c r="J124" s="20" t="str">
        <x:v>振幅</x:v>
      </x:c>
      <x:c r="K124" s="20" t="str">
        <x:v>标的</x:v>
      </x:c>
    </x:row>
    <x:row r="125">
      <x:c r="A125" s="22" t="n">
        <x:v>1</x:v>
      </x:c>
      <x:c r="B125" s="22" t="str">
        <x:v>周一</x:v>
      </x:c>
      <x:c r="C125" s="22" t="str">
        <x:v>6月1日</x:v>
      </x:c>
      <x:c r="D125" s="23" t="n">
        <x:v>4860</x:v>
      </x:c>
      <x:c r="E125" s="23" t="n">
        <x:v>4881.6</x:v>
      </x:c>
      <x:c r="F125" s="23" t="n">
        <x:v>4796</x:v>
      </x:c>
      <x:c r="G125" s="23" t="n">
        <x:v>4811</x:v>
      </x:c>
      <x:c r="H125" s="23" t="n">
        <x:v>-36.8</x:v>
      </x:c>
      <x:c r="I125" s="24" t="n">
        <x:v>-0.007591072238953833</x:v>
      </x:c>
      <x:c r="J125" s="23" t="n">
        <x:f>ROUND(E125-F125,1)</x:f>
        <x:v>85.6</x:v>
      </x:c>
      <x:c r="K125" s="22" t="str">
        <x:v>IF2606</x:v>
      </x:c>
    </x:row>
    <x:row r="126">
      <x:c r="A126" s="22" t="n">
        <x:v>2</x:v>
      </x:c>
      <x:c r="B126" s="22" t="str">
        <x:v>周二</x:v>
      </x:c>
      <x:c r="C126" s="22" t="str">
        <x:v>6月2日</x:v>
      </x:c>
      <x:c r="D126" s="23" t="n">
        <x:v>4821</x:v>
      </x:c>
      <x:c r="E126" s="23" t="n">
        <x:v>4906.8</x:v>
      </x:c>
      <x:c r="F126" s="23" t="n">
        <x:v>4802</x:v>
      </x:c>
      <x:c r="G126" s="23" t="n">
        <x:v>4878.6</x:v>
      </x:c>
      <x:c r="H126" s="23" t="n">
        <x:v>67.6</x:v>
      </x:c>
      <x:c r="I126" s="24" t="n">
        <x:v>0.014051132820619427</x:v>
      </x:c>
      <x:c r="J126" s="26" t="n">
        <x:f>ROUND(E126-F126,1)</x:f>
        <x:v>104.8</x:v>
      </x:c>
      <x:c r="K126" s="22" t="str">
        <x:v>IF2606</x:v>
      </x:c>
    </x:row>
    <x:row r="127">
      <x:c r="A127" s="22" t="n">
        <x:v>3</x:v>
      </x:c>
      <x:c r="B127" s="22" t="str">
        <x:v>周三</x:v>
      </x:c>
      <x:c r="C127" s="22" t="str">
        <x:v>6月3日</x:v>
      </x:c>
      <x:c r="D127" s="23" t="n">
        <x:v>4886</x:v>
      </x:c>
      <x:c r="E127" s="23" t="n">
        <x:v>4964.6</x:v>
      </x:c>
      <x:c r="F127" s="23" t="n">
        <x:v>4875</x:v>
      </x:c>
      <x:c r="G127" s="23" t="n">
        <x:v>4913.8</x:v>
      </x:c>
      <x:c r="H127" s="23" t="n">
        <x:v>35.2</x:v>
      </x:c>
      <x:c r="I127" s="24" t="n">
        <x:v>0.007215184684130627</x:v>
      </x:c>
      <x:c r="J127" s="23" t="n">
        <x:f>ROUND(E127-F127,1)</x:f>
        <x:v>89.6</x:v>
      </x:c>
      <x:c r="K127" s="22" t="str">
        <x:v>IF2606</x:v>
      </x:c>
    </x:row>
    <x:row r="128">
      <x:c r="A128" s="22" t="n">
        <x:v>4</x:v>
      </x:c>
      <x:c r="B128" s="22" t="str">
        <x:v>周四</x:v>
      </x:c>
      <x:c r="C128" s="22" t="str">
        <x:v>6月4日</x:v>
      </x:c>
      <x:c r="D128" s="23" t="n">
        <x:v>4880</x:v>
      </x:c>
      <x:c r="E128" s="23" t="n">
        <x:v>4908.8</x:v>
      </x:c>
      <x:c r="F128" s="23" t="n">
        <x:v>4855.4</x:v>
      </x:c>
      <x:c r="G128" s="23" t="n">
        <x:v>4871</x:v>
      </x:c>
      <x:c r="H128" s="23" t="n">
        <x:v>-42.8</x:v>
      </x:c>
      <x:c r="I128" s="24" t="n">
        <x:v>-0.008710163213806021</x:v>
      </x:c>
      <x:c r="J128" s="23" t="n">
        <x:f>ROUND(E128-F128,1)</x:f>
        <x:v>53.4</x:v>
      </x:c>
      <x:c r="K128" s="22" t="str">
        <x:v>IF2606</x:v>
      </x:c>
    </x:row>
    <x:row r="129">
      <x:c r="A129" s="22" t="n">
        <x:v>5</x:v>
      </x:c>
      <x:c r="B129" s="22" t="str">
        <x:v>周五</x:v>
      </x:c>
      <x:c r="C129" s="22" t="str">
        <x:v>6月5日</x:v>
      </x:c>
      <x:c r="D129" s="23" t="n">
        <x:v>4850</x:v>
      </x:c>
      <x:c r="E129" s="23" t="n">
        <x:v>4888.8</x:v>
      </x:c>
      <x:c r="F129" s="23" t="n">
        <x:v>4762.2</x:v>
      </x:c>
      <x:c r="G129" s="23" t="n">
        <x:v>4776.8</x:v>
      </x:c>
      <x:c r="H129" s="23" t="n">
        <x:v>-94.2</x:v>
      </x:c>
      <x:c r="I129" s="24" t="n">
        <x:v>-0.01933894477520015</x:v>
      </x:c>
      <x:c r="J129" s="26" t="n">
        <x:f>ROUND(E129-F129,1)</x:f>
        <x:v>126.6</x:v>
      </x:c>
      <x:c r="K129" s="22" t="str">
        <x:v>IF2606</x:v>
      </x:c>
    </x:row>
    <x:row r="130">
      <x:c r="A130" s="22" t="n">
        <x:v>6</x:v>
      </x:c>
      <x:c r="B130" s="22" t="str">
        <x:v>周一</x:v>
      </x:c>
      <x:c r="C130" s="22" t="str">
        <x:v>6月8日</x:v>
      </x:c>
      <x:c r="D130" s="23" t="n">
        <x:v>4700</x:v>
      </x:c>
      <x:c r="E130" s="23" t="n">
        <x:v>4746</x:v>
      </x:c>
      <x:c r="F130" s="23" t="n">
        <x:v>4640.2</x:v>
      </x:c>
      <x:c r="G130" s="23" t="n">
        <x:v>4682.6</x:v>
      </x:c>
      <x:c r="H130" s="23" t="n">
        <x:v>-94.2</x:v>
      </x:c>
      <x:c r="I130" s="24" t="n">
        <x:v>-0.019720314855133148</x:v>
      </x:c>
      <x:c r="J130" s="26" t="n">
        <x:f>ROUND(E130-F130,1)</x:f>
        <x:v>105.8</x:v>
      </x:c>
      <x:c r="K130" s="22" t="str">
        <x:v>IF2606</x:v>
      </x:c>
    </x:row>
    <x:row r="131">
      <x:c r="A131" s="22" t="n">
        <x:v>7</x:v>
      </x:c>
      <x:c r="B131" s="22" t="str">
        <x:v>周二</x:v>
      </x:c>
      <x:c r="C131" s="22" t="str">
        <x:v>6月9日</x:v>
      </x:c>
      <x:c r="D131" s="23" t="n">
        <x:v>4700</x:v>
      </x:c>
      <x:c r="E131" s="23" t="n">
        <x:v>4752.4</x:v>
      </x:c>
      <x:c r="F131" s="23" t="n">
        <x:v>4669.6</x:v>
      </x:c>
      <x:c r="G131" s="23" t="n">
        <x:v>4743.6</x:v>
      </x:c>
      <x:c r="H131" s="23" t="n">
        <x:v>61</x:v>
      </x:c>
      <x:c r="I131" s="24" t="n">
        <x:v>0.013026950839277296</x:v>
      </x:c>
      <x:c r="J131" s="23" t="n">
        <x:f>ROUND(E131-F131,1)</x:f>
        <x:v>82.8</x:v>
      </x:c>
      <x:c r="K131" s="22" t="str">
        <x:v>IF2606</x:v>
      </x:c>
    </x:row>
    <x:row r="132">
      <x:c r="A132" s="22" t="n">
        <x:v>8</x:v>
      </x:c>
      <x:c r="B132" s="22" t="str">
        <x:v>周三</x:v>
      </x:c>
      <x:c r="C132" s="22" t="str">
        <x:v>6月10日</x:v>
      </x:c>
      <x:c r="D132" s="23" t="n">
        <x:v>4713.2</x:v>
      </x:c>
      <x:c r="E132" s="23" t="n">
        <x:v>4736.8</x:v>
      </x:c>
      <x:c r="F132" s="23" t="n">
        <x:v>4673.8</x:v>
      </x:c>
      <x:c r="G132" s="23" t="n">
        <x:v>4721.4</x:v>
      </x:c>
      <x:c r="H132" s="23" t="n">
        <x:v>-22.2</x:v>
      </x:c>
      <x:c r="I132" s="24" t="n">
        <x:v>-0.004679989881103075</x:v>
      </x:c>
      <x:c r="J132" s="23" t="n">
        <x:f>ROUND(E132-F132,1)</x:f>
        <x:v>63</x:v>
      </x:c>
      <x:c r="K132" s="22" t="str">
        <x:v>IF2606</x:v>
      </x:c>
    </x:row>
    <x:row r="133">
      <x:c r="A133" s="22" t="n">
        <x:v>9</x:v>
      </x:c>
      <x:c r="B133" s="22" t="str">
        <x:v>周四</x:v>
      </x:c>
      <x:c r="C133" s="22" t="str">
        <x:v>6月11日</x:v>
      </x:c>
      <x:c r="D133" s="23" t="n">
        <x:v>4710</x:v>
      </x:c>
      <x:c r="E133" s="23" t="n">
        <x:v>4737</x:v>
      </x:c>
      <x:c r="F133" s="23" t="n">
        <x:v>4656.2</x:v>
      </x:c>
      <x:c r="G133" s="23" t="n">
        <x:v>4693.4</x:v>
      </x:c>
      <x:c r="H133" s="23" t="n">
        <x:v>-28</x:v>
      </x:c>
      <x:c r="I133" s="24" t="n">
        <x:v>-0.0059304443597237855</x:v>
      </x:c>
      <x:c r="J133" s="23" t="n">
        <x:f>ROUND(E133-F133,1)</x:f>
        <x:v>80.8</x:v>
      </x:c>
      <x:c r="K133" s="22" t="str">
        <x:v>IF2606</x:v>
      </x:c>
    </x:row>
    <x:row r="134">
      <x:c r="A134" s="22" t="n">
        <x:v>10</x:v>
      </x:c>
      <x:c r="B134" s="22" t="str">
        <x:v>周五</x:v>
      </x:c>
      <x:c r="C134" s="22" t="str">
        <x:v>6月12日</x:v>
      </x:c>
      <x:c r="D134" s="23" t="n">
        <x:v>4750.4</x:v>
      </x:c>
      <x:c r="E134" s="23" t="n">
        <x:v>4793</x:v>
      </x:c>
      <x:c r="F134" s="23" t="n">
        <x:v>4730</x:v>
      </x:c>
      <x:c r="G134" s="23" t="n">
        <x:v>4769.8</x:v>
      </x:c>
      <x:c r="H134" s="23" t="n">
        <x:v>76.4</x:v>
      </x:c>
      <x:c r="I134" s="24" t="n">
        <x:v>0.016278177866791754</x:v>
      </x:c>
      <x:c r="J134" s="23" t="n">
        <x:f>ROUND(E134-F134,1)</x:f>
        <x:v>63</x:v>
      </x:c>
      <x:c r="K134" s="22" t="str">
        <x:v>IF2606</x:v>
      </x:c>
    </x:row>
    <x:row r="135">
      <x:c r="A135" s="22" t="n">
        <x:v>11</x:v>
      </x:c>
      <x:c r="B135" s="22" t="str">
        <x:v>周一</x:v>
      </x:c>
      <x:c r="C135" s="22" t="str">
        <x:v>6月15日</x:v>
      </x:c>
      <x:c r="D135" s="23" t="n">
        <x:v>4819</x:v>
      </x:c>
      <x:c r="E135" s="23" t="n">
        <x:v>4882</x:v>
      </x:c>
      <x:c r="F135" s="23" t="n">
        <x:v>4804.8</x:v>
      </x:c>
      <x:c r="G135" s="23" t="n">
        <x:v>4880</x:v>
      </x:c>
      <x:c r="H135" s="23" t="n">
        <x:v>110.2</x:v>
      </x:c>
      <x:c r="I135" s="24" t="n">
        <x:v>0.02310369407522317</x:v>
      </x:c>
      <x:c r="J135" s="23" t="n">
        <x:f>ROUND(E135-F135,1)</x:f>
        <x:v>77.2</x:v>
      </x:c>
      <x:c r="K135" s="22" t="str">
        <x:v>IF2606</x:v>
      </x:c>
    </x:row>
    <x:row r="136">
      <x:c r="A136" s="22" t="n">
        <x:v>12</x:v>
      </x:c>
      <x:c r="B136" s="22" t="str">
        <x:v>周二</x:v>
      </x:c>
      <x:c r="C136" s="22" t="str">
        <x:v>6月16日</x:v>
      </x:c>
      <x:c r="D136" s="23" t="n">
        <x:v>4879.8</x:v>
      </x:c>
      <x:c r="E136" s="23" t="n">
        <x:v>4898.2</x:v>
      </x:c>
      <x:c r="F136" s="23" t="n">
        <x:v>4858</x:v>
      </x:c>
      <x:c r="G136" s="23" t="n">
        <x:v>4875.2</x:v>
      </x:c>
      <x:c r="H136" s="23" t="n">
        <x:v>-4.8</x:v>
      </x:c>
      <x:c r="I136" s="24" t="n">
        <x:v>-0.0009836065573770592</x:v>
      </x:c>
      <x:c r="J136" s="23" t="n">
        <x:f>ROUND(E136-F136,1)</x:f>
        <x:v>40.2</x:v>
      </x:c>
      <x:c r="K136" s="22" t="str">
        <x:v>IF2606</x:v>
      </x:c>
    </x:row>
    <x:row r="137">
      <x:c r="A137" s="22" t="n">
        <x:v>13</x:v>
      </x:c>
      <x:c r="B137" s="22" t="str">
        <x:v>周三</x:v>
      </x:c>
      <x:c r="C137" s="22" t="str">
        <x:v>6月17日</x:v>
      </x:c>
      <x:c r="D137" s="23" t="n">
        <x:v>4859</x:v>
      </x:c>
      <x:c r="E137" s="23" t="n">
        <x:v>4928</x:v>
      </x:c>
      <x:c r="F137" s="23" t="n">
        <x:v>4859</x:v>
      </x:c>
      <x:c r="G137" s="23" t="n">
        <x:v>4928</x:v>
      </x:c>
      <x:c r="H137" s="23" t="n">
        <x:v>52.8</x:v>
      </x:c>
      <x:c r="I137" s="24" t="n">
        <x:v>0.010830324909747224</x:v>
      </x:c>
      <x:c r="J137" s="23" t="n">
        <x:f>ROUND(E137-F137,1)</x:f>
        <x:v>69</x:v>
      </x:c>
      <x:c r="K137" s="22" t="str">
        <x:v>IF2606</x:v>
      </x:c>
    </x:row>
    <x:row r="138">
      <x:c r="A138" s="22" t="n">
        <x:v>14</x:v>
      </x:c>
      <x:c r="B138" s="22" t="str">
        <x:v>周四</x:v>
      </x:c>
      <x:c r="C138" s="22" t="str">
        <x:v>6月18日</x:v>
      </x:c>
      <x:c r="D138" s="23" t="n">
        <x:v>4910</x:v>
      </x:c>
      <x:c r="E138" s="23" t="n">
        <x:v>4971</x:v>
      </x:c>
      <x:c r="F138" s="23" t="n">
        <x:v>4910</x:v>
      </x:c>
      <x:c r="G138" s="23" t="n">
        <x:v>4960.6</x:v>
      </x:c>
      <x:c r="H138" s="23" t="n">
        <x:v>32.6</x:v>
      </x:c>
      <x:c r="I138" s="24" t="n">
        <x:v>0.006615259740259782</x:v>
      </x:c>
      <x:c r="J138" s="23" t="n">
        <x:f>ROUND(E138-F138,1)</x:f>
        <x:v>61</x:v>
      </x:c>
      <x:c r="K138" s="22" t="str">
        <x:v>IF2606</x:v>
      </x:c>
    </x:row>
    <x:row r="139">
      <x:c r="A139" s="41" t="n">
        <x:v>15</x:v>
      </x:c>
      <x:c r="B139" s="41" t="str">
        <x:v>周一</x:v>
      </x:c>
      <x:c r="C139" s="41" t="str">
        <x:v>6月22日</x:v>
      </x:c>
      <x:c r="D139" s="42" t="n">
        <x:v>4956</x:v>
      </x:c>
      <x:c r="E139" s="42" t="n">
        <x:v>5030.2</x:v>
      </x:c>
      <x:c r="F139" s="42" t="n">
        <x:v>4925.2</x:v>
      </x:c>
      <x:c r="G139" s="42" t="n">
        <x:v>5029.2</x:v>
      </x:c>
      <x:c r="H139" s="42" t="n">
        <x:v>68.6</x:v>
      </x:c>
      <x:c r="I139" s="43" t="n">
        <x:v>0.013828972301737519</x:v>
      </x:c>
      <x:c r="J139" s="26" t="n">
        <x:f>ROUND(E139-F139,1)</x:f>
        <x:v>105</x:v>
      </x:c>
      <x:c r="K139" s="41" t="str">
        <x:v>IF2606</x:v>
      </x:c>
    </x:row>
    <x:row r="140">
      <x:c r="A140" s="22" t="n">
        <x:v>16</x:v>
      </x:c>
      <x:c r="B140" s="22" t="str">
        <x:v>周二</x:v>
      </x:c>
      <x:c r="C140" s="22" t="str">
        <x:v>6月23日</x:v>
      </x:c>
      <x:c r="D140" s="23" t="n">
        <x:v>4974.6</x:v>
      </x:c>
      <x:c r="E140" s="23" t="n">
        <x:v>4994</x:v>
      </x:c>
      <x:c r="F140" s="23" t="n">
        <x:v>4790.2</x:v>
      </x:c>
      <x:c r="G140" s="23" t="n">
        <x:v>4812.4</x:v>
      </x:c>
      <x:c r="H140" s="28" t="n">
        <x:v>-216.8</x:v>
      </x:c>
      <x:c r="I140" s="24" t="n">
        <x:v>-0.04310824783265732</x:v>
      </x:c>
      <x:c r="J140" s="26" t="n">
        <x:f>ROUND(E140-F140,1)</x:f>
        <x:v>203.8</x:v>
      </x:c>
      <x:c r="K140" s="22" t="str">
        <x:v>IF2609</x:v>
      </x:c>
    </x:row>
    <x:row r="141">
      <x:c r="A141" s="22" t="n">
        <x:v>17</x:v>
      </x:c>
      <x:c r="B141" s="22" t="str">
        <x:v>周三</x:v>
      </x:c>
      <x:c r="C141" s="22" t="str">
        <x:v>6月24日</x:v>
      </x:c>
      <x:c r="D141" s="23" t="n">
        <x:v>4832</x:v>
      </x:c>
      <x:c r="E141" s="23" t="n">
        <x:v>4854.8</x:v>
      </x:c>
      <x:c r="F141" s="23" t="n">
        <x:v>4801.2</x:v>
      </x:c>
      <x:c r="G141" s="23" t="n">
        <x:v>4830.8</x:v>
      </x:c>
      <x:c r="H141" s="23" t="n">
        <x:v>18.4</x:v>
      </x:c>
      <x:c r="I141" s="24" t="n">
        <x:v>0.003823456071814668</x:v>
      </x:c>
      <x:c r="J141" s="23" t="n">
        <x:f>ROUND(E141-F141,1)</x:f>
        <x:v>53.6</x:v>
      </x:c>
      <x:c r="K141" s="22" t="str">
        <x:v>IF2609</x:v>
      </x:c>
    </x:row>
    <x:row r="142">
      <x:c r="A142" s="22" t="n">
        <x:v>18</x:v>
      </x:c>
      <x:c r="B142" s="22" t="str">
        <x:v>周四</x:v>
      </x:c>
      <x:c r="C142" s="22" t="str">
        <x:v>6月25日</x:v>
      </x:c>
      <x:c r="D142" s="23" t="n">
        <x:v>4830</x:v>
      </x:c>
      <x:c r="E142" s="23" t="n">
        <x:v>4921.6</x:v>
      </x:c>
      <x:c r="F142" s="23" t="n">
        <x:v>4829.8</x:v>
      </x:c>
      <x:c r="G142" s="23" t="n">
        <x:v>4907</x:v>
      </x:c>
      <x:c r="H142" s="23" t="n">
        <x:v>76.2</x:v>
      </x:c>
      <x:c r="I142" s="24" t="n">
        <x:v>0.01577378488035097</x:v>
      </x:c>
      <x:c r="J142" s="26" t="n">
        <x:f>ROUND(E142-F142,1)</x:f>
        <x:v>91.8</x:v>
      </x:c>
      <x:c r="K142" s="22" t="str">
        <x:v>IF2609</x:v>
      </x:c>
    </x:row>
    <x:row r="143">
      <x:c r="A143" s="22" t="n">
        <x:v>19</x:v>
      </x:c>
      <x:c r="B143" s="22" t="str">
        <x:v>周五</x:v>
      </x:c>
      <x:c r="C143" s="22" t="str">
        <x:v>6月26日</x:v>
      </x:c>
      <x:c r="D143" s="23" t="n">
        <x:v>4884</x:v>
      </x:c>
      <x:c r="E143" s="23" t="n">
        <x:v>4884</x:v>
      </x:c>
      <x:c r="F143" s="23" t="n">
        <x:v>4717</x:v>
      </x:c>
      <x:c r="G143" s="23" t="n">
        <x:v>4748.2</x:v>
      </x:c>
      <x:c r="H143" s="28" t="n">
        <x:v>-158.8</x:v>
      </x:c>
      <x:c r="I143" s="24" t="n">
        <x:v>-0.032361931933971966</x:v>
      </x:c>
      <x:c r="J143" s="26" t="n">
        <x:f>ROUND(E143-F143,1)</x:f>
        <x:v>167</x:v>
      </x:c>
      <x:c r="K143" s="22" t="str">
        <x:v>IF2609</x:v>
      </x:c>
    </x:row>
    <x:row r="144">
      <x:c r="A144" s="22" t="n">
        <x:v>20</x:v>
      </x:c>
      <x:c r="B144" s="22" t="str">
        <x:v>周一</x:v>
      </x:c>
      <x:c r="C144" s="22" t="str">
        <x:v>6月29日</x:v>
      </x:c>
      <x:c r="D144" s="23" t="n">
        <x:v>4759.4</x:v>
      </x:c>
      <x:c r="E144" s="23" t="n">
        <x:v>4800</x:v>
      </x:c>
      <x:c r="F144" s="23" t="n">
        <x:v>4718.6</x:v>
      </x:c>
      <x:c r="G144" s="23" t="n">
        <x:v>4796.4</x:v>
      </x:c>
      <x:c r="H144" s="23" t="n">
        <x:v>48.2</x:v>
      </x:c>
      <x:c r="I144" s="24" t="n">
        <x:v>0.01015121519733797</x:v>
      </x:c>
      <x:c r="J144" s="23" t="n">
        <x:f>ROUND(E144-F144,1)</x:f>
        <x:v>81.4</x:v>
      </x:c>
      <x:c r="K144" s="22" t="str">
        <x:v>IF2609</x:v>
      </x:c>
    </x:row>
    <x:row r="145">
      <x:c r="A145" s="22" t="n">
        <x:v>21</x:v>
      </x:c>
      <x:c r="B145" s="22" t="str">
        <x:v>周二</x:v>
      </x:c>
      <x:c r="C145" s="22" t="str">
        <x:v>6月30日</x:v>
      </x:c>
      <x:c r="D145" s="23" t="n">
        <x:v>4790</x:v>
      </x:c>
      <x:c r="E145" s="23" t="n">
        <x:v>4866</x:v>
      </x:c>
      <x:c r="F145" s="23" t="n">
        <x:v>4786</x:v>
      </x:c>
      <x:c r="G145" s="23" t="n">
        <x:v>4855.8</x:v>
      </x:c>
      <x:c r="H145" s="23" t="n">
        <x:v>59.4</x:v>
      </x:c>
      <x:c r="I145" s="24" t="n">
        <x:v>0.01238428821616222</x:v>
      </x:c>
      <x:c r="J145" s="23" t="n">
        <x:f>ROUND(E145-F145,1)</x:f>
        <x:v>80</x:v>
      </x:c>
      <x:c r="K145" s="22" t="str">
        <x:v>IF2609</x:v>
      </x:c>
    </x:row>
    <x:row r="146">
      <x:c r="A146" s="31" t="str">
        <x:v>合计</x:v>
      </x:c>
      <x:c r="B146" s="30" t="n">
        <x:v>21</x:v>
      </x:c>
      <x:c r="C146" s="30"/>
      <x:c r="D146" s="30"/>
      <x:c r="E146" s="30"/>
      <x:c r="F146" s="30"/>
      <x:c r="G146" s="30"/>
      <x:c r="H146" s="30"/>
      <x:c r="I146" s="30"/>
      <x:c r="J146" s="32" t="n">
        <x:f>ROUND(SUM(J125:J145),1)</x:f>
        <x:v>1885.4</x:v>
      </x:c>
      <x:c r="K146" s="30"/>
    </x:row>
    <x:row r="147">
      <x:c r="A147" s="31" t="str">
        <x:v>均值</x:v>
      </x:c>
      <x:c r="B147" s="30"/>
      <x:c r="C147" s="30"/>
      <x:c r="D147" s="30"/>
      <x:c r="E147" s="30"/>
      <x:c r="F147" s="30"/>
      <x:c r="G147" s="30"/>
      <x:c r="H147" s="30"/>
      <x:c r="I147" s="30"/>
      <x:c r="J147" s="34" t="n">
        <x:f>ROUND(IFERROR(AVERAGE(J125:J145),0),1)</x:f>
        <x:v>89.8</x:v>
      </x:c>
      <x:c r="K147" s="30"/>
    </x:row>
    <x:row r="149">
      <x:c r="A149" s="17" t="str">
        <x:v>7月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20" t="str">
        <x:v>序号</x:v>
      </x:c>
      <x:c r="B150" s="20" t="str">
        <x:v>星期</x:v>
      </x:c>
      <x:c r="C150" s="20" t="str">
        <x:v>日期</x:v>
      </x:c>
      <x:c r="D150" s="20" t="str">
        <x:v>开盘</x:v>
      </x:c>
      <x:c r="E150" s="20" t="str">
        <x:v>高点</x:v>
      </x:c>
      <x:c r="F150" s="20" t="str">
        <x:v>低点</x:v>
      </x:c>
      <x:c r="G150" s="20" t="str">
        <x:v>收盘</x:v>
      </x:c>
      <x:c r="H150" s="20" t="str">
        <x:v>涨跌点数</x:v>
      </x:c>
      <x:c r="I150" s="20" t="str">
        <x:v>涨幅</x:v>
      </x:c>
      <x:c r="J150" s="20" t="str">
        <x:v>振幅</x:v>
      </x:c>
      <x:c r="K150" s="20" t="str">
        <x:v>标的</x:v>
      </x:c>
    </x:row>
    <x:row r="151">
      <x:c r="A151" s="22" t="n">
        <x:v>1</x:v>
      </x:c>
      <x:c r="B151" s="22" t="str">
        <x:v>周三</x:v>
      </x:c>
      <x:c r="C151" s="22" t="str">
        <x:v>7月1日</x:v>
      </x:c>
      <x:c r="D151" s="23" t="n">
        <x:v>4855.8</x:v>
      </x:c>
      <x:c r="E151" s="23" t="n">
        <x:v>4899.6</x:v>
      </x:c>
      <x:c r="F151" s="23" t="n">
        <x:v>4802.2</x:v>
      </x:c>
      <x:c r="G151" s="23" t="n">
        <x:v>4831.2</x:v>
      </x:c>
      <x:c r="H151" s="23" t="n">
        <x:v>-24.6</x:v>
      </x:c>
      <x:c r="I151" s="24" t="n">
        <x:v>-0.0050661065118003945</x:v>
      </x:c>
      <x:c r="J151" s="26" t="n">
        <x:f>ROUND(E151-F151,1)</x:f>
        <x:v>97.4</x:v>
      </x:c>
      <x:c r="K151" s="22" t="str">
        <x:v>IF2609</x:v>
      </x:c>
    </x:row>
    <x:row r="152">
      <x:c r="A152" s="22" t="n">
        <x:v>2</x:v>
      </x:c>
      <x:c r="B152" s="22" t="str">
        <x:v>周四</x:v>
      </x:c>
      <x:c r="C152" s="22" t="str">
        <x:v>7月2日</x:v>
      </x:c>
      <x:c r="D152" s="23" t="n">
        <x:v>4769</x:v>
      </x:c>
      <x:c r="E152" s="23" t="n">
        <x:v>4800.2</x:v>
      </x:c>
      <x:c r="F152" s="23" t="n">
        <x:v>4705</x:v>
      </x:c>
      <x:c r="G152" s="23" t="n">
        <x:v>4719.4</x:v>
      </x:c>
      <x:c r="H152" s="23" t="n">
        <x:v>-111.8</x:v>
      </x:c>
      <x:c r="I152" s="24" t="n">
        <x:v>-0.02314124855108468</x:v>
      </x:c>
      <x:c r="J152" s="26" t="n">
        <x:f>ROUND(E152-F152,1)</x:f>
        <x:v>95.2</x:v>
      </x:c>
      <x:c r="K152" s="22" t="str">
        <x:v>IF2609</x:v>
      </x:c>
    </x:row>
    <x:row r="153">
      <x:c r="A153" s="22" t="n">
        <x:v>3</x:v>
      </x:c>
      <x:c r="B153" s="22" t="str">
        <x:v>周五</x:v>
      </x:c>
      <x:c r="C153" s="22" t="str">
        <x:v>7月3日</x:v>
      </x:c>
      <x:c r="D153" s="23" t="n">
        <x:v>4733.8</x:v>
      </x:c>
      <x:c r="E153" s="23" t="n">
        <x:v>4810.4</x:v>
      </x:c>
      <x:c r="F153" s="23" t="n">
        <x:v>4728</x:v>
      </x:c>
      <x:c r="G153" s="23" t="n">
        <x:v>4752.2</x:v>
      </x:c>
      <x:c r="H153" s="23" t="n">
        <x:v>32.8</x:v>
      </x:c>
      <x:c r="I153" s="24" t="n">
        <x:v>0.006950036021528216</x:v>
      </x:c>
      <x:c r="J153" s="23" t="n">
        <x:f>ROUND(E153-F153,1)</x:f>
        <x:v>82.4</x:v>
      </x:c>
      <x:c r="K153" s="22" t="str">
        <x:v>IF2609</x:v>
      </x:c>
    </x:row>
    <x:row r="154">
      <x:c r="A154" s="22" t="n">
        <x:v>4</x:v>
      </x:c>
      <x:c r="B154" s="22" t="str">
        <x:v>周一</x:v>
      </x:c>
      <x:c r="C154" s="22" t="str">
        <x:v>7月6日</x:v>
      </x:c>
      <x:c r="D154" s="23" t="n">
        <x:v>4781</x:v>
      </x:c>
      <x:c r="E154" s="23" t="n">
        <x:v>4781.2</x:v>
      </x:c>
      <x:c r="F154" s="23" t="n">
        <x:v>4701</x:v>
      </x:c>
      <x:c r="G154" s="23" t="n">
        <x:v>4753.2</x:v>
      </x:c>
      <x:c r="H154" s="23" t="n">
        <x:v>1</x:v>
      </x:c>
      <x:c r="I154" s="24" t="n">
        <x:v>0.00021042885400435196</x:v>
      </x:c>
      <x:c r="J154" s="23" t="n">
        <x:f>ROUND(E154-F154,1)</x:f>
        <x:v>80.2</x:v>
      </x:c>
      <x:c r="K154" s="22" t="str">
        <x:v>IF2609</x:v>
      </x:c>
    </x:row>
    <x:row r="155">
      <x:c r="A155" s="22" t="n">
        <x:v>5</x:v>
      </x:c>
      <x:c r="B155" s="22" t="str">
        <x:v>周二</x:v>
      </x:c>
      <x:c r="C155" s="22" t="str">
        <x:v>7月7日</x:v>
      </x:c>
      <x:c r="D155" s="23" t="n">
        <x:v>4725.6</x:v>
      </x:c>
      <x:c r="E155" s="23" t="n">
        <x:v>4752.6</x:v>
      </x:c>
      <x:c r="F155" s="23" t="n">
        <x:v>4671.4</x:v>
      </x:c>
      <x:c r="G155" s="23" t="n">
        <x:v>4703.4</x:v>
      </x:c>
      <x:c r="H155" s="23" t="n">
        <x:v>-49.8</x:v>
      </x:c>
      <x:c r="I155" s="24" t="n">
        <x:v>-0.01047715223428436</x:v>
      </x:c>
      <x:c r="J155" s="23" t="n">
        <x:f>ROUND(E155-F155,1)</x:f>
        <x:v>81.2</x:v>
      </x:c>
      <x:c r="K155" s="22" t="str">
        <x:v>IF2609</x:v>
      </x:c>
    </x:row>
    <x:row r="156">
      <x:c r="A156" s="22" t="n">
        <x:v>6</x:v>
      </x:c>
      <x:c r="B156" s="22" t="str">
        <x:v>周三</x:v>
      </x:c>
      <x:c r="C156" s="22" t="str">
        <x:v>7月8日</x:v>
      </x:c>
      <x:c r="D156" s="23" t="n">
        <x:v>4728</x:v>
      </x:c>
      <x:c r="E156" s="23" t="n">
        <x:v>4747.6</x:v>
      </x:c>
      <x:c r="F156" s="23" t="n">
        <x:v>4666</x:v>
      </x:c>
      <x:c r="G156" s="23" t="n">
        <x:v>4668</x:v>
      </x:c>
      <x:c r="H156" s="23" t="n">
        <x:v>-35.4</x:v>
      </x:c>
      <x:c r="I156" s="24" t="n">
        <x:v>-0.007526470213037317</x:v>
      </x:c>
      <x:c r="J156" s="23" t="n">
        <x:f>ROUND(E156-F156,1)</x:f>
        <x:v>81.6</x:v>
      </x:c>
      <x:c r="K156" s="22" t="str">
        <x:v>IF2609</x:v>
      </x:c>
    </x:row>
    <x:row r="157">
      <x:c r="A157" s="22" t="n">
        <x:v>7</x:v>
      </x:c>
      <x:c r="B157" s="22" t="str">
        <x:v>周四</x:v>
      </x:c>
      <x:c r="C157" s="22" t="str">
        <x:v>7月9日</x:v>
      </x:c>
      <x:c r="D157" s="23" t="n">
        <x:v>4690</x:v>
      </x:c>
      <x:c r="E157" s="23" t="n">
        <x:v>4804</x:v>
      </x:c>
      <x:c r="F157" s="23" t="n">
        <x:v>4665.2</x:v>
      </x:c>
      <x:c r="G157" s="23" t="n">
        <x:v>4780.8</x:v>
      </x:c>
      <x:c r="H157" s="23" t="n">
        <x:v>112.8</x:v>
      </x:c>
      <x:c r="I157" s="24" t="n">
        <x:v>0.02416452442159378</x:v>
      </x:c>
      <x:c r="J157" s="26" t="n">
        <x:f>ROUND(E157-F157,1)</x:f>
        <x:v>138.8</x:v>
      </x:c>
      <x:c r="K157" s="22" t="str">
        <x:v>IF2609</x:v>
      </x:c>
    </x:row>
    <x:row r="158">
      <x:c r="A158" s="22" t="n">
        <x:v>8</x:v>
      </x:c>
      <x:c r="B158" s="22" t="str">
        <x:v>周五</x:v>
      </x:c>
      <x:c r="C158" s="22" t="str">
        <x:v>7月10日</x:v>
      </x:c>
      <x:c r="D158" s="23" t="n">
        <x:v>4790.2</x:v>
      </x:c>
      <x:c r="E158" s="23" t="n">
        <x:v>4822.2</x:v>
      </x:c>
      <x:c r="F158" s="23" t="n">
        <x:v>4703.6</x:v>
      </x:c>
      <x:c r="G158" s="23" t="n">
        <x:v>4704.6</x:v>
      </x:c>
      <x:c r="H158" s="23" t="n">
        <x:v>-76.2</x:v>
      </x:c>
      <x:c r="I158" s="24" t="n">
        <x:v>-0.015938755020080242</x:v>
      </x:c>
      <x:c r="J158" s="26" t="n">
        <x:f>ROUND(E158-F158,1)</x:f>
        <x:v>118.6</x:v>
      </x:c>
      <x:c r="K158" s="22" t="str">
        <x:v>IF2609</x:v>
      </x:c>
    </x:row>
    <x:row r="159">
      <x:c r="A159" s="22" t="n">
        <x:v>9</x:v>
      </x:c>
      <x:c r="B159" s="22" t="str">
        <x:v>周一</x:v>
      </x:c>
      <x:c r="C159" s="22" t="str">
        <x:v>7月13日</x:v>
      </x:c>
      <x:c r="D159" s="23" t="n">
        <x:v>4691</x:v>
      </x:c>
      <x:c r="E159" s="23" t="n">
        <x:v>4705</x:v>
      </x:c>
      <x:c r="F159" s="23" t="n">
        <x:v>4610.2</x:v>
      </x:c>
      <x:c r="G159" s="23" t="n">
        <x:v>4634.6</x:v>
      </x:c>
      <x:c r="H159" s="23" t="n">
        <x:v>-70</x:v>
      </x:c>
      <x:c r="I159" s="24" t="n">
        <x:v>-0.014879054542362824</x:v>
      </x:c>
      <x:c r="J159" s="26" t="n">
        <x:f>ROUND(E159-F159,1)</x:f>
        <x:v>94.8</x:v>
      </x:c>
      <x:c r="K159" s="22" t="str">
        <x:v>IF2609</x:v>
      </x:c>
    </x:row>
    <x:row r="160">
      <x:c r="A160" s="22" t="n">
        <x:v>10</x:v>
      </x:c>
      <x:c r="B160" s="22" t="str">
        <x:v>周二</x:v>
      </x:c>
      <x:c r="C160" s="22" t="str">
        <x:v>7月14日</x:v>
      </x:c>
      <x:c r="D160" s="23" t="n">
        <x:v>4640</x:v>
      </x:c>
      <x:c r="E160" s="23" t="n">
        <x:v>4713.2</x:v>
      </x:c>
      <x:c r="F160" s="23" t="n">
        <x:v>4593</x:v>
      </x:c>
      <x:c r="G160" s="23" t="n">
        <x:v>4690</x:v>
      </x:c>
      <x:c r="H160" s="23" t="n">
        <x:v>55.4</x:v>
      </x:c>
      <x:c r="I160" s="24" t="n">
        <x:v>0.011953566650843683</x:v>
      </x:c>
      <x:c r="J160" s="26" t="n">
        <x:f>ROUND(E160-F160,1)</x:f>
        <x:v>120.2</x:v>
      </x:c>
      <x:c r="K160" s="22" t="str">
        <x:v>IF2609</x:v>
      </x:c>
    </x:row>
    <x:row r="161">
      <x:c r="A161" s="22" t="n">
        <x:v>11</x:v>
      </x:c>
      <x:c r="B161" s="22" t="str">
        <x:v>周三</x:v>
      </x:c>
      <x:c r="C161" s="22" t="str">
        <x:v>7月15日</x:v>
      </x:c>
      <x:c r="D161" s="23" t="n">
        <x:v>4706</x:v>
      </x:c>
      <x:c r="E161" s="23" t="n">
        <x:v>4739.4</x:v>
      </x:c>
      <x:c r="F161" s="23" t="n">
        <x:v>4690.6</x:v>
      </x:c>
      <x:c r="G161" s="23" t="n">
        <x:v>4717.4</x:v>
      </x:c>
      <x:c r="H161" s="23" t="n">
        <x:v>27.4</x:v>
      </x:c>
      <x:c r="I161" s="24" t="n">
        <x:v>0.005842217484008483</x:v>
      </x:c>
      <x:c r="J161" s="23" t="n">
        <x:f>ROUND(E161-F161,1)</x:f>
        <x:v>48.8</x:v>
      </x:c>
      <x:c r="K161" s="22" t="str">
        <x:v>IF2609</x:v>
      </x:c>
    </x:row>
    <x:row r="162">
      <x:c r="A162" s="22" t="n">
        <x:v>12</x:v>
      </x:c>
      <x:c r="B162" s="22" t="str">
        <x:v>周四</x:v>
      </x:c>
      <x:c r="C162" s="22" t="str">
        <x:v>7月16日</x:v>
      </x:c>
      <x:c r="D162" s="23" t="n">
        <x:v>4677</x:v>
      </x:c>
      <x:c r="E162" s="23" t="n">
        <x:v>4712.6</x:v>
      </x:c>
      <x:c r="F162" s="23" t="n">
        <x:v>4618</x:v>
      </x:c>
      <x:c r="G162" s="23" t="n">
        <x:v>4645.6</x:v>
      </x:c>
      <x:c r="H162" s="23" t="n">
        <x:v>-71.8</x:v>
      </x:c>
      <x:c r="I162" s="24" t="n">
        <x:v>-0.015220248441938256</x:v>
      </x:c>
      <x:c r="J162" s="26" t="n">
        <x:f>ROUND(E162-F162,1)</x:f>
        <x:v>94.6</x:v>
      </x:c>
      <x:c r="K162" s="22" t="str">
        <x:v>IF2609</x:v>
      </x:c>
    </x:row>
    <x:row r="163">
      <x:c r="A163" s="41" t="n">
        <x:v>13</x:v>
      </x:c>
      <x:c r="B163" s="41" t="str">
        <x:v>周五</x:v>
      </x:c>
      <x:c r="C163" s="41" t="str">
        <x:v>7月17日</x:v>
      </x:c>
      <x:c r="D163" s="42" t="n">
        <x:v>4615.8</x:v>
      </x:c>
      <x:c r="E163" s="42" t="n">
        <x:v>4633.8</x:v>
      </x:c>
      <x:c r="F163" s="42" t="n">
        <x:v>4441.4</x:v>
      </x:c>
      <x:c r="G163" s="42" t="n">
        <x:v>4473.8</x:v>
      </x:c>
      <x:c r="H163" s="28" t="n">
        <x:v>-171.8</x:v>
      </x:c>
      <x:c r="I163" s="43" t="n">
        <x:v>-0.036981229550542505</x:v>
      </x:c>
      <x:c r="J163" s="26" t="n">
        <x:f>ROUND(E163-F163,1)</x:f>
        <x:v>192.4</x:v>
      </x:c>
      <x:c r="K163" s="41" t="str">
        <x:v>IF2609</x:v>
      </x:c>
    </x:row>
    <x:row r="164">
      <x:c r="A164" s="22" t="n">
        <x:v>14</x:v>
      </x:c>
      <x:c r="B164" s="22" t="str">
        <x:v>周一</x:v>
      </x:c>
      <x:c r="C164" s="22" t="str">
        <x:v>7月20日</x:v>
      </x:c>
      <x:c r="D164" s="23" t="n">
        <x:v>4530</x:v>
      </x:c>
      <x:c r="E164" s="23" t="n">
        <x:v>4590</x:v>
      </x:c>
      <x:c r="F164" s="23" t="n">
        <x:v>4465</x:v>
      </x:c>
      <x:c r="G164" s="23" t="n">
        <x:v>4545.8</x:v>
      </x:c>
      <x:c r="H164" s="23" t="n">
        <x:v>72</x:v>
      </x:c>
      <x:c r="I164" s="24" t="n">
        <x:v>0.016093701104206604</x:v>
      </x:c>
      <x:c r="J164" s="26" t="n">
        <x:f>ROUND(E164-F164,1)</x:f>
        <x:v>125</x:v>
      </x:c>
      <x:c r="K164" s="22" t="str">
        <x:v>IF2609</x:v>
      </x:c>
    </x:row>
    <x:row r="165">
      <x:c r="A165" s="22" t="n">
        <x:v>15</x:v>
      </x:c>
      <x:c r="B165" s="22" t="str">
        <x:v>周二</x:v>
      </x:c>
      <x:c r="C165" s="22" t="str">
        <x:v>7月21日</x:v>
      </x:c>
      <x:c r="D165" s="23" t="n">
        <x:v>4563.8</x:v>
      </x:c>
      <x:c r="E165" s="23" t="n">
        <x:v>4673.8</x:v>
      </x:c>
      <x:c r="F165" s="23" t="n">
        <x:v>4524.4</x:v>
      </x:c>
      <x:c r="G165" s="23" t="n">
        <x:v>4662.4</x:v>
      </x:c>
      <x:c r="H165" s="23" t="n">
        <x:v>116.6</x:v>
      </x:c>
      <x:c r="I165" s="24" t="n">
        <x:v>0.02565005059615455</x:v>
      </x:c>
      <x:c r="J165" s="26" t="n">
        <x:f>ROUND(E165-F165,1)</x:f>
        <x:v>149.4</x:v>
      </x:c>
      <x:c r="K165" s="22" t="str">
        <x:v>IF2609</x:v>
      </x:c>
    </x:row>
    <x:row r="166">
      <x:c r="A166" s="22" t="n">
        <x:v>16</x:v>
      </x:c>
      <x:c r="B166" s="22" t="str">
        <x:v>周三</x:v>
      </x:c>
      <x:c r="C166" s="22" t="str">
        <x:v>7月22日</x:v>
      </x:c>
      <x:c r="D166" s="23" t="n">
        <x:v>4652</x:v>
      </x:c>
      <x:c r="E166" s="23" t="n">
        <x:v>4707.8</x:v>
      </x:c>
      <x:c r="F166" s="23" t="n">
        <x:v>4634</x:v>
      </x:c>
      <x:c r="G166" s="23" t="n">
        <x:v>4648</x:v>
      </x:c>
      <x:c r="H166" s="23" t="n">
        <x:v>-14.4</x:v>
      </x:c>
      <x:c r="I166" s="24" t="n">
        <x:v>-0.003088538091969739</x:v>
      </x:c>
      <x:c r="J166" s="23" t="n">
        <x:f>ROUND(E166-F166,1)</x:f>
        <x:v>73.8</x:v>
      </x:c>
      <x:c r="K166" s="22" t="str">
        <x:v>IF2609</x:v>
      </x:c>
    </x:row>
    <x:row r="167">
      <x:c r="A167" s="22" t="n">
        <x:v>17</x:v>
      </x:c>
      <x:c r="B167" s="22" t="str">
        <x:v>周四</x:v>
      </x:c>
      <x:c r="C167" s="22" t="str">
        <x:v>7月23日</x:v>
      </x:c>
      <x:c r="D167" s="23" t="n">
        <x:v>4670</x:v>
      </x:c>
      <x:c r="E167" s="23" t="n">
        <x:v>4682.6</x:v>
      </x:c>
      <x:c r="F167" s="23" t="n">
        <x:v>4644</x:v>
      </x:c>
      <x:c r="G167" s="23" t="n">
        <x:v>4661.4</x:v>
      </x:c>
      <x:c r="H167" s="23" t="n">
        <x:v>13.4</x:v>
      </x:c>
      <x:c r="I167" s="24" t="n">
        <x:v>0.002882960413080893</x:v>
      </x:c>
      <x:c r="J167" s="23" t="n">
        <x:f>ROUND(E167-F167,1)</x:f>
        <x:v>38.6</x:v>
      </x:c>
      <x:c r="K167" s="22" t="str">
        <x:v>IF2609</x:v>
      </x:c>
    </x:row>
    <x:row r="168">
      <x:c r="A168" s="22" t="n">
        <x:v>18</x:v>
      </x:c>
      <x:c r="B168" s="22" t="str">
        <x:v>周五</x:v>
      </x:c>
      <x:c r="C168" s="22" t="str">
        <x:v>7月24日</x:v>
      </x:c>
      <x:c r="D168" s="23" t="n">
        <x:v>4623</x:v>
      </x:c>
      <x:c r="E168" s="23" t="n">
        <x:v>4645</x:v>
      </x:c>
      <x:c r="F168" s="23" t="n">
        <x:v>4576</x:v>
      </x:c>
      <x:c r="G168" s="23" t="n">
        <x:v>4578.2</x:v>
      </x:c>
      <x:c r="H168" s="23" t="n">
        <x:v>-83.2</x:v>
      </x:c>
      <x:c r="I168" s="24" t="n">
        <x:v>-0.017848714978332625</x:v>
      </x:c>
      <x:c r="J168" s="23" t="n">
        <x:f>ROUND(E168-F168,1)</x:f>
        <x:v>69</x:v>
      </x:c>
      <x:c r="K168" s="22" t="str">
        <x:v>IF2609</x:v>
      </x:c>
    </x:row>
    <x:row r="169">
      <x:c r="A169" s="22" t="n">
        <x:v>19</x:v>
      </x:c>
      <x:c r="B169" s="22" t="str">
        <x:v>周一</x:v>
      </x:c>
      <x:c r="C169" s="22" t="str">
        <x:v>7月27日</x:v>
      </x:c>
      <x:c r="D169" s="23" t="n">
        <x:v>4589.4</x:v>
      </x:c>
      <x:c r="E169" s="23" t="n">
        <x:v>4652.2</x:v>
      </x:c>
      <x:c r="F169" s="23" t="n">
        <x:v>4572.2</x:v>
      </x:c>
      <x:c r="G169" s="23" t="n">
        <x:v>4651.8</x:v>
      </x:c>
      <x:c r="H169" s="23" t="n">
        <x:v>73.6</x:v>
      </x:c>
      <x:c r="I169" s="24" t="n">
        <x:v>0.01607618714778747</x:v>
      </x:c>
      <x:c r="J169" s="23" t="n">
        <x:f>ROUND(E169-F169,1)</x:f>
        <x:v>80</x:v>
      </x:c>
      <x:c r="K169" s="22" t="str">
        <x:v>IF2609</x:v>
      </x:c>
    </x:row>
    <x:row r="170">
      <x:c r="A170" s="22" t="n">
        <x:v>20</x:v>
      </x:c>
      <x:c r="B170" s="22" t="str">
        <x:v>周二</x:v>
      </x:c>
      <x:c r="C170" s="22" t="str">
        <x:v>7月28日</x:v>
      </x:c>
      <x:c r="D170" s="23" t="n">
        <x:v>4589</x:v>
      </x:c>
      <x:c r="E170" s="23" t="n">
        <x:v>4594</x:v>
      </x:c>
      <x:c r="F170" s="23" t="n">
        <x:v>4488.2</x:v>
      </x:c>
      <x:c r="G170" s="23" t="n">
        <x:v>4521</x:v>
      </x:c>
      <x:c r="H170" s="23" t="n">
        <x:v>-130.8</x:v>
      </x:c>
      <x:c r="I170" s="24" t="n">
        <x:v>-0.02811814781374955</x:v>
      </x:c>
      <x:c r="J170" s="26" t="n">
        <x:f>ROUND(E170-F170,1)</x:f>
        <x:v>105.8</x:v>
      </x:c>
      <x:c r="K170" s="22" t="str">
        <x:v>IF2609</x:v>
      </x:c>
    </x:row>
    <x:row r="171">
      <x:c r="A171" s="22" t="n">
        <x:v>21</x:v>
      </x:c>
      <x:c r="B171" s="22" t="str">
        <x:v>周三</x:v>
      </x:c>
      <x:c r="C171" s="22" t="str">
        <x:v>7月29日</x:v>
      </x:c>
      <x:c r="D171" s="23" t="n">
        <x:v>4529</x:v>
      </x:c>
      <x:c r="E171" s="23" t="n">
        <x:v>4587.6</x:v>
      </x:c>
      <x:c r="F171" s="23" t="n">
        <x:v>4473.6</x:v>
      </x:c>
      <x:c r="G171" s="23" t="n">
        <x:v>4544.8</x:v>
      </x:c>
      <x:c r="H171" s="23" t="n">
        <x:v>23.8</x:v>
      </x:c>
      <x:c r="I171" s="24" t="n">
        <x:v>0.0052643220526431556</x:v>
      </x:c>
      <x:c r="J171" s="26" t="n">
        <x:f>ROUND(E171-F171,1)</x:f>
        <x:v>114</x:v>
      </x:c>
      <x:c r="K171" s="22" t="str">
        <x:v>IF2609</x:v>
      </x:c>
    </x:row>
    <x:row r="172">
      <x:c r="A172" s="22" t="n">
        <x:v>22</x:v>
      </x:c>
      <x:c r="B172" s="22" t="str">
        <x:v>周四</x:v>
      </x:c>
      <x:c r="C172" s="22" t="str">
        <x:v>7月30日</x:v>
      </x:c>
      <x:c r="D172" s="23" t="n">
        <x:v>4520</x:v>
      </x:c>
      <x:c r="E172" s="23" t="n">
        <x:v>4555.4</x:v>
      </x:c>
      <x:c r="F172" s="23" t="n">
        <x:v>4420</x:v>
      </x:c>
      <x:c r="G172" s="23" t="n">
        <x:v>4508.2</x:v>
      </x:c>
      <x:c r="H172" s="23" t="n">
        <x:v>-36.6</x:v>
      </x:c>
      <x:c r="I172" s="24" t="n">
        <x:v>-0.008053159654990427</x:v>
      </x:c>
      <x:c r="J172" s="26" t="n">
        <x:f>ROUND(E172-F172,1)</x:f>
        <x:v>135.4</x:v>
      </x:c>
      <x:c r="K172" s="22" t="str">
        <x:v>IF2609</x:v>
      </x:c>
    </x:row>
    <x:row r="173">
      <x:c r="A173" s="22" t="n">
        <x:v>23</x:v>
      </x:c>
      <x:c r="B173" s="22" t="str">
        <x:v>周五</x:v>
      </x:c>
      <x:c r="C173" s="22" t="str">
        <x:v>7月31日</x:v>
      </x:c>
      <x:c r="D173" s="23" t="n">
        <x:v>4589.4</x:v>
      </x:c>
      <x:c r="E173" s="23" t="n">
        <x:v>4619.4</x:v>
      </x:c>
      <x:c r="F173" s="23" t="n">
        <x:v>4532.2</x:v>
      </x:c>
      <x:c r="G173" s="23" t="n">
        <x:v>4538</x:v>
      </x:c>
      <x:c r="H173" s="23" t="n">
        <x:v>29.8</x:v>
      </x:c>
      <x:c r="I173" s="24" t="n">
        <x:v>0.0066101770107804825</x:v>
      </x:c>
      <x:c r="J173" s="23" t="n">
        <x:f>ROUND(E173-F173,1)</x:f>
        <x:v>87.2</x:v>
      </x:c>
      <x:c r="K173" s="22" t="str">
        <x:v>IF2609</x:v>
      </x:c>
    </x:row>
    <x:row r="174">
      <x:c r="A174" s="31" t="str">
        <x:v>合计</x:v>
      </x:c>
      <x:c r="B174" s="30" t="n">
        <x:v>23</x:v>
      </x:c>
      <x:c r="C174" s="30"/>
      <x:c r="D174" s="30"/>
      <x:c r="E174" s="30"/>
      <x:c r="F174" s="30"/>
      <x:c r="G174" s="30"/>
      <x:c r="H174" s="30"/>
      <x:c r="I174" s="30"/>
      <x:c r="J174" s="32" t="n">
        <x:f>ROUND(SUM(J151:J173),1)</x:f>
        <x:v>2304.4</x:v>
      </x:c>
      <x:c r="K174" s="30"/>
    </x:row>
    <x:row r="175">
      <x:c r="A175" s="31" t="str">
        <x:v>均值</x:v>
      </x:c>
      <x:c r="B175" s="30"/>
      <x:c r="C175" s="30"/>
      <x:c r="D175" s="30"/>
      <x:c r="E175" s="30"/>
      <x:c r="F175" s="30"/>
      <x:c r="G175" s="30"/>
      <x:c r="H175" s="30"/>
      <x:c r="I175" s="30"/>
      <x:c r="J175" s="34" t="n">
        <x:f>ROUND(IFERROR(AVERAGE(J151:J173),0),1)</x:f>
        <x:v>100.2</x:v>
      </x:c>
      <x:c r="K175" s="30"/>
    </x:row>
    <x:row r="177">
      <x:c r="A177" s="17" t="str">
        <x:v>8月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20" t="str">
        <x:v>序号</x:v>
      </x:c>
      <x:c r="B178" s="20" t="str">
        <x:v>星期</x:v>
      </x:c>
      <x:c r="C178" s="20" t="str">
        <x:v>日期</x:v>
      </x:c>
      <x:c r="D178" s="20" t="str">
        <x:v>开盘</x:v>
      </x:c>
      <x:c r="E178" s="20" t="str">
        <x:v>高点</x:v>
      </x:c>
      <x:c r="F178" s="20" t="str">
        <x:v>低点</x:v>
      </x:c>
      <x:c r="G178" s="20" t="str">
        <x:v>收盘</x:v>
      </x:c>
      <x:c r="H178" s="20" t="str">
        <x:v>涨跌点数</x:v>
      </x:c>
      <x:c r="I178" s="20" t="str">
        <x:v>涨幅</x:v>
      </x:c>
      <x:c r="J178" s="20" t="str">
        <x:v>振幅</x:v>
      </x:c>
      <x:c r="K178" s="20" t="str">
        <x:v>标的</x:v>
      </x:c>
    </x:row>
    <x:row r="179">
      <x:c r="A179" s="22" t="n">
        <x:v>1</x:v>
      </x:c>
      <x:c r="B179" s="22" t="str">
        <x:v>周一</x:v>
      </x:c>
      <x:c r="C179" s="22" t="str">
        <x:v>8月3日</x:v>
      </x:c>
      <x:c r="D179" s="23" t="n">
        <x:v>4526.4</x:v>
      </x:c>
      <x:c r="E179" s="23" t="n">
        <x:v>4538</x:v>
      </x:c>
      <x:c r="F179" s="23" t="n">
        <x:v>4494.2</x:v>
      </x:c>
      <x:c r="G179" s="23" t="n">
        <x:v>4512.2</x:v>
      </x:c>
      <x:c r="H179" s="23" t="n">
        <x:v>-25.8</x:v>
      </x:c>
      <x:c r="I179" s="24" t="n">
        <x:v>-0.005685323931247321</x:v>
      </x:c>
      <x:c r="J179" s="23" t="n">
        <x:f>ROUND(E179-F179,1)</x:f>
        <x:v>43.8</x:v>
      </x:c>
      <x:c r="K179" s="22" t="str">
        <x:v>IF2609</x:v>
      </x:c>
    </x:row>
    <x:row r="180">
      <x:c r="A180" s="22" t="n">
        <x:v>2</x:v>
      </x:c>
      <x:c r="B180" s="22" t="str">
        <x:v>周二</x:v>
      </x:c>
      <x:c r="C180" s="22" t="str">
        <x:v>8月4日</x:v>
      </x:c>
      <x:c r="D180" s="23" t="n">
        <x:v>4538</x:v>
      </x:c>
      <x:c r="E180" s="23" t="n">
        <x:v>4580.8</x:v>
      </x:c>
      <x:c r="F180" s="23" t="n">
        <x:v>4524.2</x:v>
      </x:c>
      <x:c r="G180" s="23" t="n">
        <x:v>4552.8</x:v>
      </x:c>
      <x:c r="H180" s="23" t="n">
        <x:v>40.6</x:v>
      </x:c>
      <x:c r="I180" s="24" t="n">
        <x:v>0.00899782811045613</x:v>
      </x:c>
      <x:c r="J180" s="23" t="n">
        <x:f>ROUND(E180-F180,1)</x:f>
        <x:v>56.6</x:v>
      </x:c>
      <x:c r="K180" s="22" t="str">
        <x:v>IF2609</x:v>
      </x:c>
    </x:row>
    <x:row r="181">
      <x:c r="A181" s="22" t="n">
        <x:v>3</x:v>
      </x:c>
      <x:c r="B181" s="22" t="str">
        <x:v>周三</x:v>
      </x:c>
      <x:c r="C181" s="22" t="str">
        <x:v>8月5日</x:v>
      </x:c>
      <x:c r="D181" s="23" t="n">
        <x:v>4520.6</x:v>
      </x:c>
      <x:c r="E181" s="23" t="n">
        <x:v>4641.2</x:v>
      </x:c>
      <x:c r="F181" s="23" t="n">
        <x:v>4520</x:v>
      </x:c>
      <x:c r="G181" s="23" t="n">
        <x:v>4621</x:v>
      </x:c>
      <x:c r="H181" s="23" t="n">
        <x:v>68.2</x:v>
      </x:c>
      <x:c r="I181" s="24" t="n">
        <x:v>0.014979792655069435</x:v>
      </x:c>
      <x:c r="J181" s="26" t="n">
        <x:f>ROUND(E181-F181,1)</x:f>
        <x:v>121.2</x:v>
      </x:c>
      <x:c r="K181" s="22" t="str">
        <x:v>IF2609</x:v>
      </x:c>
    </x:row>
    <x:row r="182">
      <x:c r="A182" s="22" t="n">
        <x:v>4</x:v>
      </x:c>
      <x:c r="B182" s="22" t="str">
        <x:v>周四</x:v>
      </x:c>
      <x:c r="C182" s="22" t="str">
        <x:v>8月6日</x:v>
      </x:c>
      <x:c r="D182" s="23" t="n">
        <x:v>4585.2</x:v>
      </x:c>
      <x:c r="E182" s="23" t="n">
        <x:v>4626</x:v>
      </x:c>
      <x:c r="F182" s="23" t="n">
        <x:v>4570.8</x:v>
      </x:c>
      <x:c r="G182" s="23" t="n">
        <x:v>4612</x:v>
      </x:c>
      <x:c r="H182" s="23" t="n">
        <x:v>-9</x:v>
      </x:c>
      <x:c r="I182" s="24" t="n">
        <x:v>-0.001947630383034027</x:v>
      </x:c>
      <x:c r="J182" s="23" t="n">
        <x:f>ROUND(E182-F182,1)</x:f>
        <x:v>55.2</x:v>
      </x:c>
      <x:c r="K182" s="22" t="str">
        <x:v>IF2609</x:v>
      </x:c>
    </x:row>
    <x:row r="183">
      <x:c r="A183" s="22" t="n">
        <x:v>5</x:v>
      </x:c>
      <x:c r="B183" s="22" t="str">
        <x:v>周五</x:v>
      </x:c>
      <x:c r="C183" s="22" t="str">
        <x:v>8月7日</x:v>
      </x:c>
      <x:c r="D183" s="23" t="n">
        <x:v>4620</x:v>
      </x:c>
      <x:c r="E183" s="23" t="n">
        <x:v>4656.2</x:v>
      </x:c>
      <x:c r="F183" s="23" t="n">
        <x:v>4604.6</x:v>
      </x:c>
      <x:c r="G183" s="23" t="n">
        <x:v>4645.6</x:v>
      </x:c>
      <x:c r="H183" s="23" t="n">
        <x:v>33.6</x:v>
      </x:c>
      <x:c r="I183" s="24" t="n">
        <x:v>0.007285342584562038</x:v>
      </x:c>
      <x:c r="J183" s="23" t="n">
        <x:f>ROUND(E183-F183,1)</x:f>
        <x:v>51.6</x:v>
      </x:c>
      <x:c r="K183" s="22" t="str">
        <x:v>IF2609</x:v>
      </x:c>
    </x:row>
    <x:row r="184">
      <x:c r="A184" s="22" t="n">
        <x:v>6</x:v>
      </x:c>
      <x:c r="B184" s="22" t="str">
        <x:v>周一</x:v>
      </x:c>
      <x:c r="C184" s="22" t="str">
        <x:v>8月10日</x:v>
      </x:c>
      <x:c r="D184" s="23" t="n">
        <x:v>4656.8</x:v>
      </x:c>
      <x:c r="E184" s="23" t="n">
        <x:v>4663</x:v>
      </x:c>
      <x:c r="F184" s="23" t="n">
        <x:v>4611</x:v>
      </x:c>
      <x:c r="G184" s="23" t="n">
        <x:v>4644.6</x:v>
      </x:c>
      <x:c r="H184" s="23" t="n">
        <x:v>-1</x:v>
      </x:c>
      <x:c r="I184" s="24" t="n">
        <x:v>-0.00021525744790773516</x:v>
      </x:c>
      <x:c r="J184" s="23" t="n">
        <x:f>ROUND(E184-F184,1)</x:f>
        <x:v>52</x:v>
      </x:c>
      <x:c r="K184" s="22" t="str">
        <x:v>IF2609</x:v>
      </x:c>
    </x:row>
    <x:row r="185">
      <x:c r="A185" s="22" t="n">
        <x:v>7</x:v>
      </x:c>
      <x:c r="B185" s="22" t="str">
        <x:v>周二</x:v>
      </x:c>
      <x:c r="C185" s="22" t="str">
        <x:v>8月11日</x:v>
      </x:c>
      <x:c r="D185" s="23" t="n">
        <x:v>4642.8</x:v>
      </x:c>
      <x:c r="E185" s="23" t="n">
        <x:v>4665</x:v>
      </x:c>
      <x:c r="F185" s="23" t="n">
        <x:v>4617.2</x:v>
      </x:c>
      <x:c r="G185" s="23" t="n">
        <x:v>4625</x:v>
      </x:c>
      <x:c r="H185" s="23" t="n">
        <x:v>-19.6</x:v>
      </x:c>
      <x:c r="I185" s="24" t="n">
        <x:v>-0.004219954355595856</x:v>
      </x:c>
      <x:c r="J185" s="23" t="n">
        <x:f>ROUND(E185-F185,1)</x:f>
        <x:v>47.8</x:v>
      </x:c>
      <x:c r="K185" s="22" t="str">
        <x:v>IF2609</x:v>
      </x:c>
    </x:row>
    <x:row r="186">
      <x:c r="A186" s="22" t="n">
        <x:v>8</x:v>
      </x:c>
      <x:c r="B186" s="22" t="str">
        <x:v>周三</x:v>
      </x:c>
      <x:c r="C186" s="22" t="str">
        <x:v>8月12日</x:v>
      </x:c>
      <x:c r="D186" s="23" t="n">
        <x:v>4627</x:v>
      </x:c>
      <x:c r="E186" s="23" t="n">
        <x:v>4657.2</x:v>
      </x:c>
      <x:c r="F186" s="23" t="n">
        <x:v>4616.8</x:v>
      </x:c>
      <x:c r="G186" s="23" t="n">
        <x:v>4641</x:v>
      </x:c>
      <x:c r="H186" s="23" t="n">
        <x:v>16</x:v>
      </x:c>
      <x:c r="I186" s="24" t="n">
        <x:v>0.0034594594594594685</x:v>
      </x:c>
      <x:c r="J186" s="23" t="n">
        <x:f>ROUND(E186-F186,1)</x:f>
        <x:v>40.4</x:v>
      </x:c>
      <x:c r="K186" s="22" t="str">
        <x:v>IF2609</x:v>
      </x:c>
    </x:row>
    <x:row r="187">
      <x:c r="A187" s="22" t="n">
        <x:v>9</x:v>
      </x:c>
      <x:c r="B187" s="22" t="str">
        <x:v>周四</x:v>
      </x:c>
      <x:c r="C187" s="22" t="str">
        <x:v>8月13日</x:v>
      </x:c>
      <x:c r="D187" s="23" t="n">
        <x:v>4657.8</x:v>
      </x:c>
      <x:c r="E187" s="23" t="n">
        <x:v>4681</x:v>
      </x:c>
      <x:c r="F187" s="23" t="n">
        <x:v>4621.4</x:v>
      </x:c>
      <x:c r="G187" s="23" t="n">
        <x:v>4624</x:v>
      </x:c>
      <x:c r="H187" s="23" t="n">
        <x:v>-17</x:v>
      </x:c>
      <x:c r="I187" s="24" t="n">
        <x:v>-0.00366300366300365</x:v>
      </x:c>
      <x:c r="J187" s="23" t="n">
        <x:f>ROUND(E187-F187,1)</x:f>
        <x:v>59.6</x:v>
      </x:c>
      <x:c r="K187" s="22" t="str">
        <x:v>IF2609</x:v>
      </x:c>
    </x:row>
    <x:row r="188">
      <x:c r="A188" s="22" t="n">
        <x:v>10</x:v>
      </x:c>
      <x:c r="B188" s="22" t="str">
        <x:v>周五</x:v>
      </x:c>
      <x:c r="C188" s="22" t="str">
        <x:v>8月14日</x:v>
      </x:c>
      <x:c r="D188" s="23" t="n">
        <x:v>4635</x:v>
      </x:c>
      <x:c r="E188" s="23" t="n">
        <x:v>4639.6</x:v>
      </x:c>
      <x:c r="F188" s="23" t="n">
        <x:v>4598</x:v>
      </x:c>
      <x:c r="G188" s="23" t="n">
        <x:v>4620.4</x:v>
      </x:c>
      <x:c r="H188" s="23" t="n">
        <x:v>-3.6</x:v>
      </x:c>
      <x:c r="I188" s="24" t="n">
        <x:v>-0.0007785467128028634</x:v>
      </x:c>
      <x:c r="J188" s="23" t="n">
        <x:f>ROUND(E188-F188,1)</x:f>
        <x:v>41.6</x:v>
      </x:c>
      <x:c r="K188" s="22" t="str">
        <x:v>IF2609</x:v>
      </x:c>
    </x:row>
    <x:row r="189">
      <x:c r="A189" s="22" t="n">
        <x:v>11</x:v>
      </x:c>
      <x:c r="B189" s="22" t="str">
        <x:v>周一</x:v>
      </x:c>
      <x:c r="C189" s="22" t="str">
        <x:v>8月17日</x:v>
      </x:c>
      <x:c r="D189" s="23" t="n">
        <x:v>4624</x:v>
      </x:c>
      <x:c r="E189" s="23" t="n">
        <x:v>4700.6</x:v>
      </x:c>
      <x:c r="F189" s="23" t="n">
        <x:v>4619.8</x:v>
      </x:c>
      <x:c r="G189" s="23" t="n">
        <x:v>4699</x:v>
      </x:c>
      <x:c r="H189" s="23" t="n">
        <x:v>78.6</x:v>
      </x:c>
      <x:c r="I189" s="24" t="n">
        <x:v>0.017011514154618768</x:v>
      </x:c>
      <x:c r="J189" s="23" t="n">
        <x:f>ROUND(E189-F189,1)</x:f>
        <x:v>80.8</x:v>
      </x:c>
      <x:c r="K189" s="22" t="str">
        <x:v>IF2609</x:v>
      </x:c>
    </x:row>
    <x:row r="190">
      <x:c r="A190" s="22" t="n">
        <x:v>12</x:v>
      </x:c>
      <x:c r="B190" s="22" t="str">
        <x:v>周二</x:v>
      </x:c>
      <x:c r="C190" s="22" t="str">
        <x:v>8月18日</x:v>
      </x:c>
      <x:c r="D190" s="23" t="n">
        <x:v>4688.2</x:v>
      </x:c>
      <x:c r="E190" s="23" t="n">
        <x:v>4698.2</x:v>
      </x:c>
      <x:c r="F190" s="23" t="n">
        <x:v>4633.2</x:v>
      </x:c>
      <x:c r="G190" s="23" t="n">
        <x:v>4670.2</x:v>
      </x:c>
      <x:c r="H190" s="23" t="n">
        <x:v>-28.8</x:v>
      </x:c>
      <x:c r="I190" s="24" t="n">
        <x:v>-0.006128963609278615</x:v>
      </x:c>
      <x:c r="J190" s="23" t="n">
        <x:f>ROUND(E190-F190,1)</x:f>
        <x:v>65</x:v>
      </x:c>
      <x:c r="K190" s="22" t="str">
        <x:v>IF2609</x:v>
      </x:c>
    </x:row>
    <x:row r="191">
      <x:c r="A191" s="22" t="n">
        <x:v>13</x:v>
      </x:c>
      <x:c r="B191" s="22" t="str">
        <x:v>周三</x:v>
      </x:c>
      <x:c r="C191" s="22" t="str">
        <x:v>8月19日</x:v>
      </x:c>
      <x:c r="D191" s="23" t="n">
        <x:v>4605.2</x:v>
      </x:c>
      <x:c r="E191" s="23" t="n">
        <x:v>4624.2</x:v>
      </x:c>
      <x:c r="F191" s="23" t="n">
        <x:v>4531.8</x:v>
      </x:c>
      <x:c r="G191" s="23" t="n">
        <x:v>4554.2</x:v>
      </x:c>
      <x:c r="H191" s="23" t="n">
        <x:v>-116</x:v>
      </x:c>
      <x:c r="I191" s="24" t="n">
        <x:v>-0.024838336687936224</x:v>
      </x:c>
      <x:c r="J191" s="26" t="n">
        <x:f>ROUND(E191-F191,1)</x:f>
        <x:v>92.4</x:v>
      </x:c>
      <x:c r="K191" s="22" t="str">
        <x:v>IF2609</x:v>
      </x:c>
    </x:row>
    <x:row r="192">
      <x:c r="A192" s="22" t="n">
        <x:v>14</x:v>
      </x:c>
      <x:c r="B192" s="22" t="str">
        <x:v>周四</x:v>
      </x:c>
      <x:c r="C192" s="22" t="str">
        <x:v>8月20日</x:v>
      </x:c>
      <x:c r="D192" s="23" t="n">
        <x:v>4580</x:v>
      </x:c>
      <x:c r="E192" s="23" t="n">
        <x:v>4585</x:v>
      </x:c>
      <x:c r="F192" s="23" t="n">
        <x:v>4532.4</x:v>
      </x:c>
      <x:c r="G192" s="23" t="n">
        <x:v>4554</x:v>
      </x:c>
      <x:c r="H192" s="23" t="n">
        <x:v>-0.2</x:v>
      </x:c>
      <x:c r="I192" s="24" t="n">
        <x:v>-0.000043915506565350704</x:v>
      </x:c>
      <x:c r="J192" s="23" t="n">
        <x:f>ROUND(E192-F192,1)</x:f>
        <x:v>52.6</x:v>
      </x:c>
      <x:c r="K192" s="22" t="str">
        <x:v>IF2609</x:v>
      </x:c>
    </x:row>
    <x:row r="193">
      <x:c r="A193" s="41" t="n">
        <x:v>15</x:v>
      </x:c>
      <x:c r="B193" s="41" t="str">
        <x:v>周五</x:v>
      </x:c>
      <x:c r="C193" s="41" t="str">
        <x:v>8月21日</x:v>
      </x:c>
      <x:c r="D193" s="42" t="n">
        <x:v>4556</x:v>
      </x:c>
      <x:c r="E193" s="42" t="n">
        <x:v>4595.8</x:v>
      </x:c>
      <x:c r="F193" s="42" t="n">
        <x:v>4542.4</x:v>
      </x:c>
      <x:c r="G193" s="42" t="n">
        <x:v>4576</x:v>
      </x:c>
      <x:c r="H193" s="42" t="n">
        <x:v>22</x:v>
      </x:c>
      <x:c r="I193" s="43" t="n">
        <x:v>0.004830917874396157</x:v>
      </x:c>
      <x:c r="J193" s="42" t="n">
        <x:f>ROUND(E193-F193,1)</x:f>
        <x:v>53.4</x:v>
      </x:c>
      <x:c r="K193" s="41" t="str">
        <x:v>IF2609</x:v>
      </x:c>
    </x:row>
    <x:row r="194">
      <x:c r="A194" s="22" t="n">
        <x:v>16</x:v>
      </x:c>
      <x:c r="B194" s="22" t="str">
        <x:v>周一</x:v>
      </x:c>
      <x:c r="C194" s="22" t="str">
        <x:v>8月24日</x:v>
      </x:c>
      <x:c r="D194" s="23" t="n">
        <x:v>4607.4</x:v>
      </x:c>
      <x:c r="E194" s="23" t="n">
        <x:v>4607.4</x:v>
      </x:c>
      <x:c r="F194" s="23" t="n">
        <x:v>4486.4</x:v>
      </x:c>
      <x:c r="G194" s="23" t="n">
        <x:v>4526.4</x:v>
      </x:c>
      <x:c r="H194" s="23" t="n">
        <x:v>-49.6</x:v>
      </x:c>
      <x:c r="I194" s="24" t="n">
        <x:v>-0.010839160839160922</x:v>
      </x:c>
      <x:c r="J194" s="26" t="n">
        <x:f>ROUND(E194-F194,1)</x:f>
        <x:v>121</x:v>
      </x:c>
      <x:c r="K194" s="22" t="str">
        <x:v>IF2609</x:v>
      </x:c>
    </x:row>
    <x:row r="195">
      <x:c r="A195" s="22" t="n">
        <x:v>17</x:v>
      </x:c>
      <x:c r="B195" s="22" t="str">
        <x:v>周二</x:v>
      </x:c>
      <x:c r="C195" s="22" t="str">
        <x:v>8月25日</x:v>
      </x:c>
      <x:c r="D195" s="23" t="n">
        <x:v>4510</x:v>
      </x:c>
      <x:c r="E195" s="23" t="n">
        <x:v>4544.2</x:v>
      </x:c>
      <x:c r="F195" s="23" t="n">
        <x:v>4488</x:v>
      </x:c>
      <x:c r="G195" s="23" t="n">
        <x:v>4521.8</x:v>
      </x:c>
      <x:c r="H195" s="23" t="n">
        <x:v>-4.6</x:v>
      </x:c>
      <x:c r="I195" s="24" t="n">
        <x:v>-0.0010162601626014789</x:v>
      </x:c>
      <x:c r="J195" s="23" t="n">
        <x:f>ROUND(E195-F195,1)</x:f>
        <x:v>56.2</x:v>
      </x:c>
      <x:c r="K195" s="22" t="str">
        <x:v>IF2609</x:v>
      </x:c>
    </x:row>
    <x:row r="196">
      <x:c r="A196" s="22" t="n">
        <x:v>18</x:v>
      </x:c>
      <x:c r="B196" s="22" t="str">
        <x:v>周三</x:v>
      </x:c>
      <x:c r="C196" s="22" t="str">
        <x:v>8月26日</x:v>
      </x:c>
      <x:c r="D196" s="23" t="n">
        <x:v>4515.6</x:v>
      </x:c>
      <x:c r="E196" s="23" t="n">
        <x:v>4593.6</x:v>
      </x:c>
      <x:c r="F196" s="23" t="n">
        <x:v>4515.6</x:v>
      </x:c>
      <x:c r="G196" s="23" t="n">
        <x:v>4566.8</x:v>
      </x:c>
      <x:c r="H196" s="23" t="n">
        <x:v>45</x:v>
      </x:c>
      <x:c r="I196" s="24" t="n">
        <x:v>0.009951789110531184</x:v>
      </x:c>
      <x:c r="J196" s="23" t="n">
        <x:f>ROUND(E196-F196,1)</x:f>
        <x:v>78</x:v>
      </x:c>
      <x:c r="K196" s="22" t="str">
        <x:v>IF2609</x:v>
      </x:c>
    </x:row>
    <x:row r="197">
      <x:c r="A197" s="22" t="n">
        <x:v>19</x:v>
      </x:c>
      <x:c r="B197" s="22" t="str">
        <x:v>周四</x:v>
      </x:c>
      <x:c r="C197" s="22" t="str">
        <x:v>8月27日</x:v>
      </x:c>
      <x:c r="D197" s="23" t="n">
        <x:v>4577.2</x:v>
      </x:c>
      <x:c r="E197" s="23" t="n">
        <x:v>4608.2</x:v>
      </x:c>
      <x:c r="F197" s="23" t="n">
        <x:v>4561.8</x:v>
      </x:c>
      <x:c r="G197" s="23" t="n">
        <x:v>4604.8</x:v>
      </x:c>
      <x:c r="H197" s="23" t="n">
        <x:v>38</x:v>
      </x:c>
      <x:c r="I197" s="24" t="n">
        <x:v>0.008320924936498164</x:v>
      </x:c>
      <x:c r="J197" s="23" t="n">
        <x:f>ROUND(E197-F197,1)</x:f>
        <x:v>46.4</x:v>
      </x:c>
      <x:c r="K197" s="22" t="str">
        <x:v>IF2609</x:v>
      </x:c>
    </x:row>
    <x:row r="198">
      <x:c r="A198" s="22" t="n">
        <x:v>20</x:v>
      </x:c>
      <x:c r="B198" s="22" t="str">
        <x:v>周五</x:v>
      </x:c>
      <x:c r="C198" s="22" t="str">
        <x:v>8月28日</x:v>
      </x:c>
      <x:c r="D198" s="23" t="n">
        <x:v>4591.8</x:v>
      </x:c>
      <x:c r="E198" s="23" t="n">
        <x:v>4620</x:v>
      </x:c>
      <x:c r="F198" s="23" t="n">
        <x:v>4587.2</x:v>
      </x:c>
      <x:c r="G198" s="23" t="n">
        <x:v>4593.6</x:v>
      </x:c>
      <x:c r="H198" s="23" t="n">
        <x:v>-11.2</x:v>
      </x:c>
      <x:c r="I198" s="24" t="n">
        <x:v>-0.0024322446143154597</x:v>
      </x:c>
      <x:c r="J198" s="23" t="n">
        <x:f>ROUND(E198-F198,1)</x:f>
        <x:v>32.8</x:v>
      </x:c>
      <x:c r="K198" s="22" t="str">
        <x:v>IF2609</x:v>
      </x:c>
    </x:row>
    <x:row r="199">
      <x:c r="A199" s="22" t="n">
        <x:v>21</x:v>
      </x:c>
      <x:c r="B199" s="22" t="str">
        <x:v>周一</x:v>
      </x:c>
      <x:c r="C199" s="22" t="str">
        <x:v>8月31日</x:v>
      </x:c>
      <x:c r="D199" s="23" t="n">
        <x:v>4553</x:v>
      </x:c>
      <x:c r="E199" s="23" t="n">
        <x:v>4608.6</x:v>
      </x:c>
      <x:c r="F199" s="23" t="n">
        <x:v>4530</x:v>
      </x:c>
      <x:c r="G199" s="23" t="n">
        <x:v>4601.6</x:v>
      </x:c>
      <x:c r="H199" s="23" t="n">
        <x:v>8</x:v>
      </x:c>
      <x:c r="I199" s="24" t="n">
        <x:v>0.0017415534656914922</x:v>
      </x:c>
      <x:c r="J199" s="23" t="n">
        <x:f>ROUND(E199-F199,1)</x:f>
        <x:v>78.6</x:v>
      </x:c>
      <x:c r="K199" s="22" t="str">
        <x:v>IF2609</x:v>
      </x:c>
    </x:row>
    <x:row r="200">
      <x:c r="A200" s="31" t="str">
        <x:v>合计</x:v>
      </x:c>
      <x:c r="B200" s="30" t="n">
        <x:v>21</x:v>
      </x:c>
      <x:c r="C200" s="30"/>
      <x:c r="D200" s="30"/>
      <x:c r="E200" s="30"/>
      <x:c r="F200" s="30"/>
      <x:c r="G200" s="30"/>
      <x:c r="H200" s="30"/>
      <x:c r="I200" s="30"/>
      <x:c r="J200" s="32" t="n">
        <x:f>ROUND(SUM(J179:J199),1)</x:f>
        <x:v>1327</x:v>
      </x:c>
      <x:c r="K200" s="30"/>
    </x:row>
    <x:row r="201">
      <x:c r="A201" s="31" t="str">
        <x:v>均值</x:v>
      </x:c>
      <x:c r="B201" s="30"/>
      <x:c r="C201" s="30"/>
      <x:c r="D201" s="30"/>
      <x:c r="E201" s="30"/>
      <x:c r="F201" s="30"/>
      <x:c r="G201" s="30"/>
      <x:c r="H201" s="30"/>
      <x:c r="I201" s="30"/>
      <x:c r="J201" s="34" t="n">
        <x:f>ROUND(IFERROR(AVERAGE(J179:J199),0),1)</x:f>
        <x:v>63.2</x:v>
      </x:c>
      <x:c r="K201" s="30"/>
    </x:row>
    <x:row r="203">
      <x:c r="A203" s="17" t="str">
        <x:v>9月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>
      <x:c r="A204" s="20" t="str">
        <x:v>序号</x:v>
      </x:c>
      <x:c r="B204" s="20" t="str">
        <x:v>星期</x:v>
      </x:c>
      <x:c r="C204" s="20" t="str">
        <x:v>日期</x:v>
      </x:c>
      <x:c r="D204" s="20" t="str">
        <x:v>开盘</x:v>
      </x:c>
      <x:c r="E204" s="20" t="str">
        <x:v>高点</x:v>
      </x:c>
      <x:c r="F204" s="20" t="str">
        <x:v>低点</x:v>
      </x:c>
      <x:c r="G204" s="20" t="str">
        <x:v>收盘</x:v>
      </x:c>
      <x:c r="H204" s="20" t="str">
        <x:v>涨跌点数</x:v>
      </x:c>
      <x:c r="I204" s="20" t="str">
        <x:v>涨幅</x:v>
      </x:c>
      <x:c r="J204" s="20" t="str">
        <x:v>振幅</x:v>
      </x:c>
      <x:c r="K204" s="20" t="str">
        <x:v>标的</x:v>
      </x:c>
    </x:row>
    <x:row r="205">
      <x:c r="A205" s="22" t="n">
        <x:v>1</x:v>
      </x:c>
      <x:c r="B205" s="22" t="str">
        <x:v>周二</x:v>
      </x:c>
      <x:c r="C205" s="22" t="str">
        <x:v>9月1日</x:v>
      </x:c>
      <x:c r="D205" s="23" t="n">
        <x:v>4602</x:v>
      </x:c>
      <x:c r="E205" s="23" t="n">
        <x:v>4617.8</x:v>
      </x:c>
      <x:c r="F205" s="23" t="n">
        <x:v>4576</x:v>
      </x:c>
      <x:c r="G205" s="23" t="n">
        <x:v>4597.2</x:v>
      </x:c>
      <x:c r="H205" s="23" t="n">
        <x:v>-4.4</x:v>
      </x:c>
      <x:c r="I205" s="24" t="n">
        <x:v>-0.0009561891515995624</x:v>
      </x:c>
      <x:c r="J205" s="23" t="n">
        <x:f>ROUND(E205-F205,1)</x:f>
        <x:v>41.8</x:v>
      </x:c>
      <x:c r="K205" s="22" t="str">
        <x:v>IF2609</x:v>
      </x:c>
    </x:row>
    <x:row r="206">
      <x:c r="A206" s="22" t="n">
        <x:v>2</x:v>
      </x:c>
      <x:c r="B206" s="22" t="str">
        <x:v>周三</x:v>
      </x:c>
      <x:c r="C206" s="22" t="str">
        <x:v>9月2日</x:v>
      </x:c>
      <x:c r="D206" s="23" t="n">
        <x:v>4566.2</x:v>
      </x:c>
      <x:c r="E206" s="23" t="n">
        <x:v>4567</x:v>
      </x:c>
      <x:c r="F206" s="23" t="n">
        <x:v>4497.6</x:v>
      </x:c>
      <x:c r="G206" s="23" t="n">
        <x:v>4532.2</x:v>
      </x:c>
      <x:c r="H206" s="23" t="n">
        <x:v>-65</x:v>
      </x:c>
      <x:c r="I206" s="24" t="n">
        <x:v>-0.01413904115548592</x:v>
      </x:c>
      <x:c r="J206" s="23" t="n">
        <x:f>ROUND(E206-F206,1)</x:f>
        <x:v>69.4</x:v>
      </x:c>
      <x:c r="K206" s="22" t="str">
        <x:v>IF2609</x:v>
      </x:c>
    </x:row>
    <x:row r="207">
      <x:c r="A207" s="22" t="n">
        <x:v>3</x:v>
      </x:c>
      <x:c r="B207" s="22" t="str">
        <x:v>周四</x:v>
      </x:c>
      <x:c r="C207" s="22" t="str">
        <x:v>9月3日</x:v>
      </x:c>
      <x:c r="D207" s="23" t="n">
        <x:v>4541</x:v>
      </x:c>
      <x:c r="E207" s="23" t="n">
        <x:v>4561.2</x:v>
      </x:c>
      <x:c r="F207" s="23" t="n">
        <x:v>4510.4</x:v>
      </x:c>
      <x:c r="G207" s="23" t="n">
        <x:v>4536.8</x:v>
      </x:c>
      <x:c r="H207" s="23" t="n">
        <x:v>4.6</x:v>
      </x:c>
      <x:c r="I207" s="24" t="n">
        <x:v>0.0010149596222586155</x:v>
      </x:c>
      <x:c r="J207" s="23" t="n">
        <x:f>ROUND(E207-F207,1)</x:f>
        <x:v>50.8</x:v>
      </x:c>
      <x:c r="K207" s="22" t="str">
        <x:v>IF2609</x:v>
      </x:c>
    </x:row>
    <x:row r="208">
      <x:c r="A208" s="22" t="n">
        <x:v>4</x:v>
      </x:c>
      <x:c r="B208" s="22" t="str">
        <x:v>周五</x:v>
      </x:c>
      <x:c r="C208" s="22" t="str">
        <x:v>9月4日</x:v>
      </x:c>
      <x:c r="D208" s="23" t="n">
        <x:v>4568</x:v>
      </x:c>
      <x:c r="E208" s="23" t="n">
        <x:v>4594</x:v>
      </x:c>
      <x:c r="F208" s="23" t="n">
        <x:v>4519</x:v>
      </x:c>
      <x:c r="G208" s="23" t="n">
        <x:v>4537.4</x:v>
      </x:c>
      <x:c r="H208" s="23" t="n">
        <x:v>0.6</x:v>
      </x:c>
      <x:c r="I208" s="24" t="n">
        <x:v>0.00013225180744114162</x:v>
      </x:c>
      <x:c r="J208" s="23" t="n">
        <x:f>ROUND(E208-F208,1)</x:f>
        <x:v>75</x:v>
      </x:c>
      <x:c r="K208" s="22" t="str">
        <x:v>IF2609</x:v>
      </x:c>
    </x:row>
    <x:row r="209">
      <x:c r="A209" s="22" t="n">
        <x:v>5</x:v>
      </x:c>
      <x:c r="B209" s="22" t="str">
        <x:v>周一</x:v>
      </x:c>
      <x:c r="C209" s="22" t="str">
        <x:v>9月7日</x:v>
      </x:c>
      <x:c r="D209" s="23" t="n">
        <x:v>4562</x:v>
      </x:c>
      <x:c r="E209" s="23" t="n">
        <x:v>4576.8</x:v>
      </x:c>
      <x:c r="F209" s="23" t="n">
        <x:v>4537.4</x:v>
      </x:c>
      <x:c r="G209" s="23" t="n">
        <x:v>4555.6</x:v>
      </x:c>
      <x:c r="H209" s="23" t="n">
        <x:v>18.2</x:v>
      </x:c>
      <x:c r="I209" s="24" t="n">
        <x:v>0.004011107682814208</x:v>
      </x:c>
      <x:c r="J209" s="23" t="n">
        <x:f>ROUND(E209-F209,1)</x:f>
        <x:v>39.4</x:v>
      </x:c>
      <x:c r="K209" s="22" t="str">
        <x:v>IF2609</x:v>
      </x:c>
    </x:row>
    <x:row r="210">
      <x:c r="A210" s="22" t="n">
        <x:v>6</x:v>
      </x:c>
      <x:c r="B210" s="22" t="str">
        <x:v>周二</x:v>
      </x:c>
      <x:c r="C210" s="22" t="str">
        <x:v>9月8日</x:v>
      </x:c>
      <x:c r="D210" s="23" t="n">
        <x:v>4559</x:v>
      </x:c>
      <x:c r="E210" s="23" t="n">
        <x:v>4584</x:v>
      </x:c>
      <x:c r="F210" s="23" t="n">
        <x:v>4532.8</x:v>
      </x:c>
      <x:c r="G210" s="23" t="n">
        <x:v>4547</x:v>
      </x:c>
      <x:c r="H210" s="23" t="n">
        <x:v>-8.6</x:v>
      </x:c>
      <x:c r="I210" s="24" t="n">
        <x:v>-0.0018877864606199335</x:v>
      </x:c>
      <x:c r="J210" s="23" t="n">
        <x:f>ROUND(E210-F210,1)</x:f>
        <x:v>51.2</x:v>
      </x:c>
      <x:c r="K210" s="22" t="str">
        <x:v>IF2609</x:v>
      </x:c>
    </x:row>
    <x:row r="211">
      <x:c r="A211" s="22" t="n">
        <x:v>7</x:v>
      </x:c>
      <x:c r="B211" s="22" t="str">
        <x:v>周三</x:v>
      </x:c>
      <x:c r="C211" s="22" t="str">
        <x:v>9月9日</x:v>
      </x:c>
      <x:c r="D211" s="23" t="n">
        <x:v>4564.2</x:v>
      </x:c>
      <x:c r="E211" s="23" t="n">
        <x:v>4574.2</x:v>
      </x:c>
      <x:c r="F211" s="23" t="n">
        <x:v>4535.6</x:v>
      </x:c>
      <x:c r="G211" s="23" t="n">
        <x:v>4560</x:v>
      </x:c>
      <x:c r="H211" s="23" t="n">
        <x:v>13</x:v>
      </x:c>
      <x:c r="I211" s="24" t="n">
        <x:v>0.0028590279305036326</x:v>
      </x:c>
      <x:c r="J211" s="23" t="n">
        <x:f>ROUND(E211-F211,1)</x:f>
        <x:v>38.6</x:v>
      </x:c>
      <x:c r="K211" s="22" t="str">
        <x:v>IF2609</x:v>
      </x:c>
    </x:row>
    <x:row r="212">
      <x:c r="A212" s="22" t="n">
        <x:v>8</x:v>
      </x:c>
      <x:c r="B212" s="22" t="str">
        <x:v>周四</x:v>
      </x:c>
      <x:c r="C212" s="22" t="str">
        <x:v>9月10日</x:v>
      </x:c>
      <x:c r="D212" s="23" t="n">
        <x:v>4535.6</x:v>
      </x:c>
      <x:c r="E212" s="23" t="n">
        <x:v>4565.8</x:v>
      </x:c>
      <x:c r="F212" s="23" t="n">
        <x:v>4517.6</x:v>
      </x:c>
      <x:c r="G212" s="23" t="n">
        <x:v>4542.2</x:v>
      </x:c>
      <x:c r="H212" s="23" t="n">
        <x:v>-17.8</x:v>
      </x:c>
      <x:c r="I212" s="24" t="n">
        <x:v>-0.003903508771929909</x:v>
      </x:c>
      <x:c r="J212" s="23" t="n">
        <x:f>ROUND(E212-F212,1)</x:f>
        <x:v>48.2</x:v>
      </x:c>
      <x:c r="K212" s="22" t="str">
        <x:v>IF2609</x:v>
      </x:c>
    </x:row>
    <x:row r="213">
      <x:c r="A213" s="22" t="n">
        <x:v>9</x:v>
      </x:c>
      <x:c r="B213" s="22" t="str">
        <x:v>周五</x:v>
      </x:c>
      <x:c r="C213" s="22" t="str">
        <x:v>9月11日</x:v>
      </x:c>
      <x:c r="D213" s="23" t="n">
        <x:v>4508.2</x:v>
      </x:c>
      <x:c r="E213" s="23" t="n">
        <x:v>4514</x:v>
      </x:c>
      <x:c r="F213" s="23" t="n">
        <x:v>4451.6</x:v>
      </x:c>
      <x:c r="G213" s="23" t="n">
        <x:v>4503.4</x:v>
      </x:c>
      <x:c r="H213" s="23" t="n">
        <x:v>-38.8</x:v>
      </x:c>
      <x:c r="I213" s="24" t="n">
        <x:v>-0.00854211615516709</x:v>
      </x:c>
      <x:c r="J213" s="23" t="n">
        <x:f>ROUND(E213-F213,1)</x:f>
        <x:v>62.4</x:v>
      </x:c>
      <x:c r="K213" s="22" t="str">
        <x:v>IF2609</x:v>
      </x:c>
    </x:row>
    <x:row r="214">
      <x:c r="A214" s="22" t="n">
        <x:v>10</x:v>
      </x:c>
      <x:c r="B214" s="22" t="str">
        <x:v>周一</x:v>
      </x:c>
      <x:c r="C214" s="22" t="str">
        <x:v>9月14日</x:v>
      </x:c>
      <x:c r="D214" s="23" t="n">
        <x:v>4468</x:v>
      </x:c>
      <x:c r="E214" s="23" t="n">
        <x:v>4500.6</x:v>
      </x:c>
      <x:c r="F214" s="23" t="n">
        <x:v>4458</x:v>
      </x:c>
      <x:c r="G214" s="23" t="n">
        <x:v>4480.2</x:v>
      </x:c>
      <x:c r="H214" s="23" t="n">
        <x:v>-23.2</x:v>
      </x:c>
      <x:c r="I214" s="24" t="n">
        <x:v>-0.005151663187813571</x:v>
      </x:c>
      <x:c r="J214" s="23" t="n">
        <x:f>ROUND(E214-F214,1)</x:f>
        <x:v>42.6</x:v>
      </x:c>
      <x:c r="K214" s="22" t="str">
        <x:v>IF2609</x:v>
      </x:c>
    </x:row>
    <x:row r="215">
      <x:c r="A215" s="22" t="n">
        <x:v>11</x:v>
      </x:c>
      <x:c r="B215" s="22" t="str">
        <x:v>周二</x:v>
      </x:c>
      <x:c r="C215" s="22" t="str">
        <x:v>9月15日</x:v>
      </x:c>
      <x:c r="D215" s="23" t="n">
        <x:v>4479.4</x:v>
      </x:c>
      <x:c r="E215" s="23" t="n">
        <x:v>4495.8</x:v>
      </x:c>
      <x:c r="F215" s="23" t="n">
        <x:v>4441</x:v>
      </x:c>
      <x:c r="G215" s="23" t="n">
        <x:v>4449.8</x:v>
      </x:c>
      <x:c r="H215" s="23" t="n">
        <x:v>-30.4</x:v>
      </x:c>
      <x:c r="I215" s="24" t="n">
        <x:v>-0.006785411365563987</x:v>
      </x:c>
      <x:c r="J215" s="23" t="n">
        <x:f>ROUND(E215-F215,1)</x:f>
        <x:v>54.8</x:v>
      </x:c>
      <x:c r="K215" s="22" t="str">
        <x:v>IF2609</x:v>
      </x:c>
    </x:row>
    <x:row r="216">
      <x:c r="A216" s="22" t="n">
        <x:v>12</x:v>
      </x:c>
      <x:c r="B216" s="22" t="str">
        <x:v>周三</x:v>
      </x:c>
      <x:c r="C216" s="22" t="str">
        <x:v>9月16日</x:v>
      </x:c>
      <x:c r="D216" s="23" t="n">
        <x:v>4452.2</x:v>
      </x:c>
      <x:c r="E216" s="23" t="n">
        <x:v>4487</x:v>
      </x:c>
      <x:c r="F216" s="23" t="n">
        <x:v>4412.2</x:v>
      </x:c>
      <x:c r="G216" s="23" t="n">
        <x:v>4478</x:v>
      </x:c>
      <x:c r="H216" s="23" t="n">
        <x:v>28.2</x:v>
      </x:c>
      <x:c r="I216" s="24" t="n">
        <x:v>0.006337363477010083</x:v>
      </x:c>
      <x:c r="J216" s="23" t="n">
        <x:f>ROUND(E216-F216,1)</x:f>
        <x:v>74.8</x:v>
      </x:c>
      <x:c r="K216" s="22" t="str">
        <x:v>IF2609</x:v>
      </x:c>
    </x:row>
    <x:row r="217">
      <x:c r="A217" s="22" t="n">
        <x:v>13</x:v>
      </x:c>
      <x:c r="B217" s="22" t="str">
        <x:v>周四</x:v>
      </x:c>
      <x:c r="C217" s="22" t="str">
        <x:v>9月17日</x:v>
      </x:c>
      <x:c r="D217" s="23" t="n">
        <x:v>4475.6</x:v>
      </x:c>
      <x:c r="E217" s="23" t="n">
        <x:v>4500.6</x:v>
      </x:c>
      <x:c r="F217" s="23" t="n">
        <x:v>4452.2</x:v>
      </x:c>
      <x:c r="G217" s="23" t="n">
        <x:v>4460.2</x:v>
      </x:c>
      <x:c r="H217" s="23" t="n">
        <x:v>-17.8</x:v>
      </x:c>
      <x:c r="I217" s="24" t="n">
        <x:v>-0.00397498883430103</x:v>
      </x:c>
      <x:c r="J217" s="23" t="n">
        <x:f>ROUND(E217-F217,1)</x:f>
        <x:v>48.4</x:v>
      </x:c>
      <x:c r="K217" s="22" t="str">
        <x:v>IF2609</x:v>
      </x:c>
    </x:row>
    <x:row r="218">
      <x:c r="A218" s="41" t="n">
        <x:v>14</x:v>
      </x:c>
      <x:c r="B218" s="41" t="str">
        <x:v>周五</x:v>
      </x:c>
      <x:c r="C218" s="41" t="str">
        <x:v>9月18日</x:v>
      </x:c>
      <x:c r="D218" s="42" t="n">
        <x:v>4486</x:v>
      </x:c>
      <x:c r="E218" s="42" t="n">
        <x:v>4520.6</x:v>
      </x:c>
      <x:c r="F218" s="42" t="n">
        <x:v>4481</x:v>
      </x:c>
      <x:c r="G218" s="42" t="n">
        <x:v>4508</x:v>
      </x:c>
      <x:c r="H218" s="42" t="n">
        <x:v>47.8</x:v>
      </x:c>
      <x:c r="I218" s="43" t="n">
        <x:v>0.010717008205910039</x:v>
      </x:c>
      <x:c r="J218" s="42" t="n">
        <x:f>ROUND(E218-F218,1)</x:f>
        <x:v>39.6</x:v>
      </x:c>
      <x:c r="K218" s="41" t="str">
        <x:v>IF2609</x:v>
      </x:c>
    </x:row>
    <x:row r="219">
      <x:c r="A219" s="22" t="n">
        <x:v>15</x:v>
      </x:c>
      <x:c r="B219" s="22" t="str">
        <x:v>周一</x:v>
      </x:c>
      <x:c r="C219" s="22" t="str">
        <x:v>9月21日</x:v>
      </x:c>
      <x:c r="D219" s="23" t="n">
        <x:v>4451</x:v>
      </x:c>
      <x:c r="E219" s="23" t="n">
        <x:v>4474.6</x:v>
      </x:c>
      <x:c r="F219" s="23" t="n">
        <x:v>4434.8</x:v>
      </x:c>
      <x:c r="G219" s="23" t="n">
        <x:v>4464.8</x:v>
      </x:c>
      <x:c r="H219" s="23" t="n">
        <x:v>-43.2</x:v>
      </x:c>
      <x:c r="I219" s="24" t="n">
        <x:v>-0.0095829636202307</x:v>
      </x:c>
      <x:c r="J219" s="23" t="n">
        <x:f>ROUND(E219-F219,1)</x:f>
        <x:v>39.8</x:v>
      </x:c>
      <x:c r="K219" s="22" t="str">
        <x:v>IF2612</x:v>
      </x:c>
    </x:row>
    <x:row r="220">
      <x:c r="A220" s="22" t="n">
        <x:v>16</x:v>
      </x:c>
      <x:c r="B220" s="22" t="str">
        <x:v>周二</x:v>
      </x:c>
      <x:c r="C220" s="22" t="str">
        <x:v>9月22日</x:v>
      </x:c>
      <x:c r="D220" s="23" t="n">
        <x:v>4489.8</x:v>
      </x:c>
      <x:c r="E220" s="23" t="n">
        <x:v>4520</x:v>
      </x:c>
      <x:c r="F220" s="23" t="n">
        <x:v>4477.6</x:v>
      </x:c>
      <x:c r="G220" s="23" t="n">
        <x:v>4480.6</x:v>
      </x:c>
      <x:c r="H220" s="23" t="n">
        <x:v>15.8</x:v>
      </x:c>
      <x:c r="I220" s="24" t="n">
        <x:v>0.0035387923311234193</x:v>
      </x:c>
      <x:c r="J220" s="23" t="n">
        <x:f>ROUND(E220-F220,1)</x:f>
        <x:v>42.4</x:v>
      </x:c>
      <x:c r="K220" s="22" t="str">
        <x:v>IF2612</x:v>
      </x:c>
    </x:row>
    <x:row r="221">
      <x:c r="A221" s="22" t="n">
        <x:v>17</x:v>
      </x:c>
      <x:c r="B221" s="22" t="str">
        <x:v>周三</x:v>
      </x:c>
      <x:c r="C221" s="22" t="str">
        <x:v>9月23日</x:v>
      </x:c>
      <x:c r="D221" s="23" t="n">
        <x:v>4485</x:v>
      </x:c>
      <x:c r="E221" s="23" t="n">
        <x:v>4490.4</x:v>
      </x:c>
      <x:c r="F221" s="23" t="n">
        <x:v>4457.2</x:v>
      </x:c>
      <x:c r="G221" s="23" t="n">
        <x:v>4461.8</x:v>
      </x:c>
      <x:c r="H221" s="23" t="n">
        <x:v>-18.8</x:v>
      </x:c>
      <x:c r="I221" s="24" t="n">
        <x:v>-0.004195866625005595</x:v>
      </x:c>
      <x:c r="J221" s="23" t="n">
        <x:f>ROUND(E221-F221,1)</x:f>
        <x:v>33.2</x:v>
      </x:c>
      <x:c r="K221" s="22" t="str">
        <x:v>IF2612</x:v>
      </x:c>
    </x:row>
    <x:row r="222">
      <x:c r="A222" s="22" t="n">
        <x:v>18</x:v>
      </x:c>
      <x:c r="B222" s="22" t="str">
        <x:v>周四</x:v>
      </x:c>
      <x:c r="C222" s="22" t="str">
        <x:v>9月24日</x:v>
      </x:c>
      <x:c r="D222" s="23" t="n">
        <x:v>4439</x:v>
      </x:c>
      <x:c r="E222" s="23" t="n">
        <x:v>4443.6</x:v>
      </x:c>
      <x:c r="F222" s="23" t="n">
        <x:v>4367</x:v>
      </x:c>
      <x:c r="G222" s="23" t="n">
        <x:v>4375</x:v>
      </x:c>
      <x:c r="H222" s="23" t="n">
        <x:v>-86.8</x:v>
      </x:c>
      <x:c r="I222" s="24" t="n">
        <x:v>-0.019454032005020383</x:v>
      </x:c>
      <x:c r="J222" s="23" t="n">
        <x:f>ROUND(E222-F222,1)</x:f>
        <x:v>76.6</x:v>
      </x:c>
      <x:c r="K222" s="22" t="str">
        <x:v>IF2612</x:v>
      </x:c>
    </x:row>
    <x:row r="223">
      <x:c r="A223" s="22" t="n">
        <x:v>19</x:v>
      </x:c>
      <x:c r="B223" s="22" t="str">
        <x:v>周一</x:v>
      </x:c>
      <x:c r="C223" s="22" t="str">
        <x:v>9月28日</x:v>
      </x:c>
      <x:c r="D223" s="23" t="n">
        <x:v>4365</x:v>
      </x:c>
      <x:c r="E223" s="23" t="n">
        <x:v>4366.8</x:v>
      </x:c>
      <x:c r="F223" s="23" t="n">
        <x:v>4246</x:v>
      </x:c>
      <x:c r="G223" s="23" t="n">
        <x:v>4280.8</x:v>
      </x:c>
      <x:c r="H223" s="23" t="n">
        <x:v>-94.2</x:v>
      </x:c>
      <x:c r="I223" s="24" t="n">
        <x:v>-0.021531428571428535</x:v>
      </x:c>
      <x:c r="J223" s="26" t="n">
        <x:f>ROUND(E223-F223,1)</x:f>
        <x:v>120.8</x:v>
      </x:c>
      <x:c r="K223" s="22" t="str">
        <x:v>IF2612</x:v>
      </x:c>
    </x:row>
    <x:row r="224">
      <x:c r="A224" s="22" t="n">
        <x:v>20</x:v>
      </x:c>
      <x:c r="B224" s="22" t="str">
        <x:v>周二</x:v>
      </x:c>
      <x:c r="C224" s="22" t="str">
        <x:v>9月29日</x:v>
      </x:c>
      <x:c r="D224" s="23" t="n">
        <x:v>4271</x:v>
      </x:c>
      <x:c r="E224" s="23" t="n">
        <x:v>4297.4</x:v>
      </x:c>
      <x:c r="F224" s="23" t="n">
        <x:v>4257.6</x:v>
      </x:c>
      <x:c r="G224" s="23" t="n">
        <x:v>4277.2</x:v>
      </x:c>
      <x:c r="H224" s="23" t="n">
        <x:v>-3.6</x:v>
      </x:c>
      <x:c r="I224" s="24" t="n">
        <x:v>-0.000840964305737324</x:v>
      </x:c>
      <x:c r="J224" s="23" t="n">
        <x:f>ROUND(E224-F224,1)</x:f>
        <x:v>39.8</x:v>
      </x:c>
      <x:c r="K224" s="22" t="str">
        <x:v>IF2612</x:v>
      </x:c>
    </x:row>
    <x:row r="225">
      <x:c r="A225" s="22" t="n">
        <x:v>21</x:v>
      </x:c>
      <x:c r="B225" s="22" t="str">
        <x:v>周三</x:v>
      </x:c>
      <x:c r="C225" s="22" t="str">
        <x:v>9月30日</x:v>
      </x:c>
      <x:c r="D225" s="23" t="n">
        <x:v>4292.4</x:v>
      </x:c>
      <x:c r="E225" s="23" t="n">
        <x:v>4310.4</x:v>
      </x:c>
      <x:c r="F225" s="23" t="n">
        <x:v>4278</x:v>
      </x:c>
      <x:c r="G225" s="23" t="n">
        <x:v>4300.8</x:v>
      </x:c>
      <x:c r="H225" s="23" t="n">
        <x:v>23.6</x:v>
      </x:c>
      <x:c r="I225" s="24" t="n">
        <x:v>0.005517628354998694</x:v>
      </x:c>
      <x:c r="J225" s="23" t="n">
        <x:f>ROUND(E225-F225,1)</x:f>
        <x:v>32.4</x:v>
      </x:c>
      <x:c r="K225" s="22" t="str">
        <x:v>IF2612</x:v>
      </x:c>
    </x:row>
    <x:row r="226">
      <x:c r="A226" s="31" t="str">
        <x:v>合计</x:v>
      </x:c>
      <x:c r="B226" s="30" t="n">
        <x:v>21</x:v>
      </x:c>
      <x:c r="C226" s="30"/>
      <x:c r="D226" s="30"/>
      <x:c r="E226" s="30"/>
      <x:c r="F226" s="30"/>
      <x:c r="G226" s="30"/>
      <x:c r="H226" s="30"/>
      <x:c r="I226" s="30"/>
      <x:c r="J226" s="32" t="n">
        <x:f>ROUND(SUM(J205:J225),1)</x:f>
        <x:v>1122</x:v>
      </x:c>
      <x:c r="K226" s="30"/>
    </x:row>
    <x:row r="227">
      <x:c r="A227" s="31" t="str">
        <x:v>均值</x:v>
      </x:c>
      <x:c r="B227" s="30"/>
      <x:c r="C227" s="30"/>
      <x:c r="D227" s="30"/>
      <x:c r="E227" s="30"/>
      <x:c r="F227" s="30"/>
      <x:c r="G227" s="30"/>
      <x:c r="H227" s="30"/>
      <x:c r="I227" s="30"/>
      <x:c r="J227" s="34" t="n">
        <x:f>ROUND(IFERROR(AVERAGE(J205:J225),0),1)</x:f>
        <x:v>53.4</x:v>
      </x:c>
      <x:c r="K227" s="30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涨跌点数</x:v>
      </x:c>
      <x:c r="I230" s="20" t="str">
        <x:v>涨幅</x:v>
      </x:c>
      <x:c r="J230" s="20" t="str">
        <x:v>振幅</x:v>
      </x:c>
      <x:c r="K230" s="20" t="str">
        <x:v>标的</x:v>
      </x:c>
    </x:row>
    <x:row r="231">
      <x:c r="A231" s="22" t="n">
        <x:v>1</x:v>
      </x:c>
      <x:c r="B231" s="22" t="str">
        <x:v>周四</x:v>
      </x:c>
      <x:c r="C231" s="22" t="str">
        <x:v>10月8日</x:v>
      </x:c>
      <x:c r="D231" s="23" t="n">
        <x:v>4300.8</x:v>
      </x:c>
      <x:c r="E231" s="23" t="n">
        <x:v>4331.6</x:v>
      </x:c>
      <x:c r="F231" s="23" t="n">
        <x:v>4218.6</x:v>
      </x:c>
      <x:c r="G231" s="23" t="n">
        <x:v>4248</x:v>
      </x:c>
      <x:c r="H231" s="23" t="n">
        <x:v>-52.8</x:v>
      </x:c>
      <x:c r="I231" s="24" t="n">
        <x:v>-0.01227678571428581</x:v>
      </x:c>
      <x:c r="J231" s="26" t="n">
        <x:f>ROUND(E231-F231,1)</x:f>
        <x:v>113</x:v>
      </x:c>
      <x:c r="K231" s="22" t="str">
        <x:v>IF2612</x:v>
      </x:c>
    </x:row>
    <x:row r="232">
      <x:c r="A232" s="22" t="n">
        <x:v>2</x:v>
      </x:c>
      <x:c r="B232" s="22" t="str">
        <x:v>周五</x:v>
      </x:c>
      <x:c r="C232" s="22" t="str">
        <x:v>10月9日</x:v>
      </x:c>
      <x:c r="D232" s="23" t="n">
        <x:v>4237.6</x:v>
      </x:c>
      <x:c r="E232" s="23" t="n">
        <x:v>4264.6</x:v>
      </x:c>
      <x:c r="F232" s="23" t="n">
        <x:v>4180.4</x:v>
      </x:c>
      <x:c r="G232" s="23" t="n">
        <x:v>4244.8</x:v>
      </x:c>
      <x:c r="H232" s="23" t="n">
        <x:v>-3.2</x:v>
      </x:c>
      <x:c r="I232" s="24" t="n">
        <x:v>-0.0007532956685498693</x:v>
      </x:c>
      <x:c r="J232" s="23" t="n">
        <x:f>ROUND(E232-F232,1)</x:f>
        <x:v>84.2</x:v>
      </x:c>
      <x:c r="K232" s="22" t="str">
        <x:v>IF2612</x:v>
      </x:c>
    </x:row>
    <x:row r="233">
      <x:c r="A233" s="22" t="n">
        <x:v>3</x:v>
      </x:c>
      <x:c r="B233" s="22" t="str">
        <x:v>周一</x:v>
      </x:c>
      <x:c r="C233" s="22" t="str">
        <x:v>10月12日</x:v>
      </x:c>
      <x:c r="D233" s="23" t="n">
        <x:v>4240.4</x:v>
      </x:c>
      <x:c r="E233" s="23" t="n">
        <x:v>4273.6</x:v>
      </x:c>
      <x:c r="F233" s="23" t="n">
        <x:v>4213.8</x:v>
      </x:c>
      <x:c r="G233" s="23" t="n">
        <x:v>4233.6</x:v>
      </x:c>
      <x:c r="H233" s="23" t="n">
        <x:v>-11.2</x:v>
      </x:c>
      <x:c r="I233" s="24" t="n">
        <x:v>-0.0026385224274405594</x:v>
      </x:c>
      <x:c r="J233" s="23" t="n">
        <x:f>ROUND(E233-F233,1)</x:f>
        <x:v>59.8</x:v>
      </x:c>
      <x:c r="K233" s="22" t="str">
        <x:v>IF2612</x:v>
      </x:c>
    </x:row>
    <x:row r="234">
      <x:c r="A234" s="22" t="n">
        <x:v>4</x:v>
      </x:c>
      <x:c r="B234" s="22" t="str">
        <x:v>周二</x:v>
      </x:c>
      <x:c r="C234" s="22" t="str">
        <x:v>10月13日</x:v>
      </x:c>
      <x:c r="D234" s="23" t="n">
        <x:v>4183.2</x:v>
      </x:c>
      <x:c r="E234" s="23" t="n">
        <x:v>4257.4</x:v>
      </x:c>
      <x:c r="F234" s="23" t="n">
        <x:v>4151</x:v>
      </x:c>
      <x:c r="G234" s="23" t="n">
        <x:v>4217.6</x:v>
      </x:c>
      <x:c r="H234" s="23" t="n">
        <x:v>-16</x:v>
      </x:c>
      <x:c r="I234" s="24" t="n">
        <x:v>-0.0037792894935751997</x:v>
      </x:c>
      <x:c r="J234" s="26" t="n">
        <x:f>ROUND(E234-F234,1)</x:f>
        <x:v>106.4</x:v>
      </x:c>
      <x:c r="K234" s="22" t="str">
        <x:v>IF2612</x:v>
      </x:c>
    </x:row>
    <x:row r="235">
      <x:c r="A235" s="22" t="n">
        <x:v>5</x:v>
      </x:c>
      <x:c r="B235" s="22" t="str">
        <x:v>周三</x:v>
      </x:c>
      <x:c r="C235" s="22" t="str">
        <x:v>10月14日</x:v>
      </x:c>
      <x:c r="D235" s="23" t="n">
        <x:v>4203</x:v>
      </x:c>
      <x:c r="E235" s="23" t="n">
        <x:v>4217.6</x:v>
      </x:c>
      <x:c r="F235" s="23" t="n">
        <x:v>4141</x:v>
      </x:c>
      <x:c r="G235" s="23" t="n">
        <x:v>4160.6</x:v>
      </x:c>
      <x:c r="H235" s="23" t="n">
        <x:v>-57</x:v>
      </x:c>
      <x:c r="I235" s="24" t="n">
        <x:v>-0.013514795144157765</x:v>
      </x:c>
      <x:c r="J235" s="23" t="n">
        <x:f>ROUND(E235-F235,1)</x:f>
        <x:v>76.6</x:v>
      </x:c>
      <x:c r="K235" s="22" t="str">
        <x:v>IF2612</x:v>
      </x:c>
    </x:row>
    <x:row r="236">
      <x:c r="A236" s="22" t="n">
        <x:v>6</x:v>
      </x:c>
      <x:c r="B236" s="22" t="str">
        <x:v>周四</x:v>
      </x:c>
      <x:c r="C236" s="22" t="str">
        <x:v>10月15日</x:v>
      </x:c>
      <x:c r="D236" s="23" t="n">
        <x:v>4100</x:v>
      </x:c>
      <x:c r="E236" s="23" t="n">
        <x:v>4113</x:v>
      </x:c>
      <x:c r="F236" s="23" t="n">
        <x:v>4045.2</x:v>
      </x:c>
      <x:c r="G236" s="23" t="n">
        <x:v>4092.6</x:v>
      </x:c>
      <x:c r="H236" s="23" t="n">
        <x:v>-68</x:v>
      </x:c>
      <x:c r="I236" s="24" t="n">
        <x:v>-0.016343796567802826</x:v>
      </x:c>
      <x:c r="J236" s="23" t="n">
        <x:f>ROUND(E236-F236,1)</x:f>
        <x:v>67.8</x:v>
      </x:c>
      <x:c r="K236" s="22" t="str">
        <x:v>IF2612</x:v>
      </x:c>
    </x:row>
    <x:row r="237">
      <x:c r="A237" s="31" t="str">
        <x:v>合计</x:v>
      </x:c>
      <x:c r="B237" s="30" t="n">
        <x:v>6</x:v>
      </x:c>
      <x:c r="C237" s="30"/>
      <x:c r="D237" s="30"/>
      <x:c r="E237" s="30"/>
      <x:c r="F237" s="30"/>
      <x:c r="G237" s="30"/>
      <x:c r="H237" s="30"/>
      <x:c r="I237" s="30"/>
      <x:c r="J237" s="32" t="n">
        <x:f>ROUND(SUM(J231:J236),1)</x:f>
        <x:v>507.8</x:v>
      </x:c>
      <x:c r="K237" s="30"/>
    </x:row>
    <x:row r="238">
      <x:c r="A238" s="31" t="str">
        <x:v>均值</x:v>
      </x:c>
      <x:c r="B238" s="30"/>
      <x:c r="C238" s="30"/>
      <x:c r="D238" s="30"/>
      <x:c r="E238" s="30"/>
      <x:c r="F238" s="30"/>
      <x:c r="G238" s="30"/>
      <x:c r="H238" s="30"/>
      <x:c r="I238" s="30"/>
      <x:c r="J238" s="34" t="n">
        <x:f>ROUND(IFERROR(AVERAGE(J231:J236),0),1)</x:f>
        <x:v>84.6</x:v>
      </x:c>
      <x:c r="K238" s="30"/>
    </x:row>
  </x:sheetData>
  <x:mergeCells>
    <x:mergeCell ref="A1:K1"/>
    <x:mergeCell ref="A3:K3"/>
    <x:mergeCell ref="A28:K28"/>
    <x:mergeCell ref="A47:K47"/>
    <x:mergeCell ref="A74:K74"/>
    <x:mergeCell ref="A100:K100"/>
    <x:mergeCell ref="A123:K123"/>
    <x:mergeCell ref="A149:K149"/>
    <x:mergeCell ref="A177:K177"/>
    <x:mergeCell ref="A203:K203"/>
    <x:mergeCell ref="A229:K22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2026年统计 - IH主力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2" t="n">
        <x:v>1</x:v>
      </x:c>
      <x:c r="B5" s="22" t="str">
        <x:v>周一</x:v>
      </x:c>
      <x:c r="C5" s="22" t="str">
        <x:v>1月5日</x:v>
      </x:c>
      <x:c r="D5" s="23" t="n">
        <x:v>3040.8</x:v>
      </x:c>
      <x:c r="E5" s="23" t="n">
        <x:v>3108.8</x:v>
      </x:c>
      <x:c r="F5" s="23" t="n">
        <x:v>3040.8</x:v>
      </x:c>
      <x:c r="G5" s="23" t="n">
        <x:v>3098.8</x:v>
      </x:c>
      <x:c r="H5" s="23" t="n">
        <x:v>73.8</x:v>
      </x:c>
      <x:c r="I5" s="24" t="n">
        <x:v>0.024396694214876113</x:v>
      </x:c>
      <x:c r="J5" s="26" t="n">
        <x:f>ROUND(E5-F5,1)</x:f>
        <x:v>68</x:v>
      </x:c>
      <x:c r="K5" s="22" t="str">
        <x:v>IH2603</x:v>
      </x:c>
    </x:row>
    <x:row r="6">
      <x:c r="A6" s="22" t="n">
        <x:v>2</x:v>
      </x:c>
      <x:c r="B6" s="22" t="str">
        <x:v>周二</x:v>
      </x:c>
      <x:c r="C6" s="22" t="str">
        <x:v>1月6日</x:v>
      </x:c>
      <x:c r="D6" s="23" t="n">
        <x:v>3106</x:v>
      </x:c>
      <x:c r="E6" s="23" t="n">
        <x:v>3162</x:v>
      </x:c>
      <x:c r="F6" s="23" t="n">
        <x:v>3106</x:v>
      </x:c>
      <x:c r="G6" s="23" t="n">
        <x:v>3161.8</x:v>
      </x:c>
      <x:c r="H6" s="23" t="n">
        <x:v>63</x:v>
      </x:c>
      <x:c r="I6" s="24" t="n">
        <x:v>0.02033045049696658</x:v>
      </x:c>
      <x:c r="J6" s="23" t="n">
        <x:f>ROUND(E6-F6,1)</x:f>
        <x:v>56</x:v>
      </x:c>
      <x:c r="K6" s="22" t="str">
        <x:v>IH2603</x:v>
      </x:c>
    </x:row>
    <x:row r="7">
      <x:c r="A7" s="22" t="n">
        <x:v>3</x:v>
      </x:c>
      <x:c r="B7" s="22" t="str">
        <x:v>周三</x:v>
      </x:c>
      <x:c r="C7" s="22" t="str">
        <x:v>1月7日</x:v>
      </x:c>
      <x:c r="D7" s="23" t="n">
        <x:v>3164.8</x:v>
      </x:c>
      <x:c r="E7" s="23" t="n">
        <x:v>3165.6</x:v>
      </x:c>
      <x:c r="F7" s="23" t="n">
        <x:v>3131.2</x:v>
      </x:c>
      <x:c r="G7" s="23" t="n">
        <x:v>3143.8</x:v>
      </x:c>
      <x:c r="H7" s="23" t="n">
        <x:v>-18</x:v>
      </x:c>
      <x:c r="I7" s="24" t="n">
        <x:v>-0.005692959706496303</x:v>
      </x:c>
      <x:c r="J7" s="23" t="n">
        <x:f>ROUND(E7-F7,1)</x:f>
        <x:v>34.4</x:v>
      </x:c>
      <x:c r="K7" s="22" t="str">
        <x:v>IH2603</x:v>
      </x:c>
    </x:row>
    <x:row r="8">
      <x:c r="A8" s="22" t="n">
        <x:v>4</x:v>
      </x:c>
      <x:c r="B8" s="22" t="str">
        <x:v>周四</x:v>
      </x:c>
      <x:c r="C8" s="22" t="str">
        <x:v>1月8日</x:v>
      </x:c>
      <x:c r="D8" s="23" t="n">
        <x:v>3139.6</x:v>
      </x:c>
      <x:c r="E8" s="23" t="n">
        <x:v>3142.4</x:v>
      </x:c>
      <x:c r="F8" s="23" t="n">
        <x:v>3104.8</x:v>
      </x:c>
      <x:c r="G8" s="23" t="n">
        <x:v>3122.4</x:v>
      </x:c>
      <x:c r="H8" s="23" t="n">
        <x:v>-21.4</x:v>
      </x:c>
      <x:c r="I8" s="24" t="n">
        <x:v>-0.006807048794452597</x:v>
      </x:c>
      <x:c r="J8" s="23" t="n">
        <x:f>ROUND(E8-F8,1)</x:f>
        <x:v>37.6</x:v>
      </x:c>
      <x:c r="K8" s="22" t="str">
        <x:v>IH2603</x:v>
      </x:c>
    </x:row>
    <x:row r="9">
      <x:c r="A9" s="22" t="n">
        <x:v>5</x:v>
      </x:c>
      <x:c r="B9" s="22" t="str">
        <x:v>周五</x:v>
      </x:c>
      <x:c r="C9" s="22" t="str">
        <x:v>1月9日</x:v>
      </x:c>
      <x:c r="D9" s="23" t="n">
        <x:v>3123.2</x:v>
      </x:c>
      <x:c r="E9" s="23" t="n">
        <x:v>3148.6</x:v>
      </x:c>
      <x:c r="F9" s="23" t="n">
        <x:v>3112</x:v>
      </x:c>
      <x:c r="G9" s="23" t="n">
        <x:v>3134.8</x:v>
      </x:c>
      <x:c r="H9" s="23" t="n">
        <x:v>12.4</x:v>
      </x:c>
      <x:c r="I9" s="24" t="n">
        <x:v>0.003971304125031994</x:v>
      </x:c>
      <x:c r="J9" s="23" t="n">
        <x:f>ROUND(E9-F9,1)</x:f>
        <x:v>36.6</x:v>
      </x:c>
      <x:c r="K9" s="22" t="str">
        <x:v>IH2603</x:v>
      </x:c>
    </x:row>
    <x:row r="10">
      <x:c r="A10" s="22" t="n">
        <x:v>6</x:v>
      </x:c>
      <x:c r="B10" s="22" t="str">
        <x:v>周一</x:v>
      </x:c>
      <x:c r="C10" s="22" t="str">
        <x:v>1月12日</x:v>
      </x:c>
      <x:c r="D10" s="23" t="n">
        <x:v>3148.4</x:v>
      </x:c>
      <x:c r="E10" s="23" t="n">
        <x:v>3151.6</x:v>
      </x:c>
      <x:c r="F10" s="23" t="n">
        <x:v>3122.2</x:v>
      </x:c>
      <x:c r="G10" s="23" t="n">
        <x:v>3140.2</x:v>
      </x:c>
      <x:c r="H10" s="23" t="n">
        <x:v>5.4</x:v>
      </x:c>
      <x:c r="I10" s="24" t="n">
        <x:v>0.0017225979328823193</x:v>
      </x:c>
      <x:c r="J10" s="23" t="n">
        <x:f>ROUND(E10-F10,1)</x:f>
        <x:v>29.4</x:v>
      </x:c>
      <x:c r="K10" s="22" t="str">
        <x:v>IH2603</x:v>
      </x:c>
    </x:row>
    <x:row r="11">
      <x:c r="A11" s="22" t="n">
        <x:v>7</x:v>
      </x:c>
      <x:c r="B11" s="22" t="str">
        <x:v>周二</x:v>
      </x:c>
      <x:c r="C11" s="22" t="str">
        <x:v>1月13日</x:v>
      </x:c>
      <x:c r="D11" s="23" t="n">
        <x:v>3150</x:v>
      </x:c>
      <x:c r="E11" s="23" t="n">
        <x:v>3181.2</x:v>
      </x:c>
      <x:c r="F11" s="23" t="n">
        <x:v>3125</x:v>
      </x:c>
      <x:c r="G11" s="23" t="n">
        <x:v>3137.6</x:v>
      </x:c>
      <x:c r="H11" s="23" t="n">
        <x:v>-2.6</x:v>
      </x:c>
      <x:c r="I11" s="24" t="n">
        <x:v>-0.0008279727405897663</x:v>
      </x:c>
      <x:c r="J11" s="23" t="n">
        <x:f>ROUND(E11-F11,1)</x:f>
        <x:v>56.2</x:v>
      </x:c>
      <x:c r="K11" s="22" t="str">
        <x:v>IH2603</x:v>
      </x:c>
    </x:row>
    <x:row r="12">
      <x:c r="A12" s="22" t="n">
        <x:v>8</x:v>
      </x:c>
      <x:c r="B12" s="22" t="str">
        <x:v>周三</x:v>
      </x:c>
      <x:c r="C12" s="22" t="str">
        <x:v>1月14日</x:v>
      </x:c>
      <x:c r="D12" s="23" t="n">
        <x:v>3143.4</x:v>
      </x:c>
      <x:c r="E12" s="23" t="n">
        <x:v>3177.8</x:v>
      </x:c>
      <x:c r="F12" s="23" t="n">
        <x:v>3101</x:v>
      </x:c>
      <x:c r="G12" s="23" t="n">
        <x:v>3114</x:v>
      </x:c>
      <x:c r="H12" s="23" t="n">
        <x:v>-23.6</x:v>
      </x:c>
      <x:c r="I12" s="24" t="n">
        <x:v>-0.0075216726160122205</x:v>
      </x:c>
      <x:c r="J12" s="26" t="n">
        <x:f>ROUND(E12-F12,1)</x:f>
        <x:v>76.8</x:v>
      </x:c>
      <x:c r="K12" s="22" t="str">
        <x:v>IH2603</x:v>
      </x:c>
    </x:row>
    <x:row r="13">
      <x:c r="A13" s="22" t="n">
        <x:v>9</x:v>
      </x:c>
      <x:c r="B13" s="22" t="str">
        <x:v>周四</x:v>
      </x:c>
      <x:c r="C13" s="22" t="str">
        <x:v>1月15日</x:v>
      </x:c>
      <x:c r="D13" s="23" t="n">
        <x:v>3109</x:v>
      </x:c>
      <x:c r="E13" s="23" t="n">
        <x:v>3132.4</x:v>
      </x:c>
      <x:c r="F13" s="23" t="n">
        <x:v>3098.6</x:v>
      </x:c>
      <x:c r="G13" s="23" t="n">
        <x:v>3108</x:v>
      </x:c>
      <x:c r="H13" s="23" t="n">
        <x:v>-6</x:v>
      </x:c>
      <x:c r="I13" s="24" t="n">
        <x:v>-0.0019267822736031004</x:v>
      </x:c>
      <x:c r="J13" s="23" t="n">
        <x:f>ROUND(E13-F13,1)</x:f>
        <x:v>33.8</x:v>
      </x:c>
      <x:c r="K13" s="22" t="str">
        <x:v>IH2603</x:v>
      </x:c>
    </x:row>
    <x:row r="14">
      <x:c r="A14" s="41" t="n">
        <x:v>10</x:v>
      </x:c>
      <x:c r="B14" s="41" t="str">
        <x:v>周五</x:v>
      </x:c>
      <x:c r="C14" s="41" t="str">
        <x:v>1月16日</x:v>
      </x:c>
      <x:c r="D14" s="42" t="n">
        <x:v>3121</x:v>
      </x:c>
      <x:c r="E14" s="42" t="n">
        <x:v>3133</x:v>
      </x:c>
      <x:c r="F14" s="42" t="n">
        <x:v>3074.4</x:v>
      </x:c>
      <x:c r="G14" s="42" t="n">
        <x:v>3084.4</x:v>
      </x:c>
      <x:c r="H14" s="42" t="n">
        <x:v>-23.6</x:v>
      </x:c>
      <x:c r="I14" s="43" t="n">
        <x:v>-0.007593307593307563</x:v>
      </x:c>
      <x:c r="J14" s="42" t="n">
        <x:f>ROUND(E14-F14,1)</x:f>
        <x:v>58.6</x:v>
      </x:c>
      <x:c r="K14" s="41" t="str">
        <x:v>IH2603</x:v>
      </x:c>
    </x:row>
    <x:row r="15">
      <x:c r="A15" s="22" t="n">
        <x:v>11</x:v>
      </x:c>
      <x:c r="B15" s="22" t="str">
        <x:v>周一</x:v>
      </x:c>
      <x:c r="C15" s="22" t="str">
        <x:v>1月19日</x:v>
      </x:c>
      <x:c r="D15" s="23" t="n">
        <x:v>3081.2</x:v>
      </x:c>
      <x:c r="E15" s="23" t="n">
        <x:v>3102.6</x:v>
      </x:c>
      <x:c r="F15" s="23" t="n">
        <x:v>3072</x:v>
      </x:c>
      <x:c r="G15" s="23" t="n">
        <x:v>3077.6</x:v>
      </x:c>
      <x:c r="H15" s="23" t="n">
        <x:v>-6.8</x:v>
      </x:c>
      <x:c r="I15" s="24" t="n">
        <x:v>-0.0022046427181948713</x:v>
      </x:c>
      <x:c r="J15" s="23" t="n">
        <x:f>ROUND(E15-F15,1)</x:f>
        <x:v>30.6</x:v>
      </x:c>
      <x:c r="K15" s="22" t="str">
        <x:v>IH2603</x:v>
      </x:c>
    </x:row>
    <x:row r="16">
      <x:c r="A16" s="22" t="n">
        <x:v>12</x:v>
      </x:c>
      <x:c r="B16" s="22" t="str">
        <x:v>周二</x:v>
      </x:c>
      <x:c r="C16" s="22" t="str">
        <x:v>1月20日</x:v>
      </x:c>
      <x:c r="D16" s="23" t="n">
        <x:v>3083</x:v>
      </x:c>
      <x:c r="E16" s="23" t="n">
        <x:v>3092</x:v>
      </x:c>
      <x:c r="F16" s="23" t="n">
        <x:v>3061</x:v>
      </x:c>
      <x:c r="G16" s="23" t="n">
        <x:v>3075.4</x:v>
      </x:c>
      <x:c r="H16" s="23" t="n">
        <x:v>-2.2</x:v>
      </x:c>
      <x:c r="I16" s="24" t="n">
        <x:v>-0.0007148427345983199</x:v>
      </x:c>
      <x:c r="J16" s="23" t="n">
        <x:f>ROUND(E16-F16,1)</x:f>
        <x:v>31</x:v>
      </x:c>
      <x:c r="K16" s="22" t="str">
        <x:v>IH2603</x:v>
      </x:c>
    </x:row>
    <x:row r="17">
      <x:c r="A17" s="22" t="n">
        <x:v>13</x:v>
      </x:c>
      <x:c r="B17" s="22" t="str">
        <x:v>周三</x:v>
      </x:c>
      <x:c r="C17" s="22" t="str">
        <x:v>1月21日</x:v>
      </x:c>
      <x:c r="D17" s="23" t="n">
        <x:v>3077</x:v>
      </x:c>
      <x:c r="E17" s="23" t="n">
        <x:v>3102.6</x:v>
      </x:c>
      <x:c r="F17" s="23" t="n">
        <x:v>3068</x:v>
      </x:c>
      <x:c r="G17" s="23" t="n">
        <x:v>3073.6</x:v>
      </x:c>
      <x:c r="H17" s="23" t="n">
        <x:v>-1.8</x:v>
      </x:c>
      <x:c r="I17" s="24" t="n">
        <x:v>-0.0005852897184106531</x:v>
      </x:c>
      <x:c r="J17" s="23" t="n">
        <x:f>ROUND(E17-F17,1)</x:f>
        <x:v>34.6</x:v>
      </x:c>
      <x:c r="K17" s="22" t="str">
        <x:v>IH2603</x:v>
      </x:c>
    </x:row>
    <x:row r="18">
      <x:c r="A18" s="22" t="n">
        <x:v>14</x:v>
      </x:c>
      <x:c r="B18" s="22" t="str">
        <x:v>周四</x:v>
      </x:c>
      <x:c r="C18" s="22" t="str">
        <x:v>1月22日</x:v>
      </x:c>
      <x:c r="D18" s="23" t="n">
        <x:v>3085</x:v>
      </x:c>
      <x:c r="E18" s="23" t="n">
        <x:v>3093.8</x:v>
      </x:c>
      <x:c r="F18" s="23" t="n">
        <x:v>3052.8</x:v>
      </x:c>
      <x:c r="G18" s="23" t="n">
        <x:v>3061.2</x:v>
      </x:c>
      <x:c r="H18" s="23" t="n">
        <x:v>-12.4</x:v>
      </x:c>
      <x:c r="I18" s="24" t="n">
        <x:v>-0.0040343571056741245</x:v>
      </x:c>
      <x:c r="J18" s="23" t="n">
        <x:f>ROUND(E18-F18,1)</x:f>
        <x:v>41</x:v>
      </x:c>
      <x:c r="K18" s="22" t="str">
        <x:v>IH2603</x:v>
      </x:c>
    </x:row>
    <x:row r="19">
      <x:c r="A19" s="22" t="n">
        <x:v>15</x:v>
      </x:c>
      <x:c r="B19" s="22" t="str">
        <x:v>周五</x:v>
      </x:c>
      <x:c r="C19" s="22" t="str">
        <x:v>1月23日</x:v>
      </x:c>
      <x:c r="D19" s="23" t="n">
        <x:v>3069</x:v>
      </x:c>
      <x:c r="E19" s="23" t="n">
        <x:v>3072.6</x:v>
      </x:c>
      <x:c r="F19" s="23" t="n">
        <x:v>3036.2</x:v>
      </x:c>
      <x:c r="G19" s="23" t="n">
        <x:v>3037.8</x:v>
      </x:c>
      <x:c r="H19" s="23" t="n">
        <x:v>-23.4</x:v>
      </x:c>
      <x:c r="I19" s="24" t="n">
        <x:v>-0.007644061152489057</x:v>
      </x:c>
      <x:c r="J19" s="23" t="n">
        <x:f>ROUND(E19-F19,1)</x:f>
        <x:v>36.4</x:v>
      </x:c>
      <x:c r="K19" s="22" t="str">
        <x:v>IH2603</x:v>
      </x:c>
    </x:row>
    <x:row r="20">
      <x:c r="A20" s="22" t="n">
        <x:v>16</x:v>
      </x:c>
      <x:c r="B20" s="22" t="str">
        <x:v>周一</x:v>
      </x:c>
      <x:c r="C20" s="22" t="str">
        <x:v>1月26日</x:v>
      </x:c>
      <x:c r="D20" s="23" t="n">
        <x:v>3049.8</x:v>
      </x:c>
      <x:c r="E20" s="23" t="n">
        <x:v>3099.8</x:v>
      </x:c>
      <x:c r="F20" s="23" t="n">
        <x:v>3045</x:v>
      </x:c>
      <x:c r="G20" s="23" t="n">
        <x:v>3058.2</x:v>
      </x:c>
      <x:c r="H20" s="23" t="n">
        <x:v>20.4</x:v>
      </x:c>
      <x:c r="I20" s="24" t="n">
        <x:v>0.006715386134702683</x:v>
      </x:c>
      <x:c r="J20" s="23" t="n">
        <x:f>ROUND(E20-F20,1)</x:f>
        <x:v>54.8</x:v>
      </x:c>
      <x:c r="K20" s="22" t="str">
        <x:v>IH2603</x:v>
      </x:c>
    </x:row>
    <x:row r="21">
      <x:c r="A21" s="22" t="n">
        <x:v>17</x:v>
      </x:c>
      <x:c r="B21" s="22" t="str">
        <x:v>周二</x:v>
      </x:c>
      <x:c r="C21" s="22" t="str">
        <x:v>1月27日</x:v>
      </x:c>
      <x:c r="D21" s="23" t="n">
        <x:v>3060</x:v>
      </x:c>
      <x:c r="E21" s="23" t="n">
        <x:v>3086.8</x:v>
      </x:c>
      <x:c r="F21" s="23" t="n">
        <x:v>3050.6</x:v>
      </x:c>
      <x:c r="G21" s="23" t="n">
        <x:v>3064</x:v>
      </x:c>
      <x:c r="H21" s="23" t="n">
        <x:v>5.8</x:v>
      </x:c>
      <x:c r="I21" s="24" t="n">
        <x:v>0.0018965404486299686</x:v>
      </x:c>
      <x:c r="J21" s="23" t="n">
        <x:f>ROUND(E21-F21,1)</x:f>
        <x:v>36.2</x:v>
      </x:c>
      <x:c r="K21" s="22" t="str">
        <x:v>IH2603</x:v>
      </x:c>
    </x:row>
    <x:row r="22">
      <x:c r="A22" s="22" t="n">
        <x:v>18</x:v>
      </x:c>
      <x:c r="B22" s="22" t="str">
        <x:v>周三</x:v>
      </x:c>
      <x:c r="C22" s="22" t="str">
        <x:v>1月28日</x:v>
      </x:c>
      <x:c r="D22" s="23" t="n">
        <x:v>3069</x:v>
      </x:c>
      <x:c r="E22" s="23" t="n">
        <x:v>3079.8</x:v>
      </x:c>
      <x:c r="F22" s="23" t="n">
        <x:v>3058.6</x:v>
      </x:c>
      <x:c r="G22" s="23" t="n">
        <x:v>3069.8</x:v>
      </x:c>
      <x:c r="H22" s="23" t="n">
        <x:v>5.8</x:v>
      </x:c>
      <x:c r="I22" s="24" t="n">
        <x:v>0.001892950391644943</x:v>
      </x:c>
      <x:c r="J22" s="23" t="n">
        <x:f>ROUND(E22-F22,1)</x:f>
        <x:v>21.2</x:v>
      </x:c>
      <x:c r="K22" s="22" t="str">
        <x:v>IH2603</x:v>
      </x:c>
    </x:row>
    <x:row r="23">
      <x:c r="A23" s="22" t="n">
        <x:v>19</x:v>
      </x:c>
      <x:c r="B23" s="22" t="str">
        <x:v>周四</x:v>
      </x:c>
      <x:c r="C23" s="22" t="str">
        <x:v>1月29日</x:v>
      </x:c>
      <x:c r="D23" s="23" t="n">
        <x:v>3074</x:v>
      </x:c>
      <x:c r="E23" s="23" t="n">
        <x:v>3136.6</x:v>
      </x:c>
      <x:c r="F23" s="23" t="n">
        <x:v>3061.2</x:v>
      </x:c>
      <x:c r="G23" s="23" t="n">
        <x:v>3130.4</x:v>
      </x:c>
      <x:c r="H23" s="23" t="n">
        <x:v>60.6</x:v>
      </x:c>
      <x:c r="I23" s="24" t="n">
        <x:v>0.019740699719851484</x:v>
      </x:c>
      <x:c r="J23" s="26" t="n">
        <x:f>ROUND(E23-F23,1)</x:f>
        <x:v>75.4</x:v>
      </x:c>
      <x:c r="K23" s="22" t="str">
        <x:v>IH2603</x:v>
      </x:c>
    </x:row>
    <x:row r="24">
      <x:c r="A24" s="22" t="n">
        <x:v>20</x:v>
      </x:c>
      <x:c r="B24" s="22" t="str">
        <x:v>周五</x:v>
      </x:c>
      <x:c r="C24" s="22" t="str">
        <x:v>1月30日</x:v>
      </x:c>
      <x:c r="D24" s="23" t="n">
        <x:v>3103</x:v>
      </x:c>
      <x:c r="E24" s="23" t="n">
        <x:v>3128.4</x:v>
      </x:c>
      <x:c r="F24" s="23" t="n">
        <x:v>3044</x:v>
      </x:c>
      <x:c r="G24" s="23" t="n">
        <x:v>3074</x:v>
      </x:c>
      <x:c r="H24" s="23" t="n">
        <x:v>-56.4</x:v>
      </x:c>
      <x:c r="I24" s="24" t="n">
        <x:v>-0.01801686685407622</x:v>
      </x:c>
      <x:c r="J24" s="26" t="n">
        <x:f>ROUND(E24-F24,1)</x:f>
        <x:v>84.4</x:v>
      </x:c>
      <x:c r="K24" s="22" t="str">
        <x:v>IH2603</x:v>
      </x:c>
    </x:row>
    <x:row r="25">
      <x:c r="A25" s="31" t="str">
        <x:v>合计</x:v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2" t="n">
        <x:f>ROUND(SUM(J5:J24),1)</x:f>
        <x:v>933</x:v>
      </x:c>
      <x:c r="K25" s="30"/>
    </x:row>
    <x:row r="26">
      <x:c r="A26" s="31" t="str">
        <x:v>均值</x:v>
      </x:c>
      <x:c r="B26" s="30"/>
      <x:c r="C26" s="30"/>
      <x:c r="D26" s="30"/>
      <x:c r="E26" s="30"/>
      <x:c r="F26" s="30"/>
      <x:c r="G26" s="30"/>
      <x:c r="H26" s="30"/>
      <x:c r="I26" s="30"/>
      <x:c r="J26" s="34" t="n">
        <x:f>ROUND(IFERROR(AVERAGE(J5:J24),0),1)</x:f>
        <x:v>46.7</x:v>
      </x:c>
      <x:c r="K26" s="30"/>
    </x:row>
    <x:row r="28">
      <x:c r="A28" s="17" t="str">
        <x:v>2月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20" t="str">
        <x:v>序号</x:v>
      </x:c>
      <x:c r="B29" s="20" t="str">
        <x:v>星期</x:v>
      </x:c>
      <x:c r="C29" s="20" t="str">
        <x:v>日期</x:v>
      </x:c>
      <x:c r="D29" s="20" t="str">
        <x:v>开盘</x:v>
      </x:c>
      <x:c r="E29" s="20" t="str">
        <x:v>高点</x:v>
      </x:c>
      <x:c r="F29" s="20" t="str">
        <x:v>低点</x:v>
      </x:c>
      <x:c r="G29" s="20" t="str">
        <x:v>收盘</x:v>
      </x:c>
      <x:c r="H29" s="20" t="str">
        <x:v>涨跌点数</x:v>
      </x:c>
      <x:c r="I29" s="20" t="str">
        <x:v>涨幅</x:v>
      </x:c>
      <x:c r="J29" s="20" t="str">
        <x:v>振幅</x:v>
      </x:c>
      <x:c r="K29" s="20" t="str">
        <x:v>标的</x:v>
      </x:c>
    </x:row>
    <x:row r="30">
      <x:c r="A30" s="22" t="n">
        <x:v>1</x:v>
      </x:c>
      <x:c r="B30" s="22" t="str">
        <x:v>周一</x:v>
      </x:c>
      <x:c r="C30" s="22" t="str">
        <x:v>2月2日</x:v>
      </x:c>
      <x:c r="D30" s="23" t="n">
        <x:v>3039.4</x:v>
      </x:c>
      <x:c r="E30" s="23" t="n">
        <x:v>3081</x:v>
      </x:c>
      <x:c r="F30" s="23" t="n">
        <x:v>2984</x:v>
      </x:c>
      <x:c r="G30" s="23" t="n">
        <x:v>3004.2</x:v>
      </x:c>
      <x:c r="H30" s="23" t="n">
        <x:v>-69.8</x:v>
      </x:c>
      <x:c r="I30" s="24" t="n">
        <x:v>-0.022706571242680607</x:v>
      </x:c>
      <x:c r="J30" s="26" t="n">
        <x:f>ROUND(E30-F30,1)</x:f>
        <x:v>97</x:v>
      </x:c>
      <x:c r="K30" s="22" t="str">
        <x:v>IH2603</x:v>
      </x:c>
    </x:row>
    <x:row r="31">
      <x:c r="A31" s="22" t="n">
        <x:v>2</x:v>
      </x:c>
      <x:c r="B31" s="22" t="str">
        <x:v>周二</x:v>
      </x:c>
      <x:c r="C31" s="22" t="str">
        <x:v>2月3日</x:v>
      </x:c>
      <x:c r="D31" s="23" t="n">
        <x:v>3030</x:v>
      </x:c>
      <x:c r="E31" s="23" t="n">
        <x:v>3036.6</x:v>
      </x:c>
      <x:c r="F31" s="23" t="n">
        <x:v>2987.6</x:v>
      </x:c>
      <x:c r="G31" s="23" t="n">
        <x:v>3033</x:v>
      </x:c>
      <x:c r="H31" s="23" t="n">
        <x:v>28.8</x:v>
      </x:c>
      <x:c r="I31" s="24" t="n">
        <x:v>0.009586578789694489</x:v>
      </x:c>
      <x:c r="J31" s="23" t="n">
        <x:f>ROUND(E31-F31,1)</x:f>
        <x:v>49</x:v>
      </x:c>
      <x:c r="K31" s="22" t="str">
        <x:v>IH2603</x:v>
      </x:c>
    </x:row>
    <x:row r="32">
      <x:c r="A32" s="22" t="n">
        <x:v>3</x:v>
      </x:c>
      <x:c r="B32" s="22" t="str">
        <x:v>周三</x:v>
      </x:c>
      <x:c r="C32" s="22" t="str">
        <x:v>2月4日</x:v>
      </x:c>
      <x:c r="D32" s="23" t="n">
        <x:v>3033</x:v>
      </x:c>
      <x:c r="E32" s="23" t="n">
        <x:v>3074.4</x:v>
      </x:c>
      <x:c r="F32" s="23" t="n">
        <x:v>3027.6</x:v>
      </x:c>
      <x:c r="G32" s="23" t="n">
        <x:v>3071.8</x:v>
      </x:c>
      <x:c r="H32" s="23" t="n">
        <x:v>38.8</x:v>
      </x:c>
      <x:c r="I32" s="24" t="n">
        <x:v>0.012792614573030159</x:v>
      </x:c>
      <x:c r="J32" s="23" t="n">
        <x:f>ROUND(E32-F32,1)</x:f>
        <x:v>46.8</x:v>
      </x:c>
      <x:c r="K32" s="22" t="str">
        <x:v>IH2603</x:v>
      </x:c>
    </x:row>
    <x:row r="33">
      <x:c r="A33" s="22" t="n">
        <x:v>4</x:v>
      </x:c>
      <x:c r="B33" s="22" t="str">
        <x:v>周四</x:v>
      </x:c>
      <x:c r="C33" s="22" t="str">
        <x:v>2月5日</x:v>
      </x:c>
      <x:c r="D33" s="23" t="n">
        <x:v>3053</x:v>
      </x:c>
      <x:c r="E33" s="23" t="n">
        <x:v>3071.8</x:v>
      </x:c>
      <x:c r="F33" s="23" t="n">
        <x:v>3030.6</x:v>
      </x:c>
      <x:c r="G33" s="23" t="n">
        <x:v>3061.4</x:v>
      </x:c>
      <x:c r="H33" s="23" t="n">
        <x:v>-10.4</x:v>
      </x:c>
      <x:c r="I33" s="24" t="n">
        <x:v>-0.0033856370857477947</x:v>
      </x:c>
      <x:c r="J33" s="23" t="n">
        <x:f>ROUND(E33-F33,1)</x:f>
        <x:v>41.2</x:v>
      </x:c>
      <x:c r="K33" s="22" t="str">
        <x:v>IH2603</x:v>
      </x:c>
    </x:row>
    <x:row r="34">
      <x:c r="A34" s="22" t="n">
        <x:v>5</x:v>
      </x:c>
      <x:c r="B34" s="22" t="str">
        <x:v>周五</x:v>
      </x:c>
      <x:c r="C34" s="22" t="str">
        <x:v>2月6日</x:v>
      </x:c>
      <x:c r="D34" s="23" t="n">
        <x:v>3030</x:v>
      </x:c>
      <x:c r="E34" s="23" t="n">
        <x:v>3060</x:v>
      </x:c>
      <x:c r="F34" s="23" t="n">
        <x:v>3013.6</x:v>
      </x:c>
      <x:c r="G34" s="23" t="n">
        <x:v>3036.2</x:v>
      </x:c>
      <x:c r="H34" s="23" t="n">
        <x:v>-25.2</x:v>
      </x:c>
      <x:c r="I34" s="24" t="n">
        <x:v>-0.008231528059058024</x:v>
      </x:c>
      <x:c r="J34" s="23" t="n">
        <x:f>ROUND(E34-F34,1)</x:f>
        <x:v>46.4</x:v>
      </x:c>
      <x:c r="K34" s="22" t="str">
        <x:v>IH2603</x:v>
      </x:c>
    </x:row>
    <x:row r="35">
      <x:c r="A35" s="22" t="n">
        <x:v>6</x:v>
      </x:c>
      <x:c r="B35" s="22" t="str">
        <x:v>周一</x:v>
      </x:c>
      <x:c r="C35" s="22" t="str">
        <x:v>2月9日</x:v>
      </x:c>
      <x:c r="D35" s="23" t="n">
        <x:v>3060.6</x:v>
      </x:c>
      <x:c r="E35" s="23" t="n">
        <x:v>3086.8</x:v>
      </x:c>
      <x:c r="F35" s="23" t="n">
        <x:v>3058.2</x:v>
      </x:c>
      <x:c r="G35" s="23" t="n">
        <x:v>3084</x:v>
      </x:c>
      <x:c r="H35" s="23" t="n">
        <x:v>47.8</x:v>
      </x:c>
      <x:c r="I35" s="24" t="n">
        <x:v>0.015743363414794764</x:v>
      </x:c>
      <x:c r="J35" s="23" t="n">
        <x:f>ROUND(E35-F35,1)</x:f>
        <x:v>28.6</x:v>
      </x:c>
      <x:c r="K35" s="22" t="str">
        <x:v>IH2603</x:v>
      </x:c>
    </x:row>
    <x:row r="36">
      <x:c r="A36" s="22" t="n">
        <x:v>7</x:v>
      </x:c>
      <x:c r="B36" s="22" t="str">
        <x:v>周二</x:v>
      </x:c>
      <x:c r="C36" s="22" t="str">
        <x:v>2月10日</x:v>
      </x:c>
      <x:c r="D36" s="23" t="n">
        <x:v>3086</x:v>
      </x:c>
      <x:c r="E36" s="23" t="n">
        <x:v>3095</x:v>
      </x:c>
      <x:c r="F36" s="23" t="n">
        <x:v>3083.4</x:v>
      </x:c>
      <x:c r="G36" s="23" t="n">
        <x:v>3093.6</x:v>
      </x:c>
      <x:c r="H36" s="23" t="n">
        <x:v>9.6</x:v>
      </x:c>
      <x:c r="I36" s="24" t="n">
        <x:v>0.003112840466926059</x:v>
      </x:c>
      <x:c r="J36" s="23" t="n">
        <x:f>ROUND(E36-F36,1)</x:f>
        <x:v>11.6</x:v>
      </x:c>
      <x:c r="K36" s="22" t="str">
        <x:v>IH2603</x:v>
      </x:c>
    </x:row>
    <x:row r="37">
      <x:c r="A37" s="22" t="n">
        <x:v>8</x:v>
      </x:c>
      <x:c r="B37" s="22" t="str">
        <x:v>周三</x:v>
      </x:c>
      <x:c r="C37" s="22" t="str">
        <x:v>2月11日</x:v>
      </x:c>
      <x:c r="D37" s="23" t="n">
        <x:v>3088.2</x:v>
      </x:c>
      <x:c r="E37" s="23" t="n">
        <x:v>3096.4</x:v>
      </x:c>
      <x:c r="F37" s="23" t="n">
        <x:v>3078.6</x:v>
      </x:c>
      <x:c r="G37" s="23" t="n">
        <x:v>3091.4</x:v>
      </x:c>
      <x:c r="H37" s="23" t="n">
        <x:v>-2.2</x:v>
      </x:c>
      <x:c r="I37" s="24" t="n">
        <x:v>-0.0007111455908972442</x:v>
      </x:c>
      <x:c r="J37" s="23" t="n">
        <x:f>ROUND(E37-F37,1)</x:f>
        <x:v>17.8</x:v>
      </x:c>
      <x:c r="K37" s="22" t="str">
        <x:v>IH2603</x:v>
      </x:c>
    </x:row>
    <x:row r="38">
      <x:c r="A38" s="22" t="n">
        <x:v>9</x:v>
      </x:c>
      <x:c r="B38" s="22" t="str">
        <x:v>周四</x:v>
      </x:c>
      <x:c r="C38" s="22" t="str">
        <x:v>2月12日</x:v>
      </x:c>
      <x:c r="D38" s="23" t="n">
        <x:v>3095</x:v>
      </x:c>
      <x:c r="E38" s="23" t="n">
        <x:v>3098</x:v>
      </x:c>
      <x:c r="F38" s="23" t="n">
        <x:v>3080.8</x:v>
      </x:c>
      <x:c r="G38" s="23" t="n">
        <x:v>3083</x:v>
      </x:c>
      <x:c r="H38" s="23" t="n">
        <x:v>-8.4</x:v>
      </x:c>
      <x:c r="I38" s="24" t="n">
        <x:v>-0.002717215501067516</x:v>
      </x:c>
      <x:c r="J38" s="23" t="n">
        <x:f>ROUND(E38-F38,1)</x:f>
        <x:v>17.2</x:v>
      </x:c>
      <x:c r="K38" s="22" t="str">
        <x:v>IH2603</x:v>
      </x:c>
    </x:row>
    <x:row r="39">
      <x:c r="A39" s="22" t="n">
        <x:v>10</x:v>
      </x:c>
      <x:c r="B39" s="22" t="str">
        <x:v>周五</x:v>
      </x:c>
      <x:c r="C39" s="22" t="str">
        <x:v>2月13日</x:v>
      </x:c>
      <x:c r="D39" s="23" t="n">
        <x:v>3070</x:v>
      </x:c>
      <x:c r="E39" s="23" t="n">
        <x:v>3072.2</x:v>
      </x:c>
      <x:c r="F39" s="23" t="n">
        <x:v>3020</x:v>
      </x:c>
      <x:c r="G39" s="23" t="n">
        <x:v>3020</x:v>
      </x:c>
      <x:c r="H39" s="23" t="n">
        <x:v>-63</x:v>
      </x:c>
      <x:c r="I39" s="24" t="n">
        <x:v>-0.02043464158287378</x:v>
      </x:c>
      <x:c r="J39" s="23" t="n">
        <x:f>ROUND(E39-F39,1)</x:f>
        <x:v>52.2</x:v>
      </x:c>
      <x:c r="K39" s="22" t="str">
        <x:v>IH2603</x:v>
      </x:c>
    </x:row>
    <x:row r="40">
      <x:c r="A40" s="41" t="n">
        <x:v>11</x:v>
      </x:c>
      <x:c r="B40" s="41" t="str">
        <x:v>周二</x:v>
      </x:c>
      <x:c r="C40" s="41" t="str">
        <x:v>2月24日</x:v>
      </x:c>
      <x:c r="D40" s="42" t="n">
        <x:v>3049.2</x:v>
      </x:c>
      <x:c r="E40" s="42" t="n">
        <x:v>3055.4</x:v>
      </x:c>
      <x:c r="F40" s="42" t="n">
        <x:v>3033.6</x:v>
      </x:c>
      <x:c r="G40" s="42" t="n">
        <x:v>3037.4</x:v>
      </x:c>
      <x:c r="H40" s="42" t="n">
        <x:v>17.4</x:v>
      </x:c>
      <x:c r="I40" s="43" t="n">
        <x:v>0.005761589403973533</x:v>
      </x:c>
      <x:c r="J40" s="42" t="n">
        <x:f>ROUND(E40-F40,1)</x:f>
        <x:v>21.8</x:v>
      </x:c>
      <x:c r="K40" s="41" t="str">
        <x:v>IH2603</x:v>
      </x:c>
    </x:row>
    <x:row r="41">
      <x:c r="A41" s="22" t="n">
        <x:v>12</x:v>
      </x:c>
      <x:c r="B41" s="22" t="str">
        <x:v>周三</x:v>
      </x:c>
      <x:c r="C41" s="22" t="str">
        <x:v>2月25日</x:v>
      </x:c>
      <x:c r="D41" s="23" t="n">
        <x:v>3044.8</x:v>
      </x:c>
      <x:c r="E41" s="23" t="n">
        <x:v>3086.4</x:v>
      </x:c>
      <x:c r="F41" s="23" t="n">
        <x:v>3041.4</x:v>
      </x:c>
      <x:c r="G41" s="23" t="n">
        <x:v>3058.2</x:v>
      </x:c>
      <x:c r="H41" s="23" t="n">
        <x:v>20.8</x:v>
      </x:c>
      <x:c r="I41" s="24" t="n">
        <x:v>0.006847962072825453</x:v>
      </x:c>
      <x:c r="J41" s="23" t="n">
        <x:f>ROUND(E41-F41,1)</x:f>
        <x:v>45</x:v>
      </x:c>
      <x:c r="K41" s="22" t="str">
        <x:v>IH2603</x:v>
      </x:c>
    </x:row>
    <x:row r="42">
      <x:c r="A42" s="22" t="n">
        <x:v>13</x:v>
      </x:c>
      <x:c r="B42" s="22" t="str">
        <x:v>周四</x:v>
      </x:c>
      <x:c r="C42" s="22" t="str">
        <x:v>2月26日</x:v>
      </x:c>
      <x:c r="D42" s="23" t="n">
        <x:v>3063.8</x:v>
      </x:c>
      <x:c r="E42" s="23" t="n">
        <x:v>3065</x:v>
      </x:c>
      <x:c r="F42" s="23" t="n">
        <x:v>3022</x:v>
      </x:c>
      <x:c r="G42" s="23" t="n">
        <x:v>3034.6</x:v>
      </x:c>
      <x:c r="H42" s="23" t="n">
        <x:v>-23.6</x:v>
      </x:c>
      <x:c r="I42" s="24" t="n">
        <x:v>-0.007716957687528558</x:v>
      </x:c>
      <x:c r="J42" s="23" t="n">
        <x:f>ROUND(E42-F42,1)</x:f>
        <x:v>43</x:v>
      </x:c>
      <x:c r="K42" s="22" t="str">
        <x:v>IH2603</x:v>
      </x:c>
    </x:row>
    <x:row r="43">
      <x:c r="A43" s="22" t="n">
        <x:v>14</x:v>
      </x:c>
      <x:c r="B43" s="22" t="str">
        <x:v>周五</x:v>
      </x:c>
      <x:c r="C43" s="22" t="str">
        <x:v>2月27日</x:v>
      </x:c>
      <x:c r="D43" s="23" t="n">
        <x:v>3030</x:v>
      </x:c>
      <x:c r="E43" s="23" t="n">
        <x:v>3051.2</x:v>
      </x:c>
      <x:c r="F43" s="23" t="n">
        <x:v>3027</x:v>
      </x:c>
      <x:c r="G43" s="23" t="n">
        <x:v>3045.4</x:v>
      </x:c>
      <x:c r="H43" s="23" t="n">
        <x:v>10.8</x:v>
      </x:c>
      <x:c r="I43" s="24" t="n">
        <x:v>0.003558953404073195</x:v>
      </x:c>
      <x:c r="J43" s="23" t="n">
        <x:f>ROUND(E43-F43,1)</x:f>
        <x:v>24.2</x:v>
      </x:c>
      <x:c r="K43" s="22" t="str">
        <x:v>IH2603</x:v>
      </x:c>
    </x:row>
    <x:row r="44">
      <x:c r="A44" s="31" t="str">
        <x:v>合计</x:v>
      </x:c>
      <x:c r="B44" s="30" t="n">
        <x:v>14</x:v>
      </x:c>
      <x:c r="C44" s="30"/>
      <x:c r="D44" s="30"/>
      <x:c r="E44" s="30"/>
      <x:c r="F44" s="30"/>
      <x:c r="G44" s="30"/>
      <x:c r="H44" s="30"/>
      <x:c r="I44" s="30"/>
      <x:c r="J44" s="32" t="n">
        <x:f>ROUND(SUM(J30:J43),1)</x:f>
        <x:v>541.8</x:v>
      </x:c>
      <x:c r="K44" s="30"/>
    </x:row>
    <x:row r="45">
      <x:c r="A45" s="31" t="str">
        <x:v>均值</x:v>
      </x:c>
      <x:c r="B45" s="30"/>
      <x:c r="C45" s="30"/>
      <x:c r="D45" s="30"/>
      <x:c r="E45" s="30"/>
      <x:c r="F45" s="30"/>
      <x:c r="G45" s="30"/>
      <x:c r="H45" s="30"/>
      <x:c r="I45" s="30"/>
      <x:c r="J45" s="34" t="n">
        <x:f>ROUND(IFERROR(AVERAGE(J30:J43),0),1)</x:f>
        <x:v>38.7</x:v>
      </x:c>
      <x:c r="K45" s="30"/>
    </x:row>
    <x:row r="47">
      <x:c r="A47" s="17" t="str">
        <x:v>3月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20" t="str">
        <x:v>序号</x:v>
      </x:c>
      <x:c r="B48" s="20" t="str">
        <x:v>星期</x:v>
      </x:c>
      <x:c r="C48" s="20" t="str">
        <x:v>日期</x:v>
      </x:c>
      <x:c r="D48" s="20" t="str">
        <x:v>开盘</x:v>
      </x:c>
      <x:c r="E48" s="20" t="str">
        <x:v>高点</x:v>
      </x:c>
      <x:c r="F48" s="20" t="str">
        <x:v>低点</x:v>
      </x:c>
      <x:c r="G48" s="20" t="str">
        <x:v>收盘</x:v>
      </x:c>
      <x:c r="H48" s="20" t="str">
        <x:v>涨跌点数</x:v>
      </x:c>
      <x:c r="I48" s="20" t="str">
        <x:v>涨幅</x:v>
      </x:c>
      <x:c r="J48" s="20" t="str">
        <x:v>振幅</x:v>
      </x:c>
      <x:c r="K48" s="20" t="str">
        <x:v>标的</x:v>
      </x:c>
    </x:row>
    <x:row r="49">
      <x:c r="A49" s="22" t="n">
        <x:v>1</x:v>
      </x:c>
      <x:c r="B49" s="22" t="str">
        <x:v>周一</x:v>
      </x:c>
      <x:c r="C49" s="22" t="str">
        <x:v>3月2日</x:v>
      </x:c>
      <x:c r="D49" s="23" t="n">
        <x:v>3038</x:v>
      </x:c>
      <x:c r="E49" s="23" t="n">
        <x:v>3053</x:v>
      </x:c>
      <x:c r="F49" s="23" t="n">
        <x:v>3006</x:v>
      </x:c>
      <x:c r="G49" s="23" t="n">
        <x:v>3045.8</x:v>
      </x:c>
      <x:c r="H49" s="23" t="n">
        <x:v>0.4</x:v>
      </x:c>
      <x:c r="I49" s="24" t="n">
        <x:v>0.00013134563604122462</x:v>
      </x:c>
      <x:c r="J49" s="23" t="n">
        <x:f>ROUND(E49-F49,1)</x:f>
        <x:v>47</x:v>
      </x:c>
      <x:c r="K49" s="22" t="str">
        <x:v>IH2603</x:v>
      </x:c>
    </x:row>
    <x:row r="50">
      <x:c r="A50" s="22" t="n">
        <x:v>2</x:v>
      </x:c>
      <x:c r="B50" s="22" t="str">
        <x:v>周二</x:v>
      </x:c>
      <x:c r="C50" s="22" t="str">
        <x:v>3月3日</x:v>
      </x:c>
      <x:c r="D50" s="23" t="n">
        <x:v>3045</x:v>
      </x:c>
      <x:c r="E50" s="23" t="n">
        <x:v>3056</x:v>
      </x:c>
      <x:c r="F50" s="23" t="n">
        <x:v>3005</x:v>
      </x:c>
      <x:c r="G50" s="23" t="n">
        <x:v>3019</x:v>
      </x:c>
      <x:c r="H50" s="23" t="n">
        <x:v>-26.8</x:v>
      </x:c>
      <x:c r="I50" s="24" t="n">
        <x:v>-0.008799001904261639</x:v>
      </x:c>
      <x:c r="J50" s="23" t="n">
        <x:f>ROUND(E50-F50,1)</x:f>
        <x:v>51</x:v>
      </x:c>
      <x:c r="K50" s="22" t="str">
        <x:v>IH2603</x:v>
      </x:c>
    </x:row>
    <x:row r="51">
      <x:c r="A51" s="22" t="n">
        <x:v>3</x:v>
      </x:c>
      <x:c r="B51" s="22" t="str">
        <x:v>周三</x:v>
      </x:c>
      <x:c r="C51" s="22" t="str">
        <x:v>3月4日</x:v>
      </x:c>
      <x:c r="D51" s="23" t="n">
        <x:v>2982.6</x:v>
      </x:c>
      <x:c r="E51" s="23" t="n">
        <x:v>2999.8</x:v>
      </x:c>
      <x:c r="F51" s="23" t="n">
        <x:v>2950</x:v>
      </x:c>
      <x:c r="G51" s="23" t="n">
        <x:v>2972.2</x:v>
      </x:c>
      <x:c r="H51" s="23" t="n">
        <x:v>-46.8</x:v>
      </x:c>
      <x:c r="I51" s="24" t="n">
        <x:v>-0.015501821795296467</x:v>
      </x:c>
      <x:c r="J51" s="23" t="n">
        <x:f>ROUND(E51-F51,1)</x:f>
        <x:v>49.8</x:v>
      </x:c>
      <x:c r="K51" s="22" t="str">
        <x:v>IH2603</x:v>
      </x:c>
    </x:row>
    <x:row r="52">
      <x:c r="A52" s="22" t="n">
        <x:v>4</x:v>
      </x:c>
      <x:c r="B52" s="22" t="str">
        <x:v>周四</x:v>
      </x:c>
      <x:c r="C52" s="22" t="str">
        <x:v>3月5日</x:v>
      </x:c>
      <x:c r="D52" s="23" t="n">
        <x:v>2991.8</x:v>
      </x:c>
      <x:c r="E52" s="23" t="n">
        <x:v>2998.8</x:v>
      </x:c>
      <x:c r="F52" s="23" t="n">
        <x:v>2974</x:v>
      </x:c>
      <x:c r="G52" s="23" t="n">
        <x:v>2987</x:v>
      </x:c>
      <x:c r="H52" s="23" t="n">
        <x:v>14.8</x:v>
      </x:c>
      <x:c r="I52" s="24" t="n">
        <x:v>0.004979476482067202</x:v>
      </x:c>
      <x:c r="J52" s="23" t="n">
        <x:f>ROUND(E52-F52,1)</x:f>
        <x:v>24.8</x:v>
      </x:c>
      <x:c r="K52" s="22" t="str">
        <x:v>IH2603</x:v>
      </x:c>
    </x:row>
    <x:row r="53">
      <x:c r="A53" s="22" t="n">
        <x:v>5</x:v>
      </x:c>
      <x:c r="B53" s="22" t="str">
        <x:v>周五</x:v>
      </x:c>
      <x:c r="C53" s="22" t="str">
        <x:v>3月6日</x:v>
      </x:c>
      <x:c r="D53" s="23" t="n">
        <x:v>2965.2</x:v>
      </x:c>
      <x:c r="E53" s="23" t="n">
        <x:v>3002.6</x:v>
      </x:c>
      <x:c r="F53" s="23" t="n">
        <x:v>2965.2</x:v>
      </x:c>
      <x:c r="G53" s="23" t="n">
        <x:v>2990</x:v>
      </x:c>
      <x:c r="H53" s="23" t="n">
        <x:v>3</x:v>
      </x:c>
      <x:c r="I53" s="24" t="n">
        <x:v>0.001004352192835567</x:v>
      </x:c>
      <x:c r="J53" s="23" t="n">
        <x:f>ROUND(E53-F53,1)</x:f>
        <x:v>37.4</x:v>
      </x:c>
      <x:c r="K53" s="22" t="str">
        <x:v>IH2603</x:v>
      </x:c>
    </x:row>
    <x:row r="54">
      <x:c r="A54" s="22" t="n">
        <x:v>6</x:v>
      </x:c>
      <x:c r="B54" s="22" t="str">
        <x:v>周一</x:v>
      </x:c>
      <x:c r="C54" s="22" t="str">
        <x:v>3月9日</x:v>
      </x:c>
      <x:c r="D54" s="23" t="n">
        <x:v>2965.4</x:v>
      </x:c>
      <x:c r="E54" s="23" t="n">
        <x:v>2972</x:v>
      </x:c>
      <x:c r="F54" s="23" t="n">
        <x:v>2912.6</x:v>
      </x:c>
      <x:c r="G54" s="23" t="n">
        <x:v>2962.4</x:v>
      </x:c>
      <x:c r="H54" s="23" t="n">
        <x:v>-27.6</x:v>
      </x:c>
      <x:c r="I54" s="24" t="n">
        <x:v>-0.009230769230769154</x:v>
      </x:c>
      <x:c r="J54" s="23" t="n">
        <x:f>ROUND(E54-F54,1)</x:f>
        <x:v>59.4</x:v>
      </x:c>
      <x:c r="K54" s="22" t="str">
        <x:v>IH2603</x:v>
      </x:c>
    </x:row>
    <x:row r="55">
      <x:c r="A55" s="22" t="n">
        <x:v>7</x:v>
      </x:c>
      <x:c r="B55" s="22" t="str">
        <x:v>周二</x:v>
      </x:c>
      <x:c r="C55" s="22" t="str">
        <x:v>3月10日</x:v>
      </x:c>
      <x:c r="D55" s="23" t="n">
        <x:v>2973</x:v>
      </x:c>
      <x:c r="E55" s="23" t="n">
        <x:v>2987.6</x:v>
      </x:c>
      <x:c r="F55" s="23" t="n">
        <x:v>2969.6</x:v>
      </x:c>
      <x:c r="G55" s="23" t="n">
        <x:v>2981.4</x:v>
      </x:c>
      <x:c r="H55" s="23" t="n">
        <x:v>19</x:v>
      </x:c>
      <x:c r="I55" s="24" t="n">
        <x:v>0.006413718606535168</x:v>
      </x:c>
      <x:c r="J55" s="23" t="n">
        <x:f>ROUND(E55-F55,1)</x:f>
        <x:v>18</x:v>
      </x:c>
      <x:c r="K55" s="22" t="str">
        <x:v>IH2603</x:v>
      </x:c>
    </x:row>
    <x:row r="56">
      <x:c r="A56" s="22" t="n">
        <x:v>8</x:v>
      </x:c>
      <x:c r="B56" s="22" t="str">
        <x:v>周三</x:v>
      </x:c>
      <x:c r="C56" s="22" t="str">
        <x:v>3月11日</x:v>
      </x:c>
      <x:c r="D56" s="23" t="n">
        <x:v>2980</x:v>
      </x:c>
      <x:c r="E56" s="23" t="n">
        <x:v>2989</x:v>
      </x:c>
      <x:c r="F56" s="23" t="n">
        <x:v>2970.6</x:v>
      </x:c>
      <x:c r="G56" s="23" t="n">
        <x:v>2983.8</x:v>
      </x:c>
      <x:c r="H56" s="23" t="n">
        <x:v>2.4</x:v>
      </x:c>
      <x:c r="I56" s="24" t="n">
        <x:v>0.000804990943851891</x:v>
      </x:c>
      <x:c r="J56" s="23" t="n">
        <x:f>ROUND(E56-F56,1)</x:f>
        <x:v>18.4</x:v>
      </x:c>
      <x:c r="K56" s="22" t="str">
        <x:v>IH2603</x:v>
      </x:c>
    </x:row>
    <x:row r="57">
      <x:c r="A57" s="22" t="n">
        <x:v>9</x:v>
      </x:c>
      <x:c r="B57" s="22" t="str">
        <x:v>周四</x:v>
      </x:c>
      <x:c r="C57" s="22" t="str">
        <x:v>3月12日</x:v>
      </x:c>
      <x:c r="D57" s="23" t="n">
        <x:v>2979</x:v>
      </x:c>
      <x:c r="E57" s="23" t="n">
        <x:v>2983.8</x:v>
      </x:c>
      <x:c r="F57" s="23" t="n">
        <x:v>2951</x:v>
      </x:c>
      <x:c r="G57" s="23" t="n">
        <x:v>2966.4</x:v>
      </x:c>
      <x:c r="H57" s="23" t="n">
        <x:v>-17.4</x:v>
      </x:c>
      <x:c r="I57" s="24" t="n">
        <x:v>-0.005831490046249832</x:v>
      </x:c>
      <x:c r="J57" s="23" t="n">
        <x:f>ROUND(E57-F57,1)</x:f>
        <x:v>32.8</x:v>
      </x:c>
      <x:c r="K57" s="22" t="str">
        <x:v>IH2603</x:v>
      </x:c>
    </x:row>
    <x:row r="58">
      <x:c r="A58" s="22" t="n">
        <x:v>10</x:v>
      </x:c>
      <x:c r="B58" s="22" t="str">
        <x:v>周五</x:v>
      </x:c>
      <x:c r="C58" s="22" t="str">
        <x:v>3月13日</x:v>
      </x:c>
      <x:c r="D58" s="23" t="n">
        <x:v>2959.8</x:v>
      </x:c>
      <x:c r="E58" s="23" t="n">
        <x:v>2978.4</x:v>
      </x:c>
      <x:c r="F58" s="23" t="n">
        <x:v>2949.6</x:v>
      </x:c>
      <x:c r="G58" s="23" t="n">
        <x:v>2957</x:v>
      </x:c>
      <x:c r="H58" s="23" t="n">
        <x:v>-9.4</x:v>
      </x:c>
      <x:c r="I58" s="24" t="n">
        <x:v>-0.0031688241639697967</x:v>
      </x:c>
      <x:c r="J58" s="23" t="n">
        <x:f>ROUND(E58-F58,1)</x:f>
        <x:v>28.8</x:v>
      </x:c>
      <x:c r="K58" s="22" t="str">
        <x:v>IH2603</x:v>
      </x:c>
    </x:row>
    <x:row r="59">
      <x:c r="A59" s="22" t="n">
        <x:v>11</x:v>
      </x:c>
      <x:c r="B59" s="22" t="str">
        <x:v>周一</x:v>
      </x:c>
      <x:c r="C59" s="22" t="str">
        <x:v>3月16日</x:v>
      </x:c>
      <x:c r="D59" s="23" t="n">
        <x:v>2953</x:v>
      </x:c>
      <x:c r="E59" s="23" t="n">
        <x:v>2956.6</x:v>
      </x:c>
      <x:c r="F59" s="23" t="n">
        <x:v>2925.2</x:v>
      </x:c>
      <x:c r="G59" s="23" t="n">
        <x:v>2952</x:v>
      </x:c>
      <x:c r="H59" s="23" t="n">
        <x:v>-5</x:v>
      </x:c>
      <x:c r="I59" s="24" t="n">
        <x:v>-0.001690902942171113</x:v>
      </x:c>
      <x:c r="J59" s="23" t="n">
        <x:f>ROUND(E59-F59,1)</x:f>
        <x:v>31.4</x:v>
      </x:c>
      <x:c r="K59" s="22" t="str">
        <x:v>IH2603</x:v>
      </x:c>
    </x:row>
    <x:row r="60">
      <x:c r="A60" s="22" t="n">
        <x:v>12</x:v>
      </x:c>
      <x:c r="B60" s="22" t="str">
        <x:v>周二</x:v>
      </x:c>
      <x:c r="C60" s="22" t="str">
        <x:v>3月17日</x:v>
      </x:c>
      <x:c r="D60" s="23" t="n">
        <x:v>2959.8</x:v>
      </x:c>
      <x:c r="E60" s="23" t="n">
        <x:v>2996.6</x:v>
      </x:c>
      <x:c r="F60" s="23" t="n">
        <x:v>2952</x:v>
      </x:c>
      <x:c r="G60" s="23" t="n">
        <x:v>2962</x:v>
      </x:c>
      <x:c r="H60" s="23" t="n">
        <x:v>10</x:v>
      </x:c>
      <x:c r="I60" s="24" t="n">
        <x:v>0.003387533875338855</x:v>
      </x:c>
      <x:c r="J60" s="23" t="n">
        <x:f>ROUND(E60-F60,1)</x:f>
        <x:v>44.6</x:v>
      </x:c>
      <x:c r="K60" s="22" t="str">
        <x:v>IH2603</x:v>
      </x:c>
    </x:row>
    <x:row r="61">
      <x:c r="A61" s="22" t="n">
        <x:v>13</x:v>
      </x:c>
      <x:c r="B61" s="22" t="str">
        <x:v>周三</x:v>
      </x:c>
      <x:c r="C61" s="22" t="str">
        <x:v>3月18日</x:v>
      </x:c>
      <x:c r="D61" s="23" t="n">
        <x:v>2968</x:v>
      </x:c>
      <x:c r="E61" s="23" t="n">
        <x:v>2975.2</x:v>
      </x:c>
      <x:c r="F61" s="23" t="n">
        <x:v>2938.6</x:v>
      </x:c>
      <x:c r="G61" s="23" t="n">
        <x:v>2958.6</x:v>
      </x:c>
      <x:c r="H61" s="23" t="n">
        <x:v>-3.4</x:v>
      </x:c>
      <x:c r="I61" s="24" t="n">
        <x:v>-0.0011478730587440866</x:v>
      </x:c>
      <x:c r="J61" s="23" t="n">
        <x:f>ROUND(E61-F61,1)</x:f>
        <x:v>36.6</x:v>
      </x:c>
      <x:c r="K61" s="22" t="str">
        <x:v>IH2603</x:v>
      </x:c>
    </x:row>
    <x:row r="62">
      <x:c r="A62" s="22" t="n">
        <x:v>14</x:v>
      </x:c>
      <x:c r="B62" s="22" t="str">
        <x:v>周四</x:v>
      </x:c>
      <x:c r="C62" s="22" t="str">
        <x:v>3月19日</x:v>
      </x:c>
      <x:c r="D62" s="23" t="n">
        <x:v>2936.8</x:v>
      </x:c>
      <x:c r="E62" s="23" t="n">
        <x:v>2943.4</x:v>
      </x:c>
      <x:c r="F62" s="23" t="n">
        <x:v>2908.4</x:v>
      </x:c>
      <x:c r="G62" s="23" t="n">
        <x:v>2920.2</x:v>
      </x:c>
      <x:c r="H62" s="23" t="n">
        <x:v>-38.4</x:v>
      </x:c>
      <x:c r="I62" s="24" t="n">
        <x:v>-0.01297911174204014</x:v>
      </x:c>
      <x:c r="J62" s="23" t="n">
        <x:f>ROUND(E62-F62,1)</x:f>
        <x:v>35</x:v>
      </x:c>
      <x:c r="K62" s="22" t="str">
        <x:v>IH2603</x:v>
      </x:c>
    </x:row>
    <x:row r="63">
      <x:c r="A63" s="41" t="n">
        <x:v>15</x:v>
      </x:c>
      <x:c r="B63" s="41" t="str">
        <x:v>周五</x:v>
      </x:c>
      <x:c r="C63" s="41" t="str">
        <x:v>3月20日</x:v>
      </x:c>
      <x:c r="D63" s="42" t="n">
        <x:v>2918.8</x:v>
      </x:c>
      <x:c r="E63" s="42" t="n">
        <x:v>2927.8</x:v>
      </x:c>
      <x:c r="F63" s="42" t="n">
        <x:v>2896</x:v>
      </x:c>
      <x:c r="G63" s="42" t="n">
        <x:v>2898.4</x:v>
      </x:c>
      <x:c r="H63" s="42" t="n">
        <x:v>-21.8</x:v>
      </x:c>
      <x:c r="I63" s="43" t="n">
        <x:v>-0.007465242106704961</x:v>
      </x:c>
      <x:c r="J63" s="42" t="n">
        <x:f>ROUND(E63-F63,1)</x:f>
        <x:v>31.8</x:v>
      </x:c>
      <x:c r="K63" s="41" t="str">
        <x:v>IH2603</x:v>
      </x:c>
    </x:row>
    <x:row r="64">
      <x:c r="A64" s="22" t="n">
        <x:v>16</x:v>
      </x:c>
      <x:c r="B64" s="22" t="str">
        <x:v>周一</x:v>
      </x:c>
      <x:c r="C64" s="22" t="str">
        <x:v>3月23日</x:v>
      </x:c>
      <x:c r="D64" s="23" t="n">
        <x:v>2830</x:v>
      </x:c>
      <x:c r="E64" s="23" t="n">
        <x:v>2847.6</x:v>
      </x:c>
      <x:c r="F64" s="23" t="n">
        <x:v>2750.8</x:v>
      </x:c>
      <x:c r="G64" s="23" t="n">
        <x:v>2776</x:v>
      </x:c>
      <x:c r="H64" s="23" t="n">
        <x:v>-122.4</x:v>
      </x:c>
      <x:c r="I64" s="24" t="n">
        <x:v>-0.04223019597019051</x:v>
      </x:c>
      <x:c r="J64" s="26" t="n">
        <x:f>ROUND(E64-F64,1)</x:f>
        <x:v>96.8</x:v>
      </x:c>
      <x:c r="K64" s="22" t="str">
        <x:v>IH2606</x:v>
      </x:c>
    </x:row>
    <x:row r="65">
      <x:c r="A65" s="22" t="n">
        <x:v>17</x:v>
      </x:c>
      <x:c r="B65" s="22" t="str">
        <x:v>周二</x:v>
      </x:c>
      <x:c r="C65" s="22" t="str">
        <x:v>3月24日</x:v>
      </x:c>
      <x:c r="D65" s="23" t="n">
        <x:v>2795.6</x:v>
      </x:c>
      <x:c r="E65" s="23" t="n">
        <x:v>2814.2</x:v>
      </x:c>
      <x:c r="F65" s="23" t="n">
        <x:v>2773</x:v>
      </x:c>
      <x:c r="G65" s="23" t="n">
        <x:v>2810.6</x:v>
      </x:c>
      <x:c r="H65" s="23" t="n">
        <x:v>34.6</x:v>
      </x:c>
      <x:c r="I65" s="24" t="n">
        <x:v>0.012463976945244815</x:v>
      </x:c>
      <x:c r="J65" s="23" t="n">
        <x:f>ROUND(E65-F65,1)</x:f>
        <x:v>41.2</x:v>
      </x:c>
      <x:c r="K65" s="22" t="str">
        <x:v>IH2606</x:v>
      </x:c>
    </x:row>
    <x:row r="66">
      <x:c r="A66" s="22" t="n">
        <x:v>18</x:v>
      </x:c>
      <x:c r="B66" s="22" t="str">
        <x:v>周三</x:v>
      </x:c>
      <x:c r="C66" s="22" t="str">
        <x:v>3月25日</x:v>
      </x:c>
      <x:c r="D66" s="23" t="n">
        <x:v>2831.2</x:v>
      </x:c>
      <x:c r="E66" s="23" t="n">
        <x:v>2847.6</x:v>
      </x:c>
      <x:c r="F66" s="23" t="n">
        <x:v>2822.2</x:v>
      </x:c>
      <x:c r="G66" s="23" t="n">
        <x:v>2830</x:v>
      </x:c>
      <x:c r="H66" s="23" t="n">
        <x:v>19.4</x:v>
      </x:c>
      <x:c r="I66" s="24" t="n">
        <x:v>0.006902440759980033</x:v>
      </x:c>
      <x:c r="J66" s="23" t="n">
        <x:f>ROUND(E66-F66,1)</x:f>
        <x:v>25.4</x:v>
      </x:c>
      <x:c r="K66" s="22" t="str">
        <x:v>IH2606</x:v>
      </x:c>
    </x:row>
    <x:row r="67">
      <x:c r="A67" s="22" t="n">
        <x:v>19</x:v>
      </x:c>
      <x:c r="B67" s="22" t="str">
        <x:v>周四</x:v>
      </x:c>
      <x:c r="C67" s="22" t="str">
        <x:v>3月26日</x:v>
      </x:c>
      <x:c r="D67" s="23" t="n">
        <x:v>2830</x:v>
      </x:c>
      <x:c r="E67" s="23" t="n">
        <x:v>2842.4</x:v>
      </x:c>
      <x:c r="F67" s="23" t="n">
        <x:v>2797.6</x:v>
      </x:c>
      <x:c r="G67" s="23" t="n">
        <x:v>2804.8</x:v>
      </x:c>
      <x:c r="H67" s="23" t="n">
        <x:v>-25.2</x:v>
      </x:c>
      <x:c r="I67" s="24" t="n">
        <x:v>-0.008904593639575853</x:v>
      </x:c>
      <x:c r="J67" s="23" t="n">
        <x:f>ROUND(E67-F67,1)</x:f>
        <x:v>44.8</x:v>
      </x:c>
      <x:c r="K67" s="22" t="str">
        <x:v>IH2606</x:v>
      </x:c>
    </x:row>
    <x:row r="68">
      <x:c r="A68" s="22" t="n">
        <x:v>20</x:v>
      </x:c>
      <x:c r="B68" s="22" t="str">
        <x:v>周五</x:v>
      </x:c>
      <x:c r="C68" s="22" t="str">
        <x:v>3月27日</x:v>
      </x:c>
      <x:c r="D68" s="23" t="n">
        <x:v>2790</x:v>
      </x:c>
      <x:c r="E68" s="23" t="n">
        <x:v>2832.6</x:v>
      </x:c>
      <x:c r="F68" s="23" t="n">
        <x:v>2785</x:v>
      </x:c>
      <x:c r="G68" s="23" t="n">
        <x:v>2814.4</x:v>
      </x:c>
      <x:c r="H68" s="23" t="n">
        <x:v>9.6</x:v>
      </x:c>
      <x:c r="I68" s="24" t="n">
        <x:v>0.003422703936109439</x:v>
      </x:c>
      <x:c r="J68" s="23" t="n">
        <x:f>ROUND(E68-F68,1)</x:f>
        <x:v>47.6</x:v>
      </x:c>
      <x:c r="K68" s="22" t="str">
        <x:v>IH2606</x:v>
      </x:c>
    </x:row>
    <x:row r="69">
      <x:c r="A69" s="22" t="n">
        <x:v>21</x:v>
      </x:c>
      <x:c r="B69" s="22" t="str">
        <x:v>周一</x:v>
      </x:c>
      <x:c r="C69" s="22" t="str">
        <x:v>3月30日</x:v>
      </x:c>
      <x:c r="D69" s="23" t="n">
        <x:v>2794.8</x:v>
      </x:c>
      <x:c r="E69" s="23" t="n">
        <x:v>2818</x:v>
      </x:c>
      <x:c r="F69" s="23" t="n">
        <x:v>2780.4</x:v>
      </x:c>
      <x:c r="G69" s="23" t="n">
        <x:v>2812.4</x:v>
      </x:c>
      <x:c r="H69" s="23" t="n">
        <x:v>-2</x:v>
      </x:c>
      <x:c r="I69" s="24" t="n">
        <x:v>-0.0007106310403638405</x:v>
      </x:c>
      <x:c r="J69" s="23" t="n">
        <x:f>ROUND(E69-F69,1)</x:f>
        <x:v>37.6</x:v>
      </x:c>
      <x:c r="K69" s="22" t="str">
        <x:v>IH2606</x:v>
      </x:c>
    </x:row>
    <x:row r="70">
      <x:c r="A70" s="22" t="n">
        <x:v>22</x:v>
      </x:c>
      <x:c r="B70" s="22" t="str">
        <x:v>周二</x:v>
      </x:c>
      <x:c r="C70" s="22" t="str">
        <x:v>3月31日</x:v>
      </x:c>
      <x:c r="D70" s="23" t="n">
        <x:v>2818</x:v>
      </x:c>
      <x:c r="E70" s="23" t="n">
        <x:v>2844</x:v>
      </x:c>
      <x:c r="F70" s="23" t="n">
        <x:v>2802.6</x:v>
      </x:c>
      <x:c r="G70" s="23" t="n">
        <x:v>2804</x:v>
      </x:c>
      <x:c r="H70" s="23" t="n">
        <x:v>-8.4</x:v>
      </x:c>
      <x:c r="I70" s="24" t="n">
        <x:v>-0.0029867728630351698</x:v>
      </x:c>
      <x:c r="J70" s="23" t="n">
        <x:f>ROUND(E70-F70,1)</x:f>
        <x:v>41.4</x:v>
      </x:c>
      <x:c r="K70" s="22" t="str">
        <x:v>IH2606</x:v>
      </x:c>
    </x:row>
    <x:row r="71">
      <x:c r="A71" s="31" t="str">
        <x:v>合计</x:v>
      </x:c>
      <x:c r="B71" s="30" t="n">
        <x:v>22</x:v>
      </x:c>
      <x:c r="C71" s="30"/>
      <x:c r="D71" s="30"/>
      <x:c r="E71" s="30"/>
      <x:c r="F71" s="30"/>
      <x:c r="G71" s="30"/>
      <x:c r="H71" s="30"/>
      <x:c r="I71" s="30"/>
      <x:c r="J71" s="32" t="n">
        <x:f>ROUND(SUM(J49:J70),1)</x:f>
        <x:v>881.6</x:v>
      </x:c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0"/>
      <x:c r="J72" s="34" t="n">
        <x:f>ROUND(IFERROR(AVERAGE(J49:J70),0),1)</x:f>
        <x:v>40.1</x:v>
      </x:c>
      <x:c r="K72" s="30"/>
    </x:row>
    <x:row r="74">
      <x:c r="A74" s="17" t="str">
        <x:v>4月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20" t="str">
        <x:v>序号</x:v>
      </x:c>
      <x:c r="B75" s="20" t="str">
        <x:v>星期</x:v>
      </x:c>
      <x:c r="C75" s="20" t="str">
        <x:v>日期</x:v>
      </x:c>
      <x:c r="D75" s="20" t="str">
        <x:v>开盘</x:v>
      </x:c>
      <x:c r="E75" s="20" t="str">
        <x:v>高点</x:v>
      </x:c>
      <x:c r="F75" s="20" t="str">
        <x:v>低点</x:v>
      </x:c>
      <x:c r="G75" s="20" t="str">
        <x:v>收盘</x:v>
      </x:c>
      <x:c r="H75" s="20" t="str">
        <x:v>涨跌点数</x:v>
      </x:c>
      <x:c r="I75" s="20" t="str">
        <x:v>涨幅</x:v>
      </x:c>
      <x:c r="J75" s="20" t="str">
        <x:v>振幅</x:v>
      </x:c>
      <x:c r="K75" s="20" t="str">
        <x:v>标的</x:v>
      </x:c>
    </x:row>
    <x:row r="76">
      <x:c r="A76" s="22" t="n">
        <x:v>1</x:v>
      </x:c>
      <x:c r="B76" s="22" t="str">
        <x:v>周三</x:v>
      </x:c>
      <x:c r="C76" s="22" t="str">
        <x:v>4月1日</x:v>
      </x:c>
      <x:c r="D76" s="23" t="n">
        <x:v>2844</x:v>
      </x:c>
      <x:c r="E76" s="23" t="n">
        <x:v>2865.4</x:v>
      </x:c>
      <x:c r="F76" s="23" t="n">
        <x:v>2835.2</x:v>
      </x:c>
      <x:c r="G76" s="23" t="n">
        <x:v>2853.8</x:v>
      </x:c>
      <x:c r="H76" s="23" t="n">
        <x:v>49.8</x:v>
      </x:c>
      <x:c r="I76" s="24" t="n">
        <x:v>0.01776034236804569</x:v>
      </x:c>
      <x:c r="J76" s="23" t="n">
        <x:f>ROUND(E76-F76,1)</x:f>
        <x:v>30.2</x:v>
      </x:c>
      <x:c r="K76" s="22" t="str">
        <x:v>IH2606</x:v>
      </x:c>
    </x:row>
    <x:row r="77">
      <x:c r="A77" s="22" t="n">
        <x:v>2</x:v>
      </x:c>
      <x:c r="B77" s="22" t="str">
        <x:v>周四</x:v>
      </x:c>
      <x:c r="C77" s="22" t="str">
        <x:v>4月2日</x:v>
      </x:c>
      <x:c r="D77" s="23" t="n">
        <x:v>2844.2</x:v>
      </x:c>
      <x:c r="E77" s="23" t="n">
        <x:v>2847.2</x:v>
      </x:c>
      <x:c r="F77" s="23" t="n">
        <x:v>2810.8</x:v>
      </x:c>
      <x:c r="G77" s="23" t="n">
        <x:v>2827.6</x:v>
      </x:c>
      <x:c r="H77" s="23" t="n">
        <x:v>-26.2</x:v>
      </x:c>
      <x:c r="I77" s="24" t="n">
        <x:v>-0.009180741467517128</x:v>
      </x:c>
      <x:c r="J77" s="23" t="n">
        <x:f>ROUND(E77-F77,1)</x:f>
        <x:v>36.4</x:v>
      </x:c>
      <x:c r="K77" s="22" t="str">
        <x:v>IH2606</x:v>
      </x:c>
    </x:row>
    <x:row r="78">
      <x:c r="A78" s="22" t="n">
        <x:v>3</x:v>
      </x:c>
      <x:c r="B78" s="22" t="str">
        <x:v>周五</x:v>
      </x:c>
      <x:c r="C78" s="22" t="str">
        <x:v>4月3日</x:v>
      </x:c>
      <x:c r="D78" s="23" t="n">
        <x:v>2832</x:v>
      </x:c>
      <x:c r="E78" s="23" t="n">
        <x:v>2835.2</x:v>
      </x:c>
      <x:c r="F78" s="23" t="n">
        <x:v>2798.4</x:v>
      </x:c>
      <x:c r="G78" s="23" t="n">
        <x:v>2804.4</x:v>
      </x:c>
      <x:c r="H78" s="23" t="n">
        <x:v>-23.2</x:v>
      </x:c>
      <x:c r="I78" s="24" t="n">
        <x:v>-0.00820483802518035</x:v>
      </x:c>
      <x:c r="J78" s="23" t="n">
        <x:f>ROUND(E78-F78,1)</x:f>
        <x:v>36.8</x:v>
      </x:c>
      <x:c r="K78" s="22" t="str">
        <x:v>IH2606</x:v>
      </x:c>
    </x:row>
    <x:row r="79">
      <x:c r="A79" s="22" t="n">
        <x:v>4</x:v>
      </x:c>
      <x:c r="B79" s="22" t="str">
        <x:v>周二</x:v>
      </x:c>
      <x:c r="C79" s="22" t="str">
        <x:v>4月7日</x:v>
      </x:c>
      <x:c r="D79" s="23" t="n">
        <x:v>2810.4</x:v>
      </x:c>
      <x:c r="E79" s="23" t="n">
        <x:v>2821.4</x:v>
      </x:c>
      <x:c r="F79" s="23" t="n">
        <x:v>2797.2</x:v>
      </x:c>
      <x:c r="G79" s="23" t="n">
        <x:v>2798.4</x:v>
      </x:c>
      <x:c r="H79" s="23" t="n">
        <x:v>-6</x:v>
      </x:c>
      <x:c r="I79" s="24" t="n">
        <x:v>-0.0021394950791613354</x:v>
      </x:c>
      <x:c r="J79" s="23" t="n">
        <x:f>ROUND(E79-F79,1)</x:f>
        <x:v>24.2</x:v>
      </x:c>
      <x:c r="K79" s="22" t="str">
        <x:v>IH2606</x:v>
      </x:c>
    </x:row>
    <x:row r="80">
      <x:c r="A80" s="22" t="n">
        <x:v>5</x:v>
      </x:c>
      <x:c r="B80" s="22" t="str">
        <x:v>周三</x:v>
      </x:c>
      <x:c r="C80" s="22" t="str">
        <x:v>4月8日</x:v>
      </x:c>
      <x:c r="D80" s="23" t="n">
        <x:v>2841</x:v>
      </x:c>
      <x:c r="E80" s="23" t="n">
        <x:v>2891.8</x:v>
      </x:c>
      <x:c r="F80" s="23" t="n">
        <x:v>2841</x:v>
      </x:c>
      <x:c r="G80" s="23" t="n">
        <x:v>2886</x:v>
      </x:c>
      <x:c r="H80" s="23" t="n">
        <x:v>87.6</x:v>
      </x:c>
      <x:c r="I80" s="24" t="n">
        <x:v>0.03130360205831906</x:v>
      </x:c>
      <x:c r="J80" s="23" t="n">
        <x:f>ROUND(E80-F80,1)</x:f>
        <x:v>50.8</x:v>
      </x:c>
      <x:c r="K80" s="22" t="str">
        <x:v>IH2606</x:v>
      </x:c>
    </x:row>
    <x:row r="81">
      <x:c r="A81" s="22" t="n">
        <x:v>6</x:v>
      </x:c>
      <x:c r="B81" s="22" t="str">
        <x:v>周四</x:v>
      </x:c>
      <x:c r="C81" s="22" t="str">
        <x:v>4月9日</x:v>
      </x:c>
      <x:c r="D81" s="23" t="n">
        <x:v>2870</x:v>
      </x:c>
      <x:c r="E81" s="23" t="n">
        <x:v>2872.8</x:v>
      </x:c>
      <x:c r="F81" s="23" t="n">
        <x:v>2852.4</x:v>
      </x:c>
      <x:c r="G81" s="23" t="n">
        <x:v>2860.6</x:v>
      </x:c>
      <x:c r="H81" s="23" t="n">
        <x:v>-25.4</x:v>
      </x:c>
      <x:c r="I81" s="24" t="n">
        <x:v>-0.008801108801108848</x:v>
      </x:c>
      <x:c r="J81" s="23" t="n">
        <x:f>ROUND(E81-F81,1)</x:f>
        <x:v>20.4</x:v>
      </x:c>
      <x:c r="K81" s="22" t="str">
        <x:v>IH2606</x:v>
      </x:c>
    </x:row>
    <x:row r="82">
      <x:c r="A82" s="22" t="n">
        <x:v>7</x:v>
      </x:c>
      <x:c r="B82" s="22" t="str">
        <x:v>周五</x:v>
      </x:c>
      <x:c r="C82" s="22" t="str">
        <x:v>4月10日</x:v>
      </x:c>
      <x:c r="D82" s="23" t="n">
        <x:v>2878</x:v>
      </x:c>
      <x:c r="E82" s="23" t="n">
        <x:v>2896</x:v>
      </x:c>
      <x:c r="F82" s="23" t="n">
        <x:v>2868.8</x:v>
      </x:c>
      <x:c r="G82" s="23" t="n">
        <x:v>2873.2</x:v>
      </x:c>
      <x:c r="H82" s="23" t="n">
        <x:v>12.6</x:v>
      </x:c>
      <x:c r="I82" s="24" t="n">
        <x:v>0.004404670348877815</x:v>
      </x:c>
      <x:c r="J82" s="23" t="n">
        <x:f>ROUND(E82-F82,1)</x:f>
        <x:v>27.2</x:v>
      </x:c>
      <x:c r="K82" s="22" t="str">
        <x:v>IH2606</x:v>
      </x:c>
    </x:row>
    <x:row r="83">
      <x:c r="A83" s="22" t="n">
        <x:v>8</x:v>
      </x:c>
      <x:c r="B83" s="22" t="str">
        <x:v>周一</x:v>
      </x:c>
      <x:c r="C83" s="22" t="str">
        <x:v>4月13日</x:v>
      </x:c>
      <x:c r="D83" s="23" t="n">
        <x:v>2864.6</x:v>
      </x:c>
      <x:c r="E83" s="23" t="n">
        <x:v>2878.8</x:v>
      </x:c>
      <x:c r="F83" s="23" t="n">
        <x:v>2860</x:v>
      </x:c>
      <x:c r="G83" s="23" t="n">
        <x:v>2873</x:v>
      </x:c>
      <x:c r="H83" s="23" t="n">
        <x:v>-0.2</x:v>
      </x:c>
      <x:c r="I83" s="24" t="n">
        <x:v>-0.0000696087985521121</x:v>
      </x:c>
      <x:c r="J83" s="23" t="n">
        <x:f>ROUND(E83-F83,1)</x:f>
        <x:v>18.8</x:v>
      </x:c>
      <x:c r="K83" s="22" t="str">
        <x:v>IH2606</x:v>
      </x:c>
    </x:row>
    <x:row r="84">
      <x:c r="A84" s="22" t="n">
        <x:v>9</x:v>
      </x:c>
      <x:c r="B84" s="22" t="str">
        <x:v>周二</x:v>
      </x:c>
      <x:c r="C84" s="22" t="str">
        <x:v>4月14日</x:v>
      </x:c>
      <x:c r="D84" s="23" t="n">
        <x:v>2893</x:v>
      </x:c>
      <x:c r="E84" s="23" t="n">
        <x:v>2900.8</x:v>
      </x:c>
      <x:c r="F84" s="23" t="n">
        <x:v>2873.2</x:v>
      </x:c>
      <x:c r="G84" s="23" t="n">
        <x:v>2898.4</x:v>
      </x:c>
      <x:c r="H84" s="23" t="n">
        <x:v>25.4</x:v>
      </x:c>
      <x:c r="I84" s="24" t="n">
        <x:v>0.00884093282283338</x:v>
      </x:c>
      <x:c r="J84" s="23" t="n">
        <x:f>ROUND(E84-F84,1)</x:f>
        <x:v>27.6</x:v>
      </x:c>
      <x:c r="K84" s="22" t="str">
        <x:v>IH2606</x:v>
      </x:c>
    </x:row>
    <x:row r="85">
      <x:c r="A85" s="22" t="n">
        <x:v>10</x:v>
      </x:c>
      <x:c r="B85" s="22" t="str">
        <x:v>周三</x:v>
      </x:c>
      <x:c r="C85" s="22" t="str">
        <x:v>4月15日</x:v>
      </x:c>
      <x:c r="D85" s="23" t="n">
        <x:v>2916.8</x:v>
      </x:c>
      <x:c r="E85" s="23" t="n">
        <x:v>2930.8</x:v>
      </x:c>
      <x:c r="F85" s="23" t="n">
        <x:v>2907</x:v>
      </x:c>
      <x:c r="G85" s="23" t="n">
        <x:v>2907.6</x:v>
      </x:c>
      <x:c r="H85" s="23" t="n">
        <x:v>9.2</x:v>
      </x:c>
      <x:c r="I85" s="24" t="n">
        <x:v>0.003174165056582856</x:v>
      </x:c>
      <x:c r="J85" s="23" t="n">
        <x:f>ROUND(E85-F85,1)</x:f>
        <x:v>23.8</x:v>
      </x:c>
      <x:c r="K85" s="22" t="str">
        <x:v>IH2606</x:v>
      </x:c>
    </x:row>
    <x:row r="86">
      <x:c r="A86" s="22" t="n">
        <x:v>11</x:v>
      </x:c>
      <x:c r="B86" s="22" t="str">
        <x:v>周四</x:v>
      </x:c>
      <x:c r="C86" s="22" t="str">
        <x:v>4月16日</x:v>
      </x:c>
      <x:c r="D86" s="23" t="n">
        <x:v>2922</x:v>
      </x:c>
      <x:c r="E86" s="23" t="n">
        <x:v>2929.4</x:v>
      </x:c>
      <x:c r="F86" s="23" t="n">
        <x:v>2911</x:v>
      </x:c>
      <x:c r="G86" s="23" t="n">
        <x:v>2920</x:v>
      </x:c>
      <x:c r="H86" s="23" t="n">
        <x:v>12.4</x:v>
      </x:c>
      <x:c r="I86" s="24" t="n">
        <x:v>0.004264685651396372</x:v>
      </x:c>
      <x:c r="J86" s="23" t="n">
        <x:f>ROUND(E86-F86,1)</x:f>
        <x:v>18.4</x:v>
      </x:c>
      <x:c r="K86" s="22" t="str">
        <x:v>IH2606</x:v>
      </x:c>
    </x:row>
    <x:row r="87">
      <x:c r="A87" s="41" t="n">
        <x:v>12</x:v>
      </x:c>
      <x:c r="B87" s="41" t="str">
        <x:v>周五</x:v>
      </x:c>
      <x:c r="C87" s="41" t="str">
        <x:v>4月17日</x:v>
      </x:c>
      <x:c r="D87" s="42" t="n">
        <x:v>2901.2</x:v>
      </x:c>
      <x:c r="E87" s="42" t="n">
        <x:v>2907.8</x:v>
      </x:c>
      <x:c r="F87" s="42" t="n">
        <x:v>2888</x:v>
      </x:c>
      <x:c r="G87" s="42" t="n">
        <x:v>2888</x:v>
      </x:c>
      <x:c r="H87" s="42" t="n">
        <x:v>-32</x:v>
      </x:c>
      <x:c r="I87" s="43" t="n">
        <x:v>-0.010958904109588996</x:v>
      </x:c>
      <x:c r="J87" s="42" t="n">
        <x:f>ROUND(E87-F87,1)</x:f>
        <x:v>19.8</x:v>
      </x:c>
      <x:c r="K87" s="41" t="str">
        <x:v>IH2606</x:v>
      </x:c>
    </x:row>
    <x:row r="88">
      <x:c r="A88" s="22" t="n">
        <x:v>13</x:v>
      </x:c>
      <x:c r="B88" s="22" t="str">
        <x:v>周一</x:v>
      </x:c>
      <x:c r="C88" s="22" t="str">
        <x:v>4月20日</x:v>
      </x:c>
      <x:c r="D88" s="23" t="n">
        <x:v>2900.8</x:v>
      </x:c>
      <x:c r="E88" s="23" t="n">
        <x:v>2922</x:v>
      </x:c>
      <x:c r="F88" s="23" t="n">
        <x:v>2891</x:v>
      </x:c>
      <x:c r="G88" s="23" t="n">
        <x:v>2918</x:v>
      </x:c>
      <x:c r="H88" s="23" t="n">
        <x:v>30</x:v>
      </x:c>
      <x:c r="I88" s="24" t="n">
        <x:v>0.010387811634348987</x:v>
      </x:c>
      <x:c r="J88" s="23" t="n">
        <x:f>ROUND(E88-F88,1)</x:f>
        <x:v>31</x:v>
      </x:c>
      <x:c r="K88" s="22" t="str">
        <x:v>IH2606</x:v>
      </x:c>
    </x:row>
    <x:row r="89">
      <x:c r="A89" s="22" t="n">
        <x:v>14</x:v>
      </x:c>
      <x:c r="B89" s="22" t="str">
        <x:v>周二</x:v>
      </x:c>
      <x:c r="C89" s="22" t="str">
        <x:v>4月21日</x:v>
      </x:c>
      <x:c r="D89" s="23" t="n">
        <x:v>2914.4</x:v>
      </x:c>
      <x:c r="E89" s="23" t="n">
        <x:v>2923.6</x:v>
      </x:c>
      <x:c r="F89" s="23" t="n">
        <x:v>2902.2</x:v>
      </x:c>
      <x:c r="G89" s="23" t="n">
        <x:v>2916.6</x:v>
      </x:c>
      <x:c r="H89" s="23" t="n">
        <x:v>-1.4</x:v>
      </x:c>
      <x:c r="I89" s="24" t="n">
        <x:v>-0.00047978067169296423</x:v>
      </x:c>
      <x:c r="J89" s="23" t="n">
        <x:f>ROUND(E89-F89,1)</x:f>
        <x:v>21.4</x:v>
      </x:c>
      <x:c r="K89" s="22" t="str">
        <x:v>IH2606</x:v>
      </x:c>
    </x:row>
    <x:row r="90">
      <x:c r="A90" s="22" t="n">
        <x:v>15</x:v>
      </x:c>
      <x:c r="B90" s="22" t="str">
        <x:v>周三</x:v>
      </x:c>
      <x:c r="C90" s="22" t="str">
        <x:v>4月22日</x:v>
      </x:c>
      <x:c r="D90" s="23" t="n">
        <x:v>2913.6</x:v>
      </x:c>
      <x:c r="E90" s="23" t="n">
        <x:v>2921</x:v>
      </x:c>
      <x:c r="F90" s="23" t="n">
        <x:v>2906.2</x:v>
      </x:c>
      <x:c r="G90" s="23" t="n">
        <x:v>2917.8</x:v>
      </x:c>
      <x:c r="H90" s="23" t="n">
        <x:v>1.2</x:v>
      </x:c>
      <x:c r="I90" s="24" t="n">
        <x:v>0.0004114379757251818</x:v>
      </x:c>
      <x:c r="J90" s="23" t="n">
        <x:f>ROUND(E90-F90,1)</x:f>
        <x:v>14.8</x:v>
      </x:c>
      <x:c r="K90" s="22" t="str">
        <x:v>IH2606</x:v>
      </x:c>
    </x:row>
    <x:row r="91">
      <x:c r="A91" s="22" t="n">
        <x:v>16</x:v>
      </x:c>
      <x:c r="B91" s="22" t="str">
        <x:v>周四</x:v>
      </x:c>
      <x:c r="C91" s="22" t="str">
        <x:v>4月23日</x:v>
      </x:c>
      <x:c r="D91" s="23" t="n">
        <x:v>2919</x:v>
      </x:c>
      <x:c r="E91" s="23" t="n">
        <x:v>2924.4</x:v>
      </x:c>
      <x:c r="F91" s="23" t="n">
        <x:v>2891.2</x:v>
      </x:c>
      <x:c r="G91" s="23" t="n">
        <x:v>2911.2</x:v>
      </x:c>
      <x:c r="H91" s="23" t="n">
        <x:v>-6.6</x:v>
      </x:c>
      <x:c r="I91" s="24" t="n">
        <x:v>-0.0022619782027556434</x:v>
      </x:c>
      <x:c r="J91" s="23" t="n">
        <x:f>ROUND(E91-F91,1)</x:f>
        <x:v>33.2</x:v>
      </x:c>
      <x:c r="K91" s="22" t="str">
        <x:v>IH2606</x:v>
      </x:c>
    </x:row>
    <x:row r="92">
      <x:c r="A92" s="22" t="n">
        <x:v>17</x:v>
      </x:c>
      <x:c r="B92" s="22" t="str">
        <x:v>周五</x:v>
      </x:c>
      <x:c r="C92" s="22" t="str">
        <x:v>4月24日</x:v>
      </x:c>
      <x:c r="D92" s="23" t="n">
        <x:v>2906.8</x:v>
      </x:c>
      <x:c r="E92" s="23" t="n">
        <x:v>2934.2</x:v>
      </x:c>
      <x:c r="F92" s="23" t="n">
        <x:v>2893.6</x:v>
      </x:c>
      <x:c r="G92" s="23" t="n">
        <x:v>2929</x:v>
      </x:c>
      <x:c r="H92" s="23" t="n">
        <x:v>17.8</x:v>
      </x:c>
      <x:c r="I92" s="24" t="n">
        <x:v>0.00611431712008792</x:v>
      </x:c>
      <x:c r="J92" s="23" t="n">
        <x:f>ROUND(E92-F92,1)</x:f>
        <x:v>40.6</x:v>
      </x:c>
      <x:c r="K92" s="22" t="str">
        <x:v>IH2606</x:v>
      </x:c>
    </x:row>
    <x:row r="93">
      <x:c r="A93" s="22" t="n">
        <x:v>18</x:v>
      </x:c>
      <x:c r="B93" s="22" t="str">
        <x:v>周一</x:v>
      </x:c>
      <x:c r="C93" s="22" t="str">
        <x:v>4月27日</x:v>
      </x:c>
      <x:c r="D93" s="23" t="n">
        <x:v>2929.2</x:v>
      </x:c>
      <x:c r="E93" s="23" t="n">
        <x:v>2942.6</x:v>
      </x:c>
      <x:c r="F93" s="23" t="n">
        <x:v>2917</x:v>
      </x:c>
      <x:c r="G93" s="23" t="n">
        <x:v>2922.4</x:v>
      </x:c>
      <x:c r="H93" s="23" t="n">
        <x:v>-6.6</x:v>
      </x:c>
      <x:c r="I93" s="24" t="n">
        <x:v>-0.002253328781153918</x:v>
      </x:c>
      <x:c r="J93" s="23" t="n">
        <x:f>ROUND(E93-F93,1)</x:f>
        <x:v>25.6</x:v>
      </x:c>
      <x:c r="K93" s="22" t="str">
        <x:v>IH2606</x:v>
      </x:c>
    </x:row>
    <x:row r="94">
      <x:c r="A94" s="22" t="n">
        <x:v>19</x:v>
      </x:c>
      <x:c r="B94" s="22" t="str">
        <x:v>周二</x:v>
      </x:c>
      <x:c r="C94" s="22" t="str">
        <x:v>4月28日</x:v>
      </x:c>
      <x:c r="D94" s="23" t="n">
        <x:v>2919</x:v>
      </x:c>
      <x:c r="E94" s="23" t="n">
        <x:v>2945.8</x:v>
      </x:c>
      <x:c r="F94" s="23" t="n">
        <x:v>2917.2</x:v>
      </x:c>
      <x:c r="G94" s="23" t="n">
        <x:v>2930.2</x:v>
      </x:c>
      <x:c r="H94" s="23" t="n">
        <x:v>7.8</x:v>
      </x:c>
      <x:c r="I94" s="24" t="n">
        <x:v>0.002669039145907437</x:v>
      </x:c>
      <x:c r="J94" s="23" t="n">
        <x:f>ROUND(E94-F94,1)</x:f>
        <x:v>28.6</x:v>
      </x:c>
      <x:c r="K94" s="22" t="str">
        <x:v>IH2606</x:v>
      </x:c>
    </x:row>
    <x:row r="95">
      <x:c r="A95" s="22" t="n">
        <x:v>20</x:v>
      </x:c>
      <x:c r="B95" s="22" t="str">
        <x:v>周三</x:v>
      </x:c>
      <x:c r="C95" s="22" t="str">
        <x:v>4月29日</x:v>
      </x:c>
      <x:c r="D95" s="23" t="n">
        <x:v>2923</x:v>
      </x:c>
      <x:c r="E95" s="23" t="n">
        <x:v>2956</x:v>
      </x:c>
      <x:c r="F95" s="23" t="n">
        <x:v>2923</x:v>
      </x:c>
      <x:c r="G95" s="23" t="n">
        <x:v>2947</x:v>
      </x:c>
      <x:c r="H95" s="23" t="n">
        <x:v>16.8</x:v>
      </x:c>
      <x:c r="I95" s="24" t="n">
        <x:v>0.005733397037744892</x:v>
      </x:c>
      <x:c r="J95" s="23" t="n">
        <x:f>ROUND(E95-F95,1)</x:f>
        <x:v>33</x:v>
      </x:c>
      <x:c r="K95" s="22" t="str">
        <x:v>IH2606</x:v>
      </x:c>
    </x:row>
    <x:row r="96">
      <x:c r="A96" s="22" t="n">
        <x:v>21</x:v>
      </x:c>
      <x:c r="B96" s="22" t="str">
        <x:v>周四</x:v>
      </x:c>
      <x:c r="C96" s="22" t="str">
        <x:v>4月30日</x:v>
      </x:c>
      <x:c r="D96" s="23" t="n">
        <x:v>2943</x:v>
      </x:c>
      <x:c r="E96" s="23" t="n">
        <x:v>2970</x:v>
      </x:c>
      <x:c r="F96" s="23" t="n">
        <x:v>2942.6</x:v>
      </x:c>
      <x:c r="G96" s="23" t="n">
        <x:v>2968.8</x:v>
      </x:c>
      <x:c r="H96" s="23" t="n">
        <x:v>21.8</x:v>
      </x:c>
      <x:c r="I96" s="24" t="n">
        <x:v>0.0073973532405837705</x:v>
      </x:c>
      <x:c r="J96" s="23" t="n">
        <x:f>ROUND(E96-F96,1)</x:f>
        <x:v>27.4</x:v>
      </x:c>
      <x:c r="K96" s="22" t="str">
        <x:v>IH2606</x:v>
      </x:c>
    </x:row>
    <x:row r="97">
      <x:c r="A97" s="31" t="str">
        <x:v>合计</x:v>
      </x:c>
      <x:c r="B97" s="30" t="n">
        <x:v>21</x:v>
      </x:c>
      <x:c r="C97" s="30"/>
      <x:c r="D97" s="30"/>
      <x:c r="E97" s="30"/>
      <x:c r="F97" s="30"/>
      <x:c r="G97" s="30"/>
      <x:c r="H97" s="30"/>
      <x:c r="I97" s="30"/>
      <x:c r="J97" s="32" t="n">
        <x:f>ROUND(SUM(J76:J96),1)</x:f>
        <x:v>590</x:v>
      </x:c>
      <x:c r="K97" s="30"/>
    </x:row>
    <x:row r="98">
      <x:c r="A98" s="31" t="str">
        <x:v>均值</x:v>
      </x:c>
      <x:c r="B98" s="30"/>
      <x:c r="C98" s="30"/>
      <x:c r="D98" s="30"/>
      <x:c r="E98" s="30"/>
      <x:c r="F98" s="30"/>
      <x:c r="G98" s="30"/>
      <x:c r="H98" s="30"/>
      <x:c r="I98" s="30"/>
      <x:c r="J98" s="34" t="n">
        <x:f>ROUND(IFERROR(AVERAGE(J76:J96),0),1)</x:f>
        <x:v>28.1</x:v>
      </x:c>
      <x:c r="K98" s="30"/>
    </x:row>
    <x:row r="100">
      <x:c r="A100" s="17" t="str">
        <x:v>5月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20" t="str">
        <x:v>序号</x:v>
      </x:c>
      <x:c r="B101" s="20" t="str">
        <x:v>星期</x:v>
      </x:c>
      <x:c r="C101" s="20" t="str">
        <x:v>日期</x:v>
      </x:c>
      <x:c r="D101" s="20" t="str">
        <x:v>开盘</x:v>
      </x:c>
      <x:c r="E101" s="20" t="str">
        <x:v>高点</x:v>
      </x:c>
      <x:c r="F101" s="20" t="str">
        <x:v>低点</x:v>
      </x:c>
      <x:c r="G101" s="20" t="str">
        <x:v>收盘</x:v>
      </x:c>
      <x:c r="H101" s="20" t="str">
        <x:v>涨跌点数</x:v>
      </x:c>
      <x:c r="I101" s="20" t="str">
        <x:v>涨幅</x:v>
      </x:c>
      <x:c r="J101" s="20" t="str">
        <x:v>振幅</x:v>
      </x:c>
      <x:c r="K101" s="20" t="str">
        <x:v>标的</x:v>
      </x:c>
    </x:row>
    <x:row r="102">
      <x:c r="A102" s="22" t="n">
        <x:v>1</x:v>
      </x:c>
      <x:c r="B102" s="22" t="str">
        <x:v>周三</x:v>
      </x:c>
      <x:c r="C102" s="22" t="str">
        <x:v>5月6日</x:v>
      </x:c>
      <x:c r="D102" s="23" t="n">
        <x:v>2995.2</x:v>
      </x:c>
      <x:c r="E102" s="23" t="n">
        <x:v>3024.8</x:v>
      </x:c>
      <x:c r="F102" s="23" t="n">
        <x:v>2984.8</x:v>
      </x:c>
      <x:c r="G102" s="23" t="n">
        <x:v>3007.6</x:v>
      </x:c>
      <x:c r="H102" s="23" t="n">
        <x:v>38.8</x:v>
      </x:c>
      <x:c r="I102" s="24" t="n">
        <x:v>0.013069253570466177</x:v>
      </x:c>
      <x:c r="J102" s="23" t="n">
        <x:f>ROUND(E102-F102,1)</x:f>
        <x:v>40</x:v>
      </x:c>
      <x:c r="K102" s="22" t="str">
        <x:v>IH2606</x:v>
      </x:c>
    </x:row>
    <x:row r="103">
      <x:c r="A103" s="22" t="n">
        <x:v>2</x:v>
      </x:c>
      <x:c r="B103" s="22" t="str">
        <x:v>周四</x:v>
      </x:c>
      <x:c r="C103" s="22" t="str">
        <x:v>5月7日</x:v>
      </x:c>
      <x:c r="D103" s="23" t="n">
        <x:v>3017.6</x:v>
      </x:c>
      <x:c r="E103" s="23" t="n">
        <x:v>3024.6</x:v>
      </x:c>
      <x:c r="F103" s="23" t="n">
        <x:v>3003.4</x:v>
      </x:c>
      <x:c r="G103" s="23" t="n">
        <x:v>3012</x:v>
      </x:c>
      <x:c r="H103" s="23" t="n">
        <x:v>4.4</x:v>
      </x:c>
      <x:c r="I103" s="24" t="n">
        <x:v>0.0014629605000664458</x:v>
      </x:c>
      <x:c r="J103" s="23" t="n">
        <x:f>ROUND(E103-F103,1)</x:f>
        <x:v>21.2</x:v>
      </x:c>
      <x:c r="K103" s="22" t="str">
        <x:v>IH2606</x:v>
      </x:c>
    </x:row>
    <x:row r="104">
      <x:c r="A104" s="22" t="n">
        <x:v>3</x:v>
      </x:c>
      <x:c r="B104" s="22" t="str">
        <x:v>周五</x:v>
      </x:c>
      <x:c r="C104" s="22" t="str">
        <x:v>5月8日</x:v>
      </x:c>
      <x:c r="D104" s="23" t="n">
        <x:v>3003</x:v>
      </x:c>
      <x:c r="E104" s="23" t="n">
        <x:v>3005</x:v>
      </x:c>
      <x:c r="F104" s="23" t="n">
        <x:v>2969.2</x:v>
      </x:c>
      <x:c r="G104" s="23" t="n">
        <x:v>2981.6</x:v>
      </x:c>
      <x:c r="H104" s="23" t="n">
        <x:v>-30.4</x:v>
      </x:c>
      <x:c r="I104" s="24" t="n">
        <x:v>-0.010092961487383811</x:v>
      </x:c>
      <x:c r="J104" s="23" t="n">
        <x:f>ROUND(E104-F104,1)</x:f>
        <x:v>35.8</x:v>
      </x:c>
      <x:c r="K104" s="22" t="str">
        <x:v>IH2606</x:v>
      </x:c>
    </x:row>
    <x:row r="105">
      <x:c r="A105" s="22" t="n">
        <x:v>4</x:v>
      </x:c>
      <x:c r="B105" s="22" t="str">
        <x:v>周一</x:v>
      </x:c>
      <x:c r="C105" s="22" t="str">
        <x:v>5月11日</x:v>
      </x:c>
      <x:c r="D105" s="23" t="n">
        <x:v>2997.6</x:v>
      </x:c>
      <x:c r="E105" s="23" t="n">
        <x:v>3031.8</x:v>
      </x:c>
      <x:c r="F105" s="23" t="n">
        <x:v>2984.2</x:v>
      </x:c>
      <x:c r="G105" s="23" t="n">
        <x:v>3022.8</x:v>
      </x:c>
      <x:c r="H105" s="23" t="n">
        <x:v>41.2</x:v>
      </x:c>
      <x:c r="I105" s="24" t="n">
        <x:v>0.013818084250067253</x:v>
      </x:c>
      <x:c r="J105" s="23" t="n">
        <x:f>ROUND(E105-F105,1)</x:f>
        <x:v>47.6</x:v>
      </x:c>
      <x:c r="K105" s="22" t="str">
        <x:v>IH2606</x:v>
      </x:c>
    </x:row>
    <x:row r="106">
      <x:c r="A106" s="22" t="n">
        <x:v>5</x:v>
      </x:c>
      <x:c r="B106" s="22" t="str">
        <x:v>周二</x:v>
      </x:c>
      <x:c r="C106" s="22" t="str">
        <x:v>5月12日</x:v>
      </x:c>
      <x:c r="D106" s="23" t="n">
        <x:v>3026</x:v>
      </x:c>
      <x:c r="E106" s="23" t="n">
        <x:v>3038.6</x:v>
      </x:c>
      <x:c r="F106" s="23" t="n">
        <x:v>3016.4</x:v>
      </x:c>
      <x:c r="G106" s="23" t="n">
        <x:v>3029.2</x:v>
      </x:c>
      <x:c r="H106" s="23" t="n">
        <x:v>6.4</x:v>
      </x:c>
      <x:c r="I106" s="24" t="n">
        <x:v>0.0021172422919146783</x:v>
      </x:c>
      <x:c r="J106" s="23" t="n">
        <x:f>ROUND(E106-F106,1)</x:f>
        <x:v>22.2</x:v>
      </x:c>
      <x:c r="K106" s="22" t="str">
        <x:v>IH2606</x:v>
      </x:c>
    </x:row>
    <x:row r="107">
      <x:c r="A107" s="22" t="n">
        <x:v>6</x:v>
      </x:c>
      <x:c r="B107" s="22" t="str">
        <x:v>周三</x:v>
      </x:c>
      <x:c r="C107" s="22" t="str">
        <x:v>5月13日</x:v>
      </x:c>
      <x:c r="D107" s="23" t="n">
        <x:v>3019.8</x:v>
      </x:c>
      <x:c r="E107" s="23" t="n">
        <x:v>3039.4</x:v>
      </x:c>
      <x:c r="F107" s="23" t="n">
        <x:v>3004.6</x:v>
      </x:c>
      <x:c r="G107" s="23" t="n">
        <x:v>3033</x:v>
      </x:c>
      <x:c r="H107" s="23" t="n">
        <x:v>3.8</x:v>
      </x:c>
      <x:c r="I107" s="24" t="n">
        <x:v>0.0012544566222105757</x:v>
      </x:c>
      <x:c r="J107" s="23" t="n">
        <x:f>ROUND(E107-F107,1)</x:f>
        <x:v>34.8</x:v>
      </x:c>
      <x:c r="K107" s="22" t="str">
        <x:v>IH2606</x:v>
      </x:c>
    </x:row>
    <x:row r="108">
      <x:c r="A108" s="22" t="n">
        <x:v>7</x:v>
      </x:c>
      <x:c r="B108" s="22" t="str">
        <x:v>周四</x:v>
      </x:c>
      <x:c r="C108" s="22" t="str">
        <x:v>5月14日</x:v>
      </x:c>
      <x:c r="D108" s="23" t="n">
        <x:v>3038</x:v>
      </x:c>
      <x:c r="E108" s="23" t="n">
        <x:v>3041.8</x:v>
      </x:c>
      <x:c r="F108" s="23" t="n">
        <x:v>2982.6</x:v>
      </x:c>
      <x:c r="G108" s="23" t="n">
        <x:v>2984.6</x:v>
      </x:c>
      <x:c r="H108" s="23" t="n">
        <x:v>-48.4</x:v>
      </x:c>
      <x:c r="I108" s="24" t="n">
        <x:v>-0.01595779756017146</x:v>
      </x:c>
      <x:c r="J108" s="23" t="n">
        <x:f>ROUND(E108-F108,1)</x:f>
        <x:v>59.2</x:v>
      </x:c>
      <x:c r="K108" s="22" t="str">
        <x:v>IH2606</x:v>
      </x:c>
    </x:row>
    <x:row r="109">
      <x:c r="A109" s="41" t="n">
        <x:v>8</x:v>
      </x:c>
      <x:c r="B109" s="41" t="str">
        <x:v>周五</x:v>
      </x:c>
      <x:c r="C109" s="41" t="str">
        <x:v>5月15日</x:v>
      </x:c>
      <x:c r="D109" s="42" t="n">
        <x:v>2980.6</x:v>
      </x:c>
      <x:c r="E109" s="42" t="n">
        <x:v>2985.8</x:v>
      </x:c>
      <x:c r="F109" s="42" t="n">
        <x:v>2927</x:v>
      </x:c>
      <x:c r="G109" s="42" t="n">
        <x:v>2945</x:v>
      </x:c>
      <x:c r="H109" s="42" t="n">
        <x:v>-39.6</x:v>
      </x:c>
      <x:c r="I109" s="43" t="n">
        <x:v>-0.013268109629431035</x:v>
      </x:c>
      <x:c r="J109" s="42" t="n">
        <x:f>ROUND(E109-F109,1)</x:f>
        <x:v>58.8</x:v>
      </x:c>
      <x:c r="K109" s="41" t="str">
        <x:v>IH2606</x:v>
      </x:c>
    </x:row>
    <x:row r="110">
      <x:c r="A110" s="22" t="n">
        <x:v>9</x:v>
      </x:c>
      <x:c r="B110" s="22" t="str">
        <x:v>周一</x:v>
      </x:c>
      <x:c r="C110" s="22" t="str">
        <x:v>5月18日</x:v>
      </x:c>
      <x:c r="D110" s="23" t="n">
        <x:v>2936</x:v>
      </x:c>
      <x:c r="E110" s="23" t="n">
        <x:v>2944.8</x:v>
      </x:c>
      <x:c r="F110" s="23" t="n">
        <x:v>2903.4</x:v>
      </x:c>
      <x:c r="G110" s="23" t="n">
        <x:v>2922.4</x:v>
      </x:c>
      <x:c r="H110" s="23" t="n">
        <x:v>-22.6</x:v>
      </x:c>
      <x:c r="I110" s="24" t="n">
        <x:v>-0.007674023769100091</x:v>
      </x:c>
      <x:c r="J110" s="23" t="n">
        <x:f>ROUND(E110-F110,1)</x:f>
        <x:v>41.4</x:v>
      </x:c>
      <x:c r="K110" s="22" t="str">
        <x:v>IH2606</x:v>
      </x:c>
    </x:row>
    <x:row r="111">
      <x:c r="A111" s="22" t="n">
        <x:v>10</x:v>
      </x:c>
      <x:c r="B111" s="22" t="str">
        <x:v>周二</x:v>
      </x:c>
      <x:c r="C111" s="22" t="str">
        <x:v>5月19日</x:v>
      </x:c>
      <x:c r="D111" s="23" t="n">
        <x:v>2922.4</x:v>
      </x:c>
      <x:c r="E111" s="23" t="n">
        <x:v>2935.4</x:v>
      </x:c>
      <x:c r="F111" s="23" t="n">
        <x:v>2901</x:v>
      </x:c>
      <x:c r="G111" s="23" t="n">
        <x:v>2931.4</x:v>
      </x:c>
      <x:c r="H111" s="23" t="n">
        <x:v>9</x:v>
      </x:c>
      <x:c r="I111" s="24" t="n">
        <x:v>0.0030796605529701537</x:v>
      </x:c>
      <x:c r="J111" s="23" t="n">
        <x:f>ROUND(E111-F111,1)</x:f>
        <x:v>34.4</x:v>
      </x:c>
      <x:c r="K111" s="22" t="str">
        <x:v>IH2606</x:v>
      </x:c>
    </x:row>
    <x:row r="112">
      <x:c r="A112" s="22" t="n">
        <x:v>11</x:v>
      </x:c>
      <x:c r="B112" s="22" t="str">
        <x:v>周三</x:v>
      </x:c>
      <x:c r="C112" s="22" t="str">
        <x:v>5月20日</x:v>
      </x:c>
      <x:c r="D112" s="23" t="n">
        <x:v>2919</x:v>
      </x:c>
      <x:c r="E112" s="23" t="n">
        <x:v>2944</x:v>
      </x:c>
      <x:c r="F112" s="23" t="n">
        <x:v>2916.8</x:v>
      </x:c>
      <x:c r="G112" s="23" t="n">
        <x:v>2934.8</x:v>
      </x:c>
      <x:c r="H112" s="23" t="n">
        <x:v>3.4</x:v>
      </x:c>
      <x:c r="I112" s="24" t="n">
        <x:v>0.0011598553592140348</x:v>
      </x:c>
      <x:c r="J112" s="23" t="n">
        <x:f>ROUND(E112-F112,1)</x:f>
        <x:v>27.2</x:v>
      </x:c>
      <x:c r="K112" s="22" t="str">
        <x:v>IH2606</x:v>
      </x:c>
    </x:row>
    <x:row r="113">
      <x:c r="A113" s="22" t="n">
        <x:v>12</x:v>
      </x:c>
      <x:c r="B113" s="22" t="str">
        <x:v>周四</x:v>
      </x:c>
      <x:c r="C113" s="22" t="str">
        <x:v>5月21日</x:v>
      </x:c>
      <x:c r="D113" s="23" t="n">
        <x:v>2950</x:v>
      </x:c>
      <x:c r="E113" s="23" t="n">
        <x:v>2981.8</x:v>
      </x:c>
      <x:c r="F113" s="23" t="n">
        <x:v>2899.8</x:v>
      </x:c>
      <x:c r="G113" s="23" t="n">
        <x:v>2903.8</x:v>
      </x:c>
      <x:c r="H113" s="23" t="n">
        <x:v>-31</x:v>
      </x:c>
      <x:c r="I113" s="24" t="n">
        <x:v>-0.010562900367997785</x:v>
      </x:c>
      <x:c r="J113" s="26" t="n">
        <x:f>ROUND(E113-F113,1)</x:f>
        <x:v>82</x:v>
      </x:c>
      <x:c r="K113" s="22" t="str">
        <x:v>IH2606</x:v>
      </x:c>
    </x:row>
    <x:row r="114">
      <x:c r="A114" s="22" t="n">
        <x:v>13</x:v>
      </x:c>
      <x:c r="B114" s="22" t="str">
        <x:v>周五</x:v>
      </x:c>
      <x:c r="C114" s="22" t="str">
        <x:v>5月22日</x:v>
      </x:c>
      <x:c r="D114" s="23" t="n">
        <x:v>2920</x:v>
      </x:c>
      <x:c r="E114" s="23" t="n">
        <x:v>2920</x:v>
      </x:c>
      <x:c r="F114" s="23" t="n">
        <x:v>2893.2</x:v>
      </x:c>
      <x:c r="G114" s="23" t="n">
        <x:v>2899.2</x:v>
      </x:c>
      <x:c r="H114" s="23" t="n">
        <x:v>-4.6</x:v>
      </x:c>
      <x:c r="I114" s="24" t="n">
        <x:v>-0.0015841311385083046</x:v>
      </x:c>
      <x:c r="J114" s="23" t="n">
        <x:f>ROUND(E114-F114,1)</x:f>
        <x:v>26.8</x:v>
      </x:c>
      <x:c r="K114" s="22" t="str">
        <x:v>IH2606</x:v>
      </x:c>
    </x:row>
    <x:row r="115">
      <x:c r="A115" s="22" t="n">
        <x:v>14</x:v>
      </x:c>
      <x:c r="B115" s="22" t="str">
        <x:v>周一</x:v>
      </x:c>
      <x:c r="C115" s="22" t="str">
        <x:v>5月25日</x:v>
      </x:c>
      <x:c r="D115" s="23" t="n">
        <x:v>2910.8</x:v>
      </x:c>
      <x:c r="E115" s="23" t="n">
        <x:v>2948.6</x:v>
      </x:c>
      <x:c r="F115" s="23" t="n">
        <x:v>2908.2</x:v>
      </x:c>
      <x:c r="G115" s="23" t="n">
        <x:v>2943.2</x:v>
      </x:c>
      <x:c r="H115" s="23" t="n">
        <x:v>44</x:v>
      </x:c>
      <x:c r="I115" s="24" t="n">
        <x:v>0.015176600441501042</x:v>
      </x:c>
      <x:c r="J115" s="23" t="n">
        <x:f>ROUND(E115-F115,1)</x:f>
        <x:v>40.4</x:v>
      </x:c>
      <x:c r="K115" s="22" t="str">
        <x:v>IH2606</x:v>
      </x:c>
    </x:row>
    <x:row r="116">
      <x:c r="A116" s="22" t="n">
        <x:v>15</x:v>
      </x:c>
      <x:c r="B116" s="22" t="str">
        <x:v>周二</x:v>
      </x:c>
      <x:c r="C116" s="22" t="str">
        <x:v>5月26日</x:v>
      </x:c>
      <x:c r="D116" s="23" t="n">
        <x:v>2938</x:v>
      </x:c>
      <x:c r="E116" s="23" t="n">
        <x:v>2958.4</x:v>
      </x:c>
      <x:c r="F116" s="23" t="n">
        <x:v>2928.2</x:v>
      </x:c>
      <x:c r="G116" s="23" t="n">
        <x:v>2955.6</x:v>
      </x:c>
      <x:c r="H116" s="23" t="n">
        <x:v>12.4</x:v>
      </x:c>
      <x:c r="I116" s="24" t="n">
        <x:v>0.00421310138624631</x:v>
      </x:c>
      <x:c r="J116" s="23" t="n">
        <x:f>ROUND(E116-F116,1)</x:f>
        <x:v>30.2</x:v>
      </x:c>
      <x:c r="K116" s="22" t="str">
        <x:v>IH2606</x:v>
      </x:c>
    </x:row>
    <x:row r="117">
      <x:c r="A117" s="22" t="n">
        <x:v>16</x:v>
      </x:c>
      <x:c r="B117" s="22" t="str">
        <x:v>周三</x:v>
      </x:c>
      <x:c r="C117" s="22" t="str">
        <x:v>5月27日</x:v>
      </x:c>
      <x:c r="D117" s="23" t="n">
        <x:v>2955</x:v>
      </x:c>
      <x:c r="E117" s="23" t="n">
        <x:v>2960</x:v>
      </x:c>
      <x:c r="F117" s="23" t="n">
        <x:v>2896.6</x:v>
      </x:c>
      <x:c r="G117" s="23" t="n">
        <x:v>2910.8</x:v>
      </x:c>
      <x:c r="H117" s="23" t="n">
        <x:v>-44.8</x:v>
      </x:c>
      <x:c r="I117" s="24" t="n">
        <x:v>-0.015157666802002923</x:v>
      </x:c>
      <x:c r="J117" s="26" t="n">
        <x:f>ROUND(E117-F117,1)</x:f>
        <x:v>63.4</x:v>
      </x:c>
      <x:c r="K117" s="22" t="str">
        <x:v>IH2606</x:v>
      </x:c>
    </x:row>
    <x:row r="118">
      <x:c r="A118" s="22" t="n">
        <x:v>17</x:v>
      </x:c>
      <x:c r="B118" s="22" t="str">
        <x:v>周四</x:v>
      </x:c>
      <x:c r="C118" s="22" t="str">
        <x:v>5月28日</x:v>
      </x:c>
      <x:c r="D118" s="23" t="n">
        <x:v>2900</x:v>
      </x:c>
      <x:c r="E118" s="23" t="n">
        <x:v>2911.6</x:v>
      </x:c>
      <x:c r="F118" s="23" t="n">
        <x:v>2871</x:v>
      </x:c>
      <x:c r="G118" s="23" t="n">
        <x:v>2890.4</x:v>
      </x:c>
      <x:c r="H118" s="23" t="n">
        <x:v>-20.4</x:v>
      </x:c>
      <x:c r="I118" s="24" t="n">
        <x:v>-0.00700838257523706</x:v>
      </x:c>
      <x:c r="J118" s="23" t="n">
        <x:f>ROUND(E118-F118,1)</x:f>
        <x:v>40.6</x:v>
      </x:c>
      <x:c r="K118" s="22" t="str">
        <x:v>IH2606</x:v>
      </x:c>
    </x:row>
    <x:row r="119">
      <x:c r="A119" s="22" t="n">
        <x:v>18</x:v>
      </x:c>
      <x:c r="B119" s="22" t="str">
        <x:v>周五</x:v>
      </x:c>
      <x:c r="C119" s="22" t="str">
        <x:v>5月29日</x:v>
      </x:c>
      <x:c r="D119" s="23" t="n">
        <x:v>2901.2</x:v>
      </x:c>
      <x:c r="E119" s="23" t="n">
        <x:v>2919.8</x:v>
      </x:c>
      <x:c r="F119" s="23" t="n">
        <x:v>2886.4</x:v>
      </x:c>
      <x:c r="G119" s="23" t="n">
        <x:v>2900.6</x:v>
      </x:c>
      <x:c r="H119" s="23" t="n">
        <x:v>10.2</x:v>
      </x:c>
      <x:c r="I119" s="24" t="n">
        <x:v>0.003528923332410727</x:v>
      </x:c>
      <x:c r="J119" s="23" t="n">
        <x:f>ROUND(E119-F119,1)</x:f>
        <x:v>33.4</x:v>
      </x:c>
      <x:c r="K119" s="22" t="str">
        <x:v>IH2606</x:v>
      </x:c>
    </x:row>
    <x:row r="120">
      <x:c r="A120" s="31" t="str">
        <x:v>合计</x:v>
      </x:c>
      <x:c r="B120" s="30" t="n">
        <x:v>18</x:v>
      </x:c>
      <x:c r="C120" s="30"/>
      <x:c r="D120" s="30"/>
      <x:c r="E120" s="30"/>
      <x:c r="F120" s="30"/>
      <x:c r="G120" s="30"/>
      <x:c r="H120" s="30"/>
      <x:c r="I120" s="30"/>
      <x:c r="J120" s="32" t="n">
        <x:f>ROUND(SUM(J102:J119),1)</x:f>
        <x:v>739.4</x:v>
      </x:c>
      <x:c r="K120" s="30"/>
    </x:row>
    <x:row r="121">
      <x:c r="A121" s="31" t="str">
        <x:v>均值</x:v>
      </x:c>
      <x:c r="B121" s="30"/>
      <x:c r="C121" s="30"/>
      <x:c r="D121" s="30"/>
      <x:c r="E121" s="30"/>
      <x:c r="F121" s="30"/>
      <x:c r="G121" s="30"/>
      <x:c r="H121" s="30"/>
      <x:c r="I121" s="30"/>
      <x:c r="J121" s="34" t="n">
        <x:f>ROUND(IFERROR(AVERAGE(J102:J119),0),1)</x:f>
        <x:v>41.1</x:v>
      </x:c>
      <x:c r="K121" s="30"/>
    </x:row>
    <x:row r="123">
      <x:c r="A123" s="17" t="str">
        <x:v>6月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20" t="str">
        <x:v>序号</x:v>
      </x:c>
      <x:c r="B124" s="20" t="str">
        <x:v>星期</x:v>
      </x:c>
      <x:c r="C124" s="20" t="str">
        <x:v>日期</x:v>
      </x:c>
      <x:c r="D124" s="20" t="str">
        <x:v>开盘</x:v>
      </x:c>
      <x:c r="E124" s="20" t="str">
        <x:v>高点</x:v>
      </x:c>
      <x:c r="F124" s="20" t="str">
        <x:v>低点</x:v>
      </x:c>
      <x:c r="G124" s="20" t="str">
        <x:v>收盘</x:v>
      </x:c>
      <x:c r="H124" s="20" t="str">
        <x:v>涨跌点数</x:v>
      </x:c>
      <x:c r="I124" s="20" t="str">
        <x:v>涨幅</x:v>
      </x:c>
      <x:c r="J124" s="20" t="str">
        <x:v>振幅</x:v>
      </x:c>
      <x:c r="K124" s="20" t="str">
        <x:v>标的</x:v>
      </x:c>
    </x:row>
    <x:row r="125">
      <x:c r="A125" s="22" t="n">
        <x:v>1</x:v>
      </x:c>
      <x:c r="B125" s="22" t="str">
        <x:v>周一</x:v>
      </x:c>
      <x:c r="C125" s="22" t="str">
        <x:v>6月1日</x:v>
      </x:c>
      <x:c r="D125" s="23" t="n">
        <x:v>2901</x:v>
      </x:c>
      <x:c r="E125" s="23" t="n">
        <x:v>2909</x:v>
      </x:c>
      <x:c r="F125" s="23" t="n">
        <x:v>2870</x:v>
      </x:c>
      <x:c r="G125" s="23" t="n">
        <x:v>2880.2</x:v>
      </x:c>
      <x:c r="H125" s="23" t="n">
        <x:v>-20.4</x:v>
      </x:c>
      <x:c r="I125" s="24" t="n">
        <x:v>-0.007033027649451906</x:v>
      </x:c>
      <x:c r="J125" s="23" t="n">
        <x:f>ROUND(E125-F125,1)</x:f>
        <x:v>39</x:v>
      </x:c>
      <x:c r="K125" s="22" t="str">
        <x:v>IH2606</x:v>
      </x:c>
    </x:row>
    <x:row r="126">
      <x:c r="A126" s="22" t="n">
        <x:v>2</x:v>
      </x:c>
      <x:c r="B126" s="22" t="str">
        <x:v>周二</x:v>
      </x:c>
      <x:c r="C126" s="22" t="str">
        <x:v>6月2日</x:v>
      </x:c>
      <x:c r="D126" s="23" t="n">
        <x:v>2885.6</x:v>
      </x:c>
      <x:c r="E126" s="23" t="n">
        <x:v>2920.6</x:v>
      </x:c>
      <x:c r="F126" s="23" t="n">
        <x:v>2877</x:v>
      </x:c>
      <x:c r="G126" s="23" t="n">
        <x:v>2902.8</x:v>
      </x:c>
      <x:c r="H126" s="23" t="n">
        <x:v>22.6</x:v>
      </x:c>
      <x:c r="I126" s="24" t="n">
        <x:v>0.007846677314075512</x:v>
      </x:c>
      <x:c r="J126" s="23" t="n">
        <x:f>ROUND(E126-F126,1)</x:f>
        <x:v>43.6</x:v>
      </x:c>
      <x:c r="K126" s="22" t="str">
        <x:v>IH2606</x:v>
      </x:c>
    </x:row>
    <x:row r="127">
      <x:c r="A127" s="22" t="n">
        <x:v>3</x:v>
      </x:c>
      <x:c r="B127" s="22" t="str">
        <x:v>周三</x:v>
      </x:c>
      <x:c r="C127" s="22" t="str">
        <x:v>6月3日</x:v>
      </x:c>
      <x:c r="D127" s="23" t="n">
        <x:v>2898.8</x:v>
      </x:c>
      <x:c r="E127" s="23" t="n">
        <x:v>2924.2</x:v>
      </x:c>
      <x:c r="F127" s="23" t="n">
        <x:v>2892.2</x:v>
      </x:c>
      <x:c r="G127" s="23" t="n">
        <x:v>2907.8</x:v>
      </x:c>
      <x:c r="H127" s="23" t="n">
        <x:v>5</x:v>
      </x:c>
      <x:c r="I127" s="24" t="n">
        <x:v>0.0017224748518671618</x:v>
      </x:c>
      <x:c r="J127" s="23" t="n">
        <x:f>ROUND(E127-F127,1)</x:f>
        <x:v>32</x:v>
      </x:c>
      <x:c r="K127" s="22" t="str">
        <x:v>IH2606</x:v>
      </x:c>
    </x:row>
    <x:row r="128">
      <x:c r="A128" s="22" t="n">
        <x:v>4</x:v>
      </x:c>
      <x:c r="B128" s="22" t="str">
        <x:v>周四</x:v>
      </x:c>
      <x:c r="C128" s="22" t="str">
        <x:v>6月4日</x:v>
      </x:c>
      <x:c r="D128" s="23" t="n">
        <x:v>2895.4</x:v>
      </x:c>
      <x:c r="E128" s="23" t="n">
        <x:v>2903</x:v>
      </x:c>
      <x:c r="F128" s="23" t="n">
        <x:v>2865.6</x:v>
      </x:c>
      <x:c r="G128" s="23" t="n">
        <x:v>2871.8</x:v>
      </x:c>
      <x:c r="H128" s="23" t="n">
        <x:v>-36</x:v>
      </x:c>
      <x:c r="I128" s="24" t="n">
        <x:v>-0.012380493844143303</x:v>
      </x:c>
      <x:c r="J128" s="23" t="n">
        <x:f>ROUND(E128-F128,1)</x:f>
        <x:v>37.4</x:v>
      </x:c>
      <x:c r="K128" s="22" t="str">
        <x:v>IH2606</x:v>
      </x:c>
    </x:row>
    <x:row r="129">
      <x:c r="A129" s="22" t="n">
        <x:v>5</x:v>
      </x:c>
      <x:c r="B129" s="22" t="str">
        <x:v>周五</x:v>
      </x:c>
      <x:c r="C129" s="22" t="str">
        <x:v>6月5日</x:v>
      </x:c>
      <x:c r="D129" s="23" t="n">
        <x:v>2868.6</x:v>
      </x:c>
      <x:c r="E129" s="23" t="n">
        <x:v>2892.8</x:v>
      </x:c>
      <x:c r="F129" s="23" t="n">
        <x:v>2841.6</x:v>
      </x:c>
      <x:c r="G129" s="23" t="n">
        <x:v>2844</x:v>
      </x:c>
      <x:c r="H129" s="23" t="n">
        <x:v>-27.8</x:v>
      </x:c>
      <x:c r="I129" s="24" t="n">
        <x:v>-0.009680339856536047</x:v>
      </x:c>
      <x:c r="J129" s="23" t="n">
        <x:f>ROUND(E129-F129,1)</x:f>
        <x:v>51.2</x:v>
      </x:c>
      <x:c r="K129" s="22" t="str">
        <x:v>IH2606</x:v>
      </x:c>
    </x:row>
    <x:row r="130">
      <x:c r="A130" s="22" t="n">
        <x:v>6</x:v>
      </x:c>
      <x:c r="B130" s="22" t="str">
        <x:v>周一</x:v>
      </x:c>
      <x:c r="C130" s="22" t="str">
        <x:v>6月8日</x:v>
      </x:c>
      <x:c r="D130" s="23" t="n">
        <x:v>2808.4</x:v>
      </x:c>
      <x:c r="E130" s="23" t="n">
        <x:v>2833.2</x:v>
      </x:c>
      <x:c r="F130" s="23" t="n">
        <x:v>2791.2</x:v>
      </x:c>
      <x:c r="G130" s="23" t="n">
        <x:v>2813</x:v>
      </x:c>
      <x:c r="H130" s="23" t="n">
        <x:v>-31</x:v>
      </x:c>
      <x:c r="I130" s="24" t="n">
        <x:v>-0.010900140646976086</x:v>
      </x:c>
      <x:c r="J130" s="23" t="n">
        <x:f>ROUND(E130-F130,1)</x:f>
        <x:v>42</x:v>
      </x:c>
      <x:c r="K130" s="22" t="str">
        <x:v>IH2606</x:v>
      </x:c>
    </x:row>
    <x:row r="131">
      <x:c r="A131" s="22" t="n">
        <x:v>7</x:v>
      </x:c>
      <x:c r="B131" s="22" t="str">
        <x:v>周二</x:v>
      </x:c>
      <x:c r="C131" s="22" t="str">
        <x:v>6月9日</x:v>
      </x:c>
      <x:c r="D131" s="23" t="n">
        <x:v>2817</x:v>
      </x:c>
      <x:c r="E131" s="23" t="n">
        <x:v>2822.6</x:v>
      </x:c>
      <x:c r="F131" s="23" t="n">
        <x:v>2795.6</x:v>
      </x:c>
      <x:c r="G131" s="23" t="n">
        <x:v>2817.2</x:v>
      </x:c>
      <x:c r="H131" s="23" t="n">
        <x:v>4.2</x:v>
      </x:c>
      <x:c r="I131" s="24" t="n">
        <x:v>0.0014930678990401347</x:v>
      </x:c>
      <x:c r="J131" s="23" t="n">
        <x:f>ROUND(E131-F131,1)</x:f>
        <x:v>27</x:v>
      </x:c>
      <x:c r="K131" s="22" t="str">
        <x:v>IH2606</x:v>
      </x:c>
    </x:row>
    <x:row r="132">
      <x:c r="A132" s="22" t="n">
        <x:v>8</x:v>
      </x:c>
      <x:c r="B132" s="22" t="str">
        <x:v>周三</x:v>
      </x:c>
      <x:c r="C132" s="22" t="str">
        <x:v>6月10日</x:v>
      </x:c>
      <x:c r="D132" s="23" t="n">
        <x:v>2810</x:v>
      </x:c>
      <x:c r="E132" s="23" t="n">
        <x:v>2840.4</x:v>
      </x:c>
      <x:c r="F132" s="23" t="n">
        <x:v>2809</x:v>
      </x:c>
      <x:c r="G132" s="23" t="n">
        <x:v>2833.8</x:v>
      </x:c>
      <x:c r="H132" s="23" t="n">
        <x:v>16.6</x:v>
      </x:c>
      <x:c r="I132" s="24" t="n">
        <x:v>0.005892375408206751</x:v>
      </x:c>
      <x:c r="J132" s="23" t="n">
        <x:f>ROUND(E132-F132,1)</x:f>
        <x:v>31.4</x:v>
      </x:c>
      <x:c r="K132" s="22" t="str">
        <x:v>IH2606</x:v>
      </x:c>
    </x:row>
    <x:row r="133">
      <x:c r="A133" s="22" t="n">
        <x:v>9</x:v>
      </x:c>
      <x:c r="B133" s="22" t="str">
        <x:v>周四</x:v>
      </x:c>
      <x:c r="C133" s="22" t="str">
        <x:v>6月11日</x:v>
      </x:c>
      <x:c r="D133" s="23" t="n">
        <x:v>2833.4</x:v>
      </x:c>
      <x:c r="E133" s="23" t="n">
        <x:v>2841.8</x:v>
      </x:c>
      <x:c r="F133" s="23" t="n">
        <x:v>2815.6</x:v>
      </x:c>
      <x:c r="G133" s="23" t="n">
        <x:v>2835.8</x:v>
      </x:c>
      <x:c r="H133" s="23" t="n">
        <x:v>2</x:v>
      </x:c>
      <x:c r="I133" s="24" t="n">
        <x:v>0.0007057661091114387</x:v>
      </x:c>
      <x:c r="J133" s="23" t="n">
        <x:f>ROUND(E133-F133,1)</x:f>
        <x:v>26.2</x:v>
      </x:c>
      <x:c r="K133" s="22" t="str">
        <x:v>IH2606</x:v>
      </x:c>
    </x:row>
    <x:row r="134">
      <x:c r="A134" s="22" t="n">
        <x:v>10</x:v>
      </x:c>
      <x:c r="B134" s="22" t="str">
        <x:v>周五</x:v>
      </x:c>
      <x:c r="C134" s="22" t="str">
        <x:v>6月12日</x:v>
      </x:c>
      <x:c r="D134" s="23" t="n">
        <x:v>2846.4</x:v>
      </x:c>
      <x:c r="E134" s="23" t="n">
        <x:v>2902.6</x:v>
      </x:c>
      <x:c r="F134" s="23" t="n">
        <x:v>2844</x:v>
      </x:c>
      <x:c r="G134" s="23" t="n">
        <x:v>2897.2</x:v>
      </x:c>
      <x:c r="H134" s="23" t="n">
        <x:v>61.4</x:v>
      </x:c>
      <x:c r="I134" s="24" t="n">
        <x:v>0.021651738486494043</x:v>
      </x:c>
      <x:c r="J134" s="23" t="n">
        <x:f>ROUND(E134-F134,1)</x:f>
        <x:v>58.6</x:v>
      </x:c>
      <x:c r="K134" s="22" t="str">
        <x:v>IH2606</x:v>
      </x:c>
    </x:row>
    <x:row r="135">
      <x:c r="A135" s="22" t="n">
        <x:v>11</x:v>
      </x:c>
      <x:c r="B135" s="22" t="str">
        <x:v>周一</x:v>
      </x:c>
      <x:c r="C135" s="22" t="str">
        <x:v>6月15日</x:v>
      </x:c>
      <x:c r="D135" s="23" t="n">
        <x:v>2926.2</x:v>
      </x:c>
      <x:c r="E135" s="23" t="n">
        <x:v>2950.8</x:v>
      </x:c>
      <x:c r="F135" s="23" t="n">
        <x:v>2911</x:v>
      </x:c>
      <x:c r="G135" s="23" t="n">
        <x:v>2938.6</x:v>
      </x:c>
      <x:c r="H135" s="23" t="n">
        <x:v>41.4</x:v>
      </x:c>
      <x:c r="I135" s="24" t="n">
        <x:v>0.014289658981085251</x:v>
      </x:c>
      <x:c r="J135" s="23" t="n">
        <x:f>ROUND(E135-F135,1)</x:f>
        <x:v>39.8</x:v>
      </x:c>
      <x:c r="K135" s="22" t="str">
        <x:v>IH2606</x:v>
      </x:c>
    </x:row>
    <x:row r="136">
      <x:c r="A136" s="22" t="n">
        <x:v>12</x:v>
      </x:c>
      <x:c r="B136" s="22" t="str">
        <x:v>周二</x:v>
      </x:c>
      <x:c r="C136" s="22" t="str">
        <x:v>6月16日</x:v>
      </x:c>
      <x:c r="D136" s="23" t="n">
        <x:v>2930</x:v>
      </x:c>
      <x:c r="E136" s="23" t="n">
        <x:v>2935.2</x:v>
      </x:c>
      <x:c r="F136" s="23" t="n">
        <x:v>2905</x:v>
      </x:c>
      <x:c r="G136" s="23" t="n">
        <x:v>2911</x:v>
      </x:c>
      <x:c r="H136" s="23" t="n">
        <x:v>-27.6</x:v>
      </x:c>
      <x:c r="I136" s="24" t="n">
        <x:v>-0.00939222759137004</x:v>
      </x:c>
      <x:c r="J136" s="23" t="n">
        <x:f>ROUND(E136-F136,1)</x:f>
        <x:v>30.2</x:v>
      </x:c>
      <x:c r="K136" s="22" t="str">
        <x:v>IH2606</x:v>
      </x:c>
    </x:row>
    <x:row r="137">
      <x:c r="A137" s="22" t="n">
        <x:v>13</x:v>
      </x:c>
      <x:c r="B137" s="22" t="str">
        <x:v>周三</x:v>
      </x:c>
      <x:c r="C137" s="22" t="str">
        <x:v>6月17日</x:v>
      </x:c>
      <x:c r="D137" s="23" t="n">
        <x:v>2910.2</x:v>
      </x:c>
      <x:c r="E137" s="23" t="n">
        <x:v>2935.8</x:v>
      </x:c>
      <x:c r="F137" s="23" t="n">
        <x:v>2903.4</x:v>
      </x:c>
      <x:c r="G137" s="23" t="n">
        <x:v>2935</x:v>
      </x:c>
      <x:c r="H137" s="23" t="n">
        <x:v>24</x:v>
      </x:c>
      <x:c r="I137" s="24" t="n">
        <x:v>0.008244589488148435</x:v>
      </x:c>
      <x:c r="J137" s="23" t="n">
        <x:f>ROUND(E137-F137,1)</x:f>
        <x:v>32.4</x:v>
      </x:c>
      <x:c r="K137" s="22" t="str">
        <x:v>IH2606</x:v>
      </x:c>
    </x:row>
    <x:row r="138">
      <x:c r="A138" s="22" t="n">
        <x:v>14</x:v>
      </x:c>
      <x:c r="B138" s="22" t="str">
        <x:v>周四</x:v>
      </x:c>
      <x:c r="C138" s="22" t="str">
        <x:v>6月18日</x:v>
      </x:c>
      <x:c r="D138" s="23" t="n">
        <x:v>2923.8</x:v>
      </x:c>
      <x:c r="E138" s="23" t="n">
        <x:v>2954.6</x:v>
      </x:c>
      <x:c r="F138" s="23" t="n">
        <x:v>2922.4</x:v>
      </x:c>
      <x:c r="G138" s="23" t="n">
        <x:v>2941</x:v>
      </x:c>
      <x:c r="H138" s="23" t="n">
        <x:v>6</x:v>
      </x:c>
      <x:c r="I138" s="24" t="n">
        <x:v>0.002044293015332155</x:v>
      </x:c>
      <x:c r="J138" s="23" t="n">
        <x:f>ROUND(E138-F138,1)</x:f>
        <x:v>32.2</x:v>
      </x:c>
      <x:c r="K138" s="22" t="str">
        <x:v>IH2606</x:v>
      </x:c>
    </x:row>
    <x:row r="139">
      <x:c r="A139" s="41" t="n">
        <x:v>15</x:v>
      </x:c>
      <x:c r="B139" s="41" t="str">
        <x:v>周一</x:v>
      </x:c>
      <x:c r="C139" s="41" t="str">
        <x:v>6月22日</x:v>
      </x:c>
      <x:c r="D139" s="42" t="n">
        <x:v>2936</x:v>
      </x:c>
      <x:c r="E139" s="42" t="n">
        <x:v>2996</x:v>
      </x:c>
      <x:c r="F139" s="42" t="n">
        <x:v>2918.2</x:v>
      </x:c>
      <x:c r="G139" s="42" t="n">
        <x:v>2995.6</x:v>
      </x:c>
      <x:c r="H139" s="42" t="n">
        <x:v>54.6</x:v>
      </x:c>
      <x:c r="I139" s="43" t="n">
        <x:v>0.018565113906834352</x:v>
      </x:c>
      <x:c r="J139" s="26" t="n">
        <x:f>ROUND(E139-F139,1)</x:f>
        <x:v>77.8</x:v>
      </x:c>
      <x:c r="K139" s="41" t="str">
        <x:v>IH2606</x:v>
      </x:c>
    </x:row>
    <x:row r="140">
      <x:c r="A140" s="22" t="n">
        <x:v>16</x:v>
      </x:c>
      <x:c r="B140" s="22" t="str">
        <x:v>周二</x:v>
      </x:c>
      <x:c r="C140" s="22" t="str">
        <x:v>6月23日</x:v>
      </x:c>
      <x:c r="D140" s="23" t="n">
        <x:v>2970</x:v>
      </x:c>
      <x:c r="E140" s="23" t="n">
        <x:v>2985.2</x:v>
      </x:c>
      <x:c r="F140" s="23" t="n">
        <x:v>2873.2</x:v>
      </x:c>
      <x:c r="G140" s="23" t="n">
        <x:v>2884.6</x:v>
      </x:c>
      <x:c r="H140" s="23" t="n">
        <x:v>-111</x:v>
      </x:c>
      <x:c r="I140" s="24" t="n">
        <x:v>-0.037054346374682856</x:v>
      </x:c>
      <x:c r="J140" s="26" t="n">
        <x:f>ROUND(E140-F140,1)</x:f>
        <x:v>112</x:v>
      </x:c>
      <x:c r="K140" s="22" t="str">
        <x:v>IH2609</x:v>
      </x:c>
    </x:row>
    <x:row r="141">
      <x:c r="A141" s="22" t="n">
        <x:v>17</x:v>
      </x:c>
      <x:c r="B141" s="22" t="str">
        <x:v>周三</x:v>
      </x:c>
      <x:c r="C141" s="22" t="str">
        <x:v>6月24日</x:v>
      </x:c>
      <x:c r="D141" s="23" t="n">
        <x:v>2890</x:v>
      </x:c>
      <x:c r="E141" s="23" t="n">
        <x:v>2905.8</x:v>
      </x:c>
      <x:c r="F141" s="23" t="n">
        <x:v>2885</x:v>
      </x:c>
      <x:c r="G141" s="23" t="n">
        <x:v>2896.2</x:v>
      </x:c>
      <x:c r="H141" s="23" t="n">
        <x:v>11.6</x:v>
      </x:c>
      <x:c r="I141" s="24" t="n">
        <x:v>0.004021354780558761</x:v>
      </x:c>
      <x:c r="J141" s="23" t="n">
        <x:f>ROUND(E141-F141,1)</x:f>
        <x:v>20.8</x:v>
      </x:c>
      <x:c r="K141" s="22" t="str">
        <x:v>IH2609</x:v>
      </x:c>
    </x:row>
    <x:row r="142">
      <x:c r="A142" s="22" t="n">
        <x:v>18</x:v>
      </x:c>
      <x:c r="B142" s="22" t="str">
        <x:v>周四</x:v>
      </x:c>
      <x:c r="C142" s="22" t="str">
        <x:v>6月25日</x:v>
      </x:c>
      <x:c r="D142" s="23" t="n">
        <x:v>2895.4</x:v>
      </x:c>
      <x:c r="E142" s="23" t="n">
        <x:v>2946.4</x:v>
      </x:c>
      <x:c r="F142" s="23" t="n">
        <x:v>2891.2</x:v>
      </x:c>
      <x:c r="G142" s="23" t="n">
        <x:v>2924.8</x:v>
      </x:c>
      <x:c r="H142" s="23" t="n">
        <x:v>28.6</x:v>
      </x:c>
      <x:c r="I142" s="24" t="n">
        <x:v>0.009875008632000748</x:v>
      </x:c>
      <x:c r="J142" s="23" t="n">
        <x:f>ROUND(E142-F142,1)</x:f>
        <x:v>55.2</x:v>
      </x:c>
      <x:c r="K142" s="22" t="str">
        <x:v>IH2609</x:v>
      </x:c>
    </x:row>
    <x:row r="143">
      <x:c r="A143" s="22" t="n">
        <x:v>19</x:v>
      </x:c>
      <x:c r="B143" s="22" t="str">
        <x:v>周五</x:v>
      </x:c>
      <x:c r="C143" s="22" t="str">
        <x:v>6月26日</x:v>
      </x:c>
      <x:c r="D143" s="23" t="n">
        <x:v>2917.4</x:v>
      </x:c>
      <x:c r="E143" s="23" t="n">
        <x:v>2920.8</x:v>
      </x:c>
      <x:c r="F143" s="23" t="n">
        <x:v>2834.8</x:v>
      </x:c>
      <x:c r="G143" s="23" t="n">
        <x:v>2859</x:v>
      </x:c>
      <x:c r="H143" s="23" t="n">
        <x:v>-65.8</x:v>
      </x:c>
      <x:c r="I143" s="24" t="n">
        <x:v>-0.02249726477024072</x:v>
      </x:c>
      <x:c r="J143" s="26" t="n">
        <x:f>ROUND(E143-F143,1)</x:f>
        <x:v>86</x:v>
      </x:c>
      <x:c r="K143" s="22" t="str">
        <x:v>IH2609</x:v>
      </x:c>
    </x:row>
    <x:row r="144">
      <x:c r="A144" s="22" t="n">
        <x:v>20</x:v>
      </x:c>
      <x:c r="B144" s="22" t="str">
        <x:v>周一</x:v>
      </x:c>
      <x:c r="C144" s="22" t="str">
        <x:v>6月29日</x:v>
      </x:c>
      <x:c r="D144" s="23" t="n">
        <x:v>2870</x:v>
      </x:c>
      <x:c r="E144" s="23" t="n">
        <x:v>2935</x:v>
      </x:c>
      <x:c r="F144" s="23" t="n">
        <x:v>2866.8</x:v>
      </x:c>
      <x:c r="G144" s="23" t="n">
        <x:v>2928</x:v>
      </x:c>
      <x:c r="H144" s="23" t="n">
        <x:v>69</x:v>
      </x:c>
      <x:c r="I144" s="24" t="n">
        <x:v>0.02413431269674704</x:v>
      </x:c>
      <x:c r="J144" s="26" t="n">
        <x:f>ROUND(E144-F144,1)</x:f>
        <x:v>68.2</x:v>
      </x:c>
      <x:c r="K144" s="22" t="str">
        <x:v>IH2609</x:v>
      </x:c>
    </x:row>
    <x:row r="145">
      <x:c r="A145" s="22" t="n">
        <x:v>21</x:v>
      </x:c>
      <x:c r="B145" s="22" t="str">
        <x:v>周二</x:v>
      </x:c>
      <x:c r="C145" s="22" t="str">
        <x:v>6月30日</x:v>
      </x:c>
      <x:c r="D145" s="23" t="n">
        <x:v>2916</x:v>
      </x:c>
      <x:c r="E145" s="23" t="n">
        <x:v>2940.8</x:v>
      </x:c>
      <x:c r="F145" s="23" t="n">
        <x:v>2913.4</x:v>
      </x:c>
      <x:c r="G145" s="23" t="n">
        <x:v>2938</x:v>
      </x:c>
      <x:c r="H145" s="23" t="n">
        <x:v>10</x:v>
      </x:c>
      <x:c r="I145" s="24" t="n">
        <x:v>0.003415300546448119</x:v>
      </x:c>
      <x:c r="J145" s="23" t="n">
        <x:f>ROUND(E145-F145,1)</x:f>
        <x:v>27.4</x:v>
      </x:c>
      <x:c r="K145" s="22" t="str">
        <x:v>IH2609</x:v>
      </x:c>
    </x:row>
    <x:row r="146">
      <x:c r="A146" s="31" t="str">
        <x:v>合计</x:v>
      </x:c>
      <x:c r="B146" s="30" t="n">
        <x:v>21</x:v>
      </x:c>
      <x:c r="C146" s="30"/>
      <x:c r="D146" s="30"/>
      <x:c r="E146" s="30"/>
      <x:c r="F146" s="30"/>
      <x:c r="G146" s="30"/>
      <x:c r="H146" s="30"/>
      <x:c r="I146" s="30"/>
      <x:c r="J146" s="32" t="n">
        <x:f>ROUND(SUM(J125:J145),1)</x:f>
        <x:v>970.4</x:v>
      </x:c>
      <x:c r="K146" s="30"/>
    </x:row>
    <x:row r="147">
      <x:c r="A147" s="31" t="str">
        <x:v>均值</x:v>
      </x:c>
      <x:c r="B147" s="30"/>
      <x:c r="C147" s="30"/>
      <x:c r="D147" s="30"/>
      <x:c r="E147" s="30"/>
      <x:c r="F147" s="30"/>
      <x:c r="G147" s="30"/>
      <x:c r="H147" s="30"/>
      <x:c r="I147" s="30"/>
      <x:c r="J147" s="34" t="n">
        <x:f>ROUND(IFERROR(AVERAGE(J125:J145),0),1)</x:f>
        <x:v>46.2</x:v>
      </x:c>
      <x:c r="K147" s="30"/>
    </x:row>
    <x:row r="149">
      <x:c r="A149" s="17" t="str">
        <x:v>7月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20" t="str">
        <x:v>序号</x:v>
      </x:c>
      <x:c r="B150" s="20" t="str">
        <x:v>星期</x:v>
      </x:c>
      <x:c r="C150" s="20" t="str">
        <x:v>日期</x:v>
      </x:c>
      <x:c r="D150" s="20" t="str">
        <x:v>开盘</x:v>
      </x:c>
      <x:c r="E150" s="20" t="str">
        <x:v>高点</x:v>
      </x:c>
      <x:c r="F150" s="20" t="str">
        <x:v>低点</x:v>
      </x:c>
      <x:c r="G150" s="20" t="str">
        <x:v>收盘</x:v>
      </x:c>
      <x:c r="H150" s="20" t="str">
        <x:v>涨跌点数</x:v>
      </x:c>
      <x:c r="I150" s="20" t="str">
        <x:v>涨幅</x:v>
      </x:c>
      <x:c r="J150" s="20" t="str">
        <x:v>振幅</x:v>
      </x:c>
      <x:c r="K150" s="20" t="str">
        <x:v>标的</x:v>
      </x:c>
    </x:row>
    <x:row r="151">
      <x:c r="A151" s="22" t="n">
        <x:v>1</x:v>
      </x:c>
      <x:c r="B151" s="22" t="str">
        <x:v>周三</x:v>
      </x:c>
      <x:c r="C151" s="22" t="str">
        <x:v>7月1日</x:v>
      </x:c>
      <x:c r="D151" s="23" t="n">
        <x:v>2932</x:v>
      </x:c>
      <x:c r="E151" s="23" t="n">
        <x:v>2976</x:v>
      </x:c>
      <x:c r="F151" s="23" t="n">
        <x:v>2918.2</x:v>
      </x:c>
      <x:c r="G151" s="23" t="n">
        <x:v>2934.6</x:v>
      </x:c>
      <x:c r="H151" s="23" t="n">
        <x:v>-3.4</x:v>
      </x:c>
      <x:c r="I151" s="24" t="n">
        <x:v>-0.0011572498298162426</x:v>
      </x:c>
      <x:c r="J151" s="23" t="n">
        <x:f>ROUND(E151-F151,1)</x:f>
        <x:v>57.8</x:v>
      </x:c>
      <x:c r="K151" s="22" t="str">
        <x:v>IH2609</x:v>
      </x:c>
    </x:row>
    <x:row r="152">
      <x:c r="A152" s="22" t="n">
        <x:v>2</x:v>
      </x:c>
      <x:c r="B152" s="22" t="str">
        <x:v>周四</x:v>
      </x:c>
      <x:c r="C152" s="22" t="str">
        <x:v>7月2日</x:v>
      </x:c>
      <x:c r="D152" s="23" t="n">
        <x:v>2923</x:v>
      </x:c>
      <x:c r="E152" s="23" t="n">
        <x:v>2924.8</x:v>
      </x:c>
      <x:c r="F152" s="23" t="n">
        <x:v>2861.8</x:v>
      </x:c>
      <x:c r="G152" s="23" t="n">
        <x:v>2871</x:v>
      </x:c>
      <x:c r="H152" s="23" t="n">
        <x:v>-63.6</x:v>
      </x:c>
      <x:c r="I152" s="24" t="n">
        <x:v>-0.02167245961970965</x:v>
      </x:c>
      <x:c r="J152" s="26" t="n">
        <x:f>ROUND(E152-F152,1)</x:f>
        <x:v>63</x:v>
      </x:c>
      <x:c r="K152" s="22" t="str">
        <x:v>IH2609</x:v>
      </x:c>
    </x:row>
    <x:row r="153">
      <x:c r="A153" s="22" t="n">
        <x:v>3</x:v>
      </x:c>
      <x:c r="B153" s="22" t="str">
        <x:v>周五</x:v>
      </x:c>
      <x:c r="C153" s="22" t="str">
        <x:v>7月3日</x:v>
      </x:c>
      <x:c r="D153" s="23" t="n">
        <x:v>2876.6</x:v>
      </x:c>
      <x:c r="E153" s="23" t="n">
        <x:v>2912</x:v>
      </x:c>
      <x:c r="F153" s="23" t="n">
        <x:v>2873.6</x:v>
      </x:c>
      <x:c r="G153" s="23" t="n">
        <x:v>2886.6</x:v>
      </x:c>
      <x:c r="H153" s="23" t="n">
        <x:v>15.6</x:v>
      </x:c>
      <x:c r="I153" s="24" t="n">
        <x:v>0.005433646812957216</x:v>
      </x:c>
      <x:c r="J153" s="23" t="n">
        <x:f>ROUND(E153-F153,1)</x:f>
        <x:v>38.4</x:v>
      </x:c>
      <x:c r="K153" s="22" t="str">
        <x:v>IH2609</x:v>
      </x:c>
    </x:row>
    <x:row r="154">
      <x:c r="A154" s="22" t="n">
        <x:v>4</x:v>
      </x:c>
      <x:c r="B154" s="22" t="str">
        <x:v>周一</x:v>
      </x:c>
      <x:c r="C154" s="22" t="str">
        <x:v>7月6日</x:v>
      </x:c>
      <x:c r="D154" s="23" t="n">
        <x:v>2899</x:v>
      </x:c>
      <x:c r="E154" s="23" t="n">
        <x:v>2915</x:v>
      </x:c>
      <x:c r="F154" s="23" t="n">
        <x:v>2877.4</x:v>
      </x:c>
      <x:c r="G154" s="23" t="n">
        <x:v>2905.2</x:v>
      </x:c>
      <x:c r="H154" s="23" t="n">
        <x:v>18.6</x:v>
      </x:c>
      <x:c r="I154" s="24" t="n">
        <x:v>0.00644356682602365</x:v>
      </x:c>
      <x:c r="J154" s="23" t="n">
        <x:f>ROUND(E154-F154,1)</x:f>
        <x:v>37.6</x:v>
      </x:c>
      <x:c r="K154" s="22" t="str">
        <x:v>IH2609</x:v>
      </x:c>
    </x:row>
    <x:row r="155">
      <x:c r="A155" s="22" t="n">
        <x:v>5</x:v>
      </x:c>
      <x:c r="B155" s="22" t="str">
        <x:v>周二</x:v>
      </x:c>
      <x:c r="C155" s="22" t="str">
        <x:v>7月7日</x:v>
      </x:c>
      <x:c r="D155" s="23" t="n">
        <x:v>2888</x:v>
      </x:c>
      <x:c r="E155" s="23" t="n">
        <x:v>2908.4</x:v>
      </x:c>
      <x:c r="F155" s="23" t="n">
        <x:v>2862.4</x:v>
      </x:c>
      <x:c r="G155" s="23" t="n">
        <x:v>2870.6</x:v>
      </x:c>
      <x:c r="H155" s="23" t="n">
        <x:v>-34.6</x:v>
      </x:c>
      <x:c r="I155" s="24" t="n">
        <x:v>-0.01190967919592456</x:v>
      </x:c>
      <x:c r="J155" s="23" t="n">
        <x:f>ROUND(E155-F155,1)</x:f>
        <x:v>46</x:v>
      </x:c>
      <x:c r="K155" s="22" t="str">
        <x:v>IH2609</x:v>
      </x:c>
    </x:row>
    <x:row r="156">
      <x:c r="A156" s="22" t="n">
        <x:v>6</x:v>
      </x:c>
      <x:c r="B156" s="22" t="str">
        <x:v>周三</x:v>
      </x:c>
      <x:c r="C156" s="22" t="str">
        <x:v>7月8日</x:v>
      </x:c>
      <x:c r="D156" s="23" t="n">
        <x:v>2877.4</x:v>
      </x:c>
      <x:c r="E156" s="23" t="n">
        <x:v>2911</x:v>
      </x:c>
      <x:c r="F156" s="23" t="n">
        <x:v>2866.2</x:v>
      </x:c>
      <x:c r="G156" s="23" t="n">
        <x:v>2868</x:v>
      </x:c>
      <x:c r="H156" s="23" t="n">
        <x:v>-2.6</x:v>
      </x:c>
      <x:c r="I156" s="24" t="n">
        <x:v>-0.0009057339928933983</x:v>
      </x:c>
      <x:c r="J156" s="23" t="n">
        <x:f>ROUND(E156-F156,1)</x:f>
        <x:v>44.8</x:v>
      </x:c>
      <x:c r="K156" s="22" t="str">
        <x:v>IH2609</x:v>
      </x:c>
    </x:row>
    <x:row r="157">
      <x:c r="A157" s="22" t="n">
        <x:v>7</x:v>
      </x:c>
      <x:c r="B157" s="22" t="str">
        <x:v>周四</x:v>
      </x:c>
      <x:c r="C157" s="22" t="str">
        <x:v>7月9日</x:v>
      </x:c>
      <x:c r="D157" s="23" t="n">
        <x:v>2875</x:v>
      </x:c>
      <x:c r="E157" s="23" t="n">
        <x:v>2956.2</x:v>
      </x:c>
      <x:c r="F157" s="23" t="n">
        <x:v>2875</x:v>
      </x:c>
      <x:c r="G157" s="23" t="n">
        <x:v>2939.8</x:v>
      </x:c>
      <x:c r="H157" s="23" t="n">
        <x:v>71.8</x:v>
      </x:c>
      <x:c r="I157" s="24" t="n">
        <x:v>0.025034867503486824</x:v>
      </x:c>
      <x:c r="J157" s="26" t="n">
        <x:f>ROUND(E157-F157,1)</x:f>
        <x:v>81.2</x:v>
      </x:c>
      <x:c r="K157" s="22" t="str">
        <x:v>IH2609</x:v>
      </x:c>
    </x:row>
    <x:row r="158">
      <x:c r="A158" s="22" t="n">
        <x:v>8</x:v>
      </x:c>
      <x:c r="B158" s="22" t="str">
        <x:v>周五</x:v>
      </x:c>
      <x:c r="C158" s="22" t="str">
        <x:v>7月10日</x:v>
      </x:c>
      <x:c r="D158" s="23" t="n">
        <x:v>2945.2</x:v>
      </x:c>
      <x:c r="E158" s="23" t="n">
        <x:v>2983.8</x:v>
      </x:c>
      <x:c r="F158" s="23" t="n">
        <x:v>2908.2</x:v>
      </x:c>
      <x:c r="G158" s="23" t="n">
        <x:v>2910.2</x:v>
      </x:c>
      <x:c r="H158" s="23" t="n">
        <x:v>-29.6</x:v>
      </x:c>
      <x:c r="I158" s="24" t="n">
        <x:v>-0.010068712157289772</x:v>
      </x:c>
      <x:c r="J158" s="26" t="n">
        <x:f>ROUND(E158-F158,1)</x:f>
        <x:v>75.6</x:v>
      </x:c>
      <x:c r="K158" s="22" t="str">
        <x:v>IH2609</x:v>
      </x:c>
    </x:row>
    <x:row r="159">
      <x:c r="A159" s="22" t="n">
        <x:v>9</x:v>
      </x:c>
      <x:c r="B159" s="22" t="str">
        <x:v>周一</x:v>
      </x:c>
      <x:c r="C159" s="22" t="str">
        <x:v>7月13日</x:v>
      </x:c>
      <x:c r="D159" s="23" t="n">
        <x:v>2895.8</x:v>
      </x:c>
      <x:c r="E159" s="23" t="n">
        <x:v>2908.6</x:v>
      </x:c>
      <x:c r="F159" s="23" t="n">
        <x:v>2858</x:v>
      </x:c>
      <x:c r="G159" s="23" t="n">
        <x:v>2872.6</x:v>
      </x:c>
      <x:c r="H159" s="23" t="n">
        <x:v>-37.6</x:v>
      </x:c>
      <x:c r="I159" s="24" t="n">
        <x:v>-0.012920074221702937</x:v>
      </x:c>
      <x:c r="J159" s="23" t="n">
        <x:f>ROUND(E159-F159,1)</x:f>
        <x:v>50.6</x:v>
      </x:c>
      <x:c r="K159" s="22" t="str">
        <x:v>IH2609</x:v>
      </x:c>
    </x:row>
    <x:row r="160">
      <x:c r="A160" s="22" t="n">
        <x:v>10</x:v>
      </x:c>
      <x:c r="B160" s="22" t="str">
        <x:v>周二</x:v>
      </x:c>
      <x:c r="C160" s="22" t="str">
        <x:v>7月14日</x:v>
      </x:c>
      <x:c r="D160" s="23" t="n">
        <x:v>2872</x:v>
      </x:c>
      <x:c r="E160" s="23" t="n">
        <x:v>2894</x:v>
      </x:c>
      <x:c r="F160" s="23" t="n">
        <x:v>2831.4</x:v>
      </x:c>
      <x:c r="G160" s="23" t="n">
        <x:v>2891.2</x:v>
      </x:c>
      <x:c r="H160" s="23" t="n">
        <x:v>18.6</x:v>
      </x:c>
      <x:c r="I160" s="24" t="n">
        <x:v>0.006474970410081493</x:v>
      </x:c>
      <x:c r="J160" s="26" t="n">
        <x:f>ROUND(E160-F160,1)</x:f>
        <x:v>62.6</x:v>
      </x:c>
      <x:c r="K160" s="22" t="str">
        <x:v>IH2609</x:v>
      </x:c>
    </x:row>
    <x:row r="161">
      <x:c r="A161" s="22" t="n">
        <x:v>11</x:v>
      </x:c>
      <x:c r="B161" s="22" t="str">
        <x:v>周三</x:v>
      </x:c>
      <x:c r="C161" s="22" t="str">
        <x:v>7月15日</x:v>
      </x:c>
      <x:c r="D161" s="23" t="n">
        <x:v>2900</x:v>
      </x:c>
      <x:c r="E161" s="23" t="n">
        <x:v>2924</x:v>
      </x:c>
      <x:c r="F161" s="23" t="n">
        <x:v>2891</x:v>
      </x:c>
      <x:c r="G161" s="23" t="n">
        <x:v>2914</x:v>
      </x:c>
      <x:c r="H161" s="23" t="n">
        <x:v>22.8</x:v>
      </x:c>
      <x:c r="I161" s="24" t="n">
        <x:v>0.007885998893193191</x:v>
      </x:c>
      <x:c r="J161" s="23" t="n">
        <x:f>ROUND(E161-F161,1)</x:f>
        <x:v>33</x:v>
      </x:c>
      <x:c r="K161" s="22" t="str">
        <x:v>IH2609</x:v>
      </x:c>
    </x:row>
    <x:row r="162">
      <x:c r="A162" s="22" t="n">
        <x:v>12</x:v>
      </x:c>
      <x:c r="B162" s="22" t="str">
        <x:v>周四</x:v>
      </x:c>
      <x:c r="C162" s="22" t="str">
        <x:v>7月16日</x:v>
      </x:c>
      <x:c r="D162" s="23" t="n">
        <x:v>2889</x:v>
      </x:c>
      <x:c r="E162" s="23" t="n">
        <x:v>2911.8</x:v>
      </x:c>
      <x:c r="F162" s="23" t="n">
        <x:v>2853.4</x:v>
      </x:c>
      <x:c r="G162" s="23" t="n">
        <x:v>2867.8</x:v>
      </x:c>
      <x:c r="H162" s="23" t="n">
        <x:v>-46.2</x:v>
      </x:c>
      <x:c r="I162" s="24" t="n">
        <x:v>-0.015854495538778268</x:v>
      </x:c>
      <x:c r="J162" s="23" t="n">
        <x:f>ROUND(E162-F162,1)</x:f>
        <x:v>58.4</x:v>
      </x:c>
      <x:c r="K162" s="22" t="str">
        <x:v>IH2609</x:v>
      </x:c>
    </x:row>
    <x:row r="163">
      <x:c r="A163" s="41" t="n">
        <x:v>13</x:v>
      </x:c>
      <x:c r="B163" s="41" t="str">
        <x:v>周五</x:v>
      </x:c>
      <x:c r="C163" s="41" t="str">
        <x:v>7月17日</x:v>
      </x:c>
      <x:c r="D163" s="42" t="n">
        <x:v>2855</x:v>
      </x:c>
      <x:c r="E163" s="42" t="n">
        <x:v>2864.8</x:v>
      </x:c>
      <x:c r="F163" s="42" t="n">
        <x:v>2782.6</x:v>
      </x:c>
      <x:c r="G163" s="42" t="n">
        <x:v>2796.4</x:v>
      </x:c>
      <x:c r="H163" s="42" t="n">
        <x:v>-71.4</x:v>
      </x:c>
      <x:c r="I163" s="43" t="n">
        <x:v>-0.024897133691331397</x:v>
      </x:c>
      <x:c r="J163" s="26" t="n">
        <x:f>ROUND(E163-F163,1)</x:f>
        <x:v>82.2</x:v>
      </x:c>
      <x:c r="K163" s="41" t="str">
        <x:v>IH2609</x:v>
      </x:c>
    </x:row>
    <x:row r="164">
      <x:c r="A164" s="22" t="n">
        <x:v>14</x:v>
      </x:c>
      <x:c r="B164" s="22" t="str">
        <x:v>周一</x:v>
      </x:c>
      <x:c r="C164" s="22" t="str">
        <x:v>7月20日</x:v>
      </x:c>
      <x:c r="D164" s="23" t="n">
        <x:v>2820</x:v>
      </x:c>
      <x:c r="E164" s="23" t="n">
        <x:v>2884.6</x:v>
      </x:c>
      <x:c r="F164" s="23" t="n">
        <x:v>2820</x:v>
      </x:c>
      <x:c r="G164" s="23" t="n">
        <x:v>2874</x:v>
      </x:c>
      <x:c r="H164" s="23" t="n">
        <x:v>77.6</x:v>
      </x:c>
      <x:c r="I164" s="24" t="n">
        <x:v>0.027749964239736746</x:v>
      </x:c>
      <x:c r="J164" s="26" t="n">
        <x:f>ROUND(E164-F164,1)</x:f>
        <x:v>64.6</x:v>
      </x:c>
      <x:c r="K164" s="22" t="str">
        <x:v>IH2609</x:v>
      </x:c>
    </x:row>
    <x:row r="165">
      <x:c r="A165" s="22" t="n">
        <x:v>15</x:v>
      </x:c>
      <x:c r="B165" s="22" t="str">
        <x:v>周二</x:v>
      </x:c>
      <x:c r="C165" s="22" t="str">
        <x:v>7月21日</x:v>
      </x:c>
      <x:c r="D165" s="23" t="n">
        <x:v>2896</x:v>
      </x:c>
      <x:c r="E165" s="23" t="n">
        <x:v>2933</x:v>
      </x:c>
      <x:c r="F165" s="23" t="n">
        <x:v>2875.2</x:v>
      </x:c>
      <x:c r="G165" s="23" t="n">
        <x:v>2923.6</x:v>
      </x:c>
      <x:c r="H165" s="23" t="n">
        <x:v>49.6</x:v>
      </x:c>
      <x:c r="I165" s="24" t="n">
        <x:v>0.017258176757132926</x:v>
      </x:c>
      <x:c r="J165" s="23" t="n">
        <x:f>ROUND(E165-F165,1)</x:f>
        <x:v>57.8</x:v>
      </x:c>
      <x:c r="K165" s="22" t="str">
        <x:v>IH2609</x:v>
      </x:c>
    </x:row>
    <x:row r="166">
      <x:c r="A166" s="22" t="n">
        <x:v>16</x:v>
      </x:c>
      <x:c r="B166" s="22" t="str">
        <x:v>周三</x:v>
      </x:c>
      <x:c r="C166" s="22" t="str">
        <x:v>7月22日</x:v>
      </x:c>
      <x:c r="D166" s="23" t="n">
        <x:v>2906</x:v>
      </x:c>
      <x:c r="E166" s="23" t="n">
        <x:v>2978</x:v>
      </x:c>
      <x:c r="F166" s="23" t="n">
        <x:v>2906</x:v>
      </x:c>
      <x:c r="G166" s="23" t="n">
        <x:v>2946.2</x:v>
      </x:c>
      <x:c r="H166" s="23" t="n">
        <x:v>22.6</x:v>
      </x:c>
      <x:c r="I166" s="24" t="n">
        <x:v>0.007730195649199523</x:v>
      </x:c>
      <x:c r="J166" s="26" t="n">
        <x:f>ROUND(E166-F166,1)</x:f>
        <x:v>72</x:v>
      </x:c>
      <x:c r="K166" s="22" t="str">
        <x:v>IH2609</x:v>
      </x:c>
    </x:row>
    <x:row r="167">
      <x:c r="A167" s="22" t="n">
        <x:v>17</x:v>
      </x:c>
      <x:c r="B167" s="22" t="str">
        <x:v>周四</x:v>
      </x:c>
      <x:c r="C167" s="22" t="str">
        <x:v>7月23日</x:v>
      </x:c>
      <x:c r="D167" s="23" t="n">
        <x:v>2960</x:v>
      </x:c>
      <x:c r="E167" s="23" t="n">
        <x:v>2969.6</x:v>
      </x:c>
      <x:c r="F167" s="23" t="n">
        <x:v>2938.8</x:v>
      </x:c>
      <x:c r="G167" s="23" t="n">
        <x:v>2948.8</x:v>
      </x:c>
      <x:c r="H167" s="23" t="n">
        <x:v>2.6</x:v>
      </x:c>
      <x:c r="I167" s="24" t="n">
        <x:v>0.0008824927024642104</x:v>
      </x:c>
      <x:c r="J167" s="23" t="n">
        <x:f>ROUND(E167-F167,1)</x:f>
        <x:v>30.8</x:v>
      </x:c>
      <x:c r="K167" s="22" t="str">
        <x:v>IH2609</x:v>
      </x:c>
    </x:row>
    <x:row r="168">
      <x:c r="A168" s="22" t="n">
        <x:v>18</x:v>
      </x:c>
      <x:c r="B168" s="22" t="str">
        <x:v>周五</x:v>
      </x:c>
      <x:c r="C168" s="22" t="str">
        <x:v>7月24日</x:v>
      </x:c>
      <x:c r="D168" s="23" t="n">
        <x:v>2945.8</x:v>
      </x:c>
      <x:c r="E168" s="23" t="n">
        <x:v>2945.8</x:v>
      </x:c>
      <x:c r="F168" s="23" t="n">
        <x:v>2908.4</x:v>
      </x:c>
      <x:c r="G168" s="23" t="n">
        <x:v>2910</x:v>
      </x:c>
      <x:c r="H168" s="23" t="n">
        <x:v>-38.8</x:v>
      </x:c>
      <x:c r="I168" s="24" t="n">
        <x:v>-0.013157894736842146</x:v>
      </x:c>
      <x:c r="J168" s="23" t="n">
        <x:f>ROUND(E168-F168,1)</x:f>
        <x:v>37.4</x:v>
      </x:c>
      <x:c r="K168" s="22" t="str">
        <x:v>IH2609</x:v>
      </x:c>
    </x:row>
    <x:row r="169">
      <x:c r="A169" s="22" t="n">
        <x:v>19</x:v>
      </x:c>
      <x:c r="B169" s="22" t="str">
        <x:v>周一</x:v>
      </x:c>
      <x:c r="C169" s="22" t="str">
        <x:v>7月27日</x:v>
      </x:c>
      <x:c r="D169" s="23" t="n">
        <x:v>2929.6</x:v>
      </x:c>
      <x:c r="E169" s="23" t="n">
        <x:v>2930</x:v>
      </x:c>
      <x:c r="F169" s="23" t="n">
        <x:v>2889.8</x:v>
      </x:c>
      <x:c r="G169" s="23" t="n">
        <x:v>2923</x:v>
      </x:c>
      <x:c r="H169" s="23" t="n">
        <x:v>13</x:v>
      </x:c>
      <x:c r="I169" s="24" t="n">
        <x:v>0.0044673539518900185</x:v>
      </x:c>
      <x:c r="J169" s="23" t="n">
        <x:f>ROUND(E169-F169,1)</x:f>
        <x:v>40.2</x:v>
      </x:c>
      <x:c r="K169" s="22" t="str">
        <x:v>IH2609</x:v>
      </x:c>
    </x:row>
    <x:row r="170">
      <x:c r="A170" s="22" t="n">
        <x:v>20</x:v>
      </x:c>
      <x:c r="B170" s="22" t="str">
        <x:v>周二</x:v>
      </x:c>
      <x:c r="C170" s="22" t="str">
        <x:v>7月28日</x:v>
      </x:c>
      <x:c r="D170" s="23" t="n">
        <x:v>2894.6</x:v>
      </x:c>
      <x:c r="E170" s="23" t="n">
        <x:v>2899.4</x:v>
      </x:c>
      <x:c r="F170" s="23" t="n">
        <x:v>2855</x:v>
      </x:c>
      <x:c r="G170" s="23" t="n">
        <x:v>2889.8</x:v>
      </x:c>
      <x:c r="H170" s="23" t="n">
        <x:v>-33.2</x:v>
      </x:c>
      <x:c r="I170" s="24" t="n">
        <x:v>-0.011358193636674563</x:v>
      </x:c>
      <x:c r="J170" s="23" t="n">
        <x:f>ROUND(E170-F170,1)</x:f>
        <x:v>44.4</x:v>
      </x:c>
      <x:c r="K170" s="22" t="str">
        <x:v>IH2609</x:v>
      </x:c>
    </x:row>
    <x:row r="171">
      <x:c r="A171" s="22" t="n">
        <x:v>21</x:v>
      </x:c>
      <x:c r="B171" s="22" t="str">
        <x:v>周三</x:v>
      </x:c>
      <x:c r="C171" s="22" t="str">
        <x:v>7月29日</x:v>
      </x:c>
      <x:c r="D171" s="23" t="n">
        <x:v>2896</x:v>
      </x:c>
      <x:c r="E171" s="23" t="n">
        <x:v>2905.4</x:v>
      </x:c>
      <x:c r="F171" s="23" t="n">
        <x:v>2856.6</x:v>
      </x:c>
      <x:c r="G171" s="23" t="n">
        <x:v>2878.6</x:v>
      </x:c>
      <x:c r="H171" s="23" t="n">
        <x:v>-11.2</x:v>
      </x:c>
      <x:c r="I171" s="24" t="n">
        <x:v>-0.0038757007405357813</x:v>
      </x:c>
      <x:c r="J171" s="23" t="n">
        <x:f>ROUND(E171-F171,1)</x:f>
        <x:v>48.8</x:v>
      </x:c>
      <x:c r="K171" s="22" t="str">
        <x:v>IH2609</x:v>
      </x:c>
    </x:row>
    <x:row r="172">
      <x:c r="A172" s="22" t="n">
        <x:v>22</x:v>
      </x:c>
      <x:c r="B172" s="22" t="str">
        <x:v>周四</x:v>
      </x:c>
      <x:c r="C172" s="22" t="str">
        <x:v>7月30日</x:v>
      </x:c>
      <x:c r="D172" s="23" t="n">
        <x:v>2871</x:v>
      </x:c>
      <x:c r="E172" s="23" t="n">
        <x:v>2901</x:v>
      </x:c>
      <x:c r="F172" s="23" t="n">
        <x:v>2847.2</x:v>
      </x:c>
      <x:c r="G172" s="23" t="n">
        <x:v>2885.8</x:v>
      </x:c>
      <x:c r="H172" s="23" t="n">
        <x:v>7.2</x:v>
      </x:c>
      <x:c r="I172" s="24" t="n">
        <x:v>0.002501215868825124</x:v>
      </x:c>
      <x:c r="J172" s="23" t="n">
        <x:f>ROUND(E172-F172,1)</x:f>
        <x:v>53.8</x:v>
      </x:c>
      <x:c r="K172" s="22" t="str">
        <x:v>IH2609</x:v>
      </x:c>
    </x:row>
    <x:row r="173">
      <x:c r="A173" s="22" t="n">
        <x:v>23</x:v>
      </x:c>
      <x:c r="B173" s="22" t="str">
        <x:v>周五</x:v>
      </x:c>
      <x:c r="C173" s="22" t="str">
        <x:v>7月31日</x:v>
      </x:c>
      <x:c r="D173" s="23" t="n">
        <x:v>2910</x:v>
      </x:c>
      <x:c r="E173" s="23" t="n">
        <x:v>2927</x:v>
      </x:c>
      <x:c r="F173" s="23" t="n">
        <x:v>2886.4</x:v>
      </x:c>
      <x:c r="G173" s="23" t="n">
        <x:v>2891.8</x:v>
      </x:c>
      <x:c r="H173" s="23" t="n">
        <x:v>6</x:v>
      </x:c>
      <x:c r="I173" s="24" t="n">
        <x:v>0.0020791461639753095</x:v>
      </x:c>
      <x:c r="J173" s="23" t="n">
        <x:f>ROUND(E173-F173,1)</x:f>
        <x:v>40.6</x:v>
      </x:c>
      <x:c r="K173" s="22" t="str">
        <x:v>IH2609</x:v>
      </x:c>
    </x:row>
    <x:row r="174">
      <x:c r="A174" s="31" t="str">
        <x:v>合计</x:v>
      </x:c>
      <x:c r="B174" s="30" t="n">
        <x:v>23</x:v>
      </x:c>
      <x:c r="C174" s="30"/>
      <x:c r="D174" s="30"/>
      <x:c r="E174" s="30"/>
      <x:c r="F174" s="30"/>
      <x:c r="G174" s="30"/>
      <x:c r="H174" s="30"/>
      <x:c r="I174" s="30"/>
      <x:c r="J174" s="32" t="n">
        <x:f>ROUND(SUM(J151:J173),1)</x:f>
        <x:v>1221.6</x:v>
      </x:c>
      <x:c r="K174" s="30"/>
    </x:row>
    <x:row r="175">
      <x:c r="A175" s="31" t="str">
        <x:v>均值</x:v>
      </x:c>
      <x:c r="B175" s="30"/>
      <x:c r="C175" s="30"/>
      <x:c r="D175" s="30"/>
      <x:c r="E175" s="30"/>
      <x:c r="F175" s="30"/>
      <x:c r="G175" s="30"/>
      <x:c r="H175" s="30"/>
      <x:c r="I175" s="30"/>
      <x:c r="J175" s="34" t="n">
        <x:f>ROUND(IFERROR(AVERAGE(J151:J173),0),1)</x:f>
        <x:v>53.1</x:v>
      </x:c>
      <x:c r="K175" s="30"/>
    </x:row>
    <x:row r="177">
      <x:c r="A177" s="17" t="str">
        <x:v>8月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20" t="str">
        <x:v>序号</x:v>
      </x:c>
      <x:c r="B178" s="20" t="str">
        <x:v>星期</x:v>
      </x:c>
      <x:c r="C178" s="20" t="str">
        <x:v>日期</x:v>
      </x:c>
      <x:c r="D178" s="20" t="str">
        <x:v>开盘</x:v>
      </x:c>
      <x:c r="E178" s="20" t="str">
        <x:v>高点</x:v>
      </x:c>
      <x:c r="F178" s="20" t="str">
        <x:v>低点</x:v>
      </x:c>
      <x:c r="G178" s="20" t="str">
        <x:v>收盘</x:v>
      </x:c>
      <x:c r="H178" s="20" t="str">
        <x:v>涨跌点数</x:v>
      </x:c>
      <x:c r="I178" s="20" t="str">
        <x:v>涨幅</x:v>
      </x:c>
      <x:c r="J178" s="20" t="str">
        <x:v>振幅</x:v>
      </x:c>
      <x:c r="K178" s="20" t="str">
        <x:v>标的</x:v>
      </x:c>
    </x:row>
    <x:row r="179">
      <x:c r="A179" s="22" t="n">
        <x:v>1</x:v>
      </x:c>
      <x:c r="B179" s="22" t="str">
        <x:v>周一</x:v>
      </x:c>
      <x:c r="C179" s="22" t="str">
        <x:v>8月3日</x:v>
      </x:c>
      <x:c r="D179" s="23" t="n">
        <x:v>2882.4</x:v>
      </x:c>
      <x:c r="E179" s="23" t="n">
        <x:v>2890</x:v>
      </x:c>
      <x:c r="F179" s="23" t="n">
        <x:v>2845.8</x:v>
      </x:c>
      <x:c r="G179" s="23" t="n">
        <x:v>2860</x:v>
      </x:c>
      <x:c r="H179" s="23" t="n">
        <x:v>-31.8</x:v>
      </x:c>
      <x:c r="I179" s="24" t="n">
        <x:v>-0.010996611107268905</x:v>
      </x:c>
      <x:c r="J179" s="23" t="n">
        <x:f>ROUND(E179-F179,1)</x:f>
        <x:v>44.2</x:v>
      </x:c>
      <x:c r="K179" s="22" t="str">
        <x:v>IH2609</x:v>
      </x:c>
    </x:row>
    <x:row r="180">
      <x:c r="A180" s="22" t="n">
        <x:v>2</x:v>
      </x:c>
      <x:c r="B180" s="22" t="str">
        <x:v>周二</x:v>
      </x:c>
      <x:c r="C180" s="22" t="str">
        <x:v>8月4日</x:v>
      </x:c>
      <x:c r="D180" s="23" t="n">
        <x:v>2872</x:v>
      </x:c>
      <x:c r="E180" s="23" t="n">
        <x:v>2872</x:v>
      </x:c>
      <x:c r="F180" s="23" t="n">
        <x:v>2846.6</x:v>
      </x:c>
      <x:c r="G180" s="23" t="n">
        <x:v>2852.4</x:v>
      </x:c>
      <x:c r="H180" s="23" t="n">
        <x:v>-7.6</x:v>
      </x:c>
      <x:c r="I180" s="24" t="n">
        <x:v>-0.0026573426573426318</x:v>
      </x:c>
      <x:c r="J180" s="23" t="n">
        <x:f>ROUND(E180-F180,1)</x:f>
        <x:v>25.4</x:v>
      </x:c>
      <x:c r="K180" s="22" t="str">
        <x:v>IH2609</x:v>
      </x:c>
    </x:row>
    <x:row r="181">
      <x:c r="A181" s="22" t="n">
        <x:v>3</x:v>
      </x:c>
      <x:c r="B181" s="22" t="str">
        <x:v>周三</x:v>
      </x:c>
      <x:c r="C181" s="22" t="str">
        <x:v>8月5日</x:v>
      </x:c>
      <x:c r="D181" s="23" t="n">
        <x:v>2858.8</x:v>
      </x:c>
      <x:c r="E181" s="23" t="n">
        <x:v>2907.6</x:v>
      </x:c>
      <x:c r="F181" s="23" t="n">
        <x:v>2855</x:v>
      </x:c>
      <x:c r="G181" s="23" t="n">
        <x:v>2893.4</x:v>
      </x:c>
      <x:c r="H181" s="23" t="n">
        <x:v>41</x:v>
      </x:c>
      <x:c r="I181" s="24" t="n">
        <x:v>0.014373860608610345</x:v>
      </x:c>
      <x:c r="J181" s="23" t="n">
        <x:f>ROUND(E181-F181,1)</x:f>
        <x:v>52.6</x:v>
      </x:c>
      <x:c r="K181" s="22" t="str">
        <x:v>IH2609</x:v>
      </x:c>
    </x:row>
    <x:row r="182">
      <x:c r="A182" s="22" t="n">
        <x:v>4</x:v>
      </x:c>
      <x:c r="B182" s="22" t="str">
        <x:v>周四</x:v>
      </x:c>
      <x:c r="C182" s="22" t="str">
        <x:v>8月6日</x:v>
      </x:c>
      <x:c r="D182" s="23" t="n">
        <x:v>2885</x:v>
      </x:c>
      <x:c r="E182" s="23" t="n">
        <x:v>2897.8</x:v>
      </x:c>
      <x:c r="F182" s="23" t="n">
        <x:v>2879.8</x:v>
      </x:c>
      <x:c r="G182" s="23" t="n">
        <x:v>2897.2</x:v>
      </x:c>
      <x:c r="H182" s="23" t="n">
        <x:v>3.8</x:v>
      </x:c>
      <x:c r="I182" s="24" t="n">
        <x:v>0.001313333794152216</x:v>
      </x:c>
      <x:c r="J182" s="23" t="n">
        <x:f>ROUND(E182-F182,1)</x:f>
        <x:v>18</x:v>
      </x:c>
      <x:c r="K182" s="22" t="str">
        <x:v>IH2609</x:v>
      </x:c>
    </x:row>
    <x:row r="183">
      <x:c r="A183" s="22" t="n">
        <x:v>5</x:v>
      </x:c>
      <x:c r="B183" s="22" t="str">
        <x:v>周五</x:v>
      </x:c>
      <x:c r="C183" s="22" t="str">
        <x:v>8月7日</x:v>
      </x:c>
      <x:c r="D183" s="23" t="n">
        <x:v>2892.2</x:v>
      </x:c>
      <x:c r="E183" s="23" t="n">
        <x:v>2930.6</x:v>
      </x:c>
      <x:c r="F183" s="23" t="n">
        <x:v>2884</x:v>
      </x:c>
      <x:c r="G183" s="23" t="n">
        <x:v>2930</x:v>
      </x:c>
      <x:c r="H183" s="23" t="n">
        <x:v>32.8</x:v>
      </x:c>
      <x:c r="I183" s="24" t="n">
        <x:v>0.011321275714482937</x:v>
      </x:c>
      <x:c r="J183" s="23" t="n">
        <x:f>ROUND(E183-F183,1)</x:f>
        <x:v>46.6</x:v>
      </x:c>
      <x:c r="K183" s="22" t="str">
        <x:v>IH2609</x:v>
      </x:c>
    </x:row>
    <x:row r="184">
      <x:c r="A184" s="22" t="n">
        <x:v>6</x:v>
      </x:c>
      <x:c r="B184" s="22" t="str">
        <x:v>周一</x:v>
      </x:c>
      <x:c r="C184" s="22" t="str">
        <x:v>8月10日</x:v>
      </x:c>
      <x:c r="D184" s="23" t="n">
        <x:v>2930</x:v>
      </x:c>
      <x:c r="E184" s="23" t="n">
        <x:v>2949.6</x:v>
      </x:c>
      <x:c r="F184" s="23" t="n">
        <x:v>2927.8</x:v>
      </x:c>
      <x:c r="G184" s="23" t="n">
        <x:v>2936</x:v>
      </x:c>
      <x:c r="H184" s="23" t="n">
        <x:v>6</x:v>
      </x:c>
      <x:c r="I184" s="24" t="n">
        <x:v>0.0020477815699657675</x:v>
      </x:c>
      <x:c r="J184" s="23" t="n">
        <x:f>ROUND(E184-F184,1)</x:f>
        <x:v>21.8</x:v>
      </x:c>
      <x:c r="K184" s="22" t="str">
        <x:v>IH2609</x:v>
      </x:c>
    </x:row>
    <x:row r="185">
      <x:c r="A185" s="22" t="n">
        <x:v>7</x:v>
      </x:c>
      <x:c r="B185" s="22" t="str">
        <x:v>周二</x:v>
      </x:c>
      <x:c r="C185" s="22" t="str">
        <x:v>8月11日</x:v>
      </x:c>
      <x:c r="D185" s="23" t="n">
        <x:v>2931.8</x:v>
      </x:c>
      <x:c r="E185" s="23" t="n">
        <x:v>2942.8</x:v>
      </x:c>
      <x:c r="F185" s="23" t="n">
        <x:v>2904.6</x:v>
      </x:c>
      <x:c r="G185" s="23" t="n">
        <x:v>2909</x:v>
      </x:c>
      <x:c r="H185" s="23" t="n">
        <x:v>-27</x:v>
      </x:c>
      <x:c r="I185" s="24" t="n">
        <x:v>-0.009196185286103553</x:v>
      </x:c>
      <x:c r="J185" s="23" t="n">
        <x:f>ROUND(E185-F185,1)</x:f>
        <x:v>38.2</x:v>
      </x:c>
      <x:c r="K185" s="22" t="str">
        <x:v>IH2609</x:v>
      </x:c>
    </x:row>
    <x:row r="186">
      <x:c r="A186" s="22" t="n">
        <x:v>8</x:v>
      </x:c>
      <x:c r="B186" s="22" t="str">
        <x:v>周三</x:v>
      </x:c>
      <x:c r="C186" s="22" t="str">
        <x:v>8月12日</x:v>
      </x:c>
      <x:c r="D186" s="23" t="n">
        <x:v>2911.2</x:v>
      </x:c>
      <x:c r="E186" s="23" t="n">
        <x:v>2917.8</x:v>
      </x:c>
      <x:c r="F186" s="23" t="n">
        <x:v>2902</x:v>
      </x:c>
      <x:c r="G186" s="23" t="n">
        <x:v>2910</x:v>
      </x:c>
      <x:c r="H186" s="23" t="n">
        <x:v>1</x:v>
      </x:c>
      <x:c r="I186" s="24" t="n">
        <x:v>0.00034376074252318034</x:v>
      </x:c>
      <x:c r="J186" s="23" t="n">
        <x:f>ROUND(E186-F186,1)</x:f>
        <x:v>15.8</x:v>
      </x:c>
      <x:c r="K186" s="22" t="str">
        <x:v>IH2609</x:v>
      </x:c>
    </x:row>
    <x:row r="187">
      <x:c r="A187" s="22" t="n">
        <x:v>9</x:v>
      </x:c>
      <x:c r="B187" s="22" t="str">
        <x:v>周四</x:v>
      </x:c>
      <x:c r="C187" s="22" t="str">
        <x:v>8月13日</x:v>
      </x:c>
      <x:c r="D187" s="23" t="n">
        <x:v>2915.2</x:v>
      </x:c>
      <x:c r="E187" s="23" t="n">
        <x:v>2933.6</x:v>
      </x:c>
      <x:c r="F187" s="23" t="n">
        <x:v>2900.6</x:v>
      </x:c>
      <x:c r="G187" s="23" t="n">
        <x:v>2902.6</x:v>
      </x:c>
      <x:c r="H187" s="23" t="n">
        <x:v>-7.4</x:v>
      </x:c>
      <x:c r="I187" s="24" t="n">
        <x:v>-0.0025429553264605387</x:v>
      </x:c>
      <x:c r="J187" s="23" t="n">
        <x:f>ROUND(E187-F187,1)</x:f>
        <x:v>33</x:v>
      </x:c>
      <x:c r="K187" s="22" t="str">
        <x:v>IH2609</x:v>
      </x:c>
    </x:row>
    <x:row r="188">
      <x:c r="A188" s="22" t="n">
        <x:v>10</x:v>
      </x:c>
      <x:c r="B188" s="22" t="str">
        <x:v>周五</x:v>
      </x:c>
      <x:c r="C188" s="22" t="str">
        <x:v>8月14日</x:v>
      </x:c>
      <x:c r="D188" s="23" t="n">
        <x:v>2905.6</x:v>
      </x:c>
      <x:c r="E188" s="23" t="n">
        <x:v>2910.2</x:v>
      </x:c>
      <x:c r="F188" s="23" t="n">
        <x:v>2877</x:v>
      </x:c>
      <x:c r="G188" s="23" t="n">
        <x:v>2890</x:v>
      </x:c>
      <x:c r="H188" s="23" t="n">
        <x:v>-12.6</x:v>
      </x:c>
      <x:c r="I188" s="24" t="n">
        <x:v>-0.004340935712809135</x:v>
      </x:c>
      <x:c r="J188" s="23" t="n">
        <x:f>ROUND(E188-F188,1)</x:f>
        <x:v>33.2</x:v>
      </x:c>
      <x:c r="K188" s="22" t="str">
        <x:v>IH2609</x:v>
      </x:c>
    </x:row>
    <x:row r="189">
      <x:c r="A189" s="22" t="n">
        <x:v>11</x:v>
      </x:c>
      <x:c r="B189" s="22" t="str">
        <x:v>周一</x:v>
      </x:c>
      <x:c r="C189" s="22" t="str">
        <x:v>8月17日</x:v>
      </x:c>
      <x:c r="D189" s="23" t="n">
        <x:v>2886</x:v>
      </x:c>
      <x:c r="E189" s="23" t="n">
        <x:v>2921.2</x:v>
      </x:c>
      <x:c r="F189" s="23" t="n">
        <x:v>2883.4</x:v>
      </x:c>
      <x:c r="G189" s="23" t="n">
        <x:v>2919.2</x:v>
      </x:c>
      <x:c r="H189" s="23" t="n">
        <x:v>29.2</x:v>
      </x:c>
      <x:c r="I189" s="24" t="n">
        <x:v>0.01010380622837359</x:v>
      </x:c>
      <x:c r="J189" s="23" t="n">
        <x:f>ROUND(E189-F189,1)</x:f>
        <x:v>37.8</x:v>
      </x:c>
      <x:c r="K189" s="22" t="str">
        <x:v>IH2609</x:v>
      </x:c>
    </x:row>
    <x:row r="190">
      <x:c r="A190" s="22" t="n">
        <x:v>12</x:v>
      </x:c>
      <x:c r="B190" s="22" t="str">
        <x:v>周二</x:v>
      </x:c>
      <x:c r="C190" s="22" t="str">
        <x:v>8月18日</x:v>
      </x:c>
      <x:c r="D190" s="23" t="n">
        <x:v>2920</x:v>
      </x:c>
      <x:c r="E190" s="23" t="n">
        <x:v>2920</x:v>
      </x:c>
      <x:c r="F190" s="23" t="n">
        <x:v>2886.4</x:v>
      </x:c>
      <x:c r="G190" s="23" t="n">
        <x:v>2911.6</x:v>
      </x:c>
      <x:c r="H190" s="23" t="n">
        <x:v>-7.6</x:v>
      </x:c>
      <x:c r="I190" s="24" t="n">
        <x:v>-0.002603453000822098</x:v>
      </x:c>
      <x:c r="J190" s="23" t="n">
        <x:f>ROUND(E190-F190,1)</x:f>
        <x:v>33.6</x:v>
      </x:c>
      <x:c r="K190" s="22" t="str">
        <x:v>IH2609</x:v>
      </x:c>
    </x:row>
    <x:row r="191">
      <x:c r="A191" s="22" t="n">
        <x:v>13</x:v>
      </x:c>
      <x:c r="B191" s="22" t="str">
        <x:v>周三</x:v>
      </x:c>
      <x:c r="C191" s="22" t="str">
        <x:v>8月19日</x:v>
      </x:c>
      <x:c r="D191" s="23" t="n">
        <x:v>2885</x:v>
      </x:c>
      <x:c r="E191" s="23" t="n">
        <x:v>2892.8</x:v>
      </x:c>
      <x:c r="F191" s="23" t="n">
        <x:v>2843</x:v>
      </x:c>
      <x:c r="G191" s="23" t="n">
        <x:v>2865</x:v>
      </x:c>
      <x:c r="H191" s="23" t="n">
        <x:v>-46.6</x:v>
      </x:c>
      <x:c r="I191" s="24" t="n">
        <x:v>-0.01600494573430411</x:v>
      </x:c>
      <x:c r="J191" s="23" t="n">
        <x:f>ROUND(E191-F191,1)</x:f>
        <x:v>49.8</x:v>
      </x:c>
      <x:c r="K191" s="22" t="str">
        <x:v>IH2609</x:v>
      </x:c>
    </x:row>
    <x:row r="192">
      <x:c r="A192" s="22" t="n">
        <x:v>14</x:v>
      </x:c>
      <x:c r="B192" s="22" t="str">
        <x:v>周四</x:v>
      </x:c>
      <x:c r="C192" s="22" t="str">
        <x:v>8月20日</x:v>
      </x:c>
      <x:c r="D192" s="23" t="n">
        <x:v>2871.6</x:v>
      </x:c>
      <x:c r="E192" s="23" t="n">
        <x:v>2880.8</x:v>
      </x:c>
      <x:c r="F192" s="23" t="n">
        <x:v>2848</x:v>
      </x:c>
      <x:c r="G192" s="23" t="n">
        <x:v>2858.8</x:v>
      </x:c>
      <x:c r="H192" s="23" t="n">
        <x:v>-6.2</x:v>
      </x:c>
      <x:c r="I192" s="24" t="n">
        <x:v>-0.0021640488656194945</x:v>
      </x:c>
      <x:c r="J192" s="23" t="n">
        <x:f>ROUND(E192-F192,1)</x:f>
        <x:v>32.8</x:v>
      </x:c>
      <x:c r="K192" s="22" t="str">
        <x:v>IH2609</x:v>
      </x:c>
    </x:row>
    <x:row r="193">
      <x:c r="A193" s="41" t="n">
        <x:v>15</x:v>
      </x:c>
      <x:c r="B193" s="41" t="str">
        <x:v>周五</x:v>
      </x:c>
      <x:c r="C193" s="41" t="str">
        <x:v>8月21日</x:v>
      </x:c>
      <x:c r="D193" s="42" t="n">
        <x:v>2854</x:v>
      </x:c>
      <x:c r="E193" s="42" t="n">
        <x:v>2873</x:v>
      </x:c>
      <x:c r="F193" s="42" t="n">
        <x:v>2847.2</x:v>
      </x:c>
      <x:c r="G193" s="42" t="n">
        <x:v>2861</x:v>
      </x:c>
      <x:c r="H193" s="42" t="n">
        <x:v>2.2</x:v>
      </x:c>
      <x:c r="I193" s="43" t="n">
        <x:v>0.0007695536588778751</x:v>
      </x:c>
      <x:c r="J193" s="42" t="n">
        <x:f>ROUND(E193-F193,1)</x:f>
        <x:v>25.8</x:v>
      </x:c>
      <x:c r="K193" s="41" t="str">
        <x:v>IH2609</x:v>
      </x:c>
    </x:row>
    <x:row r="194">
      <x:c r="A194" s="22" t="n">
        <x:v>16</x:v>
      </x:c>
      <x:c r="B194" s="22" t="str">
        <x:v>周一</x:v>
      </x:c>
      <x:c r="C194" s="22" t="str">
        <x:v>8月24日</x:v>
      </x:c>
      <x:c r="D194" s="23" t="n">
        <x:v>2856.4</x:v>
      </x:c>
      <x:c r="E194" s="23" t="n">
        <x:v>2866.8</x:v>
      </x:c>
      <x:c r="F194" s="23" t="n">
        <x:v>2837.4</x:v>
      </x:c>
      <x:c r="G194" s="23" t="n">
        <x:v>2851</x:v>
      </x:c>
      <x:c r="H194" s="23" t="n">
        <x:v>-10</x:v>
      </x:c>
      <x:c r="I194" s="24" t="n">
        <x:v>-0.003495281370150316</x:v>
      </x:c>
      <x:c r="J194" s="23" t="n">
        <x:f>ROUND(E194-F194,1)</x:f>
        <x:v>29.4</x:v>
      </x:c>
      <x:c r="K194" s="22" t="str">
        <x:v>IH2609</x:v>
      </x:c>
    </x:row>
    <x:row r="195">
      <x:c r="A195" s="22" t="n">
        <x:v>17</x:v>
      </x:c>
      <x:c r="B195" s="22" t="str">
        <x:v>周二</x:v>
      </x:c>
      <x:c r="C195" s="22" t="str">
        <x:v>8月25日</x:v>
      </x:c>
      <x:c r="D195" s="23" t="n">
        <x:v>2855.2</x:v>
      </x:c>
      <x:c r="E195" s="23" t="n">
        <x:v>2864.4</x:v>
      </x:c>
      <x:c r="F195" s="23" t="n">
        <x:v>2840</x:v>
      </x:c>
      <x:c r="G195" s="23" t="n">
        <x:v>2855.2</x:v>
      </x:c>
      <x:c r="H195" s="23" t="n">
        <x:v>4.2</x:v>
      </x:c>
      <x:c r="I195" s="24" t="n">
        <x:v>0.001473167309715917</x:v>
      </x:c>
      <x:c r="J195" s="23" t="n">
        <x:f>ROUND(E195-F195,1)</x:f>
        <x:v>24.4</x:v>
      </x:c>
      <x:c r="K195" s="22" t="str">
        <x:v>IH2609</x:v>
      </x:c>
    </x:row>
    <x:row r="196">
      <x:c r="A196" s="22" t="n">
        <x:v>18</x:v>
      </x:c>
      <x:c r="B196" s="22" t="str">
        <x:v>周三</x:v>
      </x:c>
      <x:c r="C196" s="22" t="str">
        <x:v>8月26日</x:v>
      </x:c>
      <x:c r="D196" s="23" t="n">
        <x:v>2850</x:v>
      </x:c>
      <x:c r="E196" s="23" t="n">
        <x:v>2903.8</x:v>
      </x:c>
      <x:c r="F196" s="23" t="n">
        <x:v>2850</x:v>
      </x:c>
      <x:c r="G196" s="23" t="n">
        <x:v>2888.8</x:v>
      </x:c>
      <x:c r="H196" s="23" t="n">
        <x:v>33.6</x:v>
      </x:c>
      <x:c r="I196" s="24" t="n">
        <x:v>0.0117680022415243</x:v>
      </x:c>
      <x:c r="J196" s="23" t="n">
        <x:f>ROUND(E196-F196,1)</x:f>
        <x:v>53.8</x:v>
      </x:c>
      <x:c r="K196" s="22" t="str">
        <x:v>IH2609</x:v>
      </x:c>
    </x:row>
    <x:row r="197">
      <x:c r="A197" s="22" t="n">
        <x:v>19</x:v>
      </x:c>
      <x:c r="B197" s="22" t="str">
        <x:v>周四</x:v>
      </x:c>
      <x:c r="C197" s="22" t="str">
        <x:v>8月27日</x:v>
      </x:c>
      <x:c r="D197" s="23" t="n">
        <x:v>2895</x:v>
      </x:c>
      <x:c r="E197" s="23" t="n">
        <x:v>2916.2</x:v>
      </x:c>
      <x:c r="F197" s="23" t="n">
        <x:v>2890.4</x:v>
      </x:c>
      <x:c r="G197" s="23" t="n">
        <x:v>2914</x:v>
      </x:c>
      <x:c r="H197" s="23" t="n">
        <x:v>25.2</x:v>
      </x:c>
      <x:c r="I197" s="24" t="n">
        <x:v>0.008723345333702559</x:v>
      </x:c>
      <x:c r="J197" s="23" t="n">
        <x:f>ROUND(E197-F197,1)</x:f>
        <x:v>25.8</x:v>
      </x:c>
      <x:c r="K197" s="22" t="str">
        <x:v>IH2609</x:v>
      </x:c>
    </x:row>
    <x:row r="198">
      <x:c r="A198" s="22" t="n">
        <x:v>20</x:v>
      </x:c>
      <x:c r="B198" s="22" t="str">
        <x:v>周五</x:v>
      </x:c>
      <x:c r="C198" s="22" t="str">
        <x:v>8月28日</x:v>
      </x:c>
      <x:c r="D198" s="23" t="n">
        <x:v>2909</x:v>
      </x:c>
      <x:c r="E198" s="23" t="n">
        <x:v>2918.2</x:v>
      </x:c>
      <x:c r="F198" s="23" t="n">
        <x:v>2905.2</x:v>
      </x:c>
      <x:c r="G198" s="23" t="n">
        <x:v>2911.4</x:v>
      </x:c>
      <x:c r="H198" s="23" t="n">
        <x:v>-2.6</x:v>
      </x:c>
      <x:c r="I198" s="24" t="n">
        <x:v>-0.0008922443376800926</x:v>
      </x:c>
      <x:c r="J198" s="23" t="n">
        <x:f>ROUND(E198-F198,1)</x:f>
        <x:v>13</x:v>
      </x:c>
      <x:c r="K198" s="22" t="str">
        <x:v>IH2609</x:v>
      </x:c>
    </x:row>
    <x:row r="199">
      <x:c r="A199" s="22" t="n">
        <x:v>21</x:v>
      </x:c>
      <x:c r="B199" s="22" t="str">
        <x:v>周一</x:v>
      </x:c>
      <x:c r="C199" s="22" t="str">
        <x:v>8月31日</x:v>
      </x:c>
      <x:c r="D199" s="23" t="n">
        <x:v>2886</x:v>
      </x:c>
      <x:c r="E199" s="23" t="n">
        <x:v>2921.4</x:v>
      </x:c>
      <x:c r="F199" s="23" t="n">
        <x:v>2877.6</x:v>
      </x:c>
      <x:c r="G199" s="23" t="n">
        <x:v>2918</x:v>
      </x:c>
      <x:c r="H199" s="23" t="n">
        <x:v>6.6</x:v>
      </x:c>
      <x:c r="I199" s="24" t="n">
        <x:v>0.0022669506079548984</x:v>
      </x:c>
      <x:c r="J199" s="23" t="n">
        <x:f>ROUND(E199-F199,1)</x:f>
        <x:v>43.8</x:v>
      </x:c>
      <x:c r="K199" s="22" t="str">
        <x:v>IH2609</x:v>
      </x:c>
    </x:row>
    <x:row r="200">
      <x:c r="A200" s="31" t="str">
        <x:v>合计</x:v>
      </x:c>
      <x:c r="B200" s="30" t="n">
        <x:v>21</x:v>
      </x:c>
      <x:c r="C200" s="30"/>
      <x:c r="D200" s="30"/>
      <x:c r="E200" s="30"/>
      <x:c r="F200" s="30"/>
      <x:c r="G200" s="30"/>
      <x:c r="H200" s="30"/>
      <x:c r="I200" s="30"/>
      <x:c r="J200" s="32" t="n">
        <x:f>ROUND(SUM(J179:J199),1)</x:f>
        <x:v>698.8</x:v>
      </x:c>
      <x:c r="K200" s="30"/>
    </x:row>
    <x:row r="201">
      <x:c r="A201" s="31" t="str">
        <x:v>均值</x:v>
      </x:c>
      <x:c r="B201" s="30"/>
      <x:c r="C201" s="30"/>
      <x:c r="D201" s="30"/>
      <x:c r="E201" s="30"/>
      <x:c r="F201" s="30"/>
      <x:c r="G201" s="30"/>
      <x:c r="H201" s="30"/>
      <x:c r="I201" s="30"/>
      <x:c r="J201" s="34" t="n">
        <x:f>ROUND(IFERROR(AVERAGE(J179:J199),0),1)</x:f>
        <x:v>33.3</x:v>
      </x:c>
      <x:c r="K201" s="30"/>
    </x:row>
    <x:row r="203">
      <x:c r="A203" s="17" t="str">
        <x:v>9月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>
      <x:c r="A204" s="20" t="str">
        <x:v>序号</x:v>
      </x:c>
      <x:c r="B204" s="20" t="str">
        <x:v>星期</x:v>
      </x:c>
      <x:c r="C204" s="20" t="str">
        <x:v>日期</x:v>
      </x:c>
      <x:c r="D204" s="20" t="str">
        <x:v>开盘</x:v>
      </x:c>
      <x:c r="E204" s="20" t="str">
        <x:v>高点</x:v>
      </x:c>
      <x:c r="F204" s="20" t="str">
        <x:v>低点</x:v>
      </x:c>
      <x:c r="G204" s="20" t="str">
        <x:v>收盘</x:v>
      </x:c>
      <x:c r="H204" s="20" t="str">
        <x:v>涨跌点数</x:v>
      </x:c>
      <x:c r="I204" s="20" t="str">
        <x:v>涨幅</x:v>
      </x:c>
      <x:c r="J204" s="20" t="str">
        <x:v>振幅</x:v>
      </x:c>
      <x:c r="K204" s="20" t="str">
        <x:v>标的</x:v>
      </x:c>
    </x:row>
    <x:row r="205">
      <x:c r="A205" s="22" t="n">
        <x:v>1</x:v>
      </x:c>
      <x:c r="B205" s="22" t="str">
        <x:v>周二</x:v>
      </x:c>
      <x:c r="C205" s="22" t="str">
        <x:v>9月1日</x:v>
      </x:c>
      <x:c r="D205" s="23" t="n">
        <x:v>2913</x:v>
      </x:c>
      <x:c r="E205" s="23" t="n">
        <x:v>2934.8</x:v>
      </x:c>
      <x:c r="F205" s="23" t="n">
        <x:v>2912</x:v>
      </x:c>
      <x:c r="G205" s="23" t="n">
        <x:v>2928.6</x:v>
      </x:c>
      <x:c r="H205" s="23" t="n">
        <x:v>10.6</x:v>
      </x:c>
      <x:c r="I205" s="24" t="n">
        <x:v>0.0036326250856750786</x:v>
      </x:c>
      <x:c r="J205" s="23" t="n">
        <x:f>ROUND(E205-F205,1)</x:f>
        <x:v>22.8</x:v>
      </x:c>
      <x:c r="K205" s="22" t="str">
        <x:v>IH2609</x:v>
      </x:c>
    </x:row>
    <x:row r="206">
      <x:c r="A206" s="22" t="n">
        <x:v>2</x:v>
      </x:c>
      <x:c r="B206" s="22" t="str">
        <x:v>周三</x:v>
      </x:c>
      <x:c r="C206" s="22" t="str">
        <x:v>9月2日</x:v>
      </x:c>
      <x:c r="D206" s="23" t="n">
        <x:v>2916</x:v>
      </x:c>
      <x:c r="E206" s="23" t="n">
        <x:v>2917.4</x:v>
      </x:c>
      <x:c r="F206" s="23" t="n">
        <x:v>2881.4</x:v>
      </x:c>
      <x:c r="G206" s="23" t="n">
        <x:v>2898.8</x:v>
      </x:c>
      <x:c r="H206" s="23" t="n">
        <x:v>-29.8</x:v>
      </x:c>
      <x:c r="I206" s="24" t="n">
        <x:v>-0.010175510482824501</x:v>
      </x:c>
      <x:c r="J206" s="23" t="n">
        <x:f>ROUND(E206-F206,1)</x:f>
        <x:v>36</x:v>
      </x:c>
      <x:c r="K206" s="22" t="str">
        <x:v>IH2609</x:v>
      </x:c>
    </x:row>
    <x:row r="207">
      <x:c r="A207" s="22" t="n">
        <x:v>3</x:v>
      </x:c>
      <x:c r="B207" s="22" t="str">
        <x:v>周四</x:v>
      </x:c>
      <x:c r="C207" s="22" t="str">
        <x:v>9月3日</x:v>
      </x:c>
      <x:c r="D207" s="23" t="n">
        <x:v>2909.2</x:v>
      </x:c>
      <x:c r="E207" s="23" t="n">
        <x:v>2922.8</x:v>
      </x:c>
      <x:c r="F207" s="23" t="n">
        <x:v>2893.6</x:v>
      </x:c>
      <x:c r="G207" s="23" t="n">
        <x:v>2907.6</x:v>
      </x:c>
      <x:c r="H207" s="23" t="n">
        <x:v>8.8</x:v>
      </x:c>
      <x:c r="I207" s="24" t="n">
        <x:v>0.0030357389264521473</x:v>
      </x:c>
      <x:c r="J207" s="23" t="n">
        <x:f>ROUND(E207-F207,1)</x:f>
        <x:v>29.2</x:v>
      </x:c>
      <x:c r="K207" s="22" t="str">
        <x:v>IH2609</x:v>
      </x:c>
    </x:row>
    <x:row r="208">
      <x:c r="A208" s="22" t="n">
        <x:v>4</x:v>
      </x:c>
      <x:c r="B208" s="22" t="str">
        <x:v>周五</x:v>
      </x:c>
      <x:c r="C208" s="22" t="str">
        <x:v>9月4日</x:v>
      </x:c>
      <x:c r="D208" s="23" t="n">
        <x:v>2922</x:v>
      </x:c>
      <x:c r="E208" s="23" t="n">
        <x:v>2949.4</x:v>
      </x:c>
      <x:c r="F208" s="23" t="n">
        <x:v>2904.8</x:v>
      </x:c>
      <x:c r="G208" s="23" t="n">
        <x:v>2915.8</x:v>
      </x:c>
      <x:c r="H208" s="23" t="n">
        <x:v>8.2</x:v>
      </x:c>
      <x:c r="I208" s="24" t="n">
        <x:v>0.0028201953501170163</x:v>
      </x:c>
      <x:c r="J208" s="23" t="n">
        <x:f>ROUND(E208-F208,1)</x:f>
        <x:v>44.6</x:v>
      </x:c>
      <x:c r="K208" s="22" t="str">
        <x:v>IH2609</x:v>
      </x:c>
    </x:row>
    <x:row r="209">
      <x:c r="A209" s="22" t="n">
        <x:v>5</x:v>
      </x:c>
      <x:c r="B209" s="22" t="str">
        <x:v>周一</x:v>
      </x:c>
      <x:c r="C209" s="22" t="str">
        <x:v>9月7日</x:v>
      </x:c>
      <x:c r="D209" s="23" t="n">
        <x:v>2923.2</x:v>
      </x:c>
      <x:c r="E209" s="23" t="n">
        <x:v>2931.4</x:v>
      </x:c>
      <x:c r="F209" s="23" t="n">
        <x:v>2892.2</x:v>
      </x:c>
      <x:c r="G209" s="23" t="n">
        <x:v>2898.8</x:v>
      </x:c>
      <x:c r="H209" s="23" t="n">
        <x:v>-17</x:v>
      </x:c>
      <x:c r="I209" s="24" t="n">
        <x:v>-0.0058303038617189</x:v>
      </x:c>
      <x:c r="J209" s="23" t="n">
        <x:f>ROUND(E209-F209,1)</x:f>
        <x:v>39.2</x:v>
      </x:c>
      <x:c r="K209" s="22" t="str">
        <x:v>IH2609</x:v>
      </x:c>
    </x:row>
    <x:row r="210">
      <x:c r="A210" s="22" t="n">
        <x:v>6</x:v>
      </x:c>
      <x:c r="B210" s="22" t="str">
        <x:v>周二</x:v>
      </x:c>
      <x:c r="C210" s="22" t="str">
        <x:v>9月8日</x:v>
      </x:c>
      <x:c r="D210" s="23" t="n">
        <x:v>2904.8</x:v>
      </x:c>
      <x:c r="E210" s="23" t="n">
        <x:v>2917.4</x:v>
      </x:c>
      <x:c r="F210" s="23" t="n">
        <x:v>2891</x:v>
      </x:c>
      <x:c r="G210" s="23" t="n">
        <x:v>2897</x:v>
      </x:c>
      <x:c r="H210" s="23" t="n">
        <x:v>-1.8</x:v>
      </x:c>
      <x:c r="I210" s="24" t="n">
        <x:v>-0.0006209465985925755</x:v>
      </x:c>
      <x:c r="J210" s="23" t="n">
        <x:f>ROUND(E210-F210,1)</x:f>
        <x:v>26.4</x:v>
      </x:c>
      <x:c r="K210" s="22" t="str">
        <x:v>IH2609</x:v>
      </x:c>
    </x:row>
    <x:row r="211">
      <x:c r="A211" s="22" t="n">
        <x:v>7</x:v>
      </x:c>
      <x:c r="B211" s="22" t="str">
        <x:v>周三</x:v>
      </x:c>
      <x:c r="C211" s="22" t="str">
        <x:v>9月9日</x:v>
      </x:c>
      <x:c r="D211" s="23" t="n">
        <x:v>2903.2</x:v>
      </x:c>
      <x:c r="E211" s="23" t="n">
        <x:v>2909.8</x:v>
      </x:c>
      <x:c r="F211" s="23" t="n">
        <x:v>2887.6</x:v>
      </x:c>
      <x:c r="G211" s="23" t="n">
        <x:v>2901.2</x:v>
      </x:c>
      <x:c r="H211" s="23" t="n">
        <x:v>4.2</x:v>
      </x:c>
      <x:c r="I211" s="24" t="n">
        <x:v>0.001449775629962069</x:v>
      </x:c>
      <x:c r="J211" s="23" t="n">
        <x:f>ROUND(E211-F211,1)</x:f>
        <x:v>22.2</x:v>
      </x:c>
      <x:c r="K211" s="22" t="str">
        <x:v>IH2609</x:v>
      </x:c>
    </x:row>
    <x:row r="212">
      <x:c r="A212" s="22" t="n">
        <x:v>8</x:v>
      </x:c>
      <x:c r="B212" s="22" t="str">
        <x:v>周四</x:v>
      </x:c>
      <x:c r="C212" s="22" t="str">
        <x:v>9月10日</x:v>
      </x:c>
      <x:c r="D212" s="23" t="n">
        <x:v>2892</x:v>
      </x:c>
      <x:c r="E212" s="23" t="n">
        <x:v>2908.4</x:v>
      </x:c>
      <x:c r="F212" s="23" t="n">
        <x:v>2879.2</x:v>
      </x:c>
      <x:c r="G212" s="23" t="n">
        <x:v>2897</x:v>
      </x:c>
      <x:c r="H212" s="23" t="n">
        <x:v>-4.2</x:v>
      </x:c>
      <x:c r="I212" s="24" t="n">
        <x:v>-0.0014476768233833148</x:v>
      </x:c>
      <x:c r="J212" s="23" t="n">
        <x:f>ROUND(E212-F212,1)</x:f>
        <x:v>29.2</x:v>
      </x:c>
      <x:c r="K212" s="22" t="str">
        <x:v>IH2609</x:v>
      </x:c>
    </x:row>
    <x:row r="213">
      <x:c r="A213" s="22" t="n">
        <x:v>9</x:v>
      </x:c>
      <x:c r="B213" s="22" t="str">
        <x:v>周五</x:v>
      </x:c>
      <x:c r="C213" s="22" t="str">
        <x:v>9月11日</x:v>
      </x:c>
      <x:c r="D213" s="23" t="n">
        <x:v>2872.4</x:v>
      </x:c>
      <x:c r="E213" s="23" t="n">
        <x:v>2876.6</x:v>
      </x:c>
      <x:c r="F213" s="23" t="n">
        <x:v>2836.8</x:v>
      </x:c>
      <x:c r="G213" s="23" t="n">
        <x:v>2867</x:v>
      </x:c>
      <x:c r="H213" s="23" t="n">
        <x:v>-30</x:v>
      </x:c>
      <x:c r="I213" s="24" t="n">
        <x:v>-0.010355540214014525</x:v>
      </x:c>
      <x:c r="J213" s="23" t="n">
        <x:f>ROUND(E213-F213,1)</x:f>
        <x:v>39.8</x:v>
      </x:c>
      <x:c r="K213" s="22" t="str">
        <x:v>IH2609</x:v>
      </x:c>
    </x:row>
    <x:row r="214">
      <x:c r="A214" s="22" t="n">
        <x:v>10</x:v>
      </x:c>
      <x:c r="B214" s="22" t="str">
        <x:v>周一</x:v>
      </x:c>
      <x:c r="C214" s="22" t="str">
        <x:v>9月14日</x:v>
      </x:c>
      <x:c r="D214" s="23" t="n">
        <x:v>2849.2</x:v>
      </x:c>
      <x:c r="E214" s="23" t="n">
        <x:v>2864.6</x:v>
      </x:c>
      <x:c r="F214" s="23" t="n">
        <x:v>2843.8</x:v>
      </x:c>
      <x:c r="G214" s="23" t="n">
        <x:v>2860.4</x:v>
      </x:c>
      <x:c r="H214" s="23" t="n">
        <x:v>-6.6</x:v>
      </x:c>
      <x:c r="I214" s="24" t="n">
        <x:v>-0.002302057900244181</x:v>
      </x:c>
      <x:c r="J214" s="23" t="n">
        <x:f>ROUND(E214-F214,1)</x:f>
        <x:v>20.8</x:v>
      </x:c>
      <x:c r="K214" s="22" t="str">
        <x:v>IH2609</x:v>
      </x:c>
    </x:row>
    <x:row r="215">
      <x:c r="A215" s="22" t="n">
        <x:v>11</x:v>
      </x:c>
      <x:c r="B215" s="22" t="str">
        <x:v>周二</x:v>
      </x:c>
      <x:c r="C215" s="22" t="str">
        <x:v>9月15日</x:v>
      </x:c>
      <x:c r="D215" s="23" t="n">
        <x:v>2858</x:v>
      </x:c>
      <x:c r="E215" s="23" t="n">
        <x:v>2867</x:v>
      </x:c>
      <x:c r="F215" s="23" t="n">
        <x:v>2840</x:v>
      </x:c>
      <x:c r="G215" s="23" t="n">
        <x:v>2845</x:v>
      </x:c>
      <x:c r="H215" s="23" t="n">
        <x:v>-15.4</x:v>
      </x:c>
      <x:c r="I215" s="24" t="n">
        <x:v>-0.005383862396867611</x:v>
      </x:c>
      <x:c r="J215" s="23" t="n">
        <x:f>ROUND(E215-F215,1)</x:f>
        <x:v>27</x:v>
      </x:c>
      <x:c r="K215" s="22" t="str">
        <x:v>IH2609</x:v>
      </x:c>
    </x:row>
    <x:row r="216">
      <x:c r="A216" s="22" t="n">
        <x:v>12</x:v>
      </x:c>
      <x:c r="B216" s="22" t="str">
        <x:v>周三</x:v>
      </x:c>
      <x:c r="C216" s="22" t="str">
        <x:v>9月16日</x:v>
      </x:c>
      <x:c r="D216" s="23" t="n">
        <x:v>2848.2</x:v>
      </x:c>
      <x:c r="E216" s="23" t="n">
        <x:v>2873.2</x:v>
      </x:c>
      <x:c r="F216" s="23" t="n">
        <x:v>2829.4</x:v>
      </x:c>
      <x:c r="G216" s="23" t="n">
        <x:v>2865</x:v>
      </x:c>
      <x:c r="H216" s="23" t="n">
        <x:v>20</x:v>
      </x:c>
      <x:c r="I216" s="24" t="n">
        <x:v>0.007029876977152849</x:v>
      </x:c>
      <x:c r="J216" s="23" t="n">
        <x:f>ROUND(E216-F216,1)</x:f>
        <x:v>43.8</x:v>
      </x:c>
      <x:c r="K216" s="22" t="str">
        <x:v>IH2609</x:v>
      </x:c>
    </x:row>
    <x:row r="217">
      <x:c r="A217" s="22" t="n">
        <x:v>13</x:v>
      </x:c>
      <x:c r="B217" s="22" t="str">
        <x:v>周四</x:v>
      </x:c>
      <x:c r="C217" s="22" t="str">
        <x:v>9月17日</x:v>
      </x:c>
      <x:c r="D217" s="23" t="n">
        <x:v>2860</x:v>
      </x:c>
      <x:c r="E217" s="23" t="n">
        <x:v>2872.4</x:v>
      </x:c>
      <x:c r="F217" s="23" t="n">
        <x:v>2838.4</x:v>
      </x:c>
      <x:c r="G217" s="23" t="n">
        <x:v>2845.8</x:v>
      </x:c>
      <x:c r="H217" s="23" t="n">
        <x:v>-19.2</x:v>
      </x:c>
      <x:c r="I217" s="24" t="n">
        <x:v>-0.006701570680628155</x:v>
      </x:c>
      <x:c r="J217" s="23" t="n">
        <x:f>ROUND(E217-F217,1)</x:f>
        <x:v>34</x:v>
      </x:c>
      <x:c r="K217" s="22" t="str">
        <x:v>IH2609</x:v>
      </x:c>
    </x:row>
    <x:row r="218">
      <x:c r="A218" s="41" t="n">
        <x:v>14</x:v>
      </x:c>
      <x:c r="B218" s="41" t="str">
        <x:v>周五</x:v>
      </x:c>
      <x:c r="C218" s="41" t="str">
        <x:v>9月18日</x:v>
      </x:c>
      <x:c r="D218" s="42" t="n">
        <x:v>2856.4</x:v>
      </x:c>
      <x:c r="E218" s="42" t="n">
        <x:v>2870.8</x:v>
      </x:c>
      <x:c r="F218" s="42" t="n">
        <x:v>2853.4</x:v>
      </x:c>
      <x:c r="G218" s="42" t="n">
        <x:v>2862.2</x:v>
      </x:c>
      <x:c r="H218" s="42" t="n">
        <x:v>16.4</x:v>
      </x:c>
      <x:c r="I218" s="43" t="n">
        <x:v>0.0057628786281536115</x:v>
      </x:c>
      <x:c r="J218" s="42" t="n">
        <x:f>ROUND(E218-F218,1)</x:f>
        <x:v>17.4</x:v>
      </x:c>
      <x:c r="K218" s="41" t="str">
        <x:v>IH2609</x:v>
      </x:c>
    </x:row>
    <x:row r="219">
      <x:c r="A219" s="22" t="n">
        <x:v>15</x:v>
      </x:c>
      <x:c r="B219" s="22" t="str">
        <x:v>周一</x:v>
      </x:c>
      <x:c r="C219" s="22" t="str">
        <x:v>9月21日</x:v>
      </x:c>
      <x:c r="D219" s="23" t="n">
        <x:v>2830</x:v>
      </x:c>
      <x:c r="E219" s="23" t="n">
        <x:v>2849.8</x:v>
      </x:c>
      <x:c r="F219" s="23" t="n">
        <x:v>2822</x:v>
      </x:c>
      <x:c r="G219" s="23" t="n">
        <x:v>2847.4</x:v>
      </x:c>
      <x:c r="H219" s="23" t="n">
        <x:v>-14.8</x:v>
      </x:c>
      <x:c r="I219" s="24" t="n">
        <x:v>-0.005170847599748396</x:v>
      </x:c>
      <x:c r="J219" s="23" t="n">
        <x:f>ROUND(E219-F219,1)</x:f>
        <x:v>27.8</x:v>
      </x:c>
      <x:c r="K219" s="22" t="str">
        <x:v>IH2612</x:v>
      </x:c>
    </x:row>
    <x:row r="220">
      <x:c r="A220" s="22" t="n">
        <x:v>16</x:v>
      </x:c>
      <x:c r="B220" s="22" t="str">
        <x:v>周二</x:v>
      </x:c>
      <x:c r="C220" s="22" t="str">
        <x:v>9月22日</x:v>
      </x:c>
      <x:c r="D220" s="23" t="n">
        <x:v>2860</x:v>
      </x:c>
      <x:c r="E220" s="23" t="n">
        <x:v>2881.2</x:v>
      </x:c>
      <x:c r="F220" s="23" t="n">
        <x:v>2859.8</x:v>
      </x:c>
      <x:c r="G220" s="23" t="n">
        <x:v>2867</x:v>
      </x:c>
      <x:c r="H220" s="23" t="n">
        <x:v>19.6</x:v>
      </x:c>
      <x:c r="I220" s="24" t="n">
        <x:v>0.006883472641708188</x:v>
      </x:c>
      <x:c r="J220" s="23" t="n">
        <x:f>ROUND(E220-F220,1)</x:f>
        <x:v>21.4</x:v>
      </x:c>
      <x:c r="K220" s="22" t="str">
        <x:v>IH2612</x:v>
      </x:c>
    </x:row>
    <x:row r="221">
      <x:c r="A221" s="22" t="n">
        <x:v>17</x:v>
      </x:c>
      <x:c r="B221" s="22" t="str">
        <x:v>周三</x:v>
      </x:c>
      <x:c r="C221" s="22" t="str">
        <x:v>9月23日</x:v>
      </x:c>
      <x:c r="D221" s="23" t="n">
        <x:v>2870.4</x:v>
      </x:c>
      <x:c r="E221" s="23" t="n">
        <x:v>2875.6</x:v>
      </x:c>
      <x:c r="F221" s="23" t="n">
        <x:v>2855.2</x:v>
      </x:c>
      <x:c r="G221" s="23" t="n">
        <x:v>2859.4</x:v>
      </x:c>
      <x:c r="H221" s="23" t="n">
        <x:v>-7.6</x:v>
      </x:c>
      <x:c r="I221" s="24" t="n">
        <x:v>-0.0026508545517962556</x:v>
      </x:c>
      <x:c r="J221" s="23" t="n">
        <x:f>ROUND(E221-F221,1)</x:f>
        <x:v>20.4</x:v>
      </x:c>
      <x:c r="K221" s="22" t="str">
        <x:v>IH2612</x:v>
      </x:c>
    </x:row>
    <x:row r="222">
      <x:c r="A222" s="22" t="n">
        <x:v>18</x:v>
      </x:c>
      <x:c r="B222" s="22" t="str">
        <x:v>周四</x:v>
      </x:c>
      <x:c r="C222" s="22" t="str">
        <x:v>9月24日</x:v>
      </x:c>
      <x:c r="D222" s="23" t="n">
        <x:v>2838</x:v>
      </x:c>
      <x:c r="E222" s="23" t="n">
        <x:v>2850</x:v>
      </x:c>
      <x:c r="F222" s="23" t="n">
        <x:v>2798</x:v>
      </x:c>
      <x:c r="G222" s="23" t="n">
        <x:v>2804.6</x:v>
      </x:c>
      <x:c r="H222" s="23" t="n">
        <x:v>-54.8</x:v>
      </x:c>
      <x:c r="I222" s="24" t="n">
        <x:v>-0.019164859760789077</x:v>
      </x:c>
      <x:c r="J222" s="23" t="n">
        <x:f>ROUND(E222-F222,1)</x:f>
        <x:v>52</x:v>
      </x:c>
      <x:c r="K222" s="22" t="str">
        <x:v>IH2612</x:v>
      </x:c>
    </x:row>
    <x:row r="223">
      <x:c r="A223" s="22" t="n">
        <x:v>19</x:v>
      </x:c>
      <x:c r="B223" s="22" t="str">
        <x:v>周一</x:v>
      </x:c>
      <x:c r="C223" s="22" t="str">
        <x:v>9月28日</x:v>
      </x:c>
      <x:c r="D223" s="23" t="n">
        <x:v>2802</x:v>
      </x:c>
      <x:c r="E223" s="23" t="n">
        <x:v>2803.8</x:v>
      </x:c>
      <x:c r="F223" s="23" t="n">
        <x:v>2746</x:v>
      </x:c>
      <x:c r="G223" s="23" t="n">
        <x:v>2770.2</x:v>
      </x:c>
      <x:c r="H223" s="23" t="n">
        <x:v>-34.4</x:v>
      </x:c>
      <x:c r="I223" s="24" t="n">
        <x:v>-0.012265563716751138</x:v>
      </x:c>
      <x:c r="J223" s="23" t="n">
        <x:f>ROUND(E223-F223,1)</x:f>
        <x:v>57.8</x:v>
      </x:c>
      <x:c r="K223" s="22" t="str">
        <x:v>IH2612</x:v>
      </x:c>
    </x:row>
    <x:row r="224">
      <x:c r="A224" s="22" t="n">
        <x:v>20</x:v>
      </x:c>
      <x:c r="B224" s="22" t="str">
        <x:v>周二</x:v>
      </x:c>
      <x:c r="C224" s="22" t="str">
        <x:v>9月29日</x:v>
      </x:c>
      <x:c r="D224" s="23" t="n">
        <x:v>2769.2</x:v>
      </x:c>
      <x:c r="E224" s="23" t="n">
        <x:v>2777.8</x:v>
      </x:c>
      <x:c r="F224" s="23" t="n">
        <x:v>2752</x:v>
      </x:c>
      <x:c r="G224" s="23" t="n">
        <x:v>2763.6</x:v>
      </x:c>
      <x:c r="H224" s="23" t="n">
        <x:v>-6.6</x:v>
      </x:c>
      <x:c r="I224" s="24" t="n">
        <x:v>-0.0023824994585228687</x:v>
      </x:c>
      <x:c r="J224" s="23" t="n">
        <x:f>ROUND(E224-F224,1)</x:f>
        <x:v>25.8</x:v>
      </x:c>
      <x:c r="K224" s="22" t="str">
        <x:v>IH2612</x:v>
      </x:c>
    </x:row>
    <x:row r="225">
      <x:c r="A225" s="22" t="n">
        <x:v>21</x:v>
      </x:c>
      <x:c r="B225" s="22" t="str">
        <x:v>周三</x:v>
      </x:c>
      <x:c r="C225" s="22" t="str">
        <x:v>9月30日</x:v>
      </x:c>
      <x:c r="D225" s="23" t="n">
        <x:v>2769.6</x:v>
      </x:c>
      <x:c r="E225" s="23" t="n">
        <x:v>2782.2</x:v>
      </x:c>
      <x:c r="F225" s="23" t="n">
        <x:v>2762</x:v>
      </x:c>
      <x:c r="G225" s="23" t="n">
        <x:v>2778.8</x:v>
      </x:c>
      <x:c r="H225" s="23" t="n">
        <x:v>15.2</x:v>
      </x:c>
      <x:c r="I225" s="24" t="n">
        <x:v>0.005500072369373443</x:v>
      </x:c>
      <x:c r="J225" s="23" t="n">
        <x:f>ROUND(E225-F225,1)</x:f>
        <x:v>20.2</x:v>
      </x:c>
      <x:c r="K225" s="22" t="str">
        <x:v>IH2612</x:v>
      </x:c>
    </x:row>
    <x:row r="226">
      <x:c r="A226" s="31" t="str">
        <x:v>合计</x:v>
      </x:c>
      <x:c r="B226" s="30" t="n">
        <x:v>21</x:v>
      </x:c>
      <x:c r="C226" s="30"/>
      <x:c r="D226" s="30"/>
      <x:c r="E226" s="30"/>
      <x:c r="F226" s="30"/>
      <x:c r="G226" s="30"/>
      <x:c r="H226" s="30"/>
      <x:c r="I226" s="30"/>
      <x:c r="J226" s="32" t="n">
        <x:f>ROUND(SUM(J205:J225),1)</x:f>
        <x:v>657.8</x:v>
      </x:c>
      <x:c r="K226" s="30"/>
    </x:row>
    <x:row r="227">
      <x:c r="A227" s="31" t="str">
        <x:v>均值</x:v>
      </x:c>
      <x:c r="B227" s="30"/>
      <x:c r="C227" s="30"/>
      <x:c r="D227" s="30"/>
      <x:c r="E227" s="30"/>
      <x:c r="F227" s="30"/>
      <x:c r="G227" s="30"/>
      <x:c r="H227" s="30"/>
      <x:c r="I227" s="30"/>
      <x:c r="J227" s="34" t="n">
        <x:f>ROUND(IFERROR(AVERAGE(J205:J225),0),1)</x:f>
        <x:v>31.3</x:v>
      </x:c>
      <x:c r="K227" s="30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涨跌点数</x:v>
      </x:c>
      <x:c r="I230" s="20" t="str">
        <x:v>涨幅</x:v>
      </x:c>
      <x:c r="J230" s="20" t="str">
        <x:v>振幅</x:v>
      </x:c>
      <x:c r="K230" s="20" t="str">
        <x:v>标的</x:v>
      </x:c>
    </x:row>
    <x:row r="231">
      <x:c r="A231" s="22" t="n">
        <x:v>1</x:v>
      </x:c>
      <x:c r="B231" s="22" t="str">
        <x:v>周四</x:v>
      </x:c>
      <x:c r="C231" s="22" t="str">
        <x:v>10月8日</x:v>
      </x:c>
      <x:c r="D231" s="23" t="n">
        <x:v>2764</x:v>
      </x:c>
      <x:c r="E231" s="23" t="n">
        <x:v>2798.4</x:v>
      </x:c>
      <x:c r="F231" s="23" t="n">
        <x:v>2747.4</x:v>
      </x:c>
      <x:c r="G231" s="23" t="n">
        <x:v>2764.4</x:v>
      </x:c>
      <x:c r="H231" s="23" t="n">
        <x:v>-14.4</x:v>
      </x:c>
      <x:c r="I231" s="24" t="n">
        <x:v>-0.005182092989779785</x:v>
      </x:c>
      <x:c r="J231" s="23" t="n">
        <x:f>ROUND(E231-F231,1)</x:f>
        <x:v>51</x:v>
      </x:c>
      <x:c r="K231" s="22" t="str">
        <x:v>IH2612</x:v>
      </x:c>
    </x:row>
    <x:row r="232">
      <x:c r="A232" s="22" t="n">
        <x:v>2</x:v>
      </x:c>
      <x:c r="B232" s="22" t="str">
        <x:v>周五</x:v>
      </x:c>
      <x:c r="C232" s="22" t="str">
        <x:v>10月9日</x:v>
      </x:c>
      <x:c r="D232" s="23" t="n">
        <x:v>2759</x:v>
      </x:c>
      <x:c r="E232" s="23" t="n">
        <x:v>2778.6</x:v>
      </x:c>
      <x:c r="F232" s="23" t="n">
        <x:v>2735</x:v>
      </x:c>
      <x:c r="G232" s="23" t="n">
        <x:v>2764</x:v>
      </x:c>
      <x:c r="H232" s="23" t="n">
        <x:v>-0.4</x:v>
      </x:c>
      <x:c r="I232" s="24" t="n">
        <x:v>-0.00014469686007811955</x:v>
      </x:c>
      <x:c r="J232" s="23" t="n">
        <x:f>ROUND(E232-F232,1)</x:f>
        <x:v>43.6</x:v>
      </x:c>
      <x:c r="K232" s="22" t="str">
        <x:v>IH2612</x:v>
      </x:c>
    </x:row>
    <x:row r="233">
      <x:c r="A233" s="22" t="n">
        <x:v>3</x:v>
      </x:c>
      <x:c r="B233" s="22" t="str">
        <x:v>周一</x:v>
      </x:c>
      <x:c r="C233" s="22" t="str">
        <x:v>10月12日</x:v>
      </x:c>
      <x:c r="D233" s="23" t="n">
        <x:v>2762</x:v>
      </x:c>
      <x:c r="E233" s="23" t="n">
        <x:v>2794</x:v>
      </x:c>
      <x:c r="F233" s="23" t="n">
        <x:v>2761.2</x:v>
      </x:c>
      <x:c r="G233" s="23" t="n">
        <x:v>2779</x:v>
      </x:c>
      <x:c r="H233" s="23" t="n">
        <x:v>15</x:v>
      </x:c>
      <x:c r="I233" s="24" t="n">
        <x:v>0.00542691751085389</x:v>
      </x:c>
      <x:c r="J233" s="23" t="n">
        <x:f>ROUND(E233-F233,1)</x:f>
        <x:v>32.8</x:v>
      </x:c>
      <x:c r="K233" s="22" t="str">
        <x:v>IH2612</x:v>
      </x:c>
    </x:row>
    <x:row r="234">
      <x:c r="A234" s="22" t="n">
        <x:v>4</x:v>
      </x:c>
      <x:c r="B234" s="22" t="str">
        <x:v>周二</x:v>
      </x:c>
      <x:c r="C234" s="22" t="str">
        <x:v>10月13日</x:v>
      </x:c>
      <x:c r="D234" s="23" t="n">
        <x:v>2752.2</x:v>
      </x:c>
      <x:c r="E234" s="23" t="n">
        <x:v>2785.4</x:v>
      </x:c>
      <x:c r="F234" s="23" t="n">
        <x:v>2733.8</x:v>
      </x:c>
      <x:c r="G234" s="23" t="n">
        <x:v>2762</x:v>
      </x:c>
      <x:c r="H234" s="23" t="n">
        <x:v>-17</x:v>
      </x:c>
      <x:c r="I234" s="24" t="n">
        <x:v>-0.006117308384310904</x:v>
      </x:c>
      <x:c r="J234" s="23" t="n">
        <x:f>ROUND(E234-F234,1)</x:f>
        <x:v>51.6</x:v>
      </x:c>
      <x:c r="K234" s="22" t="str">
        <x:v>IH2612</x:v>
      </x:c>
    </x:row>
    <x:row r="235">
      <x:c r="A235" s="22" t="n">
        <x:v>5</x:v>
      </x:c>
      <x:c r="B235" s="22" t="str">
        <x:v>周三</x:v>
      </x:c>
      <x:c r="C235" s="22" t="str">
        <x:v>10月14日</x:v>
      </x:c>
      <x:c r="D235" s="23" t="n">
        <x:v>2757.2</x:v>
      </x:c>
      <x:c r="E235" s="23" t="n">
        <x:v>2760.8</x:v>
      </x:c>
      <x:c r="F235" s="23" t="n">
        <x:v>2722.4</x:v>
      </x:c>
      <x:c r="G235" s="23" t="n">
        <x:v>2733.8</x:v>
      </x:c>
      <x:c r="H235" s="23" t="n">
        <x:v>-28.2</x:v>
      </x:c>
      <x:c r="I235" s="24" t="n">
        <x:v>-0.010209992758870357</x:v>
      </x:c>
      <x:c r="J235" s="23" t="n">
        <x:f>ROUND(E235-F235,1)</x:f>
        <x:v>38.4</x:v>
      </x:c>
      <x:c r="K235" s="22" t="str">
        <x:v>IH2612</x:v>
      </x:c>
    </x:row>
    <x:row r="236">
      <x:c r="A236" s="22" t="n">
        <x:v>6</x:v>
      </x:c>
      <x:c r="B236" s="22" t="str">
        <x:v>周四</x:v>
      </x:c>
      <x:c r="C236" s="22" t="str">
        <x:v>10月15日</x:v>
      </x:c>
      <x:c r="D236" s="23" t="n">
        <x:v>2695.6</x:v>
      </x:c>
      <x:c r="E236" s="23" t="n">
        <x:v>2719.8</x:v>
      </x:c>
      <x:c r="F236" s="23" t="n">
        <x:v>2677.6</x:v>
      </x:c>
      <x:c r="G236" s="23" t="n">
        <x:v>2718.6</x:v>
      </x:c>
      <x:c r="H236" s="23" t="n">
        <x:v>-15.2</x:v>
      </x:c>
      <x:c r="I236" s="24" t="n">
        <x:v>-0.00556002633696695</x:v>
      </x:c>
      <x:c r="J236" s="23" t="n">
        <x:f>ROUND(E236-F236,1)</x:f>
        <x:v>42.2</x:v>
      </x:c>
      <x:c r="K236" s="22" t="str">
        <x:v>IH2612</x:v>
      </x:c>
    </x:row>
    <x:row r="237">
      <x:c r="A237" s="31" t="str">
        <x:v>合计</x:v>
      </x:c>
      <x:c r="B237" s="30" t="n">
        <x:v>6</x:v>
      </x:c>
      <x:c r="C237" s="30"/>
      <x:c r="D237" s="30"/>
      <x:c r="E237" s="30"/>
      <x:c r="F237" s="30"/>
      <x:c r="G237" s="30"/>
      <x:c r="H237" s="30"/>
      <x:c r="I237" s="30"/>
      <x:c r="J237" s="32" t="n">
        <x:f>ROUND(SUM(J231:J236),1)</x:f>
        <x:v>259.6</x:v>
      </x:c>
      <x:c r="K237" s="30"/>
    </x:row>
    <x:row r="238">
      <x:c r="A238" s="31" t="str">
        <x:v>均值</x:v>
      </x:c>
      <x:c r="B238" s="30"/>
      <x:c r="C238" s="30"/>
      <x:c r="D238" s="30"/>
      <x:c r="E238" s="30"/>
      <x:c r="F238" s="30"/>
      <x:c r="G238" s="30"/>
      <x:c r="H238" s="30"/>
      <x:c r="I238" s="30"/>
      <x:c r="J238" s="34" t="n">
        <x:f>ROUND(IFERROR(AVERAGE(J231:J236),0),1)</x:f>
        <x:v>43.3</x:v>
      </x:c>
      <x:c r="K238" s="30"/>
    </x:row>
  </x:sheetData>
  <x:mergeCells>
    <x:mergeCell ref="A1:K1"/>
    <x:mergeCell ref="A3:K3"/>
    <x:mergeCell ref="A28:K28"/>
    <x:mergeCell ref="A47:K47"/>
    <x:mergeCell ref="A74:K74"/>
    <x:mergeCell ref="A100:K100"/>
    <x:mergeCell ref="A123:K123"/>
    <x:mergeCell ref="A149:K149"/>
    <x:mergeCell ref="A177:K177"/>
    <x:mergeCell ref="A203:K203"/>
    <x:mergeCell ref="A229:K22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2026年统计 - 碳酸锂2610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2" t="n">
        <x:v>1</x:v>
      </x:c>
      <x:c r="B5" s="22" t="str">
        <x:v>周一</x:v>
      </x:c>
      <x:c r="C5" s="22" t="str">
        <x:v>1月5日</x:v>
      </x:c>
      <x:c r="D5" s="23" t="n">
        <x:v>132800</x:v>
      </x:c>
      <x:c r="E5" s="23" t="n">
        <x:v>132800</x:v>
      </x:c>
      <x:c r="F5" s="23" t="n">
        <x:v>123500</x:v>
      </x:c>
      <x:c r="G5" s="23" t="n">
        <x:v>131820</x:v>
      </x:c>
      <x:c r="H5" s="28" t="n">
        <x:v>8360</x:v>
      </x:c>
      <x:c r="I5" s="24" t="n">
        <x:v>0.06771423942977473</x:v>
      </x:c>
      <x:c r="J5" s="26" t="n">
        <x:f>ROUND(E5-F5,1)</x:f>
        <x:v>9300</x:v>
      </x:c>
      <x:c r="K5" s="22" t="str">
        <x:v>LC2610</x:v>
      </x:c>
    </x:row>
    <x:row r="6">
      <x:c r="A6" s="22" t="n">
        <x:v>2</x:v>
      </x:c>
      <x:c r="B6" s="22" t="str">
        <x:v>周二</x:v>
      </x:c>
      <x:c r="C6" s="22" t="str">
        <x:v>1月6日</x:v>
      </x:c>
      <x:c r="D6" s="23" t="n">
        <x:v>134100</x:v>
      </x:c>
      <x:c r="E6" s="23" t="n">
        <x:v>138720</x:v>
      </x:c>
      <x:c r="F6" s="23" t="n">
        <x:v>134020</x:v>
      </x:c>
      <x:c r="G6" s="23" t="n">
        <x:v>138720</x:v>
      </x:c>
      <x:c r="H6" s="28" t="n">
        <x:v>6900</x:v>
      </x:c>
      <x:c r="I6" s="24" t="n">
        <x:v>0.05234410559854341</x:v>
      </x:c>
      <x:c r="J6" s="23" t="n">
        <x:f>ROUND(E6-F6,1)</x:f>
        <x:v>4700</x:v>
      </x:c>
      <x:c r="K6" s="22" t="str">
        <x:v>LC2610</x:v>
      </x:c>
    </x:row>
    <x:row r="7">
      <x:c r="A7" s="22" t="n">
        <x:v>3</x:v>
      </x:c>
      <x:c r="B7" s="22" t="str">
        <x:v>周三</x:v>
      </x:c>
      <x:c r="C7" s="22" t="str">
        <x:v>1月7日</x:v>
      </x:c>
      <x:c r="D7" s="23" t="n">
        <x:v>144500</x:v>
      </x:c>
      <x:c r="E7" s="23" t="n">
        <x:v>148420</x:v>
      </x:c>
      <x:c r="F7" s="23" t="n">
        <x:v>139700</x:v>
      </x:c>
      <x:c r="G7" s="23" t="n">
        <x:v>143880</x:v>
      </x:c>
      <x:c r="H7" s="28" t="n">
        <x:v>5160</x:v>
      </x:c>
      <x:c r="I7" s="24" t="n">
        <x:v>0.037197231833909994</x:v>
      </x:c>
      <x:c r="J7" s="26" t="n">
        <x:f>ROUND(E7-F7,1)</x:f>
        <x:v>8720</x:v>
      </x:c>
      <x:c r="K7" s="22" t="str">
        <x:v>LC2610</x:v>
      </x:c>
    </x:row>
    <x:row r="8">
      <x:c r="A8" s="22" t="n">
        <x:v>4</x:v>
      </x:c>
      <x:c r="B8" s="22" t="str">
        <x:v>周四</x:v>
      </x:c>
      <x:c r="C8" s="22" t="str">
        <x:v>1月8日</x:v>
      </x:c>
      <x:c r="D8" s="23" t="n">
        <x:v>143160</x:v>
      </x:c>
      <x:c r="E8" s="23" t="n">
        <x:v>150100</x:v>
      </x:c>
      <x:c r="F8" s="23" t="n">
        <x:v>138340</x:v>
      </x:c>
      <x:c r="G8" s="23" t="n">
        <x:v>146860</x:v>
      </x:c>
      <x:c r="H8" s="28" t="n">
        <x:v>2980</x:v>
      </x:c>
      <x:c r="I8" s="24" t="n">
        <x:v>0.02071170419794277</x:v>
      </x:c>
      <x:c r="J8" s="26" t="n">
        <x:f>ROUND(E8-F8,1)</x:f>
        <x:v>11760</x:v>
      </x:c>
      <x:c r="K8" s="22" t="str">
        <x:v>LC2610</x:v>
      </x:c>
    </x:row>
    <x:row r="9">
      <x:c r="A9" s="22" t="n">
        <x:v>5</x:v>
      </x:c>
      <x:c r="B9" s="22" t="str">
        <x:v>周五</x:v>
      </x:c>
      <x:c r="C9" s="22" t="str">
        <x:v>1月9日</x:v>
      </x:c>
      <x:c r="D9" s="23" t="n">
        <x:v>145280</x:v>
      </x:c>
      <x:c r="E9" s="23" t="n">
        <x:v>149240</x:v>
      </x:c>
      <x:c r="F9" s="23" t="n">
        <x:v>141560</x:v>
      </x:c>
      <x:c r="G9" s="23" t="n">
        <x:v>145600</x:v>
      </x:c>
      <x:c r="H9" s="28" t="n">
        <x:v>-1260</x:v>
      </x:c>
      <x:c r="I9" s="24" t="n">
        <x:v>-0.008579599618684486</x:v>
      </x:c>
      <x:c r="J9" s="26" t="n">
        <x:f>ROUND(E9-F9,1)</x:f>
        <x:v>7680</x:v>
      </x:c>
      <x:c r="K9" s="22" t="str">
        <x:v>LC2610</x:v>
      </x:c>
    </x:row>
    <x:row r="10">
      <x:c r="A10" s="22" t="n">
        <x:v>6</x:v>
      </x:c>
      <x:c r="B10" s="22" t="str">
        <x:v>周一</x:v>
      </x:c>
      <x:c r="C10" s="22" t="str">
        <x:v>1月12日</x:v>
      </x:c>
      <x:c r="D10" s="23" t="n">
        <x:v>149180</x:v>
      </x:c>
      <x:c r="E10" s="23" t="n">
        <x:v>159000</x:v>
      </x:c>
      <x:c r="F10" s="23" t="n">
        <x:v>149180</x:v>
      </x:c>
      <x:c r="G10" s="23" t="n">
        <x:v>159000</x:v>
      </x:c>
      <x:c r="H10" s="28" t="n">
        <x:v>13400</x:v>
      </x:c>
      <x:c r="I10" s="24" t="n">
        <x:v>0.09203296703296693</x:v>
      </x:c>
      <x:c r="J10" s="26" t="n">
        <x:f>ROUND(E10-F10,1)</x:f>
        <x:v>9820</x:v>
      </x:c>
      <x:c r="K10" s="22" t="str">
        <x:v>LC2610</x:v>
      </x:c>
    </x:row>
    <x:row r="11">
      <x:c r="A11" s="22" t="n">
        <x:v>7</x:v>
      </x:c>
      <x:c r="B11" s="22" t="str">
        <x:v>周二</x:v>
      </x:c>
      <x:c r="C11" s="22" t="str">
        <x:v>1月13日</x:v>
      </x:c>
      <x:c r="D11" s="23" t="n">
        <x:v>168840</x:v>
      </x:c>
      <x:c r="E11" s="23" t="n">
        <x:v>175360</x:v>
      </x:c>
      <x:c r="F11" s="23" t="n">
        <x:v>163140</x:v>
      </x:c>
      <x:c r="G11" s="23" t="n">
        <x:v>169520</x:v>
      </x:c>
      <x:c r="H11" s="28" t="n">
        <x:v>10520</x:v>
      </x:c>
      <x:c r="I11" s="24" t="n">
        <x:v>0.06616352201257869</x:v>
      </x:c>
      <x:c r="J11" s="26" t="n">
        <x:f>ROUND(E11-F11,1)</x:f>
        <x:v>12220</x:v>
      </x:c>
      <x:c r="K11" s="22" t="str">
        <x:v>LC2610</x:v>
      </x:c>
    </x:row>
    <x:row r="12">
      <x:c r="A12" s="22" t="n">
        <x:v>8</x:v>
      </x:c>
      <x:c r="B12" s="22" t="str">
        <x:v>周三</x:v>
      </x:c>
      <x:c r="C12" s="22" t="str">
        <x:v>1月14日</x:v>
      </x:c>
      <x:c r="D12" s="23" t="n">
        <x:v>169800</x:v>
      </x:c>
      <x:c r="E12" s="23" t="n">
        <x:v>175080</x:v>
      </x:c>
      <x:c r="F12" s="23" t="n">
        <x:v>157120</x:v>
      </x:c>
      <x:c r="G12" s="23" t="n">
        <x:v>163960</x:v>
      </x:c>
      <x:c r="H12" s="28" t="n">
        <x:v>-5560</x:v>
      </x:c>
      <x:c r="I12" s="24" t="n">
        <x:v>-0.03279848985370459</x:v>
      </x:c>
      <x:c r="J12" s="26" t="n">
        <x:f>ROUND(E12-F12,1)</x:f>
        <x:v>17960</x:v>
      </x:c>
      <x:c r="K12" s="22" t="str">
        <x:v>LC2610</x:v>
      </x:c>
    </x:row>
    <x:row r="13">
      <x:c r="A13" s="22" t="n">
        <x:v>9</x:v>
      </x:c>
      <x:c r="B13" s="22" t="str">
        <x:v>周四</x:v>
      </x:c>
      <x:c r="C13" s="22" t="str">
        <x:v>1月15日</x:v>
      </x:c>
      <x:c r="D13" s="23" t="n">
        <x:v>167340</x:v>
      </x:c>
      <x:c r="E13" s="23" t="n">
        <x:v>167340</x:v>
      </x:c>
      <x:c r="F13" s="23" t="n">
        <x:v>157360</x:v>
      </x:c>
      <x:c r="G13" s="23" t="n">
        <x:v>164320</x:v>
      </x:c>
      <x:c r="H13" s="28" t="n">
        <x:v>360</x:v>
      </x:c>
      <x:c r="I13" s="24" t="n">
        <x:v>0.0021956574774335547</x:v>
      </x:c>
      <x:c r="J13" s="26" t="n">
        <x:f>ROUND(E13-F13,1)</x:f>
        <x:v>9980</x:v>
      </x:c>
      <x:c r="K13" s="22" t="str">
        <x:v>LC2610</x:v>
      </x:c>
    </x:row>
    <x:row r="14">
      <x:c r="A14" s="41" t="n">
        <x:v>10</x:v>
      </x:c>
      <x:c r="B14" s="41" t="str">
        <x:v>周五</x:v>
      </x:c>
      <x:c r="C14" s="41" t="str">
        <x:v>1月16日</x:v>
      </x:c>
      <x:c r="D14" s="42" t="n">
        <x:v>164700</x:v>
      </x:c>
      <x:c r="E14" s="42" t="n">
        <x:v>167000</x:v>
      </x:c>
      <x:c r="F14" s="42" t="n">
        <x:v>148180</x:v>
      </x:c>
      <x:c r="G14" s="42" t="n">
        <x:v>148180</x:v>
      </x:c>
      <x:c r="H14" s="28" t="n">
        <x:v>-16140</x:v>
      </x:c>
      <x:c r="I14" s="43" t="n">
        <x:v>-0.09822297955209347</x:v>
      </x:c>
      <x:c r="J14" s="26" t="n">
        <x:f>ROUND(E14-F14,1)</x:f>
        <x:v>18820</x:v>
      </x:c>
      <x:c r="K14" s="41" t="str">
        <x:v>LC2610</x:v>
      </x:c>
    </x:row>
    <x:row r="15">
      <x:c r="A15" s="22" t="n">
        <x:v>11</x:v>
      </x:c>
      <x:c r="B15" s="22" t="str">
        <x:v>周一</x:v>
      </x:c>
      <x:c r="C15" s="22" t="str">
        <x:v>1月19日</x:v>
      </x:c>
      <x:c r="D15" s="23" t="n">
        <x:v>143000</x:v>
      </x:c>
      <x:c r="E15" s="23" t="n">
        <x:v>151800</x:v>
      </x:c>
      <x:c r="F15" s="23" t="n">
        <x:v>143000</x:v>
      </x:c>
      <x:c r="G15" s="23" t="n">
        <x:v>149160</x:v>
      </x:c>
      <x:c r="H15" s="28" t="n">
        <x:v>980</x:v>
      </x:c>
      <x:c r="I15" s="24" t="n">
        <x:v>0.006613578080712612</x:v>
      </x:c>
      <x:c r="J15" s="26" t="n">
        <x:f>ROUND(E15-F15,1)</x:f>
        <x:v>8800</x:v>
      </x:c>
      <x:c r="K15" s="22" t="str">
        <x:v>LC2610</x:v>
      </x:c>
    </x:row>
    <x:row r="16">
      <x:c r="A16" s="22" t="n">
        <x:v>12</x:v>
      </x:c>
      <x:c r="B16" s="22" t="str">
        <x:v>周二</x:v>
      </x:c>
      <x:c r="C16" s="22" t="str">
        <x:v>1月20日</x:v>
      </x:c>
      <x:c r="D16" s="23" t="n">
        <x:v>149860</x:v>
      </x:c>
      <x:c r="E16" s="23" t="n">
        <x:v>161180</x:v>
      </x:c>
      <x:c r="F16" s="23" t="n">
        <x:v>149860</x:v>
      </x:c>
      <x:c r="G16" s="23" t="n">
        <x:v>161000</x:v>
      </x:c>
      <x:c r="H16" s="28" t="n">
        <x:v>11840</x:v>
      </x:c>
      <x:c r="I16" s="24" t="n">
        <x:v>0.07937784928935376</x:v>
      </x:c>
      <x:c r="J16" s="26" t="n">
        <x:f>ROUND(E16-F16,1)</x:f>
        <x:v>11320</x:v>
      </x:c>
      <x:c r="K16" s="22" t="str">
        <x:v>LC2610</x:v>
      </x:c>
    </x:row>
    <x:row r="17">
      <x:c r="A17" s="22" t="n">
        <x:v>13</x:v>
      </x:c>
      <x:c r="B17" s="22" t="str">
        <x:v>周三</x:v>
      </x:c>
      <x:c r="C17" s="22" t="str">
        <x:v>1月21日</x:v>
      </x:c>
      <x:c r="D17" s="23" t="n">
        <x:v>161760</x:v>
      </x:c>
      <x:c r="E17" s="23" t="n">
        <x:v>170740</x:v>
      </x:c>
      <x:c r="F17" s="23" t="n">
        <x:v>160720</x:v>
      </x:c>
      <x:c r="G17" s="23" t="n">
        <x:v>169280</x:v>
      </x:c>
      <x:c r="H17" s="28" t="n">
        <x:v>8280</x:v>
      </x:c>
      <x:c r="I17" s="24" t="n">
        <x:v>0.05142857142857138</x:v>
      </x:c>
      <x:c r="J17" s="26" t="n">
        <x:f>ROUND(E17-F17,1)</x:f>
        <x:v>10020</x:v>
      </x:c>
      <x:c r="K17" s="22" t="str">
        <x:v>LC2610</x:v>
      </x:c>
    </x:row>
    <x:row r="18">
      <x:c r="A18" s="22" t="n">
        <x:v>14</x:v>
      </x:c>
      <x:c r="B18" s="22" t="str">
        <x:v>周四</x:v>
      </x:c>
      <x:c r="C18" s="22" t="str">
        <x:v>1月22日</x:v>
      </x:c>
      <x:c r="D18" s="23" t="n">
        <x:v>167340</x:v>
      </x:c>
      <x:c r="E18" s="23" t="n">
        <x:v>175180</x:v>
      </x:c>
      <x:c r="F18" s="23" t="n">
        <x:v>161200</x:v>
      </x:c>
      <x:c r="G18" s="23" t="n">
        <x:v>170320</x:v>
      </x:c>
      <x:c r="H18" s="28" t="n">
        <x:v>1040</x:v>
      </x:c>
      <x:c r="I18" s="24" t="n">
        <x:v>0.0061436672967862815</x:v>
      </x:c>
      <x:c r="J18" s="26" t="n">
        <x:f>ROUND(E18-F18,1)</x:f>
        <x:v>13980</x:v>
      </x:c>
      <x:c r="K18" s="22" t="str">
        <x:v>LC2610</x:v>
      </x:c>
    </x:row>
    <x:row r="19">
      <x:c r="A19" s="22" t="n">
        <x:v>15</x:v>
      </x:c>
      <x:c r="B19" s="22" t="str">
        <x:v>周五</x:v>
      </x:c>
      <x:c r="C19" s="22" t="str">
        <x:v>1月23日</x:v>
      </x:c>
      <x:c r="D19" s="23" t="n">
        <x:v>171680</x:v>
      </x:c>
      <x:c r="E19" s="23" t="n">
        <x:v>183460</x:v>
      </x:c>
      <x:c r="F19" s="23" t="n">
        <x:v>171680</x:v>
      </x:c>
      <x:c r="G19" s="23" t="n">
        <x:v>183460</x:v>
      </x:c>
      <x:c r="H19" s="28" t="n">
        <x:v>13140</x:v>
      </x:c>
      <x:c r="I19" s="24" t="n">
        <x:v>0.077148896195397</x:v>
      </x:c>
      <x:c r="J19" s="26" t="n">
        <x:f>ROUND(E19-F19,1)</x:f>
        <x:v>11780</x:v>
      </x:c>
      <x:c r="K19" s="22" t="str">
        <x:v>LC2610</x:v>
      </x:c>
    </x:row>
    <x:row r="20">
      <x:c r="A20" s="22" t="n">
        <x:v>16</x:v>
      </x:c>
      <x:c r="B20" s="22" t="str">
        <x:v>周一</x:v>
      </x:c>
      <x:c r="C20" s="22" t="str">
        <x:v>1月26日</x:v>
      </x:c>
      <x:c r="D20" s="23" t="n">
        <x:v>189980</x:v>
      </x:c>
      <x:c r="E20" s="23" t="n">
        <x:v>190020</x:v>
      </x:c>
      <x:c r="F20" s="23" t="n">
        <x:v>165560</x:v>
      </x:c>
      <x:c r="G20" s="23" t="n">
        <x:v>167820</x:v>
      </x:c>
      <x:c r="H20" s="28" t="n">
        <x:v>-15640</x:v>
      </x:c>
      <x:c r="I20" s="24" t="n">
        <x:v>-0.08525019077728113</x:v>
      </x:c>
      <x:c r="J20" s="26" t="n">
        <x:f>ROUND(E20-F20,1)</x:f>
        <x:v>24460</x:v>
      </x:c>
      <x:c r="K20" s="22" t="str">
        <x:v>LC2610</x:v>
      </x:c>
    </x:row>
    <x:row r="21">
      <x:c r="A21" s="22" t="n">
        <x:v>17</x:v>
      </x:c>
      <x:c r="B21" s="22" t="str">
        <x:v>周二</x:v>
      </x:c>
      <x:c r="C21" s="22" t="str">
        <x:v>1月27日</x:v>
      </x:c>
      <x:c r="D21" s="23" t="n">
        <x:v>174000</x:v>
      </x:c>
      <x:c r="E21" s="23" t="n">
        <x:v>182420</x:v>
      </x:c>
      <x:c r="F21" s="23" t="n">
        <x:v>167160</x:v>
      </x:c>
      <x:c r="G21" s="23" t="n">
        <x:v>182420</x:v>
      </x:c>
      <x:c r="H21" s="28" t="n">
        <x:v>14600</x:v>
      </x:c>
      <x:c r="I21" s="24" t="n">
        <x:v>0.08699797401978304</x:v>
      </x:c>
      <x:c r="J21" s="26" t="n">
        <x:f>ROUND(E21-F21,1)</x:f>
        <x:v>15260</x:v>
      </x:c>
      <x:c r="K21" s="22" t="str">
        <x:v>LC2610</x:v>
      </x:c>
    </x:row>
    <x:row r="22">
      <x:c r="A22" s="22" t="n">
        <x:v>18</x:v>
      </x:c>
      <x:c r="B22" s="22" t="str">
        <x:v>周三</x:v>
      </x:c>
      <x:c r="C22" s="22" t="str">
        <x:v>1月28日</x:v>
      </x:c>
      <x:c r="D22" s="23" t="n">
        <x:v>180400</x:v>
      </x:c>
      <x:c r="E22" s="23" t="n">
        <x:v>181060</x:v>
      </x:c>
      <x:c r="F22" s="23" t="n">
        <x:v>164140</x:v>
      </x:c>
      <x:c r="G22" s="23" t="n">
        <x:v>166100</x:v>
      </x:c>
      <x:c r="H22" s="28" t="n">
        <x:v>-16320</x:v>
      </x:c>
      <x:c r="I22" s="24" t="n">
        <x:v>-0.08946387457515625</x:v>
      </x:c>
      <x:c r="J22" s="26" t="n">
        <x:f>ROUND(E22-F22,1)</x:f>
        <x:v>16920</x:v>
      </x:c>
      <x:c r="K22" s="22" t="str">
        <x:v>LC2610</x:v>
      </x:c>
    </x:row>
    <x:row r="23">
      <x:c r="A23" s="22" t="n">
        <x:v>19</x:v>
      </x:c>
      <x:c r="B23" s="22" t="str">
        <x:v>周四</x:v>
      </x:c>
      <x:c r="C23" s="22" t="str">
        <x:v>1月29日</x:v>
      </x:c>
      <x:c r="D23" s="23" t="n">
        <x:v>170160</x:v>
      </x:c>
      <x:c r="E23" s="23" t="n">
        <x:v>174420</x:v>
      </x:c>
      <x:c r="F23" s="23" t="n">
        <x:v>159920</x:v>
      </x:c>
      <x:c r="G23" s="23" t="n">
        <x:v>165640</x:v>
      </x:c>
      <x:c r="H23" s="28" t="n">
        <x:v>-460</x:v>
      </x:c>
      <x:c r="I23" s="24" t="n">
        <x:v>-0.002769416014449133</x:v>
      </x:c>
      <x:c r="J23" s="26" t="n">
        <x:f>ROUND(E23-F23,1)</x:f>
        <x:v>14500</x:v>
      </x:c>
      <x:c r="K23" s="22" t="str">
        <x:v>LC2610</x:v>
      </x:c>
    </x:row>
    <x:row r="24">
      <x:c r="A24" s="22" t="n">
        <x:v>20</x:v>
      </x:c>
      <x:c r="B24" s="22" t="str">
        <x:v>周五</x:v>
      </x:c>
      <x:c r="C24" s="22" t="str">
        <x:v>1月30日</x:v>
      </x:c>
      <x:c r="D24" s="23" t="n">
        <x:v>164200</x:v>
      </x:c>
      <x:c r="E24" s="23" t="n">
        <x:v>166020</x:v>
      </x:c>
      <x:c r="F24" s="23" t="n">
        <x:v>148520</x:v>
      </x:c>
      <x:c r="G24" s="23" t="n">
        <x:v>148540</x:v>
      </x:c>
      <x:c r="H24" s="28" t="n">
        <x:v>-17100</x:v>
      </x:c>
      <x:c r="I24" s="24" t="n">
        <x:v>-0.10323593334943248</x:v>
      </x:c>
      <x:c r="J24" s="26" t="n">
        <x:f>ROUND(E24-F24,1)</x:f>
        <x:v>17500</x:v>
      </x:c>
      <x:c r="K24" s="22" t="str">
        <x:v>LC2610</x:v>
      </x:c>
    </x:row>
    <x:row r="25">
      <x:c r="A25" s="31" t="str">
        <x:v>合计</x:v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2" t="n">
        <x:f>ROUND(SUM(J5:J24),1)</x:f>
        <x:v>255500</x:v>
      </x:c>
      <x:c r="K25" s="30"/>
    </x:row>
    <x:row r="26">
      <x:c r="A26" s="31" t="str">
        <x:v>均值</x:v>
      </x:c>
      <x:c r="B26" s="30"/>
      <x:c r="C26" s="30"/>
      <x:c r="D26" s="30"/>
      <x:c r="E26" s="30"/>
      <x:c r="F26" s="30"/>
      <x:c r="G26" s="30"/>
      <x:c r="H26" s="30"/>
      <x:c r="I26" s="30"/>
      <x:c r="J26" s="34" t="n">
        <x:f>ROUND(IFERROR(AVERAGE(J5:J24),0),1)</x:f>
        <x:v>12775</x:v>
      </x:c>
      <x:c r="K26" s="30"/>
    </x:row>
    <x:row r="28">
      <x:c r="A28" s="17" t="str">
        <x:v>2月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>
      <x:c r="A29" s="20" t="str">
        <x:v>序号</x:v>
      </x:c>
      <x:c r="B29" s="20" t="str">
        <x:v>星期</x:v>
      </x:c>
      <x:c r="C29" s="20" t="str">
        <x:v>日期</x:v>
      </x:c>
      <x:c r="D29" s="20" t="str">
        <x:v>开盘</x:v>
      </x:c>
      <x:c r="E29" s="20" t="str">
        <x:v>高点</x:v>
      </x:c>
      <x:c r="F29" s="20" t="str">
        <x:v>低点</x:v>
      </x:c>
      <x:c r="G29" s="20" t="str">
        <x:v>收盘</x:v>
      </x:c>
      <x:c r="H29" s="20" t="str">
        <x:v>涨跌点数</x:v>
      </x:c>
      <x:c r="I29" s="20" t="str">
        <x:v>涨幅</x:v>
      </x:c>
      <x:c r="J29" s="20" t="str">
        <x:v>振幅</x:v>
      </x:c>
      <x:c r="K29" s="20" t="str">
        <x:v>标的</x:v>
      </x:c>
    </x:row>
    <x:row r="30">
      <x:c r="A30" s="22" t="n">
        <x:v>1</x:v>
      </x:c>
      <x:c r="B30" s="22" t="str">
        <x:v>周一</x:v>
      </x:c>
      <x:c r="C30" s="22" t="str">
        <x:v>2月2日</x:v>
      </x:c>
      <x:c r="D30" s="23" t="n">
        <x:v>153000</x:v>
      </x:c>
      <x:c r="E30" s="23" t="n">
        <x:v>153000</x:v>
      </x:c>
      <x:c r="F30" s="23" t="n">
        <x:v>136300</x:v>
      </x:c>
      <x:c r="G30" s="23" t="n">
        <x:v>136300</x:v>
      </x:c>
      <x:c r="H30" s="28" t="n">
        <x:v>-12240</x:v>
      </x:c>
      <x:c r="I30" s="24" t="n">
        <x:v>-0.08240204658677797</x:v>
      </x:c>
      <x:c r="J30" s="26" t="n">
        <x:f>ROUND(E30-F30,1)</x:f>
        <x:v>16700</x:v>
      </x:c>
      <x:c r="K30" s="22" t="str">
        <x:v>LC2610</x:v>
      </x:c>
    </x:row>
    <x:row r="31">
      <x:c r="A31" s="22" t="n">
        <x:v>2</x:v>
      </x:c>
      <x:c r="B31" s="22" t="str">
        <x:v>周二</x:v>
      </x:c>
      <x:c r="C31" s="22" t="str">
        <x:v>2月3日</x:v>
      </x:c>
      <x:c r="D31" s="23" t="n">
        <x:v>148300</x:v>
      </x:c>
      <x:c r="E31" s="23" t="n">
        <x:v>150660</x:v>
      </x:c>
      <x:c r="F31" s="23" t="n">
        <x:v>131360</x:v>
      </x:c>
      <x:c r="G31" s="23" t="n">
        <x:v>146220</x:v>
      </x:c>
      <x:c r="H31" s="28" t="n">
        <x:v>9920</x:v>
      </x:c>
      <x:c r="I31" s="24" t="n">
        <x:v>0.0727806309611152</x:v>
      </x:c>
      <x:c r="J31" s="26" t="n">
        <x:f>ROUND(E31-F31,1)</x:f>
        <x:v>19300</x:v>
      </x:c>
      <x:c r="K31" s="22" t="str">
        <x:v>LC2610</x:v>
      </x:c>
    </x:row>
    <x:row r="32">
      <x:c r="A32" s="22" t="n">
        <x:v>3</x:v>
      </x:c>
      <x:c r="B32" s="22" t="str">
        <x:v>周三</x:v>
      </x:c>
      <x:c r="C32" s="22" t="str">
        <x:v>2月4日</x:v>
      </x:c>
      <x:c r="D32" s="23" t="n">
        <x:v>144300</x:v>
      </x:c>
      <x:c r="E32" s="23" t="n">
        <x:v>152000</x:v>
      </x:c>
      <x:c r="F32" s="23" t="n">
        <x:v>144300</x:v>
      </x:c>
      <x:c r="G32" s="23" t="n">
        <x:v>147800</x:v>
      </x:c>
      <x:c r="H32" s="28" t="n">
        <x:v>1580</x:v>
      </x:c>
      <x:c r="I32" s="24" t="n">
        <x:v>0.010805635344002251</x:v>
      </x:c>
      <x:c r="J32" s="26" t="n">
        <x:f>ROUND(E32-F32,1)</x:f>
        <x:v>7700</x:v>
      </x:c>
      <x:c r="K32" s="22" t="str">
        <x:v>LC2610</x:v>
      </x:c>
    </x:row>
    <x:row r="33">
      <x:c r="A33" s="22" t="n">
        <x:v>4</x:v>
      </x:c>
      <x:c r="B33" s="22" t="str">
        <x:v>周四</x:v>
      </x:c>
      <x:c r="C33" s="22" t="str">
        <x:v>2月5日</x:v>
      </x:c>
      <x:c r="D33" s="23" t="n">
        <x:v>148160</x:v>
      </x:c>
      <x:c r="E33" s="23" t="n">
        <x:v>148160</x:v>
      </x:c>
      <x:c r="F33" s="23" t="n">
        <x:v>131880</x:v>
      </x:c>
      <x:c r="G33" s="23" t="n">
        <x:v>132900</x:v>
      </x:c>
      <x:c r="H33" s="28" t="n">
        <x:v>-14900</x:v>
      </x:c>
      <x:c r="I33" s="24" t="n">
        <x:v>-0.10081190798376183</x:v>
      </x:c>
      <x:c r="J33" s="26" t="n">
        <x:f>ROUND(E33-F33,1)</x:f>
        <x:v>16280</x:v>
      </x:c>
      <x:c r="K33" s="22" t="str">
        <x:v>LC2610</x:v>
      </x:c>
    </x:row>
    <x:row r="34">
      <x:c r="A34" s="22" t="n">
        <x:v>5</x:v>
      </x:c>
      <x:c r="B34" s="22" t="str">
        <x:v>周五</x:v>
      </x:c>
      <x:c r="C34" s="22" t="str">
        <x:v>2月6日</x:v>
      </x:c>
      <x:c r="D34" s="23" t="n">
        <x:v>130000</x:v>
      </x:c>
      <x:c r="E34" s="23" t="n">
        <x:v>138860</x:v>
      </x:c>
      <x:c r="F34" s="23" t="n">
        <x:v>124760</x:v>
      </x:c>
      <x:c r="G34" s="23" t="n">
        <x:v>131160</x:v>
      </x:c>
      <x:c r="H34" s="28" t="n">
        <x:v>-1740</x:v>
      </x:c>
      <x:c r="I34" s="24" t="n">
        <x:v>-0.01309255079006777</x:v>
      </x:c>
      <x:c r="J34" s="26" t="n">
        <x:f>ROUND(E34-F34,1)</x:f>
        <x:v>14100</x:v>
      </x:c>
      <x:c r="K34" s="22" t="str">
        <x:v>LC2610</x:v>
      </x:c>
    </x:row>
    <x:row r="35">
      <x:c r="A35" s="22" t="n">
        <x:v>6</x:v>
      </x:c>
      <x:c r="B35" s="22" t="str">
        <x:v>周一</x:v>
      </x:c>
      <x:c r="C35" s="22" t="str">
        <x:v>2月9日</x:v>
      </x:c>
      <x:c r="D35" s="23" t="n">
        <x:v>134660</x:v>
      </x:c>
      <x:c r="E35" s="23" t="n">
        <x:v>138960</x:v>
      </x:c>
      <x:c r="F35" s="23" t="n">
        <x:v>134640</x:v>
      </x:c>
      <x:c r="G35" s="23" t="n">
        <x:v>137820</x:v>
      </x:c>
      <x:c r="H35" s="28" t="n">
        <x:v>6660</x:v>
      </x:c>
      <x:c r="I35" s="24" t="n">
        <x:v>0.050777676120768556</x:v>
      </x:c>
      <x:c r="J35" s="23" t="n">
        <x:f>ROUND(E35-F35,1)</x:f>
        <x:v>4320</x:v>
      </x:c>
      <x:c r="K35" s="22" t="str">
        <x:v>LC2610</x:v>
      </x:c>
    </x:row>
    <x:row r="36">
      <x:c r="A36" s="22" t="n">
        <x:v>7</x:v>
      </x:c>
      <x:c r="B36" s="22" t="str">
        <x:v>周二</x:v>
      </x:c>
      <x:c r="C36" s="22" t="str">
        <x:v>2月10日</x:v>
      </x:c>
      <x:c r="D36" s="23" t="n">
        <x:v>137420</x:v>
      </x:c>
      <x:c r="E36" s="23" t="n">
        <x:v>139880</x:v>
      </x:c>
      <x:c r="F36" s="23" t="n">
        <x:v>133580</x:v>
      </x:c>
      <x:c r="G36" s="23" t="n">
        <x:v>137700</x:v>
      </x:c>
      <x:c r="H36" s="23" t="n">
        <x:v>-120</x:v>
      </x:c>
      <x:c r="I36" s="24" t="n">
        <x:v>-0.0008707009142359112</x:v>
      </x:c>
      <x:c r="J36" s="26" t="n">
        <x:f>ROUND(E36-F36,1)</x:f>
        <x:v>6300</x:v>
      </x:c>
      <x:c r="K36" s="22" t="str">
        <x:v>LC2610</x:v>
      </x:c>
    </x:row>
    <x:row r="37">
      <x:c r="A37" s="22" t="n">
        <x:v>8</x:v>
      </x:c>
      <x:c r="B37" s="22" t="str">
        <x:v>周三</x:v>
      </x:c>
      <x:c r="C37" s="22" t="str">
        <x:v>2月11日</x:v>
      </x:c>
      <x:c r="D37" s="23" t="n">
        <x:v>138580</x:v>
      </x:c>
      <x:c r="E37" s="23" t="n">
        <x:v>150720</x:v>
      </x:c>
      <x:c r="F37" s="23" t="n">
        <x:v>138580</x:v>
      </x:c>
      <x:c r="G37" s="23" t="n">
        <x:v>150720</x:v>
      </x:c>
      <x:c r="H37" s="28" t="n">
        <x:v>13020</x:v>
      </x:c>
      <x:c r="I37" s="24" t="n">
        <x:v>0.09455337690631804</x:v>
      </x:c>
      <x:c r="J37" s="26" t="n">
        <x:f>ROUND(E37-F37,1)</x:f>
        <x:v>12140</x:v>
      </x:c>
      <x:c r="K37" s="22" t="str">
        <x:v>LC2610</x:v>
      </x:c>
    </x:row>
    <x:row r="38">
      <x:c r="A38" s="22" t="n">
        <x:v>9</x:v>
      </x:c>
      <x:c r="B38" s="22" t="str">
        <x:v>周四</x:v>
      </x:c>
      <x:c r="C38" s="22" t="str">
        <x:v>2月12日</x:v>
      </x:c>
      <x:c r="D38" s="23" t="n">
        <x:v>149480</x:v>
      </x:c>
      <x:c r="E38" s="23" t="n">
        <x:v>152280</x:v>
      </x:c>
      <x:c r="F38" s="23" t="n">
        <x:v>147020</x:v>
      </x:c>
      <x:c r="G38" s="23" t="n">
        <x:v>148680</x:v>
      </x:c>
      <x:c r="H38" s="28" t="n">
        <x:v>-2040</x:v>
      </x:c>
      <x:c r="I38" s="24" t="n">
        <x:v>-0.013535031847133783</x:v>
      </x:c>
      <x:c r="J38" s="23" t="n">
        <x:f>ROUND(E38-F38,1)</x:f>
        <x:v>5260</x:v>
      </x:c>
      <x:c r="K38" s="22" t="str">
        <x:v>LC2610</x:v>
      </x:c>
    </x:row>
    <x:row r="39">
      <x:c r="A39" s="22" t="n">
        <x:v>10</x:v>
      </x:c>
      <x:c r="B39" s="22" t="str">
        <x:v>周五</x:v>
      </x:c>
      <x:c r="C39" s="22" t="str">
        <x:v>2月13日</x:v>
      </x:c>
      <x:c r="D39" s="23" t="n">
        <x:v>145460</x:v>
      </x:c>
      <x:c r="E39" s="23" t="n">
        <x:v>152380</x:v>
      </x:c>
      <x:c r="F39" s="23" t="n">
        <x:v>144360</x:v>
      </x:c>
      <x:c r="G39" s="23" t="n">
        <x:v>152380</x:v>
      </x:c>
      <x:c r="H39" s="28" t="n">
        <x:v>3700</x:v>
      </x:c>
      <x:c r="I39" s="24" t="n">
        <x:v>0.024885660478880745</x:v>
      </x:c>
      <x:c r="J39" s="26" t="n">
        <x:f>ROUND(E39-F39,1)</x:f>
        <x:v>8020</x:v>
      </x:c>
      <x:c r="K39" s="22" t="str">
        <x:v>LC2610</x:v>
      </x:c>
    </x:row>
    <x:row r="40">
      <x:c r="A40" s="41" t="n">
        <x:v>11</x:v>
      </x:c>
      <x:c r="B40" s="41" t="str">
        <x:v>周二</x:v>
      </x:c>
      <x:c r="C40" s="41" t="str">
        <x:v>2月24日</x:v>
      </x:c>
      <x:c r="D40" s="42" t="n">
        <x:v>165060</x:v>
      </x:c>
      <x:c r="E40" s="42" t="n">
        <x:v>165860</x:v>
      </x:c>
      <x:c r="F40" s="42" t="n">
        <x:v>155680</x:v>
      </x:c>
      <x:c r="G40" s="42" t="n">
        <x:v>164780</x:v>
      </x:c>
      <x:c r="H40" s="28" t="n">
        <x:v>12400</x:v>
      </x:c>
      <x:c r="I40" s="43" t="n">
        <x:v>0.08137550859692877</x:v>
      </x:c>
      <x:c r="J40" s="26" t="n">
        <x:f>ROUND(E40-F40,1)</x:f>
        <x:v>10180</x:v>
      </x:c>
      <x:c r="K40" s="41" t="str">
        <x:v>LC2610</x:v>
      </x:c>
    </x:row>
    <x:row r="41">
      <x:c r="A41" s="22" t="n">
        <x:v>12</x:v>
      </x:c>
      <x:c r="B41" s="22" t="str">
        <x:v>周三</x:v>
      </x:c>
      <x:c r="C41" s="22" t="str">
        <x:v>2月25日</x:v>
      </x:c>
      <x:c r="D41" s="23" t="n">
        <x:v>164920</x:v>
      </x:c>
      <x:c r="E41" s="23" t="n">
        <x:v>170900</x:v>
      </x:c>
      <x:c r="F41" s="23" t="n">
        <x:v>163080</x:v>
      </x:c>
      <x:c r="G41" s="23" t="n">
        <x:v>167400</x:v>
      </x:c>
      <x:c r="H41" s="28" t="n">
        <x:v>2620</x:v>
      </x:c>
      <x:c r="I41" s="24" t="n">
        <x:v>0.015899987862604714</x:v>
      </x:c>
      <x:c r="J41" s="26" t="n">
        <x:f>ROUND(E41-F41,1)</x:f>
        <x:v>7820</x:v>
      </x:c>
      <x:c r="K41" s="22" t="str">
        <x:v>LC2610</x:v>
      </x:c>
    </x:row>
    <x:row r="42">
      <x:c r="A42" s="22" t="n">
        <x:v>13</x:v>
      </x:c>
      <x:c r="B42" s="22" t="str">
        <x:v>周四</x:v>
      </x:c>
      <x:c r="C42" s="22" t="str">
        <x:v>2月26日</x:v>
      </x:c>
      <x:c r="D42" s="23" t="n">
        <x:v>181980</x:v>
      </x:c>
      <x:c r="E42" s="23" t="n">
        <x:v>187920</x:v>
      </x:c>
      <x:c r="F42" s="23" t="n">
        <x:v>171760</x:v>
      </x:c>
      <x:c r="G42" s="23" t="n">
        <x:v>172020</x:v>
      </x:c>
      <x:c r="H42" s="28" t="n">
        <x:v>4620</x:v>
      </x:c>
      <x:c r="I42" s="24" t="n">
        <x:v>0.027598566308243644</x:v>
      </x:c>
      <x:c r="J42" s="26" t="n">
        <x:f>ROUND(E42-F42,1)</x:f>
        <x:v>16160</x:v>
      </x:c>
      <x:c r="K42" s="22" t="str">
        <x:v>LC2610</x:v>
      </x:c>
    </x:row>
    <x:row r="43">
      <x:c r="A43" s="22" t="n">
        <x:v>14</x:v>
      </x:c>
      <x:c r="B43" s="22" t="str">
        <x:v>周五</x:v>
      </x:c>
      <x:c r="C43" s="22" t="str">
        <x:v>2月27日</x:v>
      </x:c>
      <x:c r="D43" s="23" t="n">
        <x:v>173340</x:v>
      </x:c>
      <x:c r="E43" s="23" t="n">
        <x:v>176000</x:v>
      </x:c>
      <x:c r="F43" s="23" t="n">
        <x:v>169160</x:v>
      </x:c>
      <x:c r="G43" s="23" t="n">
        <x:v>175400</x:v>
      </x:c>
      <x:c r="H43" s="28" t="n">
        <x:v>3380</x:v>
      </x:c>
      <x:c r="I43" s="24" t="n">
        <x:v>0.019648878037437534</x:v>
      </x:c>
      <x:c r="J43" s="26" t="n">
        <x:f>ROUND(E43-F43,1)</x:f>
        <x:v>6840</x:v>
      </x:c>
      <x:c r="K43" s="22" t="str">
        <x:v>LC2610</x:v>
      </x:c>
    </x:row>
    <x:row r="44">
      <x:c r="A44" s="31" t="str">
        <x:v>合计</x:v>
      </x:c>
      <x:c r="B44" s="30" t="n">
        <x:v>14</x:v>
      </x:c>
      <x:c r="C44" s="30"/>
      <x:c r="D44" s="30"/>
      <x:c r="E44" s="30"/>
      <x:c r="F44" s="30"/>
      <x:c r="G44" s="30"/>
      <x:c r="H44" s="30"/>
      <x:c r="I44" s="30"/>
      <x:c r="J44" s="32" t="n">
        <x:f>ROUND(SUM(J30:J43),1)</x:f>
        <x:v>151120</x:v>
      </x:c>
      <x:c r="K44" s="30"/>
    </x:row>
    <x:row r="45">
      <x:c r="A45" s="31" t="str">
        <x:v>均值</x:v>
      </x:c>
      <x:c r="B45" s="30"/>
      <x:c r="C45" s="30"/>
      <x:c r="D45" s="30"/>
      <x:c r="E45" s="30"/>
      <x:c r="F45" s="30"/>
      <x:c r="G45" s="30"/>
      <x:c r="H45" s="30"/>
      <x:c r="I45" s="30"/>
      <x:c r="J45" s="34" t="n">
        <x:f>ROUND(IFERROR(AVERAGE(J30:J43),0),1)</x:f>
        <x:v>10794.3</x:v>
      </x:c>
      <x:c r="K45" s="30"/>
    </x:row>
    <x:row r="47">
      <x:c r="A47" s="17" t="str">
        <x:v>3月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>
      <x:c r="A48" s="20" t="str">
        <x:v>序号</x:v>
      </x:c>
      <x:c r="B48" s="20" t="str">
        <x:v>星期</x:v>
      </x:c>
      <x:c r="C48" s="20" t="str">
        <x:v>日期</x:v>
      </x:c>
      <x:c r="D48" s="20" t="str">
        <x:v>开盘</x:v>
      </x:c>
      <x:c r="E48" s="20" t="str">
        <x:v>高点</x:v>
      </x:c>
      <x:c r="F48" s="20" t="str">
        <x:v>低点</x:v>
      </x:c>
      <x:c r="G48" s="20" t="str">
        <x:v>收盘</x:v>
      </x:c>
      <x:c r="H48" s="20" t="str">
        <x:v>涨跌点数</x:v>
      </x:c>
      <x:c r="I48" s="20" t="str">
        <x:v>涨幅</x:v>
      </x:c>
      <x:c r="J48" s="20" t="str">
        <x:v>振幅</x:v>
      </x:c>
      <x:c r="K48" s="20" t="str">
        <x:v>标的</x:v>
      </x:c>
    </x:row>
    <x:row r="49">
      <x:c r="A49" s="22" t="n">
        <x:v>1</x:v>
      </x:c>
      <x:c r="B49" s="22" t="str">
        <x:v>周一</x:v>
      </x:c>
      <x:c r="C49" s="22" t="str">
        <x:v>3月2日</x:v>
      </x:c>
      <x:c r="D49" s="23" t="n">
        <x:v>175800</x:v>
      </x:c>
      <x:c r="E49" s="23" t="n">
        <x:v>177260</x:v>
      </x:c>
      <x:c r="F49" s="23" t="n">
        <x:v>170500</x:v>
      </x:c>
      <x:c r="G49" s="23" t="n">
        <x:v>173120</x:v>
      </x:c>
      <x:c r="H49" s="28" t="n">
        <x:v>-2280</x:v>
      </x:c>
      <x:c r="I49" s="24" t="n">
        <x:v>-0.012998859749144831</x:v>
      </x:c>
      <x:c r="J49" s="26" t="n">
        <x:f>ROUND(E49-F49,1)</x:f>
        <x:v>6760</x:v>
      </x:c>
      <x:c r="K49" s="22" t="str">
        <x:v>LC2610</x:v>
      </x:c>
    </x:row>
    <x:row r="50">
      <x:c r="A50" s="22" t="n">
        <x:v>2</x:v>
      </x:c>
      <x:c r="B50" s="22" t="str">
        <x:v>周二</x:v>
      </x:c>
      <x:c r="C50" s="22" t="str">
        <x:v>3月3日</x:v>
      </x:c>
      <x:c r="D50" s="23" t="n">
        <x:v>165620</x:v>
      </x:c>
      <x:c r="E50" s="23" t="n">
        <x:v>169600</x:v>
      </x:c>
      <x:c r="F50" s="23" t="n">
        <x:v>151620</x:v>
      </x:c>
      <x:c r="G50" s="23" t="n">
        <x:v>151620</x:v>
      </x:c>
      <x:c r="H50" s="28" t="n">
        <x:v>-21500</x:v>
      </x:c>
      <x:c r="I50" s="24" t="n">
        <x:v>-0.12419131238447323</x:v>
      </x:c>
      <x:c r="J50" s="26" t="n">
        <x:f>ROUND(E50-F50,1)</x:f>
        <x:v>17980</x:v>
      </x:c>
      <x:c r="K50" s="22" t="str">
        <x:v>LC2610</x:v>
      </x:c>
    </x:row>
    <x:row r="51">
      <x:c r="A51" s="22" t="n">
        <x:v>3</x:v>
      </x:c>
      <x:c r="B51" s="22" t="str">
        <x:v>周三</x:v>
      </x:c>
      <x:c r="C51" s="22" t="str">
        <x:v>3月4日</x:v>
      </x:c>
      <x:c r="D51" s="23" t="n">
        <x:v>148060</x:v>
      </x:c>
      <x:c r="E51" s="23" t="n">
        <x:v>154500</x:v>
      </x:c>
      <x:c r="F51" s="23" t="n">
        <x:v>144980</x:v>
      </x:c>
      <x:c r="G51" s="23" t="n">
        <x:v>152460</x:v>
      </x:c>
      <x:c r="H51" s="28" t="n">
        <x:v>840</x:v>
      </x:c>
      <x:c r="I51" s="24" t="n">
        <x:v>0.005540166204986097</x:v>
      </x:c>
      <x:c r="J51" s="26" t="n">
        <x:f>ROUND(E51-F51,1)</x:f>
        <x:v>9520</x:v>
      </x:c>
      <x:c r="K51" s="22" t="str">
        <x:v>LC2610</x:v>
      </x:c>
    </x:row>
    <x:row r="52">
      <x:c r="A52" s="22" t="n">
        <x:v>4</x:v>
      </x:c>
      <x:c r="B52" s="22" t="str">
        <x:v>周四</x:v>
      </x:c>
      <x:c r="C52" s="22" t="str">
        <x:v>3月5日</x:v>
      </x:c>
      <x:c r="D52" s="23" t="n">
        <x:v>157160</x:v>
      </x:c>
      <x:c r="E52" s="23" t="n">
        <x:v>160000</x:v>
      </x:c>
      <x:c r="F52" s="23" t="n">
        <x:v>148980</x:v>
      </x:c>
      <x:c r="G52" s="23" t="n">
        <x:v>154200</x:v>
      </x:c>
      <x:c r="H52" s="28" t="n">
        <x:v>1740</x:v>
      </x:c>
      <x:c r="I52" s="24" t="n">
        <x:v>0.011412829594647844</x:v>
      </x:c>
      <x:c r="J52" s="26" t="n">
        <x:f>ROUND(E52-F52,1)</x:f>
        <x:v>11020</x:v>
      </x:c>
      <x:c r="K52" s="22" t="str">
        <x:v>LC2610</x:v>
      </x:c>
    </x:row>
    <x:row r="53">
      <x:c r="A53" s="22" t="n">
        <x:v>5</x:v>
      </x:c>
      <x:c r="B53" s="22" t="str">
        <x:v>周五</x:v>
      </x:c>
      <x:c r="C53" s="22" t="str">
        <x:v>3月6日</x:v>
      </x:c>
      <x:c r="D53" s="23" t="n">
        <x:v>155040</x:v>
      </x:c>
      <x:c r="E53" s="23" t="n">
        <x:v>160000</x:v>
      </x:c>
      <x:c r="F53" s="23" t="n">
        <x:v>152500</x:v>
      </x:c>
      <x:c r="G53" s="23" t="n">
        <x:v>156580</x:v>
      </x:c>
      <x:c r="H53" s="28" t="n">
        <x:v>2380</x:v>
      </x:c>
      <x:c r="I53" s="24" t="n">
        <x:v>0.015434500648508376</x:v>
      </x:c>
      <x:c r="J53" s="26" t="n">
        <x:f>ROUND(E53-F53,1)</x:f>
        <x:v>7500</x:v>
      </x:c>
      <x:c r="K53" s="22" t="str">
        <x:v>LC2610</x:v>
      </x:c>
    </x:row>
    <x:row r="54">
      <x:c r="A54" s="22" t="n">
        <x:v>6</x:v>
      </x:c>
      <x:c r="B54" s="22" t="str">
        <x:v>周一</x:v>
      </x:c>
      <x:c r="C54" s="22" t="str">
        <x:v>3月9日</x:v>
      </x:c>
      <x:c r="D54" s="23" t="n">
        <x:v>145120</x:v>
      </x:c>
      <x:c r="E54" s="23" t="n">
        <x:v>164320</x:v>
      </x:c>
      <x:c r="F54" s="23" t="n">
        <x:v>139860</x:v>
      </x:c>
      <x:c r="G54" s="23" t="n">
        <x:v>161120</x:v>
      </x:c>
      <x:c r="H54" s="28" t="n">
        <x:v>4540</x:v>
      </x:c>
      <x:c r="I54" s="24" t="n">
        <x:v>0.028994763060416373</x:v>
      </x:c>
      <x:c r="J54" s="26" t="n">
        <x:f>ROUND(E54-F54,1)</x:f>
        <x:v>24460</x:v>
      </x:c>
      <x:c r="K54" s="22" t="str">
        <x:v>LC2610</x:v>
      </x:c>
    </x:row>
    <x:row r="55">
      <x:c r="A55" s="22" t="n">
        <x:v>7</x:v>
      </x:c>
      <x:c r="B55" s="22" t="str">
        <x:v>周二</x:v>
      </x:c>
      <x:c r="C55" s="22" t="str">
        <x:v>3月10日</x:v>
      </x:c>
      <x:c r="D55" s="23" t="n">
        <x:v>157200</x:v>
      </x:c>
      <x:c r="E55" s="23" t="n">
        <x:v>165760</x:v>
      </x:c>
      <x:c r="F55" s="23" t="n">
        <x:v>157200</x:v>
      </x:c>
      <x:c r="G55" s="23" t="n">
        <x:v>161400</x:v>
      </x:c>
      <x:c r="H55" s="28" t="n">
        <x:v>280</x:v>
      </x:c>
      <x:c r="I55" s="24" t="n">
        <x:v>0.0017378351539225623</x:v>
      </x:c>
      <x:c r="J55" s="26" t="n">
        <x:f>ROUND(E55-F55,1)</x:f>
        <x:v>8560</x:v>
      </x:c>
      <x:c r="K55" s="22" t="str">
        <x:v>LC2610</x:v>
      </x:c>
    </x:row>
    <x:row r="56">
      <x:c r="A56" s="22" t="n">
        <x:v>8</x:v>
      </x:c>
      <x:c r="B56" s="22" t="str">
        <x:v>周三</x:v>
      </x:c>
      <x:c r="C56" s="22" t="str">
        <x:v>3月11日</x:v>
      </x:c>
      <x:c r="D56" s="23" t="n">
        <x:v>165440</x:v>
      </x:c>
      <x:c r="E56" s="23" t="n">
        <x:v>166800</x:v>
      </x:c>
      <x:c r="F56" s="23" t="n">
        <x:v>154900</x:v>
      </x:c>
      <x:c r="G56" s="23" t="n">
        <x:v>155020</x:v>
      </x:c>
      <x:c r="H56" s="28" t="n">
        <x:v>-6380</x:v>
      </x:c>
      <x:c r="I56" s="24" t="n">
        <x:v>-0.039529120198265155</x:v>
      </x:c>
      <x:c r="J56" s="26" t="n">
        <x:f>ROUND(E56-F56,1)</x:f>
        <x:v>11900</x:v>
      </x:c>
      <x:c r="K56" s="22" t="str">
        <x:v>LC2610</x:v>
      </x:c>
    </x:row>
    <x:row r="57">
      <x:c r="A57" s="22" t="n">
        <x:v>9</x:v>
      </x:c>
      <x:c r="B57" s="22" t="str">
        <x:v>周四</x:v>
      </x:c>
      <x:c r="C57" s="22" t="str">
        <x:v>3月12日</x:v>
      </x:c>
      <x:c r="D57" s="23" t="n">
        <x:v>157460</x:v>
      </x:c>
      <x:c r="E57" s="23" t="n">
        <x:v>158860</x:v>
      </x:c>
      <x:c r="F57" s="23" t="n">
        <x:v>152340</x:v>
      </x:c>
      <x:c r="G57" s="23" t="n">
        <x:v>156220</x:v>
      </x:c>
      <x:c r="H57" s="28" t="n">
        <x:v>1200</x:v>
      </x:c>
      <x:c r="I57" s="24" t="n">
        <x:v>0.007740936653334973</x:v>
      </x:c>
      <x:c r="J57" s="26" t="n">
        <x:f>ROUND(E57-F57,1)</x:f>
        <x:v>6520</x:v>
      </x:c>
      <x:c r="K57" s="22" t="str">
        <x:v>LC2610</x:v>
      </x:c>
    </x:row>
    <x:row r="58">
      <x:c r="A58" s="22" t="n">
        <x:v>10</x:v>
      </x:c>
      <x:c r="B58" s="22" t="str">
        <x:v>周五</x:v>
      </x:c>
      <x:c r="C58" s="22" t="str">
        <x:v>3月13日</x:v>
      </x:c>
      <x:c r="D58" s="23" t="n">
        <x:v>155120</x:v>
      </x:c>
      <x:c r="E58" s="23" t="n">
        <x:v>161800</x:v>
      </x:c>
      <x:c r="F58" s="23" t="n">
        <x:v>149740</x:v>
      </x:c>
      <x:c r="G58" s="23" t="n">
        <x:v>151880</x:v>
      </x:c>
      <x:c r="H58" s="28" t="n">
        <x:v>-4340</x:v>
      </x:c>
      <x:c r="I58" s="24" t="n">
        <x:v>-0.027781334016131143</x:v>
      </x:c>
      <x:c r="J58" s="26" t="n">
        <x:f>ROUND(E58-F58,1)</x:f>
        <x:v>12060</x:v>
      </x:c>
      <x:c r="K58" s="22" t="str">
        <x:v>LC2610</x:v>
      </x:c>
    </x:row>
    <x:row r="59">
      <x:c r="A59" s="22" t="n">
        <x:v>11</x:v>
      </x:c>
      <x:c r="B59" s="22" t="str">
        <x:v>周一</x:v>
      </x:c>
      <x:c r="C59" s="22" t="str">
        <x:v>3月16日</x:v>
      </x:c>
      <x:c r="D59" s="23" t="n">
        <x:v>149140</x:v>
      </x:c>
      <x:c r="E59" s="23" t="n">
        <x:v>159120</x:v>
      </x:c>
      <x:c r="F59" s="23" t="n">
        <x:v>149100</x:v>
      </x:c>
      <x:c r="G59" s="23" t="n">
        <x:v>159000</x:v>
      </x:c>
      <x:c r="H59" s="28" t="n">
        <x:v>7120</x:v>
      </x:c>
      <x:c r="I59" s="24" t="n">
        <x:v>0.04687911509086118</x:v>
      </x:c>
      <x:c r="J59" s="26" t="n">
        <x:f>ROUND(E59-F59,1)</x:f>
        <x:v>10020</x:v>
      </x:c>
      <x:c r="K59" s="22" t="str">
        <x:v>LC2610</x:v>
      </x:c>
    </x:row>
    <x:row r="60">
      <x:c r="A60" s="22" t="n">
        <x:v>12</x:v>
      </x:c>
      <x:c r="B60" s="22" t="str">
        <x:v>周二</x:v>
      </x:c>
      <x:c r="C60" s="22" t="str">
        <x:v>3月17日</x:v>
      </x:c>
      <x:c r="D60" s="23" t="n">
        <x:v>158080</x:v>
      </x:c>
      <x:c r="E60" s="23" t="n">
        <x:v>158080</x:v>
      </x:c>
      <x:c r="F60" s="23" t="n">
        <x:v>154360</x:v>
      </x:c>
      <x:c r="G60" s="23" t="n">
        <x:v>155100</x:v>
      </x:c>
      <x:c r="H60" s="28" t="n">
        <x:v>-3900</x:v>
      </x:c>
      <x:c r="I60" s="24" t="n">
        <x:v>-0.024528301886792447</x:v>
      </x:c>
      <x:c r="J60" s="23" t="n">
        <x:f>ROUND(E60-F60,1)</x:f>
        <x:v>3720</x:v>
      </x:c>
      <x:c r="K60" s="22" t="str">
        <x:v>LC2610</x:v>
      </x:c>
    </x:row>
    <x:row r="61">
      <x:c r="A61" s="22" t="n">
        <x:v>13</x:v>
      </x:c>
      <x:c r="B61" s="22" t="str">
        <x:v>周三</x:v>
      </x:c>
      <x:c r="C61" s="22" t="str">
        <x:v>3月18日</x:v>
      </x:c>
      <x:c r="D61" s="23" t="n">
        <x:v>155160</x:v>
      </x:c>
      <x:c r="E61" s="23" t="n">
        <x:v>155560</x:v>
      </x:c>
      <x:c r="F61" s="23" t="n">
        <x:v>149400</x:v>
      </x:c>
      <x:c r="G61" s="23" t="n">
        <x:v>149700</x:v>
      </x:c>
      <x:c r="H61" s="28" t="n">
        <x:v>-5400</x:v>
      </x:c>
      <x:c r="I61" s="24" t="n">
        <x:v>-0.03481624758220503</x:v>
      </x:c>
      <x:c r="J61" s="26" t="n">
        <x:f>ROUND(E61-F61,1)</x:f>
        <x:v>6160</x:v>
      </x:c>
      <x:c r="K61" s="22" t="str">
        <x:v>LC2610</x:v>
      </x:c>
    </x:row>
    <x:row r="62">
      <x:c r="A62" s="22" t="n">
        <x:v>14</x:v>
      </x:c>
      <x:c r="B62" s="22" t="str">
        <x:v>周四</x:v>
      </x:c>
      <x:c r="C62" s="22" t="str">
        <x:v>3月19日</x:v>
      </x:c>
      <x:c r="D62" s="23" t="n">
        <x:v>144000</x:v>
      </x:c>
      <x:c r="E62" s="23" t="n">
        <x:v>148500</x:v>
      </x:c>
      <x:c r="F62" s="23" t="n">
        <x:v>139640</x:v>
      </x:c>
      <x:c r="G62" s="23" t="n">
        <x:v>142100</x:v>
      </x:c>
      <x:c r="H62" s="28" t="n">
        <x:v>-7600</x:v>
      </x:c>
      <x:c r="I62" s="24" t="n">
        <x:v>-0.05076820307281227</x:v>
      </x:c>
      <x:c r="J62" s="26" t="n">
        <x:f>ROUND(E62-F62,1)</x:f>
        <x:v>8860</x:v>
      </x:c>
      <x:c r="K62" s="22" t="str">
        <x:v>LC2610</x:v>
      </x:c>
    </x:row>
    <x:row r="63">
      <x:c r="A63" s="41" t="n">
        <x:v>15</x:v>
      </x:c>
      <x:c r="B63" s="41" t="str">
        <x:v>周五</x:v>
      </x:c>
      <x:c r="C63" s="41" t="str">
        <x:v>3月20日</x:v>
      </x:c>
      <x:c r="D63" s="42" t="n">
        <x:v>145900</x:v>
      </x:c>
      <x:c r="E63" s="42" t="n">
        <x:v>150000</x:v>
      </x:c>
      <x:c r="F63" s="42" t="n">
        <x:v>143900</x:v>
      </x:c>
      <x:c r="G63" s="42" t="n">
        <x:v>143900</x:v>
      </x:c>
      <x:c r="H63" s="28" t="n">
        <x:v>1800</x:v>
      </x:c>
      <x:c r="I63" s="43" t="n">
        <x:v>0.012667135819845132</x:v>
      </x:c>
      <x:c r="J63" s="26" t="n">
        <x:f>ROUND(E63-F63,1)</x:f>
        <x:v>6100</x:v>
      </x:c>
      <x:c r="K63" s="41" t="str">
        <x:v>LC2610</x:v>
      </x:c>
    </x:row>
    <x:row r="64">
      <x:c r="A64" s="22" t="n">
        <x:v>16</x:v>
      </x:c>
      <x:c r="B64" s="22" t="str">
        <x:v>周一</x:v>
      </x:c>
      <x:c r="C64" s="22" t="str">
        <x:v>3月23日</x:v>
      </x:c>
      <x:c r="D64" s="23" t="n">
        <x:v>144460</x:v>
      </x:c>
      <x:c r="E64" s="23" t="n">
        <x:v>149940</x:v>
      </x:c>
      <x:c r="F64" s="23" t="n">
        <x:v>139980</x:v>
      </x:c>
      <x:c r="G64" s="23" t="n">
        <x:v>149940</x:v>
      </x:c>
      <x:c r="H64" s="28" t="n">
        <x:v>6040</x:v>
      </x:c>
      <x:c r="I64" s="24" t="n">
        <x:v>0.041973592772758916</x:v>
      </x:c>
      <x:c r="J64" s="26" t="n">
        <x:f>ROUND(E64-F64,1)</x:f>
        <x:v>9960</x:v>
      </x:c>
      <x:c r="K64" s="22" t="str">
        <x:v>LC2610</x:v>
      </x:c>
    </x:row>
    <x:row r="65">
      <x:c r="A65" s="22" t="n">
        <x:v>17</x:v>
      </x:c>
      <x:c r="B65" s="22" t="str">
        <x:v>周二</x:v>
      </x:c>
      <x:c r="C65" s="22" t="str">
        <x:v>3月24日</x:v>
      </x:c>
      <x:c r="D65" s="23" t="n">
        <x:v>151360</x:v>
      </x:c>
      <x:c r="E65" s="23" t="n">
        <x:v>153060</x:v>
      </x:c>
      <x:c r="F65" s="23" t="n">
        <x:v>150100</x:v>
      </x:c>
      <x:c r="G65" s="23" t="n">
        <x:v>152840</x:v>
      </x:c>
      <x:c r="H65" s="28" t="n">
        <x:v>2900</x:v>
      </x:c>
      <x:c r="I65" s="24" t="n">
        <x:v>0.019341069761237728</x:v>
      </x:c>
      <x:c r="J65" s="23" t="n">
        <x:f>ROUND(E65-F65,1)</x:f>
        <x:v>2960</x:v>
      </x:c>
      <x:c r="K65" s="22" t="str">
        <x:v>LC2610</x:v>
      </x:c>
    </x:row>
    <x:row r="66">
      <x:c r="A66" s="22" t="n">
        <x:v>18</x:v>
      </x:c>
      <x:c r="B66" s="22" t="str">
        <x:v>周三</x:v>
      </x:c>
      <x:c r="C66" s="22" t="str">
        <x:v>3月25日</x:v>
      </x:c>
      <x:c r="D66" s="23" t="n">
        <x:v>159860</x:v>
      </x:c>
      <x:c r="E66" s="23" t="n">
        <x:v>161340</x:v>
      </x:c>
      <x:c r="F66" s="23" t="n">
        <x:v>153960</x:v>
      </x:c>
      <x:c r="G66" s="23" t="n">
        <x:v>159300</x:v>
      </x:c>
      <x:c r="H66" s="28" t="n">
        <x:v>6460</x:v>
      </x:c>
      <x:c r="I66" s="24" t="n">
        <x:v>0.04226642240251244</x:v>
      </x:c>
      <x:c r="J66" s="26" t="n">
        <x:f>ROUND(E66-F66,1)</x:f>
        <x:v>7380</x:v>
      </x:c>
      <x:c r="K66" s="22" t="str">
        <x:v>LC2610</x:v>
      </x:c>
    </x:row>
    <x:row r="67">
      <x:c r="A67" s="22" t="n">
        <x:v>19</x:v>
      </x:c>
      <x:c r="B67" s="22" t="str">
        <x:v>周四</x:v>
      </x:c>
      <x:c r="C67" s="22" t="str">
        <x:v>3月26日</x:v>
      </x:c>
      <x:c r="D67" s="23" t="n">
        <x:v>157080</x:v>
      </x:c>
      <x:c r="E67" s="23" t="n">
        <x:v>162000</x:v>
      </x:c>
      <x:c r="F67" s="23" t="n">
        <x:v>155280</x:v>
      </x:c>
      <x:c r="G67" s="23" t="n">
        <x:v>156880</x:v>
      </x:c>
      <x:c r="H67" s="28" t="n">
        <x:v>-2420</x:v>
      </x:c>
      <x:c r="I67" s="24" t="n">
        <x:v>-0.01519146264908977</x:v>
      </x:c>
      <x:c r="J67" s="26" t="n">
        <x:f>ROUND(E67-F67,1)</x:f>
        <x:v>6720</x:v>
      </x:c>
      <x:c r="K67" s="22" t="str">
        <x:v>LC2610</x:v>
      </x:c>
    </x:row>
    <x:row r="68">
      <x:c r="A68" s="22" t="n">
        <x:v>20</x:v>
      </x:c>
      <x:c r="B68" s="22" t="str">
        <x:v>周五</x:v>
      </x:c>
      <x:c r="C68" s="22" t="str">
        <x:v>3月27日</x:v>
      </x:c>
      <x:c r="D68" s="23" t="n">
        <x:v>159500</x:v>
      </x:c>
      <x:c r="E68" s="23" t="n">
        <x:v>170800</x:v>
      </x:c>
      <x:c r="F68" s="23" t="n">
        <x:v>159500</x:v>
      </x:c>
      <x:c r="G68" s="23" t="n">
        <x:v>166540</x:v>
      </x:c>
      <x:c r="H68" s="28" t="n">
        <x:v>9660</x:v>
      </x:c>
      <x:c r="I68" s="24" t="n">
        <x:v>0.06157572667006628</x:v>
      </x:c>
      <x:c r="J68" s="26" t="n">
        <x:f>ROUND(E68-F68,1)</x:f>
        <x:v>11300</x:v>
      </x:c>
      <x:c r="K68" s="22" t="str">
        <x:v>LC2610</x:v>
      </x:c>
    </x:row>
    <x:row r="69">
      <x:c r="A69" s="22" t="n">
        <x:v>21</x:v>
      </x:c>
      <x:c r="B69" s="22" t="str">
        <x:v>周一</x:v>
      </x:c>
      <x:c r="C69" s="22" t="str">
        <x:v>3月30日</x:v>
      </x:c>
      <x:c r="D69" s="23" t="n">
        <x:v>172000</x:v>
      </x:c>
      <x:c r="E69" s="23" t="n">
        <x:v>174540</x:v>
      </x:c>
      <x:c r="F69" s="23" t="n">
        <x:v>168840</x:v>
      </x:c>
      <x:c r="G69" s="23" t="n">
        <x:v>172000</x:v>
      </x:c>
      <x:c r="H69" s="28" t="n">
        <x:v>5460</x:v>
      </x:c>
      <x:c r="I69" s="24" t="n">
        <x:v>0.0327849165365679</x:v>
      </x:c>
      <x:c r="J69" s="23" t="n">
        <x:f>ROUND(E69-F69,1)</x:f>
        <x:v>5700</x:v>
      </x:c>
      <x:c r="K69" s="22" t="str">
        <x:v>LC2610</x:v>
      </x:c>
    </x:row>
    <x:row r="70">
      <x:c r="A70" s="22" t="n">
        <x:v>22</x:v>
      </x:c>
      <x:c r="B70" s="22" t="str">
        <x:v>周二</x:v>
      </x:c>
      <x:c r="C70" s="22" t="str">
        <x:v>3月31日</x:v>
      </x:c>
      <x:c r="D70" s="23" t="n">
        <x:v>171920</x:v>
      </x:c>
      <x:c r="E70" s="23" t="n">
        <x:v>172180</x:v>
      </x:c>
      <x:c r="F70" s="23" t="n">
        <x:v>157080</x:v>
      </x:c>
      <x:c r="G70" s="23" t="n">
        <x:v>157600</x:v>
      </x:c>
      <x:c r="H70" s="28" t="n">
        <x:v>-14400</x:v>
      </x:c>
      <x:c r="I70" s="24" t="n">
        <x:v>-0.08372093023255811</x:v>
      </x:c>
      <x:c r="J70" s="26" t="n">
        <x:f>ROUND(E70-F70,1)</x:f>
        <x:v>15100</x:v>
      </x:c>
      <x:c r="K70" s="22" t="str">
        <x:v>LC2610</x:v>
      </x:c>
    </x:row>
    <x:row r="71">
      <x:c r="A71" s="31" t="str">
        <x:v>合计</x:v>
      </x:c>
      <x:c r="B71" s="30" t="n">
        <x:v>22</x:v>
      </x:c>
      <x:c r="C71" s="30"/>
      <x:c r="D71" s="30"/>
      <x:c r="E71" s="30"/>
      <x:c r="F71" s="30"/>
      <x:c r="G71" s="30"/>
      <x:c r="H71" s="30"/>
      <x:c r="I71" s="30"/>
      <x:c r="J71" s="32" t="n">
        <x:f>ROUND(SUM(J49:J70),1)</x:f>
        <x:v>210260</x:v>
      </x:c>
      <x:c r="K71" s="30"/>
    </x:row>
    <x:row r="72">
      <x:c r="A72" s="31" t="str">
        <x:v>均值</x:v>
      </x:c>
      <x:c r="B72" s="30"/>
      <x:c r="C72" s="30"/>
      <x:c r="D72" s="30"/>
      <x:c r="E72" s="30"/>
      <x:c r="F72" s="30"/>
      <x:c r="G72" s="30"/>
      <x:c r="H72" s="30"/>
      <x:c r="I72" s="30"/>
      <x:c r="J72" s="34" t="n">
        <x:f>ROUND(IFERROR(AVERAGE(J49:J70),0),1)</x:f>
        <x:v>9557.3</x:v>
      </x:c>
      <x:c r="K72" s="30"/>
    </x:row>
    <x:row r="74">
      <x:c r="A74" s="17" t="str">
        <x:v>4月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20" t="str">
        <x:v>序号</x:v>
      </x:c>
      <x:c r="B75" s="20" t="str">
        <x:v>星期</x:v>
      </x:c>
      <x:c r="C75" s="20" t="str">
        <x:v>日期</x:v>
      </x:c>
      <x:c r="D75" s="20" t="str">
        <x:v>开盘</x:v>
      </x:c>
      <x:c r="E75" s="20" t="str">
        <x:v>高点</x:v>
      </x:c>
      <x:c r="F75" s="20" t="str">
        <x:v>低点</x:v>
      </x:c>
      <x:c r="G75" s="20" t="str">
        <x:v>收盘</x:v>
      </x:c>
      <x:c r="H75" s="20" t="str">
        <x:v>涨跌点数</x:v>
      </x:c>
      <x:c r="I75" s="20" t="str">
        <x:v>涨幅</x:v>
      </x:c>
      <x:c r="J75" s="20" t="str">
        <x:v>振幅</x:v>
      </x:c>
      <x:c r="K75" s="20" t="str">
        <x:v>标的</x:v>
      </x:c>
    </x:row>
    <x:row r="76">
      <x:c r="A76" s="22" t="n">
        <x:v>1</x:v>
      </x:c>
      <x:c r="B76" s="22" t="str">
        <x:v>周三</x:v>
      </x:c>
      <x:c r="C76" s="22" t="str">
        <x:v>4月1日</x:v>
      </x:c>
      <x:c r="D76" s="23" t="n">
        <x:v>160000</x:v>
      </x:c>
      <x:c r="E76" s="23" t="n">
        <x:v>163220</x:v>
      </x:c>
      <x:c r="F76" s="23" t="n">
        <x:v>153840</x:v>
      </x:c>
      <x:c r="G76" s="23" t="n">
        <x:v>158260</x:v>
      </x:c>
      <x:c r="H76" s="28" t="n">
        <x:v>660</x:v>
      </x:c>
      <x:c r="I76" s="24" t="n">
        <x:v>0.004187817258883175</x:v>
      </x:c>
      <x:c r="J76" s="26" t="n">
        <x:f>ROUND(E76-F76,1)</x:f>
        <x:v>9380</x:v>
      </x:c>
      <x:c r="K76" s="22" t="str">
        <x:v>LC2610</x:v>
      </x:c>
    </x:row>
    <x:row r="77">
      <x:c r="A77" s="22" t="n">
        <x:v>2</x:v>
      </x:c>
      <x:c r="B77" s="22" t="str">
        <x:v>周四</x:v>
      </x:c>
      <x:c r="C77" s="22" t="str">
        <x:v>4月2日</x:v>
      </x:c>
      <x:c r="D77" s="23" t="n">
        <x:v>158920</x:v>
      </x:c>
      <x:c r="E77" s="23" t="n">
        <x:v>162840</x:v>
      </x:c>
      <x:c r="F77" s="23" t="n">
        <x:v>156320</x:v>
      </x:c>
      <x:c r="G77" s="23" t="n">
        <x:v>159580</x:v>
      </x:c>
      <x:c r="H77" s="28" t="n">
        <x:v>1320</x:v>
      </x:c>
      <x:c r="I77" s="24" t="n">
        <x:v>0.008340705168709661</x:v>
      </x:c>
      <x:c r="J77" s="26" t="n">
        <x:f>ROUND(E77-F77,1)</x:f>
        <x:v>6520</x:v>
      </x:c>
      <x:c r="K77" s="22" t="str">
        <x:v>LC2610</x:v>
      </x:c>
    </x:row>
    <x:row r="78">
      <x:c r="A78" s="22" t="n">
        <x:v>3</x:v>
      </x:c>
      <x:c r="B78" s="22" t="str">
        <x:v>周五</x:v>
      </x:c>
      <x:c r="C78" s="22" t="str">
        <x:v>4月3日</x:v>
      </x:c>
      <x:c r="D78" s="23" t="n">
        <x:v>161140</x:v>
      </x:c>
      <x:c r="E78" s="23" t="n">
        <x:v>161660</x:v>
      </x:c>
      <x:c r="F78" s="23" t="n">
        <x:v>157000</x:v>
      </x:c>
      <x:c r="G78" s="23" t="n">
        <x:v>157680</x:v>
      </x:c>
      <x:c r="H78" s="28" t="n">
        <x:v>-1900</x:v>
      </x:c>
      <x:c r="I78" s="24" t="n">
        <x:v>-0.011906253916530884</x:v>
      </x:c>
      <x:c r="J78" s="23" t="n">
        <x:f>ROUND(E78-F78,1)</x:f>
        <x:v>4660</x:v>
      </x:c>
      <x:c r="K78" s="22" t="str">
        <x:v>LC2610</x:v>
      </x:c>
    </x:row>
    <x:row r="79">
      <x:c r="A79" s="22" t="n">
        <x:v>4</x:v>
      </x:c>
      <x:c r="B79" s="22" t="str">
        <x:v>周二</x:v>
      </x:c>
      <x:c r="C79" s="22" t="str">
        <x:v>4月7日</x:v>
      </x:c>
      <x:c r="D79" s="23" t="n">
        <x:v>156200</x:v>
      </x:c>
      <x:c r="E79" s="23" t="n">
        <x:v>164160</x:v>
      </x:c>
      <x:c r="F79" s="23" t="n">
        <x:v>156060</x:v>
      </x:c>
      <x:c r="G79" s="23" t="n">
        <x:v>161060</x:v>
      </x:c>
      <x:c r="H79" s="28" t="n">
        <x:v>3380</x:v>
      </x:c>
      <x:c r="I79" s="24" t="n">
        <x:v>0.0214358193810249</x:v>
      </x:c>
      <x:c r="J79" s="26" t="n">
        <x:f>ROUND(E79-F79,1)</x:f>
        <x:v>8100</x:v>
      </x:c>
      <x:c r="K79" s="22" t="str">
        <x:v>LC2610</x:v>
      </x:c>
    </x:row>
    <x:row r="80">
      <x:c r="A80" s="22" t="n">
        <x:v>5</x:v>
      </x:c>
      <x:c r="B80" s="22" t="str">
        <x:v>周三</x:v>
      </x:c>
      <x:c r="C80" s="22" t="str">
        <x:v>4月8日</x:v>
      </x:c>
      <x:c r="D80" s="23" t="n">
        <x:v>160600</x:v>
      </x:c>
      <x:c r="E80" s="23" t="n">
        <x:v>162340</x:v>
      </x:c>
      <x:c r="F80" s="23" t="n">
        <x:v>156600</x:v>
      </x:c>
      <x:c r="G80" s="23" t="n">
        <x:v>158540</x:v>
      </x:c>
      <x:c r="H80" s="28" t="n">
        <x:v>-2520</x:v>
      </x:c>
      <x:c r="I80" s="24" t="n">
        <x:v>-0.015646342977772232</x:v>
      </x:c>
      <x:c r="J80" s="23" t="n">
        <x:f>ROUND(E80-F80,1)</x:f>
        <x:v>5740</x:v>
      </x:c>
      <x:c r="K80" s="22" t="str">
        <x:v>LC2610</x:v>
      </x:c>
    </x:row>
    <x:row r="81">
      <x:c r="A81" s="22" t="n">
        <x:v>6</x:v>
      </x:c>
      <x:c r="B81" s="22" t="str">
        <x:v>周四</x:v>
      </x:c>
      <x:c r="C81" s="22" t="str">
        <x:v>4月9日</x:v>
      </x:c>
      <x:c r="D81" s="23" t="n">
        <x:v>157860</x:v>
      </x:c>
      <x:c r="E81" s="23" t="n">
        <x:v>157860</x:v>
      </x:c>
      <x:c r="F81" s="23" t="n">
        <x:v>151640</x:v>
      </x:c>
      <x:c r="G81" s="23" t="n">
        <x:v>152420</x:v>
      </x:c>
      <x:c r="H81" s="28" t="n">
        <x:v>-6120</x:v>
      </x:c>
      <x:c r="I81" s="24" t="n">
        <x:v>-0.038602245490097165</x:v>
      </x:c>
      <x:c r="J81" s="26" t="n">
        <x:f>ROUND(E81-F81,1)</x:f>
        <x:v>6220</x:v>
      </x:c>
      <x:c r="K81" s="22" t="str">
        <x:v>LC2610</x:v>
      </x:c>
    </x:row>
    <x:row r="82">
      <x:c r="A82" s="22" t="n">
        <x:v>7</x:v>
      </x:c>
      <x:c r="B82" s="22" t="str">
        <x:v>周五</x:v>
      </x:c>
      <x:c r="C82" s="22" t="str">
        <x:v>4月10日</x:v>
      </x:c>
      <x:c r="D82" s="23" t="n">
        <x:v>157420</x:v>
      </x:c>
      <x:c r="E82" s="23" t="n">
        <x:v>159000</x:v>
      </x:c>
      <x:c r="F82" s="23" t="n">
        <x:v>153580</x:v>
      </x:c>
      <x:c r="G82" s="23" t="n">
        <x:v>156500</x:v>
      </x:c>
      <x:c r="H82" s="28" t="n">
        <x:v>4080</x:v>
      </x:c>
      <x:c r="I82" s="24" t="n">
        <x:v>0.02676814066395483</x:v>
      </x:c>
      <x:c r="J82" s="23" t="n">
        <x:f>ROUND(E82-F82,1)</x:f>
        <x:v>5420</x:v>
      </x:c>
      <x:c r="K82" s="22" t="str">
        <x:v>LC2610</x:v>
      </x:c>
    </x:row>
    <x:row r="83">
      <x:c r="A83" s="22" t="n">
        <x:v>8</x:v>
      </x:c>
      <x:c r="B83" s="22" t="str">
        <x:v>周一</x:v>
      </x:c>
      <x:c r="C83" s="22" t="str">
        <x:v>4月13日</x:v>
      </x:c>
      <x:c r="D83" s="23" t="n">
        <x:v>156660</x:v>
      </x:c>
      <x:c r="E83" s="23" t="n">
        <x:v>165000</x:v>
      </x:c>
      <x:c r="F83" s="23" t="n">
        <x:v>153040</x:v>
      </x:c>
      <x:c r="G83" s="23" t="n">
        <x:v>165000</x:v>
      </x:c>
      <x:c r="H83" s="28" t="n">
        <x:v>8500</x:v>
      </x:c>
      <x:c r="I83" s="24" t="n">
        <x:v>0.054313099041533475</x:v>
      </x:c>
      <x:c r="J83" s="26" t="n">
        <x:f>ROUND(E83-F83,1)</x:f>
        <x:v>11960</x:v>
      </x:c>
      <x:c r="K83" s="22" t="str">
        <x:v>LC2610</x:v>
      </x:c>
    </x:row>
    <x:row r="84">
      <x:c r="A84" s="22" t="n">
        <x:v>9</x:v>
      </x:c>
      <x:c r="B84" s="22" t="str">
        <x:v>周二</x:v>
      </x:c>
      <x:c r="C84" s="22" t="str">
        <x:v>4月14日</x:v>
      </x:c>
      <x:c r="D84" s="23" t="n">
        <x:v>164360</x:v>
      </x:c>
      <x:c r="E84" s="23" t="n">
        <x:v>166980</x:v>
      </x:c>
      <x:c r="F84" s="23" t="n">
        <x:v>163880</x:v>
      </x:c>
      <x:c r="G84" s="23" t="n">
        <x:v>165920</x:v>
      </x:c>
      <x:c r="H84" s="28" t="n">
        <x:v>920</x:v>
      </x:c>
      <x:c r="I84" s="24" t="n">
        <x:v>0.005575757575757567</x:v>
      </x:c>
      <x:c r="J84" s="23" t="n">
        <x:f>ROUND(E84-F84,1)</x:f>
        <x:v>3100</x:v>
      </x:c>
      <x:c r="K84" s="22" t="str">
        <x:v>LC2610</x:v>
      </x:c>
    </x:row>
    <x:row r="85">
      <x:c r="A85" s="22" t="n">
        <x:v>10</x:v>
      </x:c>
      <x:c r="B85" s="22" t="str">
        <x:v>周三</x:v>
      </x:c>
      <x:c r="C85" s="22" t="str">
        <x:v>4月15日</x:v>
      </x:c>
      <x:c r="D85" s="23" t="n">
        <x:v>165360</x:v>
      </x:c>
      <x:c r="E85" s="23" t="n">
        <x:v>171380</x:v>
      </x:c>
      <x:c r="F85" s="23" t="n">
        <x:v>164080</x:v>
      </x:c>
      <x:c r="G85" s="23" t="n">
        <x:v>167540</x:v>
      </x:c>
      <x:c r="H85" s="28" t="n">
        <x:v>1620</x:v>
      </x:c>
      <x:c r="I85" s="24" t="n">
        <x:v>0.009763741562198724</x:v>
      </x:c>
      <x:c r="J85" s="26" t="n">
        <x:f>ROUND(E85-F85,1)</x:f>
        <x:v>7300</x:v>
      </x:c>
      <x:c r="K85" s="22" t="str">
        <x:v>LC2610</x:v>
      </x:c>
    </x:row>
    <x:row r="86">
      <x:c r="A86" s="22" t="n">
        <x:v>11</x:v>
      </x:c>
      <x:c r="B86" s="22" t="str">
        <x:v>周四</x:v>
      </x:c>
      <x:c r="C86" s="22" t="str">
        <x:v>4月16日</x:v>
      </x:c>
      <x:c r="D86" s="23" t="n">
        <x:v>170920</x:v>
      </x:c>
      <x:c r="E86" s="23" t="n">
        <x:v>175000</x:v>
      </x:c>
      <x:c r="F86" s="23" t="n">
        <x:v>169700</x:v>
      </x:c>
      <x:c r="G86" s="23" t="n">
        <x:v>174820</x:v>
      </x:c>
      <x:c r="H86" s="28" t="n">
        <x:v>7280</x:v>
      </x:c>
      <x:c r="I86" s="24" t="n">
        <x:v>0.043452309896144126</x:v>
      </x:c>
      <x:c r="J86" s="23" t="n">
        <x:f>ROUND(E86-F86,1)</x:f>
        <x:v>5300</x:v>
      </x:c>
      <x:c r="K86" s="22" t="str">
        <x:v>LC2610</x:v>
      </x:c>
    </x:row>
    <x:row r="87">
      <x:c r="A87" s="41" t="n">
        <x:v>12</x:v>
      </x:c>
      <x:c r="B87" s="41" t="str">
        <x:v>周五</x:v>
      </x:c>
      <x:c r="C87" s="41" t="str">
        <x:v>4月17日</x:v>
      </x:c>
      <x:c r="D87" s="42" t="n">
        <x:v>176400</x:v>
      </x:c>
      <x:c r="E87" s="42" t="n">
        <x:v>176500</x:v>
      </x:c>
      <x:c r="F87" s="42" t="n">
        <x:v>172700</x:v>
      </x:c>
      <x:c r="G87" s="42" t="n">
        <x:v>176360</x:v>
      </x:c>
      <x:c r="H87" s="28" t="n">
        <x:v>1540</x:v>
      </x:c>
      <x:c r="I87" s="43" t="n">
        <x:v>0.008809060748198094</x:v>
      </x:c>
      <x:c r="J87" s="42" t="n">
        <x:f>ROUND(E87-F87,1)</x:f>
        <x:v>3800</x:v>
      </x:c>
      <x:c r="K87" s="41" t="str">
        <x:v>LC2610</x:v>
      </x:c>
    </x:row>
    <x:row r="88">
      <x:c r="A88" s="22" t="n">
        <x:v>13</x:v>
      </x:c>
      <x:c r="B88" s="22" t="str">
        <x:v>周一</x:v>
      </x:c>
      <x:c r="C88" s="22" t="str">
        <x:v>4月20日</x:v>
      </x:c>
      <x:c r="D88" s="23" t="n">
        <x:v>174080</x:v>
      </x:c>
      <x:c r="E88" s="23" t="n">
        <x:v>180920</x:v>
      </x:c>
      <x:c r="F88" s="23" t="n">
        <x:v>174080</x:v>
      </x:c>
      <x:c r="G88" s="23" t="n">
        <x:v>179520</x:v>
      </x:c>
      <x:c r="H88" s="28" t="n">
        <x:v>3160</x:v>
      </x:c>
      <x:c r="I88" s="24" t="n">
        <x:v>0.0179178952143344</x:v>
      </x:c>
      <x:c r="J88" s="26" t="n">
        <x:f>ROUND(E88-F88,1)</x:f>
        <x:v>6840</x:v>
      </x:c>
      <x:c r="K88" s="22" t="str">
        <x:v>LC2610</x:v>
      </x:c>
    </x:row>
    <x:row r="89">
      <x:c r="A89" s="22" t="n">
        <x:v>14</x:v>
      </x:c>
      <x:c r="B89" s="22" t="str">
        <x:v>周二</x:v>
      </x:c>
      <x:c r="C89" s="22" t="str">
        <x:v>4月21日</x:v>
      </x:c>
      <x:c r="D89" s="23" t="n">
        <x:v>178540</x:v>
      </x:c>
      <x:c r="E89" s="23" t="n">
        <x:v>179860</x:v>
      </x:c>
      <x:c r="F89" s="23" t="n">
        <x:v>169000</x:v>
      </x:c>
      <x:c r="G89" s="23" t="n">
        <x:v>173260</x:v>
      </x:c>
      <x:c r="H89" s="28" t="n">
        <x:v>-6260</x:v>
      </x:c>
      <x:c r="I89" s="24" t="n">
        <x:v>-0.034870766488413585</x:v>
      </x:c>
      <x:c r="J89" s="26" t="n">
        <x:f>ROUND(E89-F89,1)</x:f>
        <x:v>10860</x:v>
      </x:c>
      <x:c r="K89" s="22" t="str">
        <x:v>LC2610</x:v>
      </x:c>
    </x:row>
    <x:row r="90">
      <x:c r="A90" s="22" t="n">
        <x:v>15</x:v>
      </x:c>
      <x:c r="B90" s="22" t="str">
        <x:v>周三</x:v>
      </x:c>
      <x:c r="C90" s="22" t="str">
        <x:v>4月22日</x:v>
      </x:c>
      <x:c r="D90" s="23" t="n">
        <x:v>172580</x:v>
      </x:c>
      <x:c r="E90" s="23" t="n">
        <x:v>176160</x:v>
      </x:c>
      <x:c r="F90" s="23" t="n">
        <x:v>171580</x:v>
      </x:c>
      <x:c r="G90" s="23" t="n">
        <x:v>174000</x:v>
      </x:c>
      <x:c r="H90" s="28" t="n">
        <x:v>740</x:v>
      </x:c>
      <x:c r="I90" s="24" t="n">
        <x:v>0.0042710377467389815</x:v>
      </x:c>
      <x:c r="J90" s="23" t="n">
        <x:f>ROUND(E90-F90,1)</x:f>
        <x:v>4580</x:v>
      </x:c>
      <x:c r="K90" s="22" t="str">
        <x:v>LC2610</x:v>
      </x:c>
    </x:row>
    <x:row r="91">
      <x:c r="A91" s="22" t="n">
        <x:v>16</x:v>
      </x:c>
      <x:c r="B91" s="22" t="str">
        <x:v>周四</x:v>
      </x:c>
      <x:c r="C91" s="22" t="str">
        <x:v>4月23日</x:v>
      </x:c>
      <x:c r="D91" s="23" t="n">
        <x:v>176000</x:v>
      </x:c>
      <x:c r="E91" s="23" t="n">
        <x:v>177380</x:v>
      </x:c>
      <x:c r="F91" s="23" t="n">
        <x:v>172000</x:v>
      </x:c>
      <x:c r="G91" s="23" t="n">
        <x:v>177000</x:v>
      </x:c>
      <x:c r="H91" s="28" t="n">
        <x:v>3000</x:v>
      </x:c>
      <x:c r="I91" s="24" t="n">
        <x:v>0.01724137931034475</x:v>
      </x:c>
      <x:c r="J91" s="23" t="n">
        <x:f>ROUND(E91-F91,1)</x:f>
        <x:v>5380</x:v>
      </x:c>
      <x:c r="K91" s="22" t="str">
        <x:v>LC2610</x:v>
      </x:c>
    </x:row>
    <x:row r="92">
      <x:c r="A92" s="22" t="n">
        <x:v>17</x:v>
      </x:c>
      <x:c r="B92" s="22" t="str">
        <x:v>周五</x:v>
      </x:c>
      <x:c r="C92" s="22" t="str">
        <x:v>4月24日</x:v>
      </x:c>
      <x:c r="D92" s="23" t="n">
        <x:v>176720</x:v>
      </x:c>
      <x:c r="E92" s="23" t="n">
        <x:v>178660</x:v>
      </x:c>
      <x:c r="F92" s="23" t="n">
        <x:v>174300</x:v>
      </x:c>
      <x:c r="G92" s="23" t="n">
        <x:v>176960</x:v>
      </x:c>
      <x:c r="H92" s="23" t="n">
        <x:v>-40</x:v>
      </x:c>
      <x:c r="I92" s="24" t="n">
        <x:v>-0.0002259887005650052</x:v>
      </x:c>
      <x:c r="J92" s="23" t="n">
        <x:f>ROUND(E92-F92,1)</x:f>
        <x:v>4360</x:v>
      </x:c>
      <x:c r="K92" s="22" t="str">
        <x:v>LC2610</x:v>
      </x:c>
    </x:row>
    <x:row r="93">
      <x:c r="A93" s="22" t="n">
        <x:v>18</x:v>
      </x:c>
      <x:c r="B93" s="22" t="str">
        <x:v>周一</x:v>
      </x:c>
      <x:c r="C93" s="22" t="str">
        <x:v>4月27日</x:v>
      </x:c>
      <x:c r="D93" s="23" t="n">
        <x:v>176960</x:v>
      </x:c>
      <x:c r="E93" s="23" t="n">
        <x:v>183120</x:v>
      </x:c>
      <x:c r="F93" s="23" t="n">
        <x:v>176960</x:v>
      </x:c>
      <x:c r="G93" s="23" t="n">
        <x:v>179500</x:v>
      </x:c>
      <x:c r="H93" s="28" t="n">
        <x:v>2540</x:v>
      </x:c>
      <x:c r="I93" s="24" t="n">
        <x:v>0.01435352622061492</x:v>
      </x:c>
      <x:c r="J93" s="26" t="n">
        <x:f>ROUND(E93-F93,1)</x:f>
        <x:v>6160</x:v>
      </x:c>
      <x:c r="K93" s="22" t="str">
        <x:v>LC2610</x:v>
      </x:c>
    </x:row>
    <x:row r="94">
      <x:c r="A94" s="22" t="n">
        <x:v>19</x:v>
      </x:c>
      <x:c r="B94" s="22" t="str">
        <x:v>周二</x:v>
      </x:c>
      <x:c r="C94" s="22" t="str">
        <x:v>4月28日</x:v>
      </x:c>
      <x:c r="D94" s="23" t="n">
        <x:v>178800</x:v>
      </x:c>
      <x:c r="E94" s="23" t="n">
        <x:v>180720</x:v>
      </x:c>
      <x:c r="F94" s="23" t="n">
        <x:v>172640</x:v>
      </x:c>
      <x:c r="G94" s="23" t="n">
        <x:v>178380</x:v>
      </x:c>
      <x:c r="H94" s="28" t="n">
        <x:v>-1120</x:v>
      </x:c>
      <x:c r="I94" s="24" t="n">
        <x:v>-0.0062395543175487456</x:v>
      </x:c>
      <x:c r="J94" s="26" t="n">
        <x:f>ROUND(E94-F94,1)</x:f>
        <x:v>8080</x:v>
      </x:c>
      <x:c r="K94" s="22" t="str">
        <x:v>LC2610</x:v>
      </x:c>
    </x:row>
    <x:row r="95">
      <x:c r="A95" s="22" t="n">
        <x:v>20</x:v>
      </x:c>
      <x:c r="B95" s="22" t="str">
        <x:v>周三</x:v>
      </x:c>
      <x:c r="C95" s="22" t="str">
        <x:v>4月29日</x:v>
      </x:c>
      <x:c r="D95" s="23" t="n">
        <x:v>177640</x:v>
      </x:c>
      <x:c r="E95" s="23" t="n">
        <x:v>183660</x:v>
      </x:c>
      <x:c r="F95" s="23" t="n">
        <x:v>174780</x:v>
      </x:c>
      <x:c r="G95" s="23" t="n">
        <x:v>183660</x:v>
      </x:c>
      <x:c r="H95" s="28" t="n">
        <x:v>5280</x:v>
      </x:c>
      <x:c r="I95" s="24" t="n">
        <x:v>0.029599730911537225</x:v>
      </x:c>
      <x:c r="J95" s="26" t="n">
        <x:f>ROUND(E95-F95,1)</x:f>
        <x:v>8880</x:v>
      </x:c>
      <x:c r="K95" s="22" t="str">
        <x:v>LC2610</x:v>
      </x:c>
    </x:row>
    <x:row r="96">
      <x:c r="A96" s="22" t="n">
        <x:v>21</x:v>
      </x:c>
      <x:c r="B96" s="22" t="str">
        <x:v>周四</x:v>
      </x:c>
      <x:c r="C96" s="22" t="str">
        <x:v>4月30日</x:v>
      </x:c>
      <x:c r="D96" s="23" t="n">
        <x:v>183140</x:v>
      </x:c>
      <x:c r="E96" s="23" t="n">
        <x:v>188840</x:v>
      </x:c>
      <x:c r="F96" s="23" t="n">
        <x:v>180200</x:v>
      </x:c>
      <x:c r="G96" s="23" t="n">
        <x:v>188840</x:v>
      </x:c>
      <x:c r="H96" s="28" t="n">
        <x:v>5180</x:v>
      </x:c>
      <x:c r="I96" s="24" t="n">
        <x:v>0.028204290536861576</x:v>
      </x:c>
      <x:c r="J96" s="26" t="n">
        <x:f>ROUND(E96-F96,1)</x:f>
        <x:v>8640</x:v>
      </x:c>
      <x:c r="K96" s="22" t="str">
        <x:v>LC2610</x:v>
      </x:c>
    </x:row>
    <x:row r="97">
      <x:c r="A97" s="31" t="str">
        <x:v>合计</x:v>
      </x:c>
      <x:c r="B97" s="30" t="n">
        <x:v>21</x:v>
      </x:c>
      <x:c r="C97" s="30"/>
      <x:c r="D97" s="30"/>
      <x:c r="E97" s="30"/>
      <x:c r="F97" s="30"/>
      <x:c r="G97" s="30"/>
      <x:c r="H97" s="30"/>
      <x:c r="I97" s="30"/>
      <x:c r="J97" s="32" t="n">
        <x:f>ROUND(SUM(J76:J96),1)</x:f>
        <x:v>141280</x:v>
      </x:c>
      <x:c r="K97" s="30"/>
    </x:row>
    <x:row r="98">
      <x:c r="A98" s="31" t="str">
        <x:v>均值</x:v>
      </x:c>
      <x:c r="B98" s="30"/>
      <x:c r="C98" s="30"/>
      <x:c r="D98" s="30"/>
      <x:c r="E98" s="30"/>
      <x:c r="F98" s="30"/>
      <x:c r="G98" s="30"/>
      <x:c r="H98" s="30"/>
      <x:c r="I98" s="30"/>
      <x:c r="J98" s="34" t="n">
        <x:f>ROUND(IFERROR(AVERAGE(J76:J96),0),1)</x:f>
        <x:v>6727.6</x:v>
      </x:c>
      <x:c r="K98" s="30"/>
    </x:row>
    <x:row r="100">
      <x:c r="A100" s="17" t="str">
        <x:v>5月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>
      <x:c r="A101" s="20" t="str">
        <x:v>序号</x:v>
      </x:c>
      <x:c r="B101" s="20" t="str">
        <x:v>星期</x:v>
      </x:c>
      <x:c r="C101" s="20" t="str">
        <x:v>日期</x:v>
      </x:c>
      <x:c r="D101" s="20" t="str">
        <x:v>开盘</x:v>
      </x:c>
      <x:c r="E101" s="20" t="str">
        <x:v>高点</x:v>
      </x:c>
      <x:c r="F101" s="20" t="str">
        <x:v>低点</x:v>
      </x:c>
      <x:c r="G101" s="20" t="str">
        <x:v>收盘</x:v>
      </x:c>
      <x:c r="H101" s="20" t="str">
        <x:v>涨跌点数</x:v>
      </x:c>
      <x:c r="I101" s="20" t="str">
        <x:v>涨幅</x:v>
      </x:c>
      <x:c r="J101" s="20" t="str">
        <x:v>振幅</x:v>
      </x:c>
      <x:c r="K101" s="20" t="str">
        <x:v>标的</x:v>
      </x:c>
    </x:row>
    <x:row r="102">
      <x:c r="A102" s="22" t="n">
        <x:v>1</x:v>
      </x:c>
      <x:c r="B102" s="22" t="str">
        <x:v>周三</x:v>
      </x:c>
      <x:c r="C102" s="22" t="str">
        <x:v>5月6日</x:v>
      </x:c>
      <x:c r="D102" s="23" t="n">
        <x:v>191300</x:v>
      </x:c>
      <x:c r="E102" s="23" t="n">
        <x:v>204640</x:v>
      </x:c>
      <x:c r="F102" s="23" t="n">
        <x:v>191300</x:v>
      </x:c>
      <x:c r="G102" s="23" t="n">
        <x:v>199260</x:v>
      </x:c>
      <x:c r="H102" s="28" t="n">
        <x:v>10420</x:v>
      </x:c>
      <x:c r="I102" s="24" t="n">
        <x:v>0.055178987502647825</x:v>
      </x:c>
      <x:c r="J102" s="26" t="n">
        <x:f>ROUND(E102-F102,1)</x:f>
        <x:v>13340</x:v>
      </x:c>
      <x:c r="K102" s="22" t="str">
        <x:v>LC2610</x:v>
      </x:c>
    </x:row>
    <x:row r="103">
      <x:c r="A103" s="22" t="n">
        <x:v>2</x:v>
      </x:c>
      <x:c r="B103" s="22" t="str">
        <x:v>周四</x:v>
      </x:c>
      <x:c r="C103" s="22" t="str">
        <x:v>5月7日</x:v>
      </x:c>
      <x:c r="D103" s="23" t="n">
        <x:v>198980</x:v>
      </x:c>
      <x:c r="E103" s="23" t="n">
        <x:v>200040</x:v>
      </x:c>
      <x:c r="F103" s="23" t="n">
        <x:v>192940</x:v>
      </x:c>
      <x:c r="G103" s="23" t="n">
        <x:v>198500</x:v>
      </x:c>
      <x:c r="H103" s="28" t="n">
        <x:v>-760</x:v>
      </x:c>
      <x:c r="I103" s="24" t="n">
        <x:v>-0.0038141122151962303</x:v>
      </x:c>
      <x:c r="J103" s="26" t="n">
        <x:f>ROUND(E103-F103,1)</x:f>
        <x:v>7100</x:v>
      </x:c>
      <x:c r="K103" s="22" t="str">
        <x:v>LC2610</x:v>
      </x:c>
    </x:row>
    <x:row r="104">
      <x:c r="A104" s="22" t="n">
        <x:v>3</x:v>
      </x:c>
      <x:c r="B104" s="22" t="str">
        <x:v>周五</x:v>
      </x:c>
      <x:c r="C104" s="22" t="str">
        <x:v>5月8日</x:v>
      </x:c>
      <x:c r="D104" s="23" t="n">
        <x:v>197080</x:v>
      </x:c>
      <x:c r="E104" s="23" t="n">
        <x:v>200140</x:v>
      </x:c>
      <x:c r="F104" s="23" t="n">
        <x:v>194040</x:v>
      </x:c>
      <x:c r="G104" s="23" t="n">
        <x:v>196100</x:v>
      </x:c>
      <x:c r="H104" s="28" t="n">
        <x:v>-2400</x:v>
      </x:c>
      <x:c r="I104" s="24" t="n">
        <x:v>-0.012090680100755646</x:v>
      </x:c>
      <x:c r="J104" s="26" t="n">
        <x:f>ROUND(E104-F104,1)</x:f>
        <x:v>6100</x:v>
      </x:c>
      <x:c r="K104" s="22" t="str">
        <x:v>LC2610</x:v>
      </x:c>
    </x:row>
    <x:row r="105">
      <x:c r="A105" s="22" t="n">
        <x:v>4</x:v>
      </x:c>
      <x:c r="B105" s="22" t="str">
        <x:v>周一</x:v>
      </x:c>
      <x:c r="C105" s="22" t="str">
        <x:v>5月11日</x:v>
      </x:c>
      <x:c r="D105" s="23" t="n">
        <x:v>195080</x:v>
      </x:c>
      <x:c r="E105" s="23" t="n">
        <x:v>204660</x:v>
      </x:c>
      <x:c r="F105" s="23" t="n">
        <x:v>195000</x:v>
      </x:c>
      <x:c r="G105" s="23" t="n">
        <x:v>203920</x:v>
      </x:c>
      <x:c r="H105" s="28" t="n">
        <x:v>7820</x:v>
      </x:c>
      <x:c r="I105" s="24" t="n">
        <x:v>0.03987761346251917</x:v>
      </x:c>
      <x:c r="J105" s="26" t="n">
        <x:f>ROUND(E105-F105,1)</x:f>
        <x:v>9660</x:v>
      </x:c>
      <x:c r="K105" s="22" t="str">
        <x:v>LC2610</x:v>
      </x:c>
    </x:row>
    <x:row r="106">
      <x:c r="A106" s="22" t="n">
        <x:v>5</x:v>
      </x:c>
      <x:c r="B106" s="22" t="str">
        <x:v>周二</x:v>
      </x:c>
      <x:c r="C106" s="22" t="str">
        <x:v>5月12日</x:v>
      </x:c>
      <x:c r="D106" s="23" t="n">
        <x:v>205340</x:v>
      </x:c>
      <x:c r="E106" s="23" t="n">
        <x:v>207980</x:v>
      </x:c>
      <x:c r="F106" s="23" t="n">
        <x:v>202160</x:v>
      </x:c>
      <x:c r="G106" s="23" t="n">
        <x:v>204080</x:v>
      </x:c>
      <x:c r="H106" s="28" t="n">
        <x:v>160</x:v>
      </x:c>
      <x:c r="I106" s="24" t="n">
        <x:v>0.0007846214201647772</x:v>
      </x:c>
      <x:c r="J106" s="23" t="n">
        <x:f>ROUND(E106-F106,1)</x:f>
        <x:v>5820</x:v>
      </x:c>
      <x:c r="K106" s="22" t="str">
        <x:v>LC2610</x:v>
      </x:c>
    </x:row>
    <x:row r="107">
      <x:c r="A107" s="22" t="n">
        <x:v>6</x:v>
      </x:c>
      <x:c r="B107" s="22" t="str">
        <x:v>周三</x:v>
      </x:c>
      <x:c r="C107" s="22" t="str">
        <x:v>5月13日</x:v>
      </x:c>
      <x:c r="D107" s="23" t="n">
        <x:v>208000</x:v>
      </x:c>
      <x:c r="E107" s="23" t="n">
        <x:v>209040</x:v>
      </x:c>
      <x:c r="F107" s="23" t="n">
        <x:v>194300</x:v>
      </x:c>
      <x:c r="G107" s="23" t="n">
        <x:v>202000</x:v>
      </x:c>
      <x:c r="H107" s="28" t="n">
        <x:v>-2080</x:v>
      </x:c>
      <x:c r="I107" s="24" t="n">
        <x:v>-0.010192081536652298</x:v>
      </x:c>
      <x:c r="J107" s="26" t="n">
        <x:f>ROUND(E107-F107,1)</x:f>
        <x:v>14740</x:v>
      </x:c>
      <x:c r="K107" s="22" t="str">
        <x:v>LC2610</x:v>
      </x:c>
    </x:row>
    <x:row r="108">
      <x:c r="A108" s="22" t="n">
        <x:v>7</x:v>
      </x:c>
      <x:c r="B108" s="22" t="str">
        <x:v>周四</x:v>
      </x:c>
      <x:c r="C108" s="22" t="str">
        <x:v>5月14日</x:v>
      </x:c>
      <x:c r="D108" s="23" t="n">
        <x:v>203720</x:v>
      </x:c>
      <x:c r="E108" s="23" t="n">
        <x:v>203720</x:v>
      </x:c>
      <x:c r="F108" s="23" t="n">
        <x:v>190040</x:v>
      </x:c>
      <x:c r="G108" s="23" t="n">
        <x:v>191540</x:v>
      </x:c>
      <x:c r="H108" s="28" t="n">
        <x:v>-10460</x:v>
      </x:c>
      <x:c r="I108" s="24" t="n">
        <x:v>-0.05178217821782183</x:v>
      </x:c>
      <x:c r="J108" s="26" t="n">
        <x:f>ROUND(E108-F108,1)</x:f>
        <x:v>13680</x:v>
      </x:c>
      <x:c r="K108" s="22" t="str">
        <x:v>LC2610</x:v>
      </x:c>
    </x:row>
    <x:row r="109">
      <x:c r="A109" s="41" t="n">
        <x:v>8</x:v>
      </x:c>
      <x:c r="B109" s="41" t="str">
        <x:v>周五</x:v>
      </x:c>
      <x:c r="C109" s="41" t="str">
        <x:v>5月15日</x:v>
      </x:c>
      <x:c r="D109" s="42" t="n">
        <x:v>190100</x:v>
      </x:c>
      <x:c r="E109" s="42" t="n">
        <x:v>195360</x:v>
      </x:c>
      <x:c r="F109" s="42" t="n">
        <x:v>187240</x:v>
      </x:c>
      <x:c r="G109" s="42" t="n">
        <x:v>189440</x:v>
      </x:c>
      <x:c r="H109" s="28" t="n">
        <x:v>-2100</x:v>
      </x:c>
      <x:c r="I109" s="43" t="n">
        <x:v>-0.010963767359298271</x:v>
      </x:c>
      <x:c r="J109" s="26" t="n">
        <x:f>ROUND(E109-F109,1)</x:f>
        <x:v>8120</x:v>
      </x:c>
      <x:c r="K109" s="41" t="str">
        <x:v>LC2610</x:v>
      </x:c>
    </x:row>
    <x:row r="110">
      <x:c r="A110" s="22" t="n">
        <x:v>9</x:v>
      </x:c>
      <x:c r="B110" s="22" t="str">
        <x:v>周一</x:v>
      </x:c>
      <x:c r="C110" s="22" t="str">
        <x:v>5月18日</x:v>
      </x:c>
      <x:c r="D110" s="23" t="n">
        <x:v>190060</x:v>
      </x:c>
      <x:c r="E110" s="23" t="n">
        <x:v>193820</x:v>
      </x:c>
      <x:c r="F110" s="23" t="n">
        <x:v>188480</x:v>
      </x:c>
      <x:c r="G110" s="23" t="n">
        <x:v>192420</x:v>
      </x:c>
      <x:c r="H110" s="28" t="n">
        <x:v>2980</x:v>
      </x:c>
      <x:c r="I110" s="24" t="n">
        <x:v>0.015730574324324342</x:v>
      </x:c>
      <x:c r="J110" s="23" t="n">
        <x:f>ROUND(E110-F110,1)</x:f>
        <x:v>5340</x:v>
      </x:c>
      <x:c r="K110" s="22" t="str">
        <x:v>LC2610</x:v>
      </x:c>
    </x:row>
    <x:row r="111">
      <x:c r="A111" s="22" t="n">
        <x:v>10</x:v>
      </x:c>
      <x:c r="B111" s="22" t="str">
        <x:v>周二</x:v>
      </x:c>
      <x:c r="C111" s="22" t="str">
        <x:v>5月19日</x:v>
      </x:c>
      <x:c r="D111" s="23" t="n">
        <x:v>190740</x:v>
      </x:c>
      <x:c r="E111" s="23" t="n">
        <x:v>192360</x:v>
      </x:c>
      <x:c r="F111" s="23" t="n">
        <x:v>182320</x:v>
      </x:c>
      <x:c r="G111" s="23" t="n">
        <x:v>184620</x:v>
      </x:c>
      <x:c r="H111" s="28" t="n">
        <x:v>-7800</x:v>
      </x:c>
      <x:c r="I111" s="24" t="n">
        <x:v>-0.040536326785157506</x:v>
      </x:c>
      <x:c r="J111" s="26" t="n">
        <x:f>ROUND(E111-F111,1)</x:f>
        <x:v>10040</x:v>
      </x:c>
      <x:c r="K111" s="22" t="str">
        <x:v>LC2610</x:v>
      </x:c>
    </x:row>
    <x:row r="112">
      <x:c r="A112" s="22" t="n">
        <x:v>11</x:v>
      </x:c>
      <x:c r="B112" s="22" t="str">
        <x:v>周三</x:v>
      </x:c>
      <x:c r="C112" s="22" t="str">
        <x:v>5月20日</x:v>
      </x:c>
      <x:c r="D112" s="23" t="n">
        <x:v>185300</x:v>
      </x:c>
      <x:c r="E112" s="23" t="n">
        <x:v>185860</x:v>
      </x:c>
      <x:c r="F112" s="23" t="n">
        <x:v>175520</x:v>
      </x:c>
      <x:c r="G112" s="23" t="n">
        <x:v>183120</x:v>
      </x:c>
      <x:c r="H112" s="28" t="n">
        <x:v>-1500</x:v>
      </x:c>
      <x:c r="I112" s="24" t="n">
        <x:v>-0.008124796880077945</x:v>
      </x:c>
      <x:c r="J112" s="26" t="n">
        <x:f>ROUND(E112-F112,1)</x:f>
        <x:v>10340</x:v>
      </x:c>
      <x:c r="K112" s="22" t="str">
        <x:v>LC2610</x:v>
      </x:c>
    </x:row>
    <x:row r="113">
      <x:c r="A113" s="22" t="n">
        <x:v>12</x:v>
      </x:c>
      <x:c r="B113" s="22" t="str">
        <x:v>周四</x:v>
      </x:c>
      <x:c r="C113" s="22" t="str">
        <x:v>5月21日</x:v>
      </x:c>
      <x:c r="D113" s="23" t="n">
        <x:v>185220</x:v>
      </x:c>
      <x:c r="E113" s="23" t="n">
        <x:v>185940</x:v>
      </x:c>
      <x:c r="F113" s="23" t="n">
        <x:v>177420</x:v>
      </x:c>
      <x:c r="G113" s="23" t="n">
        <x:v>177420</x:v>
      </x:c>
      <x:c r="H113" s="28" t="n">
        <x:v>-5700</x:v>
      </x:c>
      <x:c r="I113" s="24" t="n">
        <x:v>-0.031127129750982974</x:v>
      </x:c>
      <x:c r="J113" s="26" t="n">
        <x:f>ROUND(E113-F113,1)</x:f>
        <x:v>8520</x:v>
      </x:c>
      <x:c r="K113" s="22" t="str">
        <x:v>LC2610</x:v>
      </x:c>
    </x:row>
    <x:row r="114">
      <x:c r="A114" s="22" t="n">
        <x:v>13</x:v>
      </x:c>
      <x:c r="B114" s="22" t="str">
        <x:v>周五</x:v>
      </x:c>
      <x:c r="C114" s="22" t="str">
        <x:v>5月22日</x:v>
      </x:c>
      <x:c r="D114" s="23" t="n">
        <x:v>180420</x:v>
      </x:c>
      <x:c r="E114" s="23" t="n">
        <x:v>185280</x:v>
      </x:c>
      <x:c r="F114" s="23" t="n">
        <x:v>177760</x:v>
      </x:c>
      <x:c r="G114" s="23" t="n">
        <x:v>185280</x:v>
      </x:c>
      <x:c r="H114" s="28" t="n">
        <x:v>7860</x:v>
      </x:c>
      <x:c r="I114" s="24" t="n">
        <x:v>0.04430165708488332</x:v>
      </x:c>
      <x:c r="J114" s="26" t="n">
        <x:f>ROUND(E114-F114,1)</x:f>
        <x:v>7520</x:v>
      </x:c>
      <x:c r="K114" s="22" t="str">
        <x:v>LC2610</x:v>
      </x:c>
    </x:row>
    <x:row r="115">
      <x:c r="A115" s="22" t="n">
        <x:v>14</x:v>
      </x:c>
      <x:c r="B115" s="22" t="str">
        <x:v>周一</x:v>
      </x:c>
      <x:c r="C115" s="22" t="str">
        <x:v>5月25日</x:v>
      </x:c>
      <x:c r="D115" s="23" t="n">
        <x:v>185380</x:v>
      </x:c>
      <x:c r="E115" s="23" t="n">
        <x:v>188320</x:v>
      </x:c>
      <x:c r="F115" s="23" t="n">
        <x:v>179620</x:v>
      </x:c>
      <x:c r="G115" s="23" t="n">
        <x:v>181380</x:v>
      </x:c>
      <x:c r="H115" s="28" t="n">
        <x:v>-3900</x:v>
      </x:c>
      <x:c r="I115" s="24" t="n">
        <x:v>-0.021049222797927425</x:v>
      </x:c>
      <x:c r="J115" s="26" t="n">
        <x:f>ROUND(E115-F115,1)</x:f>
        <x:v>8700</x:v>
      </x:c>
      <x:c r="K115" s="22" t="str">
        <x:v>LC2610</x:v>
      </x:c>
    </x:row>
    <x:row r="116">
      <x:c r="A116" s="22" t="n">
        <x:v>15</x:v>
      </x:c>
      <x:c r="B116" s="22" t="str">
        <x:v>周二</x:v>
      </x:c>
      <x:c r="C116" s="22" t="str">
        <x:v>5月26日</x:v>
      </x:c>
      <x:c r="D116" s="23" t="n">
        <x:v>181320</x:v>
      </x:c>
      <x:c r="E116" s="23" t="n">
        <x:v>182940</x:v>
      </x:c>
      <x:c r="F116" s="23" t="n">
        <x:v>175820</x:v>
      </x:c>
      <x:c r="G116" s="23" t="n">
        <x:v>176100</x:v>
      </x:c>
      <x:c r="H116" s="28" t="n">
        <x:v>-5280</x:v>
      </x:c>
      <x:c r="I116" s="24" t="n">
        <x:v>-0.029110155474693977</x:v>
      </x:c>
      <x:c r="J116" s="26" t="n">
        <x:f>ROUND(E116-F116,1)</x:f>
        <x:v>7120</x:v>
      </x:c>
      <x:c r="K116" s="22" t="str">
        <x:v>LC2610</x:v>
      </x:c>
    </x:row>
    <x:row r="117">
      <x:c r="A117" s="22" t="n">
        <x:v>16</x:v>
      </x:c>
      <x:c r="B117" s="22" t="str">
        <x:v>周三</x:v>
      </x:c>
      <x:c r="C117" s="22" t="str">
        <x:v>5月27日</x:v>
      </x:c>
      <x:c r="D117" s="23" t="n">
        <x:v>176400</x:v>
      </x:c>
      <x:c r="E117" s="23" t="n">
        <x:v>179020</x:v>
      </x:c>
      <x:c r="F117" s="23" t="n">
        <x:v>172500</x:v>
      </x:c>
      <x:c r="G117" s="23" t="n">
        <x:v>173480</x:v>
      </x:c>
      <x:c r="H117" s="28" t="n">
        <x:v>-2620</x:v>
      </x:c>
      <x:c r="I117" s="24" t="n">
        <x:v>-0.014877910278251028</x:v>
      </x:c>
      <x:c r="J117" s="26" t="n">
        <x:f>ROUND(E117-F117,1)</x:f>
        <x:v>6520</x:v>
      </x:c>
      <x:c r="K117" s="22" t="str">
        <x:v>LC2610</x:v>
      </x:c>
    </x:row>
    <x:row r="118">
      <x:c r="A118" s="22" t="n">
        <x:v>17</x:v>
      </x:c>
      <x:c r="B118" s="22" t="str">
        <x:v>周四</x:v>
      </x:c>
      <x:c r="C118" s="22" t="str">
        <x:v>5月28日</x:v>
      </x:c>
      <x:c r="D118" s="23" t="n">
        <x:v>174700</x:v>
      </x:c>
      <x:c r="E118" s="23" t="n">
        <x:v>180420</x:v>
      </x:c>
      <x:c r="F118" s="23" t="n">
        <x:v>174700</x:v>
      </x:c>
      <x:c r="G118" s="23" t="n">
        <x:v>178940</x:v>
      </x:c>
      <x:c r="H118" s="28" t="n">
        <x:v>5460</x:v>
      </x:c>
      <x:c r="I118" s="24" t="n">
        <x:v>0.0314733686880333</x:v>
      </x:c>
      <x:c r="J118" s="23" t="n">
        <x:f>ROUND(E118-F118,1)</x:f>
        <x:v>5720</x:v>
      </x:c>
      <x:c r="K118" s="22" t="str">
        <x:v>LC2610</x:v>
      </x:c>
    </x:row>
    <x:row r="119">
      <x:c r="A119" s="22" t="n">
        <x:v>18</x:v>
      </x:c>
      <x:c r="B119" s="22" t="str">
        <x:v>周五</x:v>
      </x:c>
      <x:c r="C119" s="22" t="str">
        <x:v>5月29日</x:v>
      </x:c>
      <x:c r="D119" s="23" t="n">
        <x:v>177200</x:v>
      </x:c>
      <x:c r="E119" s="23" t="n">
        <x:v>182440</x:v>
      </x:c>
      <x:c r="F119" s="23" t="n">
        <x:v>177200</x:v>
      </x:c>
      <x:c r="G119" s="23" t="n">
        <x:v>178620</x:v>
      </x:c>
      <x:c r="H119" s="28" t="n">
        <x:v>-320</x:v>
      </x:c>
      <x:c r="I119" s="24" t="n">
        <x:v>-0.0017883089303677435</x:v>
      </x:c>
      <x:c r="J119" s="23" t="n">
        <x:f>ROUND(E119-F119,1)</x:f>
        <x:v>5240</x:v>
      </x:c>
      <x:c r="K119" s="22" t="str">
        <x:v>LC2610</x:v>
      </x:c>
    </x:row>
    <x:row r="120">
      <x:c r="A120" s="31" t="str">
        <x:v>合计</x:v>
      </x:c>
      <x:c r="B120" s="30" t="n">
        <x:v>18</x:v>
      </x:c>
      <x:c r="C120" s="30"/>
      <x:c r="D120" s="30"/>
      <x:c r="E120" s="30"/>
      <x:c r="F120" s="30"/>
      <x:c r="G120" s="30"/>
      <x:c r="H120" s="30"/>
      <x:c r="I120" s="30"/>
      <x:c r="J120" s="32" t="n">
        <x:f>ROUND(SUM(J102:J119),1)</x:f>
        <x:v>153620</x:v>
      </x:c>
      <x:c r="K120" s="30"/>
    </x:row>
    <x:row r="121">
      <x:c r="A121" s="31" t="str">
        <x:v>均值</x:v>
      </x:c>
      <x:c r="B121" s="30"/>
      <x:c r="C121" s="30"/>
      <x:c r="D121" s="30"/>
      <x:c r="E121" s="30"/>
      <x:c r="F121" s="30"/>
      <x:c r="G121" s="30"/>
      <x:c r="H121" s="30"/>
      <x:c r="I121" s="30"/>
      <x:c r="J121" s="34" t="n">
        <x:f>ROUND(IFERROR(AVERAGE(J102:J119),0),1)</x:f>
        <x:v>8534.4</x:v>
      </x:c>
      <x:c r="K121" s="30"/>
    </x:row>
    <x:row r="123">
      <x:c r="A123" s="17" t="str">
        <x:v>6月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>
      <x:c r="A124" s="20" t="str">
        <x:v>序号</x:v>
      </x:c>
      <x:c r="B124" s="20" t="str">
        <x:v>星期</x:v>
      </x:c>
      <x:c r="C124" s="20" t="str">
        <x:v>日期</x:v>
      </x:c>
      <x:c r="D124" s="20" t="str">
        <x:v>开盘</x:v>
      </x:c>
      <x:c r="E124" s="20" t="str">
        <x:v>高点</x:v>
      </x:c>
      <x:c r="F124" s="20" t="str">
        <x:v>低点</x:v>
      </x:c>
      <x:c r="G124" s="20" t="str">
        <x:v>收盘</x:v>
      </x:c>
      <x:c r="H124" s="20" t="str">
        <x:v>涨跌点数</x:v>
      </x:c>
      <x:c r="I124" s="20" t="str">
        <x:v>涨幅</x:v>
      </x:c>
      <x:c r="J124" s="20" t="str">
        <x:v>振幅</x:v>
      </x:c>
      <x:c r="K124" s="20" t="str">
        <x:v>标的</x:v>
      </x:c>
    </x:row>
    <x:row r="125">
      <x:c r="A125" s="22" t="n">
        <x:v>1</x:v>
      </x:c>
      <x:c r="B125" s="22" t="str">
        <x:v>周一</x:v>
      </x:c>
      <x:c r="C125" s="22" t="str">
        <x:v>6月1日</x:v>
      </x:c>
      <x:c r="D125" s="23" t="n">
        <x:v>180920</x:v>
      </x:c>
      <x:c r="E125" s="23" t="n">
        <x:v>182940</x:v>
      </x:c>
      <x:c r="F125" s="23" t="n">
        <x:v>178620</x:v>
      </x:c>
      <x:c r="G125" s="23" t="n">
        <x:v>179560</x:v>
      </x:c>
      <x:c r="H125" s="28" t="n">
        <x:v>940</x:v>
      </x:c>
      <x:c r="I125" s="24" t="n">
        <x:v>0.005262568581345883</x:v>
      </x:c>
      <x:c r="J125" s="23" t="n">
        <x:f>ROUND(E125-F125,1)</x:f>
        <x:v>4320</x:v>
      </x:c>
      <x:c r="K125" s="22" t="str">
        <x:v>LC2610</x:v>
      </x:c>
    </x:row>
    <x:row r="126">
      <x:c r="A126" s="22" t="n">
        <x:v>2</x:v>
      </x:c>
      <x:c r="B126" s="22" t="str">
        <x:v>周二</x:v>
      </x:c>
      <x:c r="C126" s="22" t="str">
        <x:v>6月2日</x:v>
      </x:c>
      <x:c r="D126" s="23" t="n">
        <x:v>178280</x:v>
      </x:c>
      <x:c r="E126" s="23" t="n">
        <x:v>178280</x:v>
      </x:c>
      <x:c r="F126" s="23" t="n">
        <x:v>171800</x:v>
      </x:c>
      <x:c r="G126" s="23" t="n">
        <x:v>174180</x:v>
      </x:c>
      <x:c r="H126" s="28" t="n">
        <x:v>-5380</x:v>
      </x:c>
      <x:c r="I126" s="24" t="n">
        <x:v>-0.02996212965025613</x:v>
      </x:c>
      <x:c r="J126" s="26" t="n">
        <x:f>ROUND(E126-F126,1)</x:f>
        <x:v>6480</x:v>
      </x:c>
      <x:c r="K126" s="22" t="str">
        <x:v>LC2610</x:v>
      </x:c>
    </x:row>
    <x:row r="127">
      <x:c r="A127" s="22" t="n">
        <x:v>3</x:v>
      </x:c>
      <x:c r="B127" s="22" t="str">
        <x:v>周三</x:v>
      </x:c>
      <x:c r="C127" s="22" t="str">
        <x:v>6月3日</x:v>
      </x:c>
      <x:c r="D127" s="23" t="n">
        <x:v>171820</x:v>
      </x:c>
      <x:c r="E127" s="23" t="n">
        <x:v>171820</x:v>
      </x:c>
      <x:c r="F127" s="23" t="n">
        <x:v>167120</x:v>
      </x:c>
      <x:c r="G127" s="23" t="n">
        <x:v>167360</x:v>
      </x:c>
      <x:c r="H127" s="28" t="n">
        <x:v>-6820</x:v>
      </x:c>
      <x:c r="I127" s="24" t="n">
        <x:v>-0.03915489723274779</x:v>
      </x:c>
      <x:c r="J127" s="23" t="n">
        <x:f>ROUND(E127-F127,1)</x:f>
        <x:v>4700</x:v>
      </x:c>
      <x:c r="K127" s="22" t="str">
        <x:v>LC2610</x:v>
      </x:c>
    </x:row>
    <x:row r="128">
      <x:c r="A128" s="22" t="n">
        <x:v>4</x:v>
      </x:c>
      <x:c r="B128" s="22" t="str">
        <x:v>周四</x:v>
      </x:c>
      <x:c r="C128" s="22" t="str">
        <x:v>6月4日</x:v>
      </x:c>
      <x:c r="D128" s="23" t="n">
        <x:v>165280</x:v>
      </x:c>
      <x:c r="E128" s="23" t="n">
        <x:v>168060</x:v>
      </x:c>
      <x:c r="F128" s="23" t="n">
        <x:v>158260</x:v>
      </x:c>
      <x:c r="G128" s="23" t="n">
        <x:v>161260</x:v>
      </x:c>
      <x:c r="H128" s="28" t="n">
        <x:v>-6100</x:v>
      </x:c>
      <x:c r="I128" s="24" t="n">
        <x:v>-0.03644837476099427</x:v>
      </x:c>
      <x:c r="J128" s="26" t="n">
        <x:f>ROUND(E128-F128,1)</x:f>
        <x:v>9800</x:v>
      </x:c>
      <x:c r="K128" s="22" t="str">
        <x:v>LC2610</x:v>
      </x:c>
    </x:row>
    <x:row r="129">
      <x:c r="A129" s="22" t="n">
        <x:v>5</x:v>
      </x:c>
      <x:c r="B129" s="22" t="str">
        <x:v>周五</x:v>
      </x:c>
      <x:c r="C129" s="22" t="str">
        <x:v>6月5日</x:v>
      </x:c>
      <x:c r="D129" s="23" t="n">
        <x:v>161080</x:v>
      </x:c>
      <x:c r="E129" s="23" t="n">
        <x:v>166280</x:v>
      </x:c>
      <x:c r="F129" s="23" t="n">
        <x:v>158140</x:v>
      </x:c>
      <x:c r="G129" s="23" t="n">
        <x:v>165460</x:v>
      </x:c>
      <x:c r="H129" s="28" t="n">
        <x:v>4200</x:v>
      </x:c>
      <x:c r="I129" s="24" t="n">
        <x:v>0.026044896440530874</x:v>
      </x:c>
      <x:c r="J129" s="26" t="n">
        <x:f>ROUND(E129-F129,1)</x:f>
        <x:v>8140</x:v>
      </x:c>
      <x:c r="K129" s="22" t="str">
        <x:v>LC2610</x:v>
      </x:c>
    </x:row>
    <x:row r="130">
      <x:c r="A130" s="22" t="n">
        <x:v>6</x:v>
      </x:c>
      <x:c r="B130" s="22" t="str">
        <x:v>周一</x:v>
      </x:c>
      <x:c r="C130" s="22" t="str">
        <x:v>6月8日</x:v>
      </x:c>
      <x:c r="D130" s="23" t="n">
        <x:v>162800</x:v>
      </x:c>
      <x:c r="E130" s="23" t="n">
        <x:v>166080</x:v>
      </x:c>
      <x:c r="F130" s="23" t="n">
        <x:v>161280</x:v>
      </x:c>
      <x:c r="G130" s="23" t="n">
        <x:v>163360</x:v>
      </x:c>
      <x:c r="H130" s="28" t="n">
        <x:v>-2100</x:v>
      </x:c>
      <x:c r="I130" s="24" t="n">
        <x:v>-0.01269188927837539</x:v>
      </x:c>
      <x:c r="J130" s="23" t="n">
        <x:f>ROUND(E130-F130,1)</x:f>
        <x:v>4800</x:v>
      </x:c>
      <x:c r="K130" s="22" t="str">
        <x:v>LC2610</x:v>
      </x:c>
    </x:row>
    <x:row r="131">
      <x:c r="A131" s="22" t="n">
        <x:v>7</x:v>
      </x:c>
      <x:c r="B131" s="22" t="str">
        <x:v>周二</x:v>
      </x:c>
      <x:c r="C131" s="22" t="str">
        <x:v>6月9日</x:v>
      </x:c>
      <x:c r="D131" s="23" t="n">
        <x:v>163360</x:v>
      </x:c>
      <x:c r="E131" s="23" t="n">
        <x:v>169200</x:v>
      </x:c>
      <x:c r="F131" s="23" t="n">
        <x:v>162340</x:v>
      </x:c>
      <x:c r="G131" s="23" t="n">
        <x:v>169140</x:v>
      </x:c>
      <x:c r="H131" s="28" t="n">
        <x:v>5780</x:v>
      </x:c>
      <x:c r="I131" s="24" t="n">
        <x:v>0.035381978452497576</x:v>
      </x:c>
      <x:c r="J131" s="26" t="n">
        <x:f>ROUND(E131-F131,1)</x:f>
        <x:v>6860</x:v>
      </x:c>
      <x:c r="K131" s="22" t="str">
        <x:v>LC2610</x:v>
      </x:c>
    </x:row>
    <x:row r="132">
      <x:c r="A132" s="22" t="n">
        <x:v>8</x:v>
      </x:c>
      <x:c r="B132" s="22" t="str">
        <x:v>周三</x:v>
      </x:c>
      <x:c r="C132" s="22" t="str">
        <x:v>6月10日</x:v>
      </x:c>
      <x:c r="D132" s="23" t="n">
        <x:v>167760</x:v>
      </x:c>
      <x:c r="E132" s="23" t="n">
        <x:v>169360</x:v>
      </x:c>
      <x:c r="F132" s="23" t="n">
        <x:v>165700</x:v>
      </x:c>
      <x:c r="G132" s="23" t="n">
        <x:v>168700</x:v>
      </x:c>
      <x:c r="H132" s="28" t="n">
        <x:v>-440</x:v>
      </x:c>
      <x:c r="I132" s="24" t="n">
        <x:v>-0.0026013952938394036</x:v>
      </x:c>
      <x:c r="J132" s="23" t="n">
        <x:f>ROUND(E132-F132,1)</x:f>
        <x:v>3660</x:v>
      </x:c>
      <x:c r="K132" s="22" t="str">
        <x:v>LC2610</x:v>
      </x:c>
    </x:row>
    <x:row r="133">
      <x:c r="A133" s="22" t="n">
        <x:v>9</x:v>
      </x:c>
      <x:c r="B133" s="22" t="str">
        <x:v>周四</x:v>
      </x:c>
      <x:c r="C133" s="22" t="str">
        <x:v>6月11日</x:v>
      </x:c>
      <x:c r="D133" s="23" t="n">
        <x:v>166080</x:v>
      </x:c>
      <x:c r="E133" s="23" t="n">
        <x:v>175540</x:v>
      </x:c>
      <x:c r="F133" s="23" t="n">
        <x:v>166080</x:v>
      </x:c>
      <x:c r="G133" s="23" t="n">
        <x:v>175060</x:v>
      </x:c>
      <x:c r="H133" s="28" t="n">
        <x:v>6360</x:v>
      </x:c>
      <x:c r="I133" s="24" t="n">
        <x:v>0.03770005927682285</x:v>
      </x:c>
      <x:c r="J133" s="26" t="n">
        <x:f>ROUND(E133-F133,1)</x:f>
        <x:v>9460</x:v>
      </x:c>
      <x:c r="K133" s="22" t="str">
        <x:v>LC2610</x:v>
      </x:c>
    </x:row>
    <x:row r="134">
      <x:c r="A134" s="22" t="n">
        <x:v>10</x:v>
      </x:c>
      <x:c r="B134" s="22" t="str">
        <x:v>周五</x:v>
      </x:c>
      <x:c r="C134" s="22" t="str">
        <x:v>6月12日</x:v>
      </x:c>
      <x:c r="D134" s="23" t="n">
        <x:v>177220</x:v>
      </x:c>
      <x:c r="E134" s="23" t="n">
        <x:v>178860</x:v>
      </x:c>
      <x:c r="F134" s="23" t="n">
        <x:v>175480</x:v>
      </x:c>
      <x:c r="G134" s="23" t="n">
        <x:v>175780</x:v>
      </x:c>
      <x:c r="H134" s="28" t="n">
        <x:v>720</x:v>
      </x:c>
      <x:c r="I134" s="24" t="n">
        <x:v>0.004112875585513542</x:v>
      </x:c>
      <x:c r="J134" s="23" t="n">
        <x:f>ROUND(E134-F134,1)</x:f>
        <x:v>3380</x:v>
      </x:c>
      <x:c r="K134" s="22" t="str">
        <x:v>LC2610</x:v>
      </x:c>
    </x:row>
    <x:row r="135">
      <x:c r="A135" s="22" t="n">
        <x:v>11</x:v>
      </x:c>
      <x:c r="B135" s="22" t="str">
        <x:v>周一</x:v>
      </x:c>
      <x:c r="C135" s="22" t="str">
        <x:v>6月15日</x:v>
      </x:c>
      <x:c r="D135" s="23" t="n">
        <x:v>176460</x:v>
      </x:c>
      <x:c r="E135" s="23" t="n">
        <x:v>178560</x:v>
      </x:c>
      <x:c r="F135" s="23" t="n">
        <x:v>173300</x:v>
      </x:c>
      <x:c r="G135" s="23" t="n">
        <x:v>175180</x:v>
      </x:c>
      <x:c r="H135" s="28" t="n">
        <x:v>-600</x:v>
      </x:c>
      <x:c r="I135" s="24" t="n">
        <x:v>-0.0034133576060985105</x:v>
      </x:c>
      <x:c r="J135" s="23" t="n">
        <x:f>ROUND(E135-F135,1)</x:f>
        <x:v>5260</x:v>
      </x:c>
      <x:c r="K135" s="22" t="str">
        <x:v>LC2610</x:v>
      </x:c>
    </x:row>
    <x:row r="136">
      <x:c r="A136" s="22" t="n">
        <x:v>12</x:v>
      </x:c>
      <x:c r="B136" s="22" t="str">
        <x:v>周二</x:v>
      </x:c>
      <x:c r="C136" s="22" t="str">
        <x:v>6月16日</x:v>
      </x:c>
      <x:c r="D136" s="23" t="n">
        <x:v>173940</x:v>
      </x:c>
      <x:c r="E136" s="23" t="n">
        <x:v>173960</x:v>
      </x:c>
      <x:c r="F136" s="23" t="n">
        <x:v>169360</x:v>
      </x:c>
      <x:c r="G136" s="23" t="n">
        <x:v>170500</x:v>
      </x:c>
      <x:c r="H136" s="28" t="n">
        <x:v>-4680</x:v>
      </x:c>
      <x:c r="I136" s="24" t="n">
        <x:v>-0.02671537846786165</x:v>
      </x:c>
      <x:c r="J136" s="23" t="n">
        <x:f>ROUND(E136-F136,1)</x:f>
        <x:v>4600</x:v>
      </x:c>
      <x:c r="K136" s="22" t="str">
        <x:v>LC2610</x:v>
      </x:c>
    </x:row>
    <x:row r="137">
      <x:c r="A137" s="22" t="n">
        <x:v>13</x:v>
      </x:c>
      <x:c r="B137" s="22" t="str">
        <x:v>周三</x:v>
      </x:c>
      <x:c r="C137" s="22" t="str">
        <x:v>6月17日</x:v>
      </x:c>
      <x:c r="D137" s="23" t="n">
        <x:v>170460</x:v>
      </x:c>
      <x:c r="E137" s="23" t="n">
        <x:v>173560</x:v>
      </x:c>
      <x:c r="F137" s="23" t="n">
        <x:v>170380</x:v>
      </x:c>
      <x:c r="G137" s="23" t="n">
        <x:v>171640</x:v>
      </x:c>
      <x:c r="H137" s="28" t="n">
        <x:v>1140</x:v>
      </x:c>
      <x:c r="I137" s="24" t="n">
        <x:v>0.006686217008797568</x:v>
      </x:c>
      <x:c r="J137" s="23" t="n">
        <x:f>ROUND(E137-F137,1)</x:f>
        <x:v>3180</x:v>
      </x:c>
      <x:c r="K137" s="22" t="str">
        <x:v>LC2610</x:v>
      </x:c>
    </x:row>
    <x:row r="138">
      <x:c r="A138" s="22" t="n">
        <x:v>14</x:v>
      </x:c>
      <x:c r="B138" s="22" t="str">
        <x:v>周四</x:v>
      </x:c>
      <x:c r="C138" s="22" t="str">
        <x:v>6月18日</x:v>
      </x:c>
      <x:c r="D138" s="23" t="n">
        <x:v>171000</x:v>
      </x:c>
      <x:c r="E138" s="23" t="n">
        <x:v>172200</x:v>
      </x:c>
      <x:c r="F138" s="23" t="n">
        <x:v>160560</x:v>
      </x:c>
      <x:c r="G138" s="23" t="n">
        <x:v>161400</x:v>
      </x:c>
      <x:c r="H138" s="28" t="n">
        <x:v>-10240</x:v>
      </x:c>
      <x:c r="I138" s="24" t="n">
        <x:v>-0.0596597529713353</x:v>
      </x:c>
      <x:c r="J138" s="26" t="n">
        <x:f>ROUND(E138-F138,1)</x:f>
        <x:v>11640</x:v>
      </x:c>
      <x:c r="K138" s="22" t="str">
        <x:v>LC2610</x:v>
      </x:c>
    </x:row>
    <x:row r="139">
      <x:c r="A139" s="41" t="n">
        <x:v>15</x:v>
      </x:c>
      <x:c r="B139" s="41" t="str">
        <x:v>周一</x:v>
      </x:c>
      <x:c r="C139" s="41" t="str">
        <x:v>6月22日</x:v>
      </x:c>
      <x:c r="D139" s="42" t="n">
        <x:v>161000</x:v>
      </x:c>
      <x:c r="E139" s="42" t="n">
        <x:v>162000</x:v>
      </x:c>
      <x:c r="F139" s="42" t="n">
        <x:v>151640</x:v>
      </x:c>
      <x:c r="G139" s="42" t="n">
        <x:v>162000</x:v>
      </x:c>
      <x:c r="H139" s="28" t="n">
        <x:v>600</x:v>
      </x:c>
      <x:c r="I139" s="43" t="n">
        <x:v>0.0037174721189590088</x:v>
      </x:c>
      <x:c r="J139" s="26" t="n">
        <x:f>ROUND(E139-F139,1)</x:f>
        <x:v>10360</x:v>
      </x:c>
      <x:c r="K139" s="41" t="str">
        <x:v>LC2610</x:v>
      </x:c>
    </x:row>
    <x:row r="140">
      <x:c r="A140" s="22" t="n">
        <x:v>16</x:v>
      </x:c>
      <x:c r="B140" s="22" t="str">
        <x:v>周二</x:v>
      </x:c>
      <x:c r="C140" s="22" t="str">
        <x:v>6月23日</x:v>
      </x:c>
      <x:c r="D140" s="23" t="n">
        <x:v>159220</x:v>
      </x:c>
      <x:c r="E140" s="23" t="n">
        <x:v>159860</x:v>
      </x:c>
      <x:c r="F140" s="23" t="n">
        <x:v>154720</x:v>
      </x:c>
      <x:c r="G140" s="23" t="n">
        <x:v>157540</x:v>
      </x:c>
      <x:c r="H140" s="28" t="n">
        <x:v>-4460</x:v>
      </x:c>
      <x:c r="I140" s="24" t="n">
        <x:v>-0.027530864197530813</x:v>
      </x:c>
      <x:c r="J140" s="23" t="n">
        <x:f>ROUND(E140-F140,1)</x:f>
        <x:v>5140</x:v>
      </x:c>
      <x:c r="K140" s="22" t="str">
        <x:v>LC2610</x:v>
      </x:c>
    </x:row>
    <x:row r="141">
      <x:c r="A141" s="22" t="n">
        <x:v>17</x:v>
      </x:c>
      <x:c r="B141" s="22" t="str">
        <x:v>周三</x:v>
      </x:c>
      <x:c r="C141" s="22" t="str">
        <x:v>6月24日</x:v>
      </x:c>
      <x:c r="D141" s="23" t="n">
        <x:v>155420</x:v>
      </x:c>
      <x:c r="E141" s="23" t="n">
        <x:v>163880</x:v>
      </x:c>
      <x:c r="F141" s="23" t="n">
        <x:v>155360</x:v>
      </x:c>
      <x:c r="G141" s="23" t="n">
        <x:v>163420</x:v>
      </x:c>
      <x:c r="H141" s="28" t="n">
        <x:v>5880</x:v>
      </x:c>
      <x:c r="I141" s="24" t="n">
        <x:v>0.03732385425923579</x:v>
      </x:c>
      <x:c r="J141" s="26" t="n">
        <x:f>ROUND(E141-F141,1)</x:f>
        <x:v>8520</x:v>
      </x:c>
      <x:c r="K141" s="22" t="str">
        <x:v>LC2610</x:v>
      </x:c>
    </x:row>
    <x:row r="142">
      <x:c r="A142" s="22" t="n">
        <x:v>18</x:v>
      </x:c>
      <x:c r="B142" s="22" t="str">
        <x:v>周四</x:v>
      </x:c>
      <x:c r="C142" s="22" t="str">
        <x:v>6月25日</x:v>
      </x:c>
      <x:c r="D142" s="23" t="n">
        <x:v>161000</x:v>
      </x:c>
      <x:c r="E142" s="23" t="n">
        <x:v>161160</x:v>
      </x:c>
      <x:c r="F142" s="23" t="n">
        <x:v>150820</x:v>
      </x:c>
      <x:c r="G142" s="23" t="n">
        <x:v>151020</x:v>
      </x:c>
      <x:c r="H142" s="28" t="n">
        <x:v>-12400</x:v>
      </x:c>
      <x:c r="I142" s="24" t="n">
        <x:v>-0.07587810549504348</x:v>
      </x:c>
      <x:c r="J142" s="26" t="n">
        <x:f>ROUND(E142-F142,1)</x:f>
        <x:v>10340</x:v>
      </x:c>
      <x:c r="K142" s="22" t="str">
        <x:v>LC2610</x:v>
      </x:c>
    </x:row>
    <x:row r="143">
      <x:c r="A143" s="22" t="n">
        <x:v>19</x:v>
      </x:c>
      <x:c r="B143" s="22" t="str">
        <x:v>周五</x:v>
      </x:c>
      <x:c r="C143" s="22" t="str">
        <x:v>6月26日</x:v>
      </x:c>
      <x:c r="D143" s="23" t="n">
        <x:v>149500</x:v>
      </x:c>
      <x:c r="E143" s="23" t="n">
        <x:v>152800</x:v>
      </x:c>
      <x:c r="F143" s="23" t="n">
        <x:v>145360</x:v>
      </x:c>
      <x:c r="G143" s="23" t="n">
        <x:v>151140</x:v>
      </x:c>
      <x:c r="H143" s="23" t="n">
        <x:v>120</x:v>
      </x:c>
      <x:c r="I143" s="24" t="n">
        <x:v>0.0007945967421534306</x:v>
      </x:c>
      <x:c r="J143" s="26" t="n">
        <x:f>ROUND(E143-F143,1)</x:f>
        <x:v>7440</x:v>
      </x:c>
      <x:c r="K143" s="22" t="str">
        <x:v>LC2610</x:v>
      </x:c>
    </x:row>
    <x:row r="144">
      <x:c r="A144" s="22" t="n">
        <x:v>20</x:v>
      </x:c>
      <x:c r="B144" s="22" t="str">
        <x:v>周一</x:v>
      </x:c>
      <x:c r="C144" s="22" t="str">
        <x:v>6月29日</x:v>
      </x:c>
      <x:c r="D144" s="23" t="n">
        <x:v>148420</x:v>
      </x:c>
      <x:c r="E144" s="23" t="n">
        <x:v>154860</x:v>
      </x:c>
      <x:c r="F144" s="23" t="n">
        <x:v>146000</x:v>
      </x:c>
      <x:c r="G144" s="23" t="n">
        <x:v>154120</x:v>
      </x:c>
      <x:c r="H144" s="28" t="n">
        <x:v>2980</x:v>
      </x:c>
      <x:c r="I144" s="24" t="n">
        <x:v>0.01971681884345644</x:v>
      </x:c>
      <x:c r="J144" s="26" t="n">
        <x:f>ROUND(E144-F144,1)</x:f>
        <x:v>8860</x:v>
      </x:c>
      <x:c r="K144" s="22" t="str">
        <x:v>LC2610</x:v>
      </x:c>
    </x:row>
    <x:row r="145">
      <x:c r="A145" s="22" t="n">
        <x:v>21</x:v>
      </x:c>
      <x:c r="B145" s="22" t="str">
        <x:v>周二</x:v>
      </x:c>
      <x:c r="C145" s="22" t="str">
        <x:v>6月30日</x:v>
      </x:c>
      <x:c r="D145" s="23" t="n">
        <x:v>148480</x:v>
      </x:c>
      <x:c r="E145" s="23" t="n">
        <x:v>163800</x:v>
      </x:c>
      <x:c r="F145" s="23" t="n">
        <x:v>148480</x:v>
      </x:c>
      <x:c r="G145" s="23" t="n">
        <x:v>163080</x:v>
      </x:c>
      <x:c r="H145" s="28" t="n">
        <x:v>8960</x:v>
      </x:c>
      <x:c r="I145" s="24" t="n">
        <x:v>0.05813651699974054</x:v>
      </x:c>
      <x:c r="J145" s="26" t="n">
        <x:f>ROUND(E145-F145,1)</x:f>
        <x:v>15320</x:v>
      </x:c>
      <x:c r="K145" s="22" t="str">
        <x:v>LC2610</x:v>
      </x:c>
    </x:row>
    <x:row r="146">
      <x:c r="A146" s="31" t="str">
        <x:v>合计</x:v>
      </x:c>
      <x:c r="B146" s="30" t="n">
        <x:v>21</x:v>
      </x:c>
      <x:c r="C146" s="30"/>
      <x:c r="D146" s="30"/>
      <x:c r="E146" s="30"/>
      <x:c r="F146" s="30"/>
      <x:c r="G146" s="30"/>
      <x:c r="H146" s="30"/>
      <x:c r="I146" s="30"/>
      <x:c r="J146" s="32" t="n">
        <x:f>ROUND(SUM(J125:J145),1)</x:f>
        <x:v>152260</x:v>
      </x:c>
      <x:c r="K146" s="30"/>
    </x:row>
    <x:row r="147">
      <x:c r="A147" s="31" t="str">
        <x:v>均值</x:v>
      </x:c>
      <x:c r="B147" s="30"/>
      <x:c r="C147" s="30"/>
      <x:c r="D147" s="30"/>
      <x:c r="E147" s="30"/>
      <x:c r="F147" s="30"/>
      <x:c r="G147" s="30"/>
      <x:c r="H147" s="30"/>
      <x:c r="I147" s="30"/>
      <x:c r="J147" s="34" t="n">
        <x:f>ROUND(IFERROR(AVERAGE(J125:J145),0),1)</x:f>
        <x:v>7250.5</x:v>
      </x:c>
      <x:c r="K147" s="30"/>
    </x:row>
    <x:row r="149">
      <x:c r="A149" s="17" t="str">
        <x:v>7月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>
      <x:c r="A150" s="20" t="str">
        <x:v>序号</x:v>
      </x:c>
      <x:c r="B150" s="20" t="str">
        <x:v>星期</x:v>
      </x:c>
      <x:c r="C150" s="20" t="str">
        <x:v>日期</x:v>
      </x:c>
      <x:c r="D150" s="20" t="str">
        <x:v>开盘</x:v>
      </x:c>
      <x:c r="E150" s="20" t="str">
        <x:v>高点</x:v>
      </x:c>
      <x:c r="F150" s="20" t="str">
        <x:v>低点</x:v>
      </x:c>
      <x:c r="G150" s="20" t="str">
        <x:v>收盘</x:v>
      </x:c>
      <x:c r="H150" s="20" t="str">
        <x:v>涨跌点数</x:v>
      </x:c>
      <x:c r="I150" s="20" t="str">
        <x:v>涨幅</x:v>
      </x:c>
      <x:c r="J150" s="20" t="str">
        <x:v>振幅</x:v>
      </x:c>
      <x:c r="K150" s="20" t="str">
        <x:v>标的</x:v>
      </x:c>
    </x:row>
    <x:row r="151">
      <x:c r="A151" s="22" t="n">
        <x:v>1</x:v>
      </x:c>
      <x:c r="B151" s="22" t="str">
        <x:v>周三</x:v>
      </x:c>
      <x:c r="C151" s="22" t="str">
        <x:v>7月1日</x:v>
      </x:c>
      <x:c r="D151" s="23" t="n">
        <x:v>164780</x:v>
      </x:c>
      <x:c r="E151" s="23" t="n">
        <x:v>166200</x:v>
      </x:c>
      <x:c r="F151" s="23" t="n">
        <x:v>161800</x:v>
      </x:c>
      <x:c r="G151" s="23" t="n">
        <x:v>164540</x:v>
      </x:c>
      <x:c r="H151" s="28" t="n">
        <x:v>1460</x:v>
      </x:c>
      <x:c r="I151" s="24" t="n">
        <x:v>0.008952661270542173</x:v>
      </x:c>
      <x:c r="J151" s="23" t="n">
        <x:f>ROUND(E151-F151,1)</x:f>
        <x:v>4400</x:v>
      </x:c>
      <x:c r="K151" s="22" t="str">
        <x:v>LC2610</x:v>
      </x:c>
    </x:row>
    <x:row r="152">
      <x:c r="A152" s="22" t="n">
        <x:v>2</x:v>
      </x:c>
      <x:c r="B152" s="22" t="str">
        <x:v>周四</x:v>
      </x:c>
      <x:c r="C152" s="22" t="str">
        <x:v>7月2日</x:v>
      </x:c>
      <x:c r="D152" s="23" t="n">
        <x:v>165220</x:v>
      </x:c>
      <x:c r="E152" s="23" t="n">
        <x:v>167480</x:v>
      </x:c>
      <x:c r="F152" s="23" t="n">
        <x:v>162360</x:v>
      </x:c>
      <x:c r="G152" s="23" t="n">
        <x:v>164180</x:v>
      </x:c>
      <x:c r="H152" s="28" t="n">
        <x:v>-360</x:v>
      </x:c>
      <x:c r="I152" s="24" t="n">
        <x:v>-0.0021879178315302727</x:v>
      </x:c>
      <x:c r="J152" s="23" t="n">
        <x:f>ROUND(E152-F152,1)</x:f>
        <x:v>5120</x:v>
      </x:c>
      <x:c r="K152" s="22" t="str">
        <x:v>LC2610</x:v>
      </x:c>
    </x:row>
    <x:row r="153">
      <x:c r="A153" s="22" t="n">
        <x:v>3</x:v>
      </x:c>
      <x:c r="B153" s="22" t="str">
        <x:v>周五</x:v>
      </x:c>
      <x:c r="C153" s="22" t="str">
        <x:v>7月3日</x:v>
      </x:c>
      <x:c r="D153" s="23" t="n">
        <x:v>166380</x:v>
      </x:c>
      <x:c r="E153" s="23" t="n">
        <x:v>172120</x:v>
      </x:c>
      <x:c r="F153" s="23" t="n">
        <x:v>166380</x:v>
      </x:c>
      <x:c r="G153" s="23" t="n">
        <x:v>168600</x:v>
      </x:c>
      <x:c r="H153" s="28" t="n">
        <x:v>4420</x:v>
      </x:c>
      <x:c r="I153" s="24" t="n">
        <x:v>0.02692167133633827</x:v>
      </x:c>
      <x:c r="J153" s="23" t="n">
        <x:f>ROUND(E153-F153,1)</x:f>
        <x:v>5740</x:v>
      </x:c>
      <x:c r="K153" s="22" t="str">
        <x:v>LC2610</x:v>
      </x:c>
    </x:row>
    <x:row r="154">
      <x:c r="A154" s="22" t="n">
        <x:v>4</x:v>
      </x:c>
      <x:c r="B154" s="22" t="str">
        <x:v>周一</x:v>
      </x:c>
      <x:c r="C154" s="22" t="str">
        <x:v>7月6日</x:v>
      </x:c>
      <x:c r="D154" s="23" t="n">
        <x:v>174900</x:v>
      </x:c>
      <x:c r="E154" s="23" t="n">
        <x:v>174900</x:v>
      </x:c>
      <x:c r="F154" s="23" t="n">
        <x:v>164200</x:v>
      </x:c>
      <x:c r="G154" s="23" t="n">
        <x:v>165100</x:v>
      </x:c>
      <x:c r="H154" s="28" t="n">
        <x:v>-3500</x:v>
      </x:c>
      <x:c r="I154" s="24" t="n">
        <x:v>-0.020759193357058114</x:v>
      </x:c>
      <x:c r="J154" s="26" t="n">
        <x:f>ROUND(E154-F154,1)</x:f>
        <x:v>10700</x:v>
      </x:c>
      <x:c r="K154" s="22" t="str">
        <x:v>LC2610</x:v>
      </x:c>
    </x:row>
    <x:row r="155">
      <x:c r="A155" s="22" t="n">
        <x:v>5</x:v>
      </x:c>
      <x:c r="B155" s="22" t="str">
        <x:v>周二</x:v>
      </x:c>
      <x:c r="C155" s="22" t="str">
        <x:v>7月7日</x:v>
      </x:c>
      <x:c r="D155" s="23" t="n">
        <x:v>166280</x:v>
      </x:c>
      <x:c r="E155" s="23" t="n">
        <x:v>166280</x:v>
      </x:c>
      <x:c r="F155" s="23" t="n">
        <x:v>161300</x:v>
      </x:c>
      <x:c r="G155" s="23" t="n">
        <x:v>163560</x:v>
      </x:c>
      <x:c r="H155" s="28" t="n">
        <x:v>-1540</x:v>
      </x:c>
      <x:c r="I155" s="24" t="n">
        <x:v>-0.009327680193821908</x:v>
      </x:c>
      <x:c r="J155" s="23" t="n">
        <x:f>ROUND(E155-F155,1)</x:f>
        <x:v>4980</x:v>
      </x:c>
      <x:c r="K155" s="22" t="str">
        <x:v>LC2610</x:v>
      </x:c>
    </x:row>
    <x:row r="156">
      <x:c r="A156" s="22" t="n">
        <x:v>6</x:v>
      </x:c>
      <x:c r="B156" s="22" t="str">
        <x:v>周三</x:v>
      </x:c>
      <x:c r="C156" s="22" t="str">
        <x:v>7月8日</x:v>
      </x:c>
      <x:c r="D156" s="23" t="n">
        <x:v>164700</x:v>
      </x:c>
      <x:c r="E156" s="23" t="n">
        <x:v>164700</x:v>
      </x:c>
      <x:c r="F156" s="23" t="n">
        <x:v>159680</x:v>
      </x:c>
      <x:c r="G156" s="23" t="n">
        <x:v>159680</x:v>
      </x:c>
      <x:c r="H156" s="28" t="n">
        <x:v>-3880</x:v>
      </x:c>
      <x:c r="I156" s="24" t="n">
        <x:v>-0.0237221814624603</x:v>
      </x:c>
      <x:c r="J156" s="23" t="n">
        <x:f>ROUND(E156-F156,1)</x:f>
        <x:v>5020</x:v>
      </x:c>
      <x:c r="K156" s="22" t="str">
        <x:v>LC2610</x:v>
      </x:c>
    </x:row>
    <x:row r="157">
      <x:c r="A157" s="22" t="n">
        <x:v>7</x:v>
      </x:c>
      <x:c r="B157" s="22" t="str">
        <x:v>周四</x:v>
      </x:c>
      <x:c r="C157" s="22" t="str">
        <x:v>7月9日</x:v>
      </x:c>
      <x:c r="D157" s="23" t="n">
        <x:v>160540</x:v>
      </x:c>
      <x:c r="E157" s="23" t="n">
        <x:v>160540</x:v>
      </x:c>
      <x:c r="F157" s="23" t="n">
        <x:v>151600</x:v>
      </x:c>
      <x:c r="G157" s="23" t="n">
        <x:v>153140</x:v>
      </x:c>
      <x:c r="H157" s="28" t="n">
        <x:v>-6540</x:v>
      </x:c>
      <x:c r="I157" s="24" t="n">
        <x:v>-0.04095691382765532</x:v>
      </x:c>
      <x:c r="J157" s="26" t="n">
        <x:f>ROUND(E157-F157,1)</x:f>
        <x:v>8940</x:v>
      </x:c>
      <x:c r="K157" s="22" t="str">
        <x:v>LC2610</x:v>
      </x:c>
    </x:row>
    <x:row r="158">
      <x:c r="A158" s="22" t="n">
        <x:v>8</x:v>
      </x:c>
      <x:c r="B158" s="22" t="str">
        <x:v>周五</x:v>
      </x:c>
      <x:c r="C158" s="22" t="str">
        <x:v>7月10日</x:v>
      </x:c>
      <x:c r="D158" s="23" t="n">
        <x:v>153180</x:v>
      </x:c>
      <x:c r="E158" s="23" t="n">
        <x:v>153760</x:v>
      </x:c>
      <x:c r="F158" s="23" t="n">
        <x:v>150860</x:v>
      </x:c>
      <x:c r="G158" s="23" t="n">
        <x:v>151600</x:v>
      </x:c>
      <x:c r="H158" s="28" t="n">
        <x:v>-1540</x:v>
      </x:c>
      <x:c r="I158" s="24" t="n">
        <x:v>-0.010056157764137374</x:v>
      </x:c>
      <x:c r="J158" s="23" t="n">
        <x:f>ROUND(E158-F158,1)</x:f>
        <x:v>2900</x:v>
      </x:c>
      <x:c r="K158" s="22" t="str">
        <x:v>LC2610</x:v>
      </x:c>
    </x:row>
    <x:row r="159">
      <x:c r="A159" s="22" t="n">
        <x:v>9</x:v>
      </x:c>
      <x:c r="B159" s="22" t="str">
        <x:v>周一</x:v>
      </x:c>
      <x:c r="C159" s="22" t="str">
        <x:v>7月13日</x:v>
      </x:c>
      <x:c r="D159" s="23" t="n">
        <x:v>150300</x:v>
      </x:c>
      <x:c r="E159" s="23" t="n">
        <x:v>152960</x:v>
      </x:c>
      <x:c r="F159" s="23" t="n">
        <x:v>147960</x:v>
      </x:c>
      <x:c r="G159" s="23" t="n">
        <x:v>152000</x:v>
      </x:c>
      <x:c r="H159" s="28" t="n">
        <x:v>400</x:v>
      </x:c>
      <x:c r="I159" s="24" t="n">
        <x:v>0.0026385224274405594</x:v>
      </x:c>
      <x:c r="J159" s="23" t="n">
        <x:f>ROUND(E159-F159,1)</x:f>
        <x:v>5000</x:v>
      </x:c>
      <x:c r="K159" s="22" t="str">
        <x:v>LC2610</x:v>
      </x:c>
    </x:row>
    <x:row r="160">
      <x:c r="A160" s="22" t="n">
        <x:v>10</x:v>
      </x:c>
      <x:c r="B160" s="22" t="str">
        <x:v>周二</x:v>
      </x:c>
      <x:c r="C160" s="22" t="str">
        <x:v>7月14日</x:v>
      </x:c>
      <x:c r="D160" s="23" t="n">
        <x:v>152340</x:v>
      </x:c>
      <x:c r="E160" s="23" t="n">
        <x:v>153520</x:v>
      </x:c>
      <x:c r="F160" s="23" t="n">
        <x:v>150500</x:v>
      </x:c>
      <x:c r="G160" s="23" t="n">
        <x:v>152500</x:v>
      </x:c>
      <x:c r="H160" s="28" t="n">
        <x:v>500</x:v>
      </x:c>
      <x:c r="I160" s="24" t="n">
        <x:v>0.00328947368421062</x:v>
      </x:c>
      <x:c r="J160" s="23" t="n">
        <x:f>ROUND(E160-F160,1)</x:f>
        <x:v>3020</x:v>
      </x:c>
      <x:c r="K160" s="22" t="str">
        <x:v>LC2610</x:v>
      </x:c>
    </x:row>
    <x:row r="161">
      <x:c r="A161" s="22" t="n">
        <x:v>11</x:v>
      </x:c>
      <x:c r="B161" s="22" t="str">
        <x:v>周三</x:v>
      </x:c>
      <x:c r="C161" s="22" t="str">
        <x:v>7月15日</x:v>
      </x:c>
      <x:c r="D161" s="23" t="n">
        <x:v>154320</x:v>
      </x:c>
      <x:c r="E161" s="23" t="n">
        <x:v>155660</x:v>
      </x:c>
      <x:c r="F161" s="23" t="n">
        <x:v>147400</x:v>
      </x:c>
      <x:c r="G161" s="23" t="n">
        <x:v>148960</x:v>
      </x:c>
      <x:c r="H161" s="28" t="n">
        <x:v>-3540</x:v>
      </x:c>
      <x:c r="I161" s="24" t="n">
        <x:v>-0.023213114754098374</x:v>
      </x:c>
      <x:c r="J161" s="26" t="n">
        <x:f>ROUND(E161-F161,1)</x:f>
        <x:v>8260</x:v>
      </x:c>
      <x:c r="K161" s="22" t="str">
        <x:v>LC2610</x:v>
      </x:c>
    </x:row>
    <x:row r="162">
      <x:c r="A162" s="22" t="n">
        <x:v>12</x:v>
      </x:c>
      <x:c r="B162" s="22" t="str">
        <x:v>周四</x:v>
      </x:c>
      <x:c r="C162" s="22" t="str">
        <x:v>7月16日</x:v>
      </x:c>
      <x:c r="D162" s="23" t="n">
        <x:v>148220</x:v>
      </x:c>
      <x:c r="E162" s="23" t="n">
        <x:v>152540</x:v>
      </x:c>
      <x:c r="F162" s="23" t="n">
        <x:v>145460</x:v>
      </x:c>
      <x:c r="G162" s="23" t="n">
        <x:v>151080</x:v>
      </x:c>
      <x:c r="H162" s="28" t="n">
        <x:v>2120</x:v>
      </x:c>
      <x:c r="I162" s="24" t="n">
        <x:v>0.01423200859291085</x:v>
      </x:c>
      <x:c r="J162" s="26" t="n">
        <x:f>ROUND(E162-F162,1)</x:f>
        <x:v>7080</x:v>
      </x:c>
      <x:c r="K162" s="22" t="str">
        <x:v>LC2610</x:v>
      </x:c>
    </x:row>
    <x:row r="163">
      <x:c r="A163" s="41" t="n">
        <x:v>13</x:v>
      </x:c>
      <x:c r="B163" s="41" t="str">
        <x:v>周五</x:v>
      </x:c>
      <x:c r="C163" s="41" t="str">
        <x:v>7月17日</x:v>
      </x:c>
      <x:c r="D163" s="42" t="n">
        <x:v>153180</x:v>
      </x:c>
      <x:c r="E163" s="42" t="n">
        <x:v>154600</x:v>
      </x:c>
      <x:c r="F163" s="42" t="n">
        <x:v>148720</x:v>
      </x:c>
      <x:c r="G163" s="42" t="n">
        <x:v>149740</x:v>
      </x:c>
      <x:c r="H163" s="28" t="n">
        <x:v>-1340</x:v>
      </x:c>
      <x:c r="I163" s="43" t="n">
        <x:v>-0.008869473126820182</x:v>
      </x:c>
      <x:c r="J163" s="42" t="n">
        <x:f>ROUND(E163-F163,1)</x:f>
        <x:v>5880</x:v>
      </x:c>
      <x:c r="K163" s="41" t="str">
        <x:v>LC2610</x:v>
      </x:c>
    </x:row>
    <x:row r="164">
      <x:c r="A164" s="22" t="n">
        <x:v>14</x:v>
      </x:c>
      <x:c r="B164" s="22" t="str">
        <x:v>周一</x:v>
      </x:c>
      <x:c r="C164" s="22" t="str">
        <x:v>7月20日</x:v>
      </x:c>
      <x:c r="D164" s="23" t="n">
        <x:v>152520</x:v>
      </x:c>
      <x:c r="E164" s="23" t="n">
        <x:v>153880</x:v>
      </x:c>
      <x:c r="F164" s="23" t="n">
        <x:v>139000</x:v>
      </x:c>
      <x:c r="G164" s="23" t="n">
        <x:v>140980</x:v>
      </x:c>
      <x:c r="H164" s="28" t="n">
        <x:v>-8760</x:v>
      </x:c>
      <x:c r="I164" s="24" t="n">
        <x:v>-0.0585014024308802</x:v>
      </x:c>
      <x:c r="J164" s="26" t="n">
        <x:f>ROUND(E164-F164,1)</x:f>
        <x:v>14880</x:v>
      </x:c>
      <x:c r="K164" s="22" t="str">
        <x:v>LC2610</x:v>
      </x:c>
    </x:row>
    <x:row r="165">
      <x:c r="A165" s="22" t="n">
        <x:v>15</x:v>
      </x:c>
      <x:c r="B165" s="22" t="str">
        <x:v>周二</x:v>
      </x:c>
      <x:c r="C165" s="22" t="str">
        <x:v>7月21日</x:v>
      </x:c>
      <x:c r="D165" s="23" t="n">
        <x:v>140940</x:v>
      </x:c>
      <x:c r="E165" s="23" t="n">
        <x:v>141340</x:v>
      </x:c>
      <x:c r="F165" s="23" t="n">
        <x:v>135040</x:v>
      </x:c>
      <x:c r="G165" s="23" t="n">
        <x:v>140120</x:v>
      </x:c>
      <x:c r="H165" s="28" t="n">
        <x:v>-860</x:v>
      </x:c>
      <x:c r="I165" s="24" t="n">
        <x:v>-0.0061001560505036245</x:v>
      </x:c>
      <x:c r="J165" s="26" t="n">
        <x:f>ROUND(E165-F165,1)</x:f>
        <x:v>6300</x:v>
      </x:c>
      <x:c r="K165" s="22" t="str">
        <x:v>LC2610</x:v>
      </x:c>
    </x:row>
    <x:row r="166">
      <x:c r="A166" s="22" t="n">
        <x:v>16</x:v>
      </x:c>
      <x:c r="B166" s="22" t="str">
        <x:v>周三</x:v>
      </x:c>
      <x:c r="C166" s="22" t="str">
        <x:v>7月22日</x:v>
      </x:c>
      <x:c r="D166" s="23" t="n">
        <x:v>141340</x:v>
      </x:c>
      <x:c r="E166" s="23" t="n">
        <x:v>143120</x:v>
      </x:c>
      <x:c r="F166" s="23" t="n">
        <x:v>135460</x:v>
      </x:c>
      <x:c r="G166" s="23" t="n">
        <x:v>141580</x:v>
      </x:c>
      <x:c r="H166" s="28" t="n">
        <x:v>1460</x:v>
      </x:c>
      <x:c r="I166" s="24" t="n">
        <x:v>0.010419640308307221</x:v>
      </x:c>
      <x:c r="J166" s="26" t="n">
        <x:f>ROUND(E166-F166,1)</x:f>
        <x:v>7660</x:v>
      </x:c>
      <x:c r="K166" s="22" t="str">
        <x:v>LC2610</x:v>
      </x:c>
    </x:row>
    <x:row r="167">
      <x:c r="A167" s="22" t="n">
        <x:v>17</x:v>
      </x:c>
      <x:c r="B167" s="22" t="str">
        <x:v>周四</x:v>
      </x:c>
      <x:c r="C167" s="22" t="str">
        <x:v>7月23日</x:v>
      </x:c>
      <x:c r="D167" s="23" t="n">
        <x:v>141980</x:v>
      </x:c>
      <x:c r="E167" s="23" t="n">
        <x:v>146620</x:v>
      </x:c>
      <x:c r="F167" s="23" t="n">
        <x:v>140740</x:v>
      </x:c>
      <x:c r="G167" s="23" t="n">
        <x:v>142800</x:v>
      </x:c>
      <x:c r="H167" s="28" t="n">
        <x:v>1220</x:v>
      </x:c>
      <x:c r="I167" s="24" t="n">
        <x:v>0.008617036304562786</x:v>
      </x:c>
      <x:c r="J167" s="23" t="n">
        <x:f>ROUND(E167-F167,1)</x:f>
        <x:v>5880</x:v>
      </x:c>
      <x:c r="K167" s="22" t="str">
        <x:v>LC2610</x:v>
      </x:c>
    </x:row>
    <x:row r="168">
      <x:c r="A168" s="22" t="n">
        <x:v>18</x:v>
      </x:c>
      <x:c r="B168" s="22" t="str">
        <x:v>周五</x:v>
      </x:c>
      <x:c r="C168" s="22" t="str">
        <x:v>7月24日</x:v>
      </x:c>
      <x:c r="D168" s="23" t="n">
        <x:v>142360</x:v>
      </x:c>
      <x:c r="E168" s="23" t="n">
        <x:v>144000</x:v>
      </x:c>
      <x:c r="F168" s="23" t="n">
        <x:v>139760</x:v>
      </x:c>
      <x:c r="G168" s="23" t="n">
        <x:v>142920</x:v>
      </x:c>
      <x:c r="H168" s="23" t="n">
        <x:v>120</x:v>
      </x:c>
      <x:c r="I168" s="24" t="n">
        <x:v>0.0008403361344537785</x:v>
      </x:c>
      <x:c r="J168" s="23" t="n">
        <x:f>ROUND(E168-F168,1)</x:f>
        <x:v>4240</x:v>
      </x:c>
      <x:c r="K168" s="22" t="str">
        <x:v>LC2610</x:v>
      </x:c>
    </x:row>
    <x:row r="169">
      <x:c r="A169" s="22" t="n">
        <x:v>19</x:v>
      </x:c>
      <x:c r="B169" s="22" t="str">
        <x:v>周一</x:v>
      </x:c>
      <x:c r="C169" s="22" t="str">
        <x:v>7月27日</x:v>
      </x:c>
      <x:c r="D169" s="23" t="n">
        <x:v>144340</x:v>
      </x:c>
      <x:c r="E169" s="23" t="n">
        <x:v>146400</x:v>
      </x:c>
      <x:c r="F169" s="23" t="n">
        <x:v>142600</x:v>
      </x:c>
      <x:c r="G169" s="23" t="n">
        <x:v>145600</x:v>
      </x:c>
      <x:c r="H169" s="28" t="n">
        <x:v>2680</x:v>
      </x:c>
      <x:c r="I169" s="24" t="n">
        <x:v>0.01875174923033862</x:v>
      </x:c>
      <x:c r="J169" s="23" t="n">
        <x:f>ROUND(E169-F169,1)</x:f>
        <x:v>3800</x:v>
      </x:c>
      <x:c r="K169" s="22" t="str">
        <x:v>LC2610</x:v>
      </x:c>
    </x:row>
    <x:row r="170">
      <x:c r="A170" s="22" t="n">
        <x:v>20</x:v>
      </x:c>
      <x:c r="B170" s="22" t="str">
        <x:v>周二</x:v>
      </x:c>
      <x:c r="C170" s="22" t="str">
        <x:v>7月28日</x:v>
      </x:c>
      <x:c r="D170" s="23" t="n">
        <x:v>145320</x:v>
      </x:c>
      <x:c r="E170" s="23" t="n">
        <x:v>146400</x:v>
      </x:c>
      <x:c r="F170" s="23" t="n">
        <x:v>141280</x:v>
      </x:c>
      <x:c r="G170" s="23" t="n">
        <x:v>142500</x:v>
      </x:c>
      <x:c r="H170" s="28" t="n">
        <x:v>-3100</x:v>
      </x:c>
      <x:c r="I170" s="24" t="n">
        <x:v>-0.021291208791208827</x:v>
      </x:c>
      <x:c r="J170" s="23" t="n">
        <x:f>ROUND(E170-F170,1)</x:f>
        <x:v>5120</x:v>
      </x:c>
      <x:c r="K170" s="22" t="str">
        <x:v>LC2610</x:v>
      </x:c>
    </x:row>
    <x:row r="171">
      <x:c r="A171" s="22" t="n">
        <x:v>21</x:v>
      </x:c>
      <x:c r="B171" s="22" t="str">
        <x:v>周三</x:v>
      </x:c>
      <x:c r="C171" s="22" t="str">
        <x:v>7月29日</x:v>
      </x:c>
      <x:c r="D171" s="23" t="n">
        <x:v>142480</x:v>
      </x:c>
      <x:c r="E171" s="23" t="n">
        <x:v>148600</x:v>
      </x:c>
      <x:c r="F171" s="23" t="n">
        <x:v>141800</x:v>
      </x:c>
      <x:c r="G171" s="23" t="n">
        <x:v>147220</x:v>
      </x:c>
      <x:c r="H171" s="28" t="n">
        <x:v>4720</x:v>
      </x:c>
      <x:c r="I171" s="24" t="n">
        <x:v>0.033122807017543776</x:v>
      </x:c>
      <x:c r="J171" s="26" t="n">
        <x:f>ROUND(E171-F171,1)</x:f>
        <x:v>6800</x:v>
      </x:c>
      <x:c r="K171" s="22" t="str">
        <x:v>LC2610</x:v>
      </x:c>
    </x:row>
    <x:row r="172">
      <x:c r="A172" s="22" t="n">
        <x:v>22</x:v>
      </x:c>
      <x:c r="B172" s="22" t="str">
        <x:v>周四</x:v>
      </x:c>
      <x:c r="C172" s="22" t="str">
        <x:v>7月30日</x:v>
      </x:c>
      <x:c r="D172" s="23" t="n">
        <x:v>147720</x:v>
      </x:c>
      <x:c r="E172" s="23" t="n">
        <x:v>147720</x:v>
      </x:c>
      <x:c r="F172" s="23" t="n">
        <x:v>140480</x:v>
      </x:c>
      <x:c r="G172" s="23" t="n">
        <x:v>140480</x:v>
      </x:c>
      <x:c r="H172" s="28" t="n">
        <x:v>-6740</x:v>
      </x:c>
      <x:c r="I172" s="24" t="n">
        <x:v>-0.04578182312185841</x:v>
      </x:c>
      <x:c r="J172" s="26" t="n">
        <x:f>ROUND(E172-F172,1)</x:f>
        <x:v>7240</x:v>
      </x:c>
      <x:c r="K172" s="22" t="str">
        <x:v>LC2610</x:v>
      </x:c>
    </x:row>
    <x:row r="173">
      <x:c r="A173" s="22" t="n">
        <x:v>23</x:v>
      </x:c>
      <x:c r="B173" s="22" t="str">
        <x:v>周五</x:v>
      </x:c>
      <x:c r="C173" s="22" t="str">
        <x:v>7月31日</x:v>
      </x:c>
      <x:c r="D173" s="23" t="n">
        <x:v>143200</x:v>
      </x:c>
      <x:c r="E173" s="23" t="n">
        <x:v>143800</x:v>
      </x:c>
      <x:c r="F173" s="23" t="n">
        <x:v>137000</x:v>
      </x:c>
      <x:c r="G173" s="23" t="n">
        <x:v>137000</x:v>
      </x:c>
      <x:c r="H173" s="28" t="n">
        <x:v>-3480</x:v>
      </x:c>
      <x:c r="I173" s="24" t="n">
        <x:v>-0.024772209567198167</x:v>
      </x:c>
      <x:c r="J173" s="26" t="n">
        <x:f>ROUND(E173-F173,1)</x:f>
        <x:v>6800</x:v>
      </x:c>
      <x:c r="K173" s="22" t="str">
        <x:v>LC2610</x:v>
      </x:c>
    </x:row>
    <x:row r="174">
      <x:c r="A174" s="31" t="str">
        <x:v>合计</x:v>
      </x:c>
      <x:c r="B174" s="30" t="n">
        <x:v>23</x:v>
      </x:c>
      <x:c r="C174" s="30"/>
      <x:c r="D174" s="30"/>
      <x:c r="E174" s="30"/>
      <x:c r="F174" s="30"/>
      <x:c r="G174" s="30"/>
      <x:c r="H174" s="30"/>
      <x:c r="I174" s="30"/>
      <x:c r="J174" s="32" t="n">
        <x:f>ROUND(SUM(J151:J173),1)</x:f>
        <x:v>145760</x:v>
      </x:c>
      <x:c r="K174" s="30"/>
    </x:row>
    <x:row r="175">
      <x:c r="A175" s="31" t="str">
        <x:v>均值</x:v>
      </x:c>
      <x:c r="B175" s="30"/>
      <x:c r="C175" s="30"/>
      <x:c r="D175" s="30"/>
      <x:c r="E175" s="30"/>
      <x:c r="F175" s="30"/>
      <x:c r="G175" s="30"/>
      <x:c r="H175" s="30"/>
      <x:c r="I175" s="30"/>
      <x:c r="J175" s="34" t="n">
        <x:f>ROUND(IFERROR(AVERAGE(J151:J173),0),1)</x:f>
        <x:v>6337.4</x:v>
      </x:c>
      <x:c r="K175" s="30"/>
    </x:row>
    <x:row r="177">
      <x:c r="A177" s="17" t="str">
        <x:v>8月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>
      <x:c r="A178" s="20" t="str">
        <x:v>序号</x:v>
      </x:c>
      <x:c r="B178" s="20" t="str">
        <x:v>星期</x:v>
      </x:c>
      <x:c r="C178" s="20" t="str">
        <x:v>日期</x:v>
      </x:c>
      <x:c r="D178" s="20" t="str">
        <x:v>开盘</x:v>
      </x:c>
      <x:c r="E178" s="20" t="str">
        <x:v>高点</x:v>
      </x:c>
      <x:c r="F178" s="20" t="str">
        <x:v>低点</x:v>
      </x:c>
      <x:c r="G178" s="20" t="str">
        <x:v>收盘</x:v>
      </x:c>
      <x:c r="H178" s="20" t="str">
        <x:v>涨跌点数</x:v>
      </x:c>
      <x:c r="I178" s="20" t="str">
        <x:v>涨幅</x:v>
      </x:c>
      <x:c r="J178" s="20" t="str">
        <x:v>振幅</x:v>
      </x:c>
      <x:c r="K178" s="20" t="str">
        <x:v>标的</x:v>
      </x:c>
    </x:row>
    <x:row r="179">
      <x:c r="A179" s="22" t="n">
        <x:v>1</x:v>
      </x:c>
      <x:c r="B179" s="22" t="str">
        <x:v>周一</x:v>
      </x:c>
      <x:c r="C179" s="22" t="str">
        <x:v>8月3日</x:v>
      </x:c>
      <x:c r="D179" s="23" t="n">
        <x:v>137200</x:v>
      </x:c>
      <x:c r="E179" s="23" t="n">
        <x:v>140020</x:v>
      </x:c>
      <x:c r="F179" s="23" t="n">
        <x:v>135040</x:v>
      </x:c>
      <x:c r="G179" s="23" t="n">
        <x:v>138100</x:v>
      </x:c>
      <x:c r="H179" s="28" t="n">
        <x:v>1100</x:v>
      </x:c>
      <x:c r="I179" s="24" t="n">
        <x:v>0.008029197080291928</x:v>
      </x:c>
      <x:c r="J179" s="23" t="n">
        <x:f>ROUND(E179-F179,1)</x:f>
        <x:v>4980</x:v>
      </x:c>
      <x:c r="K179" s="22" t="str">
        <x:v>LC2610</x:v>
      </x:c>
    </x:row>
    <x:row r="180">
      <x:c r="A180" s="22" t="n">
        <x:v>2</x:v>
      </x:c>
      <x:c r="B180" s="22" t="str">
        <x:v>周二</x:v>
      </x:c>
      <x:c r="C180" s="22" t="str">
        <x:v>8月4日</x:v>
      </x:c>
      <x:c r="D180" s="23" t="n">
        <x:v>138080</x:v>
      </x:c>
      <x:c r="E180" s="23" t="n">
        <x:v>140800</x:v>
      </x:c>
      <x:c r="F180" s="23" t="n">
        <x:v>136740</x:v>
      </x:c>
      <x:c r="G180" s="23" t="n">
        <x:v>138940</x:v>
      </x:c>
      <x:c r="H180" s="28" t="n">
        <x:v>840</x:v>
      </x:c>
      <x:c r="I180" s="24" t="n">
        <x:v>0.006082548877624827</x:v>
      </x:c>
      <x:c r="J180" s="23" t="n">
        <x:f>ROUND(E180-F180,1)</x:f>
        <x:v>4060</x:v>
      </x:c>
      <x:c r="K180" s="22" t="str">
        <x:v>LC2610</x:v>
      </x:c>
    </x:row>
    <x:row r="181">
      <x:c r="A181" s="22" t="n">
        <x:v>3</x:v>
      </x:c>
      <x:c r="B181" s="22" t="str">
        <x:v>周三</x:v>
      </x:c>
      <x:c r="C181" s="22" t="str">
        <x:v>8月5日</x:v>
      </x:c>
      <x:c r="D181" s="23" t="n">
        <x:v>138940</x:v>
      </x:c>
      <x:c r="E181" s="23" t="n">
        <x:v>143600</x:v>
      </x:c>
      <x:c r="F181" s="23" t="n">
        <x:v>138100</x:v>
      </x:c>
      <x:c r="G181" s="23" t="n">
        <x:v>142940</x:v>
      </x:c>
      <x:c r="H181" s="28" t="n">
        <x:v>4000</x:v>
      </x:c>
      <x:c r="I181" s="24" t="n">
        <x:v>0.02878940549877651</x:v>
      </x:c>
      <x:c r="J181" s="23" t="n">
        <x:f>ROUND(E181-F181,1)</x:f>
        <x:v>5500</x:v>
      </x:c>
      <x:c r="K181" s="22" t="str">
        <x:v>LC2610</x:v>
      </x:c>
    </x:row>
    <x:row r="182">
      <x:c r="A182" s="22" t="n">
        <x:v>4</x:v>
      </x:c>
      <x:c r="B182" s="22" t="str">
        <x:v>周四</x:v>
      </x:c>
      <x:c r="C182" s="22" t="str">
        <x:v>8月6日</x:v>
      </x:c>
      <x:c r="D182" s="23" t="n">
        <x:v>142940</x:v>
      </x:c>
      <x:c r="E182" s="23" t="n">
        <x:v>143200</x:v>
      </x:c>
      <x:c r="F182" s="23" t="n">
        <x:v>138900</x:v>
      </x:c>
      <x:c r="G182" s="23" t="n">
        <x:v>140580</x:v>
      </x:c>
      <x:c r="H182" s="28" t="n">
        <x:v>-2360</x:v>
      </x:c>
      <x:c r="I182" s="24" t="n">
        <x:v>-0.016510423954106623</x:v>
      </x:c>
      <x:c r="J182" s="23" t="n">
        <x:f>ROUND(E182-F182,1)</x:f>
        <x:v>4300</x:v>
      </x:c>
      <x:c r="K182" s="22" t="str">
        <x:v>LC2610</x:v>
      </x:c>
    </x:row>
    <x:row r="183">
      <x:c r="A183" s="22" t="n">
        <x:v>5</x:v>
      </x:c>
      <x:c r="B183" s="22" t="str">
        <x:v>周五</x:v>
      </x:c>
      <x:c r="C183" s="22" t="str">
        <x:v>8月7日</x:v>
      </x:c>
      <x:c r="D183" s="23" t="n">
        <x:v>140600</x:v>
      </x:c>
      <x:c r="E183" s="23" t="n">
        <x:v>144100</x:v>
      </x:c>
      <x:c r="F183" s="23" t="n">
        <x:v>139020</x:v>
      </x:c>
      <x:c r="G183" s="23" t="n">
        <x:v>139320</x:v>
      </x:c>
      <x:c r="H183" s="28" t="n">
        <x:v>-1260</x:v>
      </x:c>
      <x:c r="I183" s="24" t="n">
        <x:v>-0.008962868117797673</x:v>
      </x:c>
      <x:c r="J183" s="23" t="n">
        <x:f>ROUND(E183-F183,1)</x:f>
        <x:v>5080</x:v>
      </x:c>
      <x:c r="K183" s="22" t="str">
        <x:v>LC2610</x:v>
      </x:c>
    </x:row>
    <x:row r="184">
      <x:c r="A184" s="22" t="n">
        <x:v>6</x:v>
      </x:c>
      <x:c r="B184" s="22" t="str">
        <x:v>周一</x:v>
      </x:c>
      <x:c r="C184" s="22" t="str">
        <x:v>8月10日</x:v>
      </x:c>
      <x:c r="D184" s="23" t="n">
        <x:v>139320</x:v>
      </x:c>
      <x:c r="E184" s="23" t="n">
        <x:v>145640</x:v>
      </x:c>
      <x:c r="F184" s="23" t="n">
        <x:v>139300</x:v>
      </x:c>
      <x:c r="G184" s="23" t="n">
        <x:v>145620</x:v>
      </x:c>
      <x:c r="H184" s="28" t="n">
        <x:v>6300</x:v>
      </x:c>
      <x:c r="I184" s="24" t="n">
        <x:v>0.04521963824289399</x:v>
      </x:c>
      <x:c r="J184" s="26" t="n">
        <x:f>ROUND(E184-F184,1)</x:f>
        <x:v>6340</x:v>
      </x:c>
      <x:c r="K184" s="22" t="str">
        <x:v>LC2610</x:v>
      </x:c>
    </x:row>
    <x:row r="185">
      <x:c r="A185" s="22" t="n">
        <x:v>7</x:v>
      </x:c>
      <x:c r="B185" s="22" t="str">
        <x:v>周二</x:v>
      </x:c>
      <x:c r="C185" s="22" t="str">
        <x:v>8月11日</x:v>
      </x:c>
      <x:c r="D185" s="23" t="n">
        <x:v>145980</x:v>
      </x:c>
      <x:c r="E185" s="23" t="n">
        <x:v>146120</x:v>
      </x:c>
      <x:c r="F185" s="23" t="n">
        <x:v>143500</x:v>
      </x:c>
      <x:c r="G185" s="23" t="n">
        <x:v>145440</x:v>
      </x:c>
      <x:c r="H185" s="28" t="n">
        <x:v>-180</x:v>
      </x:c>
      <x:c r="I185" s="24" t="n">
        <x:v>-0.0012360939431397266</x:v>
      </x:c>
      <x:c r="J185" s="23" t="n">
        <x:f>ROUND(E185-F185,1)</x:f>
        <x:v>2620</x:v>
      </x:c>
      <x:c r="K185" s="22" t="str">
        <x:v>LC2610</x:v>
      </x:c>
    </x:row>
    <x:row r="186">
      <x:c r="A186" s="22" t="n">
        <x:v>8</x:v>
      </x:c>
      <x:c r="B186" s="22" t="str">
        <x:v>周三</x:v>
      </x:c>
      <x:c r="C186" s="22" t="str">
        <x:v>8月12日</x:v>
      </x:c>
      <x:c r="D186" s="23" t="n">
        <x:v>144400</x:v>
      </x:c>
      <x:c r="E186" s="23" t="n">
        <x:v>150540</x:v>
      </x:c>
      <x:c r="F186" s="23" t="n">
        <x:v>144400</x:v>
      </x:c>
      <x:c r="G186" s="23" t="n">
        <x:v>149000</x:v>
      </x:c>
      <x:c r="H186" s="28" t="n">
        <x:v>3560</x:v>
      </x:c>
      <x:c r="I186" s="24" t="n">
        <x:v>0.02447744774477445</x:v>
      </x:c>
      <x:c r="J186" s="26" t="n">
        <x:f>ROUND(E186-F186,1)</x:f>
        <x:v>6140</x:v>
      </x:c>
      <x:c r="K186" s="22" t="str">
        <x:v>LC2610</x:v>
      </x:c>
    </x:row>
    <x:row r="187">
      <x:c r="A187" s="22" t="n">
        <x:v>9</x:v>
      </x:c>
      <x:c r="B187" s="22" t="str">
        <x:v>周四</x:v>
      </x:c>
      <x:c r="C187" s="22" t="str">
        <x:v>8月13日</x:v>
      </x:c>
      <x:c r="D187" s="23" t="n">
        <x:v>147100</x:v>
      </x:c>
      <x:c r="E187" s="23" t="n">
        <x:v>152140</x:v>
      </x:c>
      <x:c r="F187" s="23" t="n">
        <x:v>147000</x:v>
      </x:c>
      <x:c r="G187" s="23" t="n">
        <x:v>151340</x:v>
      </x:c>
      <x:c r="H187" s="28" t="n">
        <x:v>2340</x:v>
      </x:c>
      <x:c r="I187" s="24" t="n">
        <x:v>0.015704697986577143</x:v>
      </x:c>
      <x:c r="J187" s="23" t="n">
        <x:f>ROUND(E187-F187,1)</x:f>
        <x:v>5140</x:v>
      </x:c>
      <x:c r="K187" s="22" t="str">
        <x:v>LC2610</x:v>
      </x:c>
    </x:row>
    <x:row r="188">
      <x:c r="A188" s="22" t="n">
        <x:v>10</x:v>
      </x:c>
      <x:c r="B188" s="22" t="str">
        <x:v>周五</x:v>
      </x:c>
      <x:c r="C188" s="22" t="str">
        <x:v>8月14日</x:v>
      </x:c>
      <x:c r="D188" s="23" t="n">
        <x:v>150100</x:v>
      </x:c>
      <x:c r="E188" s="23" t="n">
        <x:v>154560</x:v>
      </x:c>
      <x:c r="F188" s="23" t="n">
        <x:v>150100</x:v>
      </x:c>
      <x:c r="G188" s="23" t="n">
        <x:v>153980</x:v>
      </x:c>
      <x:c r="H188" s="28" t="n">
        <x:v>2640</x:v>
      </x:c>
      <x:c r="I188" s="24" t="n">
        <x:v>0.01744416545526639</x:v>
      </x:c>
      <x:c r="J188" s="23" t="n">
        <x:f>ROUND(E188-F188,1)</x:f>
        <x:v>4460</x:v>
      </x:c>
      <x:c r="K188" s="22" t="str">
        <x:v>LC2610</x:v>
      </x:c>
    </x:row>
    <x:row r="189">
      <x:c r="A189" s="22" t="n">
        <x:v>11</x:v>
      </x:c>
      <x:c r="B189" s="22" t="str">
        <x:v>周一</x:v>
      </x:c>
      <x:c r="C189" s="22" t="str">
        <x:v>8月17日</x:v>
      </x:c>
      <x:c r="D189" s="23" t="n">
        <x:v>152940</x:v>
      </x:c>
      <x:c r="E189" s="23" t="n">
        <x:v>155480</x:v>
      </x:c>
      <x:c r="F189" s="23" t="n">
        <x:v>150500</x:v>
      </x:c>
      <x:c r="G189" s="23" t="n">
        <x:v>152340</x:v>
      </x:c>
      <x:c r="H189" s="28" t="n">
        <x:v>-1640</x:v>
      </x:c>
      <x:c r="I189" s="24" t="n">
        <x:v>-0.010650733861540473</x:v>
      </x:c>
      <x:c r="J189" s="23" t="n">
        <x:f>ROUND(E189-F189,1)</x:f>
        <x:v>4980</x:v>
      </x:c>
      <x:c r="K189" s="22" t="str">
        <x:v>LC2610</x:v>
      </x:c>
    </x:row>
    <x:row r="190">
      <x:c r="A190" s="22" t="n">
        <x:v>12</x:v>
      </x:c>
      <x:c r="B190" s="22" t="str">
        <x:v>周二</x:v>
      </x:c>
      <x:c r="C190" s="22" t="str">
        <x:v>8月18日</x:v>
      </x:c>
      <x:c r="D190" s="23" t="n">
        <x:v>152460</x:v>
      </x:c>
      <x:c r="E190" s="23" t="n">
        <x:v>156260</x:v>
      </x:c>
      <x:c r="F190" s="23" t="n">
        <x:v>151340</x:v>
      </x:c>
      <x:c r="G190" s="23" t="n">
        <x:v>153980</x:v>
      </x:c>
      <x:c r="H190" s="28" t="n">
        <x:v>1640</x:v>
      </x:c>
      <x:c r="I190" s="24" t="n">
        <x:v>0.010765393199422268</x:v>
      </x:c>
      <x:c r="J190" s="23" t="n">
        <x:f>ROUND(E190-F190,1)</x:f>
        <x:v>4920</x:v>
      </x:c>
      <x:c r="K190" s="22" t="str">
        <x:v>LC2610</x:v>
      </x:c>
    </x:row>
    <x:row r="191">
      <x:c r="A191" s="22" t="n">
        <x:v>13</x:v>
      </x:c>
      <x:c r="B191" s="22" t="str">
        <x:v>周三</x:v>
      </x:c>
      <x:c r="C191" s="22" t="str">
        <x:v>8月19日</x:v>
      </x:c>
      <x:c r="D191" s="23" t="n">
        <x:v>152640</x:v>
      </x:c>
      <x:c r="E191" s="23" t="n">
        <x:v>153280</x:v>
      </x:c>
      <x:c r="F191" s="23" t="n">
        <x:v>148700</x:v>
      </x:c>
      <x:c r="G191" s="23" t="n">
        <x:v>149740</x:v>
      </x:c>
      <x:c r="H191" s="28" t="n">
        <x:v>-4240</x:v>
      </x:c>
      <x:c r="I191" s="24" t="n">
        <x:v>-0.027536043642031438</x:v>
      </x:c>
      <x:c r="J191" s="23" t="n">
        <x:f>ROUND(E191-F191,1)</x:f>
        <x:v>4580</x:v>
      </x:c>
      <x:c r="K191" s="22" t="str">
        <x:v>LC2610</x:v>
      </x:c>
    </x:row>
    <x:row r="192">
      <x:c r="A192" s="22" t="n">
        <x:v>14</x:v>
      </x:c>
      <x:c r="B192" s="22" t="str">
        <x:v>周四</x:v>
      </x:c>
      <x:c r="C192" s="22" t="str">
        <x:v>8月20日</x:v>
      </x:c>
      <x:c r="D192" s="23" t="n">
        <x:v>151740</x:v>
      </x:c>
      <x:c r="E192" s="23" t="n">
        <x:v>152900</x:v>
      </x:c>
      <x:c r="F192" s="23" t="n">
        <x:v>149960</x:v>
      </x:c>
      <x:c r="G192" s="23" t="n">
        <x:v>151460</x:v>
      </x:c>
      <x:c r="H192" s="28" t="n">
        <x:v>1720</x:v>
      </x:c>
      <x:c r="I192" s="24" t="n">
        <x:v>0.011486576733003906</x:v>
      </x:c>
      <x:c r="J192" s="23" t="n">
        <x:f>ROUND(E192-F192,1)</x:f>
        <x:v>2940</x:v>
      </x:c>
      <x:c r="K192" s="22" t="str">
        <x:v>LC2610</x:v>
      </x:c>
    </x:row>
    <x:row r="193">
      <x:c r="A193" s="41" t="n">
        <x:v>15</x:v>
      </x:c>
      <x:c r="B193" s="41" t="str">
        <x:v>周五</x:v>
      </x:c>
      <x:c r="C193" s="41" t="str">
        <x:v>8月21日</x:v>
      </x:c>
      <x:c r="D193" s="42" t="n">
        <x:v>151120</x:v>
      </x:c>
      <x:c r="E193" s="42" t="n">
        <x:v>157400</x:v>
      </x:c>
      <x:c r="F193" s="42" t="n">
        <x:v>150260</x:v>
      </x:c>
      <x:c r="G193" s="42" t="n">
        <x:v>156380</x:v>
      </x:c>
      <x:c r="H193" s="28" t="n">
        <x:v>4920</x:v>
      </x:c>
      <x:c r="I193" s="43" t="n">
        <x:v>0.0324838241119767</x:v>
      </x:c>
      <x:c r="J193" s="26" t="n">
        <x:f>ROUND(E193-F193,1)</x:f>
        <x:v>7140</x:v>
      </x:c>
      <x:c r="K193" s="41" t="str">
        <x:v>LC2610</x:v>
      </x:c>
    </x:row>
    <x:row r="194">
      <x:c r="A194" s="22" t="n">
        <x:v>16</x:v>
      </x:c>
      <x:c r="B194" s="22" t="str">
        <x:v>周一</x:v>
      </x:c>
      <x:c r="C194" s="22" t="str">
        <x:v>8月24日</x:v>
      </x:c>
      <x:c r="D194" s="23" t="n">
        <x:v>158800</x:v>
      </x:c>
      <x:c r="E194" s="23" t="n">
        <x:v>160500</x:v>
      </x:c>
      <x:c r="F194" s="23" t="n">
        <x:v>154340</x:v>
      </x:c>
      <x:c r="G194" s="23" t="n">
        <x:v>157320</x:v>
      </x:c>
      <x:c r="H194" s="28" t="n">
        <x:v>940</x:v>
      </x:c>
      <x:c r="I194" s="24" t="n">
        <x:v>0.006010998848957616</x:v>
      </x:c>
      <x:c r="J194" s="26" t="n">
        <x:f>ROUND(E194-F194,1)</x:f>
        <x:v>6160</x:v>
      </x:c>
      <x:c r="K194" s="22" t="str">
        <x:v>LC2610</x:v>
      </x:c>
    </x:row>
    <x:row r="195">
      <x:c r="A195" s="22" t="n">
        <x:v>17</x:v>
      </x:c>
      <x:c r="B195" s="22" t="str">
        <x:v>周二</x:v>
      </x:c>
      <x:c r="C195" s="22" t="str">
        <x:v>8月25日</x:v>
      </x:c>
      <x:c r="D195" s="23" t="n">
        <x:v>157440</x:v>
      </x:c>
      <x:c r="E195" s="23" t="n">
        <x:v>158480</x:v>
      </x:c>
      <x:c r="F195" s="23" t="n">
        <x:v>149780</x:v>
      </x:c>
      <x:c r="G195" s="23" t="n">
        <x:v>149860</x:v>
      </x:c>
      <x:c r="H195" s="28" t="n">
        <x:v>-7460</x:v>
      </x:c>
      <x:c r="I195" s="24" t="n">
        <x:v>-0.04741927281973046</x:v>
      </x:c>
      <x:c r="J195" s="26" t="n">
        <x:f>ROUND(E195-F195,1)</x:f>
        <x:v>8700</x:v>
      </x:c>
      <x:c r="K195" s="22" t="str">
        <x:v>LC2610</x:v>
      </x:c>
    </x:row>
    <x:row r="196">
      <x:c r="A196" s="22" t="n">
        <x:v>18</x:v>
      </x:c>
      <x:c r="B196" s="22" t="str">
        <x:v>周三</x:v>
      </x:c>
      <x:c r="C196" s="22" t="str">
        <x:v>8月26日</x:v>
      </x:c>
      <x:c r="D196" s="23" t="n">
        <x:v>150500</x:v>
      </x:c>
      <x:c r="E196" s="23" t="n">
        <x:v>153860</x:v>
      </x:c>
      <x:c r="F196" s="23" t="n">
        <x:v>147600</x:v>
      </x:c>
      <x:c r="G196" s="23" t="n">
        <x:v>151000</x:v>
      </x:c>
      <x:c r="H196" s="28" t="n">
        <x:v>1140</x:v>
      </x:c>
      <x:c r="I196" s="24" t="n">
        <x:v>0.007607099959962671</x:v>
      </x:c>
      <x:c r="J196" s="26" t="n">
        <x:f>ROUND(E196-F196,1)</x:f>
        <x:v>6260</x:v>
      </x:c>
      <x:c r="K196" s="22" t="str">
        <x:v>LC2610</x:v>
      </x:c>
    </x:row>
    <x:row r="197">
      <x:c r="A197" s="22" t="n">
        <x:v>19</x:v>
      </x:c>
      <x:c r="B197" s="22" t="str">
        <x:v>周四</x:v>
      </x:c>
      <x:c r="C197" s="22" t="str">
        <x:v>8月27日</x:v>
      </x:c>
      <x:c r="D197" s="23" t="n">
        <x:v>151480</x:v>
      </x:c>
      <x:c r="E197" s="23" t="n">
        <x:v>153540</x:v>
      </x:c>
      <x:c r="F197" s="23" t="n">
        <x:v>149740</x:v>
      </x:c>
      <x:c r="G197" s="23" t="n">
        <x:v>150680</x:v>
      </x:c>
      <x:c r="H197" s="28" t="n">
        <x:v>-320</x:v>
      </x:c>
      <x:c r="I197" s="24" t="n">
        <x:v>-0.002119205298013238</x:v>
      </x:c>
      <x:c r="J197" s="23" t="n">
        <x:f>ROUND(E197-F197,1)</x:f>
        <x:v>3800</x:v>
      </x:c>
      <x:c r="K197" s="22" t="str">
        <x:v>LC2610</x:v>
      </x:c>
    </x:row>
    <x:row r="198">
      <x:c r="A198" s="22" t="n">
        <x:v>20</x:v>
      </x:c>
      <x:c r="B198" s="22" t="str">
        <x:v>周五</x:v>
      </x:c>
      <x:c r="C198" s="22" t="str">
        <x:v>8月28日</x:v>
      </x:c>
      <x:c r="D198" s="23" t="n">
        <x:v>151360</x:v>
      </x:c>
      <x:c r="E198" s="23" t="n">
        <x:v>157940</x:v>
      </x:c>
      <x:c r="F198" s="23" t="n">
        <x:v>151020</x:v>
      </x:c>
      <x:c r="G198" s="23" t="n">
        <x:v>157940</x:v>
      </x:c>
      <x:c r="H198" s="28" t="n">
        <x:v>7260</x:v>
      </x:c>
      <x:c r="I198" s="24" t="n">
        <x:v>0.04818157685160607</x:v>
      </x:c>
      <x:c r="J198" s="26" t="n">
        <x:f>ROUND(E198-F198,1)</x:f>
        <x:v>6920</x:v>
      </x:c>
      <x:c r="K198" s="22" t="str">
        <x:v>LC2610</x:v>
      </x:c>
    </x:row>
    <x:row r="199">
      <x:c r="A199" s="22" t="n">
        <x:v>21</x:v>
      </x:c>
      <x:c r="B199" s="22" t="str">
        <x:v>周一</x:v>
      </x:c>
      <x:c r="C199" s="22" t="str">
        <x:v>8月31日</x:v>
      </x:c>
      <x:c r="D199" s="23" t="n">
        <x:v>157500</x:v>
      </x:c>
      <x:c r="E199" s="23" t="n">
        <x:v>160360</x:v>
      </x:c>
      <x:c r="F199" s="23" t="n">
        <x:v>156700</x:v>
      </x:c>
      <x:c r="G199" s="23" t="n">
        <x:v>159280</x:v>
      </x:c>
      <x:c r="H199" s="28" t="n">
        <x:v>1340</x:v>
      </x:c>
      <x:c r="I199" s="24" t="n">
        <x:v>0.008484234519437805</x:v>
      </x:c>
      <x:c r="J199" s="23" t="n">
        <x:f>ROUND(E199-F199,1)</x:f>
        <x:v>3660</x:v>
      </x:c>
      <x:c r="K199" s="22" t="str">
        <x:v>LC2610</x:v>
      </x:c>
    </x:row>
    <x:row r="200">
      <x:c r="A200" s="31" t="str">
        <x:v>合计</x:v>
      </x:c>
      <x:c r="B200" s="30" t="n">
        <x:v>21</x:v>
      </x:c>
      <x:c r="C200" s="30"/>
      <x:c r="D200" s="30"/>
      <x:c r="E200" s="30"/>
      <x:c r="F200" s="30"/>
      <x:c r="G200" s="30"/>
      <x:c r="H200" s="30"/>
      <x:c r="I200" s="30"/>
      <x:c r="J200" s="32" t="n">
        <x:f>ROUND(SUM(J179:J199),1)</x:f>
        <x:v>108680</x:v>
      </x:c>
      <x:c r="K200" s="30"/>
    </x:row>
    <x:row r="201">
      <x:c r="A201" s="31" t="str">
        <x:v>均值</x:v>
      </x:c>
      <x:c r="B201" s="30"/>
      <x:c r="C201" s="30"/>
      <x:c r="D201" s="30"/>
      <x:c r="E201" s="30"/>
      <x:c r="F201" s="30"/>
      <x:c r="G201" s="30"/>
      <x:c r="H201" s="30"/>
      <x:c r="I201" s="30"/>
      <x:c r="J201" s="34" t="n">
        <x:f>ROUND(IFERROR(AVERAGE(J179:J199),0),1)</x:f>
        <x:v>5175.2</x:v>
      </x:c>
      <x:c r="K201" s="30"/>
    </x:row>
    <x:row r="203">
      <x:c r="A203" s="17" t="str">
        <x:v>9月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>
      <x:c r="A204" s="20" t="str">
        <x:v>序号</x:v>
      </x:c>
      <x:c r="B204" s="20" t="str">
        <x:v>星期</x:v>
      </x:c>
      <x:c r="C204" s="20" t="str">
        <x:v>日期</x:v>
      </x:c>
      <x:c r="D204" s="20" t="str">
        <x:v>开盘</x:v>
      </x:c>
      <x:c r="E204" s="20" t="str">
        <x:v>高点</x:v>
      </x:c>
      <x:c r="F204" s="20" t="str">
        <x:v>低点</x:v>
      </x:c>
      <x:c r="G204" s="20" t="str">
        <x:v>收盘</x:v>
      </x:c>
      <x:c r="H204" s="20" t="str">
        <x:v>涨跌点数</x:v>
      </x:c>
      <x:c r="I204" s="20" t="str">
        <x:v>涨幅</x:v>
      </x:c>
      <x:c r="J204" s="20" t="str">
        <x:v>振幅</x:v>
      </x:c>
      <x:c r="K204" s="20" t="str">
        <x:v>标的</x:v>
      </x:c>
    </x:row>
    <x:row r="205">
      <x:c r="A205" s="22" t="n">
        <x:v>1</x:v>
      </x:c>
      <x:c r="B205" s="22" t="str">
        <x:v>周二</x:v>
      </x:c>
      <x:c r="C205" s="22" t="str">
        <x:v>9月1日</x:v>
      </x:c>
      <x:c r="D205" s="23" t="n">
        <x:v>159280</x:v>
      </x:c>
      <x:c r="E205" s="23" t="n">
        <x:v>161280</x:v>
      </x:c>
      <x:c r="F205" s="23" t="n">
        <x:v>156100</x:v>
      </x:c>
      <x:c r="G205" s="23" t="n">
        <x:v>156920</x:v>
      </x:c>
      <x:c r="H205" s="28" t="n">
        <x:v>-2360</x:v>
      </x:c>
      <x:c r="I205" s="24" t="n">
        <x:v>-0.01481667503766948</x:v>
      </x:c>
      <x:c r="J205" s="23" t="n">
        <x:f>ROUND(E205-F205,1)</x:f>
        <x:v>5180</x:v>
      </x:c>
      <x:c r="K205" s="22" t="str">
        <x:v>LC2610</x:v>
      </x:c>
    </x:row>
    <x:row r="206">
      <x:c r="A206" s="22" t="n">
        <x:v>2</x:v>
      </x:c>
      <x:c r="B206" s="22" t="str">
        <x:v>周三</x:v>
      </x:c>
      <x:c r="C206" s="22" t="str">
        <x:v>9月2日</x:v>
      </x:c>
      <x:c r="D206" s="23" t="n">
        <x:v>156760</x:v>
      </x:c>
      <x:c r="E206" s="23" t="n">
        <x:v>156760</x:v>
      </x:c>
      <x:c r="F206" s="23" t="n">
        <x:v>152500</x:v>
      </x:c>
      <x:c r="G206" s="23" t="n">
        <x:v>153680</x:v>
      </x:c>
      <x:c r="H206" s="28" t="n">
        <x:v>-3240</x:v>
      </x:c>
      <x:c r="I206" s="24" t="n">
        <x:v>-0.020647463675758315</x:v>
      </x:c>
      <x:c r="J206" s="23" t="n">
        <x:f>ROUND(E206-F206,1)</x:f>
        <x:v>4260</x:v>
      </x:c>
      <x:c r="K206" s="22" t="str">
        <x:v>LC2610</x:v>
      </x:c>
    </x:row>
    <x:row r="207">
      <x:c r="A207" s="22" t="n">
        <x:v>3</x:v>
      </x:c>
      <x:c r="B207" s="22" t="str">
        <x:v>周四</x:v>
      </x:c>
      <x:c r="C207" s="22" t="str">
        <x:v>9月3日</x:v>
      </x:c>
      <x:c r="D207" s="23" t="n">
        <x:v>154200</x:v>
      </x:c>
      <x:c r="E207" s="23" t="n">
        <x:v>156640</x:v>
      </x:c>
      <x:c r="F207" s="23" t="n">
        <x:v>149080</x:v>
      </x:c>
      <x:c r="G207" s="23" t="n">
        <x:v>149080</x:v>
      </x:c>
      <x:c r="H207" s="28" t="n">
        <x:v>-4600</x:v>
      </x:c>
      <x:c r="I207" s="24" t="n">
        <x:v>-0.029932326913066132</x:v>
      </x:c>
      <x:c r="J207" s="26" t="n">
        <x:f>ROUND(E207-F207,1)</x:f>
        <x:v>7560</x:v>
      </x:c>
      <x:c r="K207" s="22" t="str">
        <x:v>LC2610</x:v>
      </x:c>
    </x:row>
    <x:row r="208">
      <x:c r="A208" s="22" t="n">
        <x:v>4</x:v>
      </x:c>
      <x:c r="B208" s="22" t="str">
        <x:v>周五</x:v>
      </x:c>
      <x:c r="C208" s="22" t="str">
        <x:v>9月4日</x:v>
      </x:c>
      <x:c r="D208" s="23" t="n">
        <x:v>150440</x:v>
      </x:c>
      <x:c r="E208" s="23" t="n">
        <x:v>151480</x:v>
      </x:c>
      <x:c r="F208" s="23" t="n">
        <x:v>140220</x:v>
      </x:c>
      <x:c r="G208" s="23" t="n">
        <x:v>142000</x:v>
      </x:c>
      <x:c r="H208" s="28" t="n">
        <x:v>-7080</x:v>
      </x:c>
      <x:c r="I208" s="24" t="n">
        <x:v>-0.047491279849745105</x:v>
      </x:c>
      <x:c r="J208" s="26" t="n">
        <x:f>ROUND(E208-F208,1)</x:f>
        <x:v>11260</x:v>
      </x:c>
      <x:c r="K208" s="22" t="str">
        <x:v>LC2610</x:v>
      </x:c>
    </x:row>
    <x:row r="209">
      <x:c r="A209" s="22" t="n">
        <x:v>5</x:v>
      </x:c>
      <x:c r="B209" s="22" t="str">
        <x:v>周一</x:v>
      </x:c>
      <x:c r="C209" s="22" t="str">
        <x:v>9月7日</x:v>
      </x:c>
      <x:c r="D209" s="23" t="n">
        <x:v>141000</x:v>
      </x:c>
      <x:c r="E209" s="23" t="n">
        <x:v>142860</x:v>
      </x:c>
      <x:c r="F209" s="23" t="n">
        <x:v>139760</x:v>
      </x:c>
      <x:c r="G209" s="23" t="n">
        <x:v>141140</x:v>
      </x:c>
      <x:c r="H209" s="28" t="n">
        <x:v>-860</x:v>
      </x:c>
      <x:c r="I209" s="24" t="n">
        <x:v>-0.006056338028168962</x:v>
      </x:c>
      <x:c r="J209" s="23" t="n">
        <x:f>ROUND(E209-F209,1)</x:f>
        <x:v>3100</x:v>
      </x:c>
      <x:c r="K209" s="22" t="str">
        <x:v>LC2610</x:v>
      </x:c>
    </x:row>
    <x:row r="210">
      <x:c r="A210" s="22" t="n">
        <x:v>6</x:v>
      </x:c>
      <x:c r="B210" s="22" t="str">
        <x:v>周二</x:v>
      </x:c>
      <x:c r="C210" s="22" t="str">
        <x:v>9月8日</x:v>
      </x:c>
      <x:c r="D210" s="23" t="n">
        <x:v>140960</x:v>
      </x:c>
      <x:c r="E210" s="23" t="n">
        <x:v>143540</x:v>
      </x:c>
      <x:c r="F210" s="23" t="n">
        <x:v>140960</x:v>
      </x:c>
      <x:c r="G210" s="23" t="n">
        <x:v>142640</x:v>
      </x:c>
      <x:c r="H210" s="28" t="n">
        <x:v>1500</x:v>
      </x:c>
      <x:c r="I210" s="24" t="n">
        <x:v>0.01062774550092116</x:v>
      </x:c>
      <x:c r="J210" s="23" t="n">
        <x:f>ROUND(E210-F210,1)</x:f>
        <x:v>2580</x:v>
      </x:c>
      <x:c r="K210" s="22" t="str">
        <x:v>LC2610</x:v>
      </x:c>
    </x:row>
    <x:row r="211">
      <x:c r="A211" s="22" t="n">
        <x:v>7</x:v>
      </x:c>
      <x:c r="B211" s="22" t="str">
        <x:v>周三</x:v>
      </x:c>
      <x:c r="C211" s="22" t="str">
        <x:v>9月9日</x:v>
      </x:c>
      <x:c r="D211" s="23" t="n">
        <x:v>142100</x:v>
      </x:c>
      <x:c r="E211" s="23" t="n">
        <x:v>143220</x:v>
      </x:c>
      <x:c r="F211" s="23" t="n">
        <x:v>139800</x:v>
      </x:c>
      <x:c r="G211" s="23" t="n">
        <x:v>141140</x:v>
      </x:c>
      <x:c r="H211" s="28" t="n">
        <x:v>-1500</x:v>
      </x:c>
      <x:c r="I211" s="24" t="n">
        <x:v>-0.010515984296130099</x:v>
      </x:c>
      <x:c r="J211" s="23" t="n">
        <x:f>ROUND(E211-F211,1)</x:f>
        <x:v>3420</x:v>
      </x:c>
      <x:c r="K211" s="22" t="str">
        <x:v>LC2610</x:v>
      </x:c>
    </x:row>
    <x:row r="212">
      <x:c r="A212" s="22" t="n">
        <x:v>8</x:v>
      </x:c>
      <x:c r="B212" s="22" t="str">
        <x:v>周四</x:v>
      </x:c>
      <x:c r="C212" s="22" t="str">
        <x:v>9月10日</x:v>
      </x:c>
      <x:c r="D212" s="23" t="n">
        <x:v>141340</x:v>
      </x:c>
      <x:c r="E212" s="23" t="n">
        <x:v>142880</x:v>
      </x:c>
      <x:c r="F212" s="23" t="n">
        <x:v>139020</x:v>
      </x:c>
      <x:c r="G212" s="23" t="n">
        <x:v>140960</x:v>
      </x:c>
      <x:c r="H212" s="28" t="n">
        <x:v>-180</x:v>
      </x:c>
      <x:c r="I212" s="24" t="n">
        <x:v>-0.0012753294601105525</x:v>
      </x:c>
      <x:c r="J212" s="23" t="n">
        <x:f>ROUND(E212-F212,1)</x:f>
        <x:v>3860</x:v>
      </x:c>
      <x:c r="K212" s="22" t="str">
        <x:v>LC2610</x:v>
      </x:c>
    </x:row>
    <x:row r="213">
      <x:c r="A213" s="22" t="n">
        <x:v>9</x:v>
      </x:c>
      <x:c r="B213" s="22" t="str">
        <x:v>周五</x:v>
      </x:c>
      <x:c r="C213" s="22" t="str">
        <x:v>9月11日</x:v>
      </x:c>
      <x:c r="D213" s="23" t="n">
        <x:v>140300</x:v>
      </x:c>
      <x:c r="E213" s="23" t="n">
        <x:v>140300</x:v>
      </x:c>
      <x:c r="F213" s="23" t="n">
        <x:v>127120</x:v>
      </x:c>
      <x:c r="G213" s="23" t="n">
        <x:v>134340</x:v>
      </x:c>
      <x:c r="H213" s="28" t="n">
        <x:v>-6620</x:v>
      </x:c>
      <x:c r="I213" s="24" t="n">
        <x:v>-0.04696367763904652</x:v>
      </x:c>
      <x:c r="J213" s="26" t="n">
        <x:f>ROUND(E213-F213,1)</x:f>
        <x:v>13180</x:v>
      </x:c>
      <x:c r="K213" s="22" t="str">
        <x:v>LC2610</x:v>
      </x:c>
    </x:row>
    <x:row r="214">
      <x:c r="A214" s="22" t="n">
        <x:v>10</x:v>
      </x:c>
      <x:c r="B214" s="22" t="str">
        <x:v>周一</x:v>
      </x:c>
      <x:c r="C214" s="22" t="str">
        <x:v>9月14日</x:v>
      </x:c>
      <x:c r="D214" s="23" t="n">
        <x:v>133600</x:v>
      </x:c>
      <x:c r="E214" s="23" t="n">
        <x:v>134840</x:v>
      </x:c>
      <x:c r="F214" s="23" t="n">
        <x:v>132020</x:v>
      </x:c>
      <x:c r="G214" s="23" t="n">
        <x:v>132580</x:v>
      </x:c>
      <x:c r="H214" s="28" t="n">
        <x:v>-1760</x:v>
      </x:c>
      <x:c r="I214" s="24" t="n">
        <x:v>-0.013101086794700012</x:v>
      </x:c>
      <x:c r="J214" s="23" t="n">
        <x:f>ROUND(E214-F214,1)</x:f>
        <x:v>2820</x:v>
      </x:c>
      <x:c r="K214" s="22" t="str">
        <x:v>LC2610</x:v>
      </x:c>
    </x:row>
    <x:row r="215">
      <x:c r="A215" s="22" t="n">
        <x:v>11</x:v>
      </x:c>
      <x:c r="B215" s="22" t="str">
        <x:v>周二</x:v>
      </x:c>
      <x:c r="C215" s="22" t="str">
        <x:v>9月15日</x:v>
      </x:c>
      <x:c r="D215" s="23" t="n">
        <x:v>133680</x:v>
      </x:c>
      <x:c r="E215" s="23" t="n">
        <x:v>133680</x:v>
      </x:c>
      <x:c r="F215" s="23" t="n">
        <x:v>128000</x:v>
      </x:c>
      <x:c r="G215" s="23" t="n">
        <x:v>130000</x:v>
      </x:c>
      <x:c r="H215" s="28" t="n">
        <x:v>-2580</x:v>
      </x:c>
      <x:c r="I215" s="24" t="n">
        <x:v>-0.019459948710212727</x:v>
      </x:c>
      <x:c r="J215" s="23" t="n">
        <x:f>ROUND(E215-F215,1)</x:f>
        <x:v>5680</x:v>
      </x:c>
      <x:c r="K215" s="22" t="str">
        <x:v>LC2610</x:v>
      </x:c>
    </x:row>
    <x:row r="216">
      <x:c r="A216" s="22" t="n">
        <x:v>12</x:v>
      </x:c>
      <x:c r="B216" s="22" t="str">
        <x:v>周三</x:v>
      </x:c>
      <x:c r="C216" s="22" t="str">
        <x:v>9月16日</x:v>
      </x:c>
      <x:c r="D216" s="23" t="n">
        <x:v>128500</x:v>
      </x:c>
      <x:c r="E216" s="23" t="n">
        <x:v>130660</x:v>
      </x:c>
      <x:c r="F216" s="23" t="n">
        <x:v>126200</x:v>
      </x:c>
      <x:c r="G216" s="23" t="n">
        <x:v>127460</x:v>
      </x:c>
      <x:c r="H216" s="28" t="n">
        <x:v>-2540</x:v>
      </x:c>
      <x:c r="I216" s="24" t="n">
        <x:v>-0.019538461538461505</x:v>
      </x:c>
      <x:c r="J216" s="23" t="n">
        <x:f>ROUND(E216-F216,1)</x:f>
        <x:v>4460</x:v>
      </x:c>
      <x:c r="K216" s="22" t="str">
        <x:v>LC2610</x:v>
      </x:c>
    </x:row>
    <x:row r="217">
      <x:c r="A217" s="22" t="n">
        <x:v>13</x:v>
      </x:c>
      <x:c r="B217" s="22" t="str">
        <x:v>周四</x:v>
      </x:c>
      <x:c r="C217" s="22" t="str">
        <x:v>9月17日</x:v>
      </x:c>
      <x:c r="D217" s="23" t="n">
        <x:v>129900</x:v>
      </x:c>
      <x:c r="E217" s="23" t="n">
        <x:v>133760</x:v>
      </x:c>
      <x:c r="F217" s="23" t="n">
        <x:v>127900</x:v>
      </x:c>
      <x:c r="G217" s="23" t="n">
        <x:v>132280</x:v>
      </x:c>
      <x:c r="H217" s="28" t="n">
        <x:v>4820</x:v>
      </x:c>
      <x:c r="I217" s="24" t="n">
        <x:v>0.03781578534442187</x:v>
      </x:c>
      <x:c r="J217" s="23" t="n">
        <x:f>ROUND(E217-F217,1)</x:f>
        <x:v>5860</x:v>
      </x:c>
      <x:c r="K217" s="22" t="str">
        <x:v>LC2610</x:v>
      </x:c>
    </x:row>
    <x:row r="218">
      <x:c r="A218" s="41" t="n">
        <x:v>14</x:v>
      </x:c>
      <x:c r="B218" s="41" t="str">
        <x:v>周五</x:v>
      </x:c>
      <x:c r="C218" s="41" t="str">
        <x:v>9月18日</x:v>
      </x:c>
      <x:c r="D218" s="42" t="n">
        <x:v>135900</x:v>
      </x:c>
      <x:c r="E218" s="42" t="n">
        <x:v>135900</x:v>
      </x:c>
      <x:c r="F218" s="42" t="n">
        <x:v>126940</x:v>
      </x:c>
      <x:c r="G218" s="42" t="n">
        <x:v>128580</x:v>
      </x:c>
      <x:c r="H218" s="28" t="n">
        <x:v>-3700</x:v>
      </x:c>
      <x:c r="I218" s="43" t="n">
        <x:v>-0.02797097066827936</x:v>
      </x:c>
      <x:c r="J218" s="26" t="n">
        <x:f>ROUND(E218-F218,1)</x:f>
        <x:v>8960</x:v>
      </x:c>
      <x:c r="K218" s="41" t="str">
        <x:v>LC2610</x:v>
      </x:c>
    </x:row>
    <x:row r="219">
      <x:c r="A219" s="22" t="n">
        <x:v>15</x:v>
      </x:c>
      <x:c r="B219" s="22" t="str">
        <x:v>周一</x:v>
      </x:c>
      <x:c r="C219" s="22" t="str">
        <x:v>9月21日</x:v>
      </x:c>
      <x:c r="D219" s="23" t="n">
        <x:v>128500</x:v>
      </x:c>
      <x:c r="E219" s="23" t="n">
        <x:v>134800</x:v>
      </x:c>
      <x:c r="F219" s="23" t="n">
        <x:v>127100</x:v>
      </x:c>
      <x:c r="G219" s="23" t="n">
        <x:v>133500</x:v>
      </x:c>
      <x:c r="H219" s="28" t="n">
        <x:v>4920</x:v>
      </x:c>
      <x:c r="I219" s="24" t="n">
        <x:v>0.038264115725618275</x:v>
      </x:c>
      <x:c r="J219" s="26" t="n">
        <x:f>ROUND(E219-F219,1)</x:f>
        <x:v>7700</x:v>
      </x:c>
      <x:c r="K219" s="22" t="str">
        <x:v>LC2610</x:v>
      </x:c>
    </x:row>
    <x:row r="220">
      <x:c r="A220" s="22" t="n">
        <x:v>16</x:v>
      </x:c>
      <x:c r="B220" s="22" t="str">
        <x:v>周二</x:v>
      </x:c>
      <x:c r="C220" s="22" t="str">
        <x:v>9月22日</x:v>
      </x:c>
      <x:c r="D220" s="23" t="n">
        <x:v>133040</x:v>
      </x:c>
      <x:c r="E220" s="23" t="n">
        <x:v>136560</x:v>
      </x:c>
      <x:c r="F220" s="23" t="n">
        <x:v>131400</x:v>
      </x:c>
      <x:c r="G220" s="23" t="n">
        <x:v>135480</x:v>
      </x:c>
      <x:c r="H220" s="28" t="n">
        <x:v>1980</x:v>
      </x:c>
      <x:c r="I220" s="24" t="n">
        <x:v>0.014831460674157304</x:v>
      </x:c>
      <x:c r="J220" s="23" t="n">
        <x:f>ROUND(E220-F220,1)</x:f>
        <x:v>5160</x:v>
      </x:c>
      <x:c r="K220" s="22" t="str">
        <x:v>LC2610</x:v>
      </x:c>
    </x:row>
    <x:row r="221">
      <x:c r="A221" s="22" t="n">
        <x:v>17</x:v>
      </x:c>
      <x:c r="B221" s="22" t="str">
        <x:v>周三</x:v>
      </x:c>
      <x:c r="C221" s="22" t="str">
        <x:v>9月23日</x:v>
      </x:c>
      <x:c r="D221" s="23" t="n">
        <x:v>136000</x:v>
      </x:c>
      <x:c r="E221" s="23" t="n">
        <x:v>136000</x:v>
      </x:c>
      <x:c r="F221" s="23" t="n">
        <x:v>129360</x:v>
      </x:c>
      <x:c r="G221" s="23" t="n">
        <x:v>129840</x:v>
      </x:c>
      <x:c r="H221" s="28" t="n">
        <x:v>-5640</x:v>
      </x:c>
      <x:c r="I221" s="24" t="n">
        <x:v>-0.041629760850310005</x:v>
      </x:c>
      <x:c r="J221" s="26" t="n">
        <x:f>ROUND(E221-F221,1)</x:f>
        <x:v>6640</x:v>
      </x:c>
      <x:c r="K221" s="22" t="str">
        <x:v>LC2610</x:v>
      </x:c>
    </x:row>
    <x:row r="222">
      <x:c r="A222" s="22" t="n">
        <x:v>18</x:v>
      </x:c>
      <x:c r="B222" s="22" t="str">
        <x:v>周四</x:v>
      </x:c>
      <x:c r="C222" s="22" t="str">
        <x:v>9月24日</x:v>
      </x:c>
      <x:c r="D222" s="23" t="n">
        <x:v>131640</x:v>
      </x:c>
      <x:c r="E222" s="23" t="n">
        <x:v>131640</x:v>
      </x:c>
      <x:c r="F222" s="23" t="n">
        <x:v>125000</x:v>
      </x:c>
      <x:c r="G222" s="23" t="n">
        <x:v>125980</x:v>
      </x:c>
      <x:c r="H222" s="28" t="n">
        <x:v>-3860</x:v>
      </x:c>
      <x:c r="I222" s="24" t="n">
        <x:v>-0.029728897104128182</x:v>
      </x:c>
      <x:c r="J222" s="26" t="n">
        <x:f>ROUND(E222-F222,1)</x:f>
        <x:v>6640</x:v>
      </x:c>
      <x:c r="K222" s="22" t="str">
        <x:v>LC2610</x:v>
      </x:c>
    </x:row>
    <x:row r="223">
      <x:c r="A223" s="22" t="n">
        <x:v>19</x:v>
      </x:c>
      <x:c r="B223" s="22" t="str">
        <x:v>周一</x:v>
      </x:c>
      <x:c r="C223" s="22" t="str">
        <x:v>9月28日</x:v>
      </x:c>
      <x:c r="D223" s="23" t="n">
        <x:v>124280</x:v>
      </x:c>
      <x:c r="E223" s="23" t="n">
        <x:v>124660</x:v>
      </x:c>
      <x:c r="F223" s="23" t="n">
        <x:v>119520</x:v>
      </x:c>
      <x:c r="G223" s="23" t="n">
        <x:v>119980</x:v>
      </x:c>
      <x:c r="H223" s="28" t="n">
        <x:v>-6000</x:v>
      </x:c>
      <x:c r="I223" s="24" t="n">
        <x:v>-0.04762660739799973</x:v>
      </x:c>
      <x:c r="J223" s="23" t="n">
        <x:f>ROUND(E223-F223,1)</x:f>
        <x:v>5140</x:v>
      </x:c>
      <x:c r="K223" s="22" t="str">
        <x:v>LC2610</x:v>
      </x:c>
    </x:row>
    <x:row r="224">
      <x:c r="A224" s="22" t="n">
        <x:v>20</x:v>
      </x:c>
      <x:c r="B224" s="22" t="str">
        <x:v>周二</x:v>
      </x:c>
      <x:c r="C224" s="22" t="str">
        <x:v>9月29日</x:v>
      </x:c>
      <x:c r="D224" s="23" t="n">
        <x:v>119080</x:v>
      </x:c>
      <x:c r="E224" s="23" t="n">
        <x:v>122480</x:v>
      </x:c>
      <x:c r="F224" s="23" t="n">
        <x:v>118100</x:v>
      </x:c>
      <x:c r="G224" s="23" t="n">
        <x:v>120000</x:v>
      </x:c>
      <x:c r="H224" s="23" t="n">
        <x:v>20</x:v>
      </x:c>
      <x:c r="I224" s="24" t="n">
        <x:v>0.00016669444907480013</x:v>
      </x:c>
      <x:c r="J224" s="23" t="n">
        <x:f>ROUND(E224-F224,1)</x:f>
        <x:v>4380</x:v>
      </x:c>
      <x:c r="K224" s="22" t="str">
        <x:v>LC2610</x:v>
      </x:c>
    </x:row>
    <x:row r="225">
      <x:c r="A225" s="22" t="n">
        <x:v>21</x:v>
      </x:c>
      <x:c r="B225" s="22" t="str">
        <x:v>周三</x:v>
      </x:c>
      <x:c r="C225" s="22" t="str">
        <x:v>9月30日</x:v>
      </x:c>
      <x:c r="D225" s="23" t="n">
        <x:v>120060</x:v>
      </x:c>
      <x:c r="E225" s="23" t="n">
        <x:v>121220</x:v>
      </x:c>
      <x:c r="F225" s="23" t="n">
        <x:v>119100</x:v>
      </x:c>
      <x:c r="G225" s="23" t="n">
        <x:v>119780</x:v>
      </x:c>
      <x:c r="H225" s="28" t="n">
        <x:v>-220</x:v>
      </x:c>
      <x:c r="I225" s="24" t="n">
        <x:v>-0.0018333333333333535</x:v>
      </x:c>
      <x:c r="J225" s="23" t="n">
        <x:f>ROUND(E225-F225,1)</x:f>
        <x:v>2120</x:v>
      </x:c>
      <x:c r="K225" s="22" t="str">
        <x:v>LC2610</x:v>
      </x:c>
    </x:row>
    <x:row r="226">
      <x:c r="A226" s="31" t="str">
        <x:v>合计</x:v>
      </x:c>
      <x:c r="B226" s="30" t="n">
        <x:v>21</x:v>
      </x:c>
      <x:c r="C226" s="30"/>
      <x:c r="D226" s="30"/>
      <x:c r="E226" s="30"/>
      <x:c r="F226" s="30"/>
      <x:c r="G226" s="30"/>
      <x:c r="H226" s="30"/>
      <x:c r="I226" s="30"/>
      <x:c r="J226" s="32" t="n">
        <x:f>ROUND(SUM(J205:J225),1)</x:f>
        <x:v>119960</x:v>
      </x:c>
      <x:c r="K226" s="30"/>
    </x:row>
    <x:row r="227">
      <x:c r="A227" s="31" t="str">
        <x:v>均值</x:v>
      </x:c>
      <x:c r="B227" s="30"/>
      <x:c r="C227" s="30"/>
      <x:c r="D227" s="30"/>
      <x:c r="E227" s="30"/>
      <x:c r="F227" s="30"/>
      <x:c r="G227" s="30"/>
      <x:c r="H227" s="30"/>
      <x:c r="I227" s="30"/>
      <x:c r="J227" s="34" t="n">
        <x:f>ROUND(IFERROR(AVERAGE(J205:J225),0),1)</x:f>
        <x:v>5712.4</x:v>
      </x:c>
      <x:c r="K227" s="30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涨跌点数</x:v>
      </x:c>
      <x:c r="I230" s="20" t="str">
        <x:v>涨幅</x:v>
      </x:c>
      <x:c r="J230" s="20" t="str">
        <x:v>振幅</x:v>
      </x:c>
      <x:c r="K230" s="20" t="str">
        <x:v>标的</x:v>
      </x:c>
    </x:row>
    <x:row r="231">
      <x:c r="A231" s="22" t="n">
        <x:v>1</x:v>
      </x:c>
      <x:c r="B231" s="22" t="str">
        <x:v>周四</x:v>
      </x:c>
      <x:c r="C231" s="22" t="str">
        <x:v>10月8日</x:v>
      </x:c>
      <x:c r="D231" s="23" t="n">
        <x:v>120020</x:v>
      </x:c>
      <x:c r="E231" s="23" t="n">
        <x:v>126800</x:v>
      </x:c>
      <x:c r="F231" s="23" t="n">
        <x:v>120000</x:v>
      </x:c>
      <x:c r="G231" s="23" t="n">
        <x:v>120000</x:v>
      </x:c>
      <x:c r="H231" s="28" t="n">
        <x:v>220</x:v>
      </x:c>
      <x:c r="I231" s="24" t="n">
        <x:v>0.0018367006177992806</x:v>
      </x:c>
      <x:c r="J231" s="26" t="n">
        <x:f>ROUND(E231-F231,1)</x:f>
        <x:v>6800</x:v>
      </x:c>
      <x:c r="K231" s="22" t="str">
        <x:v>LC2610</x:v>
      </x:c>
    </x:row>
    <x:row r="232">
      <x:c r="A232" s="22" t="n">
        <x:v>2</x:v>
      </x:c>
      <x:c r="B232" s="22" t="str">
        <x:v>周五</x:v>
      </x:c>
      <x:c r="C232" s="22" t="str">
        <x:v>10月9日</x:v>
      </x:c>
      <x:c r="D232" s="23" t="n">
        <x:v>122300</x:v>
      </x:c>
      <x:c r="E232" s="23" t="n">
        <x:v>123200</x:v>
      </x:c>
      <x:c r="F232" s="23" t="n">
        <x:v>119000</x:v>
      </x:c>
      <x:c r="G232" s="23" t="n">
        <x:v>121000</x:v>
      </x:c>
      <x:c r="H232" s="28" t="n">
        <x:v>1000</x:v>
      </x:c>
      <x:c r="I232" s="24" t="n">
        <x:v>0.008333333333333304</x:v>
      </x:c>
      <x:c r="J232" s="23" t="n">
        <x:f>ROUND(E232-F232,1)</x:f>
        <x:v>4200</x:v>
      </x:c>
      <x:c r="K232" s="22" t="str">
        <x:v>LC2610</x:v>
      </x:c>
    </x:row>
    <x:row r="233">
      <x:c r="A233" s="22" t="n">
        <x:v>3</x:v>
      </x:c>
      <x:c r="B233" s="22" t="str">
        <x:v>周一</x:v>
      </x:c>
      <x:c r="C233" s="22" t="str">
        <x:v>10月12日</x:v>
      </x:c>
      <x:c r="D233" s="23" t="n">
        <x:v>125960</x:v>
      </x:c>
      <x:c r="E233" s="23" t="n">
        <x:v>125960</x:v>
      </x:c>
      <x:c r="F233" s="23" t="n">
        <x:v>107100</x:v>
      </x:c>
      <x:c r="G233" s="23" t="n">
        <x:v>107100</x:v>
      </x:c>
      <x:c r="H233" s="28" t="n">
        <x:v>-13900</x:v>
      </x:c>
      <x:c r="I233" s="24" t="n">
        <x:v>-0.11487603305785121</x:v>
      </x:c>
      <x:c r="J233" s="26" t="n">
        <x:f>ROUND(E233-F233,1)</x:f>
        <x:v>18860</x:v>
      </x:c>
      <x:c r="K233" s="22" t="str">
        <x:v>LC2610</x:v>
      </x:c>
    </x:row>
    <x:row r="234">
      <x:c r="A234" s="22" t="n">
        <x:v>4</x:v>
      </x:c>
      <x:c r="B234" s="22" t="str">
        <x:v>周二</x:v>
      </x:c>
      <x:c r="C234" s="22" t="str">
        <x:v>10月13日</x:v>
      </x:c>
      <x:c r="D234" s="23" t="n">
        <x:v>101000</x:v>
      </x:c>
      <x:c r="E234" s="23" t="n">
        <x:v>111320</x:v>
      </x:c>
      <x:c r="F234" s="23" t="n">
        <x:v>101000</x:v>
      </x:c>
      <x:c r="G234" s="23" t="n">
        <x:v>109500</x:v>
      </x:c>
      <x:c r="H234" s="28" t="n">
        <x:v>2400</x:v>
      </x:c>
      <x:c r="I234" s="24" t="n">
        <x:v>0.022408963585434094</x:v>
      </x:c>
      <x:c r="J234" s="26" t="n">
        <x:f>ROUND(E234-F234,1)</x:f>
        <x:v>10320</x:v>
      </x:c>
      <x:c r="K234" s="22" t="str">
        <x:v>LC2610</x:v>
      </x:c>
    </x:row>
    <x:row r="235">
      <x:c r="A235" s="22" t="n">
        <x:v>5</x:v>
      </x:c>
      <x:c r="B235" s="22" t="str">
        <x:v>周三</x:v>
      </x:c>
      <x:c r="C235" s="22" t="str">
        <x:v>10月14日</x:v>
      </x:c>
      <x:c r="D235" s="23" t="n">
        <x:v>108380</x:v>
      </x:c>
      <x:c r="E235" s="23" t="n">
        <x:v>108380</x:v>
      </x:c>
      <x:c r="F235" s="23" t="n">
        <x:v>103000</x:v>
      </x:c>
      <x:c r="G235" s="23" t="n">
        <x:v>103000</x:v>
      </x:c>
      <x:c r="H235" s="28" t="n">
        <x:v>-6500</x:v>
      </x:c>
      <x:c r="I235" s="24" t="n">
        <x:v>-0.05936073059360736</x:v>
      </x:c>
      <x:c r="J235" s="23" t="n">
        <x:f>ROUND(E235-F235,1)</x:f>
        <x:v>5380</x:v>
      </x:c>
      <x:c r="K235" s="22" t="str">
        <x:v>LC2610</x:v>
      </x:c>
    </x:row>
    <x:row r="236">
      <x:c r="A236" s="22" t="n">
        <x:v>6</x:v>
      </x:c>
      <x:c r="B236" s="22" t="str">
        <x:v>周四</x:v>
      </x:c>
      <x:c r="C236" s="22" t="str">
        <x:v>10月15日</x:v>
      </x:c>
      <x:c r="D236" s="23" t="n">
        <x:v>103000</x:v>
      </x:c>
      <x:c r="E236" s="23" t="n">
        <x:v>103400</x:v>
      </x:c>
      <x:c r="F236" s="23" t="n">
        <x:v>102000</x:v>
      </x:c>
      <x:c r="G236" s="23" t="n">
        <x:v>102000</x:v>
      </x:c>
      <x:c r="H236" s="28" t="n">
        <x:v>-1000</x:v>
      </x:c>
      <x:c r="I236" s="24" t="n">
        <x:v>-0.009708737864077666</x:v>
      </x:c>
      <x:c r="J236" s="23" t="n">
        <x:f>ROUND(E236-F236,1)</x:f>
        <x:v>1400</x:v>
      </x:c>
      <x:c r="K236" s="22" t="str">
        <x:v>LC2610</x:v>
      </x:c>
    </x:row>
    <x:row r="237">
      <x:c r="A237" s="31" t="str">
        <x:v>合计</x:v>
      </x:c>
      <x:c r="B237" s="30" t="n">
        <x:v>6</x:v>
      </x:c>
      <x:c r="C237" s="30"/>
      <x:c r="D237" s="30"/>
      <x:c r="E237" s="30"/>
      <x:c r="F237" s="30"/>
      <x:c r="G237" s="30"/>
      <x:c r="H237" s="30"/>
      <x:c r="I237" s="30"/>
      <x:c r="J237" s="32" t="n">
        <x:f>ROUND(SUM(J231:J236),1)</x:f>
        <x:v>46960</x:v>
      </x:c>
      <x:c r="K237" s="30"/>
    </x:row>
    <x:row r="238">
      <x:c r="A238" s="31" t="str">
        <x:v>均值</x:v>
      </x:c>
      <x:c r="B238" s="30"/>
      <x:c r="C238" s="30"/>
      <x:c r="D238" s="30"/>
      <x:c r="E238" s="30"/>
      <x:c r="F238" s="30"/>
      <x:c r="G238" s="30"/>
      <x:c r="H238" s="30"/>
      <x:c r="I238" s="30"/>
      <x:c r="J238" s="34" t="n">
        <x:f>ROUND(IFERROR(AVERAGE(J231:J236),0),1)</x:f>
        <x:v>7826.7</x:v>
      </x:c>
      <x:c r="K238" s="30"/>
    </x:row>
  </x:sheetData>
  <x:mergeCells>
    <x:mergeCell ref="A1:K1"/>
    <x:mergeCell ref="A3:K3"/>
    <x:mergeCell ref="A28:K28"/>
    <x:mergeCell ref="A47:K47"/>
    <x:mergeCell ref="A74:K74"/>
    <x:mergeCell ref="A100:K100"/>
    <x:mergeCell ref="A123:K123"/>
    <x:mergeCell ref="A149:K149"/>
    <x:mergeCell ref="A177:K177"/>
    <x:mergeCell ref="A203:K203"/>
    <x:mergeCell ref="A229:K229"/>
  </x:mergeCells>
  <x:pageMargins left="0.7" right="0.7" top="0.75" bottom="0.75" header="0.3" footer="0.3"/>
</x:worksheet>
</file>