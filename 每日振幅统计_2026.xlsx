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e7cd085c6648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c146aa2837c48de"/>
    <x:sheet xmlns:r="http://schemas.openxmlformats.org/officeDocument/2006/relationships" name="周振幅统计" sheetId="2" r:id="R655309c7f15c4c92"/>
    <x:sheet xmlns:r="http://schemas.openxmlformats.org/officeDocument/2006/relationships" name="中证1000" sheetId="3" r:id="R82ff50203bfe4751"/>
    <x:sheet xmlns:r="http://schemas.openxmlformats.org/officeDocument/2006/relationships" name="中证500" sheetId="4" r:id="R36918f4ef7ff4187"/>
    <x:sheet xmlns:r="http://schemas.openxmlformats.org/officeDocument/2006/relationships" name="上证指数" sheetId="5" r:id="R0146e8df9de34af1"/>
    <x:sheet xmlns:r="http://schemas.openxmlformats.org/officeDocument/2006/relationships" name="IM主力" sheetId="6" r:id="R78173cd279dc4075"/>
    <x:sheet xmlns:r="http://schemas.openxmlformats.org/officeDocument/2006/relationships" name="IC主力" sheetId="7" r:id="R33c61cf938fa4f54"/>
    <x:sheet xmlns:r="http://schemas.openxmlformats.org/officeDocument/2006/relationships" name="IF主力" sheetId="8" r:id="R7ef5fa3e39fd4d06"/>
    <x:sheet xmlns:r="http://schemas.openxmlformats.org/officeDocument/2006/relationships" name="IH主力" sheetId="9" r:id="R29c7d0be423b4711"/>
    <x:sheet xmlns:r="http://schemas.openxmlformats.org/officeDocument/2006/relationships" name="碳酸锂2609" sheetId="10" r:id="R45ad24853f2046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3499bc8f84518" /><Relationship Type="http://schemas.openxmlformats.org/officeDocument/2006/relationships/theme" Target="/xl/theme/theme1.xml" Id="Ra0886742870f42f2" /><Relationship Type="http://schemas.openxmlformats.org/officeDocument/2006/relationships/sharedStrings" Target="/xl/sharedStrings.xml" Id="Rd4a4db99015a483f" /><Relationship Type="http://schemas.openxmlformats.org/officeDocument/2006/relationships/worksheet" Target="/xl/worksheets/sheet1.xml" Id="R4c146aa2837c48de" /><Relationship Type="http://schemas.openxmlformats.org/officeDocument/2006/relationships/worksheet" Target="/xl/worksheets/sheet2.xml" Id="R655309c7f15c4c92" /><Relationship Type="http://schemas.openxmlformats.org/officeDocument/2006/relationships/worksheet" Target="/xl/worksheets/sheet3.xml" Id="R82ff50203bfe4751" /><Relationship Type="http://schemas.openxmlformats.org/officeDocument/2006/relationships/worksheet" Target="/xl/worksheets/sheet4.xml" Id="R36918f4ef7ff4187" /><Relationship Type="http://schemas.openxmlformats.org/officeDocument/2006/relationships/worksheet" Target="/xl/worksheets/sheet5.xml" Id="R0146e8df9de34af1" /><Relationship Type="http://schemas.openxmlformats.org/officeDocument/2006/relationships/worksheet" Target="/xl/worksheets/sheet6.xml" Id="R78173cd279dc4075" /><Relationship Type="http://schemas.openxmlformats.org/officeDocument/2006/relationships/worksheet" Target="/xl/worksheets/sheet7.xml" Id="R33c61cf938fa4f54" /><Relationship Type="http://schemas.openxmlformats.org/officeDocument/2006/relationships/worksheet" Target="/xl/worksheets/sheet8.xml" Id="R7ef5fa3e39fd4d06" /><Relationship Type="http://schemas.openxmlformats.org/officeDocument/2006/relationships/worksheet" Target="/xl/worksheets/sheet9.xml" Id="R29c7d0be423b4711" /><Relationship Type="http://schemas.openxmlformats.org/officeDocument/2006/relationships/worksheet" Target="/xl/worksheets/sheet10.xml" Id="R45ad24853f2046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2026-09-03</x:v>
      </x:c>
      <x:c r="C4" s="10" t="n">
        <x:v>7657.75</x:v>
      </x:c>
      <x:c r="D4" s="10" t="n">
        <x:v>7531.67</x:v>
      </x:c>
      <x:c r="E4" s="12" t="n">
        <x:v>126.1</x:v>
      </x:c>
      <x:c r="F4" s="9" t="n">
        <x:v>163</x:v>
      </x:c>
      <x:c r="G4" s="10" t="n">
        <x:v>29048.2</x:v>
      </x:c>
      <x:c r="H4" s="10" t="n">
        <x:v>178.2</x:v>
      </x:c>
      <x:c r="I4" s="10" t="n">
        <x:v>180</x:v>
      </x:c>
    </x:row>
    <x:row r="5">
      <x:c r="A5" s="9" t="str">
        <x:v>中证500</x:v>
      </x:c>
      <x:c r="B5" s="9" t="str">
        <x:v>2026-09-03</x:v>
      </x:c>
      <x:c r="C5" s="10" t="n">
        <x:v>7799.63</x:v>
      </x:c>
      <x:c r="D5" s="10" t="n">
        <x:v>7686.44</x:v>
      </x:c>
      <x:c r="E5" s="12" t="n">
        <x:v>113.2</x:v>
      </x:c>
      <x:c r="F5" s="9" t="n">
        <x:v>163</x:v>
      </x:c>
      <x:c r="G5" s="10" t="n">
        <x:v>29090.5</x:v>
      </x:c>
      <x:c r="H5" s="10" t="n">
        <x:v>178.5</x:v>
      </x:c>
      <x:c r="I5" s="10" t="n">
        <x:v>160</x:v>
      </x:c>
    </x:row>
    <x:row r="6">
      <x:c r="A6" s="9" t="str">
        <x:v>上证指数</x:v>
      </x:c>
      <x:c r="B6" s="9" t="str">
        <x:v>2026-09-03</x:v>
      </x:c>
      <x:c r="C6" s="10" t="n">
        <x:v>3968.11</x:v>
      </x:c>
      <x:c r="D6" s="10" t="n">
        <x:v>3930.45</x:v>
      </x:c>
      <x:c r="E6" s="12" t="n">
        <x:v>37.7</x:v>
      </x:c>
      <x:c r="F6" s="9" t="n">
        <x:v>163</x:v>
      </x:c>
      <x:c r="G6" s="10" t="n">
        <x:v>7971.1</x:v>
      </x:c>
      <x:c r="H6" s="10" t="n">
        <x:v>48.9</x:v>
      </x:c>
      <x:c r="I6" s="10" t="n">
        <x:v>50</x:v>
      </x:c>
    </x:row>
    <x:row r="7">
      <x:c r="A7" s="9" t="str">
        <x:v>IM主力</x:v>
      </x:c>
      <x:c r="B7" s="9" t="str">
        <x:v>2026-09-03</x:v>
      </x:c>
      <x:c r="C7" s="10" t="n">
        <x:v>7618.6</x:v>
      </x:c>
      <x:c r="D7" s="10" t="n">
        <x:v>7476</x:v>
      </x:c>
      <x:c r="E7" s="12" t="n">
        <x:v>142.6</x:v>
      </x:c>
      <x:c r="F7" s="9" t="n">
        <x:v>163</x:v>
      </x:c>
      <x:c r="G7" s="10" t="n">
        <x:v>30817.8</x:v>
      </x:c>
      <x:c r="H7" s="10" t="n">
        <x:v>189.1</x:v>
      </x:c>
      <x:c r="I7" s="10" t="n">
        <x:v>190</x:v>
      </x:c>
    </x:row>
    <x:row r="8">
      <x:c r="A8" s="9" t="str">
        <x:v>IC主力</x:v>
      </x:c>
      <x:c r="B8" s="9" t="str">
        <x:v>2026-09-03</x:v>
      </x:c>
      <x:c r="C8" s="10" t="n">
        <x:v>7752.8</x:v>
      </x:c>
      <x:c r="D8" s="10" t="n">
        <x:v>7601.6</x:v>
      </x:c>
      <x:c r="E8" s="12" t="n">
        <x:v>151.2</x:v>
      </x:c>
      <x:c r="F8" s="9" t="n">
        <x:v>163</x:v>
      </x:c>
      <x:c r="G8" s="10" t="n">
        <x:v>32160.4</x:v>
      </x:c>
      <x:c r="H8" s="10" t="n">
        <x:v>197.3</x:v>
      </x:c>
      <x:c r="I8" s="10" t="n">
        <x:v>150</x:v>
      </x:c>
    </x:row>
    <x:row r="9">
      <x:c r="A9" s="9" t="str">
        <x:v>IF主力</x:v>
      </x:c>
      <x:c r="B9" s="9" t="str">
        <x:v>2026-09-03</x:v>
      </x:c>
      <x:c r="C9" s="10" t="n">
        <x:v>4561.2</x:v>
      </x:c>
      <x:c r="D9" s="10" t="n">
        <x:v>4510.4</x:v>
      </x:c>
      <x:c r="E9" s="12" t="n">
        <x:v>50.8</x:v>
      </x:c>
      <x:c r="F9" s="9" t="n">
        <x:v>163</x:v>
      </x:c>
      <x:c r="G9" s="10" t="n">
        <x:v>12048.6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2026-09-03</x:v>
      </x:c>
      <x:c r="C10" s="10" t="n">
        <x:v>2922.8</x:v>
      </x:c>
      <x:c r="D10" s="10" t="n">
        <x:v>2893.6</x:v>
      </x:c>
      <x:c r="E10" s="12" t="n">
        <x:v>29.2</x:v>
      </x:c>
      <x:c r="F10" s="9" t="n">
        <x:v>163</x:v>
      </x:c>
      <x:c r="G10" s="10" t="n">
        <x:v>6664.6</x:v>
      </x:c>
      <x:c r="H10" s="10" t="n">
        <x:v>40.9</x:v>
      </x:c>
      <x:c r="I10" s="10" t="n">
        <x:v>60</x:v>
      </x:c>
    </x:row>
    <x:row r="11">
      <x:c r="A11" s="9" t="str">
        <x:v>碳酸锂2609</x:v>
      </x:c>
      <x:c r="B11" s="9" t="str">
        <x:v>2026-09-03</x:v>
      </x:c>
      <x:c r="C11" s="10" t="n">
        <x:v>155600</x:v>
      </x:c>
      <x:c r="D11" s="10" t="n">
        <x:v>148880</x:v>
      </x:c>
      <x:c r="E11" s="12" t="n">
        <x:v>6720</x:v>
      </x:c>
      <x:c r="F11" s="9" t="n">
        <x:v>163</x:v>
      </x:c>
      <x:c r="G11" s="10" t="n">
        <x:v>1376520</x:v>
      </x:c>
      <x:c r="H11" s="10" t="n">
        <x:v>8444.9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8月31日-9月3日</x:v>
      </x:c>
      <x:c r="C38" s="23" t="n">
        <x:v>7607.23</x:v>
      </x:c>
      <x:c r="D38" s="23" t="n">
        <x:v>7773.06</x:v>
      </x:c>
      <x:c r="E38" s="23" t="n">
        <x:v>7531.67</x:v>
      </x:c>
      <x:c r="F38" s="23" t="n">
        <x:v>7600.1</x:v>
      </x:c>
      <x:c r="G38" s="23" t="n">
        <x:f>ROUND(F38-F37,1)</x:f>
        <x:v>-104.9</x:v>
      </x:c>
      <x:c r="H38" s="24" t="n">
        <x:f>IFERROR(F38/F37-1,"")</x:f>
        <x:v>-0.013618376566995716</x:v>
      </x:c>
      <x:c r="I38" s="26" t="n">
        <x:f>ROUND(D38-E38,1)</x:f>
        <x:v>241.4</x:v>
      </x:c>
      <x:c r="J38" s="22" t="str">
        <x:v>中证1000</x:v>
      </x:c>
      <x:c r="K38" s="22" t="n">
        <x:v>4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14189.5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417.3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8月31日-9月3日</x:v>
      </x:c>
      <x:c r="C77" s="23" t="n">
        <x:v>7797.23</x:v>
      </x:c>
      <x:c r="D77" s="23" t="n">
        <x:v>7955.57</x:v>
      </x:c>
      <x:c r="E77" s="23" t="n">
        <x:v>7686.44</x:v>
      </x:c>
      <x:c r="F77" s="23" t="n">
        <x:v>7755.36</x:v>
      </x:c>
      <x:c r="G77" s="23" t="n">
        <x:f>ROUND(F77-F76,1)</x:f>
        <x:v>-140.1</x:v>
      </x:c>
      <x:c r="H77" s="24" t="n">
        <x:f>IFERROR(F77/F76-1,"")</x:f>
        <x:v>-0.017743130537208107</x:v>
      </x:c>
      <x:c r="I77" s="26" t="n">
        <x:f>ROUND(D77-E77,1)</x:f>
        <x:v>269.1</x:v>
      </x:c>
      <x:c r="J77" s="22" t="str">
        <x:v>中证500</x:v>
      </x:c>
      <x:c r="K77" s="22" t="n">
        <x:v>4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14263.1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419.5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8月31日-9月3日</x:v>
      </x:c>
      <x:c r="C116" s="23" t="n">
        <x:v>3926.53</x:v>
      </x:c>
      <x:c r="D116" s="23" t="n">
        <x:v>3995.18</x:v>
      </x:c>
      <x:c r="E116" s="23" t="n">
        <x:v>3926.5</x:v>
      </x:c>
      <x:c r="F116" s="23" t="n">
        <x:v>3942.09</x:v>
      </x:c>
      <x:c r="G116" s="23" t="n">
        <x:f>ROUND(F116-F115,1)</x:f>
        <x:v>-10.1</x:v>
      </x:c>
      <x:c r="H116" s="24" t="n">
        <x:f>IFERROR(F116/F115-1,"")</x:f>
        <x:v>-0.0025530213704840765</x:v>
      </x:c>
      <x:c r="I116" s="26" t="n">
        <x:f>ROUND(D116-E116,1)</x:f>
        <x:v>68.7</x:v>
      </x:c>
      <x:c r="J116" s="22" t="str">
        <x:v>上证指数</x:v>
      </x:c>
      <x:c r="K116" s="22" t="n">
        <x:v>4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3746.7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110.2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8月31日-9月3日</x:v>
      </x:c>
      <x:c r="C155" s="23" t="n">
        <x:v>7582</x:v>
      </x:c>
      <x:c r="D155" s="23" t="n">
        <x:v>7735</x:v>
      </x:c>
      <x:c r="E155" s="23" t="n">
        <x:v>7466.2</x:v>
      </x:c>
      <x:c r="F155" s="23" t="n">
        <x:v>7559.4</x:v>
      </x:c>
      <x:c r="G155" s="23" t="n">
        <x:f>ROUND(F155-F154,1)</x:f>
        <x:v>-107.2</x:v>
      </x:c>
      <x:c r="H155" s="24" t="n">
        <x:f>IFERROR(F155/F154-1,"")</x:f>
        <x:v>-0.013982730284611278</x:v>
      </x:c>
      <x:c r="I155" s="26" t="n">
        <x:f>ROUND(D155-E155,1)</x:f>
        <x:v>268.8</x:v>
      </x:c>
      <x:c r="J155" s="22" t="str">
        <x:v>IM2609</x:v>
      </x:c>
      <x:c r="K155" s="22" t="n">
        <x:v>4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14794.4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435.1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8月31日-9月3日</x:v>
      </x:c>
      <x:c r="C194" s="23" t="n">
        <x:v>7761</x:v>
      </x:c>
      <x:c r="D194" s="23" t="n">
        <x:v>7913</x:v>
      </x:c>
      <x:c r="E194" s="23" t="n">
        <x:v>7593</x:v>
      </x:c>
      <x:c r="F194" s="23" t="n">
        <x:v>7706.2</x:v>
      </x:c>
      <x:c r="G194" s="23" t="n">
        <x:f>ROUND(F194-F193,1)</x:f>
        <x:v>-147.6</x:v>
      </x:c>
      <x:c r="H194" s="24" t="n">
        <x:f>IFERROR(F194/F193-1,"")</x:f>
        <x:v>-0.018793450304311343</x:v>
      </x:c>
      <x:c r="I194" s="26" t="n">
        <x:f>ROUND(D194-E194,1)</x:f>
        <x:v>320</x:v>
      </x:c>
      <x:c r="J194" s="22" t="str">
        <x:v>IC2609</x:v>
      </x:c>
      <x:c r="K194" s="22" t="n">
        <x:v>4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15402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453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8月31日-9月3日</x:v>
      </x:c>
      <x:c r="C233" s="23" t="n">
        <x:v>4553</x:v>
      </x:c>
      <x:c r="D233" s="23" t="n">
        <x:v>4617.8</x:v>
      </x:c>
      <x:c r="E233" s="23" t="n">
        <x:v>4497.6</x:v>
      </x:c>
      <x:c r="F233" s="23" t="n">
        <x:v>4536.8</x:v>
      </x:c>
      <x:c r="G233" s="23" t="n">
        <x:f>ROUND(F233-F232,1)</x:f>
        <x:v>-56.8</x:v>
      </x:c>
      <x:c r="H233" s="24" t="n">
        <x:f>IFERROR(F233/F232-1,"")</x:f>
        <x:v>-0.01236502960640895</x:v>
      </x:c>
      <x:c r="I233" s="26" t="n">
        <x:f>ROUND(D233-E233,1)</x:f>
        <x:v>120.2</x:v>
      </x:c>
      <x:c r="J233" s="22" t="str">
        <x:v>IF2609</x:v>
      </x:c>
      <x:c r="K233" s="22" t="n">
        <x:v>4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5472.8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161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8月31日-9月3日</x:v>
      </x:c>
      <x:c r="C272" s="23" t="n">
        <x:v>2886</x:v>
      </x:c>
      <x:c r="D272" s="23" t="n">
        <x:v>2934.8</x:v>
      </x:c>
      <x:c r="E272" s="23" t="n">
        <x:v>2877.6</x:v>
      </x:c>
      <x:c r="F272" s="23" t="n">
        <x:v>2907.6</x:v>
      </x:c>
      <x:c r="G272" s="23" t="n">
        <x:f>ROUND(F272-F271,1)</x:f>
        <x:v>-3.8</x:v>
      </x:c>
      <x:c r="H272" s="24" t="n">
        <x:f>IFERROR(F272/F271-1,"")</x:f>
        <x:v>-0.0013052139863983792</x:v>
      </x:c>
      <x:c r="I272" s="23" t="n">
        <x:f>ROUND(D272-E272,1)</x:f>
        <x:v>57.2</x:v>
      </x:c>
      <x:c r="J272" s="22" t="str">
        <x:v>IH2609</x:v>
      </x:c>
      <x:c r="K272" s="22" t="n">
        <x:v>4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3106.4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91.4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8月31日-9月3日</x:v>
      </x:c>
      <x:c r="C311" s="23" t="n">
        <x:v>158000</x:v>
      </x:c>
      <x:c r="D311" s="23" t="n">
        <x:v>160480</x:v>
      </x:c>
      <x:c r="E311" s="23" t="n">
        <x:v>148880</x:v>
      </x:c>
      <x:c r="F311" s="23" t="n">
        <x:v>148900</x:v>
      </x:c>
      <x:c r="G311" s="28" t="n">
        <x:f>ROUND(F311-F310,1)</x:f>
        <x:v>-8180</x:v>
      </x:c>
      <x:c r="H311" s="24" t="n">
        <x:f>IFERROR(F311/F310-1,"")</x:f>
        <x:v>-0.052075375604787366</x:v>
      </x:c>
      <x:c r="I311" s="26" t="n">
        <x:f>ROUND(D311-E311,1)</x:f>
        <x:v>11600</x:v>
      </x:c>
      <x:c r="J311" s="22" t="str">
        <x:v>LC2609</x:v>
      </x:c>
      <x:c r="K311" s="22" t="n">
        <x:v>4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701280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20625.9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317.4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105.8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306.8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102.3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90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30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374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124.7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416.2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138.7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162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54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88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29.3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31" t="str">
        <x:v>合计</x:v>
      </x:c>
      <x:c r="B208" s="30" t="n">
        <x:v>3</x:v>
      </x:c>
      <x:c r="C208" s="30"/>
      <x:c r="D208" s="30"/>
      <x:c r="E208" s="30"/>
      <x:c r="F208" s="30"/>
      <x:c r="G208" s="30"/>
      <x:c r="H208" s="30"/>
      <x:c r="I208" s="30"/>
      <x:c r="J208" s="32" t="n">
        <x:f>ROUND(SUM(J205:J207),1)</x:f>
        <x:v>14760</x:v>
      </x:c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0"/>
      <x:c r="J209" s="34" t="n">
        <x:f>ROUND(IFERROR(AVERAGE(J205:J207),0),1)</x:f>
        <x:v>4920</x:v>
      </x:c>
      <x:c r="K20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