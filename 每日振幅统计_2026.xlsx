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3451cd324a46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d047b5b197d4a64"/>
    <x:sheet xmlns:r="http://schemas.openxmlformats.org/officeDocument/2006/relationships" name="周振幅统计" sheetId="2" r:id="R24fc3cdc1b3e4407"/>
    <x:sheet xmlns:r="http://schemas.openxmlformats.org/officeDocument/2006/relationships" name="中证1000" sheetId="3" r:id="Rd2635a70ae34479f"/>
    <x:sheet xmlns:r="http://schemas.openxmlformats.org/officeDocument/2006/relationships" name="中证500" sheetId="4" r:id="R8a5c77eedd014d24"/>
    <x:sheet xmlns:r="http://schemas.openxmlformats.org/officeDocument/2006/relationships" name="上证指数" sheetId="5" r:id="R13c257c4d5ca4ba8"/>
    <x:sheet xmlns:r="http://schemas.openxmlformats.org/officeDocument/2006/relationships" name="IM主力" sheetId="6" r:id="R20d34f0d53eb4fe1"/>
    <x:sheet xmlns:r="http://schemas.openxmlformats.org/officeDocument/2006/relationships" name="IC主力" sheetId="7" r:id="R2377001938cf4f4f"/>
    <x:sheet xmlns:r="http://schemas.openxmlformats.org/officeDocument/2006/relationships" name="IF主力" sheetId="8" r:id="Rb0c008ef888e423c"/>
    <x:sheet xmlns:r="http://schemas.openxmlformats.org/officeDocument/2006/relationships" name="IH主力" sheetId="9" r:id="R61c1ac748de947e3"/>
    <x:sheet xmlns:r="http://schemas.openxmlformats.org/officeDocument/2006/relationships" name="碳酸锂2610" sheetId="10" r:id="Rbd6b7935846c47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7cfb45eb1c447f" /><Relationship Type="http://schemas.openxmlformats.org/officeDocument/2006/relationships/theme" Target="/xl/theme/theme1.xml" Id="Rec35be6af43a46a2" /><Relationship Type="http://schemas.openxmlformats.org/officeDocument/2006/relationships/sharedStrings" Target="/xl/sharedStrings.xml" Id="R308c62ee0bf74507" /><Relationship Type="http://schemas.openxmlformats.org/officeDocument/2006/relationships/worksheet" Target="/xl/worksheets/sheet1.xml" Id="R3d047b5b197d4a64" /><Relationship Type="http://schemas.openxmlformats.org/officeDocument/2006/relationships/worksheet" Target="/xl/worksheets/sheet2.xml" Id="R24fc3cdc1b3e4407" /><Relationship Type="http://schemas.openxmlformats.org/officeDocument/2006/relationships/worksheet" Target="/xl/worksheets/sheet3.xml" Id="Rd2635a70ae34479f" /><Relationship Type="http://schemas.openxmlformats.org/officeDocument/2006/relationships/worksheet" Target="/xl/worksheets/sheet4.xml" Id="R8a5c77eedd014d24" /><Relationship Type="http://schemas.openxmlformats.org/officeDocument/2006/relationships/worksheet" Target="/xl/worksheets/sheet5.xml" Id="R13c257c4d5ca4ba8" /><Relationship Type="http://schemas.openxmlformats.org/officeDocument/2006/relationships/worksheet" Target="/xl/worksheets/sheet6.xml" Id="R20d34f0d53eb4fe1" /><Relationship Type="http://schemas.openxmlformats.org/officeDocument/2006/relationships/worksheet" Target="/xl/worksheets/sheet7.xml" Id="R2377001938cf4f4f" /><Relationship Type="http://schemas.openxmlformats.org/officeDocument/2006/relationships/worksheet" Target="/xl/worksheets/sheet8.xml" Id="Rb0c008ef888e423c" /><Relationship Type="http://schemas.openxmlformats.org/officeDocument/2006/relationships/worksheet" Target="/xl/worksheets/sheet9.xml" Id="R61c1ac748de947e3" /><Relationship Type="http://schemas.openxmlformats.org/officeDocument/2006/relationships/worksheet" Target="/xl/worksheets/sheet10.xml" Id="Rbd6b7935846c47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2026-10-27</x:v>
      </x:c>
      <x:c r="C4" s="10" t="n">
        <x:v>6717.99</x:v>
      </x:c>
      <x:c r="D4" s="10" t="n">
        <x:v>6427.17</x:v>
      </x:c>
      <x:c r="E4" s="12" t="n">
        <x:v>290.8</x:v>
      </x:c>
      <x:c r="F4" s="9" t="n">
        <x:v>195</x:v>
      </x:c>
      <x:c r="G4" s="10" t="n">
        <x:v>34468.2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2026-10-27</x:v>
      </x:c>
      <x:c r="C5" s="10" t="n">
        <x:v>6784.25</x:v>
      </x:c>
      <x:c r="D5" s="10" t="n">
        <x:v>6511.37</x:v>
      </x:c>
      <x:c r="E5" s="12" t="n">
        <x:v>272.9</x:v>
      </x:c>
      <x:c r="F5" s="9" t="n">
        <x:v>195</x:v>
      </x:c>
      <x:c r="G5" s="10" t="n">
        <x:v>34055.5</x:v>
      </x:c>
      <x:c r="H5" s="10" t="n">
        <x:v>174.6</x:v>
      </x:c>
      <x:c r="I5" s="10" t="n">
        <x:v>160</x:v>
      </x:c>
    </x:row>
    <x:row r="6">
      <x:c r="A6" s="9" t="str">
        <x:v>上证指数</x:v>
      </x:c>
      <x:c r="B6" s="9" t="str">
        <x:v>2026-10-27</x:v>
      </x:c>
      <x:c r="C6" s="10" t="n">
        <x:v>3708.2</x:v>
      </x:c>
      <x:c r="D6" s="10" t="n">
        <x:v>3648.3</x:v>
      </x:c>
      <x:c r="E6" s="12" t="n">
        <x:v>59.9</x:v>
      </x:c>
      <x:c r="F6" s="9" t="n">
        <x:v>195</x:v>
      </x:c>
      <x:c r="G6" s="10" t="n">
        <x:v>9445.8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2026-10-27</x:v>
      </x:c>
      <x:c r="C7" s="10" t="n">
        <x:v>6670.8</x:v>
      </x:c>
      <x:c r="D7" s="10" t="n">
        <x:v>6333.2</x:v>
      </x:c>
      <x:c r="E7" s="12" t="n">
        <x:v>337.6</x:v>
      </x:c>
      <x:c r="F7" s="9" t="n">
        <x:v>195</x:v>
      </x:c>
      <x:c r="G7" s="10" t="n">
        <x:v>36699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2026-10-27</x:v>
      </x:c>
      <x:c r="C8" s="10" t="n">
        <x:v>6732.2</x:v>
      </x:c>
      <x:c r="D8" s="10" t="n">
        <x:v>6405.6</x:v>
      </x:c>
      <x:c r="E8" s="12" t="n">
        <x:v>326.6</x:v>
      </x:c>
      <x:c r="F8" s="9" t="n">
        <x:v>195</x:v>
      </x:c>
      <x:c r="G8" s="10" t="n">
        <x:v>37778.2</x:v>
      </x:c>
      <x:c r="H8" s="10" t="n">
        <x:v>193.7</x:v>
      </x:c>
      <x:c r="I8" s="10" t="n">
        <x:v>150</x:v>
      </x:c>
    </x:row>
    <x:row r="9">
      <x:c r="A9" s="9" t="str">
        <x:v>IF主力</x:v>
      </x:c>
      <x:c r="B9" s="9" t="str">
        <x:v>2026-10-27</x:v>
      </x:c>
      <x:c r="C9" s="10" t="n">
        <x:v>4066.6</x:v>
      </x:c>
      <x:c r="D9" s="10" t="n">
        <x:v>3989.8</x:v>
      </x:c>
      <x:c r="E9" s="12" t="n">
        <x:v>76.8</x:v>
      </x:c>
      <x:c r="F9" s="9" t="n">
        <x:v>195</x:v>
      </x:c>
      <x:c r="G9" s="10" t="n">
        <x:v>14209.4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2026-10-27</x:v>
      </x:c>
      <x:c r="C10" s="10" t="n">
        <x:v>2731.6</x:v>
      </x:c>
      <x:c r="D10" s="10" t="n">
        <x:v>2708</x:v>
      </x:c>
      <x:c r="E10" s="12" t="n">
        <x:v>23.6</x:v>
      </x:c>
      <x:c r="F10" s="9" t="n">
        <x:v>195</x:v>
      </x:c>
      <x:c r="G10" s="10" t="n">
        <x:v>7876.2</x:v>
      </x:c>
      <x:c r="H10" s="10" t="n">
        <x:v>40.4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10月26日-10月27日</x:v>
      </x:c>
      <x:c r="C46" s="23" t="n">
        <x:v>6684.93</x:v>
      </x:c>
      <x:c r="D46" s="23" t="n">
        <x:v>6717.99</x:v>
      </x:c>
      <x:c r="E46" s="23" t="n">
        <x:v>6427.17</x:v>
      </x:c>
      <x:c r="F46" s="23" t="n">
        <x:v>6427.17</x:v>
      </x:c>
      <x:c r="G46" s="28" t="n">
        <x:f>ROUND(F46-F45,1)</x:f>
        <x:v>-307.4</x:v>
      </x:c>
      <x:c r="H46" s="24" t="n">
        <x:f>IFERROR(F46/F45-1,"")</x:f>
        <x:v>-0.04564224781165782</x:v>
      </x:c>
      <x:c r="I46" s="26" t="n">
        <x:f>ROUND(D46-E46,1)</x:f>
        <x:v>290.8</x:v>
      </x:c>
      <x:c r="J46" s="22" t="str">
        <x:v>中证1000</x:v>
      </x:c>
      <x:c r="K46" s="22" t="n">
        <x:v>2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17490.6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416.4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10月26日-10月27日</x:v>
      </x:c>
      <x:c r="C93" s="23" t="n">
        <x:v>6756.46</x:v>
      </x:c>
      <x:c r="D93" s="23" t="n">
        <x:v>6787.32</x:v>
      </x:c>
      <x:c r="E93" s="23" t="n">
        <x:v>6511.37</x:v>
      </x:c>
      <x:c r="F93" s="23" t="n">
        <x:v>6511.42</x:v>
      </x:c>
      <x:c r="G93" s="28" t="n">
        <x:f>ROUND(F93-F92,1)</x:f>
        <x:v>-303</x:v>
      </x:c>
      <x:c r="H93" s="24" t="n">
        <x:f>IFERROR(F93/F92-1,"")</x:f>
        <x:v>-0.04446733700788319</x:v>
      </x:c>
      <x:c r="I93" s="26" t="n">
        <x:f>ROUND(D93-E93,1)</x:f>
        <x:v>275.9</x:v>
      </x:c>
      <x:c r="J93" s="22" t="str">
        <x:v>中证500</x:v>
      </x:c>
      <x:c r="K93" s="22" t="n">
        <x:v>2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17292.7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411.7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10月26日-10月27日</x:v>
      </x:c>
      <x:c r="C140" s="23" t="n">
        <x:v>3671</x:v>
      </x:c>
      <x:c r="D140" s="23" t="n">
        <x:v>3708.2</x:v>
      </x:c>
      <x:c r="E140" s="23" t="n">
        <x:v>3648.3</x:v>
      </x:c>
      <x:c r="F140" s="23" t="n">
        <x:v>3648.3</x:v>
      </x:c>
      <x:c r="G140" s="23" t="n">
        <x:f>ROUND(F140-F139,1)</x:f>
        <x:v>-42.2</x:v>
      </x:c>
      <x:c r="H140" s="24" t="n">
        <x:f>IFERROR(F140/F139-1,"")</x:f>
        <x:v>-0.01142940755674049</x:v>
      </x:c>
      <x:c r="I140" s="26" t="n">
        <x:f>ROUND(D140-E140,1)</x:f>
        <x:v>59.9</x:v>
      </x:c>
      <x:c r="J140" s="22" t="str">
        <x:v>上证指数</x:v>
      </x:c>
      <x:c r="K140" s="22" t="n">
        <x:v>2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4584.9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109.2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10月26日-10月27日</x:v>
      </x:c>
      <x:c r="C187" s="23" t="n">
        <x:v>6618</x:v>
      </x:c>
      <x:c r="D187" s="23" t="n">
        <x:v>6670.8</x:v>
      </x:c>
      <x:c r="E187" s="23" t="n">
        <x:v>6333.2</x:v>
      </x:c>
      <x:c r="F187" s="23" t="n">
        <x:v>6339.2</x:v>
      </x:c>
      <x:c r="G187" s="28" t="n">
        <x:f>ROUND(F187-F186,1)</x:f>
        <x:v>-320.8</x:v>
      </x:c>
      <x:c r="H187" s="24" t="n">
        <x:f>IFERROR(F187/F186-1,"")</x:f>
        <x:v>-0.04816816816816816</x:v>
      </x:c>
      <x:c r="I187" s="26" t="n">
        <x:f>ROUND(D187-E187,1)</x:f>
        <x:v>337.6</x:v>
      </x:c>
      <x:c r="J187" s="22" t="str">
        <x:v>IM2612</x:v>
      </x:c>
      <x:c r="K187" s="22" t="n">
        <x:v>2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18199.4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433.3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10月26日-10月27日</x:v>
      </x:c>
      <x:c r="C234" s="23" t="n">
        <x:v>6700</x:v>
      </x:c>
      <x:c r="D234" s="23" t="n">
        <x:v>6732.2</x:v>
      </x:c>
      <x:c r="E234" s="23" t="n">
        <x:v>6405.6</x:v>
      </x:c>
      <x:c r="F234" s="23" t="n">
        <x:v>6407.6</x:v>
      </x:c>
      <x:c r="G234" s="28" t="n">
        <x:f>ROUND(F234-F233,1)</x:f>
        <x:v>-334.4</x:v>
      </x:c>
      <x:c r="H234" s="24" t="n">
        <x:f>IFERROR(F234/F233-1,"")</x:f>
        <x:v>-0.049599525363393626</x:v>
      </x:c>
      <x:c r="I234" s="26" t="n">
        <x:f>ROUND(D234-E234,1)</x:f>
        <x:v>326.6</x:v>
      </x:c>
      <x:c r="J234" s="22" t="str">
        <x:v>IC2612</x:v>
      </x:c>
      <x:c r="K234" s="22" t="n">
        <x:v>2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18601.6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442.9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10月26日-10月27日</x:v>
      </x:c>
      <x:c r="C281" s="23" t="n">
        <x:v>4034</x:v>
      </x:c>
      <x:c r="D281" s="23" t="n">
        <x:v>4066.6</x:v>
      </x:c>
      <x:c r="E281" s="23" t="n">
        <x:v>3989.8</x:v>
      </x:c>
      <x:c r="F281" s="23" t="n">
        <x:v>3991.2</x:v>
      </x:c>
      <x:c r="G281" s="23" t="n">
        <x:f>ROUND(F281-F280,1)</x:f>
        <x:v>-63.8</x:v>
      </x:c>
      <x:c r="H281" s="24" t="n">
        <x:f>IFERROR(F281/F280-1,"")</x:f>
        <x:v>-0.015733662145499427</x:v>
      </x:c>
      <x:c r="I281" s="23" t="n">
        <x:f>ROUND(D281-E281,1)</x:f>
        <x:v>76.8</x:v>
      </x:c>
      <x:c r="J281" s="22" t="str">
        <x:v>IF2612</x:v>
      </x:c>
      <x:c r="K281" s="22" t="n">
        <x:v>2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6686.4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159.2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10月26日-10月27日</x:v>
      </x:c>
      <x:c r="C328" s="23" t="n">
        <x:v>2711</x:v>
      </x:c>
      <x:c r="D328" s="23" t="n">
        <x:v>2731.6</x:v>
      </x:c>
      <x:c r="E328" s="23" t="n">
        <x:v>2691.2</x:v>
      </x:c>
      <x:c r="F328" s="23" t="n">
        <x:v>2709.2</x:v>
      </x:c>
      <x:c r="G328" s="23" t="n">
        <x:f>ROUND(F328-F327,1)</x:f>
        <x:v>-9.8</x:v>
      </x:c>
      <x:c r="H328" s="24" t="n">
        <x:f>IFERROR(F328/F327-1,"")</x:f>
        <x:v>-0.0036042662743656084</x:v>
      </x:c>
      <x:c r="I328" s="23" t="n">
        <x:f>ROUND(D328-E328,1)</x:f>
        <x:v>40.4</x:v>
      </x:c>
      <x:c r="J328" s="22" t="str">
        <x:v>IH2612</x:v>
      </x:c>
      <x:c r="K328" s="22" t="n">
        <x:v>2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3737.2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2977.2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212.7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2770.4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197.9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831.1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59.4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3205.6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229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3095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221.1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1200.8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85.8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641.8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45.8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