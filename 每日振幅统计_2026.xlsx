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c2b93f88d49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5a60a68df864de2"/>
    <x:sheet xmlns:r="http://schemas.openxmlformats.org/officeDocument/2006/relationships" name="周振幅统计" sheetId="2" r:id="R781f304add6847b9"/>
    <x:sheet xmlns:r="http://schemas.openxmlformats.org/officeDocument/2006/relationships" name="中证1000" sheetId="3" r:id="R90a6905469814229"/>
    <x:sheet xmlns:r="http://schemas.openxmlformats.org/officeDocument/2006/relationships" name="中证500" sheetId="4" r:id="R1cc81e603ffa48a4"/>
    <x:sheet xmlns:r="http://schemas.openxmlformats.org/officeDocument/2006/relationships" name="上证指数" sheetId="5" r:id="R2f3f839bff454147"/>
    <x:sheet xmlns:r="http://schemas.openxmlformats.org/officeDocument/2006/relationships" name="IM主力" sheetId="6" r:id="Rf75aa9912d9a48b5"/>
    <x:sheet xmlns:r="http://schemas.openxmlformats.org/officeDocument/2006/relationships" name="IC主力" sheetId="7" r:id="Rfeac91d677074cde"/>
    <x:sheet xmlns:r="http://schemas.openxmlformats.org/officeDocument/2006/relationships" name="IF主力" sheetId="8" r:id="R2313871335e746c7"/>
    <x:sheet xmlns:r="http://schemas.openxmlformats.org/officeDocument/2006/relationships" name="IH主力" sheetId="9" r:id="R08b763e8df18469a"/>
    <x:sheet xmlns:r="http://schemas.openxmlformats.org/officeDocument/2006/relationships" name="碳酸锂2609" sheetId="10" r:id="R683e5f0640b04c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02a625de5f43fe" /><Relationship Type="http://schemas.openxmlformats.org/officeDocument/2006/relationships/theme" Target="/xl/theme/theme1.xml" Id="Ra0e029dd57254c8d" /><Relationship Type="http://schemas.openxmlformats.org/officeDocument/2006/relationships/sharedStrings" Target="/xl/sharedStrings.xml" Id="R704cc5e2e32d4447" /><Relationship Type="http://schemas.openxmlformats.org/officeDocument/2006/relationships/worksheet" Target="/xl/worksheets/sheet1.xml" Id="R45a60a68df864de2" /><Relationship Type="http://schemas.openxmlformats.org/officeDocument/2006/relationships/worksheet" Target="/xl/worksheets/sheet2.xml" Id="R781f304add6847b9" /><Relationship Type="http://schemas.openxmlformats.org/officeDocument/2006/relationships/worksheet" Target="/xl/worksheets/sheet3.xml" Id="R90a6905469814229" /><Relationship Type="http://schemas.openxmlformats.org/officeDocument/2006/relationships/worksheet" Target="/xl/worksheets/sheet4.xml" Id="R1cc81e603ffa48a4" /><Relationship Type="http://schemas.openxmlformats.org/officeDocument/2006/relationships/worksheet" Target="/xl/worksheets/sheet5.xml" Id="R2f3f839bff454147" /><Relationship Type="http://schemas.openxmlformats.org/officeDocument/2006/relationships/worksheet" Target="/xl/worksheets/sheet6.xml" Id="Rf75aa9912d9a48b5" /><Relationship Type="http://schemas.openxmlformats.org/officeDocument/2006/relationships/worksheet" Target="/xl/worksheets/sheet7.xml" Id="Rfeac91d677074cde" /><Relationship Type="http://schemas.openxmlformats.org/officeDocument/2006/relationships/worksheet" Target="/xl/worksheets/sheet8.xml" Id="R2313871335e746c7" /><Relationship Type="http://schemas.openxmlformats.org/officeDocument/2006/relationships/worksheet" Target="/xl/worksheets/sheet9.xml" Id="R08b763e8df18469a" /><Relationship Type="http://schemas.openxmlformats.org/officeDocument/2006/relationships/worksheet" Target="/xl/worksheets/sheet10.xml" Id="R683e5f0640b04c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2026-09-08</x:v>
      </x:c>
      <x:c r="C4" s="10" t="n">
        <x:v>7724.94</x:v>
      </x:c>
      <x:c r="D4" s="10" t="n">
        <x:v>7622.9</x:v>
      </x:c>
      <x:c r="E4" s="12" t="n">
        <x:v>102</x:v>
      </x:c>
      <x:c r="F4" s="9" t="n">
        <x:v>166</x:v>
      </x:c>
      <x:c r="G4" s="10" t="n">
        <x:v>29531.9</x:v>
      </x:c>
      <x:c r="H4" s="10" t="n">
        <x:v>177.9</x:v>
      </x:c>
      <x:c r="I4" s="10" t="n">
        <x:v>180</x:v>
      </x:c>
    </x:row>
    <x:row r="5">
      <x:c r="A5" s="9" t="str">
        <x:v>中证500</x:v>
      </x:c>
      <x:c r="B5" s="9" t="str">
        <x:v>2026-09-08</x:v>
      </x:c>
      <x:c r="C5" s="10" t="n">
        <x:v>7830.16</x:v>
      </x:c>
      <x:c r="D5" s="10" t="n">
        <x:v>7736.44</x:v>
      </x:c>
      <x:c r="E5" s="12" t="n">
        <x:v>93.7</x:v>
      </x:c>
      <x:c r="F5" s="9" t="n">
        <x:v>166</x:v>
      </x:c>
      <x:c r="G5" s="10" t="n">
        <x:v>29542.8</x:v>
      </x:c>
      <x:c r="H5" s="10" t="n">
        <x:v>178</x:v>
      </x:c>
      <x:c r="I5" s="10" t="n">
        <x:v>160</x:v>
      </x:c>
    </x:row>
    <x:row r="6">
      <x:c r="A6" s="9" t="str">
        <x:v>上证指数</x:v>
      </x:c>
      <x:c r="B6" s="9" t="str">
        <x:v>2026-09-08</x:v>
      </x:c>
      <x:c r="C6" s="10" t="n">
        <x:v>3951.32</x:v>
      </x:c>
      <x:c r="D6" s="10" t="n">
        <x:v>3925.72</x:v>
      </x:c>
      <x:c r="E6" s="12" t="n">
        <x:v>25.6</x:v>
      </x:c>
      <x:c r="F6" s="9" t="n">
        <x:v>166</x:v>
      </x:c>
      <x:c r="G6" s="10" t="n">
        <x:v>8093.6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2026-09-08</x:v>
      </x:c>
      <x:c r="C7" s="10" t="n">
        <x:v>7714.6</x:v>
      </x:c>
      <x:c r="D7" s="10" t="n">
        <x:v>7592.4</x:v>
      </x:c>
      <x:c r="E7" s="12" t="n">
        <x:v>122.2</x:v>
      </x:c>
      <x:c r="F7" s="9" t="n">
        <x:v>166</x:v>
      </x:c>
      <x:c r="G7" s="10" t="n">
        <x:v>31347</x:v>
      </x:c>
      <x:c r="H7" s="10" t="n">
        <x:v>188.8</x:v>
      </x:c>
      <x:c r="I7" s="10" t="n">
        <x:v>190</x:v>
      </x:c>
    </x:row>
    <x:row r="8">
      <x:c r="A8" s="9" t="str">
        <x:v>IC主力</x:v>
      </x:c>
      <x:c r="B8" s="9" t="str">
        <x:v>2026-09-08</x:v>
      </x:c>
      <x:c r="C8" s="10" t="n">
        <x:v>7817.2</x:v>
      </x:c>
      <x:c r="D8" s="10" t="n">
        <x:v>7703.2</x:v>
      </x:c>
      <x:c r="E8" s="12" t="n">
        <x:v>114</x:v>
      </x:c>
      <x:c r="F8" s="9" t="n">
        <x:v>166</x:v>
      </x:c>
      <x:c r="G8" s="10" t="n">
        <x:v>32663.6</x:v>
      </x:c>
      <x:c r="H8" s="10" t="n">
        <x:v>196.8</x:v>
      </x:c>
      <x:c r="I8" s="10" t="n">
        <x:v>150</x:v>
      </x:c>
    </x:row>
    <x:row r="9">
      <x:c r="A9" s="9" t="str">
        <x:v>IF主力</x:v>
      </x:c>
      <x:c r="B9" s="9" t="str">
        <x:v>2026-09-08</x:v>
      </x:c>
      <x:c r="C9" s="10" t="n">
        <x:v>4584</x:v>
      </x:c>
      <x:c r="D9" s="10" t="n">
        <x:v>4532.8</x:v>
      </x:c>
      <x:c r="E9" s="12" t="n">
        <x:v>51.2</x:v>
      </x:c>
      <x:c r="F9" s="9" t="n">
        <x:v>166</x:v>
      </x:c>
      <x:c r="G9" s="10" t="n">
        <x:v>12214.2</x:v>
      </x:c>
      <x:c r="H9" s="10" t="n">
        <x:v>73.6</x:v>
      </x:c>
      <x:c r="I9" s="10" t="n">
        <x:v>90</x:v>
      </x:c>
    </x:row>
    <x:row r="10">
      <x:c r="A10" s="9" t="str">
        <x:v>IH主力</x:v>
      </x:c>
      <x:c r="B10" s="9" t="str">
        <x:v>2026-09-08</x:v>
      </x:c>
      <x:c r="C10" s="10" t="n">
        <x:v>2917.4</x:v>
      </x:c>
      <x:c r="D10" s="10" t="n">
        <x:v>2891</x:v>
      </x:c>
      <x:c r="E10" s="12" t="n">
        <x:v>26.4</x:v>
      </x:c>
      <x:c r="F10" s="9" t="n">
        <x:v>166</x:v>
      </x:c>
      <x:c r="G10" s="10" t="n">
        <x:v>6774.8</x:v>
      </x:c>
      <x:c r="H10" s="10" t="n">
        <x:v>40.8</x:v>
      </x:c>
      <x:c r="I10" s="10" t="n">
        <x:v>60</x:v>
      </x:c>
    </x:row>
    <x:row r="11">
      <x:c r="A11" s="9" t="str">
        <x:v>碳酸锂2609</x:v>
      </x:c>
      <x:c r="B11" s="9" t="str">
        <x:v>2026-09-08</x:v>
      </x:c>
      <x:c r="C11" s="10" t="n">
        <x:v>143200</x:v>
      </x:c>
      <x:c r="D11" s="10" t="n">
        <x:v>141320</x:v>
      </x:c>
      <x:c r="E11" s="12" t="n">
        <x:v>1880</x:v>
      </x:c>
      <x:c r="F11" s="9" t="n">
        <x:v>166</x:v>
      </x:c>
      <x:c r="G11" s="10" t="n">
        <x:v>1392780</x:v>
      </x:c>
      <x:c r="H11" s="10" t="n">
        <x:v>8390.2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9月7日-9月8日</x:v>
      </x:c>
      <x:c r="C39" s="23" t="n">
        <x:v>7551.02</x:v>
      </x:c>
      <x:c r="D39" s="23" t="n">
        <x:v>7724.94</x:v>
      </x:c>
      <x:c r="E39" s="23" t="n">
        <x:v>7541.14</x:v>
      </x:c>
      <x:c r="F39" s="23" t="n">
        <x:v>7659.61</x:v>
      </x:c>
      <x:c r="G39" s="28" t="n">
        <x:f>ROUND(F39-F38,1)</x:f>
        <x:v>151.5</x:v>
      </x:c>
      <x:c r="H39" s="24" t="n">
        <x:f>IFERROR(F39/F38-1,"")</x:f>
        <x:v>0.02018089820447</x:v>
      </x:c>
      <x:c r="I39" s="26" t="n">
        <x:f>ROUND(D39-E39,1)</x:f>
        <x:v>183.8</x:v>
      </x:c>
      <x:c r="J39" s="22" t="str">
        <x:v>中证1000</x:v>
      </x:c>
      <x:c r="K39" s="22" t="n">
        <x:v>2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14440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412.6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9月7日-9月8日</x:v>
      </x:c>
      <x:c r="C79" s="23" t="n">
        <x:v>7687.47</x:v>
      </x:c>
      <x:c r="D79" s="23" t="n">
        <x:v>7830.16</x:v>
      </x:c>
      <x:c r="E79" s="23" t="n">
        <x:v>7672.99</x:v>
      </x:c>
      <x:c r="F79" s="23" t="n">
        <x:v>7770.73</x:v>
      </x:c>
      <x:c r="G79" s="23" t="n">
        <x:f>ROUND(F79-F78,1)</x:f>
        <x:v>118</x:v>
      </x:c>
      <x:c r="H79" s="24" t="n">
        <x:f>IFERROR(F79/F78-1,"")</x:f>
        <x:v>0.015424641531278649</x:v>
      </x:c>
      <x:c r="I79" s="23" t="n">
        <x:f>ROUND(D79-E79,1)</x:f>
        <x:v>157.2</x:v>
      </x:c>
      <x:c r="J79" s="22" t="str">
        <x:v>中证500</x:v>
      </x:c>
      <x:c r="K79" s="22" t="n">
        <x:v>2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14496.2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414.2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9月7日-9月8日</x:v>
      </x:c>
      <x:c r="C119" s="23" t="n">
        <x:v>3942.51</x:v>
      </x:c>
      <x:c r="D119" s="23" t="n">
        <x:v>3951.32</x:v>
      </x:c>
      <x:c r="E119" s="23" t="n">
        <x:v>3916.49</x:v>
      </x:c>
      <x:c r="F119" s="23" t="n">
        <x:v>3940.55</x:v>
      </x:c>
      <x:c r="G119" s="23" t="n">
        <x:f>ROUND(F119-F118,1)</x:f>
        <x:v>10.4</x:v>
      </x:c>
      <x:c r="H119" s="24" t="n">
        <x:f>IFERROR(F119/F118-1,"")</x:f>
        <x:v>0.0026538629863719354</x:v>
      </x:c>
      <x:c r="I119" s="23" t="n">
        <x:f>ROUND(D119-E119,1)</x:f>
        <x:v>34.8</x:v>
      </x:c>
      <x:c r="J119" s="22" t="str">
        <x:v>上证指数</x:v>
      </x:c>
      <x:c r="K119" s="22" t="n">
        <x:v>2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3792.8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108.4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9月7日-9月8日</x:v>
      </x:c>
      <x:c r="C159" s="23" t="n">
        <x:v>7527.2</x:v>
      </x:c>
      <x:c r="D159" s="23" t="n">
        <x:v>7714.6</x:v>
      </x:c>
      <x:c r="E159" s="23" t="n">
        <x:v>7512.6</x:v>
      </x:c>
      <x:c r="F159" s="23" t="n">
        <x:v>7633.4</x:v>
      </x:c>
      <x:c r="G159" s="28" t="n">
        <x:f>ROUND(F159-F158,1)</x:f>
        <x:v>165.2</x:v>
      </x:c>
      <x:c r="H159" s="24" t="n">
        <x:f>IFERROR(F159/F158-1,"")</x:f>
        <x:v>0.022120457406068272</x:v>
      </x:c>
      <x:c r="I159" s="26" t="n">
        <x:f>ROUND(D159-E159,1)</x:f>
        <x:v>202</x:v>
      </x:c>
      <x:c r="J159" s="22" t="str">
        <x:v>IM2609</x:v>
      </x:c>
      <x:c r="K159" s="22" t="n">
        <x:v>2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15030.6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429.4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9月7日-9月8日</x:v>
      </x:c>
      <x:c r="C199" s="23" t="n">
        <x:v>7665.6</x:v>
      </x:c>
      <x:c r="D199" s="23" t="n">
        <x:v>7817.2</x:v>
      </x:c>
      <x:c r="E199" s="23" t="n">
        <x:v>7651.2</x:v>
      </x:c>
      <x:c r="F199" s="23" t="n">
        <x:v>7743.4</x:v>
      </x:c>
      <x:c r="G199" s="23" t="n">
        <x:f>ROUND(F199-F198,1)</x:f>
        <x:v>135.4</x:v>
      </x:c>
      <x:c r="H199" s="24" t="n">
        <x:f>IFERROR(F199/F198-1,"")</x:f>
        <x:v>0.017797055730809586</x:v>
      </x:c>
      <x:c r="I199" s="26" t="n">
        <x:f>ROUND(D199-E199,1)</x:f>
        <x:v>166</x:v>
      </x:c>
      <x:c r="J199" s="22" t="str">
        <x:v>IC2609</x:v>
      </x:c>
      <x:c r="K199" s="22" t="n">
        <x:v>2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15593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445.5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9月7日-9月8日</x:v>
      </x:c>
      <x:c r="C239" s="23" t="n">
        <x:v>4562</x:v>
      </x:c>
      <x:c r="D239" s="23" t="n">
        <x:v>4584</x:v>
      </x:c>
      <x:c r="E239" s="23" t="n">
        <x:v>4532.8</x:v>
      </x:c>
      <x:c r="F239" s="23" t="n">
        <x:v>4547</x:v>
      </x:c>
      <x:c r="G239" s="23" t="n">
        <x:f>ROUND(F239-F238,1)</x:f>
        <x:v>9.6</x:v>
      </x:c>
      <x:c r="H239" s="24" t="n">
        <x:f>IFERROR(F239/F238-1,"")</x:f>
        <x:v>0.0021157491074184076</x:v>
      </x:c>
      <x:c r="I239" s="23" t="n">
        <x:f>ROUND(D239-E239,1)</x:f>
        <x:v>51.2</x:v>
      </x:c>
      <x:c r="J239" s="22" t="str">
        <x:v>IF2609</x:v>
      </x:c>
      <x:c r="K239" s="22" t="n">
        <x:v>2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5524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157.8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9月7日-9月8日</x:v>
      </x:c>
      <x:c r="C279" s="23" t="n">
        <x:v>2923.2</x:v>
      </x:c>
      <x:c r="D279" s="23" t="n">
        <x:v>2931.4</x:v>
      </x:c>
      <x:c r="E279" s="23" t="n">
        <x:v>2891</x:v>
      </x:c>
      <x:c r="F279" s="23" t="n">
        <x:v>2897</x:v>
      </x:c>
      <x:c r="G279" s="23" t="n">
        <x:f>ROUND(F279-F278,1)</x:f>
        <x:v>-18.8</x:v>
      </x:c>
      <x:c r="H279" s="24" t="n">
        <x:f>IFERROR(F279/F278-1,"")</x:f>
        <x:v>-0.0064476301529597935</x:v>
      </x:c>
      <x:c r="I279" s="23" t="n">
        <x:f>ROUND(D279-E279,1)</x:f>
        <x:v>40.4</x:v>
      </x:c>
      <x:c r="J279" s="22" t="str">
        <x:v>IH2609</x:v>
      </x:c>
      <x:c r="K279" s="22" t="n">
        <x:v>2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3161.4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90.3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9月7日-9月8日</x:v>
      </x:c>
      <x:c r="C319" s="23" t="n">
        <x:v>142120</x:v>
      </x:c>
      <x:c r="D319" s="23" t="n">
        <x:v>143200</x:v>
      </x:c>
      <x:c r="E319" s="23" t="n">
        <x:v>139880</x:v>
      </x:c>
      <x:c r="F319" s="23" t="n">
        <x:v>141320</x:v>
      </x:c>
      <x:c r="G319" s="28" t="n">
        <x:f>ROUND(F319-F318,1)</x:f>
        <x:v>340</x:v>
      </x:c>
      <x:c r="H319" s="24" t="n">
        <x:f>IFERROR(F319/F318-1,"")</x:f>
        <x:v>0.002411689601361955</x:v>
      </x:c>
      <x:c r="I319" s="23" t="n">
        <x:f>ROUND(D319-E319,1)</x:f>
        <x:v>3320</x:v>
      </x:c>
      <x:c r="J319" s="22" t="str">
        <x:v>LC2609</x:v>
      </x:c>
      <x:c r="K319" s="22" t="n">
        <x:v>2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712540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20358.3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801.1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133.5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759.1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126.5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212.5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35.4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903.2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150.5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919.4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153.2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327.6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54.6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198.2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33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31020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5170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