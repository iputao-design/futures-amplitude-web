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103943563b4d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8dab56b20a54402"/>
    <x:sheet xmlns:r="http://schemas.openxmlformats.org/officeDocument/2006/relationships" name="周振幅统计" sheetId="2" r:id="R9a8b6405a84c4fa7"/>
    <x:sheet xmlns:r="http://schemas.openxmlformats.org/officeDocument/2006/relationships" name="中证1000" sheetId="3" r:id="R42ffc54fcfa04bee"/>
    <x:sheet xmlns:r="http://schemas.openxmlformats.org/officeDocument/2006/relationships" name="中证500" sheetId="4" r:id="Rb70c1531a6cb4132"/>
    <x:sheet xmlns:r="http://schemas.openxmlformats.org/officeDocument/2006/relationships" name="上证指数" sheetId="5" r:id="R96dcadcf59444f6d"/>
    <x:sheet xmlns:r="http://schemas.openxmlformats.org/officeDocument/2006/relationships" name="IM主力" sheetId="6" r:id="R52074621b7294af7"/>
    <x:sheet xmlns:r="http://schemas.openxmlformats.org/officeDocument/2006/relationships" name="IC主力" sheetId="7" r:id="R0693944a9e164d4e"/>
    <x:sheet xmlns:r="http://schemas.openxmlformats.org/officeDocument/2006/relationships" name="IF主力" sheetId="8" r:id="R6e37bf1611a64749"/>
    <x:sheet xmlns:r="http://schemas.openxmlformats.org/officeDocument/2006/relationships" name="IH主力" sheetId="9" r:id="R1476e9400d7e453a"/>
    <x:sheet xmlns:r="http://schemas.openxmlformats.org/officeDocument/2006/relationships" name="碳酸锂2609" sheetId="10" r:id="R9e3353d37b7c40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a30e566a04495d" /><Relationship Type="http://schemas.openxmlformats.org/officeDocument/2006/relationships/theme" Target="/xl/theme/theme1.xml" Id="R019832a74f064757" /><Relationship Type="http://schemas.openxmlformats.org/officeDocument/2006/relationships/sharedStrings" Target="/xl/sharedStrings.xml" Id="R35b4e2ee8ce0423f" /><Relationship Type="http://schemas.openxmlformats.org/officeDocument/2006/relationships/worksheet" Target="/xl/worksheets/sheet1.xml" Id="Rb8dab56b20a54402" /><Relationship Type="http://schemas.openxmlformats.org/officeDocument/2006/relationships/worksheet" Target="/xl/worksheets/sheet2.xml" Id="R9a8b6405a84c4fa7" /><Relationship Type="http://schemas.openxmlformats.org/officeDocument/2006/relationships/worksheet" Target="/xl/worksheets/sheet3.xml" Id="R42ffc54fcfa04bee" /><Relationship Type="http://schemas.openxmlformats.org/officeDocument/2006/relationships/worksheet" Target="/xl/worksheets/sheet4.xml" Id="Rb70c1531a6cb4132" /><Relationship Type="http://schemas.openxmlformats.org/officeDocument/2006/relationships/worksheet" Target="/xl/worksheets/sheet5.xml" Id="R96dcadcf59444f6d" /><Relationship Type="http://schemas.openxmlformats.org/officeDocument/2006/relationships/worksheet" Target="/xl/worksheets/sheet6.xml" Id="R52074621b7294af7" /><Relationship Type="http://schemas.openxmlformats.org/officeDocument/2006/relationships/worksheet" Target="/xl/worksheets/sheet7.xml" Id="R0693944a9e164d4e" /><Relationship Type="http://schemas.openxmlformats.org/officeDocument/2006/relationships/worksheet" Target="/xl/worksheets/sheet8.xml" Id="R6e37bf1611a64749" /><Relationship Type="http://schemas.openxmlformats.org/officeDocument/2006/relationships/worksheet" Target="/xl/worksheets/sheet9.xml" Id="R1476e9400d7e453a" /><Relationship Type="http://schemas.openxmlformats.org/officeDocument/2006/relationships/worksheet" Target="/xl/worksheets/sheet10.xml" Id="R9e3353d37b7c40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2026-08-26</x:v>
      </x:c>
      <x:c r="C4" s="10" t="n">
        <x:v>7601.84</x:v>
      </x:c>
      <x:c r="D4" s="10" t="n">
        <x:v>7467.41</x:v>
      </x:c>
      <x:c r="E4" s="12" t="n">
        <x:v>134.4</x:v>
      </x:c>
      <x:c r="F4" s="9" t="n">
        <x:v>157</x:v>
      </x:c>
      <x:c r="G4" s="10" t="n">
        <x:v>28261.3</x:v>
      </x:c>
      <x:c r="H4" s="10" t="n">
        <x:v>180</x:v>
      </x:c>
      <x:c r="I4" s="10" t="n">
        <x:v>180</x:v>
      </x:c>
    </x:row>
    <x:row r="5">
      <x:c r="A5" s="9" t="str">
        <x:v>中证500</x:v>
      </x:c>
      <x:c r="B5" s="9" t="str">
        <x:v>2026-08-26</x:v>
      </x:c>
      <x:c r="C5" s="10" t="n">
        <x:v>7833.6</x:v>
      </x:c>
      <x:c r="D5" s="10" t="n">
        <x:v>7699.42</x:v>
      </x:c>
      <x:c r="E5" s="12" t="n">
        <x:v>134.2</x:v>
      </x:c>
      <x:c r="F5" s="9" t="n">
        <x:v>157</x:v>
      </x:c>
      <x:c r="G5" s="10" t="n">
        <x:v>28313.7</x:v>
      </x:c>
      <x:c r="H5" s="10" t="n">
        <x:v>180.3</x:v>
      </x:c>
      <x:c r="I5" s="10" t="n">
        <x:v>160</x:v>
      </x:c>
    </x:row>
    <x:row r="6">
      <x:c r="A6" s="9" t="str">
        <x:v>上证指数</x:v>
      </x:c>
      <x:c r="B6" s="9" t="str">
        <x:v>2026-08-26</x:v>
      </x:c>
      <x:c r="C6" s="10" t="n">
        <x:v>3926.44</x:v>
      </x:c>
      <x:c r="D6" s="10" t="n">
        <x:v>3881.74</x:v>
      </x:c>
      <x:c r="E6" s="12" t="n">
        <x:v>44.7</x:v>
      </x:c>
      <x:c r="F6" s="9" t="n">
        <x:v>157</x:v>
      </x:c>
      <x:c r="G6" s="10" t="n">
        <x:v>7750.1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2026-08-26</x:v>
      </x:c>
      <x:c r="C7" s="10" t="n">
        <x:v>7558</x:v>
      </x:c>
      <x:c r="D7" s="10" t="n">
        <x:v>7395</x:v>
      </x:c>
      <x:c r="E7" s="12" t="n">
        <x:v>163</x:v>
      </x:c>
      <x:c r="F7" s="9" t="n">
        <x:v>157</x:v>
      </x:c>
      <x:c r="G7" s="10" t="n">
        <x:v>29935.8</x:v>
      </x:c>
      <x:c r="H7" s="10" t="n">
        <x:v>190.7</x:v>
      </x:c>
      <x:c r="I7" s="10" t="n">
        <x:v>190</x:v>
      </x:c>
    </x:row>
    <x:row r="8">
      <x:c r="A8" s="9" t="str">
        <x:v>IC主力</x:v>
      </x:c>
      <x:c r="B8" s="9" t="str">
        <x:v>2026-08-26</x:v>
      </x:c>
      <x:c r="C8" s="10" t="n">
        <x:v>7783.2</x:v>
      </x:c>
      <x:c r="D8" s="10" t="n">
        <x:v>7604</x:v>
      </x:c>
      <x:c r="E8" s="12" t="n">
        <x:v>179.2</x:v>
      </x:c>
      <x:c r="F8" s="9" t="n">
        <x:v>157</x:v>
      </x:c>
      <x:c r="G8" s="10" t="n">
        <x:v>31228.2</x:v>
      </x:c>
      <x:c r="H8" s="10" t="n">
        <x:v>198.9</x:v>
      </x:c>
      <x:c r="I8" s="10" t="n">
        <x:v>150</x:v>
      </x:c>
    </x:row>
    <x:row r="9">
      <x:c r="A9" s="9" t="str">
        <x:v>IF主力</x:v>
      </x:c>
      <x:c r="B9" s="9" t="str">
        <x:v>2026-08-26</x:v>
      </x:c>
      <x:c r="C9" s="10" t="n">
        <x:v>4593.6</x:v>
      </x:c>
      <x:c r="D9" s="10" t="n">
        <x:v>4515.6</x:v>
      </x:c>
      <x:c r="E9" s="12" t="n">
        <x:v>78</x:v>
      </x:c>
      <x:c r="F9" s="9" t="n">
        <x:v>157</x:v>
      </x:c>
      <x:c r="G9" s="10" t="n">
        <x:v>11728.8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2026-08-26</x:v>
      </x:c>
      <x:c r="C10" s="10" t="n">
        <x:v>2903.8</x:v>
      </x:c>
      <x:c r="D10" s="10" t="n">
        <x:v>2850</x:v>
      </x:c>
      <x:c r="E10" s="12" t="n">
        <x:v>53.8</x:v>
      </x:c>
      <x:c r="F10" s="9" t="n">
        <x:v>157</x:v>
      </x:c>
      <x:c r="G10" s="10" t="n">
        <x:v>6494</x:v>
      </x:c>
      <x:c r="H10" s="10" t="n">
        <x:v>41.4</x:v>
      </x:c>
      <x:c r="I10" s="10" t="n">
        <x:v>60</x:v>
      </x:c>
    </x:row>
    <x:row r="11">
      <x:c r="A11" s="9" t="str">
        <x:v>碳酸锂2609</x:v>
      </x:c>
      <x:c r="B11" s="9" t="str">
        <x:v>2026-08-26</x:v>
      </x:c>
      <x:c r="C11" s="10" t="n">
        <x:v>153380</x:v>
      </x:c>
      <x:c r="D11" s="10" t="n">
        <x:v>147000</x:v>
      </x:c>
      <x:c r="E11" s="12" t="n">
        <x:v>6380</x:v>
      </x:c>
      <x:c r="F11" s="9" t="n">
        <x:v>157</x:v>
      </x:c>
      <x:c r="G11" s="10" t="n">
        <x:v>1346200</x:v>
      </x:c>
      <x:c r="H11" s="10" t="n">
        <x:v>8574.5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8月24日-8月26日</x:v>
      </x:c>
      <x:c r="C37" s="23" t="n">
        <x:v>7614.89</x:v>
      </x:c>
      <x:c r="D37" s="23" t="n">
        <x:v>7633.34</x:v>
      </x:c>
      <x:c r="E37" s="23" t="n">
        <x:v>7347.95</x:v>
      </x:c>
      <x:c r="F37" s="23" t="n">
        <x:v>7544.67</x:v>
      </x:c>
      <x:c r="G37" s="23" t="n">
        <x:f>ROUND(F37-F36,1)</x:f>
        <x:v>-57.1</x:v>
      </x:c>
      <x:c r="H37" s="24" t="n">
        <x:f>IFERROR(F37/F36-1,"")</x:f>
        <x:v>-0.007515325317687949</x:v>
      </x:c>
      <x:c r="I37" s="26" t="n">
        <x:f>ROUND(D37-E37,1)</x:f>
        <x:v>285.4</x:v>
      </x:c>
      <x:c r="J37" s="22" t="str">
        <x:v>中证1000</x:v>
      </x:c>
      <x:c r="K37" s="22" t="n">
        <x:v>3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13778.9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417.5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8月24日-8月26日</x:v>
      </x:c>
      <x:c r="C75" s="23" t="n">
        <x:v>7861.05</x:v>
      </x:c>
      <x:c r="D75" s="23" t="n">
        <x:v>7865.54</x:v>
      </x:c>
      <x:c r="E75" s="23" t="n">
        <x:v>7572.86</x:v>
      </x:c>
      <x:c r="F75" s="23" t="n">
        <x:v>7770.53</x:v>
      </x:c>
      <x:c r="G75" s="23" t="n">
        <x:f>ROUND(F75-F74,1)</x:f>
        <x:v>-83.8</x:v>
      </x:c>
      <x:c r="H75" s="24" t="n">
        <x:f>IFERROR(F75/F74-1,"")</x:f>
        <x:v>-0.010669274145598706</x:v>
      </x:c>
      <x:c r="I75" s="26" t="n">
        <x:f>ROUND(D75-E75,1)</x:f>
        <x:v>292.7</x:v>
      </x:c>
      <x:c r="J75" s="22" t="str">
        <x:v>中证500</x:v>
      </x:c>
      <x:c r="K75" s="22" t="n">
        <x:v>3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13873.1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420.4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8月24日-8月26日</x:v>
      </x:c>
      <x:c r="C113" s="23" t="n">
        <x:v>3902.7</x:v>
      </x:c>
      <x:c r="D113" s="23" t="n">
        <x:v>3926.44</x:v>
      </x:c>
      <x:c r="E113" s="23" t="n">
        <x:v>3850.86</x:v>
      </x:c>
      <x:c r="F113" s="23" t="n">
        <x:v>3912.52</x:v>
      </x:c>
      <x:c r="G113" s="23" t="n">
        <x:f>ROUND(F113-F112,1)</x:f>
        <x:v>7.3</x:v>
      </x:c>
      <x:c r="H113" s="24" t="n">
        <x:f>IFERROR(F113/F112-1,"")</x:f>
        <x:v>0.0018744238451295914</x:v>
      </x:c>
      <x:c r="I113" s="26" t="n">
        <x:f>ROUND(D113-E113,1)</x:f>
        <x:v>75.6</x:v>
      </x:c>
      <x:c r="J113" s="22" t="str">
        <x:v>上证指数</x:v>
      </x:c>
      <x:c r="K113" s="22" t="n">
        <x:v>3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3634.2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110.1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8月24日-8月26日</x:v>
      </x:c>
      <x:c r="C151" s="23" t="n">
        <x:v>7534.8</x:v>
      </x:c>
      <x:c r="D151" s="23" t="n">
        <x:v>7558</x:v>
      </x:c>
      <x:c r="E151" s="23" t="n">
        <x:v>7300.2</x:v>
      </x:c>
      <x:c r="F151" s="23" t="n">
        <x:v>7491.8</x:v>
      </x:c>
      <x:c r="G151" s="23" t="n">
        <x:f>ROUND(F151-F150,1)</x:f>
        <x:v>-35.2</x:v>
      </x:c>
      <x:c r="H151" s="24" t="n">
        <x:f>IFERROR(F151/F150-1,"")</x:f>
        <x:v>-0.004676497940746649</x:v>
      </x:c>
      <x:c r="I151" s="26" t="n">
        <x:f>ROUND(D151-E151,1)</x:f>
        <x:v>257.8</x:v>
      </x:c>
      <x:c r="J151" s="22" t="str">
        <x:v>IM2609</x:v>
      </x:c>
      <x:c r="K151" s="22" t="n">
        <x:v>3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14329.8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434.2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8月24日-8月26日</x:v>
      </x:c>
      <x:c r="C189" s="23" t="n">
        <x:v>7757</x:v>
      </x:c>
      <x:c r="D189" s="23" t="n">
        <x:v>7783.2</x:v>
      </x:c>
      <x:c r="E189" s="23" t="n">
        <x:v>7496</x:v>
      </x:c>
      <x:c r="F189" s="23" t="n">
        <x:v>7708.8</x:v>
      </x:c>
      <x:c r="G189" s="23" t="n">
        <x:f>ROUND(F189-F188,1)</x:f>
        <x:v>-53.2</x:v>
      </x:c>
      <x:c r="H189" s="24" t="n">
        <x:f>IFERROR(F189/F188-1,"")</x:f>
        <x:v>-0.006853903633084246</x:v>
      </x:c>
      <x:c r="I189" s="26" t="n">
        <x:f>ROUND(D189-E189,1)</x:f>
        <x:v>287.2</x:v>
      </x:c>
      <x:c r="J189" s="22" t="str">
        <x:v>IC2609</x:v>
      </x:c>
      <x:c r="K189" s="22" t="n">
        <x:v>3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14934.2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452.6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8月24日-8月26日</x:v>
      </x:c>
      <x:c r="C227" s="23" t="n">
        <x:v>4607.4</x:v>
      </x:c>
      <x:c r="D227" s="23" t="n">
        <x:v>4607.4</x:v>
      </x:c>
      <x:c r="E227" s="23" t="n">
        <x:v>4486.4</x:v>
      </x:c>
      <x:c r="F227" s="23" t="n">
        <x:v>4566.8</x:v>
      </x:c>
      <x:c r="G227" s="23" t="n">
        <x:f>ROUND(F227-F226,1)</x:f>
        <x:v>-9.2</x:v>
      </x:c>
      <x:c r="H227" s="24" t="n">
        <x:f>IFERROR(F227/F226-1,"")</x:f>
        <x:v>-0.0020104895104894327</x:v>
      </x:c>
      <x:c r="I227" s="26" t="n">
        <x:f>ROUND(D227-E227,1)</x:f>
        <x:v>121</x:v>
      </x:c>
      <x:c r="J227" s="22" t="str">
        <x:v>IF2609</x:v>
      </x:c>
      <x:c r="K227" s="22" t="n">
        <x:v>3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8月24日-8月26日</x:v>
      </x:c>
      <x:c r="C265" s="23" t="n">
        <x:v>2856.4</x:v>
      </x:c>
      <x:c r="D265" s="23" t="n">
        <x:v>2903.8</x:v>
      </x:c>
      <x:c r="E265" s="23" t="n">
        <x:v>2837.4</x:v>
      </x:c>
      <x:c r="F265" s="23" t="n">
        <x:v>2888.8</x:v>
      </x:c>
      <x:c r="G265" s="23" t="n">
        <x:f>ROUND(F265-F264,1)</x:f>
        <x:v>27.8</x:v>
      </x:c>
      <x:c r="H265" s="24" t="n">
        <x:f>IFERROR(F265/F264-1,"")</x:f>
        <x:v>0.009716882209017896</x:v>
      </x:c>
      <x:c r="I265" s="26" t="n">
        <x:f>ROUND(D265-E265,1)</x:f>
        <x:v>66.4</x:v>
      </x:c>
      <x:c r="J265" s="22" t="str">
        <x:v>IH2609</x:v>
      </x:c>
      <x:c r="K265" s="22" t="n">
        <x:v>3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3034.8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92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8月24日-8月26日</x:v>
      </x:c>
      <x:c r="C303" s="23" t="n">
        <x:v>158500</x:v>
      </x:c>
      <x:c r="D303" s="23" t="n">
        <x:v>160000</x:v>
      </x:c>
      <x:c r="E303" s="23" t="n">
        <x:v>147000</x:v>
      </x:c>
      <x:c r="F303" s="23" t="n">
        <x:v>150580</x:v>
      </x:c>
      <x:c r="G303" s="28" t="n">
        <x:f>ROUND(F303-F302,1)</x:f>
        <x:v>-5560</x:v>
      </x:c>
      <x:c r="H303" s="24" t="n">
        <x:f>IFERROR(F303/F302-1,"")</x:f>
        <x:v>-0.03560906878442427</x:v>
      </x:c>
      <x:c r="I303" s="26" t="n">
        <x:f>ROUND(D303-E303,1)</x:f>
        <x:v>13000</x:v>
      </x:c>
      <x:c r="J303" s="22" t="str">
        <x:v>LC2609</x:v>
      </x:c>
      <x:c r="K303" s="22" t="n">
        <x:v>3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689680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20899.4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3145.4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174.7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3017.7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167.6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774.8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43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3108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172.7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3055.6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169.8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1169.2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65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616.2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34.2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94880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5271.1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