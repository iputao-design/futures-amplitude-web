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736f0229654c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199b6950f2a4ca9"/>
    <x:sheet xmlns:r="http://schemas.openxmlformats.org/officeDocument/2006/relationships" name="周振幅统计" sheetId="2" r:id="Rb16ad1f12d3a49c0"/>
    <x:sheet xmlns:r="http://schemas.openxmlformats.org/officeDocument/2006/relationships" name="中证1000" sheetId="3" r:id="R029473326a1946d0"/>
    <x:sheet xmlns:r="http://schemas.openxmlformats.org/officeDocument/2006/relationships" name="中证500" sheetId="4" r:id="Rfc16f9f7d9404c3b"/>
    <x:sheet xmlns:r="http://schemas.openxmlformats.org/officeDocument/2006/relationships" name="上证指数" sheetId="5" r:id="R8e724223d5e7472a"/>
    <x:sheet xmlns:r="http://schemas.openxmlformats.org/officeDocument/2006/relationships" name="IM主力" sheetId="6" r:id="R1a1a4818f4254187"/>
    <x:sheet xmlns:r="http://schemas.openxmlformats.org/officeDocument/2006/relationships" name="IC主力" sheetId="7" r:id="R93ad701685144551"/>
    <x:sheet xmlns:r="http://schemas.openxmlformats.org/officeDocument/2006/relationships" name="IF主力" sheetId="8" r:id="R47ece9aa86414d67"/>
    <x:sheet xmlns:r="http://schemas.openxmlformats.org/officeDocument/2006/relationships" name="IH主力" sheetId="9" r:id="R56e9983a7b2f4c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efc337dd704981" /><Relationship Type="http://schemas.openxmlformats.org/officeDocument/2006/relationships/theme" Target="/xl/theme/theme1.xml" Id="R6de6d17e0b7f4635" /><Relationship Type="http://schemas.openxmlformats.org/officeDocument/2006/relationships/sharedStrings" Target="/xl/sharedStrings.xml" Id="R51acbd49154f4b79" /><Relationship Type="http://schemas.openxmlformats.org/officeDocument/2006/relationships/worksheet" Target="/xl/worksheets/sheet1.xml" Id="R3199b6950f2a4ca9" /><Relationship Type="http://schemas.openxmlformats.org/officeDocument/2006/relationships/worksheet" Target="/xl/worksheets/sheet2.xml" Id="Rb16ad1f12d3a49c0" /><Relationship Type="http://schemas.openxmlformats.org/officeDocument/2006/relationships/worksheet" Target="/xl/worksheets/sheet3.xml" Id="R029473326a1946d0" /><Relationship Type="http://schemas.openxmlformats.org/officeDocument/2006/relationships/worksheet" Target="/xl/worksheets/sheet4.xml" Id="Rfc16f9f7d9404c3b" /><Relationship Type="http://schemas.openxmlformats.org/officeDocument/2006/relationships/worksheet" Target="/xl/worksheets/sheet5.xml" Id="R8e724223d5e7472a" /><Relationship Type="http://schemas.openxmlformats.org/officeDocument/2006/relationships/worksheet" Target="/xl/worksheets/sheet6.xml" Id="R1a1a4818f4254187" /><Relationship Type="http://schemas.openxmlformats.org/officeDocument/2006/relationships/worksheet" Target="/xl/worksheets/sheet7.xml" Id="R93ad701685144551" /><Relationship Type="http://schemas.openxmlformats.org/officeDocument/2006/relationships/worksheet" Target="/xl/worksheets/sheet8.xml" Id="R47ece9aa86414d67" /><Relationship Type="http://schemas.openxmlformats.org/officeDocument/2006/relationships/worksheet" Target="/xl/worksheets/sheet9.xml" Id="R56e9983a7b2f4c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2026-08-03</x:v>
      </x:c>
      <x:c r="C4" s="10" t="n">
        <x:v>7118.1</x:v>
      </x:c>
      <x:c r="D4" s="10" t="n">
        <x:v>7042.89</x:v>
      </x:c>
      <x:c r="E4" s="12" t="n">
        <x:v>75.2</x:v>
      </x:c>
      <x:c r="F4" s="9" t="n">
        <x:v>140</x:v>
      </x:c>
      <x:c r="G4" s="10" t="n">
        <x:v>25191.1</x:v>
      </x:c>
      <x:c r="H4" s="10" t="n">
        <x:v>179.9</x:v>
      </x:c>
      <x:c r="I4" s="10" t="n">
        <x:v>180</x:v>
      </x:c>
    </x:row>
    <x:row r="5">
      <x:c r="A5" s="9" t="str">
        <x:v>中证500</x:v>
      </x:c>
      <x:c r="B5" s="9" t="str">
        <x:v>2026-08-03</x:v>
      </x:c>
      <x:c r="C5" s="10" t="n">
        <x:v>7499.58</x:v>
      </x:c>
      <x:c r="D5" s="10" t="n">
        <x:v>7397.94</x:v>
      </x:c>
      <x:c r="E5" s="12" t="n">
        <x:v>101.6</x:v>
      </x:c>
      <x:c r="F5" s="9" t="n">
        <x:v>140</x:v>
      </x:c>
      <x:c r="G5" s="10" t="n">
        <x:v>25397.6</x:v>
      </x:c>
      <x:c r="H5" s="10" t="n">
        <x:v>181.4</x:v>
      </x:c>
      <x:c r="I5" s="10" t="n">
        <x:v>160</x:v>
      </x:c>
    </x:row>
    <x:row r="6">
      <x:c r="A6" s="9" t="str">
        <x:v>上证指数</x:v>
      </x:c>
      <x:c r="B6" s="9" t="str">
        <x:v>2026-08-03</x:v>
      </x:c>
      <x:c r="C6" s="10" t="n">
        <x:v>3827.64</x:v>
      </x:c>
      <x:c r="D6" s="10" t="n">
        <x:v>3797.64</x:v>
      </x:c>
      <x:c r="E6" s="12" t="n">
        <x:v>30</x:v>
      </x:c>
      <x:c r="F6" s="9" t="n">
        <x:v>140</x:v>
      </x:c>
      <x:c r="G6" s="10" t="n">
        <x:v>7005.3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2026-08-03</x:v>
      </x:c>
      <x:c r="C7" s="10" t="n">
        <x:v>7064.2</x:v>
      </x:c>
      <x:c r="D7" s="10" t="n">
        <x:v>6976</x:v>
      </x:c>
      <x:c r="E7" s="12" t="n">
        <x:v>88.2</x:v>
      </x:c>
      <x:c r="F7" s="9" t="n">
        <x:v>140</x:v>
      </x:c>
      <x:c r="G7" s="10" t="n">
        <x:v>26916</x:v>
      </x:c>
      <x:c r="H7" s="10" t="n">
        <x:v>192.3</x:v>
      </x:c>
      <x:c r="I7" s="10" t="n">
        <x:v>190</x:v>
      </x:c>
    </x:row>
    <x:row r="8">
      <x:c r="A8" s="9" t="str">
        <x:v>IC主力</x:v>
      </x:c>
      <x:c r="B8" s="9" t="str">
        <x:v>2026-08-03</x:v>
      </x:c>
      <x:c r="C8" s="10" t="n">
        <x:v>7440</x:v>
      </x:c>
      <x:c r="D8" s="10" t="n">
        <x:v>7335</x:v>
      </x:c>
      <x:c r="E8" s="12" t="n">
        <x:v>105</x:v>
      </x:c>
      <x:c r="F8" s="9" t="n">
        <x:v>140</x:v>
      </x:c>
      <x:c r="G8" s="10" t="n">
        <x:v>28277.6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2026-08-03</x:v>
      </x:c>
      <x:c r="C9" s="10" t="n">
        <x:v>4538</x:v>
      </x:c>
      <x:c r="D9" s="10" t="n">
        <x:v>4494.2</x:v>
      </x:c>
      <x:c r="E9" s="12" t="n">
        <x:v>43.8</x:v>
      </x:c>
      <x:c r="F9" s="9" t="n">
        <x:v>140</x:v>
      </x:c>
      <x:c r="G9" s="10" t="n">
        <x:v>10603.4</x:v>
      </x:c>
      <x:c r="H9" s="10" t="n">
        <x:v>75.7</x:v>
      </x:c>
      <x:c r="I9" s="10" t="n">
        <x:v>90</x:v>
      </x:c>
    </x:row>
    <x:row r="10">
      <x:c r="A10" s="9" t="str">
        <x:v>IH主力</x:v>
      </x:c>
      <x:c r="B10" s="9" t="str">
        <x:v>2026-08-03</x:v>
      </x:c>
      <x:c r="C10" s="10" t="n">
        <x:v>2890</x:v>
      </x:c>
      <x:c r="D10" s="10" t="n">
        <x:v>2845.8</x:v>
      </x:c>
      <x:c r="E10" s="12" t="n">
        <x:v>44.2</x:v>
      </x:c>
      <x:c r="F10" s="9" t="n">
        <x:v>140</x:v>
      </x:c>
      <x:c r="G10" s="10" t="n">
        <x:v>5922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2026-08-03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</x:v>
      </x:c>
      <x:c r="C34" s="23" t="n">
        <x:v>7055.27</x:v>
      </x:c>
      <x:c r="D34" s="23" t="n">
        <x:v>7118.1</x:v>
      </x:c>
      <x:c r="E34" s="23" t="n">
        <x:v>7042.89</x:v>
      </x:c>
      <x:c r="F34" s="23" t="n">
        <x:v>7079.78</x:v>
      </x:c>
      <x:c r="G34" s="23" t="n">
        <x:f>ROUND(F34-F33,1)</x:f>
        <x:v>4.3</x:v>
      </x:c>
      <x:c r="H34" s="24" t="n">
        <x:f>IFERROR(F34/F33-1,"")</x:f>
        <x:v>0.0006034900664404486</x:v>
      </x:c>
      <x:c r="I34" s="23" t="n">
        <x:f>ROUND(D34-E34,1)</x:f>
        <x:v>75.2</x:v>
      </x:c>
      <x:c r="J34" s="22" t="str">
        <x:v>中证1000</x:v>
      </x:c>
      <x:c r="K34" s="22" t="n">
        <x:v>1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12144.4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404.8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</x:v>
      </x:c>
      <x:c r="C69" s="23" t="n">
        <x:v>7457.12</x:v>
      </x:c>
      <x:c r="D69" s="23" t="n">
        <x:v>7499.58</x:v>
      </x:c>
      <x:c r="E69" s="23" t="n">
        <x:v>7397.94</x:v>
      </x:c>
      <x:c r="F69" s="23" t="n">
        <x:v>7414.52</x:v>
      </x:c>
      <x:c r="G69" s="23" t="n">
        <x:f>ROUND(F69-F68,1)</x:f>
        <x:v>-79.5</x:v>
      </x:c>
      <x:c r="H69" s="24" t="n">
        <x:f>IFERROR(F69/F68-1,"")</x:f>
        <x:v>-0.010604497737520258</x:v>
      </x:c>
      <x:c r="I69" s="23" t="n">
        <x:f>ROUND(D69-E69,1)</x:f>
        <x:v>101.6</x:v>
      </x:c>
      <x:c r="J69" s="22" t="str">
        <x:v>中证500</x:v>
      </x:c>
      <x:c r="K69" s="22" t="n">
        <x:v>1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12396.7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413.2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</x:v>
      </x:c>
      <x:c r="C104" s="23" t="n">
        <x:v>3812.61</x:v>
      </x:c>
      <x:c r="D104" s="23" t="n">
        <x:v>3827.64</x:v>
      </x:c>
      <x:c r="E104" s="23" t="n">
        <x:v>3797.64</x:v>
      </x:c>
      <x:c r="F104" s="23" t="n">
        <x:v>3809.66</x:v>
      </x:c>
      <x:c r="G104" s="23" t="n">
        <x:f>ROUND(F104-F103,1)</x:f>
        <x:v>-22.6</x:v>
      </x:c>
      <x:c r="H104" s="24" t="n">
        <x:f>IFERROR(F104/F103-1,"")</x:f>
        <x:v>-0.005897303418870403</x:v>
      </x:c>
      <x:c r="I104" s="23" t="n">
        <x:f>ROUND(D104-E104,1)</x:f>
        <x:v>30</x:v>
      </x:c>
      <x:c r="J104" s="22" t="str">
        <x:v>上证指数</x:v>
      </x:c>
      <x:c r="K104" s="22" t="n">
        <x:v>1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3265.9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108.9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</x:v>
      </x:c>
      <x:c r="C139" s="23" t="n">
        <x:v>7000</x:v>
      </x:c>
      <x:c r="D139" s="23" t="n">
        <x:v>7064.2</x:v>
      </x:c>
      <x:c r="E139" s="23" t="n">
        <x:v>6976</x:v>
      </x:c>
      <x:c r="F139" s="23" t="n">
        <x:v>7023.4</x:v>
      </x:c>
      <x:c r="G139" s="23" t="n">
        <x:f>ROUND(F139-F138,1)</x:f>
        <x:v>35.6</x:v>
      </x:c>
      <x:c r="H139" s="24" t="n">
        <x:f>IFERROR(F139/F138-1,"")</x:f>
        <x:v>0.005094593434270989</x:v>
      </x:c>
      <x:c r="I139" s="23" t="n">
        <x:f>ROUND(D139-E139,1)</x:f>
        <x:v>88.2</x:v>
      </x:c>
      <x:c r="J139" s="22" t="str">
        <x:v>IM2609</x:v>
      </x:c>
      <x:c r="K139" s="22" t="n">
        <x:v>1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12818.2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427.3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</x:v>
      </x:c>
      <x:c r="C174" s="23" t="n">
        <x:v>7391</x:v>
      </x:c>
      <x:c r="D174" s="23" t="n">
        <x:v>7440</x:v>
      </x:c>
      <x:c r="E174" s="23" t="n">
        <x:v>7335</x:v>
      </x:c>
      <x:c r="F174" s="23" t="n">
        <x:v>7356</x:v>
      </x:c>
      <x:c r="G174" s="23" t="n">
        <x:f>ROUND(F174-F173,1)</x:f>
        <x:v>-39</x:v>
      </x:c>
      <x:c r="H174" s="24" t="n">
        <x:f>IFERROR(F174/F173-1,"")</x:f>
        <x:v>-0.005273833671399553</x:v>
      </x:c>
      <x:c r="I174" s="23" t="n">
        <x:f>ROUND(D174-E174,1)</x:f>
        <x:v>105</x:v>
      </x:c>
      <x:c r="J174" s="22" t="str">
        <x:v>IC2609</x:v>
      </x:c>
      <x:c r="K174" s="22" t="n">
        <x:v>1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13554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451.8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</x:v>
      </x:c>
      <x:c r="C209" s="23" t="n">
        <x:v>4526.4</x:v>
      </x:c>
      <x:c r="D209" s="23" t="n">
        <x:v>4538</x:v>
      </x:c>
      <x:c r="E209" s="23" t="n">
        <x:v>4494.2</x:v>
      </x:c>
      <x:c r="F209" s="23" t="n">
        <x:v>4512.2</x:v>
      </x:c>
      <x:c r="G209" s="23" t="n">
        <x:f>ROUND(F209-F208,1)</x:f>
        <x:v>-25.8</x:v>
      </x:c>
      <x:c r="H209" s="24" t="n">
        <x:f>IFERROR(F209/F208-1,"")</x:f>
        <x:v>-0.005685323931247321</x:v>
      </x:c>
      <x:c r="I209" s="23" t="n">
        <x:f>ROUND(D209-E209,1)</x:f>
        <x:v>43.8</x:v>
      </x:c>
      <x:c r="J209" s="22" t="str">
        <x:v>IF2609</x:v>
      </x:c>
      <x:c r="K209" s="22" t="n">
        <x:v>1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4849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161.6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</x:v>
      </x:c>
      <x:c r="C244" s="23" t="n">
        <x:v>2882.4</x:v>
      </x:c>
      <x:c r="D244" s="23" t="n">
        <x:v>2890</x:v>
      </x:c>
      <x:c r="E244" s="23" t="n">
        <x:v>2845.8</x:v>
      </x:c>
      <x:c r="F244" s="23" t="n">
        <x:v>2860</x:v>
      </x:c>
      <x:c r="G244" s="23" t="n">
        <x:f>ROUND(F244-F243,1)</x:f>
        <x:v>-31.8</x:v>
      </x:c>
      <x:c r="H244" s="24" t="n">
        <x:f>IFERROR(F244/F243-1,"")</x:f>
        <x:v>-0.010996611107268905</x:v>
      </x:c>
      <x:c r="I244" s="23" t="n">
        <x:f>ROUND(D244-E244,1)</x:f>
        <x:v>44.2</x:v>
      </x:c>
      <x:c r="J244" s="22" t="str">
        <x:v>IH2609</x:v>
      </x:c>
      <x:c r="K244" s="22" t="n">
        <x:v>1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2777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92.6</x:v>
      </x:c>
      <x:c r="J246" s="30"/>
      <x:c r="K246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75.2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75.2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101.6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101.6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30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30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88.2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88.2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105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105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43.8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43.8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44.2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44.2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