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6a4fdd6ed247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2a9d456eb4e4f9e"/>
    <x:sheet xmlns:r="http://schemas.openxmlformats.org/officeDocument/2006/relationships" name="周振幅统计" sheetId="2" r:id="R6c2656306fa24de9"/>
    <x:sheet xmlns:r="http://schemas.openxmlformats.org/officeDocument/2006/relationships" name="中证1000" sheetId="3" r:id="R5d5b941c0e8f4e4a"/>
    <x:sheet xmlns:r="http://schemas.openxmlformats.org/officeDocument/2006/relationships" name="中证500" sheetId="4" r:id="R2c2ba169ad9c497b"/>
    <x:sheet xmlns:r="http://schemas.openxmlformats.org/officeDocument/2006/relationships" name="上证指数" sheetId="5" r:id="R6ab09848685d49a5"/>
    <x:sheet xmlns:r="http://schemas.openxmlformats.org/officeDocument/2006/relationships" name="IM主力" sheetId="6" r:id="R762f53f9ef3c47ae"/>
    <x:sheet xmlns:r="http://schemas.openxmlformats.org/officeDocument/2006/relationships" name="IC主力" sheetId="7" r:id="R0da408664cde419f"/>
    <x:sheet xmlns:r="http://schemas.openxmlformats.org/officeDocument/2006/relationships" name="IF主力" sheetId="8" r:id="R0582936206464783"/>
    <x:sheet xmlns:r="http://schemas.openxmlformats.org/officeDocument/2006/relationships" name="IH主力" sheetId="9" r:id="R63a4e969ba7d47ef"/>
    <x:sheet xmlns:r="http://schemas.openxmlformats.org/officeDocument/2006/relationships" name="碳酸锂2609" sheetId="10" r:id="R94c2e15b140545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410437efa741ed" /><Relationship Type="http://schemas.openxmlformats.org/officeDocument/2006/relationships/theme" Target="/xl/theme/theme1.xml" Id="Rd7e6ebecadf1412c" /><Relationship Type="http://schemas.openxmlformats.org/officeDocument/2006/relationships/sharedStrings" Target="/xl/sharedStrings.xml" Id="R866ac6555550459d" /><Relationship Type="http://schemas.openxmlformats.org/officeDocument/2006/relationships/worksheet" Target="/xl/worksheets/sheet1.xml" Id="Rc2a9d456eb4e4f9e" /><Relationship Type="http://schemas.openxmlformats.org/officeDocument/2006/relationships/worksheet" Target="/xl/worksheets/sheet2.xml" Id="R6c2656306fa24de9" /><Relationship Type="http://schemas.openxmlformats.org/officeDocument/2006/relationships/worksheet" Target="/xl/worksheets/sheet3.xml" Id="R5d5b941c0e8f4e4a" /><Relationship Type="http://schemas.openxmlformats.org/officeDocument/2006/relationships/worksheet" Target="/xl/worksheets/sheet4.xml" Id="R2c2ba169ad9c497b" /><Relationship Type="http://schemas.openxmlformats.org/officeDocument/2006/relationships/worksheet" Target="/xl/worksheets/sheet5.xml" Id="R6ab09848685d49a5" /><Relationship Type="http://schemas.openxmlformats.org/officeDocument/2006/relationships/worksheet" Target="/xl/worksheets/sheet6.xml" Id="R762f53f9ef3c47ae" /><Relationship Type="http://schemas.openxmlformats.org/officeDocument/2006/relationships/worksheet" Target="/xl/worksheets/sheet7.xml" Id="R0da408664cde419f" /><Relationship Type="http://schemas.openxmlformats.org/officeDocument/2006/relationships/worksheet" Target="/xl/worksheets/sheet8.xml" Id="R0582936206464783" /><Relationship Type="http://schemas.openxmlformats.org/officeDocument/2006/relationships/worksheet" Target="/xl/worksheets/sheet9.xml" Id="R63a4e969ba7d47ef" /><Relationship Type="http://schemas.openxmlformats.org/officeDocument/2006/relationships/worksheet" Target="/xl/worksheets/sheet10.xml" Id="R94c2e15b140545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2026-08-26</x:v>
      </x:c>
      <x:c r="C4" s="10" t="n">
        <x:v>7601.84</x:v>
      </x:c>
      <x:c r="D4" s="10" t="n">
        <x:v>7467.41</x:v>
      </x:c>
      <x:c r="E4" s="12" t="n">
        <x:v>134.4</x:v>
      </x:c>
      <x:c r="F4" s="9" t="n">
        <x:v>157</x:v>
      </x:c>
      <x:c r="G4" s="10" t="n">
        <x:v>28261.3</x:v>
      </x:c>
      <x:c r="H4" s="10" t="n">
        <x:v>180</x:v>
      </x:c>
      <x:c r="I4" s="10" t="n">
        <x:v>180</x:v>
      </x:c>
    </x:row>
    <x:row r="5">
      <x:c r="A5" s="9" t="str">
        <x:v>中证500</x:v>
      </x:c>
      <x:c r="B5" s="9" t="str">
        <x:v>2026-08-26</x:v>
      </x:c>
      <x:c r="C5" s="10" t="n">
        <x:v>7833.6</x:v>
      </x:c>
      <x:c r="D5" s="10" t="n">
        <x:v>7699.42</x:v>
      </x:c>
      <x:c r="E5" s="12" t="n">
        <x:v>134.2</x:v>
      </x:c>
      <x:c r="F5" s="9" t="n">
        <x:v>157</x:v>
      </x:c>
      <x:c r="G5" s="10" t="n">
        <x:v>28313.7</x:v>
      </x:c>
      <x:c r="H5" s="10" t="n">
        <x:v>180.3</x:v>
      </x:c>
      <x:c r="I5" s="10" t="n">
        <x:v>160</x:v>
      </x:c>
    </x:row>
    <x:row r="6">
      <x:c r="A6" s="9" t="str">
        <x:v>上证指数</x:v>
      </x:c>
      <x:c r="B6" s="9" t="str">
        <x:v>2026-08-26</x:v>
      </x:c>
      <x:c r="C6" s="10" t="n">
        <x:v>3926.44</x:v>
      </x:c>
      <x:c r="D6" s="10" t="n">
        <x:v>3881.74</x:v>
      </x:c>
      <x:c r="E6" s="12" t="n">
        <x:v>44.7</x:v>
      </x:c>
      <x:c r="F6" s="9" t="n">
        <x:v>157</x:v>
      </x:c>
      <x:c r="G6" s="10" t="n">
        <x:v>7750.1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2026-08-25</x:v>
      </x:c>
      <x:c r="C7" s="10" t="n">
        <x:v>7509.6</x:v>
      </x:c>
      <x:c r="D7" s="10" t="n">
        <x:v>7300.2</x:v>
      </x:c>
      <x:c r="E7" s="12" t="n">
        <x:v>209.4</x:v>
      </x:c>
      <x:c r="F7" s="9" t="n">
        <x:v>156</x:v>
      </x:c>
      <x:c r="G7" s="10" t="n">
        <x:v>29772.8</x:v>
      </x:c>
      <x:c r="H7" s="10" t="n">
        <x:v>190.9</x:v>
      </x:c>
      <x:c r="I7" s="10" t="n">
        <x:v>190</x:v>
      </x:c>
    </x:row>
    <x:row r="8">
      <x:c r="A8" s="9" t="str">
        <x:v>IC主力</x:v>
      </x:c>
      <x:c r="B8" s="9" t="str">
        <x:v>2026-08-26</x:v>
      </x:c>
      <x:c r="C8" s="10" t="n">
        <x:v>7783.2</x:v>
      </x:c>
      <x:c r="D8" s="10" t="n">
        <x:v>7604</x:v>
      </x:c>
      <x:c r="E8" s="12" t="n">
        <x:v>179.2</x:v>
      </x:c>
      <x:c r="F8" s="9" t="n">
        <x:v>157</x:v>
      </x:c>
      <x:c r="G8" s="10" t="n">
        <x:v>31228.2</x:v>
      </x:c>
      <x:c r="H8" s="10" t="n">
        <x:v>198.9</x:v>
      </x:c>
      <x:c r="I8" s="10" t="n">
        <x:v>150</x:v>
      </x:c>
    </x:row>
    <x:row r="9">
      <x:c r="A9" s="9" t="str">
        <x:v>IF主力</x:v>
      </x:c>
      <x:c r="B9" s="9" t="str">
        <x:v>2026-08-25</x:v>
      </x:c>
      <x:c r="C9" s="10" t="n">
        <x:v>4544.2</x:v>
      </x:c>
      <x:c r="D9" s="10" t="n">
        <x:v>4488</x:v>
      </x:c>
      <x:c r="E9" s="12" t="n">
        <x:v>56.2</x:v>
      </x:c>
      <x:c r="F9" s="9" t="n">
        <x:v>156</x:v>
      </x:c>
      <x:c r="G9" s="10" t="n">
        <x:v>11650.8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2026-08-26</x:v>
      </x:c>
      <x:c r="C10" s="10" t="n">
        <x:v>2903.8</x:v>
      </x:c>
      <x:c r="D10" s="10" t="n">
        <x:v>2850</x:v>
      </x:c>
      <x:c r="E10" s="12" t="n">
        <x:v>53.8</x:v>
      </x:c>
      <x:c r="F10" s="9" t="n">
        <x:v>157</x:v>
      </x:c>
      <x:c r="G10" s="10" t="n">
        <x:v>6494</x:v>
      </x:c>
      <x:c r="H10" s="10" t="n">
        <x:v>41.4</x:v>
      </x:c>
      <x:c r="I10" s="10" t="n">
        <x:v>60</x:v>
      </x:c>
    </x:row>
    <x:row r="11">
      <x:c r="A11" s="9" t="str">
        <x:v>碳酸锂2609</x:v>
      </x:c>
      <x:c r="B11" s="9" t="str">
        <x:v>2026-08-26</x:v>
      </x:c>
      <x:c r="C11" s="10" t="n">
        <x:v>153380</x:v>
      </x:c>
      <x:c r="D11" s="10" t="n">
        <x:v>147000</x:v>
      </x:c>
      <x:c r="E11" s="12" t="n">
        <x:v>6380</x:v>
      </x:c>
      <x:c r="F11" s="9" t="n">
        <x:v>157</x:v>
      </x:c>
      <x:c r="G11" s="10" t="n">
        <x:v>1346200</x:v>
      </x:c>
      <x:c r="H11" s="10" t="n">
        <x:v>8574.5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8月24日-8月26日</x:v>
      </x:c>
      <x:c r="C37" s="23" t="n">
        <x:v>7614.89</x:v>
      </x:c>
      <x:c r="D37" s="23" t="n">
        <x:v>7633.34</x:v>
      </x:c>
      <x:c r="E37" s="23" t="n">
        <x:v>7347.95</x:v>
      </x:c>
      <x:c r="F37" s="23" t="n">
        <x:v>7544.67</x:v>
      </x:c>
      <x:c r="G37" s="23" t="n">
        <x:f>ROUND(F37-F36,1)</x:f>
        <x:v>-57.1</x:v>
      </x:c>
      <x:c r="H37" s="24" t="n">
        <x:f>IFERROR(F37/F36-1,"")</x:f>
        <x:v>-0.007515325317687949</x:v>
      </x:c>
      <x:c r="I37" s="26" t="n">
        <x:f>ROUND(D37-E37,1)</x:f>
        <x:v>285.4</x:v>
      </x:c>
      <x:c r="J37" s="22" t="str">
        <x:v>中证1000</x:v>
      </x:c>
      <x:c r="K37" s="22" t="n">
        <x:v>3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13778.9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417.5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8月24日-8月26日</x:v>
      </x:c>
      <x:c r="C75" s="23" t="n">
        <x:v>7861.05</x:v>
      </x:c>
      <x:c r="D75" s="23" t="n">
        <x:v>7865.54</x:v>
      </x:c>
      <x:c r="E75" s="23" t="n">
        <x:v>7572.86</x:v>
      </x:c>
      <x:c r="F75" s="23" t="n">
        <x:v>7770.53</x:v>
      </x:c>
      <x:c r="G75" s="23" t="n">
        <x:f>ROUND(F75-F74,1)</x:f>
        <x:v>-83.8</x:v>
      </x:c>
      <x:c r="H75" s="24" t="n">
        <x:f>IFERROR(F75/F74-1,"")</x:f>
        <x:v>-0.010669274145598706</x:v>
      </x:c>
      <x:c r="I75" s="26" t="n">
        <x:f>ROUND(D75-E75,1)</x:f>
        <x:v>292.7</x:v>
      </x:c>
      <x:c r="J75" s="22" t="str">
        <x:v>中证500</x:v>
      </x:c>
      <x:c r="K75" s="22" t="n">
        <x:v>3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13873.1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420.4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8月24日-8月26日</x:v>
      </x:c>
      <x:c r="C113" s="23" t="n">
        <x:v>3902.7</x:v>
      </x:c>
      <x:c r="D113" s="23" t="n">
        <x:v>3926.44</x:v>
      </x:c>
      <x:c r="E113" s="23" t="n">
        <x:v>3850.86</x:v>
      </x:c>
      <x:c r="F113" s="23" t="n">
        <x:v>3912.52</x:v>
      </x:c>
      <x:c r="G113" s="23" t="n">
        <x:f>ROUND(F113-F112,1)</x:f>
        <x:v>7.3</x:v>
      </x:c>
      <x:c r="H113" s="24" t="n">
        <x:f>IFERROR(F113/F112-1,"")</x:f>
        <x:v>0.0018744238451295914</x:v>
      </x:c>
      <x:c r="I113" s="26" t="n">
        <x:f>ROUND(D113-E113,1)</x:f>
        <x:v>75.6</x:v>
      </x:c>
      <x:c r="J113" s="22" t="str">
        <x:v>上证指数</x:v>
      </x:c>
      <x:c r="K113" s="22" t="n">
        <x:v>3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3634.2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110.1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22" t="n">
        <x:v>33</x:v>
      </x:c>
      <x:c r="B151" s="22" t="str">
        <x:v>8月24日-8月25日</x:v>
      </x:c>
      <x:c r="C151" s="23" t="n">
        <x:v>7534.8</x:v>
      </x:c>
      <x:c r="D151" s="23" t="n">
        <x:v>7549</x:v>
      </x:c>
      <x:c r="E151" s="23" t="n">
        <x:v>7300.2</x:v>
      </x:c>
      <x:c r="F151" s="23" t="n">
        <x:v>7466.4</x:v>
      </x:c>
      <x:c r="G151" s="23" t="n">
        <x:f>ROUND(F151-F150,1)</x:f>
        <x:v>-60.6</x:v>
      </x:c>
      <x:c r="H151" s="24" t="n">
        <x:f>IFERROR(F151/F150-1,"")</x:f>
        <x:v>-0.00805101634117178</x:v>
      </x:c>
      <x:c r="I151" s="26" t="n">
        <x:f>ROUND(D151-E151,1)</x:f>
        <x:v>248.8</x:v>
      </x:c>
      <x:c r="J151" s="22" t="str">
        <x:v>IM2609</x:v>
      </x:c>
      <x:c r="K151" s="22" t="n">
        <x:v>2</x:v>
      </x:c>
    </x:row>
    <x:row r="152">
      <x:c r="A152" s="31" t="str">
        <x:v>合计</x:v>
      </x:c>
      <x:c r="B152" s="30" t="n">
        <x:v>33</x:v>
      </x:c>
      <x:c r="C152" s="30"/>
      <x:c r="D152" s="30"/>
      <x:c r="E152" s="30"/>
      <x:c r="F152" s="30"/>
      <x:c r="G152" s="30"/>
      <x:c r="H152" s="30"/>
      <x:c r="I152" s="32" t="n">
        <x:f>ROUND(SUM(I119:I151),1)</x:f>
        <x:v>14320.8</x:v>
      </x:c>
      <x:c r="J152" s="30"/>
      <x:c r="K152" s="30"/>
    </x:row>
    <x:row r="153">
      <x:c r="A153" s="31" t="str">
        <x:v>均值</x:v>
      </x:c>
      <x:c r="B153" s="30"/>
      <x:c r="C153" s="30"/>
      <x:c r="D153" s="30"/>
      <x:c r="E153" s="30"/>
      <x:c r="F153" s="30"/>
      <x:c r="G153" s="30"/>
      <x:c r="H153" s="30"/>
      <x:c r="I153" s="34" t="n">
        <x:f>ROUND(IFERROR(AVERAGE(I119:I151),0),1)</x:f>
        <x:v>434</x:v>
      </x:c>
      <x:c r="J153" s="30"/>
      <x:c r="K153" s="30"/>
    </x:row>
    <x:row r="155">
      <x:c r="A155" s="17" t="str">
        <x:v>IC主力</x:v>
      </x:c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</x:row>
    <x:row r="156">
      <x:c r="A156" s="20" t="str">
        <x:v>序号</x:v>
      </x:c>
      <x:c r="B156" s="20" t="str">
        <x:v>周期</x:v>
      </x:c>
      <x:c r="C156" s="20" t="str">
        <x:v>开盘</x:v>
      </x:c>
      <x:c r="D156" s="20" t="str">
        <x:v>高点</x:v>
      </x:c>
      <x:c r="E156" s="20" t="str">
        <x:v>低点</x:v>
      </x:c>
      <x:c r="F156" s="20" t="str">
        <x:v>收盘</x:v>
      </x:c>
      <x:c r="G156" s="20" t="str">
        <x:v>涨跌点数</x:v>
      </x:c>
      <x:c r="H156" s="20" t="str">
        <x:v>涨幅</x:v>
      </x:c>
      <x:c r="I156" s="20" t="str">
        <x:v>振幅</x:v>
      </x:c>
      <x:c r="J156" s="20" t="str">
        <x:v>标的</x:v>
      </x:c>
      <x:c r="K156" s="20" t="str">
        <x:v>交易日</x:v>
      </x:c>
    </x:row>
    <x:row r="157">
      <x:c r="A157" s="22" t="n">
        <x:v>1</x:v>
      </x:c>
      <x:c r="B157" s="22" t="str">
        <x:v>1月5日-1月9日</x:v>
      </x:c>
      <x:c r="C157" s="23" t="n">
        <x:v>7424.4</x:v>
      </x:c>
      <x:c r="D157" s="23" t="n">
        <x:v>8037.8</x:v>
      </x:c>
      <x:c r="E157" s="23" t="n">
        <x:v>7422</x:v>
      </x:c>
      <x:c r="F157" s="23" t="n">
        <x:v>8037.8</x:v>
      </x:c>
      <x:c r="G157" s="23"/>
      <x:c r="H157" s="24"/>
      <x:c r="I157" s="26" t="n">
        <x:f>ROUND(D157-E157,1)</x:f>
        <x:v>615.8</x:v>
      </x:c>
      <x:c r="J157" s="22" t="str">
        <x:v>IC2603</x:v>
      </x:c>
      <x:c r="K157" s="22" t="n">
        <x:v>5</x:v>
      </x:c>
    </x:row>
    <x:row r="158">
      <x:c r="A158" s="22" t="n">
        <x:v>2</x:v>
      </x:c>
      <x:c r="B158" s="22" t="str">
        <x:v>1月12日-1月16日</x:v>
      </x:c>
      <x:c r="C158" s="23" t="n">
        <x:v>8099</x:v>
      </x:c>
      <x:c r="D158" s="23" t="n">
        <x:v>8388.6</x:v>
      </x:c>
      <x:c r="E158" s="23" t="n">
        <x:v>8044</x:v>
      </x:c>
      <x:c r="F158" s="23" t="n">
        <x:v>8210.4</x:v>
      </x:c>
      <x:c r="G158" s="28" t="n">
        <x:f>ROUND(F158-F157,1)</x:f>
        <x:v>172.6</x:v>
      </x:c>
      <x:c r="H158" s="24" t="n">
        <x:f>IFERROR(F158/F157-1,"")</x:f>
        <x:v>0.02147353753514647</x:v>
      </x:c>
      <x:c r="I158" s="26" t="n">
        <x:f>ROUND(D158-E158,1)</x:f>
        <x:v>344.6</x:v>
      </x:c>
      <x:c r="J158" s="22" t="str">
        <x:v>IC2603</x:v>
      </x:c>
      <x:c r="K158" s="22" t="n">
        <x:v>5</x:v>
      </x:c>
    </x:row>
    <x:row r="159">
      <x:c r="A159" s="22" t="n">
        <x:v>3</x:v>
      </x:c>
      <x:c r="B159" s="22" t="str">
        <x:v>1月19日-1月23日</x:v>
      </x:c>
      <x:c r="C159" s="23" t="n">
        <x:v>8182.6</x:v>
      </x:c>
      <x:c r="D159" s="23" t="n">
        <x:v>8660</x:v>
      </x:c>
      <x:c r="E159" s="23" t="n">
        <x:v>8112</x:v>
      </x:c>
      <x:c r="F159" s="23" t="n">
        <x:v>8658.2</x:v>
      </x:c>
      <x:c r="G159" s="28" t="n">
        <x:f>ROUND(F159-F158,1)</x:f>
        <x:v>447.8</x:v>
      </x:c>
      <x:c r="H159" s="24" t="n">
        <x:f>IFERROR(F159/F158-1,"")</x:f>
        <x:v>0.05454058267563111</x:v>
      </x:c>
      <x:c r="I159" s="26" t="n">
        <x:f>ROUND(D159-E159,1)</x:f>
        <x:v>548</x:v>
      </x:c>
      <x:c r="J159" s="22" t="str">
        <x:v>IC2603</x:v>
      </x:c>
      <x:c r="K159" s="22" t="n">
        <x:v>5</x:v>
      </x:c>
    </x:row>
    <x:row r="160">
      <x:c r="A160" s="22" t="n">
        <x:v>4</x:v>
      </x:c>
      <x:c r="B160" s="22" t="str">
        <x:v>1月26日-1月30日</x:v>
      </x:c>
      <x:c r="C160" s="23" t="n">
        <x:v>8695</x:v>
      </x:c>
      <x:c r="D160" s="23" t="n">
        <x:v>8728.2</x:v>
      </x:c>
      <x:c r="E160" s="23" t="n">
        <x:v>8135</x:v>
      </x:c>
      <x:c r="F160" s="23" t="n">
        <x:v>8362.4</x:v>
      </x:c>
      <x:c r="G160" s="28" t="n">
        <x:f>ROUND(F160-F159,1)</x:f>
        <x:v>-295.8</x:v>
      </x:c>
      <x:c r="H160" s="24" t="n">
        <x:f>IFERROR(F160/F159-1,"")</x:f>
        <x:v>-0.03416414497239628</x:v>
      </x:c>
      <x:c r="I160" s="26" t="n">
        <x:f>ROUND(D160-E160,1)</x:f>
        <x:v>593.2</x:v>
      </x:c>
      <x:c r="J160" s="22" t="str">
        <x:v>IC2603</x:v>
      </x:c>
      <x:c r="K160" s="22" t="n">
        <x:v>5</x:v>
      </x:c>
    </x:row>
    <x:row r="161">
      <x:c r="A161" s="22" t="n">
        <x:v>5</x:v>
      </x:c>
      <x:c r="B161" s="22" t="str">
        <x:v>2月2日-2月6日</x:v>
      </x:c>
      <x:c r="C161" s="23" t="n">
        <x:v>8262.2</x:v>
      </x:c>
      <x:c r="D161" s="23" t="n">
        <x:v>8334.4</x:v>
      </x:c>
      <x:c r="E161" s="23" t="n">
        <x:v>7832</x:v>
      </x:c>
      <x:c r="F161" s="23" t="n">
        <x:v>8117.4</x:v>
      </x:c>
      <x:c r="G161" s="28" t="n">
        <x:f>ROUND(F161-F160,1)</x:f>
        <x:v>-245</x:v>
      </x:c>
      <x:c r="H161" s="24" t="n">
        <x:f>IFERROR(F161/F160-1,"")</x:f>
        <x:v>-0.029297809241366157</x:v>
      </x:c>
      <x:c r="I161" s="26" t="n">
        <x:f>ROUND(D161-E161,1)</x:f>
        <x:v>502.4</x:v>
      </x:c>
      <x:c r="J161" s="22" t="str">
        <x:v>IC2603</x:v>
      </x:c>
      <x:c r="K161" s="22" t="n">
        <x:v>5</x:v>
      </x:c>
    </x:row>
    <x:row r="162">
      <x:c r="A162" s="22" t="n">
        <x:v>6</x:v>
      </x:c>
      <x:c r="B162" s="22" t="str">
        <x:v>2月9日-2月13日</x:v>
      </x:c>
      <x:c r="C162" s="23" t="n">
        <x:v>8260</x:v>
      </x:c>
      <x:c r="D162" s="23" t="n">
        <x:v>8458.8</x:v>
      </x:c>
      <x:c r="E162" s="23" t="n">
        <x:v>8220</x:v>
      </x:c>
      <x:c r="F162" s="23" t="n">
        <x:v>8274.8</x:v>
      </x:c>
      <x:c r="G162" s="28" t="n">
        <x:f>ROUND(F162-F161,1)</x:f>
        <x:v>157.4</x:v>
      </x:c>
      <x:c r="H162" s="24" t="n">
        <x:f>IFERROR(F162/F161-1,"")</x:f>
        <x:v>0.019390445216448615</x:v>
      </x:c>
      <x:c r="I162" s="26" t="n">
        <x:f>ROUND(D162-E162,1)</x:f>
        <x:v>238.8</x:v>
      </x:c>
      <x:c r="J162" s="22" t="str">
        <x:v>IC2603</x:v>
      </x:c>
      <x:c r="K162" s="22" t="n">
        <x:v>5</x:v>
      </x:c>
    </x:row>
    <x:row r="163">
      <x:c r="A163" s="22" t="n">
        <x:v>7</x:v>
      </x:c>
      <x:c r="B163" s="22" t="str">
        <x:v>2月24日-2月27日</x:v>
      </x:c>
      <x:c r="C163" s="23" t="n">
        <x:v>8360</x:v>
      </x:c>
      <x:c r="D163" s="23" t="n">
        <x:v>8650</x:v>
      </x:c>
      <x:c r="E163" s="23" t="n">
        <x:v>8314</x:v>
      </x:c>
      <x:c r="F163" s="23" t="n">
        <x:v>8645.4</x:v>
      </x:c>
      <x:c r="G163" s="28" t="n">
        <x:f>ROUND(F163-F162,1)</x:f>
        <x:v>370.6</x:v>
      </x:c>
      <x:c r="H163" s="24" t="n">
        <x:f>IFERROR(F163/F162-1,"")</x:f>
        <x:v>0.04478658094455468</x:v>
      </x:c>
      <x:c r="I163" s="26" t="n">
        <x:f>ROUND(D163-E163,1)</x:f>
        <x:v>336</x:v>
      </x:c>
      <x:c r="J163" s="22" t="str">
        <x:v>IC2603</x:v>
      </x:c>
      <x:c r="K163" s="22" t="n">
        <x:v>4</x:v>
      </x:c>
    </x:row>
    <x:row r="164">
      <x:c r="A164" s="22" t="n">
        <x:v>8</x:v>
      </x:c>
      <x:c r="B164" s="22" t="str">
        <x:v>3月2日-3月6日</x:v>
      </x:c>
      <x:c r="C164" s="23" t="n">
        <x:v>8600</x:v>
      </x:c>
      <x:c r="D164" s="23" t="n">
        <x:v>8686</x:v>
      </x:c>
      <x:c r="E164" s="23" t="n">
        <x:v>8180.6</x:v>
      </x:c>
      <x:c r="F164" s="23" t="n">
        <x:v>8322.6</x:v>
      </x:c>
      <x:c r="G164" s="28" t="n">
        <x:f>ROUND(F164-F163,1)</x:f>
        <x:v>-322.8</x:v>
      </x:c>
      <x:c r="H164" s="24" t="n">
        <x:f>IFERROR(F164/F163-1,"")</x:f>
        <x:v>-0.03733777500173496</x:v>
      </x:c>
      <x:c r="I164" s="26" t="n">
        <x:f>ROUND(D164-E164,1)</x:f>
        <x:v>505.4</x:v>
      </x:c>
      <x:c r="J164" s="22" t="str">
        <x:v>IC2603</x:v>
      </x:c>
      <x:c r="K164" s="22" t="n">
        <x:v>5</x:v>
      </x:c>
    </x:row>
    <x:row r="165">
      <x:c r="A165" s="22" t="n">
        <x:v>9</x:v>
      </x:c>
      <x:c r="B165" s="22" t="str">
        <x:v>3月9日-3月13日</x:v>
      </x:c>
      <x:c r="C165" s="23" t="n">
        <x:v>8201.8</x:v>
      </x:c>
      <x:c r="D165" s="23" t="n">
        <x:v>8434.4</x:v>
      </x:c>
      <x:c r="E165" s="23" t="n">
        <x:v>7710</x:v>
      </x:c>
      <x:c r="F165" s="23" t="n">
        <x:v>8213.8</x:v>
      </x:c>
      <x:c r="G165" s="23" t="n">
        <x:f>ROUND(F165-F164,1)</x:f>
        <x:v>-108.8</x:v>
      </x:c>
      <x:c r="H165" s="24" t="n">
        <x:f>IFERROR(F165/F164-1,"")</x:f>
        <x:v>-0.013072837815106042</x:v>
      </x:c>
      <x:c r="I165" s="26" t="n">
        <x:f>ROUND(D165-E165,1)</x:f>
        <x:v>724.4</x:v>
      </x:c>
      <x:c r="J165" s="22" t="str">
        <x:v>IC2603</x:v>
      </x:c>
      <x:c r="K165" s="22" t="n">
        <x:v>5</x:v>
      </x:c>
    </x:row>
    <x:row r="166">
      <x:c r="A166" s="22" t="n">
        <x:v>10</x:v>
      </x:c>
      <x:c r="B166" s="22" t="str">
        <x:v>3月16日-3月20日</x:v>
      </x:c>
      <x:c r="C166" s="23" t="n">
        <x:v>8225.2</x:v>
      </x:c>
      <x:c r="D166" s="23" t="n">
        <x:v>8229.6</x:v>
      </x:c>
      <x:c r="E166" s="23" t="n">
        <x:v>7827.8</x:v>
      </x:c>
      <x:c r="F166" s="23" t="n">
        <x:v>7844.4</x:v>
      </x:c>
      <x:c r="G166" s="28" t="n">
        <x:f>ROUND(F166-F165,1)</x:f>
        <x:v>-369.4</x:v>
      </x:c>
      <x:c r="H166" s="24" t="n">
        <x:f>IFERROR(F166/F165-1,"")</x:f>
        <x:v>-0.04497309406121397</x:v>
      </x:c>
      <x:c r="I166" s="26" t="n">
        <x:f>ROUND(D166-E166,1)</x:f>
        <x:v>401.8</x:v>
      </x:c>
      <x:c r="J166" s="22" t="str">
        <x:v>IC2603</x:v>
      </x:c>
      <x:c r="K166" s="22" t="n">
        <x:v>5</x:v>
      </x:c>
    </x:row>
    <x:row r="167">
      <x:c r="A167" s="22" t="n">
        <x:v>11</x:v>
      </x:c>
      <x:c r="B167" s="22" t="str">
        <x:v>3月23日-3月27日</x:v>
      </x:c>
      <x:c r="C167" s="23" t="n">
        <x:v>7460</x:v>
      </x:c>
      <x:c r="D167" s="23" t="n">
        <x:v>7652</x:v>
      </x:c>
      <x:c r="E167" s="23" t="n">
        <x:v>7171</x:v>
      </x:c>
      <x:c r="F167" s="23" t="n">
        <x:v>7559.2</x:v>
      </x:c>
      <x:c r="G167" s="28" t="n">
        <x:f>ROUND(F167-F166,1)</x:f>
        <x:v>-285.2</x:v>
      </x:c>
      <x:c r="H167" s="24" t="n">
        <x:f>IFERROR(F167/F166-1,"")</x:f>
        <x:v>-0.03635714649941357</x:v>
      </x:c>
      <x:c r="I167" s="26" t="n">
        <x:f>ROUND(D167-E167,1)</x:f>
        <x:v>481</x:v>
      </x:c>
      <x:c r="J167" s="22" t="str">
        <x:v>IC2606</x:v>
      </x:c>
      <x:c r="K167" s="22" t="n">
        <x:v>5</x:v>
      </x:c>
    </x:row>
    <x:row r="168">
      <x:c r="A168" s="22" t="n">
        <x:v>12</x:v>
      </x:c>
      <x:c r="B168" s="22" t="str">
        <x:v>3月30日-4月3日</x:v>
      </x:c>
      <x:c r="C168" s="23" t="n">
        <x:v>7470.8</x:v>
      </x:c>
      <x:c r="D168" s="23" t="n">
        <x:v>7619</x:v>
      </x:c>
      <x:c r="E168" s="23" t="n">
        <x:v>7325.2</x:v>
      </x:c>
      <x:c r="F168" s="23" t="n">
        <x:v>7352</x:v>
      </x:c>
      <x:c r="G168" s="28" t="n">
        <x:f>ROUND(F168-F167,1)</x:f>
        <x:v>-207.2</x:v>
      </x:c>
      <x:c r="H168" s="24" t="n">
        <x:f>IFERROR(F168/F167-1,"")</x:f>
        <x:v>-0.02741030796909727</x:v>
      </x:c>
      <x:c r="I168" s="26" t="n">
        <x:f>ROUND(D168-E168,1)</x:f>
        <x:v>293.8</x:v>
      </x:c>
      <x:c r="J168" s="22" t="str">
        <x:v>IC2606</x:v>
      </x:c>
      <x:c r="K168" s="22" t="n">
        <x:v>5</x:v>
      </x:c>
    </x:row>
    <x:row r="169">
      <x:c r="A169" s="22" t="n">
        <x:v>13</x:v>
      </x:c>
      <x:c r="B169" s="22" t="str">
        <x:v>4月7日-4月10日</x:v>
      </x:c>
      <x:c r="C169" s="23" t="n">
        <x:v>7380</x:v>
      </x:c>
      <x:c r="D169" s="23" t="n">
        <x:v>7945.4</x:v>
      </x:c>
      <x:c r="E169" s="23" t="n">
        <x:v>7355.6</x:v>
      </x:c>
      <x:c r="F169" s="23" t="n">
        <x:v>7828.6</x:v>
      </x:c>
      <x:c r="G169" s="28" t="n">
        <x:f>ROUND(F169-F168,1)</x:f>
        <x:v>476.6</x:v>
      </x:c>
      <x:c r="H169" s="24" t="n">
        <x:f>IFERROR(F169/F168-1,"")</x:f>
        <x:v>0.06482589771490765</x:v>
      </x:c>
      <x:c r="I169" s="26" t="n">
        <x:f>ROUND(D169-E169,1)</x:f>
        <x:v>589.8</x:v>
      </x:c>
      <x:c r="J169" s="22" t="str">
        <x:v>IC2606</x:v>
      </x:c>
      <x:c r="K169" s="22" t="n">
        <x:v>4</x:v>
      </x:c>
    </x:row>
    <x:row r="170">
      <x:c r="A170" s="22" t="n">
        <x:v>14</x:v>
      </x:c>
      <x:c r="B170" s="22" t="str">
        <x:v>4月13日-4月17日</x:v>
      </x:c>
      <x:c r="C170" s="23" t="n">
        <x:v>7792</x:v>
      </x:c>
      <x:c r="D170" s="23" t="n">
        <x:v>8119.6</x:v>
      </x:c>
      <x:c r="E170" s="23" t="n">
        <x:v>7792</x:v>
      </x:c>
      <x:c r="F170" s="23" t="n">
        <x:v>8098.8</x:v>
      </x:c>
      <x:c r="G170" s="28" t="n">
        <x:f>ROUND(F170-F169,1)</x:f>
        <x:v>270.2</x:v>
      </x:c>
      <x:c r="H170" s="24" t="n">
        <x:f>IFERROR(F170/F169-1,"")</x:f>
        <x:v>0.034514472574917576</x:v>
      </x:c>
      <x:c r="I170" s="26" t="n">
        <x:f>ROUND(D170-E170,1)</x:f>
        <x:v>327.6</x:v>
      </x:c>
      <x:c r="J170" s="22" t="str">
        <x:v>IC2606</x:v>
      </x:c>
      <x:c r="K170" s="22" t="n">
        <x:v>5</x:v>
      </x:c>
    </x:row>
    <x:row r="171">
      <x:c r="A171" s="22" t="n">
        <x:v>15</x:v>
      </x:c>
      <x:c r="B171" s="22" t="str">
        <x:v>4月20日-4月24日</x:v>
      </x:c>
      <x:c r="C171" s="23" t="n">
        <x:v>8076.4</x:v>
      </x:c>
      <x:c r="D171" s="23" t="n">
        <x:v>8288.2</x:v>
      </x:c>
      <x:c r="E171" s="23" t="n">
        <x:v>8042</x:v>
      </x:c>
      <x:c r="F171" s="23" t="n">
        <x:v>8132.8</x:v>
      </x:c>
      <x:c r="G171" s="23" t="n">
        <x:f>ROUND(F171-F170,1)</x:f>
        <x:v>34</x:v>
      </x:c>
      <x:c r="H171" s="24" t="n">
        <x:f>IFERROR(F171/F170-1,"")</x:f>
        <x:v>0.004198152812762368</x:v>
      </x:c>
      <x:c r="I171" s="26" t="n">
        <x:f>ROUND(D171-E171,1)</x:f>
        <x:v>246.2</x:v>
      </x:c>
      <x:c r="J171" s="22" t="str">
        <x:v>IC2606</x:v>
      </x:c>
      <x:c r="K171" s="22" t="n">
        <x:v>5</x:v>
      </x:c>
    </x:row>
    <x:row r="172">
      <x:c r="A172" s="22" t="n">
        <x:v>16</x:v>
      </x:c>
      <x:c r="B172" s="22" t="str">
        <x:v>4月27日-4月30日</x:v>
      </x:c>
      <x:c r="C172" s="23" t="n">
        <x:v>8145.2</x:v>
      </x:c>
      <x:c r="D172" s="23" t="n">
        <x:v>8287.8</x:v>
      </x:c>
      <x:c r="E172" s="23" t="n">
        <x:v>8056.2</x:v>
      </x:c>
      <x:c r="F172" s="23" t="n">
        <x:v>8270</x:v>
      </x:c>
      <x:c r="G172" s="23" t="n">
        <x:f>ROUND(F172-F171,1)</x:f>
        <x:v>137.2</x:v>
      </x:c>
      <x:c r="H172" s="24" t="n">
        <x:f>IFERROR(F172/F171-1,"")</x:f>
        <x:v>0.016869958685815423</x:v>
      </x:c>
      <x:c r="I172" s="26" t="n">
        <x:f>ROUND(D172-E172,1)</x:f>
        <x:v>231.6</x:v>
      </x:c>
      <x:c r="J172" s="22" t="str">
        <x:v>IC2606</x:v>
      </x:c>
      <x:c r="K172" s="22" t="n">
        <x:v>4</x:v>
      </x:c>
    </x:row>
    <x:row r="173">
      <x:c r="A173" s="22" t="n">
        <x:v>17</x:v>
      </x:c>
      <x:c r="B173" s="22" t="str">
        <x:v>5月6日-5月8日</x:v>
      </x:c>
      <x:c r="C173" s="23" t="n">
        <x:v>8377.6</x:v>
      </x:c>
      <x:c r="D173" s="23" t="n">
        <x:v>8648</x:v>
      </x:c>
      <x:c r="E173" s="23" t="n">
        <x:v>8375.4</x:v>
      </x:c>
      <x:c r="F173" s="23" t="n">
        <x:v>8620.8</x:v>
      </x:c>
      <x:c r="G173" s="28" t="n">
        <x:f>ROUND(F173-F172,1)</x:f>
        <x:v>350.8</x:v>
      </x:c>
      <x:c r="H173" s="24" t="n">
        <x:f>IFERROR(F173/F172-1,"")</x:f>
        <x:v>0.042418379685610574</x:v>
      </x:c>
      <x:c r="I173" s="26" t="n">
        <x:f>ROUND(D173-E173,1)</x:f>
        <x:v>272.6</x:v>
      </x:c>
      <x:c r="J173" s="22" t="str">
        <x:v>IC2606</x:v>
      </x:c>
      <x:c r="K173" s="22" t="n">
        <x:v>3</x:v>
      </x:c>
    </x:row>
    <x:row r="174">
      <x:c r="A174" s="22" t="n">
        <x:v>18</x:v>
      </x:c>
      <x:c r="B174" s="22" t="str">
        <x:v>5月11日-5月15日</x:v>
      </x:c>
      <x:c r="C174" s="23" t="n">
        <x:v>8691</x:v>
      </x:c>
      <x:c r="D174" s="23" t="n">
        <x:v>8886.8</x:v>
      </x:c>
      <x:c r="E174" s="23" t="n">
        <x:v>8378.2</x:v>
      </x:c>
      <x:c r="F174" s="23" t="n">
        <x:v>8448.8</x:v>
      </x:c>
      <x:c r="G174" s="28" t="n">
        <x:f>ROUND(F174-F173,1)</x:f>
        <x:v>-172</x:v>
      </x:c>
      <x:c r="H174" s="24" t="n">
        <x:f>IFERROR(F174/F173-1,"")</x:f>
        <x:v>-0.01995174461766891</x:v>
      </x:c>
      <x:c r="I174" s="26" t="n">
        <x:f>ROUND(D174-E174,1)</x:f>
        <x:v>508.6</x:v>
      </x:c>
      <x:c r="J174" s="22" t="str">
        <x:v>IC2606</x:v>
      </x:c>
      <x:c r="K174" s="22" t="n">
        <x:v>5</x:v>
      </x:c>
    </x:row>
    <x:row r="175">
      <x:c r="A175" s="22" t="n">
        <x:v>19</x:v>
      </x:c>
      <x:c r="B175" s="22" t="str">
        <x:v>5月18日-5月22日</x:v>
      </x:c>
      <x:c r="C175" s="23" t="n">
        <x:v>8418.4</x:v>
      </x:c>
      <x:c r="D175" s="23" t="n">
        <x:v>8728</x:v>
      </x:c>
      <x:c r="E175" s="23" t="n">
        <x:v>8310</x:v>
      </x:c>
      <x:c r="F175" s="23" t="n">
        <x:v>8469.2</x:v>
      </x:c>
      <x:c r="G175" s="23" t="n">
        <x:f>ROUND(F175-F174,1)</x:f>
        <x:v>20.4</x:v>
      </x:c>
      <x:c r="H175" s="24" t="n">
        <x:f>IFERROR(F175/F174-1,"")</x:f>
        <x:v>0.0024145440772656013</x:v>
      </x:c>
      <x:c r="I175" s="26" t="n">
        <x:f>ROUND(D175-E175,1)</x:f>
        <x:v>418</x:v>
      </x:c>
      <x:c r="J175" s="22" t="str">
        <x:v>IC2606</x:v>
      </x:c>
      <x:c r="K175" s="22" t="n">
        <x:v>5</x:v>
      </x:c>
    </x:row>
    <x:row r="176">
      <x:c r="A176" s="22" t="n">
        <x:v>20</x:v>
      </x:c>
      <x:c r="B176" s="22" t="str">
        <x:v>5月25日-5月29日</x:v>
      </x:c>
      <x:c r="C176" s="23" t="n">
        <x:v>8543</x:v>
      </x:c>
      <x:c r="D176" s="23" t="n">
        <x:v>8658.2</x:v>
      </x:c>
      <x:c r="E176" s="23" t="n">
        <x:v>8218.2</x:v>
      </x:c>
      <x:c r="F176" s="23" t="n">
        <x:v>8274.6</x:v>
      </x:c>
      <x:c r="G176" s="28" t="n">
        <x:f>ROUND(F176-F175,1)</x:f>
        <x:v>-194.6</x:v>
      </x:c>
      <x:c r="H176" s="24" t="n">
        <x:f>IFERROR(F176/F175-1,"")</x:f>
        <x:v>-0.022977376847872377</x:v>
      </x:c>
      <x:c r="I176" s="26" t="n">
        <x:f>ROUND(D176-E176,1)</x:f>
        <x:v>440</x:v>
      </x:c>
      <x:c r="J176" s="22" t="str">
        <x:v>IC2606</x:v>
      </x:c>
      <x:c r="K176" s="22" t="n">
        <x:v>5</x:v>
      </x:c>
    </x:row>
    <x:row r="177">
      <x:c r="A177" s="22" t="n">
        <x:v>21</x:v>
      </x:c>
      <x:c r="B177" s="22" t="str">
        <x:v>6月1日-6月5日</x:v>
      </x:c>
      <x:c r="C177" s="23" t="n">
        <x:v>8298</x:v>
      </x:c>
      <x:c r="D177" s="23" t="n">
        <x:v>8425</x:v>
      </x:c>
      <x:c r="E177" s="23" t="n">
        <x:v>8101.6</x:v>
      </x:c>
      <x:c r="F177" s="23" t="n">
        <x:v>8190.6</x:v>
      </x:c>
      <x:c r="G177" s="23" t="n">
        <x:f>ROUND(F177-F176,1)</x:f>
        <x:v>-84</x:v>
      </x:c>
      <x:c r="H177" s="24" t="n">
        <x:f>IFERROR(F177/F176-1,"")</x:f>
        <x:v>-0.010151548111086983</x:v>
      </x:c>
      <x:c r="I177" s="26" t="n">
        <x:f>ROUND(D177-E177,1)</x:f>
        <x:v>323.4</x:v>
      </x:c>
      <x:c r="J177" s="22" t="str">
        <x:v>IC2606</x:v>
      </x:c>
      <x:c r="K177" s="22" t="n">
        <x:v>5</x:v>
      </x:c>
    </x:row>
    <x:row r="178">
      <x:c r="A178" s="22" t="n">
        <x:v>22</x:v>
      </x:c>
      <x:c r="B178" s="22" t="str">
        <x:v>6月8日-6月12日</x:v>
      </x:c>
      <x:c r="C178" s="23" t="n">
        <x:v>8050</x:v>
      </x:c>
      <x:c r="D178" s="23" t="n">
        <x:v>8237.6</x:v>
      </x:c>
      <x:c r="E178" s="23" t="n">
        <x:v>7838</x:v>
      </x:c>
      <x:c r="F178" s="23" t="n">
        <x:v>8117.2</x:v>
      </x:c>
      <x:c r="G178" s="23" t="n">
        <x:f>ROUND(F178-F177,1)</x:f>
        <x:v>-73.4</x:v>
      </x:c>
      <x:c r="H178" s="24" t="n">
        <x:f>IFERROR(F178/F177-1,"")</x:f>
        <x:v>-0.008961492442556174</x:v>
      </x:c>
      <x:c r="I178" s="26" t="n">
        <x:f>ROUND(D178-E178,1)</x:f>
        <x:v>399.6</x:v>
      </x:c>
      <x:c r="J178" s="22" t="str">
        <x:v>IC2606</x:v>
      </x:c>
      <x:c r="K178" s="22" t="n">
        <x:v>5</x:v>
      </x:c>
    </x:row>
    <x:row r="179">
      <x:c r="A179" s="22" t="n">
        <x:v>23</x:v>
      </x:c>
      <x:c r="B179" s="22" t="str">
        <x:v>6月15日-6月18日</x:v>
      </x:c>
      <x:c r="C179" s="23" t="n">
        <x:v>8181.2</x:v>
      </x:c>
      <x:c r="D179" s="23" t="n">
        <x:v>8718</x:v>
      </x:c>
      <x:c r="E179" s="23" t="n">
        <x:v>8181.2</x:v>
      </x:c>
      <x:c r="F179" s="23" t="n">
        <x:v>8682.8</x:v>
      </x:c>
      <x:c r="G179" s="28" t="n">
        <x:f>ROUND(F179-F178,1)</x:f>
        <x:v>565.6</x:v>
      </x:c>
      <x:c r="H179" s="24" t="n">
        <x:f>IFERROR(F179/F178-1,"")</x:f>
        <x:v>0.06967919972404268</x:v>
      </x:c>
      <x:c r="I179" s="26" t="n">
        <x:f>ROUND(D179-E179,1)</x:f>
        <x:v>536.8</x:v>
      </x:c>
      <x:c r="J179" s="22" t="str">
        <x:v>IC2606</x:v>
      </x:c>
      <x:c r="K179" s="22" t="n">
        <x:v>4</x:v>
      </x:c>
    </x:row>
    <x:row r="180">
      <x:c r="A180" s="22" t="n">
        <x:v>24</x:v>
      </x:c>
      <x:c r="B180" s="22" t="str">
        <x:v>6月22日-6月26日</x:v>
      </x:c>
      <x:c r="C180" s="23" t="n">
        <x:v>8692.8</x:v>
      </x:c>
      <x:c r="D180" s="23" t="n">
        <x:v>8778.8</x:v>
      </x:c>
      <x:c r="E180" s="23" t="n">
        <x:v>8377</x:v>
      </x:c>
      <x:c r="F180" s="23" t="n">
        <x:v>8447</x:v>
      </x:c>
      <x:c r="G180" s="28" t="n">
        <x:f>ROUND(F180-F179,1)</x:f>
        <x:v>-235.8</x:v>
      </x:c>
      <x:c r="H180" s="24" t="n">
        <x:f>IFERROR(F180/F179-1,"")</x:f>
        <x:v>-0.027157138250333945</x:v>
      </x:c>
      <x:c r="I180" s="26" t="n">
        <x:f>ROUND(D180-E180,1)</x:f>
        <x:v>401.8</x:v>
      </x:c>
      <x:c r="J180" s="22" t="str">
        <x:v>IC2606/IC2609</x:v>
      </x:c>
      <x:c r="K180" s="22" t="n">
        <x:v>5</x:v>
      </x:c>
    </x:row>
    <x:row r="181">
      <x:c r="A181" s="22" t="n">
        <x:v>25</x:v>
      </x:c>
      <x:c r="B181" s="22" t="str">
        <x:v>6月29日-7月3日</x:v>
      </x:c>
      <x:c r="C181" s="23" t="n">
        <x:v>8463.8</x:v>
      </x:c>
      <x:c r="D181" s="23" t="n">
        <x:v>8873.8</x:v>
      </x:c>
      <x:c r="E181" s="23" t="n">
        <x:v>8350.4</x:v>
      </x:c>
      <x:c r="F181" s="23" t="n">
        <x:v>8538</x:v>
      </x:c>
      <x:c r="G181" s="23" t="n">
        <x:f>ROUND(F181-F180,1)</x:f>
        <x:v>91</x:v>
      </x:c>
      <x:c r="H181" s="24" t="n">
        <x:f>IFERROR(F181/F180-1,"")</x:f>
        <x:v>0.010773055522670827</x:v>
      </x:c>
      <x:c r="I181" s="26" t="n">
        <x:f>ROUND(D181-E181,1)</x:f>
        <x:v>523.4</x:v>
      </x:c>
      <x:c r="J181" s="22" t="str">
        <x:v>IC2609</x:v>
      </x:c>
      <x:c r="K181" s="22" t="n">
        <x:v>5</x:v>
      </x:c>
    </x:row>
    <x:row r="182">
      <x:c r="A182" s="22" t="n">
        <x:v>26</x:v>
      </x:c>
      <x:c r="B182" s="22" t="str">
        <x:v>7月6日-7月10日</x:v>
      </x:c>
      <x:c r="C182" s="23" t="n">
        <x:v>8574.4</x:v>
      </x:c>
      <x:c r="D182" s="23" t="n">
        <x:v>8618</x:v>
      </x:c>
      <x:c r="E182" s="23" t="n">
        <x:v>8173</x:v>
      </x:c>
      <x:c r="F182" s="23" t="n">
        <x:v>8333</x:v>
      </x:c>
      <x:c r="G182" s="28" t="n">
        <x:f>ROUND(F182-F181,1)</x:f>
        <x:v>-205</x:v>
      </x:c>
      <x:c r="H182" s="24" t="n">
        <x:f>IFERROR(F182/F181-1,"")</x:f>
        <x:v>-0.024010306863434083</x:v>
      </x:c>
      <x:c r="I182" s="26" t="n">
        <x:f>ROUND(D182-E182,1)</x:f>
        <x:v>445</x:v>
      </x:c>
      <x:c r="J182" s="22" t="str">
        <x:v>IC2609</x:v>
      </x:c>
      <x:c r="K182" s="22" t="n">
        <x:v>5</x:v>
      </x:c>
    </x:row>
    <x:row r="183">
      <x:c r="A183" s="22" t="n">
        <x:v>27</x:v>
      </x:c>
      <x:c r="B183" s="22" t="str">
        <x:v>7月13日-7月17日</x:v>
      </x:c>
      <x:c r="C183" s="23" t="n">
        <x:v>8303</x:v>
      </x:c>
      <x:c r="D183" s="23" t="n">
        <x:v>8328</x:v>
      </x:c>
      <x:c r="E183" s="23" t="n">
        <x:v>7362.8</x:v>
      </x:c>
      <x:c r="F183" s="23" t="n">
        <x:v>7389</x:v>
      </x:c>
      <x:c r="G183" s="28" t="n">
        <x:f>ROUND(F183-F182,1)</x:f>
        <x:v>-944</x:v>
      </x:c>
      <x:c r="H183" s="24" t="n">
        <x:f>IFERROR(F183/F182-1,"")</x:f>
        <x:v>-0.11328453138125527</x:v>
      </x:c>
      <x:c r="I183" s="26" t="n">
        <x:f>ROUND(D183-E183,1)</x:f>
        <x:v>965.2</x:v>
      </x:c>
      <x:c r="J183" s="22" t="str">
        <x:v>IC2609</x:v>
      </x:c>
      <x:c r="K183" s="22" t="n">
        <x:v>5</x:v>
      </x:c>
    </x:row>
    <x:row r="184">
      <x:c r="A184" s="22" t="n">
        <x:v>28</x:v>
      </x:c>
      <x:c r="B184" s="22" t="str">
        <x:v>7月20日-7月24日</x:v>
      </x:c>
      <x:c r="C184" s="23" t="n">
        <x:v>7490</x:v>
      </x:c>
      <x:c r="D184" s="23" t="n">
        <x:v>7765.6</x:v>
      </x:c>
      <x:c r="E184" s="23" t="n">
        <x:v>7092</x:v>
      </x:c>
      <x:c r="F184" s="23" t="n">
        <x:v>7416</x:v>
      </x:c>
      <x:c r="G184" s="23" t="n">
        <x:f>ROUND(F184-F183,1)</x:f>
        <x:v>27</x:v>
      </x:c>
      <x:c r="H184" s="24" t="n">
        <x:f>IFERROR(F184/F183-1,"")</x:f>
        <x:v>0.0036540803897686658</x:v>
      </x:c>
      <x:c r="I184" s="26" t="n">
        <x:f>ROUND(D184-E184,1)</x:f>
        <x:v>673.6</x:v>
      </x:c>
      <x:c r="J184" s="22" t="str">
        <x:v>IC2609</x:v>
      </x:c>
      <x:c r="K184" s="22" t="n">
        <x:v>5</x:v>
      </x:c>
    </x:row>
    <x:row r="185">
      <x:c r="A185" s="22" t="n">
        <x:v>29</x:v>
      </x:c>
      <x:c r="B185" s="22" t="str">
        <x:v>7月27日-7月31日</x:v>
      </x:c>
      <x:c r="C185" s="23" t="n">
        <x:v>7447</x:v>
      </x:c>
      <x:c r="D185" s="23" t="n">
        <x:v>7666.6</x:v>
      </x:c>
      <x:c r="E185" s="23" t="n">
        <x:v>7106</x:v>
      </x:c>
      <x:c r="F185" s="23" t="n">
        <x:v>7395</x:v>
      </x:c>
      <x:c r="G185" s="23" t="n">
        <x:f>ROUND(F185-F184,1)</x:f>
        <x:v>-21</x:v>
      </x:c>
      <x:c r="H185" s="24" t="n">
        <x:f>IFERROR(F185/F184-1,"")</x:f>
        <x:v>-0.0028317152103559673</x:v>
      </x:c>
      <x:c r="I185" s="26" t="n">
        <x:f>ROUND(D185-E185,1)</x:f>
        <x:v>560.6</x:v>
      </x:c>
      <x:c r="J185" s="22" t="str">
        <x:v>IC2609</x:v>
      </x:c>
      <x:c r="K185" s="22" t="n">
        <x:v>5</x:v>
      </x:c>
    </x:row>
    <x:row r="186">
      <x:c r="A186" s="22" t="n">
        <x:v>30</x:v>
      </x:c>
      <x:c r="B186" s="22" t="str">
        <x:v>8月3日-8月7日</x:v>
      </x:c>
      <x:c r="C186" s="23" t="n">
        <x:v>7391</x:v>
      </x:c>
      <x:c r="D186" s="23" t="n">
        <x:v>7882.6</x:v>
      </x:c>
      <x:c r="E186" s="23" t="n">
        <x:v>7335</x:v>
      </x:c>
      <x:c r="F186" s="23" t="n">
        <x:v>7877.8</x:v>
      </x:c>
      <x:c r="G186" s="28" t="n">
        <x:f>ROUND(F186-F185,1)</x:f>
        <x:v>482.8</x:v>
      </x:c>
      <x:c r="H186" s="24" t="n">
        <x:f>IFERROR(F186/F185-1,"")</x:f>
        <x:v>0.06528735632183902</x:v>
      </x:c>
      <x:c r="I186" s="26" t="n">
        <x:f>ROUND(D186-E186,1)</x:f>
        <x:v>547.6</x:v>
      </x:c>
      <x:c r="J186" s="22" t="str">
        <x:v>IC2609</x:v>
      </x:c>
      <x:c r="K186" s="22" t="n">
        <x:v>5</x:v>
      </x:c>
    </x:row>
    <x:row r="187">
      <x:c r="A187" s="22" t="n">
        <x:v>31</x:v>
      </x:c>
      <x:c r="B187" s="22" t="str">
        <x:v>8月10日-8月14日</x:v>
      </x:c>
      <x:c r="C187" s="23" t="n">
        <x:v>7888</x:v>
      </x:c>
      <x:c r="D187" s="23" t="n">
        <x:v>8024</x:v>
      </x:c>
      <x:c r="E187" s="23" t="n">
        <x:v>7795.8</x:v>
      </x:c>
      <x:c r="F187" s="23" t="n">
        <x:v>7861.2</x:v>
      </x:c>
      <x:c r="G187" s="23" t="n">
        <x:f>ROUND(F187-F186,1)</x:f>
        <x:v>-16.6</x:v>
      </x:c>
      <x:c r="H187" s="24" t="n">
        <x:f>IFERROR(F187/F186-1,"")</x:f>
        <x:v>-0.0021071872857905127</x:v>
      </x:c>
      <x:c r="I187" s="26" t="n">
        <x:f>ROUND(D187-E187,1)</x:f>
        <x:v>228.2</x:v>
      </x:c>
      <x:c r="J187" s="22" t="str">
        <x:v>IC2609</x:v>
      </x:c>
      <x:c r="K187" s="22" t="n">
        <x:v>5</x:v>
      </x:c>
    </x:row>
    <x:row r="188">
      <x:c r="A188" s="22" t="n">
        <x:v>32</x:v>
      </x:c>
      <x:c r="B188" s="22" t="str">
        <x:v>8月17日-8月21日</x:v>
      </x:c>
      <x:c r="C188" s="23" t="n">
        <x:v>7885</x:v>
      </x:c>
      <x:c r="D188" s="23" t="n">
        <x:v>8091.8</x:v>
      </x:c>
      <x:c r="E188" s="23" t="n">
        <x:v>7669.6</x:v>
      </x:c>
      <x:c r="F188" s="23" t="n">
        <x:v>7762</x:v>
      </x:c>
      <x:c r="G188" s="23" t="n">
        <x:f>ROUND(F188-F187,1)</x:f>
        <x:v>-99.2</x:v>
      </x:c>
      <x:c r="H188" s="24" t="n">
        <x:f>IFERROR(F188/F187-1,"")</x:f>
        <x:v>-0.012618938584439965</x:v>
      </x:c>
      <x:c r="I188" s="26" t="n">
        <x:f>ROUND(D188-E188,1)</x:f>
        <x:v>422.2</x:v>
      </x:c>
      <x:c r="J188" s="22" t="str">
        <x:v>IC2609</x:v>
      </x:c>
      <x:c r="K188" s="22" t="n">
        <x:v>5</x:v>
      </x:c>
    </x:row>
    <x:row r="189">
      <x:c r="A189" s="22" t="n">
        <x:v>33</x:v>
      </x:c>
      <x:c r="B189" s="22" t="str">
        <x:v>8月24日-8月26日</x:v>
      </x:c>
      <x:c r="C189" s="23" t="n">
        <x:v>7757</x:v>
      </x:c>
      <x:c r="D189" s="23" t="n">
        <x:v>7783.2</x:v>
      </x:c>
      <x:c r="E189" s="23" t="n">
        <x:v>7496</x:v>
      </x:c>
      <x:c r="F189" s="23" t="n">
        <x:v>7708.8</x:v>
      </x:c>
      <x:c r="G189" s="23" t="n">
        <x:f>ROUND(F189-F188,1)</x:f>
        <x:v>-53.2</x:v>
      </x:c>
      <x:c r="H189" s="24" t="n">
        <x:f>IFERROR(F189/F188-1,"")</x:f>
        <x:v>-0.006853903633084246</x:v>
      </x:c>
      <x:c r="I189" s="26" t="n">
        <x:f>ROUND(D189-E189,1)</x:f>
        <x:v>287.2</x:v>
      </x:c>
      <x:c r="J189" s="22" t="str">
        <x:v>IC2609</x:v>
      </x:c>
      <x:c r="K189" s="22" t="n">
        <x:v>3</x:v>
      </x:c>
    </x:row>
    <x:row r="190">
      <x:c r="A190" s="31" t="str">
        <x:v>合计</x:v>
      </x:c>
      <x:c r="B190" s="30" t="n">
        <x:v>33</x:v>
      </x:c>
      <x:c r="C190" s="30"/>
      <x:c r="D190" s="30"/>
      <x:c r="E190" s="30"/>
      <x:c r="F190" s="30"/>
      <x:c r="G190" s="30"/>
      <x:c r="H190" s="30"/>
      <x:c r="I190" s="32" t="n">
        <x:f>ROUND(SUM(I157:I189),1)</x:f>
        <x:v>14934.2</x:v>
      </x:c>
      <x:c r="J190" s="30"/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4" t="n">
        <x:f>ROUND(IFERROR(AVERAGE(I157:I189),0),1)</x:f>
        <x:v>452.6</x:v>
      </x:c>
      <x:c r="J191" s="30"/>
      <x:c r="K191" s="30"/>
    </x:row>
    <x:row r="193">
      <x:c r="A193" s="17" t="str">
        <x:v>IF主力</x:v>
      </x:c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</x:row>
    <x:row r="194">
      <x:c r="A194" s="20" t="str">
        <x:v>序号</x:v>
      </x:c>
      <x:c r="B194" s="20" t="str">
        <x:v>周期</x:v>
      </x:c>
      <x:c r="C194" s="20" t="str">
        <x:v>开盘</x:v>
      </x:c>
      <x:c r="D194" s="20" t="str">
        <x:v>高点</x:v>
      </x:c>
      <x:c r="E194" s="20" t="str">
        <x:v>低点</x:v>
      </x:c>
      <x:c r="F194" s="20" t="str">
        <x:v>收盘</x:v>
      </x:c>
      <x:c r="G194" s="20" t="str">
        <x:v>涨跌点数</x:v>
      </x:c>
      <x:c r="H194" s="20" t="str">
        <x:v>涨幅</x:v>
      </x:c>
      <x:c r="I194" s="20" t="str">
        <x:v>振幅</x:v>
      </x:c>
      <x:c r="J194" s="20" t="str">
        <x:v>标的</x:v>
      </x:c>
      <x:c r="K194" s="20" t="str">
        <x:v>交易日</x:v>
      </x:c>
    </x:row>
    <x:row r="195">
      <x:c r="A195" s="22" t="n">
        <x:v>1</x:v>
      </x:c>
      <x:c r="B195" s="22" t="str">
        <x:v>1月5日-1月9日</x:v>
      </x:c>
      <x:c r="C195" s="23" t="n">
        <x:v>4627</x:v>
      </x:c>
      <x:c r="D195" s="23" t="n">
        <x:v>4785.8</x:v>
      </x:c>
      <x:c r="E195" s="23" t="n">
        <x:v>4627</x:v>
      </x:c>
      <x:c r="F195" s="23" t="n">
        <x:v>4743.8</x:v>
      </x:c>
      <x:c r="G195" s="23"/>
      <x:c r="H195" s="24"/>
      <x:c r="I195" s="26" t="n">
        <x:f>ROUND(D195-E195,1)</x:f>
        <x:v>158.8</x:v>
      </x:c>
      <x:c r="J195" s="22" t="str">
        <x:v>IF2603</x:v>
      </x:c>
      <x:c r="K195" s="22" t="n">
        <x:v>5</x:v>
      </x:c>
    </x:row>
    <x:row r="196">
      <x:c r="A196" s="22" t="n">
        <x:v>2</x:v>
      </x:c>
      <x:c r="B196" s="22" t="str">
        <x:v>1月12日-1月16日</x:v>
      </x:c>
      <x:c r="C196" s="23" t="n">
        <x:v>4762</x:v>
      </x:c>
      <x:c r="D196" s="23" t="n">
        <x:v>4833.2</x:v>
      </x:c>
      <x:c r="E196" s="23" t="n">
        <x:v>4707</x:v>
      </x:c>
      <x:c r="F196" s="23" t="n">
        <x:v>4723.2</x:v>
      </x:c>
      <x:c r="G196" s="23" t="n">
        <x:f>ROUND(F196-F195,1)</x:f>
        <x:v>-20.6</x:v>
      </x:c>
      <x:c r="H196" s="24" t="n">
        <x:f>IFERROR(F196/F195-1,"")</x:f>
        <x:v>-0.004342510223871221</x:v>
      </x:c>
      <x:c r="I196" s="26" t="n">
        <x:f>ROUND(D196-E196,1)</x:f>
        <x:v>126.2</x:v>
      </x:c>
      <x:c r="J196" s="22" t="str">
        <x:v>IF2603</x:v>
      </x:c>
      <x:c r="K196" s="22" t="n">
        <x:v>5</x:v>
      </x:c>
    </x:row>
    <x:row r="197">
      <x:c r="A197" s="22" t="n">
        <x:v>3</x:v>
      </x:c>
      <x:c r="B197" s="22" t="str">
        <x:v>1月19日-1月23日</x:v>
      </x:c>
      <x:c r="C197" s="23" t="n">
        <x:v>4711.8</x:v>
      </x:c>
      <x:c r="D197" s="23" t="n">
        <x:v>4763</x:v>
      </x:c>
      <x:c r="E197" s="23" t="n">
        <x:v>4672.8</x:v>
      </x:c>
      <x:c r="F197" s="23" t="n">
        <x:v>4709.2</x:v>
      </x:c>
      <x:c r="G197" s="23" t="n">
        <x:f>ROUND(F197-F196,1)</x:f>
        <x:v>-14</x:v>
      </x:c>
      <x:c r="H197" s="24" t="n">
        <x:f>IFERROR(F197/F196-1,"")</x:f>
        <x:v>-0.002964092140921415</x:v>
      </x:c>
      <x:c r="I197" s="26" t="n">
        <x:f>ROUND(D197-E197,1)</x:f>
        <x:v>90.2</x:v>
      </x:c>
      <x:c r="J197" s="22" t="str">
        <x:v>IF2603</x:v>
      </x:c>
      <x:c r="K197" s="22" t="n">
        <x:v>5</x:v>
      </x:c>
    </x:row>
    <x:row r="198">
      <x:c r="A198" s="22" t="n">
        <x:v>4</x:v>
      </x:c>
      <x:c r="B198" s="22" t="str">
        <x:v>1月26日-1月30日</x:v>
      </x:c>
      <x:c r="C198" s="23" t="n">
        <x:v>4726.8</x:v>
      </x:c>
      <x:c r="D198" s="23" t="n">
        <x:v>4793</x:v>
      </x:c>
      <x:c r="E198" s="23" t="n">
        <x:v>4640</x:v>
      </x:c>
      <x:c r="F198" s="23" t="n">
        <x:v>4711</x:v>
      </x:c>
      <x:c r="G198" s="23" t="n">
        <x:f>ROUND(F198-F197,1)</x:f>
        <x:v>1.8</x:v>
      </x:c>
      <x:c r="H198" s="24" t="n">
        <x:f>IFERROR(F198/F197-1,"")</x:f>
        <x:v>0.00038223052747810016</x:v>
      </x:c>
      <x:c r="I198" s="26" t="n">
        <x:f>ROUND(D198-E198,1)</x:f>
        <x:v>153</x:v>
      </x:c>
      <x:c r="J198" s="22" t="str">
        <x:v>IF2603</x:v>
      </x:c>
      <x:c r="K198" s="22" t="n">
        <x:v>5</x:v>
      </x:c>
    </x:row>
    <x:row r="199">
      <x:c r="A199" s="22" t="n">
        <x:v>5</x:v>
      </x:c>
      <x:c r="B199" s="22" t="str">
        <x:v>2月2日-2月6日</x:v>
      </x:c>
      <x:c r="C199" s="23" t="n">
        <x:v>4680.6</x:v>
      </x:c>
      <x:c r="D199" s="23" t="n">
        <x:v>4724</x:v>
      </x:c>
      <x:c r="E199" s="23" t="n">
        <x:v>4555.6</x:v>
      </x:c>
      <x:c r="F199" s="23" t="n">
        <x:v>4637.6</x:v>
      </x:c>
      <x:c r="G199" s="23" t="n">
        <x:f>ROUND(F199-F198,1)</x:f>
        <x:v>-73.4</x:v>
      </x:c>
      <x:c r="H199" s="24" t="n">
        <x:f>IFERROR(F199/F198-1,"")</x:f>
        <x:v>-0.015580556145192048</x:v>
      </x:c>
      <x:c r="I199" s="26" t="n">
        <x:f>ROUND(D199-E199,1)</x:f>
        <x:v>168.4</x:v>
      </x:c>
      <x:c r="J199" s="22" t="str">
        <x:v>IF2603</x:v>
      </x:c>
      <x:c r="K199" s="22" t="n">
        <x:v>5</x:v>
      </x:c>
    </x:row>
    <x:row r="200">
      <x:c r="A200" s="22" t="n">
        <x:v>6</x:v>
      </x:c>
      <x:c r="B200" s="22" t="str">
        <x:v>2月9日-2月13日</x:v>
      </x:c>
      <x:c r="C200" s="23" t="n">
        <x:v>4688.8</x:v>
      </x:c>
      <x:c r="D200" s="23" t="n">
        <x:v>4733.8</x:v>
      </x:c>
      <x:c r="E200" s="23" t="n">
        <x:v>4624</x:v>
      </x:c>
      <x:c r="F200" s="23" t="n">
        <x:v>4627</x:v>
      </x:c>
      <x:c r="G200" s="23" t="n">
        <x:f>ROUND(F200-F199,1)</x:f>
        <x:v>-10.6</x:v>
      </x:c>
      <x:c r="H200" s="24" t="n">
        <x:f>IFERROR(F200/F199-1,"")</x:f>
        <x:v>-0.0022856649991375155</x:v>
      </x:c>
      <x:c r="I200" s="26" t="n">
        <x:f>ROUND(D200-E200,1)</x:f>
        <x:v>109.8</x:v>
      </x:c>
      <x:c r="J200" s="22" t="str">
        <x:v>IF2603</x:v>
      </x:c>
      <x:c r="K200" s="22" t="n">
        <x:v>5</x:v>
      </x:c>
    </x:row>
    <x:row r="201">
      <x:c r="A201" s="22" t="n">
        <x:v>7</x:v>
      </x:c>
      <x:c r="B201" s="22" t="str">
        <x:v>2月24日-2月27日</x:v>
      </x:c>
      <x:c r="C201" s="23" t="n">
        <x:v>4680.2</x:v>
      </x:c>
      <x:c r="D201" s="23" t="n">
        <x:v>4768</x:v>
      </x:c>
      <x:c r="E201" s="23" t="n">
        <x:v>4671.2</x:v>
      </x:c>
      <x:c r="F201" s="23" t="n">
        <x:v>4713.8</x:v>
      </x:c>
      <x:c r="G201" s="23" t="n">
        <x:f>ROUND(F201-F200,1)</x:f>
        <x:v>86.8</x:v>
      </x:c>
      <x:c r="H201" s="24" t="n">
        <x:f>IFERROR(F201/F200-1,"")</x:f>
        <x:v>0.01875945537065049</x:v>
      </x:c>
      <x:c r="I201" s="26" t="n">
        <x:f>ROUND(D201-E201,1)</x:f>
        <x:v>96.8</x:v>
      </x:c>
      <x:c r="J201" s="22" t="str">
        <x:v>IF2603</x:v>
      </x:c>
      <x:c r="K201" s="22" t="n">
        <x:v>4</x:v>
      </x:c>
    </x:row>
    <x:row r="202">
      <x:c r="A202" s="22" t="n">
        <x:v>8</x:v>
      </x:c>
      <x:c r="B202" s="22" t="str">
        <x:v>3月2日-3月6日</x:v>
      </x:c>
      <x:c r="C202" s="23" t="n">
        <x:v>4681.2</x:v>
      </x:c>
      <x:c r="D202" s="23" t="n">
        <x:v>4725</x:v>
      </x:c>
      <x:c r="E202" s="23" t="n">
        <x:v>4560.2</x:v>
      </x:c>
      <x:c r="F202" s="23" t="n">
        <x:v>4646</x:v>
      </x:c>
      <x:c r="G202" s="23" t="n">
        <x:f>ROUND(F202-F201,1)</x:f>
        <x:v>-67.8</x:v>
      </x:c>
      <x:c r="H202" s="24" t="n">
        <x:f>IFERROR(F202/F201-1,"")</x:f>
        <x:v>-0.014383300097585816</x:v>
      </x:c>
      <x:c r="I202" s="26" t="n">
        <x:f>ROUND(D202-E202,1)</x:f>
        <x:v>164.8</x:v>
      </x:c>
      <x:c r="J202" s="22" t="str">
        <x:v>IF2603</x:v>
      </x:c>
      <x:c r="K202" s="22" t="n">
        <x:v>5</x:v>
      </x:c>
    </x:row>
    <x:row r="203">
      <x:c r="A203" s="22" t="n">
        <x:v>9</x:v>
      </x:c>
      <x:c r="B203" s="22" t="str">
        <x:v>3月9日-3月13日</x:v>
      </x:c>
      <x:c r="C203" s="23" t="n">
        <x:v>4600</x:v>
      </x:c>
      <x:c r="D203" s="23" t="n">
        <x:v>4699</x:v>
      </x:c>
      <x:c r="E203" s="23" t="n">
        <x:v>4500</x:v>
      </x:c>
      <x:c r="F203" s="23" t="n">
        <x:v>4658</x:v>
      </x:c>
      <x:c r="G203" s="23" t="n">
        <x:f>ROUND(F203-F202,1)</x:f>
        <x:v>12</x:v>
      </x:c>
      <x:c r="H203" s="24" t="n">
        <x:f>IFERROR(F203/F202-1,"")</x:f>
        <x:v>0.00258286698235044</x:v>
      </x:c>
      <x:c r="I203" s="26" t="n">
        <x:f>ROUND(D203-E203,1)</x:f>
        <x:v>199</x:v>
      </x:c>
      <x:c r="J203" s="22" t="str">
        <x:v>IF2603</x:v>
      </x:c>
      <x:c r="K203" s="22" t="n">
        <x:v>5</x:v>
      </x:c>
    </x:row>
    <x:row r="204">
      <x:c r="A204" s="22" t="n">
        <x:v>10</x:v>
      </x:c>
      <x:c r="B204" s="22" t="str">
        <x:v>3月16日-3月20日</x:v>
      </x:c>
      <x:c r="C204" s="23" t="n">
        <x:v>4665</x:v>
      </x:c>
      <x:c r="D204" s="23" t="n">
        <x:v>4718.4</x:v>
      </x:c>
      <x:c r="E204" s="23" t="n">
        <x:v>4570</x:v>
      </x:c>
      <x:c r="F204" s="23" t="n">
        <x:v>4596.8</x:v>
      </x:c>
      <x:c r="G204" s="23" t="n">
        <x:f>ROUND(F204-F203,1)</x:f>
        <x:v>-61.2</x:v>
      </x:c>
      <x:c r="H204" s="24" t="n">
        <x:f>IFERROR(F204/F203-1,"")</x:f>
        <x:v>-0.0131386861313868</x:v>
      </x:c>
      <x:c r="I204" s="26" t="n">
        <x:f>ROUND(D204-E204,1)</x:f>
        <x:v>148.4</x:v>
      </x:c>
      <x:c r="J204" s="22" t="str">
        <x:v>IF2603</x:v>
      </x:c>
      <x:c r="K204" s="22" t="n">
        <x:v>5</x:v>
      </x:c>
    </x:row>
    <x:row r="205">
      <x:c r="A205" s="22" t="n">
        <x:v>11</x:v>
      </x:c>
      <x:c r="B205" s="22" t="str">
        <x:v>3月23日-3月27日</x:v>
      </x:c>
      <x:c r="C205" s="23" t="n">
        <x:v>4434.4</x:v>
      </x:c>
      <x:c r="D205" s="23" t="n">
        <x:v>4466.2</x:v>
      </x:c>
      <x:c r="E205" s="23" t="n">
        <x:v>4307.2</x:v>
      </x:c>
      <x:c r="F205" s="23" t="n">
        <x:v>4427.4</x:v>
      </x:c>
      <x:c r="G205" s="28" t="n">
        <x:f>ROUND(F205-F204,1)</x:f>
        <x:v>-169.4</x:v>
      </x:c>
      <x:c r="H205" s="24" t="n">
        <x:f>IFERROR(F205/F204-1,"")</x:f>
        <x:v>-0.0368517229376959</x:v>
      </x:c>
      <x:c r="I205" s="26" t="n">
        <x:f>ROUND(D205-E205,1)</x:f>
        <x:v>159</x:v>
      </x:c>
      <x:c r="J205" s="22" t="str">
        <x:v>IF2606</x:v>
      </x:c>
      <x:c r="K205" s="22" t="n">
        <x:v>5</x:v>
      </x:c>
    </x:row>
    <x:row r="206">
      <x:c r="A206" s="22" t="n">
        <x:v>12</x:v>
      </x:c>
      <x:c r="B206" s="22" t="str">
        <x:v>3月30日-4月3日</x:v>
      </x:c>
      <x:c r="C206" s="23" t="n">
        <x:v>4387.2</x:v>
      </x:c>
      <x:c r="D206" s="23" t="n">
        <x:v>4459.8</x:v>
      </x:c>
      <x:c r="E206" s="23" t="n">
        <x:v>4346</x:v>
      </x:c>
      <x:c r="F206" s="23" t="n">
        <x:v>4362.2</x:v>
      </x:c>
      <x:c r="G206" s="23" t="n">
        <x:f>ROUND(F206-F205,1)</x:f>
        <x:v>-65.2</x:v>
      </x:c>
      <x:c r="H206" s="24" t="n">
        <x:f>IFERROR(F206/F205-1,"")</x:f>
        <x:v>-0.014726476035596514</x:v>
      </x:c>
      <x:c r="I206" s="26" t="n">
        <x:f>ROUND(D206-E206,1)</x:f>
        <x:v>113.8</x:v>
      </x:c>
      <x:c r="J206" s="22" t="str">
        <x:v>IF2606</x:v>
      </x:c>
      <x:c r="K206" s="22" t="n">
        <x:v>5</x:v>
      </x:c>
    </x:row>
    <x:row r="207">
      <x:c r="A207" s="22" t="n">
        <x:v>13</x:v>
      </x:c>
      <x:c r="B207" s="22" t="str">
        <x:v>4月7日-4月10日</x:v>
      </x:c>
      <x:c r="C207" s="23" t="n">
        <x:v>4369.8</x:v>
      </x:c>
      <x:c r="D207" s="23" t="n">
        <x:v>4591.8</x:v>
      </x:c>
      <x:c r="E207" s="23" t="n">
        <x:v>4347</x:v>
      </x:c>
      <x:c r="F207" s="23" t="n">
        <x:v>4562</x:v>
      </x:c>
      <x:c r="G207" s="28" t="n">
        <x:f>ROUND(F207-F206,1)</x:f>
        <x:v>199.8</x:v>
      </x:c>
      <x:c r="H207" s="24" t="n">
        <x:f>IFERROR(F207/F206-1,"")</x:f>
        <x:v>0.045802576681491125</x:v>
      </x:c>
      <x:c r="I207" s="26" t="n">
        <x:f>ROUND(D207-E207,1)</x:f>
        <x:v>244.8</x:v>
      </x:c>
      <x:c r="J207" s="22" t="str">
        <x:v>IF2606</x:v>
      </x:c>
      <x:c r="K207" s="22" t="n">
        <x:v>4</x:v>
      </x:c>
    </x:row>
    <x:row r="208">
      <x:c r="A208" s="22" t="n">
        <x:v>14</x:v>
      </x:c>
      <x:c r="B208" s="22" t="str">
        <x:v>4月13日-4月17日</x:v>
      </x:c>
      <x:c r="C208" s="23" t="n">
        <x:v>4542</x:v>
      </x:c>
      <x:c r="D208" s="23" t="n">
        <x:v>4685</x:v>
      </x:c>
      <x:c r="E208" s="23" t="n">
        <x:v>4541.6</x:v>
      </x:c>
      <x:c r="F208" s="23" t="n">
        <x:v>4667</x:v>
      </x:c>
      <x:c r="G208" s="23" t="n">
        <x:f>ROUND(F208-F207,1)</x:f>
        <x:v>105</x:v>
      </x:c>
      <x:c r="H208" s="24" t="n">
        <x:f>IFERROR(F208/F207-1,"")</x:f>
        <x:v>0.0230162209557212</x:v>
      </x:c>
      <x:c r="I208" s="26" t="n">
        <x:f>ROUND(D208-E208,1)</x:f>
        <x:v>143.4</x:v>
      </x:c>
      <x:c r="J208" s="22" t="str">
        <x:v>IF2606</x:v>
      </x:c>
      <x:c r="K208" s="22" t="n">
        <x:v>5</x:v>
      </x:c>
    </x:row>
    <x:row r="209">
      <x:c r="A209" s="22" t="n">
        <x:v>15</x:v>
      </x:c>
      <x:c r="B209" s="22" t="str">
        <x:v>4月20日-4月24日</x:v>
      </x:c>
      <x:c r="C209" s="23" t="n">
        <x:v>4665</x:v>
      </x:c>
      <x:c r="D209" s="23" t="n">
        <x:v>4763</x:v>
      </x:c>
      <x:c r="E209" s="23" t="n">
        <x:v>4656.8</x:v>
      </x:c>
      <x:c r="F209" s="23" t="n">
        <x:v>4713.6</x:v>
      </x:c>
      <x:c r="G209" s="23" t="n">
        <x:f>ROUND(F209-F208,1)</x:f>
        <x:v>46.6</x:v>
      </x:c>
      <x:c r="H209" s="24" t="n">
        <x:f>IFERROR(F209/F208-1,"")</x:f>
        <x:v>0.009985001071352029</x:v>
      </x:c>
      <x:c r="I209" s="26" t="n">
        <x:f>ROUND(D209-E209,1)</x:f>
        <x:v>106.2</x:v>
      </x:c>
      <x:c r="J209" s="22" t="str">
        <x:v>IF2606</x:v>
      </x:c>
      <x:c r="K209" s="22" t="n">
        <x:v>5</x:v>
      </x:c>
    </x:row>
    <x:row r="210">
      <x:c r="A210" s="22" t="n">
        <x:v>16</x:v>
      </x:c>
      <x:c r="B210" s="22" t="str">
        <x:v>4月27日-4月30日</x:v>
      </x:c>
      <x:c r="C210" s="23" t="n">
        <x:v>4720</x:v>
      </x:c>
      <x:c r="D210" s="23" t="n">
        <x:v>4776.6</x:v>
      </x:c>
      <x:c r="E210" s="23" t="n">
        <x:v>4687.2</x:v>
      </x:c>
      <x:c r="F210" s="23" t="n">
        <x:v>4763.4</x:v>
      </x:c>
      <x:c r="G210" s="23" t="n">
        <x:f>ROUND(F210-F209,1)</x:f>
        <x:v>49.8</x:v>
      </x:c>
      <x:c r="H210" s="24" t="n">
        <x:f>IFERROR(F210/F209-1,"")</x:f>
        <x:v>0.010565173116089399</x:v>
      </x:c>
      <x:c r="I210" s="23" t="n">
        <x:f>ROUND(D210-E210,1)</x:f>
        <x:v>89.4</x:v>
      </x:c>
      <x:c r="J210" s="22" t="str">
        <x:v>IF2606</x:v>
      </x:c>
      <x:c r="K210" s="22" t="n">
        <x:v>4</x:v>
      </x:c>
    </x:row>
    <x:row r="211">
      <x:c r="A211" s="22" t="n">
        <x:v>17</x:v>
      </x:c>
      <x:c r="B211" s="22" t="str">
        <x:v>5月6日-5月8日</x:v>
      </x:c>
      <x:c r="C211" s="23" t="n">
        <x:v>4808.2</x:v>
      </x:c>
      <x:c r="D211" s="23" t="n">
        <x:v>4869</x:v>
      </x:c>
      <x:c r="E211" s="23" t="n">
        <x:v>4797</x:v>
      </x:c>
      <x:c r="F211" s="23" t="n">
        <x:v>4836.8</x:v>
      </x:c>
      <x:c r="G211" s="23" t="n">
        <x:f>ROUND(F211-F210,1)</x:f>
        <x:v>73.4</x:v>
      </x:c>
      <x:c r="H211" s="24" t="n">
        <x:f>IFERROR(F211/F210-1,"")</x:f>
        <x:v>0.015409161523281867</x:v>
      </x:c>
      <x:c r="I211" s="23" t="n">
        <x:f>ROUND(D211-E211,1)</x:f>
        <x:v>72</x:v>
      </x:c>
      <x:c r="J211" s="22" t="str">
        <x:v>IF2606</x:v>
      </x:c>
      <x:c r="K211" s="22" t="n">
        <x:v>3</x:v>
      </x:c>
    </x:row>
    <x:row r="212">
      <x:c r="A212" s="22" t="n">
        <x:v>18</x:v>
      </x:c>
      <x:c r="B212" s="22" t="str">
        <x:v>5月11日-5月15日</x:v>
      </x:c>
      <x:c r="C212" s="23" t="n">
        <x:v>4860</x:v>
      </x:c>
      <x:c r="D212" s="23" t="n">
        <x:v>4995</x:v>
      </x:c>
      <x:c r="E212" s="23" t="n">
        <x:v>4794</x:v>
      </x:c>
      <x:c r="F212" s="23" t="n">
        <x:v>4824</x:v>
      </x:c>
      <x:c r="G212" s="23" t="n">
        <x:f>ROUND(F212-F211,1)</x:f>
        <x:v>-12.8</x:v>
      </x:c>
      <x:c r="H212" s="24" t="n">
        <x:f>IFERROR(F212/F211-1,"")</x:f>
        <x:v>-0.0026463777704267555</x:v>
      </x:c>
      <x:c r="I212" s="26" t="n">
        <x:f>ROUND(D212-E212,1)</x:f>
        <x:v>201</x:v>
      </x:c>
      <x:c r="J212" s="22" t="str">
        <x:v>IF2606</x:v>
      </x:c>
      <x:c r="K212" s="22" t="n">
        <x:v>5</x:v>
      </x:c>
    </x:row>
    <x:row r="213">
      <x:c r="A213" s="22" t="n">
        <x:v>19</x:v>
      </x:c>
      <x:c r="B213" s="22" t="str">
        <x:v>5月18日-5月22日</x:v>
      </x:c>
      <x:c r="C213" s="23" t="n">
        <x:v>4810</x:v>
      </x:c>
      <x:c r="D213" s="23" t="n">
        <x:v>4900.8</x:v>
      </x:c>
      <x:c r="E213" s="23" t="n">
        <x:v>4735</x:v>
      </x:c>
      <x:c r="F213" s="23" t="n">
        <x:v>4788.2</x:v>
      </x:c>
      <x:c r="G213" s="23" t="n">
        <x:f>ROUND(F213-F212,1)</x:f>
        <x:v>-35.8</x:v>
      </x:c>
      <x:c r="H213" s="24" t="n">
        <x:f>IFERROR(F213/F212-1,"")</x:f>
        <x:v>-0.007421227197346614</x:v>
      </x:c>
      <x:c r="I213" s="26" t="n">
        <x:f>ROUND(D213-E213,1)</x:f>
        <x:v>165.8</x:v>
      </x:c>
      <x:c r="J213" s="22" t="str">
        <x:v>IF2606</x:v>
      </x:c>
      <x:c r="K213" s="22" t="n">
        <x:v>5</x:v>
      </x:c>
    </x:row>
    <x:row r="214">
      <x:c r="A214" s="22" t="n">
        <x:v>20</x:v>
      </x:c>
      <x:c r="B214" s="22" t="str">
        <x:v>5月25日-5月29日</x:v>
      </x:c>
      <x:c r="C214" s="23" t="n">
        <x:v>4817.8</x:v>
      </x:c>
      <x:c r="D214" s="23" t="n">
        <x:v>4928.4</x:v>
      </x:c>
      <x:c r="E214" s="23" t="n">
        <x:v>4793.2</x:v>
      </x:c>
      <x:c r="F214" s="23" t="n">
        <x:v>4847.8</x:v>
      </x:c>
      <x:c r="G214" s="23" t="n">
        <x:f>ROUND(F214-F213,1)</x:f>
        <x:v>59.6</x:v>
      </x:c>
      <x:c r="H214" s="24" t="n">
        <x:f>IFERROR(F214/F213-1,"")</x:f>
        <x:v>0.01244726619606551</x:v>
      </x:c>
      <x:c r="I214" s="26" t="n">
        <x:f>ROUND(D214-E214,1)</x:f>
        <x:v>135.2</x:v>
      </x:c>
      <x:c r="J214" s="22" t="str">
        <x:v>IF2606</x:v>
      </x:c>
      <x:c r="K214" s="22" t="n">
        <x:v>5</x:v>
      </x:c>
    </x:row>
    <x:row r="215">
      <x:c r="A215" s="22" t="n">
        <x:v>21</x:v>
      </x:c>
      <x:c r="B215" s="22" t="str">
        <x:v>6月1日-6月5日</x:v>
      </x:c>
      <x:c r="C215" s="23" t="n">
        <x:v>4860</x:v>
      </x:c>
      <x:c r="D215" s="23" t="n">
        <x:v>4964.6</x:v>
      </x:c>
      <x:c r="E215" s="23" t="n">
        <x:v>4762.2</x:v>
      </x:c>
      <x:c r="F215" s="23" t="n">
        <x:v>4776.8</x:v>
      </x:c>
      <x:c r="G215" s="23" t="n">
        <x:f>ROUND(F215-F214,1)</x:f>
        <x:v>-71</x:v>
      </x:c>
      <x:c r="H215" s="24" t="n">
        <x:f>IFERROR(F215/F214-1,"")</x:f>
        <x:v>-0.014645818721894521</x:v>
      </x:c>
      <x:c r="I215" s="26" t="n">
        <x:f>ROUND(D215-E215,1)</x:f>
        <x:v>202.4</x:v>
      </x:c>
      <x:c r="J215" s="22" t="str">
        <x:v>IF2606</x:v>
      </x:c>
      <x:c r="K215" s="22" t="n">
        <x:v>5</x:v>
      </x:c>
    </x:row>
    <x:row r="216">
      <x:c r="A216" s="22" t="n">
        <x:v>22</x:v>
      </x:c>
      <x:c r="B216" s="22" t="str">
        <x:v>6月8日-6月12日</x:v>
      </x:c>
      <x:c r="C216" s="23" t="n">
        <x:v>4700</x:v>
      </x:c>
      <x:c r="D216" s="23" t="n">
        <x:v>4793</x:v>
      </x:c>
      <x:c r="E216" s="23" t="n">
        <x:v>4640.2</x:v>
      </x:c>
      <x:c r="F216" s="23" t="n">
        <x:v>4769.8</x:v>
      </x:c>
      <x:c r="G216" s="23" t="n">
        <x:f>ROUND(F216-F215,1)</x:f>
        <x:v>-7</x:v>
      </x:c>
      <x:c r="H216" s="24" t="n">
        <x:f>IFERROR(F216/F215-1,"")</x:f>
        <x:v>-0.0014654161781946229</x:v>
      </x:c>
      <x:c r="I216" s="26" t="n">
        <x:f>ROUND(D216-E216,1)</x:f>
        <x:v>152.8</x:v>
      </x:c>
      <x:c r="J216" s="22" t="str">
        <x:v>IF2606</x:v>
      </x:c>
      <x:c r="K216" s="22" t="n">
        <x:v>5</x:v>
      </x:c>
    </x:row>
    <x:row r="217">
      <x:c r="A217" s="22" t="n">
        <x:v>23</x:v>
      </x:c>
      <x:c r="B217" s="22" t="str">
        <x:v>6月15日-6月18日</x:v>
      </x:c>
      <x:c r="C217" s="23" t="n">
        <x:v>4819</x:v>
      </x:c>
      <x:c r="D217" s="23" t="n">
        <x:v>4971</x:v>
      </x:c>
      <x:c r="E217" s="23" t="n">
        <x:v>4804.8</x:v>
      </x:c>
      <x:c r="F217" s="23" t="n">
        <x:v>4960.6</x:v>
      </x:c>
      <x:c r="G217" s="28" t="n">
        <x:f>ROUND(F217-F216,1)</x:f>
        <x:v>190.8</x:v>
      </x:c>
      <x:c r="H217" s="24" t="n">
        <x:f>IFERROR(F217/F216-1,"")</x:f>
        <x:v>0.040001677219170695</x:v>
      </x:c>
      <x:c r="I217" s="26" t="n">
        <x:f>ROUND(D217-E217,1)</x:f>
        <x:v>166.2</x:v>
      </x:c>
      <x:c r="J217" s="22" t="str">
        <x:v>IF2606</x:v>
      </x:c>
      <x:c r="K217" s="22" t="n">
        <x:v>4</x:v>
      </x:c>
    </x:row>
    <x:row r="218">
      <x:c r="A218" s="22" t="n">
        <x:v>24</x:v>
      </x:c>
      <x:c r="B218" s="22" t="str">
        <x:v>6月22日-6月26日</x:v>
      </x:c>
      <x:c r="C218" s="23" t="n">
        <x:v>4956</x:v>
      </x:c>
      <x:c r="D218" s="23" t="n">
        <x:v>5030.2</x:v>
      </x:c>
      <x:c r="E218" s="23" t="n">
        <x:v>4717</x:v>
      </x:c>
      <x:c r="F218" s="23" t="n">
        <x:v>4748.2</x:v>
      </x:c>
      <x:c r="G218" s="28" t="n">
        <x:f>ROUND(F218-F217,1)</x:f>
        <x:v>-212.4</x:v>
      </x:c>
      <x:c r="H218" s="24" t="n">
        <x:f>IFERROR(F218/F217-1,"")</x:f>
        <x:v>-0.04281740112083221</x:v>
      </x:c>
      <x:c r="I218" s="26" t="n">
        <x:f>ROUND(D218-E218,1)</x:f>
        <x:v>313.2</x:v>
      </x:c>
      <x:c r="J218" s="22" t="str">
        <x:v>IF2606/IF2609</x:v>
      </x:c>
      <x:c r="K218" s="22" t="n">
        <x:v>5</x:v>
      </x:c>
    </x:row>
    <x:row r="219">
      <x:c r="A219" s="22" t="n">
        <x:v>25</x:v>
      </x:c>
      <x:c r="B219" s="22" t="str">
        <x:v>6月29日-7月3日</x:v>
      </x:c>
      <x:c r="C219" s="23" t="n">
        <x:v>4759.4</x:v>
      </x:c>
      <x:c r="D219" s="23" t="n">
        <x:v>4899.6</x:v>
      </x:c>
      <x:c r="E219" s="23" t="n">
        <x:v>4705</x:v>
      </x:c>
      <x:c r="F219" s="23" t="n">
        <x:v>4752.2</x:v>
      </x:c>
      <x:c r="G219" s="23" t="n">
        <x:f>ROUND(F219-F218,1)</x:f>
        <x:v>4</x:v>
      </x:c>
      <x:c r="H219" s="24" t="n">
        <x:f>IFERROR(F219/F218-1,"")</x:f>
        <x:v>0.0008424244977043305</x:v>
      </x:c>
      <x:c r="I219" s="26" t="n">
        <x:f>ROUND(D219-E219,1)</x:f>
        <x:v>194.6</x:v>
      </x:c>
      <x:c r="J219" s="22" t="str">
        <x:v>IF2609</x:v>
      </x:c>
      <x:c r="K219" s="22" t="n">
        <x:v>5</x:v>
      </x:c>
    </x:row>
    <x:row r="220">
      <x:c r="A220" s="22" t="n">
        <x:v>26</x:v>
      </x:c>
      <x:c r="B220" s="22" t="str">
        <x:v>7月6日-7月10日</x:v>
      </x:c>
      <x:c r="C220" s="23" t="n">
        <x:v>4781</x:v>
      </x:c>
      <x:c r="D220" s="23" t="n">
        <x:v>4822.2</x:v>
      </x:c>
      <x:c r="E220" s="23" t="n">
        <x:v>4665.2</x:v>
      </x:c>
      <x:c r="F220" s="23" t="n">
        <x:v>4704.6</x:v>
      </x:c>
      <x:c r="G220" s="23" t="n">
        <x:f>ROUND(F220-F219,1)</x:f>
        <x:v>-47.6</x:v>
      </x:c>
      <x:c r="H220" s="24" t="n">
        <x:f>IFERROR(F220/F219-1,"")</x:f>
        <x:v>-0.010016413450612216</x:v>
      </x:c>
      <x:c r="I220" s="26" t="n">
        <x:f>ROUND(D220-E220,1)</x:f>
        <x:v>157</x:v>
      </x:c>
      <x:c r="J220" s="22" t="str">
        <x:v>IF2609</x:v>
      </x:c>
      <x:c r="K220" s="22" t="n">
        <x:v>5</x:v>
      </x:c>
    </x:row>
    <x:row r="221">
      <x:c r="A221" s="22" t="n">
        <x:v>27</x:v>
      </x:c>
      <x:c r="B221" s="22" t="str">
        <x:v>7月13日-7月17日</x:v>
      </x:c>
      <x:c r="C221" s="23" t="n">
        <x:v>4691</x:v>
      </x:c>
      <x:c r="D221" s="23" t="n">
        <x:v>4739.4</x:v>
      </x:c>
      <x:c r="E221" s="23" t="n">
        <x:v>4441.4</x:v>
      </x:c>
      <x:c r="F221" s="23" t="n">
        <x:v>4473.8</x:v>
      </x:c>
      <x:c r="G221" s="28" t="n">
        <x:f>ROUND(F221-F220,1)</x:f>
        <x:v>-230.8</x:v>
      </x:c>
      <x:c r="H221" s="24" t="n">
        <x:f>IFERROR(F221/F220-1,"")</x:f>
        <x:v>-0.04905836840539046</x:v>
      </x:c>
      <x:c r="I221" s="26" t="n">
        <x:f>ROUND(D221-E221,1)</x:f>
        <x:v>298</x:v>
      </x:c>
      <x:c r="J221" s="22" t="str">
        <x:v>IF2609</x:v>
      </x:c>
      <x:c r="K221" s="22" t="n">
        <x:v>5</x:v>
      </x:c>
    </x:row>
    <x:row r="222">
      <x:c r="A222" s="22" t="n">
        <x:v>28</x:v>
      </x:c>
      <x:c r="B222" s="22" t="str">
        <x:v>7月20日-7月24日</x:v>
      </x:c>
      <x:c r="C222" s="23" t="n">
        <x:v>4530</x:v>
      </x:c>
      <x:c r="D222" s="23" t="n">
        <x:v>4707.8</x:v>
      </x:c>
      <x:c r="E222" s="23" t="n">
        <x:v>4465</x:v>
      </x:c>
      <x:c r="F222" s="23" t="n">
        <x:v>4578.2</x:v>
      </x:c>
      <x:c r="G222" s="23" t="n">
        <x:f>ROUND(F222-F221,1)</x:f>
        <x:v>104.4</x:v>
      </x:c>
      <x:c r="H222" s="24" t="n">
        <x:f>IFERROR(F222/F221-1,"")</x:f>
        <x:v>0.023335866601099653</x:v>
      </x:c>
      <x:c r="I222" s="26" t="n">
        <x:f>ROUND(D222-E222,1)</x:f>
        <x:v>242.8</x:v>
      </x:c>
      <x:c r="J222" s="22" t="str">
        <x:v>IF2609</x:v>
      </x:c>
      <x:c r="K222" s="22" t="n">
        <x:v>5</x:v>
      </x:c>
    </x:row>
    <x:row r="223">
      <x:c r="A223" s="22" t="n">
        <x:v>29</x:v>
      </x:c>
      <x:c r="B223" s="22" t="str">
        <x:v>7月27日-7月31日</x:v>
      </x:c>
      <x:c r="C223" s="23" t="n">
        <x:v>4589.4</x:v>
      </x:c>
      <x:c r="D223" s="23" t="n">
        <x:v>4652.2</x:v>
      </x:c>
      <x:c r="E223" s="23" t="n">
        <x:v>4420</x:v>
      </x:c>
      <x:c r="F223" s="23" t="n">
        <x:v>4538</x:v>
      </x:c>
      <x:c r="G223" s="23" t="n">
        <x:f>ROUND(F223-F222,1)</x:f>
        <x:v>-40.2</x:v>
      </x:c>
      <x:c r="H223" s="24" t="n">
        <x:f>IFERROR(F223/F222-1,"")</x:f>
        <x:v>-0.008780743523655543</x:v>
      </x:c>
      <x:c r="I223" s="26" t="n">
        <x:f>ROUND(D223-E223,1)</x:f>
        <x:v>232.2</x:v>
      </x:c>
      <x:c r="J223" s="22" t="str">
        <x:v>IF2609</x:v>
      </x:c>
      <x:c r="K223" s="22" t="n">
        <x:v>5</x:v>
      </x:c>
    </x:row>
    <x:row r="224">
      <x:c r="A224" s="22" t="n">
        <x:v>30</x:v>
      </x:c>
      <x:c r="B224" s="22" t="str">
        <x:v>8月3日-8月7日</x:v>
      </x:c>
      <x:c r="C224" s="23" t="n">
        <x:v>4526.4</x:v>
      </x:c>
      <x:c r="D224" s="23" t="n">
        <x:v>4656.2</x:v>
      </x:c>
      <x:c r="E224" s="23" t="n">
        <x:v>4494.2</x:v>
      </x:c>
      <x:c r="F224" s="23" t="n">
        <x:v>4645.6</x:v>
      </x:c>
      <x:c r="G224" s="23" t="n">
        <x:f>ROUND(F224-F223,1)</x:f>
        <x:v>107.6</x:v>
      </x:c>
      <x:c r="H224" s="24" t="n">
        <x:f>IFERROR(F224/F223-1,"")</x:f>
        <x:v>0.02371088585279857</x:v>
      </x:c>
      <x:c r="I224" s="26" t="n">
        <x:f>ROUND(D224-E224,1)</x:f>
        <x:v>162</x:v>
      </x:c>
      <x:c r="J224" s="22" t="str">
        <x:v>IF2609</x:v>
      </x:c>
      <x:c r="K224" s="22" t="n">
        <x:v>5</x:v>
      </x:c>
    </x:row>
    <x:row r="225">
      <x:c r="A225" s="22" t="n">
        <x:v>31</x:v>
      </x:c>
      <x:c r="B225" s="22" t="str">
        <x:v>8月10日-8月14日</x:v>
      </x:c>
      <x:c r="C225" s="23" t="n">
        <x:v>4656.8</x:v>
      </x:c>
      <x:c r="D225" s="23" t="n">
        <x:v>4681</x:v>
      </x:c>
      <x:c r="E225" s="23" t="n">
        <x:v>4598</x:v>
      </x:c>
      <x:c r="F225" s="23" t="n">
        <x:v>4620.4</x:v>
      </x:c>
      <x:c r="G225" s="23" t="n">
        <x:f>ROUND(F225-F224,1)</x:f>
        <x:v>-25.2</x:v>
      </x:c>
      <x:c r="H225" s="24" t="n">
        <x:f>IFERROR(F225/F224-1,"")</x:f>
        <x:v>-0.005424487687274104</x:v>
      </x:c>
      <x:c r="I225" s="23" t="n">
        <x:f>ROUND(D225-E225,1)</x:f>
        <x:v>83</x:v>
      </x:c>
      <x:c r="J225" s="22" t="str">
        <x:v>IF2609</x:v>
      </x:c>
      <x:c r="K225" s="22" t="n">
        <x:v>5</x:v>
      </x:c>
    </x:row>
    <x:row r="226">
      <x:c r="A226" s="22" t="n">
        <x:v>32</x:v>
      </x:c>
      <x:c r="B226" s="22" t="str">
        <x:v>8月17日-8月21日</x:v>
      </x:c>
      <x:c r="C226" s="23" t="n">
        <x:v>4624</x:v>
      </x:c>
      <x:c r="D226" s="23" t="n">
        <x:v>4700.6</x:v>
      </x:c>
      <x:c r="E226" s="23" t="n">
        <x:v>4531.8</x:v>
      </x:c>
      <x:c r="F226" s="23" t="n">
        <x:v>4576</x:v>
      </x:c>
      <x:c r="G226" s="23" t="n">
        <x:f>ROUND(F226-F225,1)</x:f>
        <x:v>-44.4</x:v>
      </x:c>
      <x:c r="H226" s="24" t="n">
        <x:f>IFERROR(F226/F225-1,"")</x:f>
        <x:v>-0.00960955761405935</x:v>
      </x:c>
      <x:c r="I226" s="26" t="n">
        <x:f>ROUND(D226-E226,1)</x:f>
        <x:v>168.8</x:v>
      </x:c>
      <x:c r="J226" s="22" t="str">
        <x:v>IF2609</x:v>
      </x:c>
      <x:c r="K226" s="22" t="n">
        <x:v>5</x:v>
      </x:c>
    </x:row>
    <x:row r="227">
      <x:c r="A227" s="22" t="n">
        <x:v>33</x:v>
      </x:c>
      <x:c r="B227" s="22" t="str">
        <x:v>8月24日-8月25日</x:v>
      </x:c>
      <x:c r="C227" s="23" t="n">
        <x:v>4607.4</x:v>
      </x:c>
      <x:c r="D227" s="23" t="n">
        <x:v>4607.4</x:v>
      </x:c>
      <x:c r="E227" s="23" t="n">
        <x:v>4486.4</x:v>
      </x:c>
      <x:c r="F227" s="23" t="n">
        <x:v>4521.8</x:v>
      </x:c>
      <x:c r="G227" s="23" t="n">
        <x:f>ROUND(F227-F226,1)</x:f>
        <x:v>-54.2</x:v>
      </x:c>
      <x:c r="H227" s="24" t="n">
        <x:f>IFERROR(F227/F226-1,"")</x:f>
        <x:v>-0.011844405594405583</x:v>
      </x:c>
      <x:c r="I227" s="26" t="n">
        <x:f>ROUND(D227-E227,1)</x:f>
        <x:v>121</x:v>
      </x:c>
      <x:c r="J227" s="22" t="str">
        <x:v>IF2609</x:v>
      </x:c>
      <x:c r="K227" s="22" t="n">
        <x:v>2</x:v>
      </x:c>
    </x:row>
    <x:row r="228">
      <x:c r="A228" s="31" t="str">
        <x:v>合计</x:v>
      </x:c>
      <x:c r="B228" s="30" t="n">
        <x:v>33</x:v>
      </x:c>
      <x:c r="C228" s="30"/>
      <x:c r="D228" s="30"/>
      <x:c r="E228" s="30"/>
      <x:c r="F228" s="30"/>
      <x:c r="G228" s="30"/>
      <x:c r="H228" s="30"/>
      <x:c r="I228" s="32" t="n">
        <x:f>ROUND(SUM(I195:I227),1)</x:f>
        <x:v>5340</x:v>
      </x:c>
      <x:c r="J228" s="30"/>
      <x:c r="K228" s="30"/>
    </x:row>
    <x:row r="229">
      <x:c r="A229" s="31" t="str">
        <x:v>均值</x:v>
      </x:c>
      <x:c r="B229" s="30"/>
      <x:c r="C229" s="30"/>
      <x:c r="D229" s="30"/>
      <x:c r="E229" s="30"/>
      <x:c r="F229" s="30"/>
      <x:c r="G229" s="30"/>
      <x:c r="H229" s="30"/>
      <x:c r="I229" s="34" t="n">
        <x:f>ROUND(IFERROR(AVERAGE(I195:I227),0),1)</x:f>
        <x:v>161.8</x:v>
      </x:c>
      <x:c r="J229" s="30"/>
      <x:c r="K229" s="30"/>
    </x:row>
    <x:row r="231">
      <x:c r="A231" s="17" t="str">
        <x:v>IH主力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  <x:c r="K231" s="17"/>
    </x:row>
    <x:row r="232">
      <x:c r="A232" s="20" t="str">
        <x:v>序号</x:v>
      </x:c>
      <x:c r="B232" s="20" t="str">
        <x:v>周期</x:v>
      </x:c>
      <x:c r="C232" s="20" t="str">
        <x:v>开盘</x:v>
      </x:c>
      <x:c r="D232" s="20" t="str">
        <x:v>高点</x:v>
      </x:c>
      <x:c r="E232" s="20" t="str">
        <x:v>低点</x:v>
      </x:c>
      <x:c r="F232" s="20" t="str">
        <x:v>收盘</x:v>
      </x:c>
      <x:c r="G232" s="20" t="str">
        <x:v>涨跌点数</x:v>
      </x:c>
      <x:c r="H232" s="20" t="str">
        <x:v>涨幅</x:v>
      </x:c>
      <x:c r="I232" s="20" t="str">
        <x:v>振幅</x:v>
      </x:c>
      <x:c r="J232" s="20" t="str">
        <x:v>标的</x:v>
      </x:c>
      <x:c r="K232" s="20" t="str">
        <x:v>交易日</x:v>
      </x:c>
    </x:row>
    <x:row r="233">
      <x:c r="A233" s="22" t="n">
        <x:v>1</x:v>
      </x:c>
      <x:c r="B233" s="22" t="str">
        <x:v>1月5日-1月9日</x:v>
      </x:c>
      <x:c r="C233" s="23" t="n">
        <x:v>3040.8</x:v>
      </x:c>
      <x:c r="D233" s="23" t="n">
        <x:v>3165.6</x:v>
      </x:c>
      <x:c r="E233" s="23" t="n">
        <x:v>3040.8</x:v>
      </x:c>
      <x:c r="F233" s="23" t="n">
        <x:v>3134.8</x:v>
      </x:c>
      <x:c r="G233" s="23"/>
      <x:c r="H233" s="24"/>
      <x:c r="I233" s="26" t="n">
        <x:f>ROUND(D233-E233,1)</x:f>
        <x:v>124.8</x:v>
      </x:c>
      <x:c r="J233" s="22" t="str">
        <x:v>IH2603</x:v>
      </x:c>
      <x:c r="K233" s="22" t="n">
        <x:v>5</x:v>
      </x:c>
    </x:row>
    <x:row r="234">
      <x:c r="A234" s="22" t="n">
        <x:v>2</x:v>
      </x:c>
      <x:c r="B234" s="22" t="str">
        <x:v>1月12日-1月16日</x:v>
      </x:c>
      <x:c r="C234" s="23" t="n">
        <x:v>3148.4</x:v>
      </x:c>
      <x:c r="D234" s="23" t="n">
        <x:v>3181.2</x:v>
      </x:c>
      <x:c r="E234" s="23" t="n">
        <x:v>3074.4</x:v>
      </x:c>
      <x:c r="F234" s="23" t="n">
        <x:v>3084.4</x:v>
      </x:c>
      <x:c r="G234" s="23" t="n">
        <x:f>ROUND(F234-F233,1)</x:f>
        <x:v>-50.4</x:v>
      </x:c>
      <x:c r="H234" s="24" t="n">
        <x:f>IFERROR(F234/F233-1,"")</x:f>
        <x:v>-0.016077580706903127</x:v>
      </x:c>
      <x:c r="I234" s="26" t="n">
        <x:f>ROUND(D234-E234,1)</x:f>
        <x:v>106.8</x:v>
      </x:c>
      <x:c r="J234" s="22" t="str">
        <x:v>IH2603</x:v>
      </x:c>
      <x:c r="K234" s="22" t="n">
        <x:v>5</x:v>
      </x:c>
    </x:row>
    <x:row r="235">
      <x:c r="A235" s="22" t="n">
        <x:v>3</x:v>
      </x:c>
      <x:c r="B235" s="22" t="str">
        <x:v>1月19日-1月23日</x:v>
      </x:c>
      <x:c r="C235" s="23" t="n">
        <x:v>3081.2</x:v>
      </x:c>
      <x:c r="D235" s="23" t="n">
        <x:v>3102.6</x:v>
      </x:c>
      <x:c r="E235" s="23" t="n">
        <x:v>3036.2</x:v>
      </x:c>
      <x:c r="F235" s="23" t="n">
        <x:v>3037.8</x:v>
      </x:c>
      <x:c r="G235" s="23" t="n">
        <x:f>ROUND(F235-F234,1)</x:f>
        <x:v>-46.6</x:v>
      </x:c>
      <x:c r="H235" s="24" t="n">
        <x:f>IFERROR(F235/F234-1,"")</x:f>
        <x:v>-0.015108286862923093</x:v>
      </x:c>
      <x:c r="I235" s="26" t="n">
        <x:f>ROUND(D235-E235,1)</x:f>
        <x:v>66.4</x:v>
      </x:c>
      <x:c r="J235" s="22" t="str">
        <x:v>IH2603</x:v>
      </x:c>
      <x:c r="K235" s="22" t="n">
        <x:v>5</x:v>
      </x:c>
    </x:row>
    <x:row r="236">
      <x:c r="A236" s="22" t="n">
        <x:v>4</x:v>
      </x:c>
      <x:c r="B236" s="22" t="str">
        <x:v>1月26日-1月30日</x:v>
      </x:c>
      <x:c r="C236" s="23" t="n">
        <x:v>3049.8</x:v>
      </x:c>
      <x:c r="D236" s="23" t="n">
        <x:v>3136.6</x:v>
      </x:c>
      <x:c r="E236" s="23" t="n">
        <x:v>3044</x:v>
      </x:c>
      <x:c r="F236" s="23" t="n">
        <x:v>3074</x:v>
      </x:c>
      <x:c r="G236" s="23" t="n">
        <x:f>ROUND(F236-F235,1)</x:f>
        <x:v>36.2</x:v>
      </x:c>
      <x:c r="H236" s="24" t="n">
        <x:f>IFERROR(F236/F235-1,"")</x:f>
        <x:v>0.011916518533148901</x:v>
      </x:c>
      <x:c r="I236" s="26" t="n">
        <x:f>ROUND(D236-E236,1)</x:f>
        <x:v>92.6</x:v>
      </x:c>
      <x:c r="J236" s="22" t="str">
        <x:v>IH2603</x:v>
      </x:c>
      <x:c r="K236" s="22" t="n">
        <x:v>5</x:v>
      </x:c>
    </x:row>
    <x:row r="237">
      <x:c r="A237" s="22" t="n">
        <x:v>5</x:v>
      </x:c>
      <x:c r="B237" s="22" t="str">
        <x:v>2月2日-2月6日</x:v>
      </x:c>
      <x:c r="C237" s="23" t="n">
        <x:v>3039.4</x:v>
      </x:c>
      <x:c r="D237" s="23" t="n">
        <x:v>3081</x:v>
      </x:c>
      <x:c r="E237" s="23" t="n">
        <x:v>2984</x:v>
      </x:c>
      <x:c r="F237" s="23" t="n">
        <x:v>3036.2</x:v>
      </x:c>
      <x:c r="G237" s="23" t="n">
        <x:f>ROUND(F237-F236,1)</x:f>
        <x:v>-37.8</x:v>
      </x:c>
      <x:c r="H237" s="24" t="n">
        <x:f>IFERROR(F237/F236-1,"")</x:f>
        <x:v>-0.012296681847755453</x:v>
      </x:c>
      <x:c r="I237" s="26" t="n">
        <x:f>ROUND(D237-E237,1)</x:f>
        <x:v>97</x:v>
      </x:c>
      <x:c r="J237" s="22" t="str">
        <x:v>IH2603</x:v>
      </x:c>
      <x:c r="K237" s="22" t="n">
        <x:v>5</x:v>
      </x:c>
    </x:row>
    <x:row r="238">
      <x:c r="A238" s="22" t="n">
        <x:v>6</x:v>
      </x:c>
      <x:c r="B238" s="22" t="str">
        <x:v>2月9日-2月13日</x:v>
      </x:c>
      <x:c r="C238" s="23" t="n">
        <x:v>3060.6</x:v>
      </x:c>
      <x:c r="D238" s="23" t="n">
        <x:v>3098</x:v>
      </x:c>
      <x:c r="E238" s="23" t="n">
        <x:v>3020</x:v>
      </x:c>
      <x:c r="F238" s="23" t="n">
        <x:v>3020</x:v>
      </x:c>
      <x:c r="G238" s="23" t="n">
        <x:f>ROUND(F238-F237,1)</x:f>
        <x:v>-16.2</x:v>
      </x:c>
      <x:c r="H238" s="24" t="n">
        <x:f>IFERROR(F238/F237-1,"")</x:f>
        <x:v>-0.005335616889532879</x:v>
      </x:c>
      <x:c r="I238" s="26" t="n">
        <x:f>ROUND(D238-E238,1)</x:f>
        <x:v>78</x:v>
      </x:c>
      <x:c r="J238" s="22" t="str">
        <x:v>IH2603</x:v>
      </x:c>
      <x:c r="K238" s="22" t="n">
        <x:v>5</x:v>
      </x:c>
    </x:row>
    <x:row r="239">
      <x:c r="A239" s="22" t="n">
        <x:v>7</x:v>
      </x:c>
      <x:c r="B239" s="22" t="str">
        <x:v>2月24日-2月27日</x:v>
      </x:c>
      <x:c r="C239" s="23" t="n">
        <x:v>3049.2</x:v>
      </x:c>
      <x:c r="D239" s="23" t="n">
        <x:v>3086.4</x:v>
      </x:c>
      <x:c r="E239" s="23" t="n">
        <x:v>3022</x:v>
      </x:c>
      <x:c r="F239" s="23" t="n">
        <x:v>3045.4</x:v>
      </x:c>
      <x:c r="G239" s="23" t="n">
        <x:f>ROUND(F239-F238,1)</x:f>
        <x:v>25.4</x:v>
      </x:c>
      <x:c r="H239" s="24" t="n">
        <x:f>IFERROR(F239/F238-1,"")</x:f>
        <x:v>0.008410596026490191</x:v>
      </x:c>
      <x:c r="I239" s="26" t="n">
        <x:f>ROUND(D239-E239,1)</x:f>
        <x:v>64.4</x:v>
      </x:c>
      <x:c r="J239" s="22" t="str">
        <x:v>IH2603</x:v>
      </x:c>
      <x:c r="K239" s="22" t="n">
        <x:v>4</x:v>
      </x:c>
    </x:row>
    <x:row r="240">
      <x:c r="A240" s="22" t="n">
        <x:v>8</x:v>
      </x:c>
      <x:c r="B240" s="22" t="str">
        <x:v>3月2日-3月6日</x:v>
      </x:c>
      <x:c r="C240" s="23" t="n">
        <x:v>3038</x:v>
      </x:c>
      <x:c r="D240" s="23" t="n">
        <x:v>3056</x:v>
      </x:c>
      <x:c r="E240" s="23" t="n">
        <x:v>2950</x:v>
      </x:c>
      <x:c r="F240" s="23" t="n">
        <x:v>2990</x:v>
      </x:c>
      <x:c r="G240" s="23" t="n">
        <x:f>ROUND(F240-F239,1)</x:f>
        <x:v>-55.4</x:v>
      </x:c>
      <x:c r="H240" s="24" t="n">
        <x:f>IFERROR(F240/F239-1,"")</x:f>
        <x:v>-0.018191370591712164</x:v>
      </x:c>
      <x:c r="I240" s="26" t="n">
        <x:f>ROUND(D240-E240,1)</x:f>
        <x:v>106</x:v>
      </x:c>
      <x:c r="J240" s="22" t="str">
        <x:v>IH2603</x:v>
      </x:c>
      <x:c r="K240" s="22" t="n">
        <x:v>5</x:v>
      </x:c>
    </x:row>
    <x:row r="241">
      <x:c r="A241" s="22" t="n">
        <x:v>9</x:v>
      </x:c>
      <x:c r="B241" s="22" t="str">
        <x:v>3月9日-3月13日</x:v>
      </x:c>
      <x:c r="C241" s="23" t="n">
        <x:v>2965.4</x:v>
      </x:c>
      <x:c r="D241" s="23" t="n">
        <x:v>2989</x:v>
      </x:c>
      <x:c r="E241" s="23" t="n">
        <x:v>2912.6</x:v>
      </x:c>
      <x:c r="F241" s="23" t="n">
        <x:v>2957</x:v>
      </x:c>
      <x:c r="G241" s="23" t="n">
        <x:f>ROUND(F241-F240,1)</x:f>
        <x:v>-33</x:v>
      </x:c>
      <x:c r="H241" s="24" t="n">
        <x:f>IFERROR(F241/F240-1,"")</x:f>
        <x:v>-0.011036789297658833</x:v>
      </x:c>
      <x:c r="I241" s="26" t="n">
        <x:f>ROUND(D241-E241,1)</x:f>
        <x:v>76.4</x:v>
      </x:c>
      <x:c r="J241" s="22" t="str">
        <x:v>IH2603</x:v>
      </x:c>
      <x:c r="K241" s="22" t="n">
        <x:v>5</x:v>
      </x:c>
    </x:row>
    <x:row r="242">
      <x:c r="A242" s="22" t="n">
        <x:v>10</x:v>
      </x:c>
      <x:c r="B242" s="22" t="str">
        <x:v>3月16日-3月20日</x:v>
      </x:c>
      <x:c r="C242" s="23" t="n">
        <x:v>2953</x:v>
      </x:c>
      <x:c r="D242" s="23" t="n">
        <x:v>2996.6</x:v>
      </x:c>
      <x:c r="E242" s="23" t="n">
        <x:v>2896</x:v>
      </x:c>
      <x:c r="F242" s="23" t="n">
        <x:v>2898.4</x:v>
      </x:c>
      <x:c r="G242" s="23" t="n">
        <x:f>ROUND(F242-F241,1)</x:f>
        <x:v>-58.6</x:v>
      </x:c>
      <x:c r="H242" s="24" t="n">
        <x:f>IFERROR(F242/F241-1,"")</x:f>
        <x:v>-0.019817382482245516</x:v>
      </x:c>
      <x:c r="I242" s="26" t="n">
        <x:f>ROUND(D242-E242,1)</x:f>
        <x:v>100.6</x:v>
      </x:c>
      <x:c r="J242" s="22" t="str">
        <x:v>IH2603</x:v>
      </x:c>
      <x:c r="K242" s="22" t="n">
        <x:v>5</x:v>
      </x:c>
    </x:row>
    <x:row r="243">
      <x:c r="A243" s="22" t="n">
        <x:v>11</x:v>
      </x:c>
      <x:c r="B243" s="22" t="str">
        <x:v>3月23日-3月27日</x:v>
      </x:c>
      <x:c r="C243" s="23" t="n">
        <x:v>2830</x:v>
      </x:c>
      <x:c r="D243" s="23" t="n">
        <x:v>2847.6</x:v>
      </x:c>
      <x:c r="E243" s="23" t="n">
        <x:v>2750.8</x:v>
      </x:c>
      <x:c r="F243" s="23" t="n">
        <x:v>2814.4</x:v>
      </x:c>
      <x:c r="G243" s="23" t="n">
        <x:f>ROUND(F243-F242,1)</x:f>
        <x:v>-84</x:v>
      </x:c>
      <x:c r="H243" s="24" t="n">
        <x:f>IFERROR(F243/F242-1,"")</x:f>
        <x:v>-0.028981507038365995</x:v>
      </x:c>
      <x:c r="I243" s="26" t="n">
        <x:f>ROUND(D243-E243,1)</x:f>
        <x:v>96.8</x:v>
      </x:c>
      <x:c r="J243" s="22" t="str">
        <x:v>IH2606</x:v>
      </x:c>
      <x:c r="K243" s="22" t="n">
        <x:v>5</x:v>
      </x:c>
    </x:row>
    <x:row r="244">
      <x:c r="A244" s="22" t="n">
        <x:v>12</x:v>
      </x:c>
      <x:c r="B244" s="22" t="str">
        <x:v>3月30日-4月3日</x:v>
      </x:c>
      <x:c r="C244" s="23" t="n">
        <x:v>2794.8</x:v>
      </x:c>
      <x:c r="D244" s="23" t="n">
        <x:v>2865.4</x:v>
      </x:c>
      <x:c r="E244" s="23" t="n">
        <x:v>2780.4</x:v>
      </x:c>
      <x:c r="F244" s="23" t="n">
        <x:v>2804.4</x:v>
      </x:c>
      <x:c r="G244" s="23" t="n">
        <x:f>ROUND(F244-F243,1)</x:f>
        <x:v>-10</x:v>
      </x:c>
      <x:c r="H244" s="24" t="n">
        <x:f>IFERROR(F244/F243-1,"")</x:f>
        <x:v>-0.0035531552018192025</x:v>
      </x:c>
      <x:c r="I244" s="26" t="n">
        <x:f>ROUND(D244-E244,1)</x:f>
        <x:v>85</x:v>
      </x:c>
      <x:c r="J244" s="22" t="str">
        <x:v>IH2606</x:v>
      </x:c>
      <x:c r="K244" s="22" t="n">
        <x:v>5</x:v>
      </x:c>
    </x:row>
    <x:row r="245">
      <x:c r="A245" s="22" t="n">
        <x:v>13</x:v>
      </x:c>
      <x:c r="B245" s="22" t="str">
        <x:v>4月7日-4月10日</x:v>
      </x:c>
      <x:c r="C245" s="23" t="n">
        <x:v>2810.4</x:v>
      </x:c>
      <x:c r="D245" s="23" t="n">
        <x:v>2896</x:v>
      </x:c>
      <x:c r="E245" s="23" t="n">
        <x:v>2797.2</x:v>
      </x:c>
      <x:c r="F245" s="23" t="n">
        <x:v>2873.2</x:v>
      </x:c>
      <x:c r="G245" s="23" t="n">
        <x:f>ROUND(F245-F244,1)</x:f>
        <x:v>68.8</x:v>
      </x:c>
      <x:c r="H245" s="24" t="n">
        <x:f>IFERROR(F245/F244-1,"")</x:f>
        <x:v>0.02453287690771644</x:v>
      </x:c>
      <x:c r="I245" s="26" t="n">
        <x:f>ROUND(D245-E245,1)</x:f>
        <x:v>98.8</x:v>
      </x:c>
      <x:c r="J245" s="22" t="str">
        <x:v>IH2606</x:v>
      </x:c>
      <x:c r="K245" s="22" t="n">
        <x:v>4</x:v>
      </x:c>
    </x:row>
    <x:row r="246">
      <x:c r="A246" s="22" t="n">
        <x:v>14</x:v>
      </x:c>
      <x:c r="B246" s="22" t="str">
        <x:v>4月13日-4月17日</x:v>
      </x:c>
      <x:c r="C246" s="23" t="n">
        <x:v>2864.6</x:v>
      </x:c>
      <x:c r="D246" s="23" t="n">
        <x:v>2930.8</x:v>
      </x:c>
      <x:c r="E246" s="23" t="n">
        <x:v>2860</x:v>
      </x:c>
      <x:c r="F246" s="23" t="n">
        <x:v>2888</x:v>
      </x:c>
      <x:c r="G246" s="23" t="n">
        <x:f>ROUND(F246-F245,1)</x:f>
        <x:v>14.8</x:v>
      </x:c>
      <x:c r="H246" s="24" t="n">
        <x:f>IFERROR(F246/F245-1,"")</x:f>
        <x:v>0.005151051092858294</x:v>
      </x:c>
      <x:c r="I246" s="26" t="n">
        <x:f>ROUND(D246-E246,1)</x:f>
        <x:v>70.8</x:v>
      </x:c>
      <x:c r="J246" s="22" t="str">
        <x:v>IH2606</x:v>
      </x:c>
      <x:c r="K246" s="22" t="n">
        <x:v>5</x:v>
      </x:c>
    </x:row>
    <x:row r="247">
      <x:c r="A247" s="22" t="n">
        <x:v>15</x:v>
      </x:c>
      <x:c r="B247" s="22" t="str">
        <x:v>4月20日-4月24日</x:v>
      </x:c>
      <x:c r="C247" s="23" t="n">
        <x:v>2900.8</x:v>
      </x:c>
      <x:c r="D247" s="23" t="n">
        <x:v>2934.2</x:v>
      </x:c>
      <x:c r="E247" s="23" t="n">
        <x:v>2891</x:v>
      </x:c>
      <x:c r="F247" s="23" t="n">
        <x:v>2929</x:v>
      </x:c>
      <x:c r="G247" s="23" t="n">
        <x:f>ROUND(F247-F246,1)</x:f>
        <x:v>41</x:v>
      </x:c>
      <x:c r="H247" s="24" t="n">
        <x:f>IFERROR(F247/F246-1,"")</x:f>
        <x:v>0.014196675900276956</x:v>
      </x:c>
      <x:c r="I247" s="23" t="n">
        <x:f>ROUND(D247-E247,1)</x:f>
        <x:v>43.2</x:v>
      </x:c>
      <x:c r="J247" s="22" t="str">
        <x:v>IH2606</x:v>
      </x:c>
      <x:c r="K247" s="22" t="n">
        <x:v>5</x:v>
      </x:c>
    </x:row>
    <x:row r="248">
      <x:c r="A248" s="22" t="n">
        <x:v>16</x:v>
      </x:c>
      <x:c r="B248" s="22" t="str">
        <x:v>4月27日-4月30日</x:v>
      </x:c>
      <x:c r="C248" s="23" t="n">
        <x:v>2929.2</x:v>
      </x:c>
      <x:c r="D248" s="23" t="n">
        <x:v>2970</x:v>
      </x:c>
      <x:c r="E248" s="23" t="n">
        <x:v>2917</x:v>
      </x:c>
      <x:c r="F248" s="23" t="n">
        <x:v>2968.8</x:v>
      </x:c>
      <x:c r="G248" s="23" t="n">
        <x:f>ROUND(F248-F247,1)</x:f>
        <x:v>39.8</x:v>
      </x:c>
      <x:c r="H248" s="24" t="n">
        <x:f>IFERROR(F248/F247-1,"")</x:f>
        <x:v>0.013588255377261937</x:v>
      </x:c>
      <x:c r="I248" s="23" t="n">
        <x:f>ROUND(D248-E248,1)</x:f>
        <x:v>53</x:v>
      </x:c>
      <x:c r="J248" s="22" t="str">
        <x:v>IH2606</x:v>
      </x:c>
      <x:c r="K248" s="22" t="n">
        <x:v>4</x:v>
      </x:c>
    </x:row>
    <x:row r="249">
      <x:c r="A249" s="22" t="n">
        <x:v>17</x:v>
      </x:c>
      <x:c r="B249" s="22" t="str">
        <x:v>5月6日-5月8日</x:v>
      </x:c>
      <x:c r="C249" s="23" t="n">
        <x:v>2995.2</x:v>
      </x:c>
      <x:c r="D249" s="23" t="n">
        <x:v>3024.8</x:v>
      </x:c>
      <x:c r="E249" s="23" t="n">
        <x:v>2969.2</x:v>
      </x:c>
      <x:c r="F249" s="23" t="n">
        <x:v>2981.6</x:v>
      </x:c>
      <x:c r="G249" s="23" t="n">
        <x:f>ROUND(F249-F248,1)</x:f>
        <x:v>12.8</x:v>
      </x:c>
      <x:c r="H249" s="24" t="n">
        <x:f>IFERROR(F249/F248-1,"")</x:f>
        <x:v>0.0043115063325247505</x:v>
      </x:c>
      <x:c r="I249" s="23" t="n">
        <x:f>ROUND(D249-E249,1)</x:f>
        <x:v>55.6</x:v>
      </x:c>
      <x:c r="J249" s="22" t="str">
        <x:v>IH2606</x:v>
      </x:c>
      <x:c r="K249" s="22" t="n">
        <x:v>3</x:v>
      </x:c>
    </x:row>
    <x:row r="250">
      <x:c r="A250" s="22" t="n">
        <x:v>18</x:v>
      </x:c>
      <x:c r="B250" s="22" t="str">
        <x:v>5月11日-5月15日</x:v>
      </x:c>
      <x:c r="C250" s="23" t="n">
        <x:v>2997.6</x:v>
      </x:c>
      <x:c r="D250" s="23" t="n">
        <x:v>3041.8</x:v>
      </x:c>
      <x:c r="E250" s="23" t="n">
        <x:v>2927</x:v>
      </x:c>
      <x:c r="F250" s="23" t="n">
        <x:v>2945</x:v>
      </x:c>
      <x:c r="G250" s="23" t="n">
        <x:f>ROUND(F250-F249,1)</x:f>
        <x:v>-36.6</x:v>
      </x:c>
      <x:c r="H250" s="24" t="n">
        <x:f>IFERROR(F250/F249-1,"")</x:f>
        <x:v>-0.012275288435739218</x:v>
      </x:c>
      <x:c r="I250" s="26" t="n">
        <x:f>ROUND(D250-E250,1)</x:f>
        <x:v>114.8</x:v>
      </x:c>
      <x:c r="J250" s="22" t="str">
        <x:v>IH2606</x:v>
      </x:c>
      <x:c r="K250" s="22" t="n">
        <x:v>5</x:v>
      </x:c>
    </x:row>
    <x:row r="251">
      <x:c r="A251" s="22" t="n">
        <x:v>19</x:v>
      </x:c>
      <x:c r="B251" s="22" t="str">
        <x:v>5月18日-5月22日</x:v>
      </x:c>
      <x:c r="C251" s="23" t="n">
        <x:v>2936</x:v>
      </x:c>
      <x:c r="D251" s="23" t="n">
        <x:v>2981.8</x:v>
      </x:c>
      <x:c r="E251" s="23" t="n">
        <x:v>2893.2</x:v>
      </x:c>
      <x:c r="F251" s="23" t="n">
        <x:v>2899.2</x:v>
      </x:c>
      <x:c r="G251" s="23" t="n">
        <x:f>ROUND(F251-F250,1)</x:f>
        <x:v>-45.8</x:v>
      </x:c>
      <x:c r="H251" s="24" t="n">
        <x:f>IFERROR(F251/F250-1,"")</x:f>
        <x:v>-0.015551782682512783</x:v>
      </x:c>
      <x:c r="I251" s="26" t="n">
        <x:f>ROUND(D251-E251,1)</x:f>
        <x:v>88.6</x:v>
      </x:c>
      <x:c r="J251" s="22" t="str">
        <x:v>IH2606</x:v>
      </x:c>
      <x:c r="K251" s="22" t="n">
        <x:v>5</x:v>
      </x:c>
    </x:row>
    <x:row r="252">
      <x:c r="A252" s="22" t="n">
        <x:v>20</x:v>
      </x:c>
      <x:c r="B252" s="22" t="str">
        <x:v>5月25日-5月29日</x:v>
      </x:c>
      <x:c r="C252" s="23" t="n">
        <x:v>2910.8</x:v>
      </x:c>
      <x:c r="D252" s="23" t="n">
        <x:v>2960</x:v>
      </x:c>
      <x:c r="E252" s="23" t="n">
        <x:v>2871</x:v>
      </x:c>
      <x:c r="F252" s="23" t="n">
        <x:v>2900.6</x:v>
      </x:c>
      <x:c r="G252" s="23" t="n">
        <x:f>ROUND(F252-F251,1)</x:f>
        <x:v>1.4</x:v>
      </x:c>
      <x:c r="H252" s="24" t="n">
        <x:f>IFERROR(F252/F251-1,"")</x:f>
        <x:v>0.0004828918322297149</x:v>
      </x:c>
      <x:c r="I252" s="26" t="n">
        <x:f>ROUND(D252-E252,1)</x:f>
        <x:v>89</x:v>
      </x:c>
      <x:c r="J252" s="22" t="str">
        <x:v>IH2606</x:v>
      </x:c>
      <x:c r="K252" s="22" t="n">
        <x:v>5</x:v>
      </x:c>
    </x:row>
    <x:row r="253">
      <x:c r="A253" s="22" t="n">
        <x:v>21</x:v>
      </x:c>
      <x:c r="B253" s="22" t="str">
        <x:v>6月1日-6月5日</x:v>
      </x:c>
      <x:c r="C253" s="23" t="n">
        <x:v>2901</x:v>
      </x:c>
      <x:c r="D253" s="23" t="n">
        <x:v>2924.2</x:v>
      </x:c>
      <x:c r="E253" s="23" t="n">
        <x:v>2841.6</x:v>
      </x:c>
      <x:c r="F253" s="23" t="n">
        <x:v>2844</x:v>
      </x:c>
      <x:c r="G253" s="23" t="n">
        <x:f>ROUND(F253-F252,1)</x:f>
        <x:v>-56.6</x:v>
      </x:c>
      <x:c r="H253" s="24" t="n">
        <x:f>IFERROR(F253/F252-1,"")</x:f>
        <x:v>-0.019513204164655518</x:v>
      </x:c>
      <x:c r="I253" s="26" t="n">
        <x:f>ROUND(D253-E253,1)</x:f>
        <x:v>82.6</x:v>
      </x:c>
      <x:c r="J253" s="22" t="str">
        <x:v>IH2606</x:v>
      </x:c>
      <x:c r="K253" s="22" t="n">
        <x:v>5</x:v>
      </x:c>
    </x:row>
    <x:row r="254">
      <x:c r="A254" s="22" t="n">
        <x:v>22</x:v>
      </x:c>
      <x:c r="B254" s="22" t="str">
        <x:v>6月8日-6月12日</x:v>
      </x:c>
      <x:c r="C254" s="23" t="n">
        <x:v>2808.4</x:v>
      </x:c>
      <x:c r="D254" s="23" t="n">
        <x:v>2902.6</x:v>
      </x:c>
      <x:c r="E254" s="23" t="n">
        <x:v>2791.2</x:v>
      </x:c>
      <x:c r="F254" s="23" t="n">
        <x:v>2897.2</x:v>
      </x:c>
      <x:c r="G254" s="23" t="n">
        <x:f>ROUND(F254-F253,1)</x:f>
        <x:v>53.2</x:v>
      </x:c>
      <x:c r="H254" s="24" t="n">
        <x:f>IFERROR(F254/F253-1,"")</x:f>
        <x:v>0.01870604781997187</x:v>
      </x:c>
      <x:c r="I254" s="26" t="n">
        <x:f>ROUND(D254-E254,1)</x:f>
        <x:v>111.4</x:v>
      </x:c>
      <x:c r="J254" s="22" t="str">
        <x:v>IH2606</x:v>
      </x:c>
      <x:c r="K254" s="22" t="n">
        <x:v>5</x:v>
      </x:c>
    </x:row>
    <x:row r="255">
      <x:c r="A255" s="22" t="n">
        <x:v>23</x:v>
      </x:c>
      <x:c r="B255" s="22" t="str">
        <x:v>6月15日-6月18日</x:v>
      </x:c>
      <x:c r="C255" s="23" t="n">
        <x:v>2926.2</x:v>
      </x:c>
      <x:c r="D255" s="23" t="n">
        <x:v>2954.6</x:v>
      </x:c>
      <x:c r="E255" s="23" t="n">
        <x:v>2903.4</x:v>
      </x:c>
      <x:c r="F255" s="23" t="n">
        <x:v>2941</x:v>
      </x:c>
      <x:c r="G255" s="23" t="n">
        <x:f>ROUND(F255-F254,1)</x:f>
        <x:v>43.8</x:v>
      </x:c>
      <x:c r="H255" s="24" t="n">
        <x:f>IFERROR(F255/F254-1,"")</x:f>
        <x:v>0.01511804500897429</x:v>
      </x:c>
      <x:c r="I255" s="23" t="n">
        <x:f>ROUND(D255-E255,1)</x:f>
        <x:v>51.2</x:v>
      </x:c>
      <x:c r="J255" s="22" t="str">
        <x:v>IH2606</x:v>
      </x:c>
      <x:c r="K255" s="22" t="n">
        <x:v>4</x:v>
      </x:c>
    </x:row>
    <x:row r="256">
      <x:c r="A256" s="22" t="n">
        <x:v>24</x:v>
      </x:c>
      <x:c r="B256" s="22" t="str">
        <x:v>6月22日-6月26日</x:v>
      </x:c>
      <x:c r="C256" s="23" t="n">
        <x:v>2936</x:v>
      </x:c>
      <x:c r="D256" s="23" t="n">
        <x:v>2996</x:v>
      </x:c>
      <x:c r="E256" s="23" t="n">
        <x:v>2834.8</x:v>
      </x:c>
      <x:c r="F256" s="23" t="n">
        <x:v>2859</x:v>
      </x:c>
      <x:c r="G256" s="23" t="n">
        <x:f>ROUND(F256-F255,1)</x:f>
        <x:v>-82</x:v>
      </x:c>
      <x:c r="H256" s="24" t="n">
        <x:f>IFERROR(F256/F255-1,"")</x:f>
        <x:v>-0.02788167290037402</x:v>
      </x:c>
      <x:c r="I256" s="26" t="n">
        <x:f>ROUND(D256-E256,1)</x:f>
        <x:v>161.2</x:v>
      </x:c>
      <x:c r="J256" s="22" t="str">
        <x:v>IH2606/IH2609</x:v>
      </x:c>
      <x:c r="K256" s="22" t="n">
        <x:v>5</x:v>
      </x:c>
    </x:row>
    <x:row r="257">
      <x:c r="A257" s="22" t="n">
        <x:v>25</x:v>
      </x:c>
      <x:c r="B257" s="22" t="str">
        <x:v>6月29日-7月3日</x:v>
      </x:c>
      <x:c r="C257" s="23" t="n">
        <x:v>2870</x:v>
      </x:c>
      <x:c r="D257" s="23" t="n">
        <x:v>2976</x:v>
      </x:c>
      <x:c r="E257" s="23" t="n">
        <x:v>2861.8</x:v>
      </x:c>
      <x:c r="F257" s="23" t="n">
        <x:v>2886.6</x:v>
      </x:c>
      <x:c r="G257" s="23" t="n">
        <x:f>ROUND(F257-F256,1)</x:f>
        <x:v>27.6</x:v>
      </x:c>
      <x:c r="H257" s="24" t="n">
        <x:f>IFERROR(F257/F256-1,"")</x:f>
        <x:v>0.009653725078698772</x:v>
      </x:c>
      <x:c r="I257" s="26" t="n">
        <x:f>ROUND(D257-E257,1)</x:f>
        <x:v>114.2</x:v>
      </x:c>
      <x:c r="J257" s="22" t="str">
        <x:v>IH2609</x:v>
      </x:c>
      <x:c r="K257" s="22" t="n">
        <x:v>5</x:v>
      </x:c>
    </x:row>
    <x:row r="258">
      <x:c r="A258" s="22" t="n">
        <x:v>26</x:v>
      </x:c>
      <x:c r="B258" s="22" t="str">
        <x:v>7月6日-7月10日</x:v>
      </x:c>
      <x:c r="C258" s="23" t="n">
        <x:v>2899</x:v>
      </x:c>
      <x:c r="D258" s="23" t="n">
        <x:v>2983.8</x:v>
      </x:c>
      <x:c r="E258" s="23" t="n">
        <x:v>2862.4</x:v>
      </x:c>
      <x:c r="F258" s="23" t="n">
        <x:v>2910.2</x:v>
      </x:c>
      <x:c r="G258" s="23" t="n">
        <x:f>ROUND(F258-F257,1)</x:f>
        <x:v>23.6</x:v>
      </x:c>
      <x:c r="H258" s="24" t="n">
        <x:f>IFERROR(F258/F257-1,"")</x:f>
        <x:v>0.008175708445922414</x:v>
      </x:c>
      <x:c r="I258" s="26" t="n">
        <x:f>ROUND(D258-E258,1)</x:f>
        <x:v>121.4</x:v>
      </x:c>
      <x:c r="J258" s="22" t="str">
        <x:v>IH2609</x:v>
      </x:c>
      <x:c r="K258" s="22" t="n">
        <x:v>5</x:v>
      </x:c>
    </x:row>
    <x:row r="259">
      <x:c r="A259" s="22" t="n">
        <x:v>27</x:v>
      </x:c>
      <x:c r="B259" s="22" t="str">
        <x:v>7月13日-7月17日</x:v>
      </x:c>
      <x:c r="C259" s="23" t="n">
        <x:v>2895.8</x:v>
      </x:c>
      <x:c r="D259" s="23" t="n">
        <x:v>2924</x:v>
      </x:c>
      <x:c r="E259" s="23" t="n">
        <x:v>2782.6</x:v>
      </x:c>
      <x:c r="F259" s="23" t="n">
        <x:v>2796.4</x:v>
      </x:c>
      <x:c r="G259" s="23" t="n">
        <x:f>ROUND(F259-F258,1)</x:f>
        <x:v>-113.8</x:v>
      </x:c>
      <x:c r="H259" s="24" t="n">
        <x:f>IFERROR(F259/F258-1,"")</x:f>
        <x:v>-0.039103841660366845</x:v>
      </x:c>
      <x:c r="I259" s="26" t="n">
        <x:f>ROUND(D259-E259,1)</x:f>
        <x:v>141.4</x:v>
      </x:c>
      <x:c r="J259" s="22" t="str">
        <x:v>IH2609</x:v>
      </x:c>
      <x:c r="K259" s="22" t="n">
        <x:v>5</x:v>
      </x:c>
    </x:row>
    <x:row r="260">
      <x:c r="A260" s="22" t="n">
        <x:v>28</x:v>
      </x:c>
      <x:c r="B260" s="22" t="str">
        <x:v>7月20日-7月24日</x:v>
      </x:c>
      <x:c r="C260" s="23" t="n">
        <x:v>2820</x:v>
      </x:c>
      <x:c r="D260" s="23" t="n">
        <x:v>2978</x:v>
      </x:c>
      <x:c r="E260" s="23" t="n">
        <x:v>2820</x:v>
      </x:c>
      <x:c r="F260" s="23" t="n">
        <x:v>2910</x:v>
      </x:c>
      <x:c r="G260" s="23" t="n">
        <x:f>ROUND(F260-F259,1)</x:f>
        <x:v>113.6</x:v>
      </x:c>
      <x:c r="H260" s="24" t="n">
        <x:f>IFERROR(F260/F259-1,"")</x:f>
        <x:v>0.040623658990130096</x:v>
      </x:c>
      <x:c r="I260" s="26" t="n">
        <x:f>ROUND(D260-E260,1)</x:f>
        <x:v>158</x:v>
      </x:c>
      <x:c r="J260" s="22" t="str">
        <x:v>IH2609</x:v>
      </x:c>
      <x:c r="K260" s="22" t="n">
        <x:v>5</x:v>
      </x:c>
    </x:row>
    <x:row r="261">
      <x:c r="A261" s="22" t="n">
        <x:v>29</x:v>
      </x:c>
      <x:c r="B261" s="22" t="str">
        <x:v>7月27日-7月31日</x:v>
      </x:c>
      <x:c r="C261" s="23" t="n">
        <x:v>2929.6</x:v>
      </x:c>
      <x:c r="D261" s="23" t="n">
        <x:v>2930</x:v>
      </x:c>
      <x:c r="E261" s="23" t="n">
        <x:v>2847.2</x:v>
      </x:c>
      <x:c r="F261" s="23" t="n">
        <x:v>2891.8</x:v>
      </x:c>
      <x:c r="G261" s="23" t="n">
        <x:f>ROUND(F261-F260,1)</x:f>
        <x:v>-18.2</x:v>
      </x:c>
      <x:c r="H261" s="24" t="n">
        <x:f>IFERROR(F261/F260-1,"")</x:f>
        <x:v>-0.006254295532646004</x:v>
      </x:c>
      <x:c r="I261" s="26" t="n">
        <x:f>ROUND(D261-E261,1)</x:f>
        <x:v>82.8</x:v>
      </x:c>
      <x:c r="J261" s="22" t="str">
        <x:v>IH2609</x:v>
      </x:c>
      <x:c r="K261" s="22" t="n">
        <x:v>5</x:v>
      </x:c>
    </x:row>
    <x:row r="262">
      <x:c r="A262" s="22" t="n">
        <x:v>30</x:v>
      </x:c>
      <x:c r="B262" s="22" t="str">
        <x:v>8月3日-8月7日</x:v>
      </x:c>
      <x:c r="C262" s="23" t="n">
        <x:v>2882.4</x:v>
      </x:c>
      <x:c r="D262" s="23" t="n">
        <x:v>2930.6</x:v>
      </x:c>
      <x:c r="E262" s="23" t="n">
        <x:v>2845.8</x:v>
      </x:c>
      <x:c r="F262" s="23" t="n">
        <x:v>2930</x:v>
      </x:c>
      <x:c r="G262" s="23" t="n">
        <x:f>ROUND(F262-F261,1)</x:f>
        <x:v>38.2</x:v>
      </x:c>
      <x:c r="H262" s="24" t="n">
        <x:f>IFERROR(F262/F261-1,"")</x:f>
        <x:v>0.013209765543951812</x:v>
      </x:c>
      <x:c r="I262" s="26" t="n">
        <x:f>ROUND(D262-E262,1)</x:f>
        <x:v>84.8</x:v>
      </x:c>
      <x:c r="J262" s="22" t="str">
        <x:v>IH2609</x:v>
      </x:c>
      <x:c r="K262" s="22" t="n">
        <x:v>5</x:v>
      </x:c>
    </x:row>
    <x:row r="263">
      <x:c r="A263" s="22" t="n">
        <x:v>31</x:v>
      </x:c>
      <x:c r="B263" s="22" t="str">
        <x:v>8月10日-8月14日</x:v>
      </x:c>
      <x:c r="C263" s="23" t="n">
        <x:v>2930</x:v>
      </x:c>
      <x:c r="D263" s="23" t="n">
        <x:v>2949.6</x:v>
      </x:c>
      <x:c r="E263" s="23" t="n">
        <x:v>2877</x:v>
      </x:c>
      <x:c r="F263" s="23" t="n">
        <x:v>2890</x:v>
      </x:c>
      <x:c r="G263" s="23" t="n">
        <x:f>ROUND(F263-F262,1)</x:f>
        <x:v>-40</x:v>
      </x:c>
      <x:c r="H263" s="24" t="n">
        <x:f>IFERROR(F263/F262-1,"")</x:f>
        <x:v>-0.013651877133105783</x:v>
      </x:c>
      <x:c r="I263" s="26" t="n">
        <x:f>ROUND(D263-E263,1)</x:f>
        <x:v>72.6</x:v>
      </x:c>
      <x:c r="J263" s="22" t="str">
        <x:v>IH2609</x:v>
      </x:c>
      <x:c r="K263" s="22" t="n">
        <x:v>5</x:v>
      </x:c>
    </x:row>
    <x:row r="264">
      <x:c r="A264" s="22" t="n">
        <x:v>32</x:v>
      </x:c>
      <x:c r="B264" s="22" t="str">
        <x:v>8月17日-8月21日</x:v>
      </x:c>
      <x:c r="C264" s="23" t="n">
        <x:v>2886</x:v>
      </x:c>
      <x:c r="D264" s="23" t="n">
        <x:v>2921.2</x:v>
      </x:c>
      <x:c r="E264" s="23" t="n">
        <x:v>2843</x:v>
      </x:c>
      <x:c r="F264" s="23" t="n">
        <x:v>2861</x:v>
      </x:c>
      <x:c r="G264" s="23" t="n">
        <x:f>ROUND(F264-F263,1)</x:f>
        <x:v>-29</x:v>
      </x:c>
      <x:c r="H264" s="24" t="n">
        <x:f>IFERROR(F264/F263-1,"")</x:f>
        <x:v>-0.01003460207612461</x:v>
      </x:c>
      <x:c r="I264" s="26" t="n">
        <x:f>ROUND(D264-E264,1)</x:f>
        <x:v>78.2</x:v>
      </x:c>
      <x:c r="J264" s="22" t="str">
        <x:v>IH2609</x:v>
      </x:c>
      <x:c r="K264" s="22" t="n">
        <x:v>5</x:v>
      </x:c>
    </x:row>
    <x:row r="265">
      <x:c r="A265" s="22" t="n">
        <x:v>33</x:v>
      </x:c>
      <x:c r="B265" s="22" t="str">
        <x:v>8月24日-8月26日</x:v>
      </x:c>
      <x:c r="C265" s="23" t="n">
        <x:v>2856.4</x:v>
      </x:c>
      <x:c r="D265" s="23" t="n">
        <x:v>2903.8</x:v>
      </x:c>
      <x:c r="E265" s="23" t="n">
        <x:v>2837.4</x:v>
      </x:c>
      <x:c r="F265" s="23" t="n">
        <x:v>2888.8</x:v>
      </x:c>
      <x:c r="G265" s="23" t="n">
        <x:f>ROUND(F265-F264,1)</x:f>
        <x:v>27.8</x:v>
      </x:c>
      <x:c r="H265" s="24" t="n">
        <x:f>IFERROR(F265/F264-1,"")</x:f>
        <x:v>0.009716882209017896</x:v>
      </x:c>
      <x:c r="I265" s="26" t="n">
        <x:f>ROUND(D265-E265,1)</x:f>
        <x:v>66.4</x:v>
      </x:c>
      <x:c r="J265" s="22" t="str">
        <x:v>IH2609</x:v>
      </x:c>
      <x:c r="K265" s="22" t="n">
        <x:v>3</x:v>
      </x:c>
    </x:row>
    <x:row r="266">
      <x:c r="A266" s="31" t="str">
        <x:v>合计</x:v>
      </x:c>
      <x:c r="B266" s="30" t="n">
        <x:v>33</x:v>
      </x:c>
      <x:c r="C266" s="30"/>
      <x:c r="D266" s="30"/>
      <x:c r="E266" s="30"/>
      <x:c r="F266" s="30"/>
      <x:c r="G266" s="30"/>
      <x:c r="H266" s="30"/>
      <x:c r="I266" s="32" t="n">
        <x:f>ROUND(SUM(I233:I265),1)</x:f>
        <x:v>3034.8</x:v>
      </x:c>
      <x:c r="J266" s="30"/>
      <x:c r="K266" s="30"/>
    </x:row>
    <x:row r="267">
      <x:c r="A267" s="31" t="str">
        <x:v>均值</x:v>
      </x:c>
      <x:c r="B267" s="30"/>
      <x:c r="C267" s="30"/>
      <x:c r="D267" s="30"/>
      <x:c r="E267" s="30"/>
      <x:c r="F267" s="30"/>
      <x:c r="G267" s="30"/>
      <x:c r="H267" s="30"/>
      <x:c r="I267" s="34" t="n">
        <x:f>ROUND(IFERROR(AVERAGE(I233:I265),0),1)</x:f>
        <x:v>92</x:v>
      </x:c>
      <x:c r="J267" s="30"/>
      <x:c r="K267" s="30"/>
    </x:row>
    <x:row r="269">
      <x:c r="A269" s="17" t="str">
        <x:v>碳酸锂2609</x:v>
      </x:c>
      <x:c r="B269" s="17"/>
      <x:c r="C269" s="17"/>
      <x:c r="D269" s="17"/>
      <x:c r="E269" s="17"/>
      <x:c r="F269" s="17"/>
      <x:c r="G269" s="17"/>
      <x:c r="H269" s="17"/>
      <x:c r="I269" s="17"/>
      <x:c r="J269" s="17"/>
      <x:c r="K269" s="17"/>
    </x:row>
    <x:row r="270">
      <x:c r="A270" s="20" t="str">
        <x:v>序号</x:v>
      </x:c>
      <x:c r="B270" s="20" t="str">
        <x:v>周期</x:v>
      </x:c>
      <x:c r="C270" s="20" t="str">
        <x:v>开盘</x:v>
      </x:c>
      <x:c r="D270" s="20" t="str">
        <x:v>高点</x:v>
      </x:c>
      <x:c r="E270" s="20" t="str">
        <x:v>低点</x:v>
      </x:c>
      <x:c r="F270" s="20" t="str">
        <x:v>收盘</x:v>
      </x:c>
      <x:c r="G270" s="20" t="str">
        <x:v>涨跌点数</x:v>
      </x:c>
      <x:c r="H270" s="20" t="str">
        <x:v>涨幅</x:v>
      </x:c>
      <x:c r="I270" s="20" t="str">
        <x:v>振幅</x:v>
      </x:c>
      <x:c r="J270" s="20" t="str">
        <x:v>标的</x:v>
      </x:c>
      <x:c r="K270" s="20" t="str">
        <x:v>交易日</x:v>
      </x:c>
    </x:row>
    <x:row r="271">
      <x:c r="A271" s="22" t="n">
        <x:v>1</x:v>
      </x:c>
      <x:c r="B271" s="22" t="str">
        <x:v>1月5日-1月9日</x:v>
      </x:c>
      <x:c r="C271" s="23" t="n">
        <x:v>126360</x:v>
      </x:c>
      <x:c r="D271" s="23" t="n">
        <x:v>150760</x:v>
      </x:c>
      <x:c r="E271" s="23" t="n">
        <x:v>125160</x:v>
      </x:c>
      <x:c r="F271" s="23" t="n">
        <x:v>145380</x:v>
      </x:c>
      <x:c r="G271" s="23"/>
      <x:c r="H271" s="24"/>
      <x:c r="I271" s="26" t="n">
        <x:f>ROUND(D271-E271,1)</x:f>
        <x:v>25600</x:v>
      </x:c>
      <x:c r="J271" s="22" t="str">
        <x:v>LC2609</x:v>
      </x:c>
      <x:c r="K271" s="22" t="n">
        <x:v>5</x:v>
      </x:c>
    </x:row>
    <x:row r="272">
      <x:c r="A272" s="22" t="n">
        <x:v>2</x:v>
      </x:c>
      <x:c r="B272" s="22" t="str">
        <x:v>1月12日-1月16日</x:v>
      </x:c>
      <x:c r="C272" s="23" t="n">
        <x:v>153000</x:v>
      </x:c>
      <x:c r="D272" s="23" t="n">
        <x:v>176120</x:v>
      </x:c>
      <x:c r="E272" s="23" t="n">
        <x:v>147740</x:v>
      </x:c>
      <x:c r="F272" s="23" t="n">
        <x:v>147740</x:v>
      </x:c>
      <x:c r="G272" s="28" t="n">
        <x:f>ROUND(F272-F271,1)</x:f>
        <x:v>2360</x:v>
      </x:c>
      <x:c r="H272" s="24" t="n">
        <x:f>IFERROR(F272/F271-1,"")</x:f>
        <x:v>0.016233319576282934</x:v>
      </x:c>
      <x:c r="I272" s="26" t="n">
        <x:f>ROUND(D272-E272,1)</x:f>
        <x:v>28380</x:v>
      </x:c>
      <x:c r="J272" s="22" t="str">
        <x:v>LC2609</x:v>
      </x:c>
      <x:c r="K272" s="22" t="n">
        <x:v>5</x:v>
      </x:c>
    </x:row>
    <x:row r="273">
      <x:c r="A273" s="22" t="n">
        <x:v>3</x:v>
      </x:c>
      <x:c r="B273" s="22" t="str">
        <x:v>1月19日-1月23日</x:v>
      </x:c>
      <x:c r="C273" s="23" t="n">
        <x:v>150720</x:v>
      </x:c>
      <x:c r="D273" s="23" t="n">
        <x:v>183780</x:v>
      </x:c>
      <x:c r="E273" s="23" t="n">
        <x:v>143820</x:v>
      </x:c>
      <x:c r="F273" s="23" t="n">
        <x:v>183380</x:v>
      </x:c>
      <x:c r="G273" s="28" t="n">
        <x:f>ROUND(F273-F272,1)</x:f>
        <x:v>35640</x:v>
      </x:c>
      <x:c r="H273" s="24" t="n">
        <x:f>IFERROR(F273/F272-1,"")</x:f>
        <x:v>0.24123460132665486</x:v>
      </x:c>
      <x:c r="I273" s="26" t="n">
        <x:f>ROUND(D273-E273,1)</x:f>
        <x:v>39960</x:v>
      </x:c>
      <x:c r="J273" s="22" t="str">
        <x:v>LC2609</x:v>
      </x:c>
      <x:c r="K273" s="22" t="n">
        <x:v>5</x:v>
      </x:c>
    </x:row>
    <x:row r="274">
      <x:c r="A274" s="22" t="n">
        <x:v>4</x:v>
      </x:c>
      <x:c r="B274" s="22" t="str">
        <x:v>1月26日-1月30日</x:v>
      </x:c>
      <x:c r="C274" s="23" t="n">
        <x:v>187000</x:v>
      </x:c>
      <x:c r="D274" s="23" t="n">
        <x:v>190600</x:v>
      </x:c>
      <x:c r="E274" s="23" t="n">
        <x:v>148560</x:v>
      </x:c>
      <x:c r="F274" s="23" t="n">
        <x:v>148560</x:v>
      </x:c>
      <x:c r="G274" s="28" t="n">
        <x:f>ROUND(F274-F273,1)</x:f>
        <x:v>-34820</x:v>
      </x:c>
      <x:c r="H274" s="24" t="n">
        <x:f>IFERROR(F274/F273-1,"")</x:f>
        <x:v>-0.18987893990620575</x:v>
      </x:c>
      <x:c r="I274" s="26" t="n">
        <x:f>ROUND(D274-E274,1)</x:f>
        <x:v>42040</x:v>
      </x:c>
      <x:c r="J274" s="22" t="str">
        <x:v>LC2609</x:v>
      </x:c>
      <x:c r="K274" s="22" t="n">
        <x:v>5</x:v>
      </x:c>
    </x:row>
    <x:row r="275">
      <x:c r="A275" s="22" t="n">
        <x:v>5</x:v>
      </x:c>
      <x:c r="B275" s="22" t="str">
        <x:v>2月2日-2月6日</x:v>
      </x:c>
      <x:c r="C275" s="23" t="n">
        <x:v>148040</x:v>
      </x:c>
      <x:c r="D275" s="23" t="n">
        <x:v>153200</x:v>
      </x:c>
      <x:c r="E275" s="23" t="n">
        <x:v>124480</x:v>
      </x:c>
      <x:c r="F275" s="23" t="n">
        <x:v>133500</x:v>
      </x:c>
      <x:c r="G275" s="28" t="n">
        <x:f>ROUND(F275-F274,1)</x:f>
        <x:v>-15060</x:v>
      </x:c>
      <x:c r="H275" s="24" t="n">
        <x:f>IFERROR(F275/F274-1,"")</x:f>
        <x:v>-0.10137318255250405</x:v>
      </x:c>
      <x:c r="I275" s="26" t="n">
        <x:f>ROUND(D275-E275,1)</x:f>
        <x:v>28720</x:v>
      </x:c>
      <x:c r="J275" s="22" t="str">
        <x:v>LC2609</x:v>
      </x:c>
      <x:c r="K275" s="22" t="n">
        <x:v>5</x:v>
      </x:c>
    </x:row>
    <x:row r="276">
      <x:c r="A276" s="22" t="n">
        <x:v>6</x:v>
      </x:c>
      <x:c r="B276" s="22" t="str">
        <x:v>2月9日-2月13日</x:v>
      </x:c>
      <x:c r="C276" s="23" t="n">
        <x:v>135500</x:v>
      </x:c>
      <x:c r="D276" s="23" t="n">
        <x:v>153700</x:v>
      </x:c>
      <x:c r="E276" s="23" t="n">
        <x:v>133500</x:v>
      </x:c>
      <x:c r="F276" s="23" t="n">
        <x:v>153500</x:v>
      </x:c>
      <x:c r="G276" s="28" t="n">
        <x:f>ROUND(F276-F275,1)</x:f>
        <x:v>20000</x:v>
      </x:c>
      <x:c r="H276" s="24" t="n">
        <x:f>IFERROR(F276/F275-1,"")</x:f>
        <x:v>0.14981273408239693</x:v>
      </x:c>
      <x:c r="I276" s="26" t="n">
        <x:f>ROUND(D276-E276,1)</x:f>
        <x:v>20200</x:v>
      </x:c>
      <x:c r="J276" s="22" t="str">
        <x:v>LC2609</x:v>
      </x:c>
      <x:c r="K276" s="22" t="n">
        <x:v>5</x:v>
      </x:c>
    </x:row>
    <x:row r="277">
      <x:c r="A277" s="22" t="n">
        <x:v>7</x:v>
      </x:c>
      <x:c r="B277" s="22" t="str">
        <x:v>2月24日-2月27日</x:v>
      </x:c>
      <x:c r="C277" s="23" t="n">
        <x:v>158340</x:v>
      </x:c>
      <x:c r="D277" s="23" t="n">
        <x:v>186900</x:v>
      </x:c>
      <x:c r="E277" s="23" t="n">
        <x:v>158340</x:v>
      </x:c>
      <x:c r="F277" s="23" t="n">
        <x:v>177200</x:v>
      </x:c>
      <x:c r="G277" s="28" t="n">
        <x:f>ROUND(F277-F276,1)</x:f>
        <x:v>23700</x:v>
      </x:c>
      <x:c r="H277" s="24" t="n">
        <x:f>IFERROR(F277/F276-1,"")</x:f>
        <x:v>0.15439739413680775</x:v>
      </x:c>
      <x:c r="I277" s="26" t="n">
        <x:f>ROUND(D277-E277,1)</x:f>
        <x:v>28560</x:v>
      </x:c>
      <x:c r="J277" s="22" t="str">
        <x:v>LC2609</x:v>
      </x:c>
      <x:c r="K277" s="22" t="n">
        <x:v>4</x:v>
      </x:c>
    </x:row>
    <x:row r="278">
      <x:c r="A278" s="22" t="n">
        <x:v>8</x:v>
      </x:c>
      <x:c r="B278" s="22" t="str">
        <x:v>3月2日-3月6日</x:v>
      </x:c>
      <x:c r="C278" s="23" t="n">
        <x:v>180000</x:v>
      </x:c>
      <x:c r="D278" s="23" t="n">
        <x:v>180060</x:v>
      </x:c>
      <x:c r="E278" s="23" t="n">
        <x:v>146040</x:v>
      </x:c>
      <x:c r="F278" s="23" t="n">
        <x:v>156700</x:v>
      </x:c>
      <x:c r="G278" s="28" t="n">
        <x:f>ROUND(F278-F277,1)</x:f>
        <x:v>-20500</x:v>
      </x:c>
      <x:c r="H278" s="24" t="n">
        <x:f>IFERROR(F278/F277-1,"")</x:f>
        <x:v>-0.11568848758465011</x:v>
      </x:c>
      <x:c r="I278" s="26" t="n">
        <x:f>ROUND(D278-E278,1)</x:f>
        <x:v>34020</x:v>
      </x:c>
      <x:c r="J278" s="22" t="str">
        <x:v>LC2609</x:v>
      </x:c>
      <x:c r="K278" s="22" t="n">
        <x:v>5</x:v>
      </x:c>
    </x:row>
    <x:row r="279">
      <x:c r="A279" s="22" t="n">
        <x:v>9</x:v>
      </x:c>
      <x:c r="B279" s="22" t="str">
        <x:v>3月9日-3月13日</x:v>
      </x:c>
      <x:c r="C279" s="23" t="n">
        <x:v>149000</x:v>
      </x:c>
      <x:c r="D279" s="23" t="n">
        <x:v>167400</x:v>
      </x:c>
      <x:c r="E279" s="23" t="n">
        <x:v>142600</x:v>
      </x:c>
      <x:c r="F279" s="23" t="n">
        <x:v>152100</x:v>
      </x:c>
      <x:c r="G279" s="28" t="n">
        <x:f>ROUND(F279-F278,1)</x:f>
        <x:v>-4600</x:v>
      </x:c>
      <x:c r="H279" s="24" t="n">
        <x:f>IFERROR(F279/F278-1,"")</x:f>
        <x:v>-0.02935545628589664</x:v>
      </x:c>
      <x:c r="I279" s="26" t="n">
        <x:f>ROUND(D279-E279,1)</x:f>
        <x:v>24800</x:v>
      </x:c>
      <x:c r="J279" s="22" t="str">
        <x:v>LC2609</x:v>
      </x:c>
      <x:c r="K279" s="22" t="n">
        <x:v>5</x:v>
      </x:c>
    </x:row>
    <x:row r="280">
      <x:c r="A280" s="22" t="n">
        <x:v>10</x:v>
      </x:c>
      <x:c r="B280" s="22" t="str">
        <x:v>3月16日-3月20日</x:v>
      </x:c>
      <x:c r="C280" s="23" t="n">
        <x:v>150880</x:v>
      </x:c>
      <x:c r="D280" s="23" t="n">
        <x:v>160800</x:v>
      </x:c>
      <x:c r="E280" s="23" t="n">
        <x:v>140000</x:v>
      </x:c>
      <x:c r="F280" s="23" t="n">
        <x:v>143520</x:v>
      </x:c>
      <x:c r="G280" s="28" t="n">
        <x:f>ROUND(F280-F279,1)</x:f>
        <x:v>-8580</x:v>
      </x:c>
      <x:c r="H280" s="24" t="n">
        <x:f>IFERROR(F280/F279-1,"")</x:f>
        <x:v>-0.05641025641025643</x:v>
      </x:c>
      <x:c r="I280" s="26" t="n">
        <x:f>ROUND(D280-E280,1)</x:f>
        <x:v>20800</x:v>
      </x:c>
      <x:c r="J280" s="22" t="str">
        <x:v>LC2609</x:v>
      </x:c>
      <x:c r="K280" s="22" t="n">
        <x:v>5</x:v>
      </x:c>
    </x:row>
    <x:row r="281">
      <x:c r="A281" s="22" t="n">
        <x:v>11</x:v>
      </x:c>
      <x:c r="B281" s="22" t="str">
        <x:v>3月23日-3月27日</x:v>
      </x:c>
      <x:c r="C281" s="23" t="n">
        <x:v>141220</x:v>
      </x:c>
      <x:c r="D281" s="23" t="n">
        <x:v>172220</x:v>
      </x:c>
      <x:c r="E281" s="23" t="n">
        <x:v>140020</x:v>
      </x:c>
      <x:c r="F281" s="23" t="n">
        <x:v>169400</x:v>
      </x:c>
      <x:c r="G281" s="28" t="n">
        <x:f>ROUND(F281-F280,1)</x:f>
        <x:v>25880</x:v>
      </x:c>
      <x:c r="H281" s="24" t="n">
        <x:f>IFERROR(F281/F280-1,"")</x:f>
        <x:v>0.18032329988851736</x:v>
      </x:c>
      <x:c r="I281" s="26" t="n">
        <x:f>ROUND(D281-E281,1)</x:f>
        <x:v>32200</x:v>
      </x:c>
      <x:c r="J281" s="22" t="str">
        <x:v>LC2609</x:v>
      </x:c>
      <x:c r="K281" s="22" t="n">
        <x:v>5</x:v>
      </x:c>
    </x:row>
    <x:row r="282">
      <x:c r="A282" s="22" t="n">
        <x:v>12</x:v>
      </x:c>
      <x:c r="B282" s="22" t="str">
        <x:v>3月30日-4月3日</x:v>
      </x:c>
      <x:c r="C282" s="23" t="n">
        <x:v>170000</x:v>
      </x:c>
      <x:c r="D282" s="23" t="n">
        <x:v>175000</x:v>
      </x:c>
      <x:c r="E282" s="23" t="n">
        <x:v>154560</x:v>
      </x:c>
      <x:c r="F282" s="23" t="n">
        <x:v>157860</x:v>
      </x:c>
      <x:c r="G282" s="28" t="n">
        <x:f>ROUND(F282-F281,1)</x:f>
        <x:v>-11540</x:v>
      </x:c>
      <x:c r="H282" s="24" t="n">
        <x:f>IFERROR(F282/F281-1,"")</x:f>
        <x:v>-0.06812278630460444</x:v>
      </x:c>
      <x:c r="I282" s="26" t="n">
        <x:f>ROUND(D282-E282,1)</x:f>
        <x:v>20440</x:v>
      </x:c>
      <x:c r="J282" s="22" t="str">
        <x:v>LC2609</x:v>
      </x:c>
      <x:c r="K282" s="22" t="n">
        <x:v>5</x:v>
      </x:c>
    </x:row>
    <x:row r="283">
      <x:c r="A283" s="22" t="n">
        <x:v>13</x:v>
      </x:c>
      <x:c r="B283" s="22" t="str">
        <x:v>4月7日-4月10日</x:v>
      </x:c>
      <x:c r="C283" s="23" t="n">
        <x:v>158440</x:v>
      </x:c>
      <x:c r="D283" s="23" t="n">
        <x:v>165500</x:v>
      </x:c>
      <x:c r="E283" s="23" t="n">
        <x:v>152500</x:v>
      </x:c>
      <x:c r="F283" s="23" t="n">
        <x:v>157600</x:v>
      </x:c>
      <x:c r="G283" s="28" t="n">
        <x:f>ROUND(F283-F282,1)</x:f>
        <x:v>-260</x:v>
      </x:c>
      <x:c r="H283" s="24" t="n">
        <x:f>IFERROR(F283/F282-1,"")</x:f>
        <x:v>-0.0016470290130495835</x:v>
      </x:c>
      <x:c r="I283" s="26" t="n">
        <x:f>ROUND(D283-E283,1)</x:f>
        <x:v>13000</x:v>
      </x:c>
      <x:c r="J283" s="22" t="str">
        <x:v>LC2609</x:v>
      </x:c>
      <x:c r="K283" s="22" t="n">
        <x:v>4</x:v>
      </x:c>
    </x:row>
    <x:row r="284">
      <x:c r="A284" s="22" t="n">
        <x:v>14</x:v>
      </x:c>
      <x:c r="B284" s="22" t="str">
        <x:v>4月13日-4月17日</x:v>
      </x:c>
      <x:c r="C284" s="23" t="n">
        <x:v>155020</x:v>
      </x:c>
      <x:c r="D284" s="23" t="n">
        <x:v>178000</x:v>
      </x:c>
      <x:c r="E284" s="23" t="n">
        <x:v>154780</x:v>
      </x:c>
      <x:c r="F284" s="23" t="n">
        <x:v>177560</x:v>
      </x:c>
      <x:c r="G284" s="28" t="n">
        <x:f>ROUND(F284-F283,1)</x:f>
        <x:v>19960</x:v>
      </x:c>
      <x:c r="H284" s="24" t="n">
        <x:f>IFERROR(F284/F283-1,"")</x:f>
        <x:v>0.1266497461928935</x:v>
      </x:c>
      <x:c r="I284" s="26" t="n">
        <x:f>ROUND(D284-E284,1)</x:f>
        <x:v>23220</x:v>
      </x:c>
      <x:c r="J284" s="22" t="str">
        <x:v>LC2609</x:v>
      </x:c>
      <x:c r="K284" s="22" t="n">
        <x:v>5</x:v>
      </x:c>
    </x:row>
    <x:row r="285">
      <x:c r="A285" s="22" t="n">
        <x:v>15</x:v>
      </x:c>
      <x:c r="B285" s="22" t="str">
        <x:v>4月20日-4月24日</x:v>
      </x:c>
      <x:c r="C285" s="23" t="n">
        <x:v>177000</x:v>
      </x:c>
      <x:c r="D285" s="23" t="n">
        <x:v>181440</x:v>
      </x:c>
      <x:c r="E285" s="23" t="n">
        <x:v>169500</x:v>
      </x:c>
      <x:c r="F285" s="23" t="n">
        <x:v>177900</x:v>
      </x:c>
      <x:c r="G285" s="28" t="n">
        <x:f>ROUND(F285-F284,1)</x:f>
        <x:v>340</x:v>
      </x:c>
      <x:c r="H285" s="24" t="n">
        <x:f>IFERROR(F285/F284-1,"")</x:f>
        <x:v>0.0019148456859652274</x:v>
      </x:c>
      <x:c r="I285" s="26" t="n">
        <x:f>ROUND(D285-E285,1)</x:f>
        <x:v>11940</x:v>
      </x:c>
      <x:c r="J285" s="22" t="str">
        <x:v>LC2609</x:v>
      </x:c>
      <x:c r="K285" s="22" t="n">
        <x:v>5</x:v>
      </x:c>
    </x:row>
    <x:row r="286">
      <x:c r="A286" s="22" t="n">
        <x:v>16</x:v>
      </x:c>
      <x:c r="B286" s="22" t="str">
        <x:v>4月27日-4月30日</x:v>
      </x:c>
      <x:c r="C286" s="23" t="n">
        <x:v>182000</x:v>
      </x:c>
      <x:c r="D286" s="23" t="n">
        <x:v>189500</x:v>
      </x:c>
      <x:c r="E286" s="23" t="n">
        <x:v>173400</x:v>
      </x:c>
      <x:c r="F286" s="23" t="n">
        <x:v>189080</x:v>
      </x:c>
      <x:c r="G286" s="28" t="n">
        <x:f>ROUND(F286-F285,1)</x:f>
        <x:v>11180</x:v>
      </x:c>
      <x:c r="H286" s="24" t="n">
        <x:f>IFERROR(F286/F285-1,"")</x:f>
        <x:v>0.06284429454749851</x:v>
      </x:c>
      <x:c r="I286" s="26" t="n">
        <x:f>ROUND(D286-E286,1)</x:f>
        <x:v>16100</x:v>
      </x:c>
      <x:c r="J286" s="22" t="str">
        <x:v>LC2609</x:v>
      </x:c>
      <x:c r="K286" s="22" t="n">
        <x:v>4</x:v>
      </x:c>
    </x:row>
    <x:row r="287">
      <x:c r="A287" s="22" t="n">
        <x:v>17</x:v>
      </x:c>
      <x:c r="B287" s="22" t="str">
        <x:v>5月6日-5月8日</x:v>
      </x:c>
      <x:c r="C287" s="23" t="n">
        <x:v>191500</x:v>
      </x:c>
      <x:c r="D287" s="23" t="n">
        <x:v>201480</x:v>
      </x:c>
      <x:c r="E287" s="23" t="n">
        <x:v>191040</x:v>
      </x:c>
      <x:c r="F287" s="23" t="n">
        <x:v>196560</x:v>
      </x:c>
      <x:c r="G287" s="28" t="n">
        <x:f>ROUND(F287-F286,1)</x:f>
        <x:v>7480</x:v>
      </x:c>
      <x:c r="H287" s="24" t="n">
        <x:f>IFERROR(F287/F286-1,"")</x:f>
        <x:v>0.039559974613920135</x:v>
      </x:c>
      <x:c r="I287" s="26" t="n">
        <x:f>ROUND(D287-E287,1)</x:f>
        <x:v>10440</x:v>
      </x:c>
      <x:c r="J287" s="22" t="str">
        <x:v>LC2609</x:v>
      </x:c>
      <x:c r="K287" s="22" t="n">
        <x:v>3</x:v>
      </x:c>
    </x:row>
    <x:row r="288">
      <x:c r="A288" s="22" t="n">
        <x:v>18</x:v>
      </x:c>
      <x:c r="B288" s="22" t="str">
        <x:v>5月11日-5月15日</x:v>
      </x:c>
      <x:c r="C288" s="23" t="n">
        <x:v>196560</x:v>
      </x:c>
      <x:c r="D288" s="23" t="n">
        <x:v>209880</x:v>
      </x:c>
      <x:c r="E288" s="23" t="n">
        <x:v>186800</x:v>
      </x:c>
      <x:c r="F288" s="23" t="n">
        <x:v>188800</x:v>
      </x:c>
      <x:c r="G288" s="28" t="n">
        <x:f>ROUND(F288-F287,1)</x:f>
        <x:v>-7760</x:v>
      </x:c>
      <x:c r="H288" s="24" t="n">
        <x:f>IFERROR(F288/F287-1,"")</x:f>
        <x:v>-0.039479039479039524</x:v>
      </x:c>
      <x:c r="I288" s="26" t="n">
        <x:f>ROUND(D288-E288,1)</x:f>
        <x:v>23080</x:v>
      </x:c>
      <x:c r="J288" s="22" t="str">
        <x:v>LC2609</x:v>
      </x:c>
      <x:c r="K288" s="22" t="n">
        <x:v>5</x:v>
      </x:c>
    </x:row>
    <x:row r="289">
      <x:c r="A289" s="22" t="n">
        <x:v>19</x:v>
      </x:c>
      <x:c r="B289" s="22" t="str">
        <x:v>5月18日-5月22日</x:v>
      </x:c>
      <x:c r="C289" s="23" t="n">
        <x:v>189000</x:v>
      </x:c>
      <x:c r="D289" s="23" t="n">
        <x:v>193900</x:v>
      </x:c>
      <x:c r="E289" s="23" t="n">
        <x:v>175200</x:v>
      </x:c>
      <x:c r="F289" s="23" t="n">
        <x:v>184460</x:v>
      </x:c>
      <x:c r="G289" s="28" t="n">
        <x:f>ROUND(F289-F288,1)</x:f>
        <x:v>-4340</x:v>
      </x:c>
      <x:c r="H289" s="24" t="n">
        <x:f>IFERROR(F289/F288-1,"")</x:f>
        <x:v>-0.022987288135593253</x:v>
      </x:c>
      <x:c r="I289" s="26" t="n">
        <x:f>ROUND(D289-E289,1)</x:f>
        <x:v>18700</x:v>
      </x:c>
      <x:c r="J289" s="22" t="str">
        <x:v>LC2609</x:v>
      </x:c>
      <x:c r="K289" s="22" t="n">
        <x:v>5</x:v>
      </x:c>
    </x:row>
    <x:row r="290">
      <x:c r="A290" s="22" t="n">
        <x:v>20</x:v>
      </x:c>
      <x:c r="B290" s="22" t="str">
        <x:v>5月25日-5月29日</x:v>
      </x:c>
      <x:c r="C290" s="23" t="n">
        <x:v>185500</x:v>
      </x:c>
      <x:c r="D290" s="23" t="n">
        <x:v>187900</x:v>
      </x:c>
      <x:c r="E290" s="23" t="n">
        <x:v>172080</x:v>
      </x:c>
      <x:c r="F290" s="23" t="n">
        <x:v>179740</x:v>
      </x:c>
      <x:c r="G290" s="28" t="n">
        <x:f>ROUND(F290-F289,1)</x:f>
        <x:v>-4720</x:v>
      </x:c>
      <x:c r="H290" s="24" t="n">
        <x:f>IFERROR(F290/F289-1,"")</x:f>
        <x:v>-0.02558820340453216</x:v>
      </x:c>
      <x:c r="I290" s="26" t="n">
        <x:f>ROUND(D290-E290,1)</x:f>
        <x:v>15820</x:v>
      </x:c>
      <x:c r="J290" s="22" t="str">
        <x:v>LC2609</x:v>
      </x:c>
      <x:c r="K290" s="22" t="n">
        <x:v>5</x:v>
      </x:c>
    </x:row>
    <x:row r="291">
      <x:c r="A291" s="22" t="n">
        <x:v>21</x:v>
      </x:c>
      <x:c r="B291" s="22" t="str">
        <x:v>6月1日-6月5日</x:v>
      </x:c>
      <x:c r="C291" s="23" t="n">
        <x:v>181000</x:v>
      </x:c>
      <x:c r="D291" s="23" t="n">
        <x:v>182100</x:v>
      </x:c>
      <x:c r="E291" s="23" t="n">
        <x:v>157180</x:v>
      </x:c>
      <x:c r="F291" s="23" t="n">
        <x:v>164360</x:v>
      </x:c>
      <x:c r="G291" s="28" t="n">
        <x:f>ROUND(F291-F290,1)</x:f>
        <x:v>-15380</x:v>
      </x:c>
      <x:c r="H291" s="24" t="n">
        <x:f>IFERROR(F291/F290-1,"")</x:f>
        <x:v>-0.08556804272838547</x:v>
      </x:c>
      <x:c r="I291" s="26" t="n">
        <x:f>ROUND(D291-E291,1)</x:f>
        <x:v>24920</x:v>
      </x:c>
      <x:c r="J291" s="22" t="str">
        <x:v>LC2609</x:v>
      </x:c>
      <x:c r="K291" s="22" t="n">
        <x:v>5</x:v>
      </x:c>
    </x:row>
    <x:row r="292">
      <x:c r="A292" s="22" t="n">
        <x:v>22</x:v>
      </x:c>
      <x:c r="B292" s="22" t="str">
        <x:v>6月8日-6月12日</x:v>
      </x:c>
      <x:c r="C292" s="23" t="n">
        <x:v>161500</x:v>
      </x:c>
      <x:c r="D292" s="23" t="n">
        <x:v>178740</x:v>
      </x:c>
      <x:c r="E292" s="23" t="n">
        <x:v>160260</x:v>
      </x:c>
      <x:c r="F292" s="23" t="n">
        <x:v>175300</x:v>
      </x:c>
      <x:c r="G292" s="28" t="n">
        <x:f>ROUND(F292-F291,1)</x:f>
        <x:v>10940</x:v>
      </x:c>
      <x:c r="H292" s="24" t="n">
        <x:f>IFERROR(F292/F291-1,"")</x:f>
        <x:v>0.06656120710635194</x:v>
      </x:c>
      <x:c r="I292" s="26" t="n">
        <x:f>ROUND(D292-E292,1)</x:f>
        <x:v>18480</x:v>
      </x:c>
      <x:c r="J292" s="22" t="str">
        <x:v>LC2609</x:v>
      </x:c>
      <x:c r="K292" s="22" t="n">
        <x:v>5</x:v>
      </x:c>
    </x:row>
    <x:row r="293">
      <x:c r="A293" s="22" t="n">
        <x:v>23</x:v>
      </x:c>
      <x:c r="B293" s="22" t="str">
        <x:v>6月15日-6月18日</x:v>
      </x:c>
      <x:c r="C293" s="23" t="n">
        <x:v>177600</x:v>
      </x:c>
      <x:c r="D293" s="23" t="n">
        <x:v>177920</x:v>
      </x:c>
      <x:c r="E293" s="23" t="n">
        <x:v>160100</x:v>
      </x:c>
      <x:c r="F293" s="23" t="n">
        <x:v>160500</x:v>
      </x:c>
      <x:c r="G293" s="28" t="n">
        <x:f>ROUND(F293-F292,1)</x:f>
        <x:v>-14800</x:v>
      </x:c>
      <x:c r="H293" s="24" t="n">
        <x:f>IFERROR(F293/F292-1,"")</x:f>
        <x:v>-0.08442669709070161</x:v>
      </x:c>
      <x:c r="I293" s="26" t="n">
        <x:f>ROUND(D293-E293,1)</x:f>
        <x:v>17820</x:v>
      </x:c>
      <x:c r="J293" s="22" t="str">
        <x:v>LC2609</x:v>
      </x:c>
      <x:c r="K293" s="22" t="n">
        <x:v>4</x:v>
      </x:c>
    </x:row>
    <x:row r="294">
      <x:c r="A294" s="22" t="n">
        <x:v>24</x:v>
      </x:c>
      <x:c r="B294" s="22" t="str">
        <x:v>6月22日-6月26日</x:v>
      </x:c>
      <x:c r="C294" s="23" t="n">
        <x:v>157220</x:v>
      </x:c>
      <x:c r="D294" s="23" t="n">
        <x:v>163940</x:v>
      </x:c>
      <x:c r="E294" s="23" t="n">
        <x:v>145000</x:v>
      </x:c>
      <x:c r="F294" s="23" t="n">
        <x:v>150220</x:v>
      </x:c>
      <x:c r="G294" s="28" t="n">
        <x:f>ROUND(F294-F293,1)</x:f>
        <x:v>-10280</x:v>
      </x:c>
      <x:c r="H294" s="24" t="n">
        <x:f>IFERROR(F294/F293-1,"")</x:f>
        <x:v>-0.06404984423676008</x:v>
      </x:c>
      <x:c r="I294" s="26" t="n">
        <x:f>ROUND(D294-E294,1)</x:f>
        <x:v>18940</x:v>
      </x:c>
      <x:c r="J294" s="22" t="str">
        <x:v>LC2609</x:v>
      </x:c>
      <x:c r="K294" s="22" t="n">
        <x:v>5</x:v>
      </x:c>
    </x:row>
    <x:row r="295">
      <x:c r="A295" s="22" t="n">
        <x:v>25</x:v>
      </x:c>
      <x:c r="B295" s="22" t="str">
        <x:v>6月29日-7月3日</x:v>
      </x:c>
      <x:c r="C295" s="23" t="n">
        <x:v>148000</x:v>
      </x:c>
      <x:c r="D295" s="23" t="n">
        <x:v>172000</x:v>
      </x:c>
      <x:c r="E295" s="23" t="n">
        <x:v>145300</x:v>
      </x:c>
      <x:c r="F295" s="23" t="n">
        <x:v>168780</x:v>
      </x:c>
      <x:c r="G295" s="28" t="n">
        <x:f>ROUND(F295-F294,1)</x:f>
        <x:v>18560</x:v>
      </x:c>
      <x:c r="H295" s="24" t="n">
        <x:f>IFERROR(F295/F294-1,"")</x:f>
        <x:v>0.12355212355212353</x:v>
      </x:c>
      <x:c r="I295" s="26" t="n">
        <x:f>ROUND(D295-E295,1)</x:f>
        <x:v>26700</x:v>
      </x:c>
      <x:c r="J295" s="22" t="str">
        <x:v>LC2609</x:v>
      </x:c>
      <x:c r="K295" s="22" t="n">
        <x:v>5</x:v>
      </x:c>
    </x:row>
    <x:row r="296">
      <x:c r="A296" s="22" t="n">
        <x:v>26</x:v>
      </x:c>
      <x:c r="B296" s="22" t="str">
        <x:v>7月6日-7月10日</x:v>
      </x:c>
      <x:c r="C296" s="23" t="n">
        <x:v>166980</x:v>
      </x:c>
      <x:c r="D296" s="23" t="n">
        <x:v>168720</x:v>
      </x:c>
      <x:c r="E296" s="23" t="n">
        <x:v>150260</x:v>
      </x:c>
      <x:c r="F296" s="23" t="n">
        <x:v>151600</x:v>
      </x:c>
      <x:c r="G296" s="28" t="n">
        <x:f>ROUND(F296-F295,1)</x:f>
        <x:v>-17180</x:v>
      </x:c>
      <x:c r="H296" s="24" t="n">
        <x:f>IFERROR(F296/F295-1,"")</x:f>
        <x:v>-0.10178931152980208</x:v>
      </x:c>
      <x:c r="I296" s="26" t="n">
        <x:f>ROUND(D296-E296,1)</x:f>
        <x:v>18460</x:v>
      </x:c>
      <x:c r="J296" s="22" t="str">
        <x:v>LC2609</x:v>
      </x:c>
      <x:c r="K296" s="22" t="n">
        <x:v>5</x:v>
      </x:c>
    </x:row>
    <x:row r="297">
      <x:c r="A297" s="22" t="n">
        <x:v>27</x:v>
      </x:c>
      <x:c r="B297" s="22" t="str">
        <x:v>7月13日-7月17日</x:v>
      </x:c>
      <x:c r="C297" s="23" t="n">
        <x:v>150500</x:v>
      </x:c>
      <x:c r="D297" s="23" t="n">
        <x:v>156500</x:v>
      </x:c>
      <x:c r="E297" s="23" t="n">
        <x:v>145860</x:v>
      </x:c>
      <x:c r="F297" s="23" t="n">
        <x:v>150140</x:v>
      </x:c>
      <x:c r="G297" s="28" t="n">
        <x:f>ROUND(F297-F296,1)</x:f>
        <x:v>-1460</x:v>
      </x:c>
      <x:c r="H297" s="24" t="n">
        <x:f>IFERROR(F297/F296-1,"")</x:f>
        <x:v>-0.009630606860158264</x:v>
      </x:c>
      <x:c r="I297" s="26" t="n">
        <x:f>ROUND(D297-E297,1)</x:f>
        <x:v>10640</x:v>
      </x:c>
      <x:c r="J297" s="22" t="str">
        <x:v>LC2609</x:v>
      </x:c>
      <x:c r="K297" s="22" t="n">
        <x:v>5</x:v>
      </x:c>
    </x:row>
    <x:row r="298">
      <x:c r="A298" s="22" t="n">
        <x:v>28</x:v>
      </x:c>
      <x:c r="B298" s="22" t="str">
        <x:v>7月20日-7月24日</x:v>
      </x:c>
      <x:c r="C298" s="23" t="n">
        <x:v>151500</x:v>
      </x:c>
      <x:c r="D298" s="23" t="n">
        <x:v>154800</x:v>
      </x:c>
      <x:c r="E298" s="23" t="n">
        <x:v>136800</x:v>
      </x:c>
      <x:c r="F298" s="23" t="n">
        <x:v>144280</x:v>
      </x:c>
      <x:c r="G298" s="28" t="n">
        <x:f>ROUND(F298-F297,1)</x:f>
        <x:v>-5860</x:v>
      </x:c>
      <x:c r="H298" s="24" t="n">
        <x:f>IFERROR(F298/F297-1,"")</x:f>
        <x:v>-0.03903023844411879</x:v>
      </x:c>
      <x:c r="I298" s="26" t="n">
        <x:f>ROUND(D298-E298,1)</x:f>
        <x:v>18000</x:v>
      </x:c>
      <x:c r="J298" s="22" t="str">
        <x:v>LC2609</x:v>
      </x:c>
      <x:c r="K298" s="22" t="n">
        <x:v>5</x:v>
      </x:c>
    </x:row>
    <x:row r="299">
      <x:c r="A299" s="22" t="n">
        <x:v>29</x:v>
      </x:c>
      <x:c r="B299" s="22" t="str">
        <x:v>7月27日-7月31日</x:v>
      </x:c>
      <x:c r="C299" s="23" t="n">
        <x:v>145780</x:v>
      </x:c>
      <x:c r="D299" s="23" t="n">
        <x:v>149400</x:v>
      </x:c>
      <x:c r="E299" s="23" t="n">
        <x:v>137760</x:v>
      </x:c>
      <x:c r="F299" s="23" t="n">
        <x:v>137760</x:v>
      </x:c>
      <x:c r="G299" s="28" t="n">
        <x:f>ROUND(F299-F298,1)</x:f>
        <x:v>-6520</x:v>
      </x:c>
      <x:c r="H299" s="24" t="n">
        <x:f>IFERROR(F299/F298-1,"")</x:f>
        <x:v>-0.04518990851122817</x:v>
      </x:c>
      <x:c r="I299" s="26" t="n">
        <x:f>ROUND(D299-E299,1)</x:f>
        <x:v>11640</x:v>
      </x:c>
      <x:c r="J299" s="22" t="str">
        <x:v>LC2609</x:v>
      </x:c>
      <x:c r="K299" s="22" t="n">
        <x:v>5</x:v>
      </x:c>
    </x:row>
    <x:row r="300">
      <x:c r="A300" s="22" t="n">
        <x:v>30</x:v>
      </x:c>
      <x:c r="B300" s="22" t="str">
        <x:v>8月3日-8月7日</x:v>
      </x:c>
      <x:c r="C300" s="23" t="n">
        <x:v>137500</x:v>
      </x:c>
      <x:c r="D300" s="23" t="n">
        <x:v>144800</x:v>
      </x:c>
      <x:c r="E300" s="23" t="n">
        <x:v>135560</x:v>
      </x:c>
      <x:c r="F300" s="23" t="n">
        <x:v>140000</x:v>
      </x:c>
      <x:c r="G300" s="28" t="n">
        <x:f>ROUND(F300-F299,1)</x:f>
        <x:v>2240</x:v>
      </x:c>
      <x:c r="H300" s="24" t="n">
        <x:f>IFERROR(F300/F299-1,"")</x:f>
        <x:v>0.016260162601626105</x:v>
      </x:c>
      <x:c r="I300" s="26" t="n">
        <x:f>ROUND(D300-E300,1)</x:f>
        <x:v>9240</x:v>
      </x:c>
      <x:c r="J300" s="22" t="str">
        <x:v>LC2609</x:v>
      </x:c>
      <x:c r="K300" s="22" t="n">
        <x:v>5</x:v>
      </x:c>
    </x:row>
    <x:row r="301">
      <x:c r="A301" s="22" t="n">
        <x:v>31</x:v>
      </x:c>
      <x:c r="B301" s="22" t="str">
        <x:v>8月10日-8月14日</x:v>
      </x:c>
      <x:c r="C301" s="23" t="n">
        <x:v>140500</x:v>
      </x:c>
      <x:c r="D301" s="23" t="n">
        <x:v>154500</x:v>
      </x:c>
      <x:c r="E301" s="23" t="n">
        <x:v>139280</x:v>
      </x:c>
      <x:c r="F301" s="23" t="n">
        <x:v>153940</x:v>
      </x:c>
      <x:c r="G301" s="28" t="n">
        <x:f>ROUND(F301-F300,1)</x:f>
        <x:v>13940</x:v>
      </x:c>
      <x:c r="H301" s="24" t="n">
        <x:f>IFERROR(F301/F300-1,"")</x:f>
        <x:v>0.09957142857142864</x:v>
      </x:c>
      <x:c r="I301" s="26" t="n">
        <x:f>ROUND(D301-E301,1)</x:f>
        <x:v>15220</x:v>
      </x:c>
      <x:c r="J301" s="22" t="str">
        <x:v>LC2609</x:v>
      </x:c>
      <x:c r="K301" s="22" t="n">
        <x:v>5</x:v>
      </x:c>
    </x:row>
    <x:row r="302">
      <x:c r="A302" s="22" t="n">
        <x:v>32</x:v>
      </x:c>
      <x:c r="B302" s="22" t="str">
        <x:v>8月17日-8月21日</x:v>
      </x:c>
      <x:c r="C302" s="23" t="n">
        <x:v>154300</x:v>
      </x:c>
      <x:c r="D302" s="23" t="n">
        <x:v>157000</x:v>
      </x:c>
      <x:c r="E302" s="23" t="n">
        <x:v>148400</x:v>
      </x:c>
      <x:c r="F302" s="23" t="n">
        <x:v>156140</x:v>
      </x:c>
      <x:c r="G302" s="28" t="n">
        <x:f>ROUND(F302-F301,1)</x:f>
        <x:v>2200</x:v>
      </x:c>
      <x:c r="H302" s="24" t="n">
        <x:f>IFERROR(F302/F301-1,"")</x:f>
        <x:v>0.014291282317786091</x:v>
      </x:c>
      <x:c r="I302" s="26" t="n">
        <x:f>ROUND(D302-E302,1)</x:f>
        <x:v>8600</x:v>
      </x:c>
      <x:c r="J302" s="22" t="str">
        <x:v>LC2609</x:v>
      </x:c>
      <x:c r="K302" s="22" t="n">
        <x:v>5</x:v>
      </x:c>
    </x:row>
    <x:row r="303">
      <x:c r="A303" s="22" t="n">
        <x:v>33</x:v>
      </x:c>
      <x:c r="B303" s="22" t="str">
        <x:v>8月24日-8月26日</x:v>
      </x:c>
      <x:c r="C303" s="23" t="n">
        <x:v>158500</x:v>
      </x:c>
      <x:c r="D303" s="23" t="n">
        <x:v>160000</x:v>
      </x:c>
      <x:c r="E303" s="23" t="n">
        <x:v>147000</x:v>
      </x:c>
      <x:c r="F303" s="23" t="n">
        <x:v>150580</x:v>
      </x:c>
      <x:c r="G303" s="28" t="n">
        <x:f>ROUND(F303-F302,1)</x:f>
        <x:v>-5560</x:v>
      </x:c>
      <x:c r="H303" s="24" t="n">
        <x:f>IFERROR(F303/F302-1,"")</x:f>
        <x:v>-0.03560906878442427</x:v>
      </x:c>
      <x:c r="I303" s="26" t="n">
        <x:f>ROUND(D303-E303,1)</x:f>
        <x:v>13000</x:v>
      </x:c>
      <x:c r="J303" s="22" t="str">
        <x:v>LC2609</x:v>
      </x:c>
      <x:c r="K303" s="22" t="n">
        <x:v>3</x:v>
      </x:c>
    </x:row>
    <x:row r="304">
      <x:c r="A304" s="31" t="str">
        <x:v>合计</x:v>
      </x:c>
      <x:c r="B304" s="30" t="n">
        <x:v>33</x:v>
      </x:c>
      <x:c r="C304" s="30"/>
      <x:c r="D304" s="30"/>
      <x:c r="E304" s="30"/>
      <x:c r="F304" s="30"/>
      <x:c r="G304" s="30"/>
      <x:c r="H304" s="30"/>
      <x:c r="I304" s="32" t="n">
        <x:f>ROUND(SUM(I271:I303),1)</x:f>
        <x:v>689680</x:v>
      </x:c>
      <x:c r="J304" s="30"/>
      <x:c r="K304" s="30"/>
    </x:row>
    <x:row r="305">
      <x:c r="A305" s="31" t="str">
        <x:v>均值</x:v>
      </x:c>
      <x:c r="B305" s="30"/>
      <x:c r="C305" s="30"/>
      <x:c r="D305" s="30"/>
      <x:c r="E305" s="30"/>
      <x:c r="F305" s="30"/>
      <x:c r="G305" s="30"/>
      <x:c r="H305" s="30"/>
      <x:c r="I305" s="34" t="n">
        <x:f>ROUND(IFERROR(AVERAGE(I271:I303),0),1)</x:f>
        <x:v>20899.4</x:v>
      </x:c>
      <x:c r="J305" s="30"/>
      <x:c r="K305" s="30"/>
    </x:row>
  </x:sheetData>
  <x:mergeCells>
    <x:mergeCell ref="A1:K1"/>
    <x:mergeCell ref="A3:K3"/>
    <x:mergeCell ref="A41:K41"/>
    <x:mergeCell ref="A79:K79"/>
    <x:mergeCell ref="A117:K117"/>
    <x:mergeCell ref="A155:K155"/>
    <x:mergeCell ref="A193:K193"/>
    <x:mergeCell ref="A231:K231"/>
    <x:mergeCell ref="A269:K26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3145.4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174.7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3017.7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167.6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774.8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43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2945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173.2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3055.6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169.8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31" t="str">
        <x:v>合计</x:v>
      </x:c>
      <x:c r="B196" s="30" t="n">
        <x:v>17</x:v>
      </x:c>
      <x:c r="C196" s="30"/>
      <x:c r="D196" s="30"/>
      <x:c r="E196" s="30"/>
      <x:c r="F196" s="30"/>
      <x:c r="G196" s="30"/>
      <x:c r="H196" s="30"/>
      <x:c r="I196" s="30"/>
      <x:c r="J196" s="32" t="n">
        <x:f>ROUND(SUM(J179:J195),1)</x:f>
        <x:v>1091.2</x:v>
      </x:c>
      <x:c r="K196" s="30"/>
    </x:row>
    <x:row r="197">
      <x:c r="A197" s="31" t="str">
        <x:v>均值</x:v>
      </x:c>
      <x:c r="B197" s="30"/>
      <x:c r="C197" s="30"/>
      <x:c r="D197" s="30"/>
      <x:c r="E197" s="30"/>
      <x:c r="F197" s="30"/>
      <x:c r="G197" s="30"/>
      <x:c r="H197" s="30"/>
      <x:c r="I197" s="30"/>
      <x:c r="J197" s="34" t="n">
        <x:f>ROUND(IFERROR(AVERAGE(J179:J195),0),1)</x:f>
        <x:v>64.2</x:v>
      </x:c>
      <x:c r="K19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616.2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34.2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94880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5271.1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