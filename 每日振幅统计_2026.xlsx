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754af54bc749b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abb7a57e16af4669"/>
    <x:sheet xmlns:r="http://schemas.openxmlformats.org/officeDocument/2006/relationships" name="中证1000" sheetId="2" r:id="R5868b1daef764190"/>
    <x:sheet xmlns:r="http://schemas.openxmlformats.org/officeDocument/2006/relationships" name="中证500" sheetId="3" r:id="R929cd4c3a95e4539"/>
    <x:sheet xmlns:r="http://schemas.openxmlformats.org/officeDocument/2006/relationships" name="上证指数" sheetId="4" r:id="Rbb156853c393496b"/>
    <x:sheet xmlns:r="http://schemas.openxmlformats.org/officeDocument/2006/relationships" name="IM主力" sheetId="5" r:id="R2df0b55a782b4e93"/>
    <x:sheet xmlns:r="http://schemas.openxmlformats.org/officeDocument/2006/relationships" name="IC主力" sheetId="6" r:id="R72d3b112f49e4239"/>
    <x:sheet xmlns:r="http://schemas.openxmlformats.org/officeDocument/2006/relationships" name="IF主力" sheetId="7" r:id="R5ef886061503449c"/>
    <x:sheet xmlns:r="http://schemas.openxmlformats.org/officeDocument/2006/relationships" name="IH主力" sheetId="8" r:id="R79489a36fe6741d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General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E3A8A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6" fillId="6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0" fontId="8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200" fontId="8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81401fb61c6417f" /><Relationship Type="http://schemas.openxmlformats.org/officeDocument/2006/relationships/theme" Target="/xl/theme/theme1.xml" Id="R58a4ee3d496244fa" /><Relationship Type="http://schemas.openxmlformats.org/officeDocument/2006/relationships/sharedStrings" Target="/xl/sharedStrings.xml" Id="R030adcddb2054adc" /><Relationship Type="http://schemas.openxmlformats.org/officeDocument/2006/relationships/worksheet" Target="/xl/worksheets/sheet1.xml" Id="Rabb7a57e16af4669" /><Relationship Type="http://schemas.openxmlformats.org/officeDocument/2006/relationships/worksheet" Target="/xl/worksheets/sheet2.xml" Id="R5868b1daef764190" /><Relationship Type="http://schemas.openxmlformats.org/officeDocument/2006/relationships/worksheet" Target="/xl/worksheets/sheet3.xml" Id="R929cd4c3a95e4539" /><Relationship Type="http://schemas.openxmlformats.org/officeDocument/2006/relationships/worksheet" Target="/xl/worksheets/sheet4.xml" Id="Rbb156853c393496b" /><Relationship Type="http://schemas.openxmlformats.org/officeDocument/2006/relationships/worksheet" Target="/xl/worksheets/sheet5.xml" Id="R2df0b55a782b4e93" /><Relationship Type="http://schemas.openxmlformats.org/officeDocument/2006/relationships/worksheet" Target="/xl/worksheets/sheet6.xml" Id="R72d3b112f49e4239" /><Relationship Type="http://schemas.openxmlformats.org/officeDocument/2006/relationships/worksheet" Target="/xl/worksheets/sheet7.xml" Id="R5ef886061503449c" /><Relationship Type="http://schemas.openxmlformats.org/officeDocument/2006/relationships/worksheet" Target="/xl/worksheets/sheet8.xml" Id="R79489a36fe6741d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2026-07-07</x:v>
      </x:c>
      <x:c r="C4" s="10" t="n">
        <x:v>8489.476</x:v>
      </x:c>
      <x:c r="D4" s="10" t="n">
        <x:v>8261.398</x:v>
      </x:c>
      <x:c r="E4" s="12" t="n">
        <x:v>228.1</x:v>
      </x:c>
      <x:c r="F4" s="9" t="n">
        <x:v>121</x:v>
      </x:c>
      <x:c r="G4" s="10" t="n">
        <x:v>20134.1</x:v>
      </x:c>
      <x:c r="H4" s="10" t="n">
        <x:v>166.4</x:v>
      </x:c>
      <x:c r="I4" s="10" t="n">
        <x:v>180</x:v>
      </x:c>
    </x:row>
    <x:row r="5">
      <x:c r="A5" s="9" t="str">
        <x:v>中证500</x:v>
      </x:c>
      <x:c r="B5" s="9" t="str">
        <x:v>2026-07-07</x:v>
      </x:c>
      <x:c r="C5" s="10" t="n">
        <x:v>8663.665</x:v>
      </x:c>
      <x:c r="D5" s="10" t="n">
        <x:v>8457.576</x:v>
      </x:c>
      <x:c r="E5" s="12" t="n">
        <x:v>206.1</x:v>
      </x:c>
      <x:c r="F5" s="9" t="n">
        <x:v>121</x:v>
      </x:c>
      <x:c r="G5" s="10" t="n">
        <x:v>20273.4</x:v>
      </x:c>
      <x:c r="H5" s="10" t="n">
        <x:v>167.5</x:v>
      </x:c>
      <x:c r="I5" s="10" t="n">
        <x:v>160</x:v>
      </x:c>
    </x:row>
    <x:row r="6">
      <x:c r="A6" s="9" t="str">
        <x:v>上证指数</x:v>
      </x:c>
      <x:c r="B6" s="9" t="str">
        <x:v>2026-07-07</x:v>
      </x:c>
      <x:c r="C6" s="10" t="n">
        <x:v>4028.514</x:v>
      </x:c>
      <x:c r="D6" s="10" t="n">
        <x:v>3971.713</x:v>
      </x:c>
      <x:c r="E6" s="12" t="n">
        <x:v>56.8</x:v>
      </x:c>
      <x:c r="F6" s="9" t="n">
        <x:v>121</x:v>
      </x:c>
      <x:c r="G6" s="10" t="n">
        <x:v>5724.1</x:v>
      </x:c>
      <x:c r="H6" s="10" t="n">
        <x:v>47.3</x:v>
      </x:c>
      <x:c r="I6" s="10" t="n">
        <x:v>50</x:v>
      </x:c>
    </x:row>
    <x:row r="7">
      <x:c r="A7" s="9" t="str">
        <x:v>IM主力</x:v>
      </x:c>
      <x:c r="B7" s="9" t="str">
        <x:v>2026-07-07</x:v>
      </x:c>
      <x:c r="C7" s="10" t="n">
        <x:v>8274.2</x:v>
      </x:c>
      <x:c r="D7" s="10" t="n">
        <x:v>8068.8</x:v>
      </x:c>
      <x:c r="E7" s="12" t="n">
        <x:v>205.4</x:v>
      </x:c>
      <x:c r="F7" s="9" t="n">
        <x:v>121</x:v>
      </x:c>
      <x:c r="G7" s="10" t="n">
        <x:v>21660</x:v>
      </x:c>
      <x:c r="H7" s="10" t="n">
        <x:v>179</x:v>
      </x:c>
      <x:c r="I7" s="10" t="n">
        <x:v>190</x:v>
      </x:c>
    </x:row>
    <x:row r="8">
      <x:c r="A8" s="9" t="str">
        <x:v>IC主力</x:v>
      </x:c>
      <x:c r="B8" s="9" t="str">
        <x:v>2026-07-07</x:v>
      </x:c>
      <x:c r="C8" s="10" t="n">
        <x:v>8478.8</x:v>
      </x:c>
      <x:c r="D8" s="10" t="n">
        <x:v>8281</x:v>
      </x:c>
      <x:c r="E8" s="12" t="n">
        <x:v>197.8</x:v>
      </x:c>
      <x:c r="F8" s="9" t="n">
        <x:v>121</x:v>
      </x:c>
      <x:c r="G8" s="10" t="n">
        <x:v>23034.8</x:v>
      </x:c>
      <x:c r="H8" s="10" t="n">
        <x:v>190.4</x:v>
      </x:c>
      <x:c r="I8" s="10" t="n">
        <x:v>150</x:v>
      </x:c>
    </x:row>
    <x:row r="9">
      <x:c r="A9" s="9" t="str">
        <x:v>IF主力</x:v>
      </x:c>
      <x:c r="B9" s="9" t="str">
        <x:v>2026-07-07</x:v>
      </x:c>
      <x:c r="C9" s="10" t="n">
        <x:v>4752.6</x:v>
      </x:c>
      <x:c r="D9" s="10" t="n">
        <x:v>4671.4</x:v>
      </x:c>
      <x:c r="E9" s="12" t="n">
        <x:v>81.2</x:v>
      </x:c>
      <x:c r="F9" s="9" t="n">
        <x:v>121</x:v>
      </x:c>
      <x:c r="G9" s="10" t="n">
        <x:v>8735.2</x:v>
      </x:c>
      <x:c r="H9" s="10" t="n">
        <x:v>72.2</x:v>
      </x:c>
      <x:c r="I9" s="10" t="n">
        <x:v>90</x:v>
      </x:c>
    </x:row>
    <x:row r="10">
      <x:c r="A10" s="9" t="str">
        <x:v>IH主力</x:v>
      </x:c>
      <x:c r="B10" s="9" t="str">
        <x:v>2026-07-07</x:v>
      </x:c>
      <x:c r="C10" s="10" t="n">
        <x:v>2908.4</x:v>
      </x:c>
      <x:c r="D10" s="10" t="n">
        <x:v>2862.4</x:v>
      </x:c>
      <x:c r="E10" s="12" t="n">
        <x:v>46</x:v>
      </x:c>
      <x:c r="F10" s="9" t="n">
        <x:v>121</x:v>
      </x:c>
      <x:c r="G10" s="10" t="n">
        <x:v>4920</x:v>
      </x:c>
      <x:c r="H10" s="10" t="n">
        <x:v>40.7</x:v>
      </x:c>
      <x:c r="I10" s="10" t="n">
        <x:v>60</x:v>
      </x:c>
    </x:row>
    <x:row r="13">
      <x:c r="A13" s="14" t="str">
        <x:v>统计区间</x:v>
      </x:c>
      <x:c r="B13" s="14" t="str">
        <x:v>2026-01-01</x:v>
      </x:c>
      <x:c r="C13" s="14" t="str">
        <x:v>2026-07-07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高点</x:v>
      </x:c>
      <x:c r="E4" s="20" t="str">
        <x:v>低点</x:v>
      </x:c>
      <x:c r="F4" s="20" t="str">
        <x:v>振幅</x:v>
      </x:c>
      <x:c r="G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7753.959</x:v>
      </x:c>
      <x:c r="E5" s="24" t="n">
        <x:v>7623.749</x:v>
      </x:c>
      <x:c r="F5" s="24" t="n">
        <x:f>ROUND(D5-E5,1)</x:f>
        <x:v>130.2</x:v>
      </x:c>
      <x:c r="G5" s="23" t="str">
        <x:v>中证1000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7864.903</x:v>
      </x:c>
      <x:c r="E6" s="24" t="n">
        <x:v>7755.072</x:v>
      </x:c>
      <x:c r="F6" s="24" t="n">
        <x:f>ROUND(D6-E6,1)</x:f>
        <x:v>109.8</x:v>
      </x:c>
      <x:c r="G6" s="23" t="str">
        <x:v>中证1000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7939.752</x:v>
      </x:c>
      <x:c r="E7" s="24" t="n">
        <x:v>7864.139</x:v>
      </x:c>
      <x:c r="F7" s="24" t="n">
        <x:f>ROUND(D7-E7,1)</x:f>
        <x:v>75.6</x:v>
      </x:c>
      <x:c r="G7" s="23" t="str">
        <x:v>中证1000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7993.631</x:v>
      </x:c>
      <x:c r="E8" s="24" t="n">
        <x:v>7886.629</x:v>
      </x:c>
      <x:c r="F8" s="24" t="n">
        <x:f>ROUND(D8-E8,1)</x:f>
        <x:v>107</x:v>
      </x:c>
      <x:c r="G8" s="23" t="str">
        <x:v>中证1000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8131.491</x:v>
      </x:c>
      <x:c r="E9" s="24" t="n">
        <x:v>7969.19</x:v>
      </x:c>
      <x:c r="F9" s="24" t="n">
        <x:f>ROUND(D9-E9,1)</x:f>
        <x:v>162.3</x:v>
      </x:c>
      <x:c r="G9" s="23" t="str">
        <x:v>中证1000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8371.749</x:v>
      </x:c>
      <x:c r="E10" s="24" t="n">
        <x:v>8171.105</x:v>
      </x:c>
      <x:c r="F10" s="26" t="n">
        <x:f>ROUND(D10-E10,1)</x:f>
        <x:v>200.6</x:v>
      </x:c>
      <x:c r="G10" s="23" t="str">
        <x:v>中证1000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8381.042</x:v>
      </x:c>
      <x:c r="E11" s="24" t="n">
        <x:v>8177.629</x:v>
      </x:c>
      <x:c r="F11" s="26" t="n">
        <x:f>ROUND(D11-E11,1)</x:f>
        <x:v>203.4</x:v>
      </x:c>
      <x:c r="G11" s="23" t="str">
        <x:v>中证1000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8415.098</x:v>
      </x:c>
      <x:c r="E12" s="24" t="n">
        <x:v>8154.241</x:v>
      </x:c>
      <x:c r="F12" s="26" t="n">
        <x:f>ROUND(D12-E12,1)</x:f>
        <x:v>260.9</x:v>
      </x:c>
      <x:c r="G12" s="23" t="str">
        <x:v>中证1000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8267.813</x:v>
      </x:c>
      <x:c r="E13" s="24" t="n">
        <x:v>8151.107</x:v>
      </x:c>
      <x:c r="F13" s="24" t="n">
        <x:f>ROUND(D13-E13,1)</x:f>
        <x:v>116.7</x:v>
      </x:c>
      <x:c r="G13" s="23" t="str">
        <x:v>中证1000</x:v>
      </x:c>
    </x:row>
    <x:row r="14">
      <x:c r="A14" s="29" t="n">
        <x:v>10</x:v>
      </x:c>
      <x:c r="B14" s="29" t="str">
        <x:v>周五</x:v>
      </x:c>
      <x:c r="C14" s="29" t="str">
        <x:v>1月16日</x:v>
      </x:c>
      <x:c r="D14" s="30" t="n">
        <x:v>8304.399</x:v>
      </x:c>
      <x:c r="E14" s="30" t="n">
        <x:v>8180.117</x:v>
      </x:c>
      <x:c r="F14" s="30" t="n">
        <x:f>ROUND(D14-E14,1)</x:f>
        <x:v>124.3</x:v>
      </x:c>
      <x:c r="G14" s="29" t="str">
        <x:v>中证1000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8298.48</x:v>
      </x:c>
      <x:c r="E15" s="24" t="n">
        <x:v>8187.938</x:v>
      </x:c>
      <x:c r="F15" s="24" t="n">
        <x:f>ROUND(D15-E15,1)</x:f>
        <x:v>110.5</x:v>
      </x:c>
      <x:c r="G15" s="23" t="str">
        <x:v>中证1000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8300.05</x:v>
      </x:c>
      <x:c r="E16" s="24" t="n">
        <x:v>8104.918</x:v>
      </x:c>
      <x:c r="F16" s="26" t="n">
        <x:f>ROUND(D16-E16,1)</x:f>
        <x:v>195.1</x:v>
      </x:c>
      <x:c r="G16" s="23" t="str">
        <x:v>中证1000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8289.134</x:v>
      </x:c>
      <x:c r="E17" s="24" t="n">
        <x:v>8136.918</x:v>
      </x:c>
      <x:c r="F17" s="24" t="n">
        <x:f>ROUND(D17-E17,1)</x:f>
        <x:v>152.2</x:v>
      </x:c>
      <x:c r="G17" s="23" t="str">
        <x:v>中证1000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8314.216</x:v>
      </x:c>
      <x:c r="E18" s="24" t="n">
        <x:v>8252.745</x:v>
      </x:c>
      <x:c r="F18" s="24" t="n">
        <x:f>ROUND(D18-E18,1)</x:f>
        <x:v>61.5</x:v>
      </x:c>
      <x:c r="G18" s="23" t="str">
        <x:v>中证1000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8478.556</x:v>
      </x:c>
      <x:c r="E19" s="24" t="n">
        <x:v>8323.349</x:v>
      </x:c>
      <x:c r="F19" s="24" t="n">
        <x:f>ROUND(D19-E19,1)</x:f>
        <x:v>155.2</x:v>
      </x:c>
      <x:c r="G19" s="23" t="str">
        <x:v>中证1000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8530.417</x:v>
      </x:c>
      <x:c r="E20" s="24" t="n">
        <x:v>8302.099</x:v>
      </x:c>
      <x:c r="F20" s="26" t="n">
        <x:f>ROUND(D20-E20,1)</x:f>
        <x:v>228.3</x:v>
      </x:c>
      <x:c r="G20" s="23" t="str">
        <x:v>中证1000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8406.099</x:v>
      </x:c>
      <x:c r="E21" s="24" t="n">
        <x:v>8186.244</x:v>
      </x:c>
      <x:c r="F21" s="26" t="n">
        <x:f>ROUND(D21-E21,1)</x:f>
        <x:v>219.9</x:v>
      </x:c>
      <x:c r="G21" s="23" t="str">
        <x:v>中证1000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8432.62</x:v>
      </x:c>
      <x:c r="E22" s="24" t="n">
        <x:v>8334.683</x:v>
      </x:c>
      <x:c r="F22" s="24" t="n">
        <x:f>ROUND(D22-E22,1)</x:f>
        <x:v>97.9</x:v>
      </x:c>
      <x:c r="G22" s="23" t="str">
        <x:v>中证1000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8463.125</x:v>
      </x:c>
      <x:c r="E23" s="24" t="n">
        <x:v>8308.825</x:v>
      </x:c>
      <x:c r="F23" s="24" t="n">
        <x:f>ROUND(D23-E23,1)</x:f>
        <x:v>154.3</x:v>
      </x:c>
      <x:c r="G23" s="23" t="str">
        <x:v>中证1000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8313.227</x:v>
      </x:c>
      <x:c r="E24" s="24" t="n">
        <x:v>8083.97</x:v>
      </x:c>
      <x:c r="F24" s="26" t="n">
        <x:f>ROUND(D24-E24,1)</x:f>
        <x:v>229.3</x:v>
      </x:c>
      <x:c r="G24" s="23" t="str">
        <x:v>中证1000</x:v>
      </x:c>
    </x:row>
    <x:row r="25">
      <x:c r="A25" s="33" t="str">
        <x:v>合计</x:v>
      </x:c>
      <x:c r="B25" s="32" t="n">
        <x:v>20</x:v>
      </x:c>
      <x:c r="C25" s="32"/>
      <x:c r="D25" s="32"/>
      <x:c r="E25" s="32"/>
      <x:c r="F25" s="34" t="n">
        <x:f>ROUND(SUM(F5:F24),1)</x:f>
        <x:v>3095</x:v>
      </x:c>
      <x:c r="G25" s="32"/>
    </x:row>
    <x:row r="26">
      <x:c r="A26" s="33" t="str">
        <x:v>均值</x:v>
      </x:c>
      <x:c r="B26" s="32"/>
      <x:c r="C26" s="32"/>
      <x:c r="D26" s="32"/>
      <x:c r="E26" s="32"/>
      <x:c r="F26" s="36" t="n">
        <x:f>ROUND(IFERROR(AVERAGE(F5:F24),0),1)</x:f>
        <x:v>154.8</x:v>
      </x:c>
      <x:c r="G26" s="32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高点</x:v>
      </x:c>
      <x:c r="E29" s="20" t="str">
        <x:v>低点</x:v>
      </x:c>
      <x:c r="F29" s="20" t="str">
        <x:v>振幅</x:v>
      </x:c>
      <x:c r="G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8221.582</x:v>
      </x:c>
      <x:c r="E30" s="24" t="n">
        <x:v>7974.599</x:v>
      </x:c>
      <x:c r="F30" s="26" t="n">
        <x:f>ROUND(D30-E30,1)</x:f>
        <x:v>247</x:v>
      </x:c>
      <x:c r="G30" s="23" t="str">
        <x:v>中证1000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8210.047</x:v>
      </x:c>
      <x:c r="E31" s="24" t="n">
        <x:v>8023.238</x:v>
      </x:c>
      <x:c r="F31" s="26" t="n">
        <x:f>ROUND(D31-E31,1)</x:f>
        <x:v>186.8</x:v>
      </x:c>
      <x:c r="G31" s="23" t="str">
        <x:v>中证1000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8216.204</x:v>
      </x:c>
      <x:c r="E32" s="24" t="n">
        <x:v>8101.2</x:v>
      </x:c>
      <x:c r="F32" s="24" t="n">
        <x:f>ROUND(D32-E32,1)</x:f>
        <x:v>115</x:v>
      </x:c>
      <x:c r="G32" s="23" t="str">
        <x:v>中证1000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8154.558</x:v>
      </x:c>
      <x:c r="E33" s="24" t="n">
        <x:v>8027.623</x:v>
      </x:c>
      <x:c r="F33" s="24" t="n">
        <x:f>ROUND(D33-E33,1)</x:f>
        <x:v>126.9</x:v>
      </x:c>
      <x:c r="G33" s="23" t="str">
        <x:v>中证1000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8152.322</x:v>
      </x:c>
      <x:c r="E34" s="24" t="n">
        <x:v>7950.01</x:v>
      </x:c>
      <x:c r="F34" s="26" t="n">
        <x:f>ROUND(D34-E34,1)</x:f>
        <x:v>202.3</x:v>
      </x:c>
      <x:c r="G34" s="23" t="str">
        <x:v>中证1000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8235.155</x:v>
      </x:c>
      <x:c r="E35" s="24" t="n">
        <x:v>8149.646</x:v>
      </x:c>
      <x:c r="F35" s="24" t="n">
        <x:f>ROUND(D35-E35,1)</x:f>
        <x:v>85.5</x:v>
      </x:c>
      <x:c r="G35" s="23" t="str">
        <x:v>中证1000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8274.143</x:v>
      </x:c>
      <x:c r="E36" s="24" t="n">
        <x:v>8199.511</x:v>
      </x:c>
      <x:c r="F36" s="24" t="n">
        <x:f>ROUND(D36-E36,1)</x:f>
        <x:v>74.6</x:v>
      </x:c>
      <x:c r="G36" s="23" t="str">
        <x:v>中证1000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8304.125</x:v>
      </x:c>
      <x:c r="E37" s="24" t="n">
        <x:v>8236.957</x:v>
      </x:c>
      <x:c r="F37" s="24" t="n">
        <x:f>ROUND(D37-E37,1)</x:f>
        <x:v>67.2</x:v>
      </x:c>
      <x:c r="G37" s="23" t="str">
        <x:v>中证1000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8337.371</x:v>
      </x:c>
      <x:c r="E38" s="24" t="n">
        <x:v>8227.604</x:v>
      </x:c>
      <x:c r="F38" s="24" t="n">
        <x:f>ROUND(D38-E38,1)</x:f>
        <x:v>109.8</x:v>
      </x:c>
      <x:c r="G38" s="23" t="str">
        <x:v>中证1000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8323.715</x:v>
      </x:c>
      <x:c r="E39" s="24" t="n">
        <x:v>8200.148</x:v>
      </x:c>
      <x:c r="F39" s="24" t="n">
        <x:f>ROUND(D39-E39,1)</x:f>
        <x:v>123.6</x:v>
      </x:c>
      <x:c r="G39" s="23" t="str">
        <x:v>中证1000</x:v>
      </x:c>
    </x:row>
    <x:row r="40">
      <x:c r="A40" s="29" t="n">
        <x:v>11</x:v>
      </x:c>
      <x:c r="B40" s="29" t="str">
        <x:v>周二</x:v>
      </x:c>
      <x:c r="C40" s="29" t="str">
        <x:v>2月24日</x:v>
      </x:c>
      <x:c r="D40" s="30" t="n">
        <x:v>8356.914</x:v>
      </x:c>
      <x:c r="E40" s="30" t="n">
        <x:v>8236.707</x:v>
      </x:c>
      <x:c r="F40" s="30" t="n">
        <x:f>ROUND(D40-E40,1)</x:f>
        <x:v>120.2</x:v>
      </x:c>
      <x:c r="G40" s="29" t="str">
        <x:v>中证1000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8449.763</x:v>
      </x:c>
      <x:c r="E41" s="24" t="n">
        <x:v>8310.325</x:v>
      </x:c>
      <x:c r="F41" s="24" t="n">
        <x:f>ROUND(D41-E41,1)</x:f>
        <x:v>139.4</x:v>
      </x:c>
      <x:c r="G41" s="23" t="str">
        <x:v>中证1000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8496.748</x:v>
      </x:c>
      <x:c r="E42" s="24" t="n">
        <x:v>8398.066</x:v>
      </x:c>
      <x:c r="F42" s="24" t="n">
        <x:f>ROUND(D42-E42,1)</x:f>
        <x:v>98.7</x:v>
      </x:c>
      <x:c r="G42" s="23" t="str">
        <x:v>中证1000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8561.295</x:v>
      </x:c>
      <x:c r="E43" s="24" t="n">
        <x:v>8433.717</x:v>
      </x:c>
      <x:c r="F43" s="24" t="n">
        <x:f>ROUND(D43-E43,1)</x:f>
        <x:v>127.6</x:v>
      </x:c>
      <x:c r="G43" s="23" t="str">
        <x:v>中证1000</x:v>
      </x:c>
    </x:row>
    <x:row r="44">
      <x:c r="A44" s="33" t="str">
        <x:v>合计</x:v>
      </x:c>
      <x:c r="B44" s="32" t="n">
        <x:v>14</x:v>
      </x:c>
      <x:c r="C44" s="32"/>
      <x:c r="D44" s="32"/>
      <x:c r="E44" s="32"/>
      <x:c r="F44" s="34" t="n">
        <x:f>ROUND(SUM(F30:F43),1)</x:f>
        <x:v>1824.6</x:v>
      </x:c>
      <x:c r="G44" s="32"/>
    </x:row>
    <x:row r="45">
      <x:c r="A45" s="33" t="str">
        <x:v>均值</x:v>
      </x:c>
      <x:c r="B45" s="32"/>
      <x:c r="C45" s="32"/>
      <x:c r="D45" s="32"/>
      <x:c r="E45" s="32"/>
      <x:c r="F45" s="36" t="n">
        <x:f>ROUND(IFERROR(AVERAGE(F30:F43),0),1)</x:f>
        <x:v>130.3</x:v>
      </x:c>
      <x:c r="G45" s="32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高点</x:v>
      </x:c>
      <x:c r="E48" s="20" t="str">
        <x:v>低点</x:v>
      </x:c>
      <x:c r="F48" s="20" t="str">
        <x:v>振幅</x:v>
      </x:c>
      <x:c r="G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8535.807</x:v>
      </x:c>
      <x:c r="E49" s="24" t="n">
        <x:v>8393.927</x:v>
      </x:c>
      <x:c r="F49" s="24" t="n">
        <x:f>ROUND(D49-E49,1)</x:f>
        <x:v>141.9</x:v>
      </x:c>
      <x:c r="G49" s="23" t="str">
        <x:v>中证1000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8510.854</x:v>
      </x:c>
      <x:c r="E50" s="24" t="n">
        <x:v>8128.305</x:v>
      </x:c>
      <x:c r="F50" s="26" t="n">
        <x:f>ROUND(D50-E50,1)</x:f>
        <x:v>382.5</x:v>
      </x:c>
      <x:c r="G50" s="23" t="str">
        <x:v>中证1000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8228.895</x:v>
      </x:c>
      <x:c r="E51" s="24" t="n">
        <x:v>8039.593</x:v>
      </x:c>
      <x:c r="F51" s="26" t="n">
        <x:f>ROUND(D51-E51,1)</x:f>
        <x:v>189.3</x:v>
      </x:c>
      <x:c r="G51" s="23" t="str">
        <x:v>中证1000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8243.829</x:v>
      </x:c>
      <x:c r="E52" s="24" t="n">
        <x:v>8121.382</x:v>
      </x:c>
      <x:c r="F52" s="24" t="n">
        <x:f>ROUND(D52-E52,1)</x:f>
        <x:v>122.4</x:v>
      </x:c>
      <x:c r="G52" s="23" t="str">
        <x:v>中证1000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8273.68</x:v>
      </x:c>
      <x:c r="E53" s="24" t="n">
        <x:v>8115.479</x:v>
      </x:c>
      <x:c r="F53" s="24" t="n">
        <x:f>ROUND(D53-E53,1)</x:f>
        <x:v>158.2</x:v>
      </x:c>
      <x:c r="G53" s="23" t="str">
        <x:v>中证1000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8230.656</x:v>
      </x:c>
      <x:c r="E54" s="24" t="n">
        <x:v>7983.569</x:v>
      </x:c>
      <x:c r="F54" s="26" t="n">
        <x:f>ROUND(D54-E54,1)</x:f>
        <x:v>247.1</x:v>
      </x:c>
      <x:c r="G54" s="23" t="str">
        <x:v>中证1000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8351.666</x:v>
      </x:c>
      <x:c r="E55" s="24" t="n">
        <x:v>8271.493</x:v>
      </x:c>
      <x:c r="F55" s="24" t="n">
        <x:f>ROUND(D55-E55,1)</x:f>
        <x:v>80.2</x:v>
      </x:c>
      <x:c r="G55" s="23" t="str">
        <x:v>中证1000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8394.122</x:v>
      </x:c>
      <x:c r="E56" s="24" t="n">
        <x:v>8334.328</x:v>
      </x:c>
      <x:c r="F56" s="24" t="n">
        <x:f>ROUND(D56-E56,1)</x:f>
        <x:v>59.8</x:v>
      </x:c>
      <x:c r="G56" s="23" t="str">
        <x:v>中证1000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8388.633</x:v>
      </x:c>
      <x:c r="E57" s="24" t="n">
        <x:v>8267.39</x:v>
      </x:c>
      <x:c r="F57" s="24" t="n">
        <x:f>ROUND(D57-E57,1)</x:f>
        <x:v>121.2</x:v>
      </x:c>
      <x:c r="G57" s="23" t="str">
        <x:v>中证1000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8350.917</x:v>
      </x:c>
      <x:c r="E58" s="24" t="n">
        <x:v>8196.374</x:v>
      </x:c>
      <x:c r="F58" s="24" t="n">
        <x:f>ROUND(D58-E58,1)</x:f>
        <x:v>154.5</x:v>
      </x:c>
      <x:c r="G58" s="23" t="str">
        <x:v>中证1000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8226.032</x:v>
      </x:c>
      <x:c r="E59" s="24" t="n">
        <x:v>8089.488</x:v>
      </x:c>
      <x:c r="F59" s="24" t="n">
        <x:f>ROUND(D59-E59,1)</x:f>
        <x:v>136.5</x:v>
      </x:c>
      <x:c r="G59" s="23" t="str">
        <x:v>中证1000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8223.989</x:v>
      </x:c>
      <x:c r="E60" s="24" t="n">
        <x:v>8019.075</x:v>
      </x:c>
      <x:c r="F60" s="26" t="n">
        <x:f>ROUND(D60-E60,1)</x:f>
        <x:v>204.9</x:v>
      </x:c>
      <x:c r="G60" s="23" t="str">
        <x:v>中证1000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8105.806</x:v>
      </x:c>
      <x:c r="E61" s="24" t="n">
        <x:v>7970.189</x:v>
      </x:c>
      <x:c r="F61" s="24" t="n">
        <x:f>ROUND(D61-E61,1)</x:f>
        <x:v>135.6</x:v>
      </x:c>
      <x:c r="G61" s="23" t="str">
        <x:v>中证1000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8008.389</x:v>
      </x:c>
      <x:c r="E62" s="24" t="n">
        <x:v>7874.262</x:v>
      </x:c>
      <x:c r="F62" s="24" t="n">
        <x:f>ROUND(D62-E62,1)</x:f>
        <x:v>134.1</x:v>
      </x:c>
      <x:c r="G62" s="23" t="str">
        <x:v>中证1000</x:v>
      </x:c>
    </x:row>
    <x:row r="63">
      <x:c r="A63" s="29" t="n">
        <x:v>15</x:v>
      </x:c>
      <x:c r="B63" s="29" t="str">
        <x:v>周五</x:v>
      </x:c>
      <x:c r="C63" s="29" t="str">
        <x:v>3月20日</x:v>
      </x:c>
      <x:c r="D63" s="30" t="n">
        <x:v>7996.164</x:v>
      </x:c>
      <x:c r="E63" s="30" t="n">
        <x:v>7781.579</x:v>
      </x:c>
      <x:c r="F63" s="26" t="n">
        <x:f>ROUND(D63-E63,1)</x:f>
        <x:v>214.6</x:v>
      </x:c>
      <x:c r="G63" s="29" t="str">
        <x:v>中证1000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7712.04</x:v>
      </x:c>
      <x:c r="E64" s="24" t="n">
        <x:v>7357.696</x:v>
      </x:c>
      <x:c r="F64" s="26" t="n">
        <x:f>ROUND(D64-E64,1)</x:f>
        <x:v>354.3</x:v>
      </x:c>
      <x:c r="G64" s="23" t="str">
        <x:v>中证1000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7601.883</x:v>
      </x:c>
      <x:c r="E65" s="24" t="n">
        <x:v>7361.793</x:v>
      </x:c>
      <x:c r="F65" s="26" t="n">
        <x:f>ROUND(D65-E65,1)</x:f>
        <x:v>240.1</x:v>
      </x:c>
      <x:c r="G65" s="23" t="str">
        <x:v>中证1000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7781.197</x:v>
      </x:c>
      <x:c r="E66" s="24" t="n">
        <x:v>7654.784</x:v>
      </x:c>
      <x:c r="F66" s="24" t="n">
        <x:f>ROUND(D66-E66,1)</x:f>
        <x:v>126.4</x:v>
      </x:c>
      <x:c r="G66" s="23" t="str">
        <x:v>中证1000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7775.893</x:v>
      </x:c>
      <x:c r="E67" s="24" t="n">
        <x:v>7614.889</x:v>
      </x:c>
      <x:c r="F67" s="24" t="n">
        <x:f>ROUND(D67-E67,1)</x:f>
        <x:v>161</x:v>
      </x:c>
      <x:c r="G67" s="23" t="str">
        <x:v>中证1000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7784.547</x:v>
      </x:c>
      <x:c r="E68" s="24" t="n">
        <x:v>7526.586</x:v>
      </x:c>
      <x:c r="F68" s="26" t="n">
        <x:f>ROUND(D68-E68,1)</x:f>
        <x:v>258</x:v>
      </x:c>
      <x:c r="G68" s="23" t="str">
        <x:v>中证1000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7774.851</x:v>
      </x:c>
      <x:c r="E69" s="24" t="n">
        <x:v>7618.961</x:v>
      </x:c>
      <x:c r="F69" s="24" t="n">
        <x:f>ROUND(D69-E69,1)</x:f>
        <x:v>155.9</x:v>
      </x:c>
      <x:c r="G69" s="23" t="str">
        <x:v>中证1000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7789.239</x:v>
      </x:c>
      <x:c r="E70" s="24" t="n">
        <x:v>7618.187</x:v>
      </x:c>
      <x:c r="F70" s="24" t="n">
        <x:f>ROUND(D70-E70,1)</x:f>
        <x:v>171.1</x:v>
      </x:c>
      <x:c r="G70" s="23" t="str">
        <x:v>中证1000</x:v>
      </x:c>
    </x:row>
    <x:row r="71">
      <x:c r="A71" s="33" t="str">
        <x:v>合计</x:v>
      </x:c>
      <x:c r="B71" s="32" t="n">
        <x:v>22</x:v>
      </x:c>
      <x:c r="C71" s="32"/>
      <x:c r="D71" s="32"/>
      <x:c r="E71" s="32"/>
      <x:c r="F71" s="34" t="n">
        <x:f>ROUND(SUM(F49:F70),1)</x:f>
        <x:v>3949.6</x:v>
      </x:c>
      <x:c r="G71" s="32"/>
    </x:row>
    <x:row r="72">
      <x:c r="A72" s="33" t="str">
        <x:v>均值</x:v>
      </x:c>
      <x:c r="B72" s="32"/>
      <x:c r="C72" s="32"/>
      <x:c r="D72" s="32"/>
      <x:c r="E72" s="32"/>
      <x:c r="F72" s="36" t="n">
        <x:f>ROUND(IFERROR(AVERAGE(F49:F70),0),1)</x:f>
        <x:v>179.5</x:v>
      </x:c>
      <x:c r="G72" s="32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高点</x:v>
      </x:c>
      <x:c r="E75" s="20" t="str">
        <x:v>低点</x:v>
      </x:c>
      <x:c r="F75" s="20" t="str">
        <x:v>振幅</x:v>
      </x:c>
      <x:c r="G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7786.759</x:v>
      </x:c>
      <x:c r="E76" s="24" t="n">
        <x:v>7692.01</x:v>
      </x:c>
      <x:c r="F76" s="24" t="n">
        <x:f>ROUND(D76-E76,1)</x:f>
        <x:v>94.7</x:v>
      </x:c>
      <x:c r="G76" s="23" t="str">
        <x:v>中证1000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7764.027</x:v>
      </x:c>
      <x:c r="E77" s="24" t="n">
        <x:v>7581.392</x:v>
      </x:c>
      <x:c r="F77" s="26" t="n">
        <x:f>ROUND(D77-E77,1)</x:f>
        <x:v>182.6</x:v>
      </x:c>
      <x:c r="G77" s="23" t="str">
        <x:v>中证1000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7664.756</x:v>
      </x:c>
      <x:c r="E78" s="24" t="n">
        <x:v>7521.944</x:v>
      </x:c>
      <x:c r="F78" s="24" t="n">
        <x:f>ROUND(D78-E78,1)</x:f>
        <x:v>142.8</x:v>
      </x:c>
      <x:c r="G78" s="23" t="str">
        <x:v>中证1000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7640.505</x:v>
      </x:c>
      <x:c r="E79" s="24" t="n">
        <x:v>7554.408</x:v>
      </x:c>
      <x:c r="F79" s="24" t="n">
        <x:f>ROUND(D79-E79,1)</x:f>
        <x:v>86.1</x:v>
      </x:c>
      <x:c r="G79" s="23" t="str">
        <x:v>中证1000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7955.768</x:v>
      </x:c>
      <x:c r="E80" s="24" t="n">
        <x:v>7765.197</x:v>
      </x:c>
      <x:c r="F80" s="26" t="n">
        <x:f>ROUND(D80-E80,1)</x:f>
        <x:v>190.6</x:v>
      </x:c>
      <x:c r="G80" s="23" t="str">
        <x:v>中证1000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7959.067</x:v>
      </x:c>
      <x:c r="E81" s="24" t="n">
        <x:v>7872.475</x:v>
      </x:c>
      <x:c r="F81" s="24" t="n">
        <x:f>ROUND(D81-E81,1)</x:f>
        <x:v>86.6</x:v>
      </x:c>
      <x:c r="G81" s="23" t="str">
        <x:v>中证1000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8059.755</x:v>
      </x:c>
      <x:c r="E82" s="24" t="n">
        <x:v>7981.622</x:v>
      </x:c>
      <x:c r="F82" s="24" t="n">
        <x:f>ROUND(D82-E82,1)</x:f>
        <x:v>78.1</x:v>
      </x:c>
      <x:c r="G82" s="23" t="str">
        <x:v>中证1000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8040.026</x:v>
      </x:c>
      <x:c r="E83" s="24" t="n">
        <x:v>7947.222</x:v>
      </x:c>
      <x:c r="F83" s="24" t="n">
        <x:f>ROUND(D83-E83,1)</x:f>
        <x:v>92.8</x:v>
      </x:c>
      <x:c r="G83" s="23" t="str">
        <x:v>中证1000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8144.762</x:v>
      </x:c>
      <x:c r="E84" s="24" t="n">
        <x:v>8059.38</x:v>
      </x:c>
      <x:c r="F84" s="24" t="n">
        <x:f>ROUND(D84-E84,1)</x:f>
        <x:v>85.4</x:v>
      </x:c>
      <x:c r="G84" s="23" t="str">
        <x:v>中证1000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8193.296</x:v>
      </x:c>
      <x:c r="E85" s="24" t="n">
        <x:v>8083.265</x:v>
      </x:c>
      <x:c r="F85" s="24" t="n">
        <x:f>ROUND(D85-E85,1)</x:f>
        <x:v>110</x:v>
      </x:c>
      <x:c r="G85" s="23" t="str">
        <x:v>中证1000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8239.008</x:v>
      </x:c>
      <x:c r="E86" s="24" t="n">
        <x:v>8100.489</x:v>
      </x:c>
      <x:c r="F86" s="24" t="n">
        <x:f>ROUND(D86-E86,1)</x:f>
        <x:v>138.5</x:v>
      </x:c>
      <x:c r="G86" s="23" t="str">
        <x:v>中证1000</x:v>
      </x:c>
    </x:row>
    <x:row r="87">
      <x:c r="A87" s="29" t="n">
        <x:v>12</x:v>
      </x:c>
      <x:c r="B87" s="29" t="str">
        <x:v>周五</x:v>
      </x:c>
      <x:c r="C87" s="29" t="str">
        <x:v>4月17日</x:v>
      </x:c>
      <x:c r="D87" s="30" t="n">
        <x:v>8333.222</x:v>
      </x:c>
      <x:c r="E87" s="30" t="n">
        <x:v>8223.706</x:v>
      </x:c>
      <x:c r="F87" s="30" t="n">
        <x:f>ROUND(D87-E87,1)</x:f>
        <x:v>109.5</x:v>
      </x:c>
      <x:c r="G87" s="29" t="str">
        <x:v>中证1000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8374.812</x:v>
      </x:c>
      <x:c r="E88" s="24" t="n">
        <x:v>8308.055</x:v>
      </x:c>
      <x:c r="F88" s="24" t="n">
        <x:f>ROUND(D88-E88,1)</x:f>
        <x:v>66.8</x:v>
      </x:c>
      <x:c r="G88" s="23" t="str">
        <x:v>中证1000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8358.124</x:v>
      </x:c>
      <x:c r="E89" s="24" t="n">
        <x:v>8270.161</x:v>
      </x:c>
      <x:c r="F89" s="24" t="n">
        <x:f>ROUND(D89-E89,1)</x:f>
        <x:v>88</x:v>
      </x:c>
      <x:c r="G89" s="23" t="str">
        <x:v>中证1000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8482.153</x:v>
      </x:c>
      <x:c r="E90" s="24" t="n">
        <x:v>8317.278</x:v>
      </x:c>
      <x:c r="F90" s="24" t="n">
        <x:f>ROUND(D90-E90,1)</x:f>
        <x:v>164.9</x:v>
      </x:c>
      <x:c r="G90" s="23" t="str">
        <x:v>中证1000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8500.438</x:v>
      </x:c>
      <x:c r="E91" s="24" t="n">
        <x:v>8302.849</x:v>
      </x:c>
      <x:c r="F91" s="26" t="n">
        <x:f>ROUND(D91-E91,1)</x:f>
        <x:v>197.6</x:v>
      </x:c>
      <x:c r="G91" s="23" t="str">
        <x:v>中证1000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8360.79</x:v>
      </x:c>
      <x:c r="E92" s="24" t="n">
        <x:v>8254.431</x:v>
      </x:c>
      <x:c r="F92" s="24" t="n">
        <x:f>ROUND(D92-E92,1)</x:f>
        <x:v>106.4</x:v>
      </x:c>
      <x:c r="G92" s="23" t="str">
        <x:v>中证1000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8366.312</x:v>
      </x:c>
      <x:c r="E93" s="24" t="n">
        <x:v>8249.944</x:v>
      </x:c>
      <x:c r="F93" s="24" t="n">
        <x:f>ROUND(D93-E93,1)</x:f>
        <x:v>116.4</x:v>
      </x:c>
      <x:c r="G93" s="23" t="str">
        <x:v>中证1000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8316.267</x:v>
      </x:c>
      <x:c r="E94" s="24" t="n">
        <x:v>8187.239</x:v>
      </x:c>
      <x:c r="F94" s="24" t="n">
        <x:f>ROUND(D94-E94,1)</x:f>
        <x:v>129</x:v>
      </x:c>
      <x:c r="G94" s="23" t="str">
        <x:v>中证1000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8361.487</x:v>
      </x:c>
      <x:c r="E95" s="24" t="n">
        <x:v>8163.348</x:v>
      </x:c>
      <x:c r="F95" s="26" t="n">
        <x:f>ROUND(D95-E95,1)</x:f>
        <x:v>198.1</x:v>
      </x:c>
      <x:c r="G95" s="23" t="str">
        <x:v>中证1000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8402.356</x:v>
      </x:c>
      <x:c r="E96" s="24" t="n">
        <x:v>8324.294</x:v>
      </x:c>
      <x:c r="F96" s="24" t="n">
        <x:f>ROUND(D96-E96,1)</x:f>
        <x:v>78.1</x:v>
      </x:c>
      <x:c r="G96" s="23" t="str">
        <x:v>中证1000</x:v>
      </x:c>
    </x:row>
    <x:row r="97">
      <x:c r="A97" s="33" t="str">
        <x:v>合计</x:v>
      </x:c>
      <x:c r="B97" s="32" t="n">
        <x:v>21</x:v>
      </x:c>
      <x:c r="C97" s="32"/>
      <x:c r="D97" s="32"/>
      <x:c r="E97" s="32"/>
      <x:c r="F97" s="34" t="n">
        <x:f>ROUND(SUM(F76:F96),1)</x:f>
        <x:v>2543</x:v>
      </x:c>
      <x:c r="G97" s="32"/>
    </x:row>
    <x:row r="98">
      <x:c r="A98" s="33" t="str">
        <x:v>均值</x:v>
      </x:c>
      <x:c r="B98" s="32"/>
      <x:c r="C98" s="32"/>
      <x:c r="D98" s="32"/>
      <x:c r="E98" s="32"/>
      <x:c r="F98" s="36" t="n">
        <x:f>ROUND(IFERROR(AVERAGE(F76:F96),0),1)</x:f>
        <x:v>121.1</x:v>
      </x:c>
      <x:c r="G98" s="32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高点</x:v>
      </x:c>
      <x:c r="E101" s="20" t="str">
        <x:v>低点</x:v>
      </x:c>
      <x:c r="F101" s="20" t="str">
        <x:v>振幅</x:v>
      </x:c>
      <x:c r="G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8610.881</x:v>
      </x:c>
      <x:c r="E102" s="24" t="n">
        <x:v>8462.023</x:v>
      </x:c>
      <x:c r="F102" s="24" t="n">
        <x:f>ROUND(D102-E102,1)</x:f>
        <x:v>148.9</x:v>
      </x:c>
      <x:c r="G102" s="23" t="str">
        <x:v>中证1000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8716.861</x:v>
      </x:c>
      <x:c r="E103" s="24" t="n">
        <x:v>8573.295</x:v>
      </x:c>
      <x:c r="F103" s="24" t="n">
        <x:f>ROUND(D103-E103,1)</x:f>
        <x:v>143.6</x:v>
      </x:c>
      <x:c r="G103" s="23" t="str">
        <x:v>中证1000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8760.194</x:v>
      </x:c>
      <x:c r="E104" s="24" t="n">
        <x:v>8651.059</x:v>
      </x:c>
      <x:c r="F104" s="24" t="n">
        <x:f>ROUND(D104-E104,1)</x:f>
        <x:v>109.1</x:v>
      </x:c>
      <x:c r="G104" s="23" t="str">
        <x:v>中证1000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8888.873</x:v>
      </x:c>
      <x:c r="E105" s="24" t="n">
        <x:v>8760.714</x:v>
      </x:c>
      <x:c r="F105" s="24" t="n">
        <x:f>ROUND(D105-E105,1)</x:f>
        <x:v>128.2</x:v>
      </x:c>
      <x:c r="G105" s="23" t="str">
        <x:v>中证1000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8881.902</x:v>
      </x:c>
      <x:c r="E106" s="24" t="n">
        <x:v>8749.722</x:v>
      </x:c>
      <x:c r="F106" s="24" t="n">
        <x:f>ROUND(D106-E106,1)</x:f>
        <x:v>132.2</x:v>
      </x:c>
      <x:c r="G106" s="23" t="str">
        <x:v>中证1000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8958.456</x:v>
      </x:c>
      <x:c r="E107" s="24" t="n">
        <x:v>8764.023</x:v>
      </x:c>
      <x:c r="F107" s="26" t="n">
        <x:f>ROUND(D107-E107,1)</x:f>
        <x:v>194.4</x:v>
      </x:c>
      <x:c r="G107" s="23" t="str">
        <x:v>中证1000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8991.85</x:v>
      </x:c>
      <x:c r="E108" s="24" t="n">
        <x:v>8778.709</x:v>
      </x:c>
      <x:c r="F108" s="26" t="n">
        <x:f>ROUND(D108-E108,1)</x:f>
        <x:v>213.1</x:v>
      </x:c>
      <x:c r="G108" s="23" t="str">
        <x:v>中证1000</x:v>
      </x:c>
    </x:row>
    <x:row r="109">
      <x:c r="A109" s="29" t="n">
        <x:v>8</x:v>
      </x:c>
      <x:c r="B109" s="29" t="str">
        <x:v>周五</x:v>
      </x:c>
      <x:c r="C109" s="29" t="str">
        <x:v>5月15日</x:v>
      </x:c>
      <x:c r="D109" s="30" t="n">
        <x:v>8846.515</x:v>
      </x:c>
      <x:c r="E109" s="30" t="n">
        <x:v>8616.06</x:v>
      </x:c>
      <x:c r="F109" s="26" t="n">
        <x:f>ROUND(D109-E109,1)</x:f>
        <x:v>230.5</x:v>
      </x:c>
      <x:c r="G109" s="29" t="str">
        <x:v>中证1000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8766.306</x:v>
      </x:c>
      <x:c r="E110" s="24" t="n">
        <x:v>8610.742</x:v>
      </x:c>
      <x:c r="F110" s="24" t="n">
        <x:f>ROUND(D110-E110,1)</x:f>
        <x:v>155.6</x:v>
      </x:c>
      <x:c r="G110" s="23" t="str">
        <x:v>中证1000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8812.031</x:v>
      </x:c>
      <x:c r="E111" s="24" t="n">
        <x:v>8602.046</x:v>
      </x:c>
      <x:c r="F111" s="26" t="n">
        <x:f>ROUND(D111-E111,1)</x:f>
        <x:v>210</x:v>
      </x:c>
      <x:c r="G111" s="23" t="str">
        <x:v>中证1000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8823.684</x:v>
      </x:c>
      <x:c r="E112" s="24" t="n">
        <x:v>8697.4</x:v>
      </x:c>
      <x:c r="F112" s="24" t="n">
        <x:f>ROUND(D112-E112,1)</x:f>
        <x:v>126.3</x:v>
      </x:c>
      <x:c r="G112" s="23" t="str">
        <x:v>中证1000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8896.6</x:v>
      </x:c>
      <x:c r="E113" s="24" t="n">
        <x:v>8500.92</x:v>
      </x:c>
      <x:c r="F113" s="26" t="n">
        <x:f>ROUND(D113-E113,1)</x:f>
        <x:v>395.7</x:v>
      </x:c>
      <x:c r="G113" s="23" t="str">
        <x:v>中证1000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8719.387</x:v>
      </x:c>
      <x:c r="E114" s="24" t="n">
        <x:v>8521.695</x:v>
      </x:c>
      <x:c r="F114" s="26" t="n">
        <x:f>ROUND(D114-E114,1)</x:f>
        <x:v>197.7</x:v>
      </x:c>
      <x:c r="G114" s="23" t="str">
        <x:v>中证1000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8802.946</x:v>
      </x:c>
      <x:c r="E115" s="24" t="n">
        <x:v>8670.716</x:v>
      </x:c>
      <x:c r="F115" s="24" t="n">
        <x:f>ROUND(D115-E115,1)</x:f>
        <x:v>132.2</x:v>
      </x:c>
      <x:c r="G115" s="23" t="str">
        <x:v>中证1000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8756.463</x:v>
      </x:c>
      <x:c r="E116" s="24" t="n">
        <x:v>8560.804</x:v>
      </x:c>
      <x:c r="F116" s="26" t="n">
        <x:f>ROUND(D116-E116,1)</x:f>
        <x:v>195.7</x:v>
      </x:c>
      <x:c r="G116" s="23" t="str">
        <x:v>中证1000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8737.055</x:v>
      </x:c>
      <x:c r="E117" s="24" t="n">
        <x:v>8495.723</x:v>
      </x:c>
      <x:c r="F117" s="26" t="n">
        <x:f>ROUND(D117-E117,1)</x:f>
        <x:v>241.3</x:v>
      </x:c>
      <x:c r="G117" s="23" t="str">
        <x:v>中证1000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8659.61</x:v>
      </x:c>
      <x:c r="E118" s="24" t="n">
        <x:v>8459.949</x:v>
      </x:c>
      <x:c r="F118" s="26" t="n">
        <x:f>ROUND(D118-E118,1)</x:f>
        <x:v>199.7</x:v>
      </x:c>
      <x:c r="G118" s="23" t="str">
        <x:v>中证1000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8680.266</x:v>
      </x:c>
      <x:c r="E119" s="24" t="n">
        <x:v>8357.801</x:v>
      </x:c>
      <x:c r="F119" s="26" t="n">
        <x:f>ROUND(D119-E119,1)</x:f>
        <x:v>322.5</x:v>
      </x:c>
      <x:c r="G119" s="23" t="str">
        <x:v>中证1000</x:v>
      </x:c>
    </x:row>
    <x:row r="120">
      <x:c r="A120" s="33" t="str">
        <x:v>合计</x:v>
      </x:c>
      <x:c r="B120" s="32" t="n">
        <x:v>18</x:v>
      </x:c>
      <x:c r="C120" s="32"/>
      <x:c r="D120" s="32"/>
      <x:c r="E120" s="32"/>
      <x:c r="F120" s="34" t="n">
        <x:f>ROUND(SUM(F102:F119),1)</x:f>
        <x:v>3476.7</x:v>
      </x:c>
      <x:c r="G120" s="32"/>
    </x:row>
    <x:row r="121">
      <x:c r="A121" s="33" t="str">
        <x:v>均值</x:v>
      </x:c>
      <x:c r="B121" s="32"/>
      <x:c r="C121" s="32"/>
      <x:c r="D121" s="32"/>
      <x:c r="E121" s="32"/>
      <x:c r="F121" s="36" t="n">
        <x:f>ROUND(IFERROR(AVERAGE(F102:F119),0),1)</x:f>
        <x:v>193.1</x:v>
      </x:c>
      <x:c r="G121" s="32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高点</x:v>
      </x:c>
      <x:c r="E124" s="20" t="str">
        <x:v>低点</x:v>
      </x:c>
      <x:c r="F124" s="20" t="str">
        <x:v>振幅</x:v>
      </x:c>
      <x:c r="G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8504.983</x:v>
      </x:c>
      <x:c r="E125" s="24" t="n">
        <x:v>8339.353</x:v>
      </x:c>
      <x:c r="F125" s="24" t="n">
        <x:f>ROUND(D125-E125,1)</x:f>
        <x:v>165.6</x:v>
      </x:c>
      <x:c r="G125" s="23" t="str">
        <x:v>中证1000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8440.232</x:v>
      </x:c>
      <x:c r="E126" s="24" t="n">
        <x:v>8219.153</x:v>
      </x:c>
      <x:c r="F126" s="26" t="n">
        <x:f>ROUND(D126-E126,1)</x:f>
        <x:v>221.1</x:v>
      </x:c>
      <x:c r="G126" s="23" t="str">
        <x:v>中证1000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8549.249</x:v>
      </x:c>
      <x:c r="E127" s="24" t="n">
        <x:v>8357.464</x:v>
      </x:c>
      <x:c r="F127" s="26" t="n">
        <x:f>ROUND(D127-E127,1)</x:f>
        <x:v>191.8</x:v>
      </x:c>
      <x:c r="G127" s="23" t="str">
        <x:v>中证1000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8456.017</x:v>
      </x:c>
      <x:c r="E128" s="24" t="n">
        <x:v>8338.854</x:v>
      </x:c>
      <x:c r="F128" s="24" t="n">
        <x:f>ROUND(D128-E128,1)</x:f>
        <x:v>117.2</x:v>
      </x:c>
      <x:c r="G128" s="23" t="str">
        <x:v>中证1000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8500.1</x:v>
      </x:c>
      <x:c r="E129" s="24" t="n">
        <x:v>8305.396</x:v>
      </x:c>
      <x:c r="F129" s="26" t="n">
        <x:f>ROUND(D129-E129,1)</x:f>
        <x:v>194.7</x:v>
      </x:c>
      <x:c r="G129" s="23" t="str">
        <x:v>中证1000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8260.192</x:v>
      </x:c>
      <x:c r="E130" s="24" t="n">
        <x:v>7987.396</x:v>
      </x:c>
      <x:c r="F130" s="26" t="n">
        <x:f>ROUND(D130-E130,1)</x:f>
        <x:v>272.8</x:v>
      </x:c>
      <x:c r="G130" s="23" t="str">
        <x:v>中证1000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8322.109</x:v>
      </x:c>
      <x:c r="E131" s="24" t="n">
        <x:v>8096.577</x:v>
      </x:c>
      <x:c r="F131" s="26" t="n">
        <x:f>ROUND(D131-E131,1)</x:f>
        <x:v>225.5</x:v>
      </x:c>
      <x:c r="G131" s="23" t="str">
        <x:v>中证1000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8285.286</x:v>
      </x:c>
      <x:c r="E132" s="24" t="n">
        <x:v>8103.01</x:v>
      </x:c>
      <x:c r="F132" s="26" t="n">
        <x:f>ROUND(D132-E132,1)</x:f>
        <x:v>182.3</x:v>
      </x:c>
      <x:c r="G132" s="23" t="str">
        <x:v>中证1000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8223.527</x:v>
      </x:c>
      <x:c r="E133" s="24" t="n">
        <x:v>8084.9</x:v>
      </x:c>
      <x:c r="F133" s="24" t="n">
        <x:f>ROUND(D133-E133,1)</x:f>
        <x:v>138.6</x:v>
      </x:c>
      <x:c r="G133" s="23" t="str">
        <x:v>中证1000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8348.786</x:v>
      </x:c>
      <x:c r="E134" s="24" t="n">
        <x:v>8181.417</x:v>
      </x:c>
      <x:c r="F134" s="24" t="n">
        <x:f>ROUND(D134-E134,1)</x:f>
        <x:v>167.4</x:v>
      </x:c>
      <x:c r="G134" s="23" t="str">
        <x:v>中证1000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8521.233</x:v>
      </x:c>
      <x:c r="E135" s="24" t="n">
        <x:v>8269.397</x:v>
      </x:c>
      <x:c r="F135" s="26" t="n">
        <x:f>ROUND(D135-E135,1)</x:f>
        <x:v>251.8</x:v>
      </x:c>
      <x:c r="G135" s="23" t="str">
        <x:v>中证1000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8684.65</x:v>
      </x:c>
      <x:c r="E136" s="24" t="n">
        <x:v>8508.908</x:v>
      </x:c>
      <x:c r="F136" s="24" t="n">
        <x:f>ROUND(D136-E136,1)</x:f>
        <x:v>175.7</x:v>
      </x:c>
      <x:c r="G136" s="23" t="str">
        <x:v>中证1000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8705.403</x:v>
      </x:c>
      <x:c r="E137" s="24" t="n">
        <x:v>8581.65</x:v>
      </x:c>
      <x:c r="F137" s="24" t="n">
        <x:f>ROUND(D137-E137,1)</x:f>
        <x:v>123.8</x:v>
      </x:c>
      <x:c r="G137" s="23" t="str">
        <x:v>中证1000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8796.485</x:v>
      </x:c>
      <x:c r="E138" s="24" t="n">
        <x:v>8664.278</x:v>
      </x:c>
      <x:c r="F138" s="24" t="n">
        <x:f>ROUND(D138-E138,1)</x:f>
        <x:v>132.2</x:v>
      </x:c>
      <x:c r="G138" s="23" t="str">
        <x:v>中证1000</x:v>
      </x:c>
    </x:row>
    <x:row r="139">
      <x:c r="A139" s="29" t="n">
        <x:v>15</x:v>
      </x:c>
      <x:c r="B139" s="29" t="str">
        <x:v>周一</x:v>
      </x:c>
      <x:c r="C139" s="29" t="str">
        <x:v>6月22日</x:v>
      </x:c>
      <x:c r="D139" s="30" t="n">
        <x:v>8865.815</x:v>
      </x:c>
      <x:c r="E139" s="30" t="n">
        <x:v>8609.611</x:v>
      </x:c>
      <x:c r="F139" s="26" t="n">
        <x:f>ROUND(D139-E139,1)</x:f>
        <x:v>256.2</x:v>
      </x:c>
      <x:c r="G139" s="29" t="str">
        <x:v>中证1000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8862.719</x:v>
      </x:c>
      <x:c r="E140" s="24" t="n">
        <x:v>8626.101</x:v>
      </x:c>
      <x:c r="F140" s="26" t="n">
        <x:f>ROUND(D140-E140,1)</x:f>
        <x:v>236.6</x:v>
      </x:c>
      <x:c r="G140" s="23" t="str">
        <x:v>中证1000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8803.501</x:v>
      </x:c>
      <x:c r="E141" s="24" t="n">
        <x:v>8581.751</x:v>
      </x:c>
      <x:c r="F141" s="26" t="n">
        <x:f>ROUND(D141-E141,1)</x:f>
        <x:v>221.8</x:v>
      </x:c>
      <x:c r="G141" s="23" t="str">
        <x:v>中证1000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8872.123</x:v>
      </x:c>
      <x:c r="E142" s="24" t="n">
        <x:v>8743.249</x:v>
      </x:c>
      <x:c r="F142" s="24" t="n">
        <x:f>ROUND(D142-E142,1)</x:f>
        <x:v>128.9</x:v>
      </x:c>
      <x:c r="G142" s="23" t="str">
        <x:v>中证1000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8797.282</x:v>
      </x:c>
      <x:c r="E143" s="24" t="n">
        <x:v>8563.695</x:v>
      </x:c>
      <x:c r="F143" s="26" t="n">
        <x:f>ROUND(D143-E143,1)</x:f>
        <x:v>233.6</x:v>
      </x:c>
      <x:c r="G143" s="23" t="str">
        <x:v>中证1000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8677.63</x:v>
      </x:c>
      <x:c r="E144" s="24" t="n">
        <x:v>8413.864</x:v>
      </x:c>
      <x:c r="F144" s="26" t="n">
        <x:f>ROUND(D144-E144,1)</x:f>
        <x:v>263.8</x:v>
      </x:c>
      <x:c r="G144" s="23" t="str">
        <x:v>中证1000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8815.108</x:v>
      </x:c>
      <x:c r="E145" s="24" t="n">
        <x:v>8547.312</x:v>
      </x:c>
      <x:c r="F145" s="26" t="n">
        <x:f>ROUND(D145-E145,1)</x:f>
        <x:v>267.8</x:v>
      </x:c>
      <x:c r="G145" s="23" t="str">
        <x:v>中证1000</x:v>
      </x:c>
    </x:row>
    <x:row r="146">
      <x:c r="A146" s="33" t="str">
        <x:v>合计</x:v>
      </x:c>
      <x:c r="B146" s="32" t="n">
        <x:v>21</x:v>
      </x:c>
      <x:c r="C146" s="32"/>
      <x:c r="D146" s="32"/>
      <x:c r="E146" s="32"/>
      <x:c r="F146" s="34" t="n">
        <x:f>ROUND(SUM(F125:F145),1)</x:f>
        <x:v>4169.2</x:v>
      </x:c>
      <x:c r="G146" s="32"/>
    </x:row>
    <x:row r="147">
      <x:c r="A147" s="33" t="str">
        <x:v>均值</x:v>
      </x:c>
      <x:c r="B147" s="32"/>
      <x:c r="C147" s="32"/>
      <x:c r="D147" s="32"/>
      <x:c r="E147" s="32"/>
      <x:c r="F147" s="36" t="n">
        <x:f>ROUND(IFERROR(AVERAGE(F125:F145),0),1)</x:f>
        <x:v>198.5</x:v>
      </x:c>
      <x:c r="G147" s="32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高点</x:v>
      </x:c>
      <x:c r="E150" s="20" t="str">
        <x:v>低点</x:v>
      </x:c>
      <x:c r="F150" s="20" t="str">
        <x:v>振幅</x:v>
      </x:c>
      <x:c r="G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8944.195</x:v>
      </x:c>
      <x:c r="E151" s="24" t="n">
        <x:v>8806.646</x:v>
      </x:c>
      <x:c r="F151" s="24" t="n">
        <x:f>ROUND(D151-E151,1)</x:f>
        <x:v>137.5</x:v>
      </x:c>
      <x:c r="G151" s="23" t="str">
        <x:v>中证1000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8865.966</x:v>
      </x:c>
      <x:c r="E152" s="24" t="n">
        <x:v>8598.869</x:v>
      </x:c>
      <x:c r="F152" s="26" t="n">
        <x:f>ROUND(D152-E152,1)</x:f>
        <x:v>267.1</x:v>
      </x:c>
      <x:c r="G152" s="23" t="str">
        <x:v>中证1000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8740.668</x:v>
      </x:c>
      <x:c r="E153" s="24" t="n">
        <x:v>8559.285</x:v>
      </x:c>
      <x:c r="F153" s="26" t="n">
        <x:f>ROUND(D153-E153,1)</x:f>
        <x:v>181.4</x:v>
      </x:c>
      <x:c r="G153" s="23" t="str">
        <x:v>中证1000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8694.805</x:v>
      </x:c>
      <x:c r="E154" s="24" t="n">
        <x:v>8432.897</x:v>
      </x:c>
      <x:c r="F154" s="26" t="n">
        <x:f>ROUND(D154-E154,1)</x:f>
        <x:v>261.9</x:v>
      </x:c>
      <x:c r="G154" s="23" t="str">
        <x:v>中证1000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8489.476</x:v>
      </x:c>
      <x:c r="E155" s="24" t="n">
        <x:v>8261.398</x:v>
      </x:c>
      <x:c r="F155" s="26" t="n">
        <x:f>ROUND(D155-E155,1)</x:f>
        <x:v>228.1</x:v>
      </x:c>
      <x:c r="G155" s="23" t="str">
        <x:v>中证1000</x:v>
      </x:c>
    </x:row>
    <x:row r="156">
      <x:c r="A156" s="33" t="str">
        <x:v>合计</x:v>
      </x:c>
      <x:c r="B156" s="32" t="n">
        <x:v>5</x:v>
      </x:c>
      <x:c r="C156" s="32"/>
      <x:c r="D156" s="32"/>
      <x:c r="E156" s="32"/>
      <x:c r="F156" s="34" t="n">
        <x:f>ROUND(SUM(F151:F155),1)</x:f>
        <x:v>1076</x:v>
      </x:c>
      <x:c r="G156" s="32"/>
    </x:row>
    <x:row r="157">
      <x:c r="A157" s="33" t="str">
        <x:v>均值</x:v>
      </x:c>
      <x:c r="B157" s="32"/>
      <x:c r="C157" s="32"/>
      <x:c r="D157" s="32"/>
      <x:c r="E157" s="32"/>
      <x:c r="F157" s="36" t="n">
        <x:f>ROUND(IFERROR(AVERAGE(F151:F155),0),1)</x:f>
        <x:v>215.2</x:v>
      </x:c>
      <x:c r="G157" s="32"/>
    </x:row>
  </x:sheetData>
  <x:mergeCells>
    <x:mergeCell ref="A1:G1"/>
    <x:mergeCell ref="A3:G3"/>
    <x:mergeCell ref="A28:G28"/>
    <x:mergeCell ref="A47:G47"/>
    <x:mergeCell ref="A74:G74"/>
    <x:mergeCell ref="A100:G100"/>
    <x:mergeCell ref="A123:G123"/>
    <x:mergeCell ref="A149:G14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高点</x:v>
      </x:c>
      <x:c r="E4" s="20" t="str">
        <x:v>低点</x:v>
      </x:c>
      <x:c r="F4" s="20" t="str">
        <x:v>振幅</x:v>
      </x:c>
      <x:c r="G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7651.238</x:v>
      </x:c>
      <x:c r="E5" s="24" t="n">
        <x:v>7523.248</x:v>
      </x:c>
      <x:c r="F5" s="24" t="n">
        <x:f>ROUND(D5-E5,1)</x:f>
        <x:v>128</x:v>
      </x:c>
      <x:c r="G5" s="23" t="str">
        <x:v>中证500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7814.651</x:v>
      </x:c>
      <x:c r="E6" s="24" t="n">
        <x:v>7663.662</x:v>
      </x:c>
      <x:c r="F6" s="24" t="n">
        <x:f>ROUND(D6-E6,1)</x:f>
        <x:v>151</x:v>
      </x:c>
      <x:c r="G6" s="23" t="str">
        <x:v>中证500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7909.656</x:v>
      </x:c>
      <x:c r="E7" s="24" t="n">
        <x:v>7828.394</x:v>
      </x:c>
      <x:c r="F7" s="24" t="n">
        <x:f>ROUND(D7-E7,1)</x:f>
        <x:v>81.3</x:v>
      </x:c>
      <x:c r="G7" s="23" t="str">
        <x:v>中证500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7938.595</x:v>
      </x:c>
      <x:c r="E8" s="24" t="n">
        <x:v>7849.068</x:v>
      </x:c>
      <x:c r="F8" s="24" t="n">
        <x:f>ROUND(D8-E8,1)</x:f>
        <x:v>89.5</x:v>
      </x:c>
      <x:c r="G8" s="23" t="str">
        <x:v>中证500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8064.758</x:v>
      </x:c>
      <x:c r="E9" s="24" t="n">
        <x:v>7907.849</x:v>
      </x:c>
      <x:c r="F9" s="24" t="n">
        <x:f>ROUND(D9-E9,1)</x:f>
        <x:v>156.9</x:v>
      </x:c>
      <x:c r="G9" s="23" t="str">
        <x:v>中证500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8261.354</x:v>
      </x:c>
      <x:c r="E10" s="24" t="n">
        <x:v>8103.238</x:v>
      </x:c>
      <x:c r="F10" s="24" t="n">
        <x:f>ROUND(D10-E10,1)</x:f>
        <x:v>158.1</x:v>
      </x:c>
      <x:c r="G10" s="23" t="str">
        <x:v>中证500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8270.422</x:v>
      </x:c>
      <x:c r="E11" s="24" t="n">
        <x:v>8106.61</x:v>
      </x:c>
      <x:c r="F11" s="26" t="n">
        <x:f>ROUND(D11-E11,1)</x:f>
        <x:v>163.8</x:v>
      </x:c>
      <x:c r="G11" s="23" t="str">
        <x:v>中证500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8368.222</x:v>
      </x:c>
      <x:c r="E12" s="24" t="n">
        <x:v>8123.405</x:v>
      </x:c>
      <x:c r="F12" s="26" t="n">
        <x:f>ROUND(D12-E12,1)</x:f>
        <x:v>244.8</x:v>
      </x:c>
      <x:c r="G12" s="23" t="str">
        <x:v>中证500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8249.031</x:v>
      </x:c>
      <x:c r="E13" s="24" t="n">
        <x:v>8148.788</x:v>
      </x:c>
      <x:c r="F13" s="24" t="n">
        <x:f>ROUND(D13-E13,1)</x:f>
        <x:v>100.2</x:v>
      </x:c>
      <x:c r="G13" s="23" t="str">
        <x:v>中证500</x:v>
      </x:c>
    </x:row>
    <x:row r="14">
      <x:c r="A14" s="29" t="n">
        <x:v>10</x:v>
      </x:c>
      <x:c r="B14" s="29" t="str">
        <x:v>周五</x:v>
      </x:c>
      <x:c r="C14" s="29" t="str">
        <x:v>1月16日</x:v>
      </x:c>
      <x:c r="D14" s="30" t="n">
        <x:v>8292.741</x:v>
      </x:c>
      <x:c r="E14" s="30" t="n">
        <x:v>8204.525</x:v>
      </x:c>
      <x:c r="F14" s="30" t="n">
        <x:f>ROUND(D14-E14,1)</x:f>
        <x:v>88.2</x:v>
      </x:c>
      <x:c r="G14" s="29" t="str">
        <x:v>中证500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8318.37</x:v>
      </x:c>
      <x:c r="E15" s="24" t="n">
        <x:v>8195.089</x:v>
      </x:c>
      <x:c r="F15" s="24" t="n">
        <x:f>ROUND(D15-E15,1)</x:f>
        <x:v>123.3</x:v>
      </x:c>
      <x:c r="G15" s="23" t="str">
        <x:v>中证500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8342.874</x:v>
      </x:c>
      <x:c r="E16" s="24" t="n">
        <x:v>8142.142</x:v>
      </x:c>
      <x:c r="F16" s="26" t="n">
        <x:f>ROUND(D16-E16,1)</x:f>
        <x:v>200.7</x:v>
      </x:c>
      <x:c r="G16" s="23" t="str">
        <x:v>中证500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8351.455</x:v>
      </x:c>
      <x:c r="E17" s="24" t="n">
        <x:v>8196.557</x:v>
      </x:c>
      <x:c r="F17" s="24" t="n">
        <x:f>ROUND(D17-E17,1)</x:f>
        <x:v>154.9</x:v>
      </x:c>
      <x:c r="G17" s="23" t="str">
        <x:v>中证500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8396.133</x:v>
      </x:c>
      <x:c r="E18" s="24" t="n">
        <x:v>8337.195</x:v>
      </x:c>
      <x:c r="F18" s="24" t="n">
        <x:f>ROUND(D18-E18,1)</x:f>
        <x:v>58.9</x:v>
      </x:c>
      <x:c r="G18" s="23" t="str">
        <x:v>中证500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8590.166</x:v>
      </x:c>
      <x:c r="E19" s="24" t="n">
        <x:v>8417.752</x:v>
      </x:c>
      <x:c r="F19" s="26" t="n">
        <x:f>ROUND(D19-E19,1)</x:f>
        <x:v>172.4</x:v>
      </x:c>
      <x:c r="G19" s="23" t="str">
        <x:v>中证500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8671.346</x:v>
      </x:c>
      <x:c r="E20" s="24" t="n">
        <x:v>8453.476</x:v>
      </x:c>
      <x:c r="F20" s="26" t="n">
        <x:f>ROUND(D20-E20,1)</x:f>
        <x:v>217.9</x:v>
      </x:c>
      <x:c r="G20" s="23" t="str">
        <x:v>中证500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8581.105</x:v>
      </x:c>
      <x:c r="E21" s="24" t="n">
        <x:v>8368.175</x:v>
      </x:c>
      <x:c r="F21" s="26" t="n">
        <x:f>ROUND(D21-E21,1)</x:f>
        <x:v>212.9</x:v>
      </x:c>
      <x:c r="G21" s="23" t="str">
        <x:v>中证500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8633.147</x:v>
      </x:c>
      <x:c r="E22" s="24" t="n">
        <x:v>8526.534</x:v>
      </x:c>
      <x:c r="F22" s="24" t="n">
        <x:f>ROUND(D22-E22,1)</x:f>
        <x:v>106.6</x:v>
      </x:c>
      <x:c r="G22" s="23" t="str">
        <x:v>中证500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8658.945</x:v>
      </x:c>
      <x:c r="E23" s="24" t="n">
        <x:v>8503.095</x:v>
      </x:c>
      <x:c r="F23" s="24" t="n">
        <x:f>ROUND(D23-E23,1)</x:f>
        <x:v>155.9</x:v>
      </x:c>
      <x:c r="G23" s="23" t="str">
        <x:v>中证500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8496.337</x:v>
      </x:c>
      <x:c r="E24" s="24" t="n">
        <x:v>8194.584</x:v>
      </x:c>
      <x:c r="F24" s="26" t="n">
        <x:f>ROUND(D24-E24,1)</x:f>
        <x:v>301.8</x:v>
      </x:c>
      <x:c r="G24" s="23" t="str">
        <x:v>中证500</x:v>
      </x:c>
    </x:row>
    <x:row r="25">
      <x:c r="A25" s="33" t="str">
        <x:v>合计</x:v>
      </x:c>
      <x:c r="B25" s="32" t="n">
        <x:v>20</x:v>
      </x:c>
      <x:c r="C25" s="32"/>
      <x:c r="D25" s="32"/>
      <x:c r="E25" s="32"/>
      <x:c r="F25" s="34" t="n">
        <x:f>ROUND(SUM(F5:F24),1)</x:f>
        <x:v>3067.1</x:v>
      </x:c>
      <x:c r="G25" s="32"/>
    </x:row>
    <x:row r="26">
      <x:c r="A26" s="33" t="str">
        <x:v>均值</x:v>
      </x:c>
      <x:c r="B26" s="32"/>
      <x:c r="C26" s="32"/>
      <x:c r="D26" s="32"/>
      <x:c r="E26" s="32"/>
      <x:c r="F26" s="36" t="n">
        <x:f>ROUND(IFERROR(AVERAGE(F5:F24),0),1)</x:f>
        <x:v>153.4</x:v>
      </x:c>
      <x:c r="G26" s="32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高点</x:v>
      </x:c>
      <x:c r="E29" s="20" t="str">
        <x:v>低点</x:v>
      </x:c>
      <x:c r="F29" s="20" t="str">
        <x:v>振幅</x:v>
      </x:c>
      <x:c r="G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8324.434</x:v>
      </x:c>
      <x:c r="E30" s="24" t="n">
        <x:v>8032.35</x:v>
      </x:c>
      <x:c r="F30" s="26" t="n">
        <x:f>ROUND(D30-E30,1)</x:f>
        <x:v>292.1</x:v>
      </x:c>
      <x:c r="G30" s="23" t="str">
        <x:v>中证500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8286.701</x:v>
      </x:c>
      <x:c r="E31" s="24" t="n">
        <x:v>8075.374</x:v>
      </x:c>
      <x:c r="F31" s="26" t="n">
        <x:f>ROUND(D31-E31,1)</x:f>
        <x:v>211.3</x:v>
      </x:c>
      <x:c r="G31" s="23" t="str">
        <x:v>中证500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8309.858</x:v>
      </x:c>
      <x:c r="E32" s="24" t="n">
        <x:v>8179.352</x:v>
      </x:c>
      <x:c r="F32" s="24" t="n">
        <x:f>ROUND(D32-E32,1)</x:f>
        <x:v>130.5</x:v>
      </x:c>
      <x:c r="G32" s="23" t="str">
        <x:v>中证500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8224.785</x:v>
      </x:c>
      <x:c r="E33" s="24" t="n">
        <x:v>8081.428</x:v>
      </x:c>
      <x:c r="F33" s="24" t="n">
        <x:f>ROUND(D33-E33,1)</x:f>
        <x:v>143.4</x:v>
      </x:c>
      <x:c r="G33" s="23" t="str">
        <x:v>中证500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8247.297</x:v>
      </x:c>
      <x:c r="E34" s="24" t="n">
        <x:v>8014.66</x:v>
      </x:c>
      <x:c r="F34" s="26" t="n">
        <x:f>ROUND(D34-E34,1)</x:f>
        <x:v>232.6</x:v>
      </x:c>
      <x:c r="G34" s="23" t="str">
        <x:v>中证500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8313.469</x:v>
      </x:c>
      <x:c r="E35" s="24" t="n">
        <x:v>8229.003</x:v>
      </x:c>
      <x:c r="F35" s="24" t="n">
        <x:f>ROUND(D35-E35,1)</x:f>
        <x:v>84.5</x:v>
      </x:c>
      <x:c r="G35" s="23" t="str">
        <x:v>中证500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8331.986</x:v>
      </x:c>
      <x:c r="E36" s="24" t="n">
        <x:v>8258.152</x:v>
      </x:c>
      <x:c r="F36" s="24" t="n">
        <x:f>ROUND(D36-E36,1)</x:f>
        <x:v>73.8</x:v>
      </x:c>
      <x:c r="G36" s="23" t="str">
        <x:v>中证500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8373.503</x:v>
      </x:c>
      <x:c r="E37" s="24" t="n">
        <x:v>8295.122</x:v>
      </x:c>
      <x:c r="F37" s="24" t="n">
        <x:f>ROUND(D37-E37,1)</x:f>
        <x:v>78.4</x:v>
      </x:c>
      <x:c r="G37" s="23" t="str">
        <x:v>中证500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8437.42</x:v>
      </x:c>
      <x:c r="E38" s="24" t="n">
        <x:v>8341.771</x:v>
      </x:c>
      <x:c r="F38" s="24" t="n">
        <x:f>ROUND(D38-E38,1)</x:f>
        <x:v>95.6</x:v>
      </x:c>
      <x:c r="G38" s="23" t="str">
        <x:v>中证500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8419.762</x:v>
      </x:c>
      <x:c r="E39" s="24" t="n">
        <x:v>8290.839</x:v>
      </x:c>
      <x:c r="F39" s="24" t="n">
        <x:f>ROUND(D39-E39,1)</x:f>
        <x:v>128.9</x:v>
      </x:c>
      <x:c r="G39" s="23" t="str">
        <x:v>中证500</x:v>
      </x:c>
    </x:row>
    <x:row r="40">
      <x:c r="A40" s="29" t="n">
        <x:v>11</x:v>
      </x:c>
      <x:c r="B40" s="29" t="str">
        <x:v>周二</x:v>
      </x:c>
      <x:c r="C40" s="29" t="str">
        <x:v>2月24日</x:v>
      </x:c>
      <x:c r="D40" s="30" t="n">
        <x:v>8444.128</x:v>
      </x:c>
      <x:c r="E40" s="30" t="n">
        <x:v>8328.568</x:v>
      </x:c>
      <x:c r="F40" s="30" t="n">
        <x:f>ROUND(D40-E40,1)</x:f>
        <x:v>115.6</x:v>
      </x:c>
      <x:c r="G40" s="29" t="str">
        <x:v>中证500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8551.535</x:v>
      </x:c>
      <x:c r="E41" s="24" t="n">
        <x:v>8401.597</x:v>
      </x:c>
      <x:c r="F41" s="24" t="n">
        <x:f>ROUND(D41-E41,1)</x:f>
        <x:v>149.9</x:v>
      </x:c>
      <x:c r="G41" s="23" t="str">
        <x:v>中证500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8582.763</x:v>
      </x:c>
      <x:c r="E42" s="24" t="n">
        <x:v>8490.922</x:v>
      </x:c>
      <x:c r="F42" s="24" t="n">
        <x:f>ROUND(D42-E42,1)</x:f>
        <x:v>91.8</x:v>
      </x:c>
      <x:c r="G42" s="23" t="str">
        <x:v>中证500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8658.45</x:v>
      </x:c>
      <x:c r="E43" s="24" t="n">
        <x:v>8499.796</x:v>
      </x:c>
      <x:c r="F43" s="24" t="n">
        <x:f>ROUND(D43-E43,1)</x:f>
        <x:v>158.7</x:v>
      </x:c>
      <x:c r="G43" s="23" t="str">
        <x:v>中证500</x:v>
      </x:c>
    </x:row>
    <x:row r="44">
      <x:c r="A44" s="33" t="str">
        <x:v>合计</x:v>
      </x:c>
      <x:c r="B44" s="32" t="n">
        <x:v>14</x:v>
      </x:c>
      <x:c r="C44" s="32"/>
      <x:c r="D44" s="32"/>
      <x:c r="E44" s="32"/>
      <x:c r="F44" s="34" t="n">
        <x:f>ROUND(SUM(F30:F43),1)</x:f>
        <x:v>1987.1</x:v>
      </x:c>
      <x:c r="G44" s="32"/>
    </x:row>
    <x:row r="45">
      <x:c r="A45" s="33" t="str">
        <x:v>均值</x:v>
      </x:c>
      <x:c r="B45" s="32"/>
      <x:c r="C45" s="32"/>
      <x:c r="D45" s="32"/>
      <x:c r="E45" s="32"/>
      <x:c r="F45" s="36" t="n">
        <x:f>ROUND(IFERROR(AVERAGE(F30:F43),0),1)</x:f>
        <x:v>141.9</x:v>
      </x:c>
      <x:c r="G45" s="32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高点</x:v>
      </x:c>
      <x:c r="E48" s="20" t="str">
        <x:v>低点</x:v>
      </x:c>
      <x:c r="F48" s="20" t="str">
        <x:v>振幅</x:v>
      </x:c>
      <x:c r="G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8683.982</x:v>
      </x:c>
      <x:c r="E49" s="24" t="n">
        <x:v>8551.46</x:v>
      </x:c>
      <x:c r="F49" s="24" t="n">
        <x:f>ROUND(D49-E49,1)</x:f>
        <x:v>132.5</x:v>
      </x:c>
      <x:c r="G49" s="23" t="str">
        <x:v>中证500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8654.568</x:v>
      </x:c>
      <x:c r="E50" s="24" t="n">
        <x:v>8267.109</x:v>
      </x:c>
      <x:c r="F50" s="26" t="n">
        <x:f>ROUND(D50-E50,1)</x:f>
        <x:v>387.5</x:v>
      </x:c>
      <x:c r="G50" s="23" t="str">
        <x:v>中证500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8377.174</x:v>
      </x:c>
      <x:c r="E51" s="24" t="n">
        <x:v>8167.981</x:v>
      </x:c>
      <x:c r="F51" s="26" t="n">
        <x:f>ROUND(D51-E51,1)</x:f>
        <x:v>209.2</x:v>
      </x:c>
      <x:c r="G51" s="23" t="str">
        <x:v>中证500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8391.037</x:v>
      </x:c>
      <x:c r="E52" s="24" t="n">
        <x:v>8251.106</x:v>
      </x:c>
      <x:c r="F52" s="24" t="n">
        <x:f>ROUND(D52-E52,1)</x:f>
        <x:v>139.9</x:v>
      </x:c>
      <x:c r="G52" s="23" t="str">
        <x:v>中证500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8394.334</x:v>
      </x:c>
      <x:c r="E53" s="24" t="n">
        <x:v>8258.645</x:v>
      </x:c>
      <x:c r="F53" s="24" t="n">
        <x:f>ROUND(D53-E53,1)</x:f>
        <x:v>135.7</x:v>
      </x:c>
      <x:c r="G53" s="23" t="str">
        <x:v>中证500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8305.925</x:v>
      </x:c>
      <x:c r="E54" s="24" t="n">
        <x:v>8066.141</x:v>
      </x:c>
      <x:c r="F54" s="26" t="n">
        <x:f>ROUND(D54-E54,1)</x:f>
        <x:v>239.8</x:v>
      </x:c>
      <x:c r="G54" s="23" t="str">
        <x:v>中证500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8412.933</x:v>
      </x:c>
      <x:c r="E55" s="24" t="n">
        <x:v>8330.935</x:v>
      </x:c>
      <x:c r="F55" s="24" t="n">
        <x:f>ROUND(D55-E55,1)</x:f>
        <x:v>82</x:v>
      </x:c>
      <x:c r="G55" s="23" t="str">
        <x:v>中证500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8439.619</x:v>
      </x:c>
      <x:c r="E56" s="24" t="n">
        <x:v>8379.033</x:v>
      </x:c>
      <x:c r="F56" s="24" t="n">
        <x:f>ROUND(D56-E56,1)</x:f>
        <x:v>60.6</x:v>
      </x:c>
      <x:c r="G56" s="23" t="str">
        <x:v>中证500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8433.037</x:v>
      </x:c>
      <x:c r="E57" s="24" t="n">
        <x:v>8290.588</x:v>
      </x:c>
      <x:c r="F57" s="24" t="n">
        <x:f>ROUND(D57-E57,1)</x:f>
        <x:v>142.4</x:v>
      </x:c>
      <x:c r="G57" s="23" t="str">
        <x:v>中证500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8371.716</x:v>
      </x:c>
      <x:c r="E58" s="24" t="n">
        <x:v>8217.969</x:v>
      </x:c>
      <x:c r="F58" s="24" t="n">
        <x:f>ROUND(D58-E58,1)</x:f>
        <x:v>153.7</x:v>
      </x:c>
      <x:c r="G58" s="23" t="str">
        <x:v>中证500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8233.655</x:v>
      </x:c>
      <x:c r="E59" s="24" t="n">
        <x:v>8060.782</x:v>
      </x:c>
      <x:c r="F59" s="26" t="n">
        <x:f>ROUND(D59-E59,1)</x:f>
        <x:v>172.9</x:v>
      </x:c>
      <x:c r="G59" s="23" t="str">
        <x:v>中证500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8207.461</x:v>
      </x:c>
      <x:c r="E60" s="24" t="n">
        <x:v>8016.002</x:v>
      </x:c>
      <x:c r="F60" s="26" t="n">
        <x:f>ROUND(D60-E60,1)</x:f>
        <x:v>191.5</x:v>
      </x:c>
      <x:c r="G60" s="23" t="str">
        <x:v>中证500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8105.955</x:v>
      </x:c>
      <x:c r="E61" s="24" t="n">
        <x:v>7958.45</x:v>
      </x:c>
      <x:c r="F61" s="24" t="n">
        <x:f>ROUND(D61-E61,1)</x:f>
        <x:v>147.5</x:v>
      </x:c>
      <x:c r="G61" s="23" t="str">
        <x:v>中证500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8000.43</x:v>
      </x:c>
      <x:c r="E62" s="24" t="n">
        <x:v>7844.152</x:v>
      </x:c>
      <x:c r="F62" s="24" t="n">
        <x:f>ROUND(D62-E62,1)</x:f>
        <x:v>156.3</x:v>
      </x:c>
      <x:c r="G62" s="23" t="str">
        <x:v>中证500</x:v>
      </x:c>
    </x:row>
    <x:row r="63">
      <x:c r="A63" s="29" t="n">
        <x:v>15</x:v>
      </x:c>
      <x:c r="B63" s="29" t="str">
        <x:v>周五</x:v>
      </x:c>
      <x:c r="C63" s="29" t="str">
        <x:v>3月20日</x:v>
      </x:c>
      <x:c r="D63" s="30" t="n">
        <x:v>7941.586</x:v>
      </x:c>
      <x:c r="E63" s="30" t="n">
        <x:v>7757.833</x:v>
      </x:c>
      <x:c r="F63" s="26" t="n">
        <x:f>ROUND(D63-E63,1)</x:f>
        <x:v>183.8</x:v>
      </x:c>
      <x:c r="G63" s="29" t="str">
        <x:v>中证500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7708.43</x:v>
      </x:c>
      <x:c r="E64" s="24" t="n">
        <x:v>7399.042</x:v>
      </x:c>
      <x:c r="F64" s="26" t="n">
        <x:f>ROUND(D64-E64,1)</x:f>
        <x:v>309.4</x:v>
      </x:c>
      <x:c r="G64" s="23" t="str">
        <x:v>中证500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7597.373</x:v>
      </x:c>
      <x:c r="E65" s="24" t="n">
        <x:v>7379.861</x:v>
      </x:c>
      <x:c r="F65" s="26" t="n">
        <x:f>ROUND(D65-E65,1)</x:f>
        <x:v>217.5</x:v>
      </x:c>
      <x:c r="G65" s="23" t="str">
        <x:v>中证500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7806.911</x:v>
      </x:c>
      <x:c r="E66" s="24" t="n">
        <x:v>7660.401</x:v>
      </x:c>
      <x:c r="F66" s="24" t="n">
        <x:f>ROUND(D66-E66,1)</x:f>
        <x:v>146.5</x:v>
      </x:c>
      <x:c r="G66" s="23" t="str">
        <x:v>中证500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7777.29</x:v>
      </x:c>
      <x:c r="E67" s="24" t="n">
        <x:v>7620.777</x:v>
      </x:c>
      <x:c r="F67" s="24" t="n">
        <x:f>ROUND(D67-E67,1)</x:f>
        <x:v>156.5</x:v>
      </x:c>
      <x:c r="G67" s="23" t="str">
        <x:v>中证500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7785.378</x:v>
      </x:c>
      <x:c r="E68" s="24" t="n">
        <x:v>7539.196</x:v>
      </x:c>
      <x:c r="F68" s="26" t="n">
        <x:f>ROUND(D68-E68,1)</x:f>
        <x:v>246.2</x:v>
      </x:c>
      <x:c r="G68" s="23" t="str">
        <x:v>中证500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7766.111</x:v>
      </x:c>
      <x:c r="E69" s="24" t="n">
        <x:v>7610.549</x:v>
      </x:c>
      <x:c r="F69" s="24" t="n">
        <x:f>ROUND(D69-E69,1)</x:f>
        <x:v>155.6</x:v>
      </x:c>
      <x:c r="G69" s="23" t="str">
        <x:v>中证500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7788.893</x:v>
      </x:c>
      <x:c r="E70" s="24" t="n">
        <x:v>7617.326</x:v>
      </x:c>
      <x:c r="F70" s="26" t="n">
        <x:f>ROUND(D70-E70,1)</x:f>
        <x:v>171.6</x:v>
      </x:c>
      <x:c r="G70" s="23" t="str">
        <x:v>中证500</x:v>
      </x:c>
    </x:row>
    <x:row r="71">
      <x:c r="A71" s="33" t="str">
        <x:v>合计</x:v>
      </x:c>
      <x:c r="B71" s="32" t="n">
        <x:v>22</x:v>
      </x:c>
      <x:c r="C71" s="32"/>
      <x:c r="D71" s="32"/>
      <x:c r="E71" s="32"/>
      <x:c r="F71" s="34" t="n">
        <x:f>ROUND(SUM(F49:F70),1)</x:f>
        <x:v>3938.6</x:v>
      </x:c>
      <x:c r="G71" s="32"/>
    </x:row>
    <x:row r="72">
      <x:c r="A72" s="33" t="str">
        <x:v>均值</x:v>
      </x:c>
      <x:c r="B72" s="32"/>
      <x:c r="C72" s="32"/>
      <x:c r="D72" s="32"/>
      <x:c r="E72" s="32"/>
      <x:c r="F72" s="36" t="n">
        <x:f>ROUND(IFERROR(AVERAGE(F49:F70),0),1)</x:f>
        <x:v>179</x:v>
      </x:c>
      <x:c r="G72" s="32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高点</x:v>
      </x:c>
      <x:c r="E75" s="20" t="str">
        <x:v>低点</x:v>
      </x:c>
      <x:c r="F75" s="20" t="str">
        <x:v>振幅</x:v>
      </x:c>
      <x:c r="G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7778.988</x:v>
      </x:c>
      <x:c r="E76" s="24" t="n">
        <x:v>7689.59</x:v>
      </x:c>
      <x:c r="F76" s="24" t="n">
        <x:f>ROUND(D76-E76,1)</x:f>
        <x:v>89.4</x:v>
      </x:c>
      <x:c r="G76" s="23" t="str">
        <x:v>中证500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7740.095</x:v>
      </x:c>
      <x:c r="E77" s="24" t="n">
        <x:v>7562.21</x:v>
      </x:c>
      <x:c r="F77" s="26" t="n">
        <x:f>ROUND(D77-E77,1)</x:f>
        <x:v>177.9</x:v>
      </x:c>
      <x:c r="G77" s="23" t="str">
        <x:v>中证500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7640.841</x:v>
      </x:c>
      <x:c r="E78" s="24" t="n">
        <x:v>7518.346</x:v>
      </x:c>
      <x:c r="F78" s="24" t="n">
        <x:f>ROUND(D78-E78,1)</x:f>
        <x:v>122.5</x:v>
      </x:c>
      <x:c r="G78" s="23" t="str">
        <x:v>中证500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7630.136</x:v>
      </x:c>
      <x:c r="E79" s="24" t="n">
        <x:v>7529.399</x:v>
      </x:c>
      <x:c r="F79" s="24" t="n">
        <x:f>ROUND(D79-E79,1)</x:f>
        <x:v>100.7</x:v>
      </x:c>
      <x:c r="G79" s="23" t="str">
        <x:v>中证500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7945.153</x:v>
      </x:c>
      <x:c r="E80" s="24" t="n">
        <x:v>7741.635</x:v>
      </x:c>
      <x:c r="F80" s="26" t="n">
        <x:f>ROUND(D80-E80,1)</x:f>
        <x:v>203.5</x:v>
      </x:c>
      <x:c r="G80" s="23" t="str">
        <x:v>中证500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7947.678</x:v>
      </x:c>
      <x:c r="E81" s="24" t="n">
        <x:v>7845.958</x:v>
      </x:c>
      <x:c r="F81" s="24" t="n">
        <x:f>ROUND(D81-E81,1)</x:f>
        <x:v>101.7</x:v>
      </x:c>
      <x:c r="G81" s="23" t="str">
        <x:v>中证500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8070.648</x:v>
      </x:c>
      <x:c r="E82" s="24" t="n">
        <x:v>7953.497</x:v>
      </x:c>
      <x:c r="F82" s="24" t="n">
        <x:f>ROUND(D82-E82,1)</x:f>
        <x:v>117.2</x:v>
      </x:c>
      <x:c r="G82" s="23" t="str">
        <x:v>中证500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7990.981</x:v>
      </x:c>
      <x:c r="E83" s="24" t="n">
        <x:v>7917.919</x:v>
      </x:c>
      <x:c r="F83" s="24" t="n">
        <x:f>ROUND(D83-E83,1)</x:f>
        <x:v>73.1</x:v>
      </x:c>
      <x:c r="G83" s="23" t="str">
        <x:v>中证500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8088.569</x:v>
      </x:c>
      <x:c r="E84" s="24" t="n">
        <x:v>8002.648</x:v>
      </x:c>
      <x:c r="F84" s="24" t="n">
        <x:f>ROUND(D84-E84,1)</x:f>
        <x:v>85.9</x:v>
      </x:c>
      <x:c r="G84" s="23" t="str">
        <x:v>中证500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8150.622</x:v>
      </x:c>
      <x:c r="E85" s="24" t="n">
        <x:v>8020.868</x:v>
      </x:c>
      <x:c r="F85" s="24" t="n">
        <x:f>ROUND(D85-E85,1)</x:f>
        <x:v>129.8</x:v>
      </x:c>
      <x:c r="G85" s="23" t="str">
        <x:v>中证500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8189.175</x:v>
      </x:c>
      <x:c r="E86" s="24" t="n">
        <x:v>8056.781</x:v>
      </x:c>
      <x:c r="F86" s="24" t="n">
        <x:f>ROUND(D86-E86,1)</x:f>
        <x:v>132.4</x:v>
      </x:c>
      <x:c r="G86" s="23" t="str">
        <x:v>中证500</x:v>
      </x:c>
    </x:row>
    <x:row r="87">
      <x:c r="A87" s="29" t="n">
        <x:v>12</x:v>
      </x:c>
      <x:c r="B87" s="29" t="str">
        <x:v>周五</x:v>
      </x:c>
      <x:c r="C87" s="29" t="str">
        <x:v>4月17日</x:v>
      </x:c>
      <x:c r="D87" s="30" t="n">
        <x:v>8230.107</x:v>
      </x:c>
      <x:c r="E87" s="30" t="n">
        <x:v>8149.938</x:v>
      </x:c>
      <x:c r="F87" s="30" t="n">
        <x:f>ROUND(D87-E87,1)</x:f>
        <x:v>80.2</x:v>
      </x:c>
      <x:c r="G87" s="29" t="str">
        <x:v>中证500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8310.944</x:v>
      </x:c>
      <x:c r="E88" s="24" t="n">
        <x:v>8214.263</x:v>
      </x:c>
      <x:c r="F88" s="24" t="n">
        <x:f>ROUND(D88-E88,1)</x:f>
        <x:v>96.7</x:v>
      </x:c>
      <x:c r="G88" s="23" t="str">
        <x:v>中证500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8281.321</x:v>
      </x:c>
      <x:c r="E89" s="24" t="n">
        <x:v>8189.758</x:v>
      </x:c>
      <x:c r="F89" s="24" t="n">
        <x:f>ROUND(D89-E89,1)</x:f>
        <x:v>91.6</x:v>
      </x:c>
      <x:c r="G89" s="23" t="str">
        <x:v>中证500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8377.336</x:v>
      </x:c>
      <x:c r="E90" s="24" t="n">
        <x:v>8226.852</x:v>
      </x:c>
      <x:c r="F90" s="24" t="n">
        <x:f>ROUND(D90-E90,1)</x:f>
        <x:v>150.5</x:v>
      </x:c>
      <x:c r="G90" s="23" t="str">
        <x:v>中证500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8401.499</x:v>
      </x:c>
      <x:c r="E91" s="24" t="n">
        <x:v>8220.953</x:v>
      </x:c>
      <x:c r="F91" s="26" t="n">
        <x:f>ROUND(D91-E91,1)</x:f>
        <x:v>180.5</x:v>
      </x:c>
      <x:c r="G91" s="23" t="str">
        <x:v>中证500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8299.878</x:v>
      </x:c>
      <x:c r="E92" s="24" t="n">
        <x:v>8165.804</x:v>
      </x:c>
      <x:c r="F92" s="24" t="n">
        <x:f>ROUND(D92-E92,1)</x:f>
        <x:v>134.1</x:v>
      </x:c>
      <x:c r="G92" s="23" t="str">
        <x:v>中证500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8326.155</x:v>
      </x:c>
      <x:c r="E93" s="24" t="n">
        <x:v>8219.943</x:v>
      </x:c>
      <x:c r="F93" s="24" t="n">
        <x:f>ROUND(D93-E93,1)</x:f>
        <x:v>106.2</x:v>
      </x:c>
      <x:c r="G93" s="23" t="str">
        <x:v>中证500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8275.328</x:v>
      </x:c>
      <x:c r="E94" s="24" t="n">
        <x:v>8173.445</x:v>
      </x:c>
      <x:c r="F94" s="24" t="n">
        <x:f>ROUND(D94-E94,1)</x:f>
        <x:v>101.9</x:v>
      </x:c>
      <x:c r="G94" s="23" t="str">
        <x:v>中证500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8356.715</x:v>
      </x:c>
      <x:c r="E95" s="24" t="n">
        <x:v>8157.355</x:v>
      </x:c>
      <x:c r="F95" s="26" t="n">
        <x:f>ROUND(D95-E95,1)</x:f>
        <x:v>199.4</x:v>
      </x:c>
      <x:c r="G95" s="23" t="str">
        <x:v>中证500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8375.193</x:v>
      </x:c>
      <x:c r="E96" s="24" t="n">
        <x:v>8300.502</x:v>
      </x:c>
      <x:c r="F96" s="24" t="n">
        <x:f>ROUND(D96-E96,1)</x:f>
        <x:v>74.7</x:v>
      </x:c>
      <x:c r="G96" s="23" t="str">
        <x:v>中证500</x:v>
      </x:c>
    </x:row>
    <x:row r="97">
      <x:c r="A97" s="33" t="str">
        <x:v>合计</x:v>
      </x:c>
      <x:c r="B97" s="32" t="n">
        <x:v>21</x:v>
      </x:c>
      <x:c r="C97" s="32"/>
      <x:c r="D97" s="32"/>
      <x:c r="E97" s="32"/>
      <x:c r="F97" s="34" t="n">
        <x:f>ROUND(SUM(F76:F96),1)</x:f>
        <x:v>2549.9</x:v>
      </x:c>
      <x:c r="G97" s="32"/>
    </x:row>
    <x:row r="98">
      <x:c r="A98" s="33" t="str">
        <x:v>均值</x:v>
      </x:c>
      <x:c r="B98" s="32"/>
      <x:c r="C98" s="32"/>
      <x:c r="D98" s="32"/>
      <x:c r="E98" s="32"/>
      <x:c r="F98" s="36" t="n">
        <x:f>ROUND(IFERROR(AVERAGE(F76:F96),0),1)</x:f>
        <x:v>121.4</x:v>
      </x:c>
      <x:c r="G98" s="32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高点</x:v>
      </x:c>
      <x:c r="E101" s="20" t="str">
        <x:v>低点</x:v>
      </x:c>
      <x:c r="F101" s="20" t="str">
        <x:v>振幅</x:v>
      </x:c>
      <x:c r="G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8621.346</x:v>
      </x:c>
      <x:c r="E102" s="24" t="n">
        <x:v>8441.342</x:v>
      </x:c>
      <x:c r="F102" s="26" t="n">
        <x:f>ROUND(D102-E102,1)</x:f>
        <x:v>180</x:v>
      </x:c>
      <x:c r="G102" s="23" t="str">
        <x:v>中证500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8700.335</x:v>
      </x:c>
      <x:c r="E103" s="24" t="n">
        <x:v>8598.712</x:v>
      </x:c>
      <x:c r="F103" s="24" t="n">
        <x:f>ROUND(D103-E103,1)</x:f>
        <x:v>101.6</x:v>
      </x:c>
      <x:c r="G103" s="23" t="str">
        <x:v>中证500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8706.333</x:v>
      </x:c>
      <x:c r="E104" s="24" t="n">
        <x:v>8616.223</x:v>
      </x:c>
      <x:c r="F104" s="24" t="n">
        <x:f>ROUND(D104-E104,1)</x:f>
        <x:v>90.1</x:v>
      </x:c>
      <x:c r="G104" s="23" t="str">
        <x:v>中证500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8863.769</x:v>
      </x:c>
      <x:c r="E105" s="24" t="n">
        <x:v>8716.452</x:v>
      </x:c>
      <x:c r="F105" s="24" t="n">
        <x:f>ROUND(D105-E105,1)</x:f>
        <x:v>147.3</x:v>
      </x:c>
      <x:c r="G105" s="23" t="str">
        <x:v>中证500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8856.18</x:v>
      </x:c>
      <x:c r="E106" s="24" t="n">
        <x:v>8736.417</x:v>
      </x:c>
      <x:c r="F106" s="24" t="n">
        <x:f>ROUND(D106-E106,1)</x:f>
        <x:v>119.8</x:v>
      </x:c>
      <x:c r="G106" s="23" t="str">
        <x:v>中证500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8925.877</x:v>
      </x:c>
      <x:c r="E107" s="24" t="n">
        <x:v>8730.913</x:v>
      </x:c>
      <x:c r="F107" s="26" t="n">
        <x:f>ROUND(D107-E107,1)</x:f>
        <x:v>195</x:v>
      </x:c>
      <x:c r="G107" s="23" t="str">
        <x:v>中证500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8956.662</x:v>
      </x:c>
      <x:c r="E108" s="24" t="n">
        <x:v>8670.157</x:v>
      </x:c>
      <x:c r="F108" s="26" t="n">
        <x:f>ROUND(D108-E108,1)</x:f>
        <x:v>286.5</x:v>
      </x:c>
      <x:c r="G108" s="23" t="str">
        <x:v>中证500</x:v>
      </x:c>
    </x:row>
    <x:row r="109">
      <x:c r="A109" s="29" t="n">
        <x:v>8</x:v>
      </x:c>
      <x:c r="B109" s="29" t="str">
        <x:v>周五</x:v>
      </x:c>
      <x:c r="C109" s="29" t="str">
        <x:v>5月15日</x:v>
      </x:c>
      <x:c r="D109" s="30" t="n">
        <x:v>8717.092</x:v>
      </x:c>
      <x:c r="E109" s="30" t="n">
        <x:v>8473.042</x:v>
      </x:c>
      <x:c r="F109" s="26" t="n">
        <x:f>ROUND(D109-E109,1)</x:f>
        <x:v>244.1</x:v>
      </x:c>
      <x:c r="G109" s="29" t="str">
        <x:v>中证500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8606.41</x:v>
      </x:c>
      <x:c r="E110" s="24" t="n">
        <x:v>8472.424</x:v>
      </x:c>
      <x:c r="F110" s="24" t="n">
        <x:f>ROUND(D110-E110,1)</x:f>
        <x:v>134</x:v>
      </x:c>
      <x:c r="G110" s="23" t="str">
        <x:v>中证500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8633.061</x:v>
      </x:c>
      <x:c r="E111" s="24" t="n">
        <x:v>8416.515</x:v>
      </x:c>
      <x:c r="F111" s="26" t="n">
        <x:f>ROUND(D111-E111,1)</x:f>
        <x:v>216.5</x:v>
      </x:c>
      <x:c r="G111" s="23" t="str">
        <x:v>中证500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8681.723</x:v>
      </x:c>
      <x:c r="E112" s="24" t="n">
        <x:v>8552.427</x:v>
      </x:c>
      <x:c r="F112" s="24" t="n">
        <x:f>ROUND(D112-E112,1)</x:f>
        <x:v>129.3</x:v>
      </x:c>
      <x:c r="G112" s="23" t="str">
        <x:v>中证500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8790.375</x:v>
      </x:c>
      <x:c r="E113" s="24" t="n">
        <x:v>8406.289</x:v>
      </x:c>
      <x:c r="F113" s="26" t="n">
        <x:f>ROUND(D113-E113,1)</x:f>
        <x:v>384.1</x:v>
      </x:c>
      <x:c r="G113" s="23" t="str">
        <x:v>中证500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8591.155</x:v>
      </x:c>
      <x:c r="E114" s="24" t="n">
        <x:v>8414.94</x:v>
      </x:c>
      <x:c r="F114" s="26" t="n">
        <x:f>ROUND(D114-E114,1)</x:f>
        <x:v>176.2</x:v>
      </x:c>
      <x:c r="G114" s="23" t="str">
        <x:v>中证500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8705.197</x:v>
      </x:c>
      <x:c r="E115" s="24" t="n">
        <x:v>8543.892</x:v>
      </x:c>
      <x:c r="F115" s="26" t="n">
        <x:f>ROUND(D115-E115,1)</x:f>
        <x:v>161.3</x:v>
      </x:c>
      <x:c r="G115" s="23" t="str">
        <x:v>中证500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8673.21</x:v>
      </x:c>
      <x:c r="E116" s="24" t="n">
        <x:v>8529.666</x:v>
      </x:c>
      <x:c r="F116" s="24" t="n">
        <x:f>ROUND(D116-E116,1)</x:f>
        <x:v>143.5</x:v>
      </x:c>
      <x:c r="G116" s="23" t="str">
        <x:v>中证500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8722.581</x:v>
      </x:c>
      <x:c r="E117" s="24" t="n">
        <x:v>8491.316</x:v>
      </x:c>
      <x:c r="F117" s="26" t="n">
        <x:f>ROUND(D117-E117,1)</x:f>
        <x:v>231.3</x:v>
      </x:c>
      <x:c r="G117" s="23" t="str">
        <x:v>中证500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8596.449</x:v>
      </x:c>
      <x:c r="E118" s="24" t="n">
        <x:v>8424.449</x:v>
      </x:c>
      <x:c r="F118" s="26" t="n">
        <x:f>ROUND(D118-E118,1)</x:f>
        <x:v>172</x:v>
      </x:c>
      <x:c r="G118" s="23" t="str">
        <x:v>中证500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8597.984</x:v>
      </x:c>
      <x:c r="E119" s="24" t="n">
        <x:v>8296.241</x:v>
      </x:c>
      <x:c r="F119" s="26" t="n">
        <x:f>ROUND(D119-E119,1)</x:f>
        <x:v>301.7</x:v>
      </x:c>
      <x:c r="G119" s="23" t="str">
        <x:v>中证500</x:v>
      </x:c>
    </x:row>
    <x:row r="120">
      <x:c r="A120" s="33" t="str">
        <x:v>合计</x:v>
      </x:c>
      <x:c r="B120" s="32" t="n">
        <x:v>18</x:v>
      </x:c>
      <x:c r="C120" s="32"/>
      <x:c r="D120" s="32"/>
      <x:c r="E120" s="32"/>
      <x:c r="F120" s="34" t="n">
        <x:f>ROUND(SUM(F102:F119),1)</x:f>
        <x:v>3414.3</x:v>
      </x:c>
      <x:c r="G120" s="32"/>
    </x:row>
    <x:row r="121">
      <x:c r="A121" s="33" t="str">
        <x:v>均值</x:v>
      </x:c>
      <x:c r="B121" s="32"/>
      <x:c r="C121" s="32"/>
      <x:c r="D121" s="32"/>
      <x:c r="E121" s="32"/>
      <x:c r="F121" s="36" t="n">
        <x:f>ROUND(IFERROR(AVERAGE(F102:F119),0),1)</x:f>
        <x:v>189.7</x:v>
      </x:c>
      <x:c r="G121" s="32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高点</x:v>
      </x:c>
      <x:c r="E124" s="20" t="str">
        <x:v>低点</x:v>
      </x:c>
      <x:c r="F124" s="20" t="str">
        <x:v>振幅</x:v>
      </x:c>
      <x:c r="G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8442.532</x:v>
      </x:c>
      <x:c r="E125" s="24" t="n">
        <x:v>8259.6</x:v>
      </x:c>
      <x:c r="F125" s="26" t="n">
        <x:f>ROUND(D125-E125,1)</x:f>
        <x:v>182.9</x:v>
      </x:c>
      <x:c r="G125" s="23" t="str">
        <x:v>中证500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8378.434</x:v>
      </x:c>
      <x:c r="E126" s="24" t="n">
        <x:v>8142.507</x:v>
      </x:c>
      <x:c r="F126" s="26" t="n">
        <x:f>ROUND(D126-E126,1)</x:f>
        <x:v>235.9</x:v>
      </x:c>
      <x:c r="G126" s="23" t="str">
        <x:v>中证500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8462.67</x:v>
      </x:c>
      <x:c r="E127" s="24" t="n">
        <x:v>8294.288</x:v>
      </x:c>
      <x:c r="F127" s="26" t="n">
        <x:f>ROUND(D127-E127,1)</x:f>
        <x:v>168.4</x:v>
      </x:c>
      <x:c r="G127" s="23" t="str">
        <x:v>中证500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8391.052</x:v>
      </x:c>
      <x:c r="E128" s="24" t="n">
        <x:v>8279.863</x:v>
      </x:c>
      <x:c r="F128" s="24" t="n">
        <x:f>ROUND(D128-E128,1)</x:f>
        <x:v>111.2</x:v>
      </x:c>
      <x:c r="G128" s="23" t="str">
        <x:v>中证500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8399.408</x:v>
      </x:c>
      <x:c r="E129" s="24" t="n">
        <x:v>8218.142</x:v>
      </x:c>
      <x:c r="F129" s="26" t="n">
        <x:f>ROUND(D129-E129,1)</x:f>
        <x:v>181.3</x:v>
      </x:c>
      <x:c r="G129" s="23" t="str">
        <x:v>中证500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8142.335</x:v>
      </x:c>
      <x:c r="E130" s="24" t="n">
        <x:v>7889.399</x:v>
      </x:c>
      <x:c r="F130" s="26" t="n">
        <x:f>ROUND(D130-E130,1)</x:f>
        <x:v>252.9</x:v>
      </x:c>
      <x:c r="G130" s="23" t="str">
        <x:v>中证500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8181.128</x:v>
      </x:c>
      <x:c r="E131" s="24" t="n">
        <x:v>7965.485</x:v>
      </x:c>
      <x:c r="F131" s="26" t="n">
        <x:f>ROUND(D131-E131,1)</x:f>
        <x:v>215.6</x:v>
      </x:c>
      <x:c r="G131" s="23" t="str">
        <x:v>中证500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8148.255</x:v>
      </x:c>
      <x:c r="E132" s="24" t="n">
        <x:v>7973.547</x:v>
      </x:c>
      <x:c r="F132" s="26" t="n">
        <x:f>ROUND(D132-E132,1)</x:f>
        <x:v>174.7</x:v>
      </x:c>
      <x:c r="G132" s="23" t="str">
        <x:v>中证500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8091.683</x:v>
      </x:c>
      <x:c r="E133" s="24" t="n">
        <x:v>7965.023</x:v>
      </x:c>
      <x:c r="F133" s="24" t="n">
        <x:f>ROUND(D133-E133,1)</x:f>
        <x:v>126.7</x:v>
      </x:c>
      <x:c r="G133" s="23" t="str">
        <x:v>中证500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8258.908</x:v>
      </x:c>
      <x:c r="E134" s="24" t="n">
        <x:v>8098.781</x:v>
      </x:c>
      <x:c r="F134" s="26" t="n">
        <x:f>ROUND(D134-E134,1)</x:f>
        <x:v>160.1</x:v>
      </x:c>
      <x:c r="G134" s="23" t="str">
        <x:v>中证500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8406.779</x:v>
      </x:c>
      <x:c r="E135" s="24" t="n">
        <x:v>8174.591</x:v>
      </x:c>
      <x:c r="F135" s="26" t="n">
        <x:f>ROUND(D135-E135,1)</x:f>
        <x:v>232.2</x:v>
      </x:c>
      <x:c r="G135" s="23" t="str">
        <x:v>中证500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8538.194</x:v>
      </x:c>
      <x:c r="E136" s="24" t="n">
        <x:v>8413.508</x:v>
      </x:c>
      <x:c r="F136" s="24" t="n">
        <x:f>ROUND(D136-E136,1)</x:f>
        <x:v>124.7</x:v>
      </x:c>
      <x:c r="G136" s="23" t="str">
        <x:v>中证500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8630.516</x:v>
      </x:c>
      <x:c r="E137" s="24" t="n">
        <x:v>8451.633</x:v>
      </x:c>
      <x:c r="F137" s="26" t="n">
        <x:f>ROUND(D137-E137,1)</x:f>
        <x:v>178.9</x:v>
      </x:c>
      <x:c r="G137" s="23" t="str">
        <x:v>中证500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8716.342</x:v>
      </x:c>
      <x:c r="E138" s="24" t="n">
        <x:v>8587.982</x:v>
      </x:c>
      <x:c r="F138" s="24" t="n">
        <x:f>ROUND(D138-E138,1)</x:f>
        <x:v>128.4</x:v>
      </x:c>
      <x:c r="G138" s="23" t="str">
        <x:v>中证500</x:v>
      </x:c>
    </x:row>
    <x:row r="139">
      <x:c r="A139" s="29" t="n">
        <x:v>15</x:v>
      </x:c>
      <x:c r="B139" s="29" t="str">
        <x:v>周一</x:v>
      </x:c>
      <x:c r="C139" s="29" t="str">
        <x:v>6月22日</x:v>
      </x:c>
      <x:c r="D139" s="30" t="n">
        <x:v>8870.485</x:v>
      </x:c>
      <x:c r="E139" s="30" t="n">
        <x:v>8605.223</x:v>
      </x:c>
      <x:c r="F139" s="26" t="n">
        <x:f>ROUND(D139-E139,1)</x:f>
        <x:v>265.3</x:v>
      </x:c>
      <x:c r="G139" s="29" t="str">
        <x:v>中证500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8895.34</x:v>
      </x:c>
      <x:c r="E140" s="24" t="n">
        <x:v>8629.011</x:v>
      </x:c>
      <x:c r="F140" s="26" t="n">
        <x:f>ROUND(D140-E140,1)</x:f>
        <x:v>266.3</x:v>
      </x:c>
      <x:c r="G140" s="23" t="str">
        <x:v>中证500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8850.791</x:v>
      </x:c>
      <x:c r="E141" s="24" t="n">
        <x:v>8613.085</x:v>
      </x:c>
      <x:c r="F141" s="26" t="n">
        <x:f>ROUND(D141-E141,1)</x:f>
        <x:v>237.7</x:v>
      </x:c>
      <x:c r="G141" s="23" t="str">
        <x:v>中证500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8940.959</x:v>
      </x:c>
      <x:c r="E142" s="24" t="n">
        <x:v>8803.596</x:v>
      </x:c>
      <x:c r="F142" s="24" t="n">
        <x:f>ROUND(D142-E142,1)</x:f>
        <x:v>137.4</x:v>
      </x:c>
      <x:c r="G142" s="23" t="str">
        <x:v>中证500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8926.751</x:v>
      </x:c>
      <x:c r="E143" s="24" t="n">
        <x:v>8647.768</x:v>
      </x:c>
      <x:c r="F143" s="26" t="n">
        <x:f>ROUND(D143-E143,1)</x:f>
        <x:v>279</x:v>
      </x:c>
      <x:c r="G143" s="23" t="str">
        <x:v>中证500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8837.031</x:v>
      </x:c>
      <x:c r="E144" s="24" t="n">
        <x:v>8587.882</x:v>
      </x:c>
      <x:c r="F144" s="26" t="n">
        <x:f>ROUND(D144-E144,1)</x:f>
        <x:v>249.1</x:v>
      </x:c>
      <x:c r="G144" s="23" t="str">
        <x:v>中证500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9040.132</x:v>
      </x:c>
      <x:c r="E145" s="24" t="n">
        <x:v>8771.655</x:v>
      </x:c>
      <x:c r="F145" s="26" t="n">
        <x:f>ROUND(D145-E145,1)</x:f>
        <x:v>268.5</x:v>
      </x:c>
      <x:c r="G145" s="23" t="str">
        <x:v>中证500</x:v>
      </x:c>
    </x:row>
    <x:row r="146">
      <x:c r="A146" s="33" t="str">
        <x:v>合计</x:v>
      </x:c>
      <x:c r="B146" s="32" t="n">
        <x:v>21</x:v>
      </x:c>
      <x:c r="C146" s="32"/>
      <x:c r="D146" s="32"/>
      <x:c r="E146" s="32"/>
      <x:c r="F146" s="34" t="n">
        <x:f>ROUND(SUM(F125:F145),1)</x:f>
        <x:v>4177.2</x:v>
      </x:c>
      <x:c r="G146" s="32"/>
    </x:row>
    <x:row r="147">
      <x:c r="A147" s="33" t="str">
        <x:v>均值</x:v>
      </x:c>
      <x:c r="B147" s="32"/>
      <x:c r="C147" s="32"/>
      <x:c r="D147" s="32"/>
      <x:c r="E147" s="32"/>
      <x:c r="F147" s="36" t="n">
        <x:f>ROUND(IFERROR(AVERAGE(F125:F145),0),1)</x:f>
        <x:v>198.9</x:v>
      </x:c>
      <x:c r="G147" s="32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高点</x:v>
      </x:c>
      <x:c r="E150" s="20" t="str">
        <x:v>低点</x:v>
      </x:c>
      <x:c r="F150" s="20" t="str">
        <x:v>振幅</x:v>
      </x:c>
      <x:c r="G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9147.559</x:v>
      </x:c>
      <x:c r="E151" s="24" t="n">
        <x:v>8956.185</x:v>
      </x:c>
      <x:c r="F151" s="26" t="n">
        <x:f>ROUND(D151-E151,1)</x:f>
        <x:v>191.4</x:v>
      </x:c>
      <x:c r="G151" s="23" t="str">
        <x:v>中证500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8932.647</x:v>
      </x:c>
      <x:c r="E152" s="24" t="n">
        <x:v>8667.419</x:v>
      </x:c>
      <x:c r="F152" s="26" t="n">
        <x:f>ROUND(D152-E152,1)</x:f>
        <x:v>265.2</x:v>
      </x:c>
      <x:c r="G152" s="23" t="str">
        <x:v>中证500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8860.416</x:v>
      </x:c>
      <x:c r="E153" s="24" t="n">
        <x:v>8636.15</x:v>
      </x:c>
      <x:c r="F153" s="26" t="n">
        <x:f>ROUND(D153-E153,1)</x:f>
        <x:v>224.3</x:v>
      </x:c>
      <x:c r="G153" s="23" t="str">
        <x:v>中证500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8823.05</x:v>
      </x:c>
      <x:c r="E154" s="24" t="n">
        <x:v>8570.892</x:v>
      </x:c>
      <x:c r="F154" s="26" t="n">
        <x:f>ROUND(D154-E154,1)</x:f>
        <x:v>252.2</x:v>
      </x:c>
      <x:c r="G154" s="23" t="str">
        <x:v>中证500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8663.665</x:v>
      </x:c>
      <x:c r="E155" s="24" t="n">
        <x:v>8457.576</x:v>
      </x:c>
      <x:c r="F155" s="26" t="n">
        <x:f>ROUND(D155-E155,1)</x:f>
        <x:v>206.1</x:v>
      </x:c>
      <x:c r="G155" s="23" t="str">
        <x:v>中证500</x:v>
      </x:c>
    </x:row>
    <x:row r="156">
      <x:c r="A156" s="33" t="str">
        <x:v>合计</x:v>
      </x:c>
      <x:c r="B156" s="32" t="n">
        <x:v>5</x:v>
      </x:c>
      <x:c r="C156" s="32"/>
      <x:c r="D156" s="32"/>
      <x:c r="E156" s="32"/>
      <x:c r="F156" s="34" t="n">
        <x:f>ROUND(SUM(F151:F155),1)</x:f>
        <x:v>1139.2</x:v>
      </x:c>
      <x:c r="G156" s="32"/>
    </x:row>
    <x:row r="157">
      <x:c r="A157" s="33" t="str">
        <x:v>均值</x:v>
      </x:c>
      <x:c r="B157" s="32"/>
      <x:c r="C157" s="32"/>
      <x:c r="D157" s="32"/>
      <x:c r="E157" s="32"/>
      <x:c r="F157" s="36" t="n">
        <x:f>ROUND(IFERROR(AVERAGE(F151:F155),0),1)</x:f>
        <x:v>227.8</x:v>
      </x:c>
      <x:c r="G157" s="32"/>
    </x:row>
  </x:sheetData>
  <x:mergeCells>
    <x:mergeCell ref="A1:G1"/>
    <x:mergeCell ref="A3:G3"/>
    <x:mergeCell ref="A28:G28"/>
    <x:mergeCell ref="A47:G47"/>
    <x:mergeCell ref="A74:G74"/>
    <x:mergeCell ref="A100:G100"/>
    <x:mergeCell ref="A123:G123"/>
    <x:mergeCell ref="A149:G14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高点</x:v>
      </x:c>
      <x:c r="E4" s="20" t="str">
        <x:v>低点</x:v>
      </x:c>
      <x:c r="F4" s="20" t="str">
        <x:v>振幅</x:v>
      </x:c>
      <x:c r="G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4025.263</x:v>
      </x:c>
      <x:c r="E5" s="24" t="n">
        <x:v>3983.576</x:v>
      </x:c>
      <x:c r="F5" s="24" t="n">
        <x:f>ROUND(D5-E5,1)</x:f>
        <x:v>41.7</x:v>
      </x:c>
      <x:c r="G5" s="23" t="str">
        <x:v>上证指数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4083.667</x:v>
      </x:c>
      <x:c r="E6" s="24" t="n">
        <x:v>4025.088</x:v>
      </x:c>
      <x:c r="F6" s="26" t="n">
        <x:f>ROUND(D6-E6,1)</x:f>
        <x:v>58.6</x:v>
      </x:c>
      <x:c r="G6" s="23" t="str">
        <x:v>上证指数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4098.777</x:v>
      </x:c>
      <x:c r="E7" s="24" t="n">
        <x:v>4069.436</x:v>
      </x:c>
      <x:c r="F7" s="24" t="n">
        <x:f>ROUND(D7-E7,1)</x:f>
        <x:v>29.3</x:v>
      </x:c>
      <x:c r="G7" s="23" t="str">
        <x:v>上证指数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4093.872</x:v>
      </x:c>
      <x:c r="E8" s="24" t="n">
        <x:v>4067.122</x:v>
      </x:c>
      <x:c r="F8" s="24" t="n">
        <x:f>ROUND(D8-E8,1)</x:f>
        <x:v>26.8</x:v>
      </x:c>
      <x:c r="G8" s="23" t="str">
        <x:v>上证指数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4121.723</x:v>
      </x:c>
      <x:c r="E9" s="24" t="n">
        <x:v>4083.616</x:v>
      </x:c>
      <x:c r="F9" s="24" t="n">
        <x:f>ROUND(D9-E9,1)</x:f>
        <x:v>38.1</x:v>
      </x:c>
      <x:c r="G9" s="23" t="str">
        <x:v>上证指数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4168.357</x:v>
      </x:c>
      <x:c r="E10" s="24" t="n">
        <x:v>4119.879</x:v>
      </x:c>
      <x:c r="F10" s="24" t="n">
        <x:f>ROUND(D10-E10,1)</x:f>
        <x:v>48.5</x:v>
      </x:c>
      <x:c r="G10" s="23" t="str">
        <x:v>上证指数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4179.702</x:v>
      </x:c>
      <x:c r="E11" s="24" t="n">
        <x:v>4126.234</x:v>
      </x:c>
      <x:c r="F11" s="26" t="n">
        <x:f>ROUND(D11-E11,1)</x:f>
        <x:v>53.5</x:v>
      </x:c>
      <x:c r="G11" s="23" t="str">
        <x:v>上证指数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4190.866</x:v>
      </x:c>
      <x:c r="E12" s="24" t="n">
        <x:v>4103.621</x:v>
      </x:c>
      <x:c r="F12" s="26" t="n">
        <x:f>ROUND(D12-E12,1)</x:f>
        <x:v>87.2</x:v>
      </x:c>
      <x:c r="G12" s="23" t="str">
        <x:v>上证指数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4133.073</x:v>
      </x:c>
      <x:c r="E13" s="24" t="n">
        <x:v>4096.85</x:v>
      </x:c>
      <x:c r="F13" s="24" t="n">
        <x:f>ROUND(D13-E13,1)</x:f>
        <x:v>36.2</x:v>
      </x:c>
      <x:c r="G13" s="23" t="str">
        <x:v>上证指数</x:v>
      </x:c>
    </x:row>
    <x:row r="14">
      <x:c r="A14" s="29" t="n">
        <x:v>10</x:v>
      </x:c>
      <x:c r="B14" s="29" t="str">
        <x:v>周五</x:v>
      </x:c>
      <x:c r="C14" s="29" t="str">
        <x:v>1月16日</x:v>
      </x:c>
      <x:c r="D14" s="30" t="n">
        <x:v>4140.225</x:v>
      </x:c>
      <x:c r="E14" s="30" t="n">
        <x:v>4091.811</x:v>
      </x:c>
      <x:c r="F14" s="30" t="n">
        <x:f>ROUND(D14-E14,1)</x:f>
        <x:v>48.4</x:v>
      </x:c>
      <x:c r="G14" s="29" t="str">
        <x:v>上证指数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4126.518</x:v>
      </x:c>
      <x:c r="E15" s="24" t="n">
        <x:v>4090.057</x:v>
      </x:c>
      <x:c r="F15" s="24" t="n">
        <x:f>ROUND(D15-E15,1)</x:f>
        <x:v>36.5</x:v>
      </x:c>
      <x:c r="G15" s="23" t="str">
        <x:v>上证指数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4128.93</x:v>
      </x:c>
      <x:c r="E16" s="24" t="n">
        <x:v>4080.294</x:v>
      </x:c>
      <x:c r="F16" s="24" t="n">
        <x:f>ROUND(D16-E16,1)</x:f>
        <x:v>48.6</x:v>
      </x:c>
      <x:c r="G16" s="23" t="str">
        <x:v>上证指数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4135.959</x:v>
      </x:c>
      <x:c r="E17" s="24" t="n">
        <x:v>4103.529</x:v>
      </x:c>
      <x:c r="F17" s="24" t="n">
        <x:f>ROUND(D17-E17,1)</x:f>
        <x:v>32.4</x:v>
      </x:c>
      <x:c r="G17" s="23" t="str">
        <x:v>上证指数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4140.838</x:v>
      </x:c>
      <x:c r="E18" s="24" t="n">
        <x:v>4109.923</x:v>
      </x:c>
      <x:c r="F18" s="24" t="n">
        <x:f>ROUND(D18-E18,1)</x:f>
        <x:v>30.9</x:v>
      </x:c>
      <x:c r="G18" s="23" t="str">
        <x:v>上证指数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4143.75</x:v>
      </x:c>
      <x:c r="E19" s="24" t="n">
        <x:v>4120.204</x:v>
      </x:c>
      <x:c r="F19" s="24" t="n">
        <x:f>ROUND(D19-E19,1)</x:f>
        <x:v>23.5</x:v>
      </x:c>
      <x:c r="G19" s="23" t="str">
        <x:v>上证指数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4160.985</x:v>
      </x:c>
      <x:c r="E20" s="24" t="n">
        <x:v>4124.7</x:v>
      </x:c>
      <x:c r="F20" s="24" t="n">
        <x:f>ROUND(D20-E20,1)</x:f>
        <x:v>36.3</x:v>
      </x:c>
      <x:c r="G20" s="23" t="str">
        <x:v>上证指数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4158.802</x:v>
      </x:c>
      <x:c r="E21" s="24" t="n">
        <x:v>4101.83</x:v>
      </x:c>
      <x:c r="F21" s="26" t="n">
        <x:f>ROUND(D21-E21,1)</x:f>
        <x:v>57</x:v>
      </x:c>
      <x:c r="G21" s="23" t="str">
        <x:v>上证指数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4170.147</x:v>
      </x:c>
      <x:c r="E22" s="24" t="n">
        <x:v>4138.019</x:v>
      </x:c>
      <x:c r="F22" s="24" t="n">
        <x:f>ROUND(D22-E22,1)</x:f>
        <x:v>32.1</x:v>
      </x:c>
      <x:c r="G22" s="23" t="str">
        <x:v>上证指数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4170.214</x:v>
      </x:c>
      <x:c r="E23" s="24" t="n">
        <x:v>4138.299</x:v>
      </x:c>
      <x:c r="F23" s="24" t="n">
        <x:f>ROUND(D23-E23,1)</x:f>
        <x:v>31.9</x:v>
      </x:c>
      <x:c r="G23" s="23" t="str">
        <x:v>上证指数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4152.85</x:v>
      </x:c>
      <x:c r="E24" s="24" t="n">
        <x:v>4064.777</x:v>
      </x:c>
      <x:c r="F24" s="26" t="n">
        <x:f>ROUND(D24-E24,1)</x:f>
        <x:v>88.1</x:v>
      </x:c>
      <x:c r="G24" s="23" t="str">
        <x:v>上证指数</x:v>
      </x:c>
    </x:row>
    <x:row r="25">
      <x:c r="A25" s="33" t="str">
        <x:v>合计</x:v>
      </x:c>
      <x:c r="B25" s="32" t="n">
        <x:v>20</x:v>
      </x:c>
      <x:c r="C25" s="32"/>
      <x:c r="D25" s="32"/>
      <x:c r="E25" s="32"/>
      <x:c r="F25" s="34" t="n">
        <x:f>ROUND(SUM(F5:F24),1)</x:f>
        <x:v>885.6</x:v>
      </x:c>
      <x:c r="G25" s="32"/>
    </x:row>
    <x:row r="26">
      <x:c r="A26" s="33" t="str">
        <x:v>均值</x:v>
      </x:c>
      <x:c r="B26" s="32"/>
      <x:c r="C26" s="32"/>
      <x:c r="D26" s="32"/>
      <x:c r="E26" s="32"/>
      <x:c r="F26" s="36" t="n">
        <x:f>ROUND(IFERROR(AVERAGE(F5:F24),0),1)</x:f>
        <x:v>44.3</x:v>
      </x:c>
      <x:c r="G26" s="32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高点</x:v>
      </x:c>
      <x:c r="E29" s="20" t="str">
        <x:v>低点</x:v>
      </x:c>
      <x:c r="F29" s="20" t="str">
        <x:v>振幅</x:v>
      </x:c>
      <x:c r="G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4103.407</x:v>
      </x:c>
      <x:c r="E30" s="24" t="n">
        <x:v>4013.656</x:v>
      </x:c>
      <x:c r="F30" s="26" t="n">
        <x:f>ROUND(D30-E30,1)</x:f>
        <x:v>89.8</x:v>
      </x:c>
      <x:c r="G30" s="23" t="str">
        <x:v>上证指数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4069.418</x:v>
      </x:c>
      <x:c r="E31" s="24" t="n">
        <x:v>4002.782</x:v>
      </x:c>
      <x:c r="F31" s="26" t="n">
        <x:f>ROUND(D31-E31,1)</x:f>
        <x:v>66.6</x:v>
      </x:c>
      <x:c r="G31" s="23" t="str">
        <x:v>上证指数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4104.621</x:v>
      </x:c>
      <x:c r="E32" s="24" t="n">
        <x:v>4062.683</x:v>
      </x:c>
      <x:c r="F32" s="24" t="n">
        <x:f>ROUND(D32-E32,1)</x:f>
        <x:v>41.9</x:v>
      </x:c>
      <x:c r="G32" s="23" t="str">
        <x:v>上证指数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4088.904</x:v>
      </x:c>
      <x:c r="E33" s="24" t="n">
        <x:v>4048.939</x:v>
      </x:c>
      <x:c r="F33" s="24" t="n">
        <x:f>ROUND(D33-E33,1)</x:f>
        <x:v>40</x:v>
      </x:c>
      <x:c r="G33" s="23" t="str">
        <x:v>上证指数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4095.03</x:v>
      </x:c>
      <x:c r="E34" s="24" t="n">
        <x:v>4029.973</x:v>
      </x:c>
      <x:c r="F34" s="26" t="n">
        <x:f>ROUND(D34-E34,1)</x:f>
        <x:v>65.1</x:v>
      </x:c>
      <x:c r="G34" s="23" t="str">
        <x:v>上证指数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4123.159</x:v>
      </x:c>
      <x:c r="E35" s="24" t="n">
        <x:v>4093.056</x:v>
      </x:c>
      <x:c r="F35" s="24" t="n">
        <x:f>ROUND(D35-E35,1)</x:f>
        <x:v>30.1</x:v>
      </x:c>
      <x:c r="G35" s="23" t="str">
        <x:v>上证指数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4134.338</x:v>
      </x:c>
      <x:c r="E36" s="24" t="n">
        <x:v>4117.564</x:v>
      </x:c>
      <x:c r="F36" s="24" t="n">
        <x:f>ROUND(D36-E36,1)</x:f>
        <x:v>16.8</x:v>
      </x:c>
      <x:c r="G36" s="23" t="str">
        <x:v>上证指数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4142.561</x:v>
      </x:c>
      <x:c r="E37" s="24" t="n">
        <x:v>4122.428</x:v>
      </x:c>
      <x:c r="F37" s="24" t="n">
        <x:f>ROUND(D37-E37,1)</x:f>
        <x:v>20.1</x:v>
      </x:c>
      <x:c r="G37" s="23" t="str">
        <x:v>上证指数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4140.593</x:v>
      </x:c>
      <x:c r="E38" s="24" t="n">
        <x:v>4124.131</x:v>
      </x:c>
      <x:c r="F38" s="24" t="n">
        <x:f>ROUND(D38-E38,1)</x:f>
        <x:v>16.5</x:v>
      </x:c>
      <x:c r="G38" s="23" t="str">
        <x:v>上证指数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4123.844</x:v>
      </x:c>
      <x:c r="E39" s="24" t="n">
        <x:v>4079.77</x:v>
      </x:c>
      <x:c r="F39" s="24" t="n">
        <x:f>ROUND(D39-E39,1)</x:f>
        <x:v>44.1</x:v>
      </x:c>
      <x:c r="G39" s="23" t="str">
        <x:v>上证指数</x:v>
      </x:c>
    </x:row>
    <x:row r="40">
      <x:c r="A40" s="29" t="n">
        <x:v>11</x:v>
      </x:c>
      <x:c r="B40" s="29" t="str">
        <x:v>周二</x:v>
      </x:c>
      <x:c r="C40" s="29" t="str">
        <x:v>2月24日</x:v>
      </x:c>
      <x:c r="D40" s="30" t="n">
        <x:v>4131.55</x:v>
      </x:c>
      <x:c r="E40" s="30" t="n">
        <x:v>4105.937</x:v>
      </x:c>
      <x:c r="F40" s="30" t="n">
        <x:f>ROUND(D40-E40,1)</x:f>
        <x:v>25.6</x:v>
      </x:c>
      <x:c r="G40" s="29" t="str">
        <x:v>上证指数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4167.844</x:v>
      </x:c>
      <x:c r="E41" s="24" t="n">
        <x:v>4122.699</x:v>
      </x:c>
      <x:c r="F41" s="24" t="n">
        <x:f>ROUND(D41-E41,1)</x:f>
        <x:v>45.1</x:v>
      </x:c>
      <x:c r="G41" s="23" t="str">
        <x:v>上证指数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4152.193</x:v>
      </x:c>
      <x:c r="E42" s="24" t="n">
        <x:v>4127.153</x:v>
      </x:c>
      <x:c r="F42" s="24" t="n">
        <x:f>ROUND(D42-E42,1)</x:f>
        <x:v>25</x:v>
      </x:c>
      <x:c r="G42" s="23" t="str">
        <x:v>上证指数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4166.234</x:v>
      </x:c>
      <x:c r="E43" s="24" t="n">
        <x:v>4128.36</x:v>
      </x:c>
      <x:c r="F43" s="24" t="n">
        <x:f>ROUND(D43-E43,1)</x:f>
        <x:v>37.9</x:v>
      </x:c>
      <x:c r="G43" s="23" t="str">
        <x:v>上证指数</x:v>
      </x:c>
    </x:row>
    <x:row r="44">
      <x:c r="A44" s="33" t="str">
        <x:v>合计</x:v>
      </x:c>
      <x:c r="B44" s="32" t="n">
        <x:v>14</x:v>
      </x:c>
      <x:c r="C44" s="32"/>
      <x:c r="D44" s="32"/>
      <x:c r="E44" s="32"/>
      <x:c r="F44" s="34" t="n">
        <x:f>ROUND(SUM(F30:F43),1)</x:f>
        <x:v>564.6</x:v>
      </x:c>
      <x:c r="G44" s="32"/>
    </x:row>
    <x:row r="45">
      <x:c r="A45" s="33" t="str">
        <x:v>均值</x:v>
      </x:c>
      <x:c r="B45" s="32"/>
      <x:c r="C45" s="32"/>
      <x:c r="D45" s="32"/>
      <x:c r="E45" s="32"/>
      <x:c r="F45" s="36" t="n">
        <x:f>ROUND(IFERROR(AVERAGE(F30:F43),0),1)</x:f>
        <x:v>40.3</x:v>
      </x:c>
      <x:c r="G45" s="32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高点</x:v>
      </x:c>
      <x:c r="E48" s="20" t="str">
        <x:v>低点</x:v>
      </x:c>
      <x:c r="F48" s="20" t="str">
        <x:v>振幅</x:v>
      </x:c>
      <x:c r="G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4188.77</x:v>
      </x:c>
      <x:c r="E49" s="24" t="n">
        <x:v>4131.368</x:v>
      </x:c>
      <x:c r="F49" s="26" t="n">
        <x:f>ROUND(D49-E49,1)</x:f>
        <x:v>57.4</x:v>
      </x:c>
      <x:c r="G49" s="23" t="str">
        <x:v>上证指数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4197.228</x:v>
      </x:c>
      <x:c r="E50" s="24" t="n">
        <x:v>4116.011</x:v>
      </x:c>
      <x:c r="F50" s="26" t="n">
        <x:f>ROUND(D50-E50,1)</x:f>
        <x:v>81.2</x:v>
      </x:c>
      <x:c r="G50" s="23" t="str">
        <x:v>上证指数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4106.04</x:v>
      </x:c>
      <x:c r="E51" s="24" t="n">
        <x:v>4055.413</x:v>
      </x:c>
      <x:c r="F51" s="26" t="n">
        <x:f>ROUND(D51-E51,1)</x:f>
        <x:v>50.6</x:v>
      </x:c>
      <x:c r="G51" s="23" t="str">
        <x:v>上证指数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4125.617</x:v>
      </x:c>
      <x:c r="E52" s="24" t="n">
        <x:v>4090.621</x:v>
      </x:c>
      <x:c r="F52" s="24" t="n">
        <x:f>ROUND(D52-E52,1)</x:f>
        <x:v>35</x:v>
      </x:c>
      <x:c r="G52" s="23" t="str">
        <x:v>上证指数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4129.465</x:v>
      </x:c>
      <x:c r="E53" s="24" t="n">
        <x:v>4085.895</x:v>
      </x:c>
      <x:c r="F53" s="24" t="n">
        <x:f>ROUND(D53-E53,1)</x:f>
        <x:v>43.6</x:v>
      </x:c>
      <x:c r="G53" s="23" t="str">
        <x:v>上证指数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4106.534</x:v>
      </x:c>
      <x:c r="E54" s="24" t="n">
        <x:v>4052.545</x:v>
      </x:c>
      <x:c r="F54" s="26" t="n">
        <x:f>ROUND(D54-E54,1)</x:f>
        <x:v>54</x:v>
      </x:c>
      <x:c r="G54" s="23" t="str">
        <x:v>上证指数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4123.958</x:v>
      </x:c>
      <x:c r="E55" s="24" t="n">
        <x:v>4098.587</x:v>
      </x:c>
      <x:c r="F55" s="24" t="n">
        <x:f>ROUND(D55-E55,1)</x:f>
        <x:v>25.4</x:v>
      </x:c>
      <x:c r="G55" s="23" t="str">
        <x:v>上证指数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4135.839</x:v>
      </x:c>
      <x:c r="E56" s="24" t="n">
        <x:v>4112.8</x:v>
      </x:c>
      <x:c r="F56" s="24" t="n">
        <x:f>ROUND(D56-E56,1)</x:f>
        <x:v>23</x:v>
      </x:c>
      <x:c r="G56" s="23" t="str">
        <x:v>上证指数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4141.649</x:v>
      </x:c>
      <x:c r="E57" s="24" t="n">
        <x:v>4103.164</x:v>
      </x:c>
      <x:c r="F57" s="24" t="n">
        <x:f>ROUND(D57-E57,1)</x:f>
        <x:v>38.5</x:v>
      </x:c>
      <x:c r="G57" s="23" t="str">
        <x:v>上证指数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4134.079</x:v>
      </x:c>
      <x:c r="E58" s="24" t="n">
        <x:v>4086.847</x:v>
      </x:c>
      <x:c r="F58" s="24" t="n">
        <x:f>ROUND(D58-E58,1)</x:f>
        <x:v>47.2</x:v>
      </x:c>
      <x:c r="G58" s="23" t="str">
        <x:v>上证指数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4096.133</x:v>
      </x:c>
      <x:c r="E59" s="24" t="n">
        <x:v>4048.087</x:v>
      </x:c>
      <x:c r="F59" s="24" t="n">
        <x:f>ROUND(D59-E59,1)</x:f>
        <x:v>48</x:v>
      </x:c>
      <x:c r="G59" s="23" t="str">
        <x:v>上证指数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4108.4</x:v>
      </x:c>
      <x:c r="E60" s="24" t="n">
        <x:v>4049.58</x:v>
      </x:c>
      <x:c r="F60" s="26" t="n">
        <x:f>ROUND(D60-E60,1)</x:f>
        <x:v>58.8</x:v>
      </x:c>
      <x:c r="G60" s="23" t="str">
        <x:v>上证指数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4065.373</x:v>
      </x:c>
      <x:c r="E61" s="24" t="n">
        <x:v>4023.03</x:v>
      </x:c>
      <x:c r="F61" s="24" t="n">
        <x:f>ROUND(D61-E61,1)</x:f>
        <x:v>42.3</x:v>
      </x:c>
      <x:c r="G61" s="23" t="str">
        <x:v>上证指数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4042.022</x:v>
      </x:c>
      <x:c r="E62" s="24" t="n">
        <x:v>3994.165</x:v>
      </x:c>
      <x:c r="F62" s="24" t="n">
        <x:f>ROUND(D62-E62,1)</x:f>
        <x:v>47.9</x:v>
      </x:c>
      <x:c r="G62" s="23" t="str">
        <x:v>上证指数</x:v>
      </x:c>
    </x:row>
    <x:row r="63">
      <x:c r="A63" s="29" t="n">
        <x:v>15</x:v>
      </x:c>
      <x:c r="B63" s="29" t="str">
        <x:v>周五</x:v>
      </x:c>
      <x:c r="C63" s="29" t="str">
        <x:v>3月20日</x:v>
      </x:c>
      <x:c r="D63" s="30" t="n">
        <x:v>4022.703</x:v>
      </x:c>
      <x:c r="E63" s="30" t="n">
        <x:v>3955.711</x:v>
      </x:c>
      <x:c r="F63" s="26" t="n">
        <x:f>ROUND(D63-E63,1)</x:f>
        <x:v>67</x:v>
      </x:c>
      <x:c r="G63" s="29" t="str">
        <x:v>上证指数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3906.622</x:v>
      </x:c>
      <x:c r="E64" s="24" t="n">
        <x:v>3794.684</x:v>
      </x:c>
      <x:c r="F64" s="26" t="n">
        <x:f>ROUND(D64-E64,1)</x:f>
        <x:v>111.9</x:v>
      </x:c>
      <x:c r="G64" s="23" t="str">
        <x:v>上证指数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3881.424</x:v>
      </x:c>
      <x:c r="E65" s="24" t="n">
        <x:v>3807.994</x:v>
      </x:c>
      <x:c r="F65" s="26" t="n">
        <x:f>ROUND(D65-E65,1)</x:f>
        <x:v>73.4</x:v>
      </x:c>
      <x:c r="G65" s="23" t="str">
        <x:v>上证指数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3933.061</x:v>
      </x:c>
      <x:c r="E66" s="24" t="n">
        <x:v>3891.816</x:v>
      </x:c>
      <x:c r="F66" s="24" t="n">
        <x:f>ROUND(D66-E66,1)</x:f>
        <x:v>41.2</x:v>
      </x:c>
      <x:c r="G66" s="23" t="str">
        <x:v>上证指数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3937.104</x:v>
      </x:c>
      <x:c r="E67" s="24" t="n">
        <x:v>3880.573</x:v>
      </x:c>
      <x:c r="F67" s="26" t="n">
        <x:f>ROUND(D67-E67,1)</x:f>
        <x:v>56.5</x:v>
      </x:c>
      <x:c r="G67" s="23" t="str">
        <x:v>上证指数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3924.108</x:v>
      </x:c>
      <x:c r="E68" s="24" t="n">
        <x:v>3852.094</x:v>
      </x:c>
      <x:c r="F68" s="26" t="n">
        <x:f>ROUND(D68-E68,1)</x:f>
        <x:v>72</x:v>
      </x:c>
      <x:c r="G68" s="23" t="str">
        <x:v>上证指数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3924.289</x:v>
      </x:c>
      <x:c r="E69" s="24" t="n">
        <x:v>3872.776</x:v>
      </x:c>
      <x:c r="F69" s="26" t="n">
        <x:f>ROUND(D69-E69,1)</x:f>
        <x:v>51.5</x:v>
      </x:c>
      <x:c r="G69" s="23" t="str">
        <x:v>上证指数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3948.811</x:v>
      </x:c>
      <x:c r="E70" s="24" t="n">
        <x:v>3891.861</x:v>
      </x:c>
      <x:c r="F70" s="26" t="n">
        <x:f>ROUND(D70-E70,1)</x:f>
        <x:v>57</x:v>
      </x:c>
      <x:c r="G70" s="23" t="str">
        <x:v>上证指数</x:v>
      </x:c>
    </x:row>
    <x:row r="71">
      <x:c r="A71" s="33" t="str">
        <x:v>合计</x:v>
      </x:c>
      <x:c r="B71" s="32" t="n">
        <x:v>22</x:v>
      </x:c>
      <x:c r="C71" s="32"/>
      <x:c r="D71" s="32"/>
      <x:c r="E71" s="32"/>
      <x:c r="F71" s="34" t="n">
        <x:f>ROUND(SUM(F49:F70),1)</x:f>
        <x:v>1183.4</x:v>
      </x:c>
      <x:c r="G71" s="32"/>
    </x:row>
    <x:row r="72">
      <x:c r="A72" s="33" t="str">
        <x:v>均值</x:v>
      </x:c>
      <x:c r="B72" s="32"/>
      <x:c r="C72" s="32"/>
      <x:c r="D72" s="32"/>
      <x:c r="E72" s="32"/>
      <x:c r="F72" s="36" t="n">
        <x:f>ROUND(IFERROR(AVERAGE(F49:F70),0),1)</x:f>
        <x:v>53.8</x:v>
      </x:c>
      <x:c r="G72" s="32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高点</x:v>
      </x:c>
      <x:c r="E75" s="20" t="str">
        <x:v>低点</x:v>
      </x:c>
      <x:c r="F75" s="20" t="str">
        <x:v>振幅</x:v>
      </x:c>
      <x:c r="G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3955.943</x:v>
      </x:c>
      <x:c r="E76" s="24" t="n">
        <x:v>3929.921</x:v>
      </x:c>
      <x:c r="F76" s="24" t="n">
        <x:f>ROUND(D76-E76,1)</x:f>
        <x:v>26</x:v>
      </x:c>
      <x:c r="G76" s="23" t="str">
        <x:v>上证指数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3952.576</x:v>
      </x:c>
      <x:c r="E77" s="24" t="n">
        <x:v>3900.116</x:v>
      </x:c>
      <x:c r="F77" s="26" t="n">
        <x:f>ROUND(D77-E77,1)</x:f>
        <x:v>52.5</x:v>
      </x:c>
      <x:c r="G77" s="23" t="str">
        <x:v>上证指数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3929.529</x:v>
      </x:c>
      <x:c r="E78" s="24" t="n">
        <x:v>3871.3</x:v>
      </x:c>
      <x:c r="F78" s="26" t="n">
        <x:f>ROUND(D78-E78,1)</x:f>
        <x:v>58.2</x:v>
      </x:c>
      <x:c r="G78" s="23" t="str">
        <x:v>上证指数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3902.607</x:v>
      </x:c>
      <x:c r="E79" s="24" t="n">
        <x:v>3875.684</x:v>
      </x:c>
      <x:c r="F79" s="24" t="n">
        <x:f>ROUND(D79-E79,1)</x:f>
        <x:v>26.9</x:v>
      </x:c>
      <x:c r="G79" s="23" t="str">
        <x:v>上证指数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3994.998</x:v>
      </x:c>
      <x:c r="E80" s="24" t="n">
        <x:v>3926.249</x:v>
      </x:c>
      <x:c r="F80" s="26" t="n">
        <x:f>ROUND(D80-E80,1)</x:f>
        <x:v>68.7</x:v>
      </x:c>
      <x:c r="G80" s="23" t="str">
        <x:v>上证指数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3979.127</x:v>
      </x:c>
      <x:c r="E81" s="24" t="n">
        <x:v>3955.246</x:v>
      </x:c>
      <x:c r="F81" s="24" t="n">
        <x:f>ROUND(D81-E81,1)</x:f>
        <x:v>23.9</x:v>
      </x:c>
      <x:c r="G81" s="23" t="str">
        <x:v>上证指数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4011.024</x:v>
      </x:c>
      <x:c r="E82" s="24" t="n">
        <x:v>3979.814</x:v>
      </x:c>
      <x:c r="F82" s="24" t="n">
        <x:f>ROUND(D82-E82,1)</x:f>
        <x:v>31.2</x:v>
      </x:c>
      <x:c r="G82" s="23" t="str">
        <x:v>上证指数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3991.262</x:v>
      </x:c>
      <x:c r="E83" s="24" t="n">
        <x:v>3966.198</x:v>
      </x:c>
      <x:c r="F83" s="24" t="n">
        <x:f>ROUND(D83-E83,1)</x:f>
        <x:v>25.1</x:v>
      </x:c>
      <x:c r="G83" s="23" t="str">
        <x:v>上证指数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4026.626</x:v>
      </x:c>
      <x:c r="E84" s="24" t="n">
        <x:v>3992.407</x:v>
      </x:c>
      <x:c r="F84" s="24" t="n">
        <x:f>ROUND(D84-E84,1)</x:f>
        <x:v>34.2</x:v>
      </x:c>
      <x:c r="G84" s="23" t="str">
        <x:v>上证指数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4050.621</x:v>
      </x:c>
      <x:c r="E85" s="24" t="n">
        <x:v>4020.904</x:v>
      </x:c>
      <x:c r="F85" s="24" t="n">
        <x:f>ROUND(D85-E85,1)</x:f>
        <x:v>29.7</x:v>
      </x:c>
      <x:c r="G85" s="23" t="str">
        <x:v>上证指数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4057.831</x:v>
      </x:c>
      <x:c r="E86" s="24" t="n">
        <x:v>4028.909</x:v>
      </x:c>
      <x:c r="F86" s="24" t="n">
        <x:f>ROUND(D86-E86,1)</x:f>
        <x:v>28.9</x:v>
      </x:c>
      <x:c r="G86" s="23" t="str">
        <x:v>上证指数</x:v>
      </x:c>
    </x:row>
    <x:row r="87">
      <x:c r="A87" s="29" t="n">
        <x:v>12</x:v>
      </x:c>
      <x:c r="B87" s="29" t="str">
        <x:v>周五</x:v>
      </x:c>
      <x:c r="C87" s="29" t="str">
        <x:v>4月17日</x:v>
      </x:c>
      <x:c r="D87" s="30" t="n">
        <x:v>4058.604</x:v>
      </x:c>
      <x:c r="E87" s="30" t="n">
        <x:v>4038.429</x:v>
      </x:c>
      <x:c r="F87" s="30" t="n">
        <x:f>ROUND(D87-E87,1)</x:f>
        <x:v>20.2</x:v>
      </x:c>
      <x:c r="G87" s="29" t="str">
        <x:v>上证指数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4083.19</x:v>
      </x:c>
      <x:c r="E88" s="24" t="n">
        <x:v>4051.685</x:v>
      </x:c>
      <x:c r="F88" s="24" t="n">
        <x:f>ROUND(D88-E88,1)</x:f>
        <x:v>31.5</x:v>
      </x:c>
      <x:c r="G88" s="23" t="str">
        <x:v>上证指数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4086.637</x:v>
      </x:c>
      <x:c r="E89" s="24" t="n">
        <x:v>4062.133</x:v>
      </x:c>
      <x:c r="F89" s="24" t="n">
        <x:f>ROUND(D89-E89,1)</x:f>
        <x:v>24.5</x:v>
      </x:c>
      <x:c r="G89" s="23" t="str">
        <x:v>上证指数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4106.844</x:v>
      </x:c>
      <x:c r="E90" s="24" t="n">
        <x:v>4074.68</x:v>
      </x:c>
      <x:c r="F90" s="24" t="n">
        <x:f>ROUND(D90-E90,1)</x:f>
        <x:v>32.2</x:v>
      </x:c>
      <x:c r="G90" s="23" t="str">
        <x:v>上证指数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4114.844</x:v>
      </x:c>
      <x:c r="E91" s="24" t="n">
        <x:v>4070.46</x:v>
      </x:c>
      <x:c r="F91" s="24" t="n">
        <x:f>ROUND(D91-E91,1)</x:f>
        <x:v>44.4</x:v>
      </x:c>
      <x:c r="G91" s="23" t="str">
        <x:v>上证指数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4092.613</x:v>
      </x:c>
      <x:c r="E92" s="24" t="n">
        <x:v>4061.145</x:v>
      </x:c>
      <x:c r="F92" s="24" t="n">
        <x:f>ROUND(D92-E92,1)</x:f>
        <x:v>31.5</x:v>
      </x:c>
      <x:c r="G92" s="23" t="str">
        <x:v>上证指数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4092.831</x:v>
      </x:c>
      <x:c r="E93" s="24" t="n">
        <x:v>4071.08</x:v>
      </x:c>
      <x:c r="F93" s="24" t="n">
        <x:f>ROUND(D93-E93,1)</x:f>
        <x:v>21.8</x:v>
      </x:c>
      <x:c r="G93" s="23" t="str">
        <x:v>上证指数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4090.201</x:v>
      </x:c>
      <x:c r="E94" s="24" t="n">
        <x:v>4062.872</x:v>
      </x:c>
      <x:c r="F94" s="24" t="n">
        <x:f>ROUND(D94-E94,1)</x:f>
        <x:v>27.3</x:v>
      </x:c>
      <x:c r="G94" s="23" t="str">
        <x:v>上证指数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4112.152</x:v>
      </x:c>
      <x:c r="E95" s="24" t="n">
        <x:v>4061.822</x:v>
      </x:c>
      <x:c r="F95" s="26" t="n">
        <x:f>ROUND(D95-E95,1)</x:f>
        <x:v>50.3</x:v>
      </x:c>
      <x:c r="G95" s="23" t="str">
        <x:v>上证指数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4118.755</x:v>
      </x:c>
      <x:c r="E96" s="24" t="n">
        <x:v>4100.966</x:v>
      </x:c>
      <x:c r="F96" s="24" t="n">
        <x:f>ROUND(D96-E96,1)</x:f>
        <x:v>17.8</x:v>
      </x:c>
      <x:c r="G96" s="23" t="str">
        <x:v>上证指数</x:v>
      </x:c>
    </x:row>
    <x:row r="97">
      <x:c r="A97" s="33" t="str">
        <x:v>合计</x:v>
      </x:c>
      <x:c r="B97" s="32" t="n">
        <x:v>21</x:v>
      </x:c>
      <x:c r="C97" s="32"/>
      <x:c r="D97" s="32"/>
      <x:c r="E97" s="32"/>
      <x:c r="F97" s="34" t="n">
        <x:f>ROUND(SUM(F76:F96),1)</x:f>
        <x:v>706.8</x:v>
      </x:c>
      <x:c r="G97" s="32"/>
    </x:row>
    <x:row r="98">
      <x:c r="A98" s="33" t="str">
        <x:v>均值</x:v>
      </x:c>
      <x:c r="B98" s="32"/>
      <x:c r="C98" s="32"/>
      <x:c r="D98" s="32"/>
      <x:c r="E98" s="32"/>
      <x:c r="F98" s="36" t="n">
        <x:f>ROUND(IFERROR(AVERAGE(F76:F96),0),1)</x:f>
        <x:v>33.7</x:v>
      </x:c>
      <x:c r="G98" s="32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高点</x:v>
      </x:c>
      <x:c r="E101" s="20" t="str">
        <x:v>低点</x:v>
      </x:c>
      <x:c r="F101" s="20" t="str">
        <x:v>振幅</x:v>
      </x:c>
      <x:c r="G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4166.147</x:v>
      </x:c>
      <x:c r="E102" s="24" t="n">
        <x:v>4129.911</x:v>
      </x:c>
      <x:c r="F102" s="24" t="n">
        <x:f>ROUND(D102-E102,1)</x:f>
        <x:v>36.2</x:v>
      </x:c>
      <x:c r="G102" s="23" t="str">
        <x:v>上证指数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4180.21</x:v>
      </x:c>
      <x:c r="E103" s="24" t="n">
        <x:v>4163.137</x:v>
      </x:c>
      <x:c r="F103" s="24" t="n">
        <x:f>ROUND(D103-E103,1)</x:f>
        <x:v>17.1</x:v>
      </x:c>
      <x:c r="G103" s="23" t="str">
        <x:v>上证指数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4183.063</x:v>
      </x:c>
      <x:c r="E104" s="24" t="n">
        <x:v>4154.246</x:v>
      </x:c>
      <x:c r="F104" s="24" t="n">
        <x:f>ROUND(D104-E104,1)</x:f>
        <x:v>28.8</x:v>
      </x:c>
      <x:c r="G104" s="23" t="str">
        <x:v>上证指数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4229.58</x:v>
      </x:c>
      <x:c r="E105" s="24" t="n">
        <x:v>4186.082</x:v>
      </x:c>
      <x:c r="F105" s="24" t="n">
        <x:f>ROUND(D105-E105,1)</x:f>
        <x:v>43.5</x:v>
      </x:c>
      <x:c r="G105" s="23" t="str">
        <x:v>上证指数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4230.184</x:v>
      </x:c>
      <x:c r="E106" s="24" t="n">
        <x:v>4199.344</x:v>
      </x:c>
      <x:c r="F106" s="24" t="n">
        <x:f>ROUND(D106-E106,1)</x:f>
        <x:v>30.8</x:v>
      </x:c>
      <x:c r="G106" s="23" t="str">
        <x:v>上证指数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4245.068</x:v>
      </x:c>
      <x:c r="E107" s="24" t="n">
        <x:v>4192.315</x:v>
      </x:c>
      <x:c r="F107" s="26" t="n">
        <x:f>ROUND(D107-E107,1)</x:f>
        <x:v>52.8</x:v>
      </x:c>
      <x:c r="G107" s="23" t="str">
        <x:v>上证指数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4258.863</x:v>
      </x:c>
      <x:c r="E108" s="24" t="n">
        <x:v>4177.918</x:v>
      </x:c>
      <x:c r="F108" s="26" t="n">
        <x:f>ROUND(D108-E108,1)</x:f>
        <x:v>80.9</x:v>
      </x:c>
      <x:c r="G108" s="23" t="str">
        <x:v>上证指数</x:v>
      </x:c>
    </x:row>
    <x:row r="109">
      <x:c r="A109" s="29" t="n">
        <x:v>8</x:v>
      </x:c>
      <x:c r="B109" s="29" t="str">
        <x:v>周五</x:v>
      </x:c>
      <x:c r="C109" s="29" t="str">
        <x:v>5月15日</x:v>
      </x:c>
      <x:c r="D109" s="30" t="n">
        <x:v>4191.807</x:v>
      </x:c>
      <x:c r="E109" s="30" t="n">
        <x:v>4114.086</x:v>
      </x:c>
      <x:c r="F109" s="26" t="n">
        <x:f>ROUND(D109-E109,1)</x:f>
        <x:v>77.7</x:v>
      </x:c>
      <x:c r="G109" s="29" t="str">
        <x:v>上证指数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4145.661</x:v>
      </x:c>
      <x:c r="E110" s="24" t="n">
        <x:v>4108.604</x:v>
      </x:c>
      <x:c r="F110" s="24" t="n">
        <x:f>ROUND(D110-E110,1)</x:f>
        <x:v>37.1</x:v>
      </x:c>
      <x:c r="G110" s="23" t="str">
        <x:v>上证指数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4170.289</x:v>
      </x:c>
      <x:c r="E111" s="24" t="n">
        <x:v>4107.994</x:v>
      </x:c>
      <x:c r="F111" s="26" t="n">
        <x:f>ROUND(D111-E111,1)</x:f>
        <x:v>62.3</x:v>
      </x:c>
      <x:c r="G111" s="23" t="str">
        <x:v>上证指数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4169.847</x:v>
      </x:c>
      <x:c r="E112" s="24" t="n">
        <x:v>4139.974</x:v>
      </x:c>
      <x:c r="F112" s="24" t="n">
        <x:f>ROUND(D112-E112,1)</x:f>
        <x:v>29.9</x:v>
      </x:c>
      <x:c r="G112" s="23" t="str">
        <x:v>上证指数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4199.527</x:v>
      </x:c>
      <x:c r="E113" s="24" t="n">
        <x:v>4074.217</x:v>
      </x:c>
      <x:c r="F113" s="26" t="n">
        <x:f>ROUND(D113-E113,1)</x:f>
        <x:v>125.3</x:v>
      </x:c>
      <x:c r="G113" s="23" t="str">
        <x:v>上证指数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4120.088</x:v>
      </x:c>
      <x:c r="E114" s="24" t="n">
        <x:v>4067.747</x:v>
      </x:c>
      <x:c r="F114" s="26" t="n">
        <x:f>ROUND(D114-E114,1)</x:f>
        <x:v>52.3</x:v>
      </x:c>
      <x:c r="G114" s="23" t="str">
        <x:v>上证指数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4153.879</x:v>
      </x:c>
      <x:c r="E115" s="24" t="n">
        <x:v>4119.8</x:v>
      </x:c>
      <x:c r="F115" s="24" t="n">
        <x:f>ROUND(D115-E115,1)</x:f>
        <x:v>34.1</x:v>
      </x:c>
      <x:c r="G115" s="23" t="str">
        <x:v>上证指数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4150.289</x:v>
      </x:c>
      <x:c r="E116" s="24" t="n">
        <x:v>4104.459</x:v>
      </x:c>
      <x:c r="F116" s="24" t="n">
        <x:f>ROUND(D116-E116,1)</x:f>
        <x:v>45.8</x:v>
      </x:c>
      <x:c r="G116" s="23" t="str">
        <x:v>上证指数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4153.561</x:v>
      </x:c>
      <x:c r="E117" s="24" t="n">
        <x:v>4077.616</x:v>
      </x:c>
      <x:c r="F117" s="26" t="n">
        <x:f>ROUND(D117-E117,1)</x:f>
        <x:v>75.9</x:v>
      </x:c>
      <x:c r="G117" s="23" t="str">
        <x:v>上证指数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4110.782</x:v>
      </x:c>
      <x:c r="E118" s="24" t="n">
        <x:v>4055.828</x:v>
      </x:c>
      <x:c r="F118" s="26" t="n">
        <x:f>ROUND(D118-E118,1)</x:f>
        <x:v>55</x:v>
      </x:c>
      <x:c r="G118" s="23" t="str">
        <x:v>上证指数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4112.955</x:v>
      </x:c>
      <x:c r="E119" s="24" t="n">
        <x:v>4055.886</x:v>
      </x:c>
      <x:c r="F119" s="26" t="n">
        <x:f>ROUND(D119-E119,1)</x:f>
        <x:v>57.1</x:v>
      </x:c>
      <x:c r="G119" s="23" t="str">
        <x:v>上证指数</x:v>
      </x:c>
    </x:row>
    <x:row r="120">
      <x:c r="A120" s="33" t="str">
        <x:v>合计</x:v>
      </x:c>
      <x:c r="B120" s="32" t="n">
        <x:v>18</x:v>
      </x:c>
      <x:c r="C120" s="32"/>
      <x:c r="D120" s="32"/>
      <x:c r="E120" s="32"/>
      <x:c r="F120" s="34" t="n">
        <x:f>ROUND(SUM(F102:F119),1)</x:f>
        <x:v>942.6</x:v>
      </x:c>
      <x:c r="G120" s="32"/>
    </x:row>
    <x:row r="121">
      <x:c r="A121" s="33" t="str">
        <x:v>均值</x:v>
      </x:c>
      <x:c r="B121" s="32"/>
      <x:c r="C121" s="32"/>
      <x:c r="D121" s="32"/>
      <x:c r="E121" s="32"/>
      <x:c r="F121" s="36" t="n">
        <x:f>ROUND(IFERROR(AVERAGE(F102:F119),0),1)</x:f>
        <x:v>52.4</x:v>
      </x:c>
      <x:c r="G121" s="32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高点</x:v>
      </x:c>
      <x:c r="E124" s="20" t="str">
        <x:v>低点</x:v>
      </x:c>
      <x:c r="F124" s="20" t="str">
        <x:v>振幅</x:v>
      </x:c>
      <x:c r="G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4093.041</x:v>
      </x:c>
      <x:c r="E125" s="24" t="n">
        <x:v>4045.69</x:v>
      </x:c>
      <x:c r="F125" s="24" t="n">
        <x:f>ROUND(D125-E125,1)</x:f>
        <x:v>47.4</x:v>
      </x:c>
      <x:c r="G125" s="23" t="str">
        <x:v>上证指数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4089.575</x:v>
      </x:c>
      <x:c r="E126" s="24" t="n">
        <x:v>4032.583</x:v>
      </x:c>
      <x:c r="F126" s="26" t="n">
        <x:f>ROUND(D126-E126,1)</x:f>
        <x:v>57</x:v>
      </x:c>
      <x:c r="G126" s="23" t="str">
        <x:v>上证指数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4107.046</x:v>
      </x:c>
      <x:c r="E127" s="24" t="n">
        <x:v>4059.907</x:v>
      </x:c>
      <x:c r="F127" s="24" t="n">
        <x:f>ROUND(D127-E127,1)</x:f>
        <x:v>47.1</x:v>
      </x:c>
      <x:c r="G127" s="23" t="str">
        <x:v>上证指数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4080.718</x:v>
      </x:c>
      <x:c r="E128" s="24" t="n">
        <x:v>4043.433</x:v>
      </x:c>
      <x:c r="F128" s="24" t="n">
        <x:f>ROUND(D128-E128,1)</x:f>
        <x:v>37.3</x:v>
      </x:c>
      <x:c r="G128" s="23" t="str">
        <x:v>上证指数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4078.932</x:v>
      </x:c>
      <x:c r="E129" s="24" t="n">
        <x:v>4015.063</x:v>
      </x:c>
      <x:c r="F129" s="26" t="n">
        <x:f>ROUND(D129-E129,1)</x:f>
        <x:v>63.9</x:v>
      </x:c>
      <x:c r="G129" s="23" t="str">
        <x:v>上证指数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4007.493</x:v>
      </x:c>
      <x:c r="E130" s="24" t="n">
        <x:v>3927.853</x:v>
      </x:c>
      <x:c r="F130" s="26" t="n">
        <x:f>ROUND(D130-E130,1)</x:f>
        <x:v>79.6</x:v>
      </x:c>
      <x:c r="G130" s="23" t="str">
        <x:v>上证指数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4010.872</x:v>
      </x:c>
      <x:c r="E131" s="24" t="n">
        <x:v>3955.908</x:v>
      </x:c>
      <x:c r="F131" s="26" t="n">
        <x:f>ROUND(D131-E131,1)</x:f>
        <x:v>55</x:v>
      </x:c>
      <x:c r="G131" s="23" t="str">
        <x:v>上证指数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4006.313</x:v>
      </x:c>
      <x:c r="E132" s="24" t="n">
        <x:v>3963.442</x:v>
      </x:c>
      <x:c r="F132" s="24" t="n">
        <x:f>ROUND(D132-E132,1)</x:f>
        <x:v>42.9</x:v>
      </x:c>
      <x:c r="G132" s="23" t="str">
        <x:v>上证指数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3997.478</x:v>
      </x:c>
      <x:c r="E133" s="24" t="n">
        <x:v>3958.437</x:v>
      </x:c>
      <x:c r="F133" s="24" t="n">
        <x:f>ROUND(D133-E133,1)</x:f>
        <x:v>39</x:v>
      </x:c>
      <x:c r="G133" s="23" t="str">
        <x:v>上证指数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4060.271</x:v>
      </x:c>
      <x:c r="E134" s="24" t="n">
        <x:v>4008.177</x:v>
      </x:c>
      <x:c r="F134" s="26" t="n">
        <x:f>ROUND(D134-E134,1)</x:f>
        <x:v>52.1</x:v>
      </x:c>
      <x:c r="G134" s="23" t="str">
        <x:v>上证指数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4097.166</x:v>
      </x:c>
      <x:c r="E135" s="24" t="n">
        <x:v>4051.065</x:v>
      </x:c>
      <x:c r="F135" s="24" t="n">
        <x:f>ROUND(D135-E135,1)</x:f>
        <x:v>46.1</x:v>
      </x:c>
      <x:c r="G135" s="23" t="str">
        <x:v>上证指数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4103.926</x:v>
      </x:c>
      <x:c r="E136" s="24" t="n">
        <x:v>4077.87</x:v>
      </x:c>
      <x:c r="F136" s="24" t="n">
        <x:f>ROUND(D136-E136,1)</x:f>
        <x:v>26.1</x:v>
      </x:c>
      <x:c r="G136" s="23" t="str">
        <x:v>上证指数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4109.958</x:v>
      </x:c>
      <x:c r="E137" s="24" t="n">
        <x:v>4073.732</x:v>
      </x:c>
      <x:c r="F137" s="24" t="n">
        <x:f>ROUND(D137-E137,1)</x:f>
        <x:v>36.2</x:v>
      </x:c>
      <x:c r="G137" s="23" t="str">
        <x:v>上证指数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4117.451</x:v>
      </x:c>
      <x:c r="E138" s="24" t="n">
        <x:v>4080.294</x:v>
      </x:c>
      <x:c r="F138" s="24" t="n">
        <x:f>ROUND(D138-E138,1)</x:f>
        <x:v>37.2</x:v>
      </x:c>
      <x:c r="G138" s="23" t="str">
        <x:v>上证指数</x:v>
      </x:c>
    </x:row>
    <x:row r="139">
      <x:c r="A139" s="29" t="n">
        <x:v>15</x:v>
      </x:c>
      <x:c r="B139" s="29" t="str">
        <x:v>周一</x:v>
      </x:c>
      <x:c r="C139" s="29" t="str">
        <x:v>6月22日</x:v>
      </x:c>
      <x:c r="D139" s="30" t="n">
        <x:v>4164.418</x:v>
      </x:c>
      <x:c r="E139" s="30" t="n">
        <x:v>4070.172</x:v>
      </x:c>
      <x:c r="F139" s="26" t="n">
        <x:f>ROUND(D139-E139,1)</x:f>
        <x:v>94.2</x:v>
      </x:c>
      <x:c r="G139" s="29" t="str">
        <x:v>上证指数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4175.348</x:v>
      </x:c>
      <x:c r="E140" s="24" t="n">
        <x:v>4085.591</x:v>
      </x:c>
      <x:c r="F140" s="26" t="n">
        <x:f>ROUND(D140-E140,1)</x:f>
        <x:v>89.8</x:v>
      </x:c>
      <x:c r="G140" s="23" t="str">
        <x:v>上证指数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4117.285</x:v>
      </x:c>
      <x:c r="E141" s="24" t="n">
        <x:v>4075.492</x:v>
      </x:c>
      <x:c r="F141" s="24" t="n">
        <x:f>ROUND(D141-E141,1)</x:f>
        <x:v>41.8</x:v>
      </x:c>
      <x:c r="G141" s="23" t="str">
        <x:v>上证指数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4133.098</x:v>
      </x:c>
      <x:c r="E142" s="24" t="n">
        <x:v>4093.009</x:v>
      </x:c>
      <x:c r="F142" s="24" t="n">
        <x:f>ROUND(D142-E142,1)</x:f>
        <x:v>40.1</x:v>
      </x:c>
      <x:c r="G142" s="23" t="str">
        <x:v>上证指数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4099.78</x:v>
      </x:c>
      <x:c r="E143" s="24" t="n">
        <x:v>4007.859</x:v>
      </x:c>
      <x:c r="F143" s="26" t="n">
        <x:f>ROUND(D143-E143,1)</x:f>
        <x:v>91.9</x:v>
      </x:c>
      <x:c r="G143" s="23" t="str">
        <x:v>上证指数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4075.334</x:v>
      </x:c>
      <x:c r="E144" s="24" t="n">
        <x:v>3992.552</x:v>
      </x:c>
      <x:c r="F144" s="26" t="n">
        <x:f>ROUND(D144-E144,1)</x:f>
        <x:v>82.8</x:v>
      </x:c>
      <x:c r="G144" s="23" t="str">
        <x:v>上证指数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4097.415</x:v>
      </x:c>
      <x:c r="E145" s="24" t="n">
        <x:v>4052.17</x:v>
      </x:c>
      <x:c r="F145" s="24" t="n">
        <x:f>ROUND(D145-E145,1)</x:f>
        <x:v>45.2</x:v>
      </x:c>
      <x:c r="G145" s="23" t="str">
        <x:v>上证指数</x:v>
      </x:c>
    </x:row>
    <x:row r="146">
      <x:c r="A146" s="33" t="str">
        <x:v>合计</x:v>
      </x:c>
      <x:c r="B146" s="32" t="n">
        <x:v>21</x:v>
      </x:c>
      <x:c r="C146" s="32"/>
      <x:c r="D146" s="32"/>
      <x:c r="E146" s="32"/>
      <x:c r="F146" s="34" t="n">
        <x:f>ROUND(SUM(F125:F145),1)</x:f>
        <x:v>1152.7</x:v>
      </x:c>
      <x:c r="G146" s="32"/>
    </x:row>
    <x:row r="147">
      <x:c r="A147" s="33" t="str">
        <x:v>均值</x:v>
      </x:c>
      <x:c r="B147" s="32"/>
      <x:c r="C147" s="32"/>
      <x:c r="D147" s="32"/>
      <x:c r="E147" s="32"/>
      <x:c r="F147" s="36" t="n">
        <x:f>ROUND(IFERROR(AVERAGE(F125:F145),0),1)</x:f>
        <x:v>54.9</x:v>
      </x:c>
      <x:c r="G147" s="32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高点</x:v>
      </x:c>
      <x:c r="E150" s="20" t="str">
        <x:v>低点</x:v>
      </x:c>
      <x:c r="F150" s="20" t="str">
        <x:v>振幅</x:v>
      </x:c>
      <x:c r="G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4143.314</x:v>
      </x:c>
      <x:c r="E151" s="24" t="n">
        <x:v>4087.535</x:v>
      </x:c>
      <x:c r="F151" s="26" t="n">
        <x:f>ROUND(D151-E151,1)</x:f>
        <x:v>55.8</x:v>
      </x:c>
      <x:c r="G151" s="23" t="str">
        <x:v>上证指数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4093.678</x:v>
      </x:c>
      <x:c r="E152" s="24" t="n">
        <x:v>4019.215</x:v>
      </x:c>
      <x:c r="F152" s="26" t="n">
        <x:f>ROUND(D152-E152,1)</x:f>
        <x:v>74.5</x:v>
      </x:c>
      <x:c r="G152" s="23" t="str">
        <x:v>上证指数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4073.88</x:v>
      </x:c>
      <x:c r="E153" s="24" t="n">
        <x:v>4027.255</x:v>
      </x:c>
      <x:c r="F153" s="24" t="n">
        <x:f>ROUND(D153-E153,1)</x:f>
        <x:v>46.6</x:v>
      </x:c>
      <x:c r="G153" s="23" t="str">
        <x:v>上证指数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4060.069</x:v>
      </x:c>
      <x:c r="E154" s="24" t="n">
        <x:v>4005.414</x:v>
      </x:c>
      <x:c r="F154" s="26" t="n">
        <x:f>ROUND(D154-E154,1)</x:f>
        <x:v>54.7</x:v>
      </x:c>
      <x:c r="G154" s="23" t="str">
        <x:v>上证指数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4028.514</x:v>
      </x:c>
      <x:c r="E155" s="24" t="n">
        <x:v>3971.713</x:v>
      </x:c>
      <x:c r="F155" s="26" t="n">
        <x:f>ROUND(D155-E155,1)</x:f>
        <x:v>56.8</x:v>
      </x:c>
      <x:c r="G155" s="23" t="str">
        <x:v>上证指数</x:v>
      </x:c>
    </x:row>
    <x:row r="156">
      <x:c r="A156" s="33" t="str">
        <x:v>合计</x:v>
      </x:c>
      <x:c r="B156" s="32" t="n">
        <x:v>5</x:v>
      </x:c>
      <x:c r="C156" s="32"/>
      <x:c r="D156" s="32"/>
      <x:c r="E156" s="32"/>
      <x:c r="F156" s="34" t="n">
        <x:f>ROUND(SUM(F151:F155),1)</x:f>
        <x:v>288.4</x:v>
      </x:c>
      <x:c r="G156" s="32"/>
    </x:row>
    <x:row r="157">
      <x:c r="A157" s="33" t="str">
        <x:v>均值</x:v>
      </x:c>
      <x:c r="B157" s="32"/>
      <x:c r="C157" s="32"/>
      <x:c r="D157" s="32"/>
      <x:c r="E157" s="32"/>
      <x:c r="F157" s="36" t="n">
        <x:f>ROUND(IFERROR(AVERAGE(F151:F155),0),1)</x:f>
        <x:v>57.7</x:v>
      </x:c>
      <x:c r="G157" s="32"/>
    </x:row>
  </x:sheetData>
  <x:mergeCells>
    <x:mergeCell ref="A1:G1"/>
    <x:mergeCell ref="A3:G3"/>
    <x:mergeCell ref="A28:G28"/>
    <x:mergeCell ref="A47:G47"/>
    <x:mergeCell ref="A74:G74"/>
    <x:mergeCell ref="A100:G100"/>
    <x:mergeCell ref="A123:G123"/>
    <x:mergeCell ref="A149:G14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高点</x:v>
      </x:c>
      <x:c r="E4" s="20" t="str">
        <x:v>低点</x:v>
      </x:c>
      <x:c r="F4" s="20" t="str">
        <x:v>振幅</x:v>
      </x:c>
      <x:c r="G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7641</x:v>
      </x:c>
      <x:c r="E5" s="24" t="n">
        <x:v>7462.2</x:v>
      </x:c>
      <x:c r="F5" s="24" t="n">
        <x:f>ROUND(D5-E5,1)</x:f>
        <x:v>178.8</x:v>
      </x:c>
      <x:c r="G5" s="23" t="str">
        <x:v>IM2603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7763.8</x:v>
      </x:c>
      <x:c r="E6" s="24" t="n">
        <x:v>7644.6</x:v>
      </x:c>
      <x:c r="F6" s="24" t="n">
        <x:f>ROUND(D6-E6,1)</x:f>
        <x:v>119.2</x:v>
      </x:c>
      <x:c r="G6" s="23" t="str">
        <x:v>IM2603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7795.8</x:v>
      </x:c>
      <x:c r="E7" s="24" t="n">
        <x:v>7730</x:v>
      </x:c>
      <x:c r="F7" s="24" t="n">
        <x:f>ROUND(D7-E7,1)</x:f>
        <x:v>65.8</x:v>
      </x:c>
      <x:c r="G7" s="23" t="str">
        <x:v>IM2603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7863.8</x:v>
      </x:c>
      <x:c r="E8" s="24" t="n">
        <x:v>7739</x:v>
      </x:c>
      <x:c r="F8" s="24" t="n">
        <x:f>ROUND(D8-E8,1)</x:f>
        <x:v>124.8</x:v>
      </x:c>
      <x:c r="G8" s="23" t="str">
        <x:v>IM2603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8049.4</x:v>
      </x:c>
      <x:c r="E9" s="24" t="n">
        <x:v>7815</x:v>
      </x:c>
      <x:c r="F9" s="26" t="n">
        <x:f>ROUND(D9-E9,1)</x:f>
        <x:v>234.4</x:v>
      </x:c>
      <x:c r="G9" s="23" t="str">
        <x:v>IM2603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8346</x:v>
      </x:c>
      <x:c r="E10" s="24" t="n">
        <x:v>8056.2</x:v>
      </x:c>
      <x:c r="F10" s="26" t="n">
        <x:f>ROUND(D10-E10,1)</x:f>
        <x:v>289.8</x:v>
      </x:c>
      <x:c r="G10" s="23" t="str">
        <x:v>IM2603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8335</x:v>
      </x:c>
      <x:c r="E11" s="24" t="n">
        <x:v>8115</x:v>
      </x:c>
      <x:c r="F11" s="26" t="n">
        <x:f>ROUND(D11-E11,1)</x:f>
        <x:v>220</x:v>
      </x:c>
      <x:c r="G11" s="23" t="str">
        <x:v>IM2603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8419</x:v>
      </x:c>
      <x:c r="E12" s="24" t="n">
        <x:v>8060</x:v>
      </x:c>
      <x:c r="F12" s="26" t="n">
        <x:f>ROUND(D12-E12,1)</x:f>
        <x:v>359</x:v>
      </x:c>
      <x:c r="G12" s="23" t="str">
        <x:v>IM2603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8207.4</x:v>
      </x:c>
      <x:c r="E13" s="24" t="n">
        <x:v>8082</x:v>
      </x:c>
      <x:c r="F13" s="24" t="n">
        <x:f>ROUND(D13-E13,1)</x:f>
        <x:v>125.4</x:v>
      </x:c>
      <x:c r="G13" s="23" t="str">
        <x:v>IM2603</x:v>
      </x:c>
    </x:row>
    <x:row r="14">
      <x:c r="A14" s="29" t="n">
        <x:v>10</x:v>
      </x:c>
      <x:c r="B14" s="29" t="str">
        <x:v>周五</x:v>
      </x:c>
      <x:c r="C14" s="29" t="str">
        <x:v>1月16日</x:v>
      </x:c>
      <x:c r="D14" s="30" t="n">
        <x:v>8283.8</x:v>
      </x:c>
      <x:c r="E14" s="30" t="n">
        <x:v>8115</x:v>
      </x:c>
      <x:c r="F14" s="30" t="n">
        <x:f>ROUND(D14-E14,1)</x:f>
        <x:v>168.8</x:v>
      </x:c>
      <x:c r="G14" s="29" t="str">
        <x:v>IM2603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8275</x:v>
      </x:c>
      <x:c r="E15" s="24" t="n">
        <x:v>8121.6</x:v>
      </x:c>
      <x:c r="F15" s="24" t="n">
        <x:f>ROUND(D15-E15,1)</x:f>
        <x:v>153.4</x:v>
      </x:c>
      <x:c r="G15" s="23" t="str">
        <x:v>IM2603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8247.4</x:v>
      </x:c>
      <x:c r="E16" s="24" t="n">
        <x:v>8016.8</x:v>
      </x:c>
      <x:c r="F16" s="26" t="n">
        <x:f>ROUND(D16-E16,1)</x:f>
        <x:v>230.6</x:v>
      </x:c>
      <x:c r="G16" s="23" t="str">
        <x:v>IM2603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8252.8</x:v>
      </x:c>
      <x:c r="E17" s="24" t="n">
        <x:v>8071</x:v>
      </x:c>
      <x:c r="F17" s="24" t="n">
        <x:f>ROUND(D17-E17,1)</x:f>
        <x:v>181.8</x:v>
      </x:c>
      <x:c r="G17" s="23" t="str">
        <x:v>IM2603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8302.6</x:v>
      </x:c>
      <x:c r="E18" s="24" t="n">
        <x:v>8218</x:v>
      </x:c>
      <x:c r="F18" s="24" t="n">
        <x:f>ROUND(D18-E18,1)</x:f>
        <x:v>84.6</x:v>
      </x:c>
      <x:c r="G18" s="23" t="str">
        <x:v>IM2603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8518.2</x:v>
      </x:c>
      <x:c r="E19" s="24" t="n">
        <x:v>8301.4</x:v>
      </x:c>
      <x:c r="F19" s="26" t="n">
        <x:f>ROUND(D19-E19,1)</x:f>
        <x:v>216.8</x:v>
      </x:c>
      <x:c r="G19" s="23" t="str">
        <x:v>IM2603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8568</x:v>
      </x:c>
      <x:c r="E20" s="24" t="n">
        <x:v>8238</x:v>
      </x:c>
      <x:c r="F20" s="26" t="n">
        <x:f>ROUND(D20-E20,1)</x:f>
        <x:v>330</x:v>
      </x:c>
      <x:c r="G20" s="23" t="str">
        <x:v>IM2603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8393.8</x:v>
      </x:c>
      <x:c r="E21" s="24" t="n">
        <x:v>8122</x:v>
      </x:c>
      <x:c r="F21" s="26" t="n">
        <x:f>ROUND(D21-E21,1)</x:f>
        <x:v>271.8</x:v>
      </x:c>
      <x:c r="G21" s="23" t="str">
        <x:v>IM2603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8412</x:v>
      </x:c>
      <x:c r="E22" s="24" t="n">
        <x:v>8284</x:v>
      </x:c>
      <x:c r="F22" s="24" t="n">
        <x:f>ROUND(D22-E22,1)</x:f>
        <x:v>128</x:v>
      </x:c>
      <x:c r="G22" s="23" t="str">
        <x:v>IM2603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8479.8</x:v>
      </x:c>
      <x:c r="E23" s="24" t="n">
        <x:v>8280</x:v>
      </x:c>
      <x:c r="F23" s="26" t="n">
        <x:f>ROUND(D23-E23,1)</x:f>
        <x:v>199.8</x:v>
      </x:c>
      <x:c r="G23" s="23" t="str">
        <x:v>IM2603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8344.8</x:v>
      </x:c>
      <x:c r="E24" s="24" t="n">
        <x:v>8050</x:v>
      </x:c>
      <x:c r="F24" s="26" t="n">
        <x:f>ROUND(D24-E24,1)</x:f>
        <x:v>294.8</x:v>
      </x:c>
      <x:c r="G24" s="23" t="str">
        <x:v>IM2603</x:v>
      </x:c>
    </x:row>
    <x:row r="25">
      <x:c r="A25" s="33" t="str">
        <x:v>合计</x:v>
      </x:c>
      <x:c r="B25" s="32" t="n">
        <x:v>20</x:v>
      </x:c>
      <x:c r="C25" s="32"/>
      <x:c r="D25" s="32"/>
      <x:c r="E25" s="32"/>
      <x:c r="F25" s="34" t="n">
        <x:f>ROUND(SUM(F5:F24),1)</x:f>
        <x:v>3977.6</x:v>
      </x:c>
      <x:c r="G25" s="32"/>
    </x:row>
    <x:row r="26">
      <x:c r="A26" s="33" t="str">
        <x:v>均值</x:v>
      </x:c>
      <x:c r="B26" s="32"/>
      <x:c r="C26" s="32"/>
      <x:c r="D26" s="32"/>
      <x:c r="E26" s="32"/>
      <x:c r="F26" s="36" t="n">
        <x:f>ROUND(IFERROR(AVERAGE(F5:F24),0),1)</x:f>
        <x:v>198.9</x:v>
      </x:c>
      <x:c r="G26" s="32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高点</x:v>
      </x:c>
      <x:c r="E29" s="20" t="str">
        <x:v>低点</x:v>
      </x:c>
      <x:c r="F29" s="20" t="str">
        <x:v>振幅</x:v>
      </x:c>
      <x:c r="G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8240</x:v>
      </x:c>
      <x:c r="E30" s="24" t="n">
        <x:v>7840</x:v>
      </x:c>
      <x:c r="F30" s="26" t="n">
        <x:f>ROUND(D30-E30,1)</x:f>
        <x:v>400</x:v>
      </x:c>
      <x:c r="G30" s="23" t="str">
        <x:v>IM2603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8215.2</x:v>
      </x:c>
      <x:c r="E31" s="24" t="n">
        <x:v>7975.2</x:v>
      </x:c>
      <x:c r="F31" s="26" t="n">
        <x:f>ROUND(D31-E31,1)</x:f>
        <x:v>240</x:v>
      </x:c>
      <x:c r="G31" s="23" t="str">
        <x:v>IM2603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8213</x:v>
      </x:c>
      <x:c r="E32" s="24" t="n">
        <x:v>8050.2</x:v>
      </x:c>
      <x:c r="F32" s="24" t="n">
        <x:f>ROUND(D32-E32,1)</x:f>
        <x:v>162.8</x:v>
      </x:c>
      <x:c r="G32" s="23" t="str">
        <x:v>IM2603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8144</x:v>
      </x:c>
      <x:c r="E33" s="24" t="n">
        <x:v>7969.4</x:v>
      </x:c>
      <x:c r="F33" s="24" t="n">
        <x:f>ROUND(D33-E33,1)</x:f>
        <x:v>174.6</x:v>
      </x:c>
      <x:c r="G33" s="23" t="str">
        <x:v>IM2603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8154.4</x:v>
      </x:c>
      <x:c r="E34" s="24" t="n">
        <x:v>7880.8</x:v>
      </x:c>
      <x:c r="F34" s="26" t="n">
        <x:f>ROUND(D34-E34,1)</x:f>
        <x:v>273.6</x:v>
      </x:c>
      <x:c r="G34" s="23" t="str">
        <x:v>IM2603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8237.6</x:v>
      </x:c>
      <x:c r="E35" s="24" t="n">
        <x:v>8120.4</x:v>
      </x:c>
      <x:c r="F35" s="24" t="n">
        <x:f>ROUND(D35-E35,1)</x:f>
        <x:v>117.2</x:v>
      </x:c>
      <x:c r="G35" s="23" t="str">
        <x:v>IM2603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8258.4</x:v>
      </x:c>
      <x:c r="E36" s="24" t="n">
        <x:v>8182</x:v>
      </x:c>
      <x:c r="F36" s="24" t="n">
        <x:f>ROUND(D36-E36,1)</x:f>
        <x:v>76.4</x:v>
      </x:c>
      <x:c r="G36" s="23" t="str">
        <x:v>IM2603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8307.6</x:v>
      </x:c>
      <x:c r="E37" s="24" t="n">
        <x:v>8227.4</x:v>
      </x:c>
      <x:c r="F37" s="24" t="n">
        <x:f>ROUND(D37-E37,1)</x:f>
        <x:v>80.2</x:v>
      </x:c>
      <x:c r="G37" s="23" t="str">
        <x:v>IM2603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8351.8</x:v>
      </x:c>
      <x:c r="E38" s="24" t="n">
        <x:v>8205</x:v>
      </x:c>
      <x:c r="F38" s="24" t="n">
        <x:f>ROUND(D38-E38,1)</x:f>
        <x:v>146.8</x:v>
      </x:c>
      <x:c r="G38" s="23" t="str">
        <x:v>IM2603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8316.8</x:v>
      </x:c>
      <x:c r="E39" s="24" t="n">
        <x:v>8161</x:v>
      </x:c>
      <x:c r="F39" s="24" t="n">
        <x:f>ROUND(D39-E39,1)</x:f>
        <x:v>155.8</x:v>
      </x:c>
      <x:c r="G39" s="23" t="str">
        <x:v>IM2603</x:v>
      </x:c>
    </x:row>
    <x:row r="40">
      <x:c r="A40" s="29" t="n">
        <x:v>11</x:v>
      </x:c>
      <x:c r="B40" s="29" t="str">
        <x:v>周二</x:v>
      </x:c>
      <x:c r="C40" s="29" t="str">
        <x:v>2月24日</x:v>
      </x:c>
      <x:c r="D40" s="30" t="n">
        <x:v>8365</x:v>
      </x:c>
      <x:c r="E40" s="30" t="n">
        <x:v>8227.2</x:v>
      </x:c>
      <x:c r="F40" s="30" t="n">
        <x:f>ROUND(D40-E40,1)</x:f>
        <x:v>137.8</x:v>
      </x:c>
      <x:c r="G40" s="29" t="str">
        <x:v>IM2603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8441</x:v>
      </x:c>
      <x:c r="E41" s="24" t="n">
        <x:v>8300</x:v>
      </x:c>
      <x:c r="F41" s="24" t="n">
        <x:f>ROUND(D41-E41,1)</x:f>
        <x:v>141</x:v>
      </x:c>
      <x:c r="G41" s="23" t="str">
        <x:v>IM2603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8458.6</x:v>
      </x:c>
      <x:c r="E42" s="24" t="n">
        <x:v>8365.6</x:v>
      </x:c>
      <x:c r="F42" s="24" t="n">
        <x:f>ROUND(D42-E42,1)</x:f>
        <x:v>93</x:v>
      </x:c>
      <x:c r="G42" s="23" t="str">
        <x:v>IM2603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8538.8</x:v>
      </x:c>
      <x:c r="E43" s="24" t="n">
        <x:v>8391</x:v>
      </x:c>
      <x:c r="F43" s="24" t="n">
        <x:f>ROUND(D43-E43,1)</x:f>
        <x:v>147.8</x:v>
      </x:c>
      <x:c r="G43" s="23" t="str">
        <x:v>IM2603</x:v>
      </x:c>
    </x:row>
    <x:row r="44">
      <x:c r="A44" s="33" t="str">
        <x:v>合计</x:v>
      </x:c>
      <x:c r="B44" s="32" t="n">
        <x:v>14</x:v>
      </x:c>
      <x:c r="C44" s="32"/>
      <x:c r="D44" s="32"/>
      <x:c r="E44" s="32"/>
      <x:c r="F44" s="34" t="n">
        <x:f>ROUND(SUM(F30:F43),1)</x:f>
        <x:v>2347</x:v>
      </x:c>
      <x:c r="G44" s="32"/>
    </x:row>
    <x:row r="45">
      <x:c r="A45" s="33" t="str">
        <x:v>均值</x:v>
      </x:c>
      <x:c r="B45" s="32"/>
      <x:c r="C45" s="32"/>
      <x:c r="D45" s="32"/>
      <x:c r="E45" s="32"/>
      <x:c r="F45" s="36" t="n">
        <x:f>ROUND(IFERROR(AVERAGE(F30:F43),0),1)</x:f>
        <x:v>167.6</x:v>
      </x:c>
      <x:c r="G45" s="32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高点</x:v>
      </x:c>
      <x:c r="E48" s="20" t="str">
        <x:v>低点</x:v>
      </x:c>
      <x:c r="F48" s="20" t="str">
        <x:v>振幅</x:v>
      </x:c>
      <x:c r="G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8514.6</x:v>
      </x:c>
      <x:c r="E49" s="24" t="n">
        <x:v>8338</x:v>
      </x:c>
      <x:c r="F49" s="24" t="n">
        <x:f>ROUND(D49-E49,1)</x:f>
        <x:v>176.6</x:v>
      </x:c>
      <x:c r="G49" s="23" t="str">
        <x:v>IM2603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8479.4</x:v>
      </x:c>
      <x:c r="E50" s="24" t="n">
        <x:v>8105.6</x:v>
      </x:c>
      <x:c r="F50" s="26" t="n">
        <x:f>ROUND(D50-E50,1)</x:f>
        <x:v>373.8</x:v>
      </x:c>
      <x:c r="G50" s="23" t="str">
        <x:v>IM2603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8225.2</x:v>
      </x:c>
      <x:c r="E51" s="24" t="n">
        <x:v>8037.2</x:v>
      </x:c>
      <x:c r="F51" s="24" t="n">
        <x:f>ROUND(D51-E51,1)</x:f>
        <x:v>188</x:v>
      </x:c>
      <x:c r="G51" s="23" t="str">
        <x:v>IM2603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8214</x:v>
      </x:c>
      <x:c r="E52" s="24" t="n">
        <x:v>8060.6</x:v>
      </x:c>
      <x:c r="F52" s="24" t="n">
        <x:f>ROUND(D52-E52,1)</x:f>
        <x:v>153.4</x:v>
      </x:c>
      <x:c r="G52" s="23" t="str">
        <x:v>IM2603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8249.4</x:v>
      </x:c>
      <x:c r="E53" s="24" t="n">
        <x:v>8082.2</x:v>
      </x:c>
      <x:c r="F53" s="24" t="n">
        <x:f>ROUND(D53-E53,1)</x:f>
        <x:v>167.2</x:v>
      </x:c>
      <x:c r="G53" s="23" t="str">
        <x:v>IM2603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8214</x:v>
      </x:c>
      <x:c r="E54" s="24" t="n">
        <x:v>7850</x:v>
      </x:c>
      <x:c r="F54" s="26" t="n">
        <x:f>ROUND(D54-E54,1)</x:f>
        <x:v>364</x:v>
      </x:c>
      <x:c r="G54" s="23" t="str">
        <x:v>IM2603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8326.2</x:v>
      </x:c>
      <x:c r="E55" s="24" t="n">
        <x:v>8225</x:v>
      </x:c>
      <x:c r="F55" s="24" t="n">
        <x:f>ROUND(D55-E55,1)</x:f>
        <x:v>101.2</x:v>
      </x:c>
      <x:c r="G55" s="23" t="str">
        <x:v>IM2603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8368</x:v>
      </x:c>
      <x:c r="E56" s="24" t="n">
        <x:v>8290</x:v>
      </x:c>
      <x:c r="F56" s="24" t="n">
        <x:f>ROUND(D56-E56,1)</x:f>
        <x:v>78</x:v>
      </x:c>
      <x:c r="G56" s="23" t="str">
        <x:v>IM2603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8344.2</x:v>
      </x:c>
      <x:c r="E57" s="24" t="n">
        <x:v>8211</x:v>
      </x:c>
      <x:c r="F57" s="24" t="n">
        <x:f>ROUND(D57-E57,1)</x:f>
        <x:v>133.2</x:v>
      </x:c>
      <x:c r="G57" s="23" t="str">
        <x:v>IM2603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8332</x:v>
      </x:c>
      <x:c r="E58" s="24" t="n">
        <x:v>8172</x:v>
      </x:c>
      <x:c r="F58" s="24" t="n">
        <x:f>ROUND(D58-E58,1)</x:f>
        <x:v>160</x:v>
      </x:c>
      <x:c r="G58" s="23" t="str">
        <x:v>IM2603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8212.6</x:v>
      </x:c>
      <x:c r="E59" s="24" t="n">
        <x:v>8054</x:v>
      </x:c>
      <x:c r="F59" s="24" t="n">
        <x:f>ROUND(D59-E59,1)</x:f>
        <x:v>158.6</x:v>
      </x:c>
      <x:c r="G59" s="23" t="str">
        <x:v>IM2603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8220</x:v>
      </x:c>
      <x:c r="E60" s="24" t="n">
        <x:v>8002</x:v>
      </x:c>
      <x:c r="F60" s="26" t="n">
        <x:f>ROUND(D60-E60,1)</x:f>
        <x:v>218</x:v>
      </x:c>
      <x:c r="G60" s="23" t="str">
        <x:v>IM2603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8098.4</x:v>
      </x:c>
      <x:c r="E61" s="24" t="n">
        <x:v>7971.2</x:v>
      </x:c>
      <x:c r="F61" s="24" t="n">
        <x:f>ROUND(D61-E61,1)</x:f>
        <x:v>127.2</x:v>
      </x:c>
      <x:c r="G61" s="23" t="str">
        <x:v>IM2603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8013.6</x:v>
      </x:c>
      <x:c r="E62" s="24" t="n">
        <x:v>7873.4</x:v>
      </x:c>
      <x:c r="F62" s="24" t="n">
        <x:f>ROUND(D62-E62,1)</x:f>
        <x:v>140.2</x:v>
      </x:c>
      <x:c r="G62" s="23" t="str">
        <x:v>IM2603</x:v>
      </x:c>
    </x:row>
    <x:row r="63">
      <x:c r="A63" s="29" t="n">
        <x:v>15</x:v>
      </x:c>
      <x:c r="B63" s="29" t="str">
        <x:v>周五</x:v>
      </x:c>
      <x:c r="C63" s="29" t="str">
        <x:v>3月20日</x:v>
      </x:c>
      <x:c r="D63" s="30" t="n">
        <x:v>8004.8</x:v>
      </x:c>
      <x:c r="E63" s="30" t="n">
        <x:v>7866</x:v>
      </x:c>
      <x:c r="F63" s="30" t="n">
        <x:f>ROUND(D63-E63,1)</x:f>
        <x:v>138.8</x:v>
      </x:c>
      <x:c r="G63" s="29" t="str">
        <x:v>IM2603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7518.6</x:v>
      </x:c>
      <x:c r="E64" s="24" t="n">
        <x:v>7120.2</x:v>
      </x:c>
      <x:c r="F64" s="26" t="n">
        <x:f>ROUND(D64-E64,1)</x:f>
        <x:v>398.4</x:v>
      </x:c>
      <x:c r="G64" s="23" t="str">
        <x:v>IM2606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7402</x:v>
      </x:c>
      <x:c r="E65" s="24" t="n">
        <x:v>7153.8</x:v>
      </x:c>
      <x:c r="F65" s="26" t="n">
        <x:f>ROUND(D65-E65,1)</x:f>
        <x:v>248.2</x:v>
      </x:c>
      <x:c r="G65" s="23" t="str">
        <x:v>IM2606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7589</x:v>
      </x:c>
      <x:c r="E66" s="24" t="n">
        <x:v>7446.6</x:v>
      </x:c>
      <x:c r="F66" s="24" t="n">
        <x:f>ROUND(D66-E66,1)</x:f>
        <x:v>142.4</x:v>
      </x:c>
      <x:c r="G66" s="23" t="str">
        <x:v>IM2606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7534</x:v>
      </x:c>
      <x:c r="E67" s="24" t="n">
        <x:v>7363.6</x:v>
      </x:c>
      <x:c r="F67" s="24" t="n">
        <x:f>ROUND(D67-E67,1)</x:f>
        <x:v>170.4</x:v>
      </x:c>
      <x:c r="G67" s="23" t="str">
        <x:v>IM2606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7562.4</x:v>
      </x:c>
      <x:c r="E68" s="24" t="n">
        <x:v>7301</x:v>
      </x:c>
      <x:c r="F68" s="26" t="n">
        <x:f>ROUND(D68-E68,1)</x:f>
        <x:v>261.4</x:v>
      </x:c>
      <x:c r="G68" s="23" t="str">
        <x:v>IM2606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7528</x:v>
      </x:c>
      <x:c r="E69" s="24" t="n">
        <x:v>7323</x:v>
      </x:c>
      <x:c r="F69" s="26" t="n">
        <x:f>ROUND(D69-E69,1)</x:f>
        <x:v>205</x:v>
      </x:c>
      <x:c r="G69" s="23" t="str">
        <x:v>IM2606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7550</x:v>
      </x:c>
      <x:c r="E70" s="24" t="n">
        <x:v>7364</x:v>
      </x:c>
      <x:c r="F70" s="24" t="n">
        <x:f>ROUND(D70-E70,1)</x:f>
        <x:v>186</x:v>
      </x:c>
      <x:c r="G70" s="23" t="str">
        <x:v>IM2606</x:v>
      </x:c>
    </x:row>
    <x:row r="71">
      <x:c r="A71" s="33" t="str">
        <x:v>合计</x:v>
      </x:c>
      <x:c r="B71" s="32" t="n">
        <x:v>22</x:v>
      </x:c>
      <x:c r="C71" s="32"/>
      <x:c r="D71" s="32"/>
      <x:c r="E71" s="32"/>
      <x:c r="F71" s="34" t="n">
        <x:f>ROUND(SUM(F49:F70),1)</x:f>
        <x:v>4290</x:v>
      </x:c>
      <x:c r="G71" s="32"/>
    </x:row>
    <x:row r="72">
      <x:c r="A72" s="33" t="str">
        <x:v>均值</x:v>
      </x:c>
      <x:c r="B72" s="32"/>
      <x:c r="C72" s="32"/>
      <x:c r="D72" s="32"/>
      <x:c r="E72" s="32"/>
      <x:c r="F72" s="36" t="n">
        <x:f>ROUND(IFERROR(AVERAGE(F49:F70),0),1)</x:f>
        <x:v>195</x:v>
      </x:c>
      <x:c r="G72" s="32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高点</x:v>
      </x:c>
      <x:c r="E75" s="20" t="str">
        <x:v>低点</x:v>
      </x:c>
      <x:c r="F75" s="20" t="str">
        <x:v>振幅</x:v>
      </x:c>
      <x:c r="G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7567.6</x:v>
      </x:c>
      <x:c r="E76" s="24" t="n">
        <x:v>7456.6</x:v>
      </x:c>
      <x:c r="F76" s="24" t="n">
        <x:f>ROUND(D76-E76,1)</x:f>
        <x:v>111</x:v>
      </x:c>
      <x:c r="G76" s="23" t="str">
        <x:v>IM2606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7510</x:v>
      </x:c>
      <x:c r="E77" s="24" t="n">
        <x:v>7311.2</x:v>
      </x:c>
      <x:c r="F77" s="26" t="n">
        <x:f>ROUND(D77-E77,1)</x:f>
        <x:v>198.8</x:v>
      </x:c>
      <x:c r="G77" s="23" t="str">
        <x:v>IM2606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7418</x:v>
      </x:c>
      <x:c r="E78" s="24" t="n">
        <x:v>7280.2</x:v>
      </x:c>
      <x:c r="F78" s="24" t="n">
        <x:f>ROUND(D78-E78,1)</x:f>
        <x:v>137.8</x:v>
      </x:c>
      <x:c r="G78" s="23" t="str">
        <x:v>IM2606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7437.8</x:v>
      </x:c>
      <x:c r="E79" s="24" t="n">
        <x:v>7332.8</x:v>
      </x:c>
      <x:c r="F79" s="24" t="n">
        <x:f>ROUND(D79-E79,1)</x:f>
        <x:v>105</x:v>
      </x:c>
      <x:c r="G79" s="23" t="str">
        <x:v>IM2606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7782</x:v>
      </x:c>
      <x:c r="E80" s="24" t="n">
        <x:v>7560</x:v>
      </x:c>
      <x:c r="F80" s="26" t="n">
        <x:f>ROUND(D80-E80,1)</x:f>
        <x:v>222</x:v>
      </x:c>
      <x:c r="G80" s="23" t="str">
        <x:v>IM2606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7757.6</x:v>
      </x:c>
      <x:c r="E81" s="24" t="n">
        <x:v>7680.2</x:v>
      </x:c>
      <x:c r="F81" s="24" t="n">
        <x:f>ROUND(D81-E81,1)</x:f>
        <x:v>77.4</x:v>
      </x:c>
      <x:c r="G81" s="23" t="str">
        <x:v>IM2606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7869.6</x:v>
      </x:c>
      <x:c r="E82" s="24" t="n">
        <x:v>7761</x:v>
      </x:c>
      <x:c r="F82" s="24" t="n">
        <x:f>ROUND(D82-E82,1)</x:f>
        <x:v>108.6</x:v>
      </x:c>
      <x:c r="G82" s="23" t="str">
        <x:v>IM2606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7829.8</x:v>
      </x:c>
      <x:c r="E83" s="24" t="n">
        <x:v>7751</x:v>
      </x:c>
      <x:c r="F83" s="24" t="n">
        <x:f>ROUND(D83-E83,1)</x:f>
        <x:v>78.8</x:v>
      </x:c>
      <x:c r="G83" s="23" t="str">
        <x:v>IM2606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7918</x:v>
      </x:c>
      <x:c r="E84" s="24" t="n">
        <x:v>7821.8</x:v>
      </x:c>
      <x:c r="F84" s="24" t="n">
        <x:f>ROUND(D84-E84,1)</x:f>
        <x:v>96.2</x:v>
      </x:c>
      <x:c r="G84" s="23" t="str">
        <x:v>IM2606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7982</x:v>
      </x:c>
      <x:c r="E85" s="24" t="n">
        <x:v>7895.2</x:v>
      </x:c>
      <x:c r="F85" s="24" t="n">
        <x:f>ROUND(D85-E85,1)</x:f>
        <x:v>86.8</x:v>
      </x:c>
      <x:c r="G85" s="23" t="str">
        <x:v>IM2606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8072.2</x:v>
      </x:c>
      <x:c r="E86" s="24" t="n">
        <x:v>7923.6</x:v>
      </x:c>
      <x:c r="F86" s="24" t="n">
        <x:f>ROUND(D86-E86,1)</x:f>
        <x:v>148.6</x:v>
      </x:c>
      <x:c r="G86" s="23" t="str">
        <x:v>IM2606</x:v>
      </x:c>
    </x:row>
    <x:row r="87">
      <x:c r="A87" s="29" t="n">
        <x:v>12</x:v>
      </x:c>
      <x:c r="B87" s="29" t="str">
        <x:v>周五</x:v>
      </x:c>
      <x:c r="C87" s="29" t="str">
        <x:v>4月17日</x:v>
      </x:c>
      <x:c r="D87" s="30" t="n">
        <x:v>8165.8</x:v>
      </x:c>
      <x:c r="E87" s="30" t="n">
        <x:v>8020</x:v>
      </x:c>
      <x:c r="F87" s="30" t="n">
        <x:f>ROUND(D87-E87,1)</x:f>
        <x:v>145.8</x:v>
      </x:c>
      <x:c r="G87" s="29" t="str">
        <x:v>IM2606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8223.8</x:v>
      </x:c>
      <x:c r="E88" s="24" t="n">
        <x:v>8102.6</x:v>
      </x:c>
      <x:c r="F88" s="24" t="n">
        <x:f>ROUND(D88-E88,1)</x:f>
        <x:v>121.2</x:v>
      </x:c>
      <x:c r="G88" s="23" t="str">
        <x:v>IM2606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8185.8</x:v>
      </x:c>
      <x:c r="E89" s="24" t="n">
        <x:v>8092</x:v>
      </x:c>
      <x:c r="F89" s="24" t="n">
        <x:f>ROUND(D89-E89,1)</x:f>
        <x:v>93.8</x:v>
      </x:c>
      <x:c r="G89" s="23" t="str">
        <x:v>IM2606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8326.4</x:v>
      </x:c>
      <x:c r="E90" s="24" t="n">
        <x:v>8141</x:v>
      </x:c>
      <x:c r="F90" s="24" t="n">
        <x:f>ROUND(D90-E90,1)</x:f>
        <x:v>185.4</x:v>
      </x:c>
      <x:c r="G90" s="23" t="str">
        <x:v>IM2606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8337</x:v>
      </x:c>
      <x:c r="E91" s="24" t="n">
        <x:v>8144.8</x:v>
      </x:c>
      <x:c r="F91" s="26" t="n">
        <x:f>ROUND(D91-E91,1)</x:f>
        <x:v>192.2</x:v>
      </x:c>
      <x:c r="G91" s="23" t="str">
        <x:v>IM2606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8232</x:v>
      </x:c>
      <x:c r="E92" s="24" t="n">
        <x:v>8115.6</x:v>
      </x:c>
      <x:c r="F92" s="24" t="n">
        <x:f>ROUND(D92-E92,1)</x:f>
        <x:v>116.4</x:v>
      </x:c>
      <x:c r="G92" s="23" t="str">
        <x:v>IM2606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8239</x:v>
      </x:c>
      <x:c r="E93" s="24" t="n">
        <x:v>8126.8</x:v>
      </x:c>
      <x:c r="F93" s="24" t="n">
        <x:f>ROUND(D93-E93,1)</x:f>
        <x:v>112.2</x:v>
      </x:c>
      <x:c r="G93" s="23" t="str">
        <x:v>IM2606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8195</x:v>
      </x:c>
      <x:c r="E94" s="24" t="n">
        <x:v>8056</x:v>
      </x:c>
      <x:c r="F94" s="24" t="n">
        <x:f>ROUND(D94-E94,1)</x:f>
        <x:v>139</x:v>
      </x:c>
      <x:c r="G94" s="23" t="str">
        <x:v>IM2606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8271</x:v>
      </x:c>
      <x:c r="E95" s="24" t="n">
        <x:v>8070</x:v>
      </x:c>
      <x:c r="F95" s="26" t="n">
        <x:f>ROUND(D95-E95,1)</x:f>
        <x:v>201</x:v>
      </x:c>
      <x:c r="G95" s="23" t="str">
        <x:v>IM2606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8292</x:v>
      </x:c>
      <x:c r="E96" s="24" t="n">
        <x:v>8211.8</x:v>
      </x:c>
      <x:c r="F96" s="24" t="n">
        <x:f>ROUND(D96-E96,1)</x:f>
        <x:v>80.2</x:v>
      </x:c>
      <x:c r="G96" s="23" t="str">
        <x:v>IM2606</x:v>
      </x:c>
    </x:row>
    <x:row r="97">
      <x:c r="A97" s="33" t="str">
        <x:v>合计</x:v>
      </x:c>
      <x:c r="B97" s="32" t="n">
        <x:v>21</x:v>
      </x:c>
      <x:c r="C97" s="32"/>
      <x:c r="D97" s="32"/>
      <x:c r="E97" s="32"/>
      <x:c r="F97" s="34" t="n">
        <x:f>ROUND(SUM(F76:F96),1)</x:f>
        <x:v>2758.2</x:v>
      </x:c>
      <x:c r="G97" s="32"/>
    </x:row>
    <x:row r="98">
      <x:c r="A98" s="33" t="str">
        <x:v>均值</x:v>
      </x:c>
      <x:c r="B98" s="32"/>
      <x:c r="C98" s="32"/>
      <x:c r="D98" s="32"/>
      <x:c r="E98" s="32"/>
      <x:c r="F98" s="36" t="n">
        <x:f>ROUND(IFERROR(AVERAGE(F76:F96),0),1)</x:f>
        <x:v>131.3</x:v>
      </x:c>
      <x:c r="G98" s="32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高点</x:v>
      </x:c>
      <x:c r="E101" s="20" t="str">
        <x:v>低点</x:v>
      </x:c>
      <x:c r="F101" s="20" t="str">
        <x:v>振幅</x:v>
      </x:c>
      <x:c r="G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8553</x:v>
      </x:c>
      <x:c r="E102" s="24" t="n">
        <x:v>8381</x:v>
      </x:c>
      <x:c r="F102" s="24" t="n">
        <x:f>ROUND(D102-E102,1)</x:f>
        <x:v>172</x:v>
      </x:c>
      <x:c r="G102" s="23" t="str">
        <x:v>IM2606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8639.6</x:v>
      </x:c>
      <x:c r="E103" s="24" t="n">
        <x:v>8491</x:v>
      </x:c>
      <x:c r="F103" s="24" t="n">
        <x:f>ROUND(D103-E103,1)</x:f>
        <x:v>148.6</x:v>
      </x:c>
      <x:c r="G103" s="23" t="str">
        <x:v>IM2606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8670</x:v>
      </x:c>
      <x:c r="E104" s="24" t="n">
        <x:v>8568.2</x:v>
      </x:c>
      <x:c r="F104" s="24" t="n">
        <x:f>ROUND(D104-E104,1)</x:f>
        <x:v>101.8</x:v>
      </x:c>
      <x:c r="G104" s="23" t="str">
        <x:v>IM2606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8794.8</x:v>
      </x:c>
      <x:c r="E105" s="24" t="n">
        <x:v>8655.8</x:v>
      </x:c>
      <x:c r="F105" s="24" t="n">
        <x:f>ROUND(D105-E105,1)</x:f>
        <x:v>139</x:v>
      </x:c>
      <x:c r="G105" s="23" t="str">
        <x:v>IM2606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8739.2</x:v>
      </x:c>
      <x:c r="E106" s="24" t="n">
        <x:v>8644.2</x:v>
      </x:c>
      <x:c r="F106" s="24" t="n">
        <x:f>ROUND(D106-E106,1)</x:f>
        <x:v>95</x:v>
      </x:c>
      <x:c r="G106" s="23" t="str">
        <x:v>IM2606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8877.4</x:v>
      </x:c>
      <x:c r="E107" s="24" t="n">
        <x:v>8666</x:v>
      </x:c>
      <x:c r="F107" s="26" t="n">
        <x:f>ROUND(D107-E107,1)</x:f>
        <x:v>211.4</x:v>
      </x:c>
      <x:c r="G107" s="23" t="str">
        <x:v>IM2606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8908.8</x:v>
      </x:c>
      <x:c r="E108" s="24" t="n">
        <x:v>8685.2</x:v>
      </x:c>
      <x:c r="F108" s="26" t="n">
        <x:f>ROUND(D108-E108,1)</x:f>
        <x:v>223.6</x:v>
      </x:c>
      <x:c r="G108" s="23" t="str">
        <x:v>IM2606</x:v>
      </x:c>
    </x:row>
    <x:row r="109">
      <x:c r="A109" s="29" t="n">
        <x:v>8</x:v>
      </x:c>
      <x:c r="B109" s="29" t="str">
        <x:v>周五</x:v>
      </x:c>
      <x:c r="C109" s="29" t="str">
        <x:v>5月15日</x:v>
      </x:c>
      <x:c r="D109" s="30" t="n">
        <x:v>8758.2</x:v>
      </x:c>
      <x:c r="E109" s="30" t="n">
        <x:v>8505.6</x:v>
      </x:c>
      <x:c r="F109" s="26" t="n">
        <x:f>ROUND(D109-E109,1)</x:f>
        <x:v>252.6</x:v>
      </x:c>
      <x:c r="G109" s="29" t="str">
        <x:v>IM2606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8697.8</x:v>
      </x:c>
      <x:c r="E110" s="24" t="n">
        <x:v>8532.2</x:v>
      </x:c>
      <x:c r="F110" s="24" t="n">
        <x:f>ROUND(D110-E110,1)</x:f>
        <x:v>165.6</x:v>
      </x:c>
      <x:c r="G110" s="23" t="str">
        <x:v>IM2606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8721.6</x:v>
      </x:c>
      <x:c r="E111" s="24" t="n">
        <x:v>8511</x:v>
      </x:c>
      <x:c r="F111" s="26" t="n">
        <x:f>ROUND(D111-E111,1)</x:f>
        <x:v>210.6</x:v>
      </x:c>
      <x:c r="G111" s="23" t="str">
        <x:v>IM2606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8717.2</x:v>
      </x:c>
      <x:c r="E112" s="24" t="n">
        <x:v>8581</x:v>
      </x:c>
      <x:c r="F112" s="24" t="n">
        <x:f>ROUND(D112-E112,1)</x:f>
        <x:v>136.2</x:v>
      </x:c>
      <x:c r="G112" s="23" t="str">
        <x:v>IM2606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8814.2</x:v>
      </x:c>
      <x:c r="E113" s="24" t="n">
        <x:v>8426.2</x:v>
      </x:c>
      <x:c r="F113" s="26" t="n">
        <x:f>ROUND(D113-E113,1)</x:f>
        <x:v>388</x:v>
      </x:c>
      <x:c r="G113" s="23" t="str">
        <x:v>IM2606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8651.2</x:v>
      </x:c>
      <x:c r="E114" s="24" t="n">
        <x:v>8459</x:v>
      </x:c>
      <x:c r="F114" s="26" t="n">
        <x:f>ROUND(D114-E114,1)</x:f>
        <x:v>192.2</x:v>
      </x:c>
      <x:c r="G114" s="23" t="str">
        <x:v>IM2606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8691.4</x:v>
      </x:c>
      <x:c r="E115" s="24" t="n">
        <x:v>8570.4</x:v>
      </x:c>
      <x:c r="F115" s="24" t="n">
        <x:f>ROUND(D115-E115,1)</x:f>
        <x:v>121</x:v>
      </x:c>
      <x:c r="G115" s="23" t="str">
        <x:v>IM2606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8645</x:v>
      </x:c>
      <x:c r="E116" s="24" t="n">
        <x:v>8462.6</x:v>
      </x:c>
      <x:c r="F116" s="24" t="n">
        <x:f>ROUND(D116-E116,1)</x:f>
        <x:v>182.4</x:v>
      </x:c>
      <x:c r="G116" s="23" t="str">
        <x:v>IM2606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8664.8</x:v>
      </x:c>
      <x:c r="E117" s="24" t="n">
        <x:v>8388</x:v>
      </x:c>
      <x:c r="F117" s="26" t="n">
        <x:f>ROUND(D117-E117,1)</x:f>
        <x:v>276.8</x:v>
      </x:c>
      <x:c r="G117" s="23" t="str">
        <x:v>IM2606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8571.6</x:v>
      </x:c>
      <x:c r="E118" s="24" t="n">
        <x:v>8367</x:v>
      </x:c>
      <x:c r="F118" s="26" t="n">
        <x:f>ROUND(D118-E118,1)</x:f>
        <x:v>204.6</x:v>
      </x:c>
      <x:c r="G118" s="23" t="str">
        <x:v>IM2606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8589.8</x:v>
      </x:c>
      <x:c r="E119" s="24" t="n">
        <x:v>8291.6</x:v>
      </x:c>
      <x:c r="F119" s="26" t="n">
        <x:f>ROUND(D119-E119,1)</x:f>
        <x:v>298.2</x:v>
      </x:c>
      <x:c r="G119" s="23" t="str">
        <x:v>IM2606</x:v>
      </x:c>
    </x:row>
    <x:row r="120">
      <x:c r="A120" s="33" t="str">
        <x:v>合计</x:v>
      </x:c>
      <x:c r="B120" s="32" t="n">
        <x:v>18</x:v>
      </x:c>
      <x:c r="C120" s="32"/>
      <x:c r="D120" s="32"/>
      <x:c r="E120" s="32"/>
      <x:c r="F120" s="34" t="n">
        <x:f>ROUND(SUM(F102:F119),1)</x:f>
        <x:v>3519.6</x:v>
      </x:c>
      <x:c r="G120" s="32"/>
    </x:row>
    <x:row r="121">
      <x:c r="A121" s="33" t="str">
        <x:v>均值</x:v>
      </x:c>
      <x:c r="B121" s="32"/>
      <x:c r="C121" s="32"/>
      <x:c r="D121" s="32"/>
      <x:c r="E121" s="32"/>
      <x:c r="F121" s="36" t="n">
        <x:f>ROUND(IFERROR(AVERAGE(F102:F119),0),1)</x:f>
        <x:v>195.5</x:v>
      </x:c>
      <x:c r="G121" s="32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高点</x:v>
      </x:c>
      <x:c r="E124" s="20" t="str">
        <x:v>低点</x:v>
      </x:c>
      <x:c r="F124" s="20" t="str">
        <x:v>振幅</x:v>
      </x:c>
      <x:c r="G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8450</x:v>
      </x:c>
      <x:c r="E125" s="24" t="n">
        <x:v>8294.2</x:v>
      </x:c>
      <x:c r="F125" s="24" t="n">
        <x:f>ROUND(D125-E125,1)</x:f>
        <x:v>155.8</x:v>
      </x:c>
      <x:c r="G125" s="23" t="str">
        <x:v>IM2606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8395</x:v>
      </x:c>
      <x:c r="E126" s="24" t="n">
        <x:v>8190</x:v>
      </x:c>
      <x:c r="F126" s="26" t="n">
        <x:f>ROUND(D126-E126,1)</x:f>
        <x:v>205</x:v>
      </x:c>
      <x:c r="G126" s="23" t="str">
        <x:v>IM2606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8493.4</x:v>
      </x:c>
      <x:c r="E127" s="24" t="n">
        <x:v>8300.4</x:v>
      </x:c>
      <x:c r="F127" s="26" t="n">
        <x:f>ROUND(D127-E127,1)</x:f>
        <x:v>193</x:v>
      </x:c>
      <x:c r="G127" s="23" t="str">
        <x:v>IM2606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8400</x:v>
      </x:c>
      <x:c r="E128" s="24" t="n">
        <x:v>8306.4</x:v>
      </x:c>
      <x:c r="F128" s="24" t="n">
        <x:f>ROUND(D128-E128,1)</x:f>
        <x:v>93.6</x:v>
      </x:c>
      <x:c r="G128" s="23" t="str">
        <x:v>IM2606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8444.6</x:v>
      </x:c>
      <x:c r="E129" s="24" t="n">
        <x:v>8240</x:v>
      </x:c>
      <x:c r="F129" s="26" t="n">
        <x:f>ROUND(D129-E129,1)</x:f>
        <x:v>204.6</x:v>
      </x:c>
      <x:c r="G129" s="23" t="str">
        <x:v>IM2606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8222</x:v>
      </x:c>
      <x:c r="E130" s="24" t="n">
        <x:v>7962</x:v>
      </x:c>
      <x:c r="F130" s="26" t="n">
        <x:f>ROUND(D130-E130,1)</x:f>
        <x:v>260</x:v>
      </x:c>
      <x:c r="G130" s="23" t="str">
        <x:v>IM2606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8261.6</x:v>
      </x:c>
      <x:c r="E131" s="24" t="n">
        <x:v>8065</x:v>
      </x:c>
      <x:c r="F131" s="26" t="n">
        <x:f>ROUND(D131-E131,1)</x:f>
        <x:v>196.6</x:v>
      </x:c>
      <x:c r="G131" s="23" t="str">
        <x:v>IM2606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8214.8</x:v>
      </x:c>
      <x:c r="E132" s="24" t="n">
        <x:v>8053</x:v>
      </x:c>
      <x:c r="F132" s="24" t="n">
        <x:f>ROUND(D132-E132,1)</x:f>
        <x:v>161.8</x:v>
      </x:c>
      <x:c r="G132" s="23" t="str">
        <x:v>IM2606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8194.4</x:v>
      </x:c>
      <x:c r="E133" s="24" t="n">
        <x:v>8048</x:v>
      </x:c>
      <x:c r="F133" s="24" t="n">
        <x:f>ROUND(D133-E133,1)</x:f>
        <x:v>146.4</x:v>
      </x:c>
      <x:c r="G133" s="23" t="str">
        <x:v>IM2606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8323.8</x:v>
      </x:c>
      <x:c r="E134" s="24" t="n">
        <x:v>8165.2</x:v>
      </x:c>
      <x:c r="F134" s="24" t="n">
        <x:f>ROUND(D134-E134,1)</x:f>
        <x:v>158.6</x:v>
      </x:c>
      <x:c r="G134" s="23" t="str">
        <x:v>IM2606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8480.6</x:v>
      </x:c>
      <x:c r="E135" s="24" t="n">
        <x:v>8285</x:v>
      </x:c>
      <x:c r="F135" s="26" t="n">
        <x:f>ROUND(D135-E135,1)</x:f>
        <x:v>195.6</x:v>
      </x:c>
      <x:c r="G135" s="23" t="str">
        <x:v>IM2606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8645</x:v>
      </x:c>
      <x:c r="E136" s="24" t="n">
        <x:v>8447</x:v>
      </x:c>
      <x:c r="F136" s="26" t="n">
        <x:f>ROUND(D136-E136,1)</x:f>
        <x:v>198</x:v>
      </x:c>
      <x:c r="G136" s="23" t="str">
        <x:v>IM2606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8696</x:v>
      </x:c>
      <x:c r="E137" s="24" t="n">
        <x:v>8570</x:v>
      </x:c>
      <x:c r="F137" s="24" t="n">
        <x:f>ROUND(D137-E137,1)</x:f>
        <x:v>126</x:v>
      </x:c>
      <x:c r="G137" s="23" t="str">
        <x:v>IM2606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8788</x:v>
      </x:c>
      <x:c r="E138" s="24" t="n">
        <x:v>8646.6</x:v>
      </x:c>
      <x:c r="F138" s="24" t="n">
        <x:f>ROUND(D138-E138,1)</x:f>
        <x:v>141.4</x:v>
      </x:c>
      <x:c r="G138" s="23" t="str">
        <x:v>IM2606</x:v>
      </x:c>
    </x:row>
    <x:row r="139">
      <x:c r="A139" s="29" t="n">
        <x:v>15</x:v>
      </x:c>
      <x:c r="B139" s="29" t="str">
        <x:v>周一</x:v>
      </x:c>
      <x:c r="C139" s="29" t="str">
        <x:v>6月22日</x:v>
      </x:c>
      <x:c r="D139" s="30" t="n">
        <x:v>8558</x:v>
      </x:c>
      <x:c r="E139" s="30" t="n">
        <x:v>8367</x:v>
      </x:c>
      <x:c r="F139" s="26" t="n">
        <x:f>ROUND(D139-E139,1)</x:f>
        <x:v>191</x:v>
      </x:c>
      <x:c r="G139" s="29" t="str">
        <x:v>IM2609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8535</x:v>
      </x:c>
      <x:c r="E140" s="24" t="n">
        <x:v>8339.2</x:v>
      </x:c>
      <x:c r="F140" s="26" t="n">
        <x:f>ROUND(D140-E140,1)</x:f>
        <x:v>195.8</x:v>
      </x:c>
      <x:c r="G140" s="23" t="str">
        <x:v>IM2609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8520</x:v>
      </x:c>
      <x:c r="E141" s="24" t="n">
        <x:v>8344.6</x:v>
      </x:c>
      <x:c r="F141" s="24" t="n">
        <x:f>ROUND(D141-E141,1)</x:f>
        <x:v>175.4</x:v>
      </x:c>
      <x:c r="G141" s="23" t="str">
        <x:v>IM2609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8562</x:v>
      </x:c>
      <x:c r="E142" s="24" t="n">
        <x:v>8430</x:v>
      </x:c>
      <x:c r="F142" s="24" t="n">
        <x:f>ROUND(D142-E142,1)</x:f>
        <x:v>132</x:v>
      </x:c>
      <x:c r="G142" s="23" t="str">
        <x:v>IM2609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8490.2</x:v>
      </x:c>
      <x:c r="E143" s="24" t="n">
        <x:v>8260.2</x:v>
      </x:c>
      <x:c r="F143" s="26" t="n">
        <x:f>ROUND(D143-E143,1)</x:f>
        <x:v>230</x:v>
      </x:c>
      <x:c r="G143" s="23" t="str">
        <x:v>IM2609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8393</x:v>
      </x:c>
      <x:c r="E144" s="24" t="n">
        <x:v>8145.2</x:v>
      </x:c>
      <x:c r="F144" s="26" t="n">
        <x:f>ROUND(D144-E144,1)</x:f>
        <x:v>247.8</x:v>
      </x:c>
      <x:c r="G144" s="23" t="str">
        <x:v>IM2609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8518.8</x:v>
      </x:c>
      <x:c r="E145" s="24" t="n">
        <x:v>8270</x:v>
      </x:c>
      <x:c r="F145" s="26" t="n">
        <x:f>ROUND(D145-E145,1)</x:f>
        <x:v>248.8</x:v>
      </x:c>
      <x:c r="G145" s="23" t="str">
        <x:v>IM2609</x:v>
      </x:c>
    </x:row>
    <x:row r="146">
      <x:c r="A146" s="33" t="str">
        <x:v>合计</x:v>
      </x:c>
      <x:c r="B146" s="32" t="n">
        <x:v>21</x:v>
      </x:c>
      <x:c r="C146" s="32"/>
      <x:c r="D146" s="32"/>
      <x:c r="E146" s="32"/>
      <x:c r="F146" s="34" t="n">
        <x:f>ROUND(SUM(F125:F145),1)</x:f>
        <x:v>3857.2</x:v>
      </x:c>
      <x:c r="G146" s="32"/>
    </x:row>
    <x:row r="147">
      <x:c r="A147" s="33" t="str">
        <x:v>均值</x:v>
      </x:c>
      <x:c r="B147" s="32"/>
      <x:c r="C147" s="32"/>
      <x:c r="D147" s="32"/>
      <x:c r="E147" s="32"/>
      <x:c r="F147" s="36" t="n">
        <x:f>ROUND(IFERROR(AVERAGE(F125:F145),0),1)</x:f>
        <x:v>183.7</x:v>
      </x:c>
      <x:c r="G147" s="32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高点</x:v>
      </x:c>
      <x:c r="E150" s="20" t="str">
        <x:v>低点</x:v>
      </x:c>
      <x:c r="F150" s="20" t="str">
        <x:v>振幅</x:v>
      </x:c>
      <x:c r="G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8629</x:v>
      </x:c>
      <x:c r="E151" s="24" t="n">
        <x:v>8480</x:v>
      </x:c>
      <x:c r="F151" s="24" t="n">
        <x:f>ROUND(D151-E151,1)</x:f>
        <x:v>149</x:v>
      </x:c>
      <x:c r="G151" s="23" t="str">
        <x:v>IM2609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8556</x:v>
      </x:c>
      <x:c r="E152" s="24" t="n">
        <x:v>8344</x:v>
      </x:c>
      <x:c r="F152" s="26" t="n">
        <x:f>ROUND(D152-E152,1)</x:f>
        <x:v>212</x:v>
      </x:c>
      <x:c r="G152" s="23" t="str">
        <x:v>IM2609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8475</x:v>
      </x:c>
      <x:c r="E153" s="24" t="n">
        <x:v>8337.8</x:v>
      </x:c>
      <x:c r="F153" s="24" t="n">
        <x:f>ROUND(D153-E153,1)</x:f>
        <x:v>137.2</x:v>
      </x:c>
      <x:c r="G153" s="23" t="str">
        <x:v>IM2609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8419.8</x:v>
      </x:c>
      <x:c r="E154" s="24" t="n">
        <x:v>8213</x:v>
      </x:c>
      <x:c r="F154" s="26" t="n">
        <x:f>ROUND(D154-E154,1)</x:f>
        <x:v>206.8</x:v>
      </x:c>
      <x:c r="G154" s="23" t="str">
        <x:v>IM2609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8274.2</x:v>
      </x:c>
      <x:c r="E155" s="24" t="n">
        <x:v>8068.8</x:v>
      </x:c>
      <x:c r="F155" s="26" t="n">
        <x:f>ROUND(D155-E155,1)</x:f>
        <x:v>205.4</x:v>
      </x:c>
      <x:c r="G155" s="23" t="str">
        <x:v>IM2609</x:v>
      </x:c>
    </x:row>
    <x:row r="156">
      <x:c r="A156" s="33" t="str">
        <x:v>合计</x:v>
      </x:c>
      <x:c r="B156" s="32" t="n">
        <x:v>5</x:v>
      </x:c>
      <x:c r="C156" s="32"/>
      <x:c r="D156" s="32"/>
      <x:c r="E156" s="32"/>
      <x:c r="F156" s="34" t="n">
        <x:f>ROUND(SUM(F151:F155),1)</x:f>
        <x:v>910.4</x:v>
      </x:c>
      <x:c r="G156" s="32"/>
    </x:row>
    <x:row r="157">
      <x:c r="A157" s="33" t="str">
        <x:v>均值</x:v>
      </x:c>
      <x:c r="B157" s="32"/>
      <x:c r="C157" s="32"/>
      <x:c r="D157" s="32"/>
      <x:c r="E157" s="32"/>
      <x:c r="F157" s="36" t="n">
        <x:f>ROUND(IFERROR(AVERAGE(F151:F155),0),1)</x:f>
        <x:v>182.1</x:v>
      </x:c>
      <x:c r="G157" s="32"/>
    </x:row>
  </x:sheetData>
  <x:mergeCells>
    <x:mergeCell ref="A1:G1"/>
    <x:mergeCell ref="A3:G3"/>
    <x:mergeCell ref="A28:G28"/>
    <x:mergeCell ref="A47:G47"/>
    <x:mergeCell ref="A74:G74"/>
    <x:mergeCell ref="A100:G100"/>
    <x:mergeCell ref="A123:G123"/>
    <x:mergeCell ref="A149:G14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高点</x:v>
      </x:c>
      <x:c r="E4" s="20" t="str">
        <x:v>低点</x:v>
      </x:c>
      <x:c r="F4" s="20" t="str">
        <x:v>振幅</x:v>
      </x:c>
      <x:c r="G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7599.2</x:v>
      </x:c>
      <x:c r="E5" s="24" t="n">
        <x:v>7422</x:v>
      </x:c>
      <x:c r="F5" s="26" t="n">
        <x:f>ROUND(D5-E5,1)</x:f>
        <x:v>177.2</x:v>
      </x:c>
      <x:c r="G5" s="23" t="str">
        <x:v>IC2603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7786.4</x:v>
      </x:c>
      <x:c r="E6" s="24" t="n">
        <x:v>7616</x:v>
      </x:c>
      <x:c r="F6" s="26" t="n">
        <x:f>ROUND(D6-E6,1)</x:f>
        <x:v>170.4</x:v>
      </x:c>
      <x:c r="G6" s="23" t="str">
        <x:v>IC2603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7845.6</x:v>
      </x:c>
      <x:c r="E7" s="24" t="n">
        <x:v>7770</x:v>
      </x:c>
      <x:c r="F7" s="24" t="n">
        <x:f>ROUND(D7-E7,1)</x:f>
        <x:v>75.6</x:v>
      </x:c>
      <x:c r="G7" s="23" t="str">
        <x:v>IC2603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7883.8</x:v>
      </x:c>
      <x:c r="E8" s="24" t="n">
        <x:v>7774.6</x:v>
      </x:c>
      <x:c r="F8" s="24" t="n">
        <x:f>ROUND(D8-E8,1)</x:f>
        <x:v>109.2</x:v>
      </x:c>
      <x:c r="G8" s="23" t="str">
        <x:v>IC2603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8037.8</x:v>
      </x:c>
      <x:c r="E9" s="24" t="n">
        <x:v>7822</x:v>
      </x:c>
      <x:c r="F9" s="26" t="n">
        <x:f>ROUND(D9-E9,1)</x:f>
        <x:v>215.8</x:v>
      </x:c>
      <x:c r="G9" s="23" t="str">
        <x:v>IC2603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8268</x:v>
      </x:c>
      <x:c r="E10" s="24" t="n">
        <x:v>8044</x:v>
      </x:c>
      <x:c r="F10" s="26" t="n">
        <x:f>ROUND(D10-E10,1)</x:f>
        <x:v>224</x:v>
      </x:c>
      <x:c r="G10" s="23" t="str">
        <x:v>IC2603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8265</x:v>
      </x:c>
      <x:c r="E11" s="24" t="n">
        <x:v>8078</x:v>
      </x:c>
      <x:c r="F11" s="26" t="n">
        <x:f>ROUND(D11-E11,1)</x:f>
        <x:v>187</x:v>
      </x:c>
      <x:c r="G11" s="23" t="str">
        <x:v>IC2603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8388.6</x:v>
      </x:c>
      <x:c r="E12" s="24" t="n">
        <x:v>8059.4</x:v>
      </x:c>
      <x:c r="F12" s="26" t="n">
        <x:f>ROUND(D12-E12,1)</x:f>
        <x:v>329.2</x:v>
      </x:c>
      <x:c r="G12" s="23" t="str">
        <x:v>IC2603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8239.2</x:v>
      </x:c>
      <x:c r="E13" s="24" t="n">
        <x:v>8115</x:v>
      </x:c>
      <x:c r="F13" s="24" t="n">
        <x:f>ROUND(D13-E13,1)</x:f>
        <x:v>124.2</x:v>
      </x:c>
      <x:c r="G13" s="23" t="str">
        <x:v>IC2603</x:v>
      </x:c>
    </x:row>
    <x:row r="14">
      <x:c r="A14" s="29" t="n">
        <x:v>10</x:v>
      </x:c>
      <x:c r="B14" s="29" t="str">
        <x:v>周五</x:v>
      </x:c>
      <x:c r="C14" s="29" t="str">
        <x:v>1月16日</x:v>
      </x:c>
      <x:c r="D14" s="30" t="n">
        <x:v>8280.2</x:v>
      </x:c>
      <x:c r="E14" s="30" t="n">
        <x:v>8162.4</x:v>
      </x:c>
      <x:c r="F14" s="30" t="n">
        <x:f>ROUND(D14-E14,1)</x:f>
        <x:v>117.8</x:v>
      </x:c>
      <x:c r="G14" s="29" t="str">
        <x:v>IC2603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8324.8</x:v>
      </x:c>
      <x:c r="E15" s="24" t="n">
        <x:v>8172.2</x:v>
      </x:c>
      <x:c r="F15" s="26" t="n">
        <x:f>ROUND(D15-E15,1)</x:f>
        <x:v>152.6</x:v>
      </x:c>
      <x:c r="G15" s="23" t="str">
        <x:v>IC2603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8348</x:v>
      </x:c>
      <x:c r="E16" s="24" t="n">
        <x:v>8112</x:v>
      </x:c>
      <x:c r="F16" s="26" t="n">
        <x:f>ROUND(D16-E16,1)</x:f>
        <x:v>236</x:v>
      </x:c>
      <x:c r="G16" s="23" t="str">
        <x:v>IC2603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8372</x:v>
      </x:c>
      <x:c r="E17" s="24" t="n">
        <x:v>8205</x:v>
      </x:c>
      <x:c r="F17" s="26" t="n">
        <x:f>ROUND(D17-E17,1)</x:f>
        <x:v>167</x:v>
      </x:c>
      <x:c r="G17" s="23" t="str">
        <x:v>IC2603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8434</x:v>
      </x:c>
      <x:c r="E18" s="24" t="n">
        <x:v>8333.6</x:v>
      </x:c>
      <x:c r="F18" s="24" t="n">
        <x:f>ROUND(D18-E18,1)</x:f>
        <x:v>100.4</x:v>
      </x:c>
      <x:c r="G18" s="23" t="str">
        <x:v>IC2603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8660</x:v>
      </x:c>
      <x:c r="E19" s="24" t="n">
        <x:v>8427</x:v>
      </x:c>
      <x:c r="F19" s="26" t="n">
        <x:f>ROUND(D19-E19,1)</x:f>
        <x:v>233</x:v>
      </x:c>
      <x:c r="G19" s="23" t="str">
        <x:v>IC2603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8728.2</x:v>
      </x:c>
      <x:c r="E20" s="24" t="n">
        <x:v>8428.2</x:v>
      </x:c>
      <x:c r="F20" s="26" t="n">
        <x:f>ROUND(D20-E20,1)</x:f>
        <x:v>300</x:v>
      </x:c>
      <x:c r="G20" s="23" t="str">
        <x:v>IC2603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8604.6</x:v>
      </x:c>
      <x:c r="E21" s="24" t="n">
        <x:v>8346</x:v>
      </x:c>
      <x:c r="F21" s="26" t="n">
        <x:f>ROUND(D21-E21,1)</x:f>
        <x:v>258.6</x:v>
      </x:c>
      <x:c r="G21" s="23" t="str">
        <x:v>IC2603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8658</x:v>
      </x:c>
      <x:c r="E22" s="24" t="n">
        <x:v>8515.2</x:v>
      </x:c>
      <x:c r="F22" s="24" t="n">
        <x:f>ROUND(D22-E22,1)</x:f>
        <x:v>142.8</x:v>
      </x:c>
      <x:c r="G22" s="23" t="str">
        <x:v>IC2603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8700</x:v>
      </x:c>
      <x:c r="E23" s="24" t="n">
        <x:v>8488.2</x:v>
      </x:c>
      <x:c r="F23" s="26" t="n">
        <x:f>ROUND(D23-E23,1)</x:f>
        <x:v>211.8</x:v>
      </x:c>
      <x:c r="G23" s="23" t="str">
        <x:v>IC2603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8535</x:v>
      </x:c>
      <x:c r="E24" s="24" t="n">
        <x:v>8135</x:v>
      </x:c>
      <x:c r="F24" s="26" t="n">
        <x:f>ROUND(D24-E24,1)</x:f>
        <x:v>400</x:v>
      </x:c>
      <x:c r="G24" s="23" t="str">
        <x:v>IC2603</x:v>
      </x:c>
    </x:row>
    <x:row r="25">
      <x:c r="A25" s="33" t="str">
        <x:v>合计</x:v>
      </x:c>
      <x:c r="B25" s="32" t="n">
        <x:v>20</x:v>
      </x:c>
      <x:c r="C25" s="32"/>
      <x:c r="D25" s="32"/>
      <x:c r="E25" s="32"/>
      <x:c r="F25" s="34" t="n">
        <x:f>ROUND(SUM(F5:F24),1)</x:f>
        <x:v>3932.6</x:v>
      </x:c>
      <x:c r="G25" s="32"/>
    </x:row>
    <x:row r="26">
      <x:c r="A26" s="33" t="str">
        <x:v>均值</x:v>
      </x:c>
      <x:c r="B26" s="32"/>
      <x:c r="C26" s="32"/>
      <x:c r="D26" s="32"/>
      <x:c r="E26" s="32"/>
      <x:c r="F26" s="36" t="n">
        <x:f>ROUND(IFERROR(AVERAGE(F5:F24),0),1)</x:f>
        <x:v>196.6</x:v>
      </x:c>
      <x:c r="G26" s="32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高点</x:v>
      </x:c>
      <x:c r="E29" s="20" t="str">
        <x:v>低点</x:v>
      </x:c>
      <x:c r="F29" s="20" t="str">
        <x:v>振幅</x:v>
      </x:c>
      <x:c r="G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8334.4</x:v>
      </x:c>
      <x:c r="E30" s="24" t="n">
        <x:v>7832</x:v>
      </x:c>
      <x:c r="F30" s="26" t="n">
        <x:f>ROUND(D30-E30,1)</x:f>
        <x:v>502.4</x:v>
      </x:c>
      <x:c r="G30" s="23" t="str">
        <x:v>IC2603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8296.8</x:v>
      </x:c>
      <x:c r="E31" s="24" t="n">
        <x:v>8011.2</x:v>
      </x:c>
      <x:c r="F31" s="26" t="n">
        <x:f>ROUND(D31-E31,1)</x:f>
        <x:v>285.6</x:v>
      </x:c>
      <x:c r="G31" s="23" t="str">
        <x:v>IC2603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8317.8</x:v>
      </x:c>
      <x:c r="E32" s="24" t="n">
        <x:v>8133.6</x:v>
      </x:c>
      <x:c r="F32" s="26" t="n">
        <x:f>ROUND(D32-E32,1)</x:f>
        <x:v>184.2</x:v>
      </x:c>
      <x:c r="G32" s="23" t="str">
        <x:v>IC2603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8229</x:v>
      </x:c>
      <x:c r="E33" s="24" t="n">
        <x:v>8030</x:v>
      </x:c>
      <x:c r="F33" s="26" t="n">
        <x:f>ROUND(D33-E33,1)</x:f>
        <x:v>199</x:v>
      </x:c>
      <x:c r="G33" s="23" t="str">
        <x:v>IC2603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8249.6</x:v>
      </x:c>
      <x:c r="E34" s="24" t="n">
        <x:v>7950</x:v>
      </x:c>
      <x:c r="F34" s="26" t="n">
        <x:f>ROUND(D34-E34,1)</x:f>
        <x:v>299.6</x:v>
      </x:c>
      <x:c r="G34" s="23" t="str">
        <x:v>IC2603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8324</x:v>
      </x:c>
      <x:c r="E35" s="24" t="n">
        <x:v>8220</x:v>
      </x:c>
      <x:c r="F35" s="24" t="n">
        <x:f>ROUND(D35-E35,1)</x:f>
        <x:v>104</x:v>
      </x:c>
      <x:c r="G35" s="23" t="str">
        <x:v>IC2603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8329</x:v>
      </x:c>
      <x:c r="E36" s="24" t="n">
        <x:v>8244.8</x:v>
      </x:c>
      <x:c r="F36" s="24" t="n">
        <x:f>ROUND(D36-E36,1)</x:f>
        <x:v>84.2</x:v>
      </x:c>
      <x:c r="G36" s="23" t="str">
        <x:v>IC2603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8384</x:v>
      </x:c>
      <x:c r="E37" s="24" t="n">
        <x:v>8282.8</x:v>
      </x:c>
      <x:c r="F37" s="24" t="n">
        <x:f>ROUND(D37-E37,1)</x:f>
        <x:v>101.2</x:v>
      </x:c>
      <x:c r="G37" s="23" t="str">
        <x:v>IC2603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8458.8</x:v>
      </x:c>
      <x:c r="E38" s="24" t="n">
        <x:v>8331.2</x:v>
      </x:c>
      <x:c r="F38" s="24" t="n">
        <x:f>ROUND(D38-E38,1)</x:f>
        <x:v>127.6</x:v>
      </x:c>
      <x:c r="G38" s="23" t="str">
        <x:v>IC2603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8419</x:v>
      </x:c>
      <x:c r="E39" s="24" t="n">
        <x:v>8250</x:v>
      </x:c>
      <x:c r="F39" s="26" t="n">
        <x:f>ROUND(D39-E39,1)</x:f>
        <x:v>169</x:v>
      </x:c>
      <x:c r="G39" s="23" t="str">
        <x:v>IC2603</x:v>
      </x:c>
    </x:row>
    <x:row r="40">
      <x:c r="A40" s="29" t="n">
        <x:v>11</x:v>
      </x:c>
      <x:c r="B40" s="29" t="str">
        <x:v>周二</x:v>
      </x:c>
      <x:c r="C40" s="29" t="str">
        <x:v>2月24日</x:v>
      </x:c>
      <x:c r="D40" s="30" t="n">
        <x:v>8455</x:v>
      </x:c>
      <x:c r="E40" s="30" t="n">
        <x:v>8314</x:v>
      </x:c>
      <x:c r="F40" s="30" t="n">
        <x:f>ROUND(D40-E40,1)</x:f>
        <x:v>141</x:v>
      </x:c>
      <x:c r="G40" s="29" t="str">
        <x:v>IC2603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8558</x:v>
      </x:c>
      <x:c r="E41" s="24" t="n">
        <x:v>8394</x:v>
      </x:c>
      <x:c r="F41" s="26" t="n">
        <x:f>ROUND(D41-E41,1)</x:f>
        <x:v>164</x:v>
      </x:c>
      <x:c r="G41" s="23" t="str">
        <x:v>IC2603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8568</x:v>
      </x:c>
      <x:c r="E42" s="24" t="n">
        <x:v>8477.4</x:v>
      </x:c>
      <x:c r="F42" s="24" t="n">
        <x:f>ROUND(D42-E42,1)</x:f>
        <x:v>90.6</x:v>
      </x:c>
      <x:c r="G42" s="23" t="str">
        <x:v>IC2603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8650</x:v>
      </x:c>
      <x:c r="E43" s="24" t="n">
        <x:v>8484</x:v>
      </x:c>
      <x:c r="F43" s="26" t="n">
        <x:f>ROUND(D43-E43,1)</x:f>
        <x:v>166</x:v>
      </x:c>
      <x:c r="G43" s="23" t="str">
        <x:v>IC2603</x:v>
      </x:c>
    </x:row>
    <x:row r="44">
      <x:c r="A44" s="33" t="str">
        <x:v>合计</x:v>
      </x:c>
      <x:c r="B44" s="32" t="n">
        <x:v>14</x:v>
      </x:c>
      <x:c r="C44" s="32"/>
      <x:c r="D44" s="32"/>
      <x:c r="E44" s="32"/>
      <x:c r="F44" s="34" t="n">
        <x:f>ROUND(SUM(F30:F43),1)</x:f>
        <x:v>2618.4</x:v>
      </x:c>
      <x:c r="G44" s="32"/>
    </x:row>
    <x:row r="45">
      <x:c r="A45" s="33" t="str">
        <x:v>均值</x:v>
      </x:c>
      <x:c r="B45" s="32"/>
      <x:c r="C45" s="32"/>
      <x:c r="D45" s="32"/>
      <x:c r="E45" s="32"/>
      <x:c r="F45" s="36" t="n">
        <x:f>ROUND(IFERROR(AVERAGE(F30:F43),0),1)</x:f>
        <x:v>187</x:v>
      </x:c>
      <x:c r="G45" s="32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高点</x:v>
      </x:c>
      <x:c r="E48" s="20" t="str">
        <x:v>低点</x:v>
      </x:c>
      <x:c r="F48" s="20" t="str">
        <x:v>振幅</x:v>
      </x:c>
      <x:c r="G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8686</x:v>
      </x:c>
      <x:c r="E49" s="24" t="n">
        <x:v>8519.8</x:v>
      </x:c>
      <x:c r="F49" s="26" t="n">
        <x:f>ROUND(D49-E49,1)</x:f>
        <x:v>166.2</x:v>
      </x:c>
      <x:c r="G49" s="23" t="str">
        <x:v>IC2603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8642</x:v>
      </x:c>
      <x:c r="E50" s="24" t="n">
        <x:v>8238.8</x:v>
      </x:c>
      <x:c r="F50" s="26" t="n">
        <x:f>ROUND(D50-E50,1)</x:f>
        <x:v>403.2</x:v>
      </x:c>
      <x:c r="G50" s="23" t="str">
        <x:v>IC2603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8380.4</x:v>
      </x:c>
      <x:c r="E51" s="24" t="n">
        <x:v>8193</x:v>
      </x:c>
      <x:c r="F51" s="26" t="n">
        <x:f>ROUND(D51-E51,1)</x:f>
        <x:v>187.4</x:v>
      </x:c>
      <x:c r="G51" s="23" t="str">
        <x:v>IC2603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8361.4</x:v>
      </x:c>
      <x:c r="E52" s="24" t="n">
        <x:v>8180.6</x:v>
      </x:c>
      <x:c r="F52" s="26" t="n">
        <x:f>ROUND(D52-E52,1)</x:f>
        <x:v>180.8</x:v>
      </x:c>
      <x:c r="G52" s="23" t="str">
        <x:v>IC2603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8379.8</x:v>
      </x:c>
      <x:c r="E53" s="24" t="n">
        <x:v>8224.2</x:v>
      </x:c>
      <x:c r="F53" s="26" t="n">
        <x:f>ROUND(D53-E53,1)</x:f>
        <x:v>155.6</x:v>
      </x:c>
      <x:c r="G53" s="23" t="str">
        <x:v>IC2603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8294.2</x:v>
      </x:c>
      <x:c r="E54" s="24" t="n">
        <x:v>7710</x:v>
      </x:c>
      <x:c r="F54" s="26" t="n">
        <x:f>ROUND(D54-E54,1)</x:f>
        <x:v>584.2</x:v>
      </x:c>
      <x:c r="G54" s="23" t="str">
        <x:v>IC2603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8405.8</x:v>
      </x:c>
      <x:c r="E55" s="24" t="n">
        <x:v>8290</x:v>
      </x:c>
      <x:c r="F55" s="24" t="n">
        <x:f>ROUND(D55-E55,1)</x:f>
        <x:v>115.8</x:v>
      </x:c>
      <x:c r="G55" s="23" t="str">
        <x:v>IC2603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8434.4</x:v>
      </x:c>
      <x:c r="E56" s="24" t="n">
        <x:v>8346</x:v>
      </x:c>
      <x:c r="F56" s="24" t="n">
        <x:f>ROUND(D56-E56,1)</x:f>
        <x:v>88.4</x:v>
      </x:c>
      <x:c r="G56" s="23" t="str">
        <x:v>IC2603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8396</x:v>
      </x:c>
      <x:c r="E57" s="24" t="n">
        <x:v>8233.8</x:v>
      </x:c>
      <x:c r="F57" s="26" t="n">
        <x:f>ROUND(D57-E57,1)</x:f>
        <x:v>162.2</x:v>
      </x:c>
      <x:c r="G57" s="23" t="str">
        <x:v>IC2603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8360</x:v>
      </x:c>
      <x:c r="E58" s="24" t="n">
        <x:v>8195.4</x:v>
      </x:c>
      <x:c r="F58" s="26" t="n">
        <x:f>ROUND(D58-E58,1)</x:f>
        <x:v>164.6</x:v>
      </x:c>
      <x:c r="G58" s="23" t="str">
        <x:v>IC2603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8229.6</x:v>
      </x:c>
      <x:c r="E59" s="24" t="n">
        <x:v>8033.8</x:v>
      </x:c>
      <x:c r="F59" s="26" t="n">
        <x:f>ROUND(D59-E59,1)</x:f>
        <x:v>195.8</x:v>
      </x:c>
      <x:c r="G59" s="23" t="str">
        <x:v>IC2603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8216.6</x:v>
      </x:c>
      <x:c r="E60" s="24" t="n">
        <x:v>7994</x:v>
      </x:c>
      <x:c r="F60" s="26" t="n">
        <x:f>ROUND(D60-E60,1)</x:f>
        <x:v>222.6</x:v>
      </x:c>
      <x:c r="G60" s="23" t="str">
        <x:v>IC2603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8099</x:v>
      </x:c>
      <x:c r="E61" s="24" t="n">
        <x:v>7950</x:v>
      </x:c>
      <x:c r="F61" s="24" t="n">
        <x:f>ROUND(D61-E61,1)</x:f>
        <x:v>149</x:v>
      </x:c>
      <x:c r="G61" s="23" t="str">
        <x:v>IC2603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8005.6</x:v>
      </x:c>
      <x:c r="E62" s="24" t="n">
        <x:v>7839.2</x:v>
      </x:c>
      <x:c r="F62" s="26" t="n">
        <x:f>ROUND(D62-E62,1)</x:f>
        <x:v>166.4</x:v>
      </x:c>
      <x:c r="G62" s="23" t="str">
        <x:v>IC2603</x:v>
      </x:c>
    </x:row>
    <x:row r="63">
      <x:c r="A63" s="29" t="n">
        <x:v>15</x:v>
      </x:c>
      <x:c r="B63" s="29" t="str">
        <x:v>周五</x:v>
      </x:c>
      <x:c r="C63" s="29" t="str">
        <x:v>3月20日</x:v>
      </x:c>
      <x:c r="D63" s="30" t="n">
        <x:v>7955</x:v>
      </x:c>
      <x:c r="E63" s="30" t="n">
        <x:v>7827.8</x:v>
      </x:c>
      <x:c r="F63" s="30" t="n">
        <x:f>ROUND(D63-E63,1)</x:f>
        <x:v>127.2</x:v>
      </x:c>
      <x:c r="G63" s="29" t="str">
        <x:v>IC2603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7532.2</x:v>
      </x:c>
      <x:c r="E64" s="24" t="n">
        <x:v>7171</x:v>
      </x:c>
      <x:c r="F64" s="26" t="n">
        <x:f>ROUND(D64-E64,1)</x:f>
        <x:v>361.2</x:v>
      </x:c>
      <x:c r="G64" s="23" t="str">
        <x:v>IC2606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7420.4</x:v>
      </x:c>
      <x:c r="E65" s="24" t="n">
        <x:v>7179</x:v>
      </x:c>
      <x:c r="F65" s="26" t="n">
        <x:f>ROUND(D65-E65,1)</x:f>
        <x:v>241.4</x:v>
      </x:c>
      <x:c r="G65" s="23" t="str">
        <x:v>IC2606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7652</x:v>
      </x:c>
      <x:c r="E66" s="24" t="n">
        <x:v>7480</x:v>
      </x:c>
      <x:c r="F66" s="26" t="n">
        <x:f>ROUND(D66-E66,1)</x:f>
        <x:v>172</x:v>
      </x:c>
      <x:c r="G66" s="23" t="str">
        <x:v>IC2606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7578.8</x:v>
      </x:c>
      <x:c r="E67" s="24" t="n">
        <x:v>7406.6</x:v>
      </x:c>
      <x:c r="F67" s="26" t="n">
        <x:f>ROUND(D67-E67,1)</x:f>
        <x:v>172.2</x:v>
      </x:c>
      <x:c r="G67" s="23" t="str">
        <x:v>IC2606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7612.6</x:v>
      </x:c>
      <x:c r="E68" s="24" t="n">
        <x:v>7348</x:v>
      </x:c>
      <x:c r="F68" s="26" t="n">
        <x:f>ROUND(D68-E68,1)</x:f>
        <x:v>264.6</x:v>
      </x:c>
      <x:c r="G68" s="23" t="str">
        <x:v>IC2606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7576.6</x:v>
      </x:c>
      <x:c r="E69" s="24" t="n">
        <x:v>7372.4</x:v>
      </x:c>
      <x:c r="F69" s="26" t="n">
        <x:f>ROUND(D69-E69,1)</x:f>
        <x:v>204.2</x:v>
      </x:c>
      <x:c r="G69" s="23" t="str">
        <x:v>IC2606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7619</x:v>
      </x:c>
      <x:c r="E70" s="24" t="n">
        <x:v>7417.8</x:v>
      </x:c>
      <x:c r="F70" s="26" t="n">
        <x:f>ROUND(D70-E70,1)</x:f>
        <x:v>201.2</x:v>
      </x:c>
      <x:c r="G70" s="23" t="str">
        <x:v>IC2606</x:v>
      </x:c>
    </x:row>
    <x:row r="71">
      <x:c r="A71" s="33" t="str">
        <x:v>合计</x:v>
      </x:c>
      <x:c r="B71" s="32" t="n">
        <x:v>22</x:v>
      </x:c>
      <x:c r="C71" s="32"/>
      <x:c r="D71" s="32"/>
      <x:c r="E71" s="32"/>
      <x:c r="F71" s="34" t="n">
        <x:f>ROUND(SUM(F49:F70),1)</x:f>
        <x:v>4686.2</x:v>
      </x:c>
      <x:c r="G71" s="32"/>
    </x:row>
    <x:row r="72">
      <x:c r="A72" s="33" t="str">
        <x:v>均值</x:v>
      </x:c>
      <x:c r="B72" s="32"/>
      <x:c r="C72" s="32"/>
      <x:c r="D72" s="32"/>
      <x:c r="E72" s="32"/>
      <x:c r="F72" s="36" t="n">
        <x:f>ROUND(IFERROR(AVERAGE(F49:F70),0),1)</x:f>
        <x:v>213</x:v>
      </x:c>
      <x:c r="G72" s="32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高点</x:v>
      </x:c>
      <x:c r="E75" s="20" t="str">
        <x:v>低点</x:v>
      </x:c>
      <x:c r="F75" s="20" t="str">
        <x:v>振幅</x:v>
      </x:c>
      <x:c r="G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7612.8</x:v>
      </x:c>
      <x:c r="E76" s="24" t="n">
        <x:v>7509</x:v>
      </x:c>
      <x:c r="F76" s="24" t="n">
        <x:f>ROUND(D76-E76,1)</x:f>
        <x:v>103.8</x:v>
      </x:c>
      <x:c r="G76" s="23" t="str">
        <x:v>IC2606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7561.4</x:v>
      </x:c>
      <x:c r="E77" s="24" t="n">
        <x:v>7341.4</x:v>
      </x:c>
      <x:c r="F77" s="26" t="n">
        <x:f>ROUND(D77-E77,1)</x:f>
        <x:v>220</x:v>
      </x:c>
      <x:c r="G77" s="23" t="str">
        <x:v>IC2606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7459.8</x:v>
      </x:c>
      <x:c r="E78" s="24" t="n">
        <x:v>7325.2</x:v>
      </x:c>
      <x:c r="F78" s="24" t="n">
        <x:f>ROUND(D78-E78,1)</x:f>
        <x:v>134.6</x:v>
      </x:c>
      <x:c r="G78" s="23" t="str">
        <x:v>IC2606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7470</x:v>
      </x:c>
      <x:c r="E79" s="24" t="n">
        <x:v>7355.6</x:v>
      </x:c>
      <x:c r="F79" s="24" t="n">
        <x:f>ROUND(D79-E79,1)</x:f>
        <x:v>114.4</x:v>
      </x:c>
      <x:c r="G79" s="23" t="str">
        <x:v>IC2606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7834.6</x:v>
      </x:c>
      <x:c r="E80" s="24" t="n">
        <x:v>7600</x:v>
      </x:c>
      <x:c r="F80" s="26" t="n">
        <x:f>ROUND(D80-E80,1)</x:f>
        <x:v>234.6</x:v>
      </x:c>
      <x:c r="G80" s="23" t="str">
        <x:v>IC2606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7793.6</x:v>
      </x:c>
      <x:c r="E81" s="24" t="n">
        <x:v>7698.8</x:v>
      </x:c>
      <x:c r="F81" s="24" t="n">
        <x:f>ROUND(D81-E81,1)</x:f>
        <x:v>94.8</x:v>
      </x:c>
      <x:c r="G81" s="23" t="str">
        <x:v>IC2606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7945.4</x:v>
      </x:c>
      <x:c r="E82" s="24" t="n">
        <x:v>7796.4</x:v>
      </x:c>
      <x:c r="F82" s="24" t="n">
        <x:f>ROUND(D82-E82,1)</x:f>
        <x:v>149</x:v>
      </x:c>
      <x:c r="G82" s="23" t="str">
        <x:v>IC2606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7864</x:v>
      </x:c>
      <x:c r="E83" s="24" t="n">
        <x:v>7792</x:v>
      </x:c>
      <x:c r="F83" s="24" t="n">
        <x:f>ROUND(D83-E83,1)</x:f>
        <x:v>72</x:v>
      </x:c>
      <x:c r="G83" s="23" t="str">
        <x:v>IC2606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7944.4</x:v>
      </x:c>
      <x:c r="E84" s="24" t="n">
        <x:v>7842.4</x:v>
      </x:c>
      <x:c r="F84" s="24" t="n">
        <x:f>ROUND(D84-E84,1)</x:f>
        <x:v>102</x:v>
      </x:c>
      <x:c r="G84" s="23" t="str">
        <x:v>IC2606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8023</x:v>
      </x:c>
      <x:c r="E85" s="24" t="n">
        <x:v>7901</x:v>
      </x:c>
      <x:c r="F85" s="24" t="n">
        <x:f>ROUND(D85-E85,1)</x:f>
        <x:v>122</x:v>
      </x:c>
      <x:c r="G85" s="23" t="str">
        <x:v>IC2606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8084.4</x:v>
      </x:c>
      <x:c r="E86" s="24" t="n">
        <x:v>7937.4</x:v>
      </x:c>
      <x:c r="F86" s="24" t="n">
        <x:f>ROUND(D86-E86,1)</x:f>
        <x:v>147</x:v>
      </x:c>
      <x:c r="G86" s="23" t="str">
        <x:v>IC2606</x:v>
      </x:c>
    </x:row>
    <x:row r="87">
      <x:c r="A87" s="29" t="n">
        <x:v>12</x:v>
      </x:c>
      <x:c r="B87" s="29" t="str">
        <x:v>周五</x:v>
      </x:c>
      <x:c r="C87" s="29" t="str">
        <x:v>4月17日</x:v>
      </x:c>
      <x:c r="D87" s="30" t="n">
        <x:v>8119.6</x:v>
      </x:c>
      <x:c r="E87" s="30" t="n">
        <x:v>8015</x:v>
      </x:c>
      <x:c r="F87" s="30" t="n">
        <x:f>ROUND(D87-E87,1)</x:f>
        <x:v>104.6</x:v>
      </x:c>
      <x:c r="G87" s="29" t="str">
        <x:v>IC2606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8213.8</x:v>
      </x:c>
      <x:c r="E88" s="24" t="n">
        <x:v>8076.4</x:v>
      </x:c>
      <x:c r="F88" s="24" t="n">
        <x:f>ROUND(D88-E88,1)</x:f>
        <x:v>137.4</x:v>
      </x:c>
      <x:c r="G88" s="23" t="str">
        <x:v>IC2606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8150</x:v>
      </x:c>
      <x:c r="E89" s="24" t="n">
        <x:v>8055</x:v>
      </x:c>
      <x:c r="F89" s="24" t="n">
        <x:f>ROUND(D89-E89,1)</x:f>
        <x:v>95</x:v>
      </x:c>
      <x:c r="G89" s="23" t="str">
        <x:v>IC2606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8265.6</x:v>
      </x:c>
      <x:c r="E90" s="24" t="n">
        <x:v>8091</x:v>
      </x:c>
      <x:c r="F90" s="26" t="n">
        <x:f>ROUND(D90-E90,1)</x:f>
        <x:v>174.6</x:v>
      </x:c>
      <x:c r="G90" s="23" t="str">
        <x:v>IC2606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8288.2</x:v>
      </x:c>
      <x:c r="E91" s="24" t="n">
        <x:v>8090</x:v>
      </x:c>
      <x:c r="F91" s="26" t="n">
        <x:f>ROUND(D91-E91,1)</x:f>
        <x:v>198.2</x:v>
      </x:c>
      <x:c r="G91" s="23" t="str">
        <x:v>IC2606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8193.8</x:v>
      </x:c>
      <x:c r="E92" s="24" t="n">
        <x:v>8042</x:v>
      </x:c>
      <x:c r="F92" s="26" t="n">
        <x:f>ROUND(D92-E92,1)</x:f>
        <x:v>151.8</x:v>
      </x:c>
      <x:c r="G92" s="23" t="str">
        <x:v>IC2606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8220.2</x:v>
      </x:c>
      <x:c r="E93" s="24" t="n">
        <x:v>8103</x:v>
      </x:c>
      <x:c r="F93" s="24" t="n">
        <x:f>ROUND(D93-E93,1)</x:f>
        <x:v>117.2</x:v>
      </x:c>
      <x:c r="G93" s="23" t="str">
        <x:v>IC2606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8178.4</x:v>
      </x:c>
      <x:c r="E94" s="24" t="n">
        <x:v>8056.2</x:v>
      </x:c>
      <x:c r="F94" s="24" t="n">
        <x:f>ROUND(D94-E94,1)</x:f>
        <x:v>122.2</x:v>
      </x:c>
      <x:c r="G94" s="23" t="str">
        <x:v>IC2606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8281.8</x:v>
      </x:c>
      <x:c r="E95" s="24" t="n">
        <x:v>8066</x:v>
      </x:c>
      <x:c r="F95" s="26" t="n">
        <x:f>ROUND(D95-E95,1)</x:f>
        <x:v>215.8</x:v>
      </x:c>
      <x:c r="G95" s="23" t="str">
        <x:v>IC2606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8287.8</x:v>
      </x:c>
      <x:c r="E96" s="24" t="n">
        <x:v>8206</x:v>
      </x:c>
      <x:c r="F96" s="24" t="n">
        <x:f>ROUND(D96-E96,1)</x:f>
        <x:v>81.8</x:v>
      </x:c>
      <x:c r="G96" s="23" t="str">
        <x:v>IC2606</x:v>
      </x:c>
    </x:row>
    <x:row r="97">
      <x:c r="A97" s="33" t="str">
        <x:v>合计</x:v>
      </x:c>
      <x:c r="B97" s="32" t="n">
        <x:v>21</x:v>
      </x:c>
      <x:c r="C97" s="32"/>
      <x:c r="D97" s="32"/>
      <x:c r="E97" s="32"/>
      <x:c r="F97" s="34" t="n">
        <x:f>ROUND(SUM(F76:F96),1)</x:f>
        <x:v>2892.8</x:v>
      </x:c>
      <x:c r="G97" s="32"/>
    </x:row>
    <x:row r="98">
      <x:c r="A98" s="33" t="str">
        <x:v>均值</x:v>
      </x:c>
      <x:c r="B98" s="32"/>
      <x:c r="C98" s="32"/>
      <x:c r="D98" s="32"/>
      <x:c r="E98" s="32"/>
      <x:c r="F98" s="36" t="n">
        <x:f>ROUND(IFERROR(AVERAGE(F76:F96),0),1)</x:f>
        <x:v>137.8</x:v>
      </x:c>
      <x:c r="G98" s="32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高点</x:v>
      </x:c>
      <x:c r="E101" s="20" t="str">
        <x:v>低点</x:v>
      </x:c>
      <x:c r="F101" s="20" t="str">
        <x:v>振幅</x:v>
      </x:c>
      <x:c r="G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8565.4</x:v>
      </x:c>
      <x:c r="E102" s="24" t="n">
        <x:v>8375.4</x:v>
      </x:c>
      <x:c r="F102" s="26" t="n">
        <x:f>ROUND(D102-E102,1)</x:f>
        <x:v>190</x:v>
      </x:c>
      <x:c r="G102" s="23" t="str">
        <x:v>IC2606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8638.4</x:v>
      </x:c>
      <x:c r="E103" s="24" t="n">
        <x:v>8520.4</x:v>
      </x:c>
      <x:c r="F103" s="24" t="n">
        <x:f>ROUND(D103-E103,1)</x:f>
        <x:v>118</x:v>
      </x:c>
      <x:c r="G103" s="23" t="str">
        <x:v>IC2606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8648</x:v>
      </x:c>
      <x:c r="E104" s="24" t="n">
        <x:v>8546.4</x:v>
      </x:c>
      <x:c r="F104" s="24" t="n">
        <x:f>ROUND(D104-E104,1)</x:f>
        <x:v>101.6</x:v>
      </x:c>
      <x:c r="G104" s="23" t="str">
        <x:v>IC2606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8791</x:v>
      </x:c>
      <x:c r="E105" s="24" t="n">
        <x:v>8628.4</x:v>
      </x:c>
      <x:c r="F105" s="26" t="n">
        <x:f>ROUND(D105-E105,1)</x:f>
        <x:v>162.6</x:v>
      </x:c>
      <x:c r="G105" s="23" t="str">
        <x:v>IC2606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8754</x:v>
      </x:c>
      <x:c r="E106" s="24" t="n">
        <x:v>8656.2</x:v>
      </x:c>
      <x:c r="F106" s="24" t="n">
        <x:f>ROUND(D106-E106,1)</x:f>
        <x:v>97.8</x:v>
      </x:c>
      <x:c r="G106" s="23" t="str">
        <x:v>IC2606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8866.6</x:v>
      </x:c>
      <x:c r="E107" s="24" t="n">
        <x:v>8653</x:v>
      </x:c>
      <x:c r="F107" s="26" t="n">
        <x:f>ROUND(D107-E107,1)</x:f>
        <x:v>213.6</x:v>
      </x:c>
      <x:c r="G107" s="23" t="str">
        <x:v>IC2606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8886.8</x:v>
      </x:c>
      <x:c r="E108" s="24" t="n">
        <x:v>8603.4</x:v>
      </x:c>
      <x:c r="F108" s="26" t="n">
        <x:f>ROUND(D108-E108,1)</x:f>
        <x:v>283.4</x:v>
      </x:c>
      <x:c r="G108" s="23" t="str">
        <x:v>IC2606</x:v>
      </x:c>
    </x:row>
    <x:row r="109">
      <x:c r="A109" s="29" t="n">
        <x:v>8</x:v>
      </x:c>
      <x:c r="B109" s="29" t="str">
        <x:v>周五</x:v>
      </x:c>
      <x:c r="C109" s="29" t="str">
        <x:v>5月15日</x:v>
      </x:c>
      <x:c r="D109" s="30" t="n">
        <x:v>8652.2</x:v>
      </x:c>
      <x:c r="E109" s="30" t="n">
        <x:v>8378.2</x:v>
      </x:c>
      <x:c r="F109" s="26" t="n">
        <x:f>ROUND(D109-E109,1)</x:f>
        <x:v>274</x:v>
      </x:c>
      <x:c r="G109" s="29" t="str">
        <x:v>IC2606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8545</x:v>
      </x:c>
      <x:c r="E110" s="24" t="n">
        <x:v>8403.2</x:v>
      </x:c>
      <x:c r="F110" s="24" t="n">
        <x:f>ROUND(D110-E110,1)</x:f>
        <x:v>141.8</x:v>
      </x:c>
      <x:c r="G110" s="23" t="str">
        <x:v>IC2606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8542.8</x:v>
      </x:c>
      <x:c r="E111" s="24" t="n">
        <x:v>8324.6</x:v>
      </x:c>
      <x:c r="F111" s="26" t="n">
        <x:f>ROUND(D111-E111,1)</x:f>
        <x:v>218.2</x:v>
      </x:c>
      <x:c r="G111" s="23" t="str">
        <x:v>IC2606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8586.8</x:v>
      </x:c>
      <x:c r="E112" s="24" t="n">
        <x:v>8450</x:v>
      </x:c>
      <x:c r="F112" s="24" t="n">
        <x:f>ROUND(D112-E112,1)</x:f>
        <x:v>136.8</x:v>
      </x:c>
      <x:c r="G112" s="23" t="str">
        <x:v>IC2606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8728</x:v>
      </x:c>
      <x:c r="E113" s="24" t="n">
        <x:v>8310</x:v>
      </x:c>
      <x:c r="F113" s="26" t="n">
        <x:f>ROUND(D113-E113,1)</x:f>
        <x:v>418</x:v>
      </x:c>
      <x:c r="G113" s="23" t="str">
        <x:v>IC2606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8532.6</x:v>
      </x:c>
      <x:c r="E114" s="24" t="n">
        <x:v>8357.8</x:v>
      </x:c>
      <x:c r="F114" s="26" t="n">
        <x:f>ROUND(D114-E114,1)</x:f>
        <x:v>174.8</x:v>
      </x:c>
      <x:c r="G114" s="23" t="str">
        <x:v>IC2606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8603.8</x:v>
      </x:c>
      <x:c r="E115" s="24" t="n">
        <x:v>8444.2</x:v>
      </x:c>
      <x:c r="F115" s="26" t="n">
        <x:f>ROUND(D115-E115,1)</x:f>
        <x:v>159.6</x:v>
      </x:c>
      <x:c r="G115" s="23" t="str">
        <x:v>IC2606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8576.6</x:v>
      </x:c>
      <x:c r="E116" s="24" t="n">
        <x:v>8425</x:v>
      </x:c>
      <x:c r="F116" s="26" t="n">
        <x:f>ROUND(D116-E116,1)</x:f>
        <x:v>151.6</x:v>
      </x:c>
      <x:c r="G116" s="23" t="str">
        <x:v>IC2606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8658.2</x:v>
      </x:c>
      <x:c r="E117" s="24" t="n">
        <x:v>8372.2</x:v>
      </x:c>
      <x:c r="F117" s="26" t="n">
        <x:f>ROUND(D117-E117,1)</x:f>
        <x:v>286</x:v>
      </x:c>
      <x:c r="G117" s="23" t="str">
        <x:v>IC2606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8526.2</x:v>
      </x:c>
      <x:c r="E118" s="24" t="n">
        <x:v>8321.6</x:v>
      </x:c>
      <x:c r="F118" s="26" t="n">
        <x:f>ROUND(D118-E118,1)</x:f>
        <x:v>204.6</x:v>
      </x:c>
      <x:c r="G118" s="23" t="str">
        <x:v>IC2606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8518</x:v>
      </x:c>
      <x:c r="E119" s="24" t="n">
        <x:v>8218.2</x:v>
      </x:c>
      <x:c r="F119" s="26" t="n">
        <x:f>ROUND(D119-E119,1)</x:f>
        <x:v>299.8</x:v>
      </x:c>
      <x:c r="G119" s="23" t="str">
        <x:v>IC2606</x:v>
      </x:c>
    </x:row>
    <x:row r="120">
      <x:c r="A120" s="33" t="str">
        <x:v>合计</x:v>
      </x:c>
      <x:c r="B120" s="32" t="n">
        <x:v>18</x:v>
      </x:c>
      <x:c r="C120" s="32"/>
      <x:c r="D120" s="32"/>
      <x:c r="E120" s="32"/>
      <x:c r="F120" s="34" t="n">
        <x:f>ROUND(SUM(F102:F119),1)</x:f>
        <x:v>3632.2</x:v>
      </x:c>
      <x:c r="G120" s="32"/>
    </x:row>
    <x:row r="121">
      <x:c r="A121" s="33" t="str">
        <x:v>均值</x:v>
      </x:c>
      <x:c r="B121" s="32"/>
      <x:c r="C121" s="32"/>
      <x:c r="D121" s="32"/>
      <x:c r="E121" s="32"/>
      <x:c r="F121" s="36" t="n">
        <x:f>ROUND(IFERROR(AVERAGE(F102:F119),0),1)</x:f>
        <x:v>201.8</x:v>
      </x:c>
      <x:c r="G121" s="32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高点</x:v>
      </x:c>
      <x:c r="E124" s="20" t="str">
        <x:v>低点</x:v>
      </x:c>
      <x:c r="F124" s="20" t="str">
        <x:v>振幅</x:v>
      </x:c>
      <x:c r="G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8383</x:v>
      </x:c>
      <x:c r="E125" s="24" t="n">
        <x:v>8206</x:v>
      </x:c>
      <x:c r="F125" s="26" t="n">
        <x:f>ROUND(D125-E125,1)</x:f>
        <x:v>177</x:v>
      </x:c>
      <x:c r="G125" s="23" t="str">
        <x:v>IC2606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8343.2</x:v>
      </x:c>
      <x:c r="E126" s="24" t="n">
        <x:v>8101.6</x:v>
      </x:c>
      <x:c r="F126" s="26" t="n">
        <x:f>ROUND(D126-E126,1)</x:f>
        <x:v>241.6</x:v>
      </x:c>
      <x:c r="G126" s="23" t="str">
        <x:v>IC2606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8425</x:v>
      </x:c>
      <x:c r="E127" s="24" t="n">
        <x:v>8241</x:v>
      </x:c>
      <x:c r="F127" s="26" t="n">
        <x:f>ROUND(D127-E127,1)</x:f>
        <x:v>184</x:v>
      </x:c>
      <x:c r="G127" s="23" t="str">
        <x:v>IC2606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8351.8</x:v>
      </x:c>
      <x:c r="E128" s="24" t="n">
        <x:v>8256</x:v>
      </x:c>
      <x:c r="F128" s="24" t="n">
        <x:f>ROUND(D128-E128,1)</x:f>
        <x:v>95.8</x:v>
      </x:c>
      <x:c r="G128" s="23" t="str">
        <x:v>IC2606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8354.6</x:v>
      </x:c>
      <x:c r="E129" s="24" t="n">
        <x:v>8161</x:v>
      </x:c>
      <x:c r="F129" s="26" t="n">
        <x:f>ROUND(D129-E129,1)</x:f>
        <x:v>193.6</x:v>
      </x:c>
      <x:c r="G129" s="23" t="str">
        <x:v>IC2606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8095.2</x:v>
      </x:c>
      <x:c r="E130" s="24" t="n">
        <x:v>7838</x:v>
      </x:c>
      <x:c r="F130" s="26" t="n">
        <x:f>ROUND(D130-E130,1)</x:f>
        <x:v>257.2</x:v>
      </x:c>
      <x:c r="G130" s="23" t="str">
        <x:v>IC2606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8133.8</x:v>
      </x:c>
      <x:c r="E131" s="24" t="n">
        <x:v>7912</x:v>
      </x:c>
      <x:c r="F131" s="26" t="n">
        <x:f>ROUND(D131-E131,1)</x:f>
        <x:v>221.8</x:v>
      </x:c>
      <x:c r="G131" s="23" t="str">
        <x:v>IC2606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8085.2</x:v>
      </x:c>
      <x:c r="E132" s="24" t="n">
        <x:v>7921.8</x:v>
      </x:c>
      <x:c r="F132" s="26" t="n">
        <x:f>ROUND(D132-E132,1)</x:f>
        <x:v>163.4</x:v>
      </x:c>
      <x:c r="G132" s="23" t="str">
        <x:v>IC2606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8052.2</x:v>
      </x:c>
      <x:c r="E133" s="24" t="n">
        <x:v>7915</x:v>
      </x:c>
      <x:c r="F133" s="24" t="n">
        <x:f>ROUND(D133-E133,1)</x:f>
        <x:v>137.2</x:v>
      </x:c>
      <x:c r="G133" s="23" t="str">
        <x:v>IC2606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8237.6</x:v>
      </x:c>
      <x:c r="E134" s="24" t="n">
        <x:v>8077</x:v>
      </x:c>
      <x:c r="F134" s="26" t="n">
        <x:f>ROUND(D134-E134,1)</x:f>
        <x:v>160.6</x:v>
      </x:c>
      <x:c r="G134" s="23" t="str">
        <x:v>IC2606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8385</x:v>
      </x:c>
      <x:c r="E135" s="24" t="n">
        <x:v>8181.2</x:v>
      </x:c>
      <x:c r="F135" s="26" t="n">
        <x:f>ROUND(D135-E135,1)</x:f>
        <x:v>203.8</x:v>
      </x:c>
      <x:c r="G135" s="23" t="str">
        <x:v>IC2606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8514.4</x:v>
      </x:c>
      <x:c r="E136" s="24" t="n">
        <x:v>8362.2</x:v>
      </x:c>
      <x:c r="F136" s="26" t="n">
        <x:f>ROUND(D136-E136,1)</x:f>
        <x:v>152.2</x:v>
      </x:c>
      <x:c r="G136" s="23" t="str">
        <x:v>IC2606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8616.6</x:v>
      </x:c>
      <x:c r="E137" s="24" t="n">
        <x:v>8444.4</x:v>
      </x:c>
      <x:c r="F137" s="26" t="n">
        <x:f>ROUND(D137-E137,1)</x:f>
        <x:v>172.2</x:v>
      </x:c>
      <x:c r="G137" s="23" t="str">
        <x:v>IC2606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8718</x:v>
      </x:c>
      <x:c r="E138" s="24" t="n">
        <x:v>8571</x:v>
      </x:c>
      <x:c r="F138" s="24" t="n">
        <x:f>ROUND(D138-E138,1)</x:f>
        <x:v>147</x:v>
      </x:c>
      <x:c r="G138" s="23" t="str">
        <x:v>IC2606</x:v>
      </x:c>
    </x:row>
    <x:row r="139">
      <x:c r="A139" s="29" t="n">
        <x:v>15</x:v>
      </x:c>
      <x:c r="B139" s="29" t="str">
        <x:v>周一</x:v>
      </x:c>
      <x:c r="C139" s="29" t="str">
        <x:v>6月22日</x:v>
      </x:c>
      <x:c r="D139" s="30" t="n">
        <x:v>8677</x:v>
      </x:c>
      <x:c r="E139" s="30" t="n">
        <x:v>8432</x:v>
      </x:c>
      <x:c r="F139" s="26" t="n">
        <x:f>ROUND(D139-E139,1)</x:f>
        <x:v>245</x:v>
      </x:c>
      <x:c r="G139" s="29" t="str">
        <x:v>IC2609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8672.2</x:v>
      </x:c>
      <x:c r="E140" s="24" t="n">
        <x:v>8377</x:v>
      </x:c>
      <x:c r="F140" s="26" t="n">
        <x:f>ROUND(D140-E140,1)</x:f>
        <x:v>295.2</x:v>
      </x:c>
      <x:c r="G140" s="23" t="str">
        <x:v>IC2609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8635</x:v>
      </x:c>
      <x:c r="E141" s="24" t="n">
        <x:v>8418.8</x:v>
      </x:c>
      <x:c r="F141" s="26" t="n">
        <x:f>ROUND(D141-E141,1)</x:f>
        <x:v>216.2</x:v>
      </x:c>
      <x:c r="G141" s="23" t="str">
        <x:v>IC2609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8714.8</x:v>
      </x:c>
      <x:c r="E142" s="24" t="n">
        <x:v>8561.6</x:v>
      </x:c>
      <x:c r="F142" s="26" t="n">
        <x:f>ROUND(D142-E142,1)</x:f>
        <x:v>153.2</x:v>
      </x:c>
      <x:c r="G142" s="23" t="str">
        <x:v>IC2609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8672.2</x:v>
      </x:c>
      <x:c r="E143" s="24" t="n">
        <x:v>8402</x:v>
      </x:c>
      <x:c r="F143" s="26" t="n">
        <x:f>ROUND(D143-E143,1)</x:f>
        <x:v>270.2</x:v>
      </x:c>
      <x:c r="G143" s="23" t="str">
        <x:v>IC2609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8590</x:v>
      </x:c>
      <x:c r="E144" s="24" t="n">
        <x:v>8350.4</x:v>
      </x:c>
      <x:c r="F144" s="26" t="n">
        <x:f>ROUND(D144-E144,1)</x:f>
        <x:v>239.6</x:v>
      </x:c>
      <x:c r="G144" s="23" t="str">
        <x:v>IC2609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8805</x:v>
      </x:c>
      <x:c r="E145" s="24" t="n">
        <x:v>8512</x:v>
      </x:c>
      <x:c r="F145" s="26" t="n">
        <x:f>ROUND(D145-E145,1)</x:f>
        <x:v>293</x:v>
      </x:c>
      <x:c r="G145" s="23" t="str">
        <x:v>IC2609</x:v>
      </x:c>
    </x:row>
    <x:row r="146">
      <x:c r="A146" s="33" t="str">
        <x:v>合计</x:v>
      </x:c>
      <x:c r="B146" s="32" t="n">
        <x:v>21</x:v>
      </x:c>
      <x:c r="C146" s="32"/>
      <x:c r="D146" s="32"/>
      <x:c r="E146" s="32"/>
      <x:c r="F146" s="34" t="n">
        <x:f>ROUND(SUM(F125:F145),1)</x:f>
        <x:v>4219.8</x:v>
      </x:c>
      <x:c r="G146" s="32"/>
    </x:row>
    <x:row r="147">
      <x:c r="A147" s="33" t="str">
        <x:v>均值</x:v>
      </x:c>
      <x:c r="B147" s="32"/>
      <x:c r="C147" s="32"/>
      <x:c r="D147" s="32"/>
      <x:c r="E147" s="32"/>
      <x:c r="F147" s="36" t="n">
        <x:f>ROUND(IFERROR(AVERAGE(F125:F145),0),1)</x:f>
        <x:v>200.9</x:v>
      </x:c>
      <x:c r="G147" s="32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高点</x:v>
      </x:c>
      <x:c r="E150" s="20" t="str">
        <x:v>低点</x:v>
      </x:c>
      <x:c r="F150" s="20" t="str">
        <x:v>振幅</x:v>
      </x:c>
      <x:c r="G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8873.8</x:v>
      </x:c>
      <x:c r="E151" s="24" t="n">
        <x:v>8656.8</x:v>
      </x:c>
      <x:c r="F151" s="26" t="n">
        <x:f>ROUND(D151-E151,1)</x:f>
        <x:v>217</x:v>
      </x:c>
      <x:c r="G151" s="23" t="str">
        <x:v>IC2609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8678.6</x:v>
      </x:c>
      <x:c r="E152" s="24" t="n">
        <x:v>8456.8</x:v>
      </x:c>
      <x:c r="F152" s="26" t="n">
        <x:f>ROUND(D152-E152,1)</x:f>
        <x:v>221.8</x:v>
      </x:c>
      <x:c r="G152" s="23" t="str">
        <x:v>IC2609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8650</x:v>
      </x:c>
      <x:c r="E153" s="24" t="n">
        <x:v>8442</x:v>
      </x:c>
      <x:c r="F153" s="26" t="n">
        <x:f>ROUND(D153-E153,1)</x:f>
        <x:v>208</x:v>
      </x:c>
      <x:c r="G153" s="23" t="str">
        <x:v>IC2609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8584.2</x:v>
      </x:c>
      <x:c r="E154" s="24" t="n">
        <x:v>8376</x:v>
      </x:c>
      <x:c r="F154" s="26" t="n">
        <x:f>ROUND(D154-E154,1)</x:f>
        <x:v>208.2</x:v>
      </x:c>
      <x:c r="G154" s="23" t="str">
        <x:v>IC2609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8478.8</x:v>
      </x:c>
      <x:c r="E155" s="24" t="n">
        <x:v>8281</x:v>
      </x:c>
      <x:c r="F155" s="26" t="n">
        <x:f>ROUND(D155-E155,1)</x:f>
        <x:v>197.8</x:v>
      </x:c>
      <x:c r="G155" s="23" t="str">
        <x:v>IC2609</x:v>
      </x:c>
    </x:row>
    <x:row r="156">
      <x:c r="A156" s="33" t="str">
        <x:v>合计</x:v>
      </x:c>
      <x:c r="B156" s="32" t="n">
        <x:v>5</x:v>
      </x:c>
      <x:c r="C156" s="32"/>
      <x:c r="D156" s="32"/>
      <x:c r="E156" s="32"/>
      <x:c r="F156" s="34" t="n">
        <x:f>ROUND(SUM(F151:F155),1)</x:f>
        <x:v>1052.8</x:v>
      </x:c>
      <x:c r="G156" s="32"/>
    </x:row>
    <x:row r="157">
      <x:c r="A157" s="33" t="str">
        <x:v>均值</x:v>
      </x:c>
      <x:c r="B157" s="32"/>
      <x:c r="C157" s="32"/>
      <x:c r="D157" s="32"/>
      <x:c r="E157" s="32"/>
      <x:c r="F157" s="36" t="n">
        <x:f>ROUND(IFERROR(AVERAGE(F151:F155),0),1)</x:f>
        <x:v>210.6</x:v>
      </x:c>
      <x:c r="G157" s="32"/>
    </x:row>
  </x:sheetData>
  <x:mergeCells>
    <x:mergeCell ref="A1:G1"/>
    <x:mergeCell ref="A3:G3"/>
    <x:mergeCell ref="A28:G28"/>
    <x:mergeCell ref="A47:G47"/>
    <x:mergeCell ref="A74:G74"/>
    <x:mergeCell ref="A100:G100"/>
    <x:mergeCell ref="A123:G123"/>
    <x:mergeCell ref="A149:G14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高点</x:v>
      </x:c>
      <x:c r="E4" s="20" t="str">
        <x:v>低点</x:v>
      </x:c>
      <x:c r="F4" s="20" t="str">
        <x:v>振幅</x:v>
      </x:c>
      <x:c r="G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4705</x:v>
      </x:c>
      <x:c r="E5" s="24" t="n">
        <x:v>4627</x:v>
      </x:c>
      <x:c r="F5" s="24" t="n">
        <x:f>ROUND(D5-E5,1)</x:f>
        <x:v>78</x:v>
      </x:c>
      <x:c r="G5" s="23" t="str">
        <x:v>IF2603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4780.8</x:v>
      </x:c>
      <x:c r="E6" s="24" t="n">
        <x:v>4705</x:v>
      </x:c>
      <x:c r="F6" s="24" t="n">
        <x:f>ROUND(D6-E6,1)</x:f>
        <x:v>75.8</x:v>
      </x:c>
      <x:c r="G6" s="23" t="str">
        <x:v>IF2603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4785.8</x:v>
      </x:c>
      <x:c r="E7" s="24" t="n">
        <x:v>4733</x:v>
      </x:c>
      <x:c r="F7" s="24" t="n">
        <x:f>ROUND(D7-E7,1)</x:f>
        <x:v>52.8</x:v>
      </x:c>
      <x:c r="G7" s="23" t="str">
        <x:v>IF2603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4751</x:v>
      </x:c>
      <x:c r="E8" s="24" t="n">
        <x:v>4694.2</x:v>
      </x:c>
      <x:c r="F8" s="24" t="n">
        <x:f>ROUND(D8-E8,1)</x:f>
        <x:v>56.8</x:v>
      </x:c>
      <x:c r="G8" s="23" t="str">
        <x:v>IF2603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4767.6</x:v>
      </x:c>
      <x:c r="E9" s="24" t="n">
        <x:v>4703.6</x:v>
      </x:c>
      <x:c r="F9" s="24" t="n">
        <x:f>ROUND(D9-E9,1)</x:f>
        <x:v>64</x:v>
      </x:c>
      <x:c r="G9" s="23" t="str">
        <x:v>IF2603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4797</x:v>
      </x:c>
      <x:c r="E10" s="24" t="n">
        <x:v>4722.6</x:v>
      </x:c>
      <x:c r="F10" s="24" t="n">
        <x:f>ROUND(D10-E10,1)</x:f>
        <x:v>74.4</x:v>
      </x:c>
      <x:c r="G10" s="23" t="str">
        <x:v>IF2603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4828</x:v>
      </x:c>
      <x:c r="E11" s="24" t="n">
        <x:v>4738.6</x:v>
      </x:c>
      <x:c r="F11" s="24" t="n">
        <x:f>ROUND(D11-E11,1)</x:f>
        <x:v>89.4</x:v>
      </x:c>
      <x:c r="G11" s="23" t="str">
        <x:v>IF2603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4833.2</x:v>
      </x:c>
      <x:c r="E12" s="24" t="n">
        <x:v>4707</x:v>
      </x:c>
      <x:c r="F12" s="26" t="n">
        <x:f>ROUND(D12-E12,1)</x:f>
        <x:v>126.2</x:v>
      </x:c>
      <x:c r="G12" s="23" t="str">
        <x:v>IF2603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4764.8</x:v>
      </x:c>
      <x:c r="E13" s="24" t="n">
        <x:v>4708.2</x:v>
      </x:c>
      <x:c r="F13" s="24" t="n">
        <x:f>ROUND(D13-E13,1)</x:f>
        <x:v>56.6</x:v>
      </x:c>
      <x:c r="G13" s="23" t="str">
        <x:v>IF2603</x:v>
      </x:c>
    </x:row>
    <x:row r="14">
      <x:c r="A14" s="29" t="n">
        <x:v>10</x:v>
      </x:c>
      <x:c r="B14" s="29" t="str">
        <x:v>周五</x:v>
      </x:c>
      <x:c r="C14" s="29" t="str">
        <x:v>1月16日</x:v>
      </x:c>
      <x:c r="D14" s="30" t="n">
        <x:v>4790</x:v>
      </x:c>
      <x:c r="E14" s="30" t="n">
        <x:v>4711.6</x:v>
      </x:c>
      <x:c r="F14" s="30" t="n">
        <x:f>ROUND(D14-E14,1)</x:f>
        <x:v>78.4</x:v>
      </x:c>
      <x:c r="G14" s="29" t="str">
        <x:v>IF2603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4763</x:v>
      </x:c>
      <x:c r="E15" s="24" t="n">
        <x:v>4708.8</x:v>
      </x:c>
      <x:c r="F15" s="24" t="n">
        <x:f>ROUND(D15-E15,1)</x:f>
        <x:v>54.2</x:v>
      </x:c>
      <x:c r="G15" s="23" t="str">
        <x:v>IF2603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4743.8</x:v>
      </x:c>
      <x:c r="E16" s="24" t="n">
        <x:v>4672.8</x:v>
      </x:c>
      <x:c r="F16" s="24" t="n">
        <x:f>ROUND(D16-E16,1)</x:f>
        <x:v>71</x:v>
      </x:c>
      <x:c r="G16" s="23" t="str">
        <x:v>IF2603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4756.4</x:v>
      </x:c>
      <x:c r="E17" s="24" t="n">
        <x:v>4698.8</x:v>
      </x:c>
      <x:c r="F17" s="24" t="n">
        <x:f>ROUND(D17-E17,1)</x:f>
        <x:v>57.6</x:v>
      </x:c>
      <x:c r="G17" s="23" t="str">
        <x:v>IF2603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4756.2</x:v>
      </x:c>
      <x:c r="E18" s="24" t="n">
        <x:v>4700.6</x:v>
      </x:c>
      <x:c r="F18" s="24" t="n">
        <x:f>ROUND(D18-E18,1)</x:f>
        <x:v>55.6</x:v>
      </x:c>
      <x:c r="G18" s="23" t="str">
        <x:v>IF2603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4739.4</x:v>
      </x:c>
      <x:c r="E19" s="24" t="n">
        <x:v>4705.4</x:v>
      </x:c>
      <x:c r="F19" s="24" t="n">
        <x:f>ROUND(D19-E19,1)</x:f>
        <x:v>34</x:v>
      </x:c>
      <x:c r="G19" s="23" t="str">
        <x:v>IF2603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4775.6</x:v>
      </x:c>
      <x:c r="E20" s="24" t="n">
        <x:v>4712.4</x:v>
      </x:c>
      <x:c r="F20" s="24" t="n">
        <x:f>ROUND(D20-E20,1)</x:f>
        <x:v>63.2</x:v>
      </x:c>
      <x:c r="G20" s="23" t="str">
        <x:v>IF2603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4748.6</x:v>
      </x:c>
      <x:c r="E21" s="24" t="n">
        <x:v>4681</x:v>
      </x:c>
      <x:c r="F21" s="24" t="n">
        <x:f>ROUND(D21-E21,1)</x:f>
        <x:v>67.6</x:v>
      </x:c>
      <x:c r="G21" s="23" t="str">
        <x:v>IF2603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4747.8</x:v>
      </x:c>
      <x:c r="E22" s="24" t="n">
        <x:v>4716</x:v>
      </x:c>
      <x:c r="F22" s="24" t="n">
        <x:f>ROUND(D22-E22,1)</x:f>
        <x:v>31.8</x:v>
      </x:c>
      <x:c r="G22" s="23" t="str">
        <x:v>IF2603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4793</x:v>
      </x:c>
      <x:c r="E23" s="24" t="n">
        <x:v>4716.2</x:v>
      </x:c>
      <x:c r="F23" s="24" t="n">
        <x:f>ROUND(D23-E23,1)</x:f>
        <x:v>76.8</x:v>
      </x:c>
      <x:c r="G23" s="23" t="str">
        <x:v>IF2603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4780</x:v>
      </x:c>
      <x:c r="E24" s="24" t="n">
        <x:v>4640</x:v>
      </x:c>
      <x:c r="F24" s="26" t="n">
        <x:f>ROUND(D24-E24,1)</x:f>
        <x:v>140</x:v>
      </x:c>
      <x:c r="G24" s="23" t="str">
        <x:v>IF2603</x:v>
      </x:c>
    </x:row>
    <x:row r="25">
      <x:c r="A25" s="33" t="str">
        <x:v>合计</x:v>
      </x:c>
      <x:c r="B25" s="32" t="n">
        <x:v>20</x:v>
      </x:c>
      <x:c r="C25" s="32"/>
      <x:c r="D25" s="32"/>
      <x:c r="E25" s="32"/>
      <x:c r="F25" s="34" t="n">
        <x:f>ROUND(SUM(F5:F24),1)</x:f>
        <x:v>1404.2</x:v>
      </x:c>
      <x:c r="G25" s="32"/>
    </x:row>
    <x:row r="26">
      <x:c r="A26" s="33" t="str">
        <x:v>均值</x:v>
      </x:c>
      <x:c r="B26" s="32"/>
      <x:c r="C26" s="32"/>
      <x:c r="D26" s="32"/>
      <x:c r="E26" s="32"/>
      <x:c r="F26" s="36" t="n">
        <x:f>ROUND(IFERROR(AVERAGE(F5:F24),0),1)</x:f>
        <x:v>70.2</x:v>
      </x:c>
      <x:c r="G26" s="32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高点</x:v>
      </x:c>
      <x:c r="E29" s="20" t="str">
        <x:v>低点</x:v>
      </x:c>
      <x:c r="F29" s="20" t="str">
        <x:v>振幅</x:v>
      </x:c>
      <x:c r="G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4724</x:v>
      </x:c>
      <x:c r="E30" s="24" t="n">
        <x:v>4555.6</x:v>
      </x:c>
      <x:c r="F30" s="26" t="n">
        <x:f>ROUND(D30-E30,1)</x:f>
        <x:v>168.4</x:v>
      </x:c>
      <x:c r="G30" s="23" t="str">
        <x:v>IF2603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4662.4</x:v>
      </x:c>
      <x:c r="E31" s="24" t="n">
        <x:v>4574.8</x:v>
      </x:c>
      <x:c r="F31" s="24" t="n">
        <x:f>ROUND(D31-E31,1)</x:f>
        <x:v>87.6</x:v>
      </x:c>
      <x:c r="G31" s="23" t="str">
        <x:v>IF2603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4697.2</x:v>
      </x:c>
      <x:c r="E32" s="24" t="n">
        <x:v>4631.2</x:v>
      </x:c>
      <x:c r="F32" s="24" t="n">
        <x:f>ROUND(D32-E32,1)</x:f>
        <x:v>66</x:v>
      </x:c>
      <x:c r="G32" s="23" t="str">
        <x:v>IF2603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4684.8</x:v>
      </x:c>
      <x:c r="E33" s="24" t="n">
        <x:v>4623</x:v>
      </x:c>
      <x:c r="F33" s="24" t="n">
        <x:f>ROUND(D33-E33,1)</x:f>
        <x:v>61.8</x:v>
      </x:c>
      <x:c r="G33" s="23" t="str">
        <x:v>IF2603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4682.8</x:v>
      </x:c>
      <x:c r="E34" s="24" t="n">
        <x:v>4587</x:v>
      </x:c>
      <x:c r="F34" s="26" t="n">
        <x:f>ROUND(D34-E34,1)</x:f>
        <x:v>95.8</x:v>
      </x:c>
      <x:c r="G34" s="23" t="str">
        <x:v>IF2603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4725.4</x:v>
      </x:c>
      <x:c r="E35" s="24" t="n">
        <x:v>4678</x:v>
      </x:c>
      <x:c r="F35" s="24" t="n">
        <x:f>ROUND(D35-E35,1)</x:f>
        <x:v>47.4</x:v>
      </x:c>
      <x:c r="G35" s="23" t="str">
        <x:v>IF2603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4733.8</x:v>
      </x:c>
      <x:c r="E36" s="24" t="n">
        <x:v>4713.4</x:v>
      </x:c>
      <x:c r="F36" s="24" t="n">
        <x:f>ROUND(D36-E36,1)</x:f>
        <x:v>20.4</x:v>
      </x:c>
      <x:c r="G36" s="23" t="str">
        <x:v>IF2603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4725</x:v>
      </x:c>
      <x:c r="E37" s="24" t="n">
        <x:v>4705</x:v>
      </x:c>
      <x:c r="F37" s="24" t="n">
        <x:f>ROUND(D37-E37,1)</x:f>
        <x:v>20</x:v>
      </x:c>
      <x:c r="G37" s="23" t="str">
        <x:v>IF2603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4727</x:v>
      </x:c>
      <x:c r="E38" s="24" t="n">
        <x:v>4705</x:v>
      </x:c>
      <x:c r="F38" s="24" t="n">
        <x:f>ROUND(D38-E38,1)</x:f>
        <x:v>22</x:v>
      </x:c>
      <x:c r="G38" s="23" t="str">
        <x:v>IF2603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4697.8</x:v>
      </x:c>
      <x:c r="E39" s="24" t="n">
        <x:v>4624</x:v>
      </x:c>
      <x:c r="F39" s="24" t="n">
        <x:f>ROUND(D39-E39,1)</x:f>
        <x:v>73.8</x:v>
      </x:c>
      <x:c r="G39" s="23" t="str">
        <x:v>IF2603</x:v>
      </x:c>
    </x:row>
    <x:row r="40">
      <x:c r="A40" s="29" t="n">
        <x:v>11</x:v>
      </x:c>
      <x:c r="B40" s="29" t="str">
        <x:v>周二</x:v>
      </x:c>
      <x:c r="C40" s="29" t="str">
        <x:v>2月24日</x:v>
      </x:c>
      <x:c r="D40" s="30" t="n">
        <x:v>4711.2</x:v>
      </x:c>
      <x:c r="E40" s="30" t="n">
        <x:v>4671.2</x:v>
      </x:c>
      <x:c r="F40" s="30" t="n">
        <x:f>ROUND(D40-E40,1)</x:f>
        <x:v>40</x:v>
      </x:c>
      <x:c r="G40" s="29" t="str">
        <x:v>IF2603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4768</x:v>
      </x:c>
      <x:c r="E41" s="24" t="n">
        <x:v>4693.6</x:v>
      </x:c>
      <x:c r="F41" s="24" t="n">
        <x:f>ROUND(D41-E41,1)</x:f>
        <x:v>74.4</x:v>
      </x:c>
      <x:c r="G41" s="23" t="str">
        <x:v>IF2603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4741</x:v>
      </x:c>
      <x:c r="E42" s="24" t="n">
        <x:v>4691.8</x:v>
      </x:c>
      <x:c r="F42" s="24" t="n">
        <x:f>ROUND(D42-E42,1)</x:f>
        <x:v>49.2</x:v>
      </x:c>
      <x:c r="G42" s="23" t="str">
        <x:v>IF2603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4719.2</x:v>
      </x:c>
      <x:c r="E43" s="24" t="n">
        <x:v>4682.2</x:v>
      </x:c>
      <x:c r="F43" s="24" t="n">
        <x:f>ROUND(D43-E43,1)</x:f>
        <x:v>37</x:v>
      </x:c>
      <x:c r="G43" s="23" t="str">
        <x:v>IF2603</x:v>
      </x:c>
    </x:row>
    <x:row r="44">
      <x:c r="A44" s="33" t="str">
        <x:v>合计</x:v>
      </x:c>
      <x:c r="B44" s="32" t="n">
        <x:v>14</x:v>
      </x:c>
      <x:c r="C44" s="32"/>
      <x:c r="D44" s="32"/>
      <x:c r="E44" s="32"/>
      <x:c r="F44" s="34" t="n">
        <x:f>ROUND(SUM(F30:F43),1)</x:f>
        <x:v>863.8</x:v>
      </x:c>
      <x:c r="G44" s="32"/>
    </x:row>
    <x:row r="45">
      <x:c r="A45" s="33" t="str">
        <x:v>均值</x:v>
      </x:c>
      <x:c r="B45" s="32"/>
      <x:c r="C45" s="32"/>
      <x:c r="D45" s="32"/>
      <x:c r="E45" s="32"/>
      <x:c r="F45" s="36" t="n">
        <x:f>ROUND(IFERROR(AVERAGE(F30:F43),0),1)</x:f>
        <x:v>61.7</x:v>
      </x:c>
      <x:c r="G45" s="32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高点</x:v>
      </x:c>
      <x:c r="E48" s="20" t="str">
        <x:v>低点</x:v>
      </x:c>
      <x:c r="F48" s="20" t="str">
        <x:v>振幅</x:v>
      </x:c>
      <x:c r="G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4724</x:v>
      </x:c>
      <x:c r="E49" s="24" t="n">
        <x:v>4646</x:v>
      </x:c>
      <x:c r="F49" s="24" t="n">
        <x:f>ROUND(D49-E49,1)</x:f>
        <x:v>78</x:v>
      </x:c>
      <x:c r="G49" s="23" t="str">
        <x:v>IF2603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4725</x:v>
      </x:c>
      <x:c r="E50" s="24" t="n">
        <x:v>4630</x:v>
      </x:c>
      <x:c r="F50" s="26" t="n">
        <x:f>ROUND(D50-E50,1)</x:f>
        <x:v>95</x:v>
      </x:c>
      <x:c r="G50" s="23" t="str">
        <x:v>IF2603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4632.2</x:v>
      </x:c>
      <x:c r="E51" s="24" t="n">
        <x:v>4560.2</x:v>
      </x:c>
      <x:c r="F51" s="24" t="n">
        <x:f>ROUND(D51-E51,1)</x:f>
        <x:v>72</x:v>
      </x:c>
      <x:c r="G51" s="23" t="str">
        <x:v>IF2603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4654.2</x:v>
      </x:c>
      <x:c r="E52" s="24" t="n">
        <x:v>4605.8</x:v>
      </x:c>
      <x:c r="F52" s="24" t="n">
        <x:f>ROUND(D52-E52,1)</x:f>
        <x:v>48.4</x:v>
      </x:c>
      <x:c r="G52" s="23" t="str">
        <x:v>IF2603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4667.4</x:v>
      </x:c>
      <x:c r="E53" s="24" t="n">
        <x:v>4601.8</x:v>
      </x:c>
      <x:c r="F53" s="24" t="n">
        <x:f>ROUND(D53-E53,1)</x:f>
        <x:v>65.6</x:v>
      </x:c>
      <x:c r="G53" s="23" t="str">
        <x:v>IF2603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4616.8</x:v>
      </x:c>
      <x:c r="E54" s="24" t="n">
        <x:v>4500</x:v>
      </x:c>
      <x:c r="F54" s="26" t="n">
        <x:f>ROUND(D54-E54,1)</x:f>
        <x:v>116.8</x:v>
      </x:c>
      <x:c r="G54" s="23" t="str">
        <x:v>IF2603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4674</x:v>
      </x:c>
      <x:c r="E55" s="24" t="n">
        <x:v>4630</x:v>
      </x:c>
      <x:c r="F55" s="24" t="n">
        <x:f>ROUND(D55-E55,1)</x:f>
        <x:v>44</x:v>
      </x:c>
      <x:c r="G55" s="23" t="str">
        <x:v>IF2603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4699</x:v>
      </x:c>
      <x:c r="E56" s="24" t="n">
        <x:v>4664.4</x:v>
      </x:c>
      <x:c r="F56" s="24" t="n">
        <x:f>ROUND(D56-E56,1)</x:f>
        <x:v>34.6</x:v>
      </x:c>
      <x:c r="G56" s="23" t="str">
        <x:v>IF2603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4685.6</x:v>
      </x:c>
      <x:c r="E57" s="24" t="n">
        <x:v>4631</x:v>
      </x:c>
      <x:c r="F57" s="24" t="n">
        <x:f>ROUND(D57-E57,1)</x:f>
        <x:v>54.6</x:v>
      </x:c>
      <x:c r="G57" s="23" t="str">
        <x:v>IF2603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4697</x:v>
      </x:c>
      <x:c r="E58" s="24" t="n">
        <x:v>4642.6</x:v>
      </x:c>
      <x:c r="F58" s="24" t="n">
        <x:f>ROUND(D58-E58,1)</x:f>
        <x:v>54.4</x:v>
      </x:c>
      <x:c r="G58" s="23" t="str">
        <x:v>IF2603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4670.6</x:v>
      </x:c>
      <x:c r="E59" s="24" t="n">
        <x:v>4609.2</x:v>
      </x:c>
      <x:c r="F59" s="24" t="n">
        <x:f>ROUND(D59-E59,1)</x:f>
        <x:v>61.4</x:v>
      </x:c>
      <x:c r="G59" s="23" t="str">
        <x:v>IF2603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4718.4</x:v>
      </x:c>
      <x:c r="E60" s="24" t="n">
        <x:v>4628</x:v>
      </x:c>
      <x:c r="F60" s="26" t="n">
        <x:f>ROUND(D60-E60,1)</x:f>
        <x:v>90.4</x:v>
      </x:c>
      <x:c r="G60" s="23" t="str">
        <x:v>IF2603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4658.6</x:v>
      </x:c>
      <x:c r="E61" s="24" t="n">
        <x:v>4602.6</x:v>
      </x:c>
      <x:c r="F61" s="24" t="n">
        <x:f>ROUND(D61-E61,1)</x:f>
        <x:v>56</x:v>
      </x:c>
      <x:c r="G61" s="23" t="str">
        <x:v>IF2603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4630.6</x:v>
      </x:c>
      <x:c r="E62" s="24" t="n">
        <x:v>4570</x:v>
      </x:c>
      <x:c r="F62" s="24" t="n">
        <x:f>ROUND(D62-E62,1)</x:f>
        <x:v>60.6</x:v>
      </x:c>
      <x:c r="G62" s="23" t="str">
        <x:v>IF2603</x:v>
      </x:c>
    </x:row>
    <x:row r="63">
      <x:c r="A63" s="29" t="n">
        <x:v>15</x:v>
      </x:c>
      <x:c r="B63" s="29" t="str">
        <x:v>周五</x:v>
      </x:c>
      <x:c r="C63" s="29" t="str">
        <x:v>3月20日</x:v>
      </x:c>
      <x:c r="D63" s="30" t="n">
        <x:v>4629.6</x:v>
      </x:c>
      <x:c r="E63" s="30" t="n">
        <x:v>4589.2</x:v>
      </x:c>
      <x:c r="F63" s="30" t="n">
        <x:f>ROUND(D63-E63,1)</x:f>
        <x:v>40.4</x:v>
      </x:c>
      <x:c r="G63" s="29" t="str">
        <x:v>IF2603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4453.8</x:v>
      </x:c>
      <x:c r="E64" s="24" t="n">
        <x:v>4307.2</x:v>
      </x:c>
      <x:c r="F64" s="26" t="n">
        <x:f>ROUND(D64-E64,1)</x:f>
        <x:v>146.6</x:v>
      </x:c>
      <x:c r="G64" s="23" t="str">
        <x:v>IF2606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4394.8</x:v>
      </x:c>
      <x:c r="E65" s="24" t="n">
        <x:v>4319</x:v>
      </x:c>
      <x:c r="F65" s="24" t="n">
        <x:f>ROUND(D65-E65,1)</x:f>
        <x:v>75.8</x:v>
      </x:c>
      <x:c r="G65" s="23" t="str">
        <x:v>IF2606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4466.2</x:v>
      </x:c>
      <x:c r="E66" s="24" t="n">
        <x:v>4415.4</x:v>
      </x:c>
      <x:c r="F66" s="24" t="n">
        <x:f>ROUND(D66-E66,1)</x:f>
        <x:v>50.8</x:v>
      </x:c>
      <x:c r="G66" s="23" t="str">
        <x:v>IF2606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4462</x:v>
      </x:c>
      <x:c r="E67" s="24" t="n">
        <x:v>4386.6</x:v>
      </x:c>
      <x:c r="F67" s="24" t="n">
        <x:f>ROUND(D67-E67,1)</x:f>
        <x:v>75.4</x:v>
      </x:c>
      <x:c r="G67" s="23" t="str">
        <x:v>IF2606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4455</x:v>
      </x:c>
      <x:c r="E68" s="24" t="n">
        <x:v>4357.6</x:v>
      </x:c>
      <x:c r="F68" s="26" t="n">
        <x:f>ROUND(D68-E68,1)</x:f>
        <x:v>97.4</x:v>
      </x:c>
      <x:c r="G68" s="23" t="str">
        <x:v>IF2606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4418</x:v>
      </x:c>
      <x:c r="E69" s="24" t="n">
        <x:v>4355.2</x:v>
      </x:c>
      <x:c r="F69" s="24" t="n">
        <x:f>ROUND(D69-E69,1)</x:f>
        <x:v>62.8</x:v>
      </x:c>
      <x:c r="G69" s="23" t="str">
        <x:v>IF2606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4444.6</x:v>
      </x:c>
      <x:c r="E70" s="24" t="n">
        <x:v>4370.4</x:v>
      </x:c>
      <x:c r="F70" s="24" t="n">
        <x:f>ROUND(D70-E70,1)</x:f>
        <x:v>74.2</x:v>
      </x:c>
      <x:c r="G70" s="23" t="str">
        <x:v>IF2606</x:v>
      </x:c>
    </x:row>
    <x:row r="71">
      <x:c r="A71" s="33" t="str">
        <x:v>合计</x:v>
      </x:c>
      <x:c r="B71" s="32" t="n">
        <x:v>22</x:v>
      </x:c>
      <x:c r="C71" s="32"/>
      <x:c r="D71" s="32"/>
      <x:c r="E71" s="32"/>
      <x:c r="F71" s="34" t="n">
        <x:f>ROUND(SUM(F49:F70),1)</x:f>
        <x:v>1555.2</x:v>
      </x:c>
      <x:c r="G71" s="32"/>
    </x:row>
    <x:row r="72">
      <x:c r="A72" s="33" t="str">
        <x:v>均值</x:v>
      </x:c>
      <x:c r="B72" s="32"/>
      <x:c r="C72" s="32"/>
      <x:c r="D72" s="32"/>
      <x:c r="E72" s="32"/>
      <x:c r="F72" s="36" t="n">
        <x:f>ROUND(IFERROR(AVERAGE(F49:F70),0),1)</x:f>
        <x:v>70.7</x:v>
      </x:c>
      <x:c r="G72" s="32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高点</x:v>
      </x:c>
      <x:c r="E75" s="20" t="str">
        <x:v>低点</x:v>
      </x:c>
      <x:c r="F75" s="20" t="str">
        <x:v>振幅</x:v>
      </x:c>
      <x:c r="G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4459.8</x:v>
      </x:c>
      <x:c r="E76" s="24" t="n">
        <x:v>4417</x:v>
      </x:c>
      <x:c r="F76" s="24" t="n">
        <x:f>ROUND(D76-E76,1)</x:f>
        <x:v>42.8</x:v>
      </x:c>
      <x:c r="G76" s="23" t="str">
        <x:v>IF2606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4436.6</x:v>
      </x:c>
      <x:c r="E77" s="24" t="n">
        <x:v>4365.2</x:v>
      </x:c>
      <x:c r="F77" s="24" t="n">
        <x:f>ROUND(D77-E77,1)</x:f>
        <x:v>71.4</x:v>
      </x:c>
      <x:c r="G77" s="23" t="str">
        <x:v>IF2606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4420</x:v>
      </x:c>
      <x:c r="E78" s="24" t="n">
        <x:v>4346</x:v>
      </x:c>
      <x:c r="F78" s="24" t="n">
        <x:f>ROUND(D78-E78,1)</x:f>
        <x:v>74</x:v>
      </x:c>
      <x:c r="G78" s="23" t="str">
        <x:v>IF2606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4390.6</x:v>
      </x:c>
      <x:c r="E79" s="24" t="n">
        <x:v>4347</x:v>
      </x:c>
      <x:c r="F79" s="24" t="n">
        <x:f>ROUND(D79-E79,1)</x:f>
        <x:v>43.6</x:v>
      </x:c>
      <x:c r="G79" s="23" t="str">
        <x:v>IF2606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4540.6</x:v>
      </x:c>
      <x:c r="E80" s="24" t="n">
        <x:v>4430.6</x:v>
      </x:c>
      <x:c r="F80" s="26" t="n">
        <x:f>ROUND(D80-E80,1)</x:f>
        <x:v>110</x:v>
      </x:c>
      <x:c r="G80" s="23" t="str">
        <x:v>IF2606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4511.2</x:v>
      </x:c>
      <x:c r="E81" s="24" t="n">
        <x:v>4485.6</x:v>
      </x:c>
      <x:c r="F81" s="24" t="n">
        <x:f>ROUND(D81-E81,1)</x:f>
        <x:v>25.6</x:v>
      </x:c>
      <x:c r="G81" s="23" t="str">
        <x:v>IF2606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4591.8</x:v>
      </x:c>
      <x:c r="E82" s="24" t="n">
        <x:v>4518.4</x:v>
      </x:c>
      <x:c r="F82" s="24" t="n">
        <x:f>ROUND(D82-E82,1)</x:f>
        <x:v>73.4</x:v>
      </x:c>
      <x:c r="G82" s="23" t="str">
        <x:v>IF2606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4582.4</x:v>
      </x:c>
      <x:c r="E83" s="24" t="n">
        <x:v>4541.6</x:v>
      </x:c>
      <x:c r="F83" s="24" t="n">
        <x:f>ROUND(D83-E83,1)</x:f>
        <x:v>40.8</x:v>
      </x:c>
      <x:c r="G83" s="23" t="str">
        <x:v>IF2606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4640</x:v>
      </x:c>
      <x:c r="E84" s="24" t="n">
        <x:v>4583.8</x:v>
      </x:c>
      <x:c r="F84" s="24" t="n">
        <x:f>ROUND(D84-E84,1)</x:f>
        <x:v>56.2</x:v>
      </x:c>
      <x:c r="G84" s="23" t="str">
        <x:v>IF2606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4680.8</x:v>
      </x:c>
      <x:c r="E85" s="24" t="n">
        <x:v>4618.4</x:v>
      </x:c>
      <x:c r="F85" s="24" t="n">
        <x:f>ROUND(D85-E85,1)</x:f>
        <x:v>62.4</x:v>
      </x:c>
      <x:c r="G85" s="23" t="str">
        <x:v>IF2606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4685</x:v>
      </x:c>
      <x:c r="E86" s="24" t="n">
        <x:v>4639.2</x:v>
      </x:c>
      <x:c r="F86" s="24" t="n">
        <x:f>ROUND(D86-E86,1)</x:f>
        <x:v>45.8</x:v>
      </x:c>
      <x:c r="G86" s="23" t="str">
        <x:v>IF2606</x:v>
      </x:c>
    </x:row>
    <x:row r="87">
      <x:c r="A87" s="29" t="n">
        <x:v>12</x:v>
      </x:c>
      <x:c r="B87" s="29" t="str">
        <x:v>周五</x:v>
      </x:c>
      <x:c r="C87" s="29" t="str">
        <x:v>4月17日</x:v>
      </x:c>
      <x:c r="D87" s="30" t="n">
        <x:v>4680.6</x:v>
      </x:c>
      <x:c r="E87" s="30" t="n">
        <x:v>4649.2</x:v>
      </x:c>
      <x:c r="F87" s="30" t="n">
        <x:f>ROUND(D87-E87,1)</x:f>
        <x:v>31.4</x:v>
      </x:c>
      <x:c r="G87" s="29" t="str">
        <x:v>IF2606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4714.8</x:v>
      </x:c>
      <x:c r="E88" s="24" t="n">
        <x:v>4656.8</x:v>
      </x:c>
      <x:c r="F88" s="24" t="n">
        <x:f>ROUND(D88-E88,1)</x:f>
        <x:v>58</x:v>
      </x:c>
      <x:c r="G88" s="23" t="str">
        <x:v>IF2606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4718</x:v>
      </x:c>
      <x:c r="E89" s="24" t="n">
        <x:v>4660</x:v>
      </x:c>
      <x:c r="F89" s="24" t="n">
        <x:f>ROUND(D89-E89,1)</x:f>
        <x:v>58</x:v>
      </x:c>
      <x:c r="G89" s="23" t="str">
        <x:v>IF2606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4745.6</x:v>
      </x:c>
      <x:c r="E90" s="24" t="n">
        <x:v>4688</x:v>
      </x:c>
      <x:c r="F90" s="24" t="n">
        <x:f>ROUND(D90-E90,1)</x:f>
        <x:v>57.6</x:v>
      </x:c>
      <x:c r="G90" s="23" t="str">
        <x:v>IF2606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4763</x:v>
      </x:c>
      <x:c r="E91" s="24" t="n">
        <x:v>4691.8</x:v>
      </x:c>
      <x:c r="F91" s="24" t="n">
        <x:f>ROUND(D91-E91,1)</x:f>
        <x:v>71.2</x:v>
      </x:c>
      <x:c r="G91" s="23" t="str">
        <x:v>IF2606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4733</x:v>
      </x:c>
      <x:c r="E92" s="24" t="n">
        <x:v>4678.6</x:v>
      </x:c>
      <x:c r="F92" s="24" t="n">
        <x:f>ROUND(D92-E92,1)</x:f>
        <x:v>54.4</x:v>
      </x:c>
      <x:c r="G92" s="23" t="str">
        <x:v>IF2606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4743.4</x:v>
      </x:c>
      <x:c r="E93" s="24" t="n">
        <x:v>4708.8</x:v>
      </x:c>
      <x:c r="F93" s="24" t="n">
        <x:f>ROUND(D93-E93,1)</x:f>
        <x:v>34.6</x:v>
      </x:c>
      <x:c r="G93" s="23" t="str">
        <x:v>IF2606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4725.8</x:v>
      </x:c>
      <x:c r="E94" s="24" t="n">
        <x:v>4687.2</x:v>
      </x:c>
      <x:c r="F94" s="24" t="n">
        <x:f>ROUND(D94-E94,1)</x:f>
        <x:v>38.6</x:v>
      </x:c>
      <x:c r="G94" s="23" t="str">
        <x:v>IF2606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4776.6</x:v>
      </x:c>
      <x:c r="E95" s="24" t="n">
        <x:v>4687.2</x:v>
      </x:c>
      <x:c r="F95" s="24" t="n">
        <x:f>ROUND(D95-E95,1)</x:f>
        <x:v>89.4</x:v>
      </x:c>
      <x:c r="G95" s="23" t="str">
        <x:v>IF2606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4776.2</x:v>
      </x:c>
      <x:c r="E96" s="24" t="n">
        <x:v>4744.2</x:v>
      </x:c>
      <x:c r="F96" s="24" t="n">
        <x:f>ROUND(D96-E96,1)</x:f>
        <x:v>32</x:v>
      </x:c>
      <x:c r="G96" s="23" t="str">
        <x:v>IF2606</x:v>
      </x:c>
    </x:row>
    <x:row r="97">
      <x:c r="A97" s="33" t="str">
        <x:v>合计</x:v>
      </x:c>
      <x:c r="B97" s="32" t="n">
        <x:v>21</x:v>
      </x:c>
      <x:c r="C97" s="32"/>
      <x:c r="D97" s="32"/>
      <x:c r="E97" s="32"/>
      <x:c r="F97" s="34" t="n">
        <x:f>ROUND(SUM(F76:F96),1)</x:f>
        <x:v>1171.2</x:v>
      </x:c>
      <x:c r="G97" s="32"/>
    </x:row>
    <x:row r="98">
      <x:c r="A98" s="33" t="str">
        <x:v>均值</x:v>
      </x:c>
      <x:c r="B98" s="32"/>
      <x:c r="C98" s="32"/>
      <x:c r="D98" s="32"/>
      <x:c r="E98" s="32"/>
      <x:c r="F98" s="36" t="n">
        <x:f>ROUND(IFERROR(AVERAGE(F76:F96),0),1)</x:f>
        <x:v>55.8</x:v>
      </x:c>
      <x:c r="G98" s="32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高点</x:v>
      </x:c>
      <x:c r="E101" s="20" t="str">
        <x:v>低点</x:v>
      </x:c>
      <x:c r="F101" s="20" t="str">
        <x:v>振幅</x:v>
      </x:c>
      <x:c r="G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4869</x:v>
      </x:c>
      <x:c r="E102" s="24" t="n">
        <x:v>4797</x:v>
      </x:c>
      <x:c r="F102" s="24" t="n">
        <x:f>ROUND(D102-E102,1)</x:f>
        <x:v>72</x:v>
      </x:c>
      <x:c r="G102" s="23" t="str">
        <x:v>IF2606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4867.6</x:v>
      </x:c>
      <x:c r="E103" s="24" t="n">
        <x:v>4832</x:v>
      </x:c>
      <x:c r="F103" s="24" t="n">
        <x:f>ROUND(D103-E103,1)</x:f>
        <x:v>35.6</x:v>
      </x:c>
      <x:c r="G103" s="23" t="str">
        <x:v>IF2606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4855</x:v>
      </x:c>
      <x:c r="E104" s="24" t="n">
        <x:v>4812</x:v>
      </x:c>
      <x:c r="F104" s="24" t="n">
        <x:f>ROUND(D104-E104,1)</x:f>
        <x:v>43</x:v>
      </x:c>
      <x:c r="G104" s="23" t="str">
        <x:v>IF2606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4931.6</x:v>
      </x:c>
      <x:c r="E105" s="24" t="n">
        <x:v>4844.4</x:v>
      </x:c>
      <x:c r="F105" s="24" t="n">
        <x:f>ROUND(D105-E105,1)</x:f>
        <x:v>87.2</x:v>
      </x:c>
      <x:c r="G105" s="23" t="str">
        <x:v>IF2606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4937.6</x:v>
      </x:c>
      <x:c r="E106" s="24" t="n">
        <x:v>4892.4</x:v>
      </x:c>
      <x:c r="F106" s="24" t="n">
        <x:f>ROUND(D106-E106,1)</x:f>
        <x:v>45.2</x:v>
      </x:c>
      <x:c r="G106" s="23" t="str">
        <x:v>IF2606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4975.6</x:v>
      </x:c>
      <x:c r="E107" s="24" t="n">
        <x:v>4891.6</x:v>
      </x:c>
      <x:c r="F107" s="24" t="n">
        <x:f>ROUND(D107-E107,1)</x:f>
        <x:v>84</x:v>
      </x:c>
      <x:c r="G107" s="23" t="str">
        <x:v>IF2606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4995</x:v>
      </x:c>
      <x:c r="E108" s="24" t="n">
        <x:v>4877.4</x:v>
      </x:c>
      <x:c r="F108" s="26" t="n">
        <x:f>ROUND(D108-E108,1)</x:f>
        <x:v>117.6</x:v>
      </x:c>
      <x:c r="G108" s="23" t="str">
        <x:v>IF2606</x:v>
      </x:c>
    </x:row>
    <x:row r="109">
      <x:c r="A109" s="29" t="n">
        <x:v>8</x:v>
      </x:c>
      <x:c r="B109" s="29" t="str">
        <x:v>周五</x:v>
      </x:c>
      <x:c r="C109" s="29" t="str">
        <x:v>5月15日</x:v>
      </x:c>
      <x:c r="D109" s="30" t="n">
        <x:v>4895.8</x:v>
      </x:c>
      <x:c r="E109" s="30" t="n">
        <x:v>4794</x:v>
      </x:c>
      <x:c r="F109" s="26" t="n">
        <x:f>ROUND(D109-E109,1)</x:f>
        <x:v>101.8</x:v>
      </x:c>
      <x:c r="G109" s="29" t="str">
        <x:v>IF2606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4834.6</x:v>
      </x:c>
      <x:c r="E110" s="24" t="n">
        <x:v>4765.6</x:v>
      </x:c>
      <x:c r="F110" s="24" t="n">
        <x:f>ROUND(D110-E110,1)</x:f>
        <x:v>69</x:v>
      </x:c>
      <x:c r="G110" s="23" t="str">
        <x:v>IF2606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4817</x:v>
      </x:c>
      <x:c r="E111" s="24" t="n">
        <x:v>4735</x:v>
      </x:c>
      <x:c r="F111" s="24" t="n">
        <x:f>ROUND(D111-E111,1)</x:f>
        <x:v>82</x:v>
      </x:c>
      <x:c r="G111" s="23" t="str">
        <x:v>IF2606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4821.8</x:v>
      </x:c>
      <x:c r="E112" s="24" t="n">
        <x:v>4771.8</x:v>
      </x:c>
      <x:c r="F112" s="24" t="n">
        <x:f>ROUND(D112-E112,1)</x:f>
        <x:v>50</x:v>
      </x:c>
      <x:c r="G112" s="23" t="str">
        <x:v>IF2606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4900.8</x:v>
      </x:c>
      <x:c r="E113" s="24" t="n">
        <x:v>4740.2</x:v>
      </x:c>
      <x:c r="F113" s="26" t="n">
        <x:f>ROUND(D113-E113,1)</x:f>
        <x:v>160.6</x:v>
      </x:c>
      <x:c r="G113" s="23" t="str">
        <x:v>IF2606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4814.4</x:v>
      </x:c>
      <x:c r="E114" s="24" t="n">
        <x:v>4757</x:v>
      </x:c>
      <x:c r="F114" s="24" t="n">
        <x:f>ROUND(D114-E114,1)</x:f>
        <x:v>57.4</x:v>
      </x:c>
      <x:c r="G114" s="23" t="str">
        <x:v>IF2606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4864.8</x:v>
      </x:c>
      <x:c r="E115" s="24" t="n">
        <x:v>4811.4</x:v>
      </x:c>
      <x:c r="F115" s="24" t="n">
        <x:f>ROUND(D115-E115,1)</x:f>
        <x:v>53.4</x:v>
      </x:c>
      <x:c r="G115" s="23" t="str">
        <x:v>IF2606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4902.4</x:v>
      </x:c>
      <x:c r="E116" s="24" t="n">
        <x:v>4838</x:v>
      </x:c>
      <x:c r="F116" s="24" t="n">
        <x:f>ROUND(D116-E116,1)</x:f>
        <x:v>64.4</x:v>
      </x:c>
      <x:c r="G116" s="23" t="str">
        <x:v>IF2606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4928.4</x:v>
      </x:c>
      <x:c r="E117" s="24" t="n">
        <x:v>4837.6</x:v>
      </x:c>
      <x:c r="F117" s="26" t="n">
        <x:f>ROUND(D117-E117,1)</x:f>
        <x:v>90.8</x:v>
      </x:c>
      <x:c r="G117" s="23" t="str">
        <x:v>IF2606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4880.4</x:v>
      </x:c>
      <x:c r="E118" s="24" t="n">
        <x:v>4793.2</x:v>
      </x:c>
      <x:c r="F118" s="24" t="n">
        <x:f>ROUND(D118-E118,1)</x:f>
        <x:v>87.2</x:v>
      </x:c>
      <x:c r="G118" s="23" t="str">
        <x:v>IF2606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4901.2</x:v>
      </x:c>
      <x:c r="E119" s="24" t="n">
        <x:v>4827</x:v>
      </x:c>
      <x:c r="F119" s="24" t="n">
        <x:f>ROUND(D119-E119,1)</x:f>
        <x:v>74.2</x:v>
      </x:c>
      <x:c r="G119" s="23" t="str">
        <x:v>IF2606</x:v>
      </x:c>
    </x:row>
    <x:row r="120">
      <x:c r="A120" s="33" t="str">
        <x:v>合计</x:v>
      </x:c>
      <x:c r="B120" s="32" t="n">
        <x:v>18</x:v>
      </x:c>
      <x:c r="C120" s="32"/>
      <x:c r="D120" s="32"/>
      <x:c r="E120" s="32"/>
      <x:c r="F120" s="34" t="n">
        <x:f>ROUND(SUM(F102:F119),1)</x:f>
        <x:v>1375.4</x:v>
      </x:c>
      <x:c r="G120" s="32"/>
    </x:row>
    <x:row r="121">
      <x:c r="A121" s="33" t="str">
        <x:v>均值</x:v>
      </x:c>
      <x:c r="B121" s="32"/>
      <x:c r="C121" s="32"/>
      <x:c r="D121" s="32"/>
      <x:c r="E121" s="32"/>
      <x:c r="F121" s="36" t="n">
        <x:f>ROUND(IFERROR(AVERAGE(F102:F119),0),1)</x:f>
        <x:v>76.4</x:v>
      </x:c>
      <x:c r="G121" s="32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高点</x:v>
      </x:c>
      <x:c r="E124" s="20" t="str">
        <x:v>低点</x:v>
      </x:c>
      <x:c r="F124" s="20" t="str">
        <x:v>振幅</x:v>
      </x:c>
      <x:c r="G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4881.6</x:v>
      </x:c>
      <x:c r="E125" s="24" t="n">
        <x:v>4796</x:v>
      </x:c>
      <x:c r="F125" s="24" t="n">
        <x:f>ROUND(D125-E125,1)</x:f>
        <x:v>85.6</x:v>
      </x:c>
      <x:c r="G125" s="23" t="str">
        <x:v>IF2606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4906.8</x:v>
      </x:c>
      <x:c r="E126" s="24" t="n">
        <x:v>4802</x:v>
      </x:c>
      <x:c r="F126" s="26" t="n">
        <x:f>ROUND(D126-E126,1)</x:f>
        <x:v>104.8</x:v>
      </x:c>
      <x:c r="G126" s="23" t="str">
        <x:v>IF2606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4964.6</x:v>
      </x:c>
      <x:c r="E127" s="24" t="n">
        <x:v>4875</x:v>
      </x:c>
      <x:c r="F127" s="24" t="n">
        <x:f>ROUND(D127-E127,1)</x:f>
        <x:v>89.6</x:v>
      </x:c>
      <x:c r="G127" s="23" t="str">
        <x:v>IF2606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4908.8</x:v>
      </x:c>
      <x:c r="E128" s="24" t="n">
        <x:v>4855.4</x:v>
      </x:c>
      <x:c r="F128" s="24" t="n">
        <x:f>ROUND(D128-E128,1)</x:f>
        <x:v>53.4</x:v>
      </x:c>
      <x:c r="G128" s="23" t="str">
        <x:v>IF2606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4888.8</x:v>
      </x:c>
      <x:c r="E129" s="24" t="n">
        <x:v>4762.2</x:v>
      </x:c>
      <x:c r="F129" s="26" t="n">
        <x:f>ROUND(D129-E129,1)</x:f>
        <x:v>126.6</x:v>
      </x:c>
      <x:c r="G129" s="23" t="str">
        <x:v>IF2606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4746</x:v>
      </x:c>
      <x:c r="E130" s="24" t="n">
        <x:v>4640.2</x:v>
      </x:c>
      <x:c r="F130" s="26" t="n">
        <x:f>ROUND(D130-E130,1)</x:f>
        <x:v>105.8</x:v>
      </x:c>
      <x:c r="G130" s="23" t="str">
        <x:v>IF2606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4752.4</x:v>
      </x:c>
      <x:c r="E131" s="24" t="n">
        <x:v>4669.6</x:v>
      </x:c>
      <x:c r="F131" s="24" t="n">
        <x:f>ROUND(D131-E131,1)</x:f>
        <x:v>82.8</x:v>
      </x:c>
      <x:c r="G131" s="23" t="str">
        <x:v>IF2606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4736.8</x:v>
      </x:c>
      <x:c r="E132" s="24" t="n">
        <x:v>4673.8</x:v>
      </x:c>
      <x:c r="F132" s="24" t="n">
        <x:f>ROUND(D132-E132,1)</x:f>
        <x:v>63</x:v>
      </x:c>
      <x:c r="G132" s="23" t="str">
        <x:v>IF2606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4737</x:v>
      </x:c>
      <x:c r="E133" s="24" t="n">
        <x:v>4656.2</x:v>
      </x:c>
      <x:c r="F133" s="24" t="n">
        <x:f>ROUND(D133-E133,1)</x:f>
        <x:v>80.8</x:v>
      </x:c>
      <x:c r="G133" s="23" t="str">
        <x:v>IF2606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4793</x:v>
      </x:c>
      <x:c r="E134" s="24" t="n">
        <x:v>4730</x:v>
      </x:c>
      <x:c r="F134" s="24" t="n">
        <x:f>ROUND(D134-E134,1)</x:f>
        <x:v>63</x:v>
      </x:c>
      <x:c r="G134" s="23" t="str">
        <x:v>IF2606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4882</x:v>
      </x:c>
      <x:c r="E135" s="24" t="n">
        <x:v>4804.8</x:v>
      </x:c>
      <x:c r="F135" s="24" t="n">
        <x:f>ROUND(D135-E135,1)</x:f>
        <x:v>77.2</x:v>
      </x:c>
      <x:c r="G135" s="23" t="str">
        <x:v>IF2606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4898.2</x:v>
      </x:c>
      <x:c r="E136" s="24" t="n">
        <x:v>4858</x:v>
      </x:c>
      <x:c r="F136" s="24" t="n">
        <x:f>ROUND(D136-E136,1)</x:f>
        <x:v>40.2</x:v>
      </x:c>
      <x:c r="G136" s="23" t="str">
        <x:v>IF2606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4928</x:v>
      </x:c>
      <x:c r="E137" s="24" t="n">
        <x:v>4859</x:v>
      </x:c>
      <x:c r="F137" s="24" t="n">
        <x:f>ROUND(D137-E137,1)</x:f>
        <x:v>69</x:v>
      </x:c>
      <x:c r="G137" s="23" t="str">
        <x:v>IF2606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4971</x:v>
      </x:c>
      <x:c r="E138" s="24" t="n">
        <x:v>4910</x:v>
      </x:c>
      <x:c r="F138" s="24" t="n">
        <x:f>ROUND(D138-E138,1)</x:f>
        <x:v>61</x:v>
      </x:c>
      <x:c r="G138" s="23" t="str">
        <x:v>IF2606</x:v>
      </x:c>
    </x:row>
    <x:row r="139">
      <x:c r="A139" s="29" t="n">
        <x:v>15</x:v>
      </x:c>
      <x:c r="B139" s="29" t="str">
        <x:v>周一</x:v>
      </x:c>
      <x:c r="C139" s="29" t="str">
        <x:v>6月22日</x:v>
      </x:c>
      <x:c r="D139" s="30" t="n">
        <x:v>4987.4</x:v>
      </x:c>
      <x:c r="E139" s="30" t="n">
        <x:v>4838.8</x:v>
      </x:c>
      <x:c r="F139" s="26" t="n">
        <x:f>ROUND(D139-E139,1)</x:f>
        <x:v>148.6</x:v>
      </x:c>
      <x:c r="G139" s="29" t="str">
        <x:v>IF2609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4994</x:v>
      </x:c>
      <x:c r="E140" s="24" t="n">
        <x:v>4790.2</x:v>
      </x:c>
      <x:c r="F140" s="26" t="n">
        <x:f>ROUND(D140-E140,1)</x:f>
        <x:v>203.8</x:v>
      </x:c>
      <x:c r="G140" s="23" t="str">
        <x:v>IF2609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4854.8</x:v>
      </x:c>
      <x:c r="E141" s="24" t="n">
        <x:v>4801.2</x:v>
      </x:c>
      <x:c r="F141" s="24" t="n">
        <x:f>ROUND(D141-E141,1)</x:f>
        <x:v>53.6</x:v>
      </x:c>
      <x:c r="G141" s="23" t="str">
        <x:v>IF2609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4921.6</x:v>
      </x:c>
      <x:c r="E142" s="24" t="n">
        <x:v>4829.8</x:v>
      </x:c>
      <x:c r="F142" s="26" t="n">
        <x:f>ROUND(D142-E142,1)</x:f>
        <x:v>91.8</x:v>
      </x:c>
      <x:c r="G142" s="23" t="str">
        <x:v>IF2609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4884</x:v>
      </x:c>
      <x:c r="E143" s="24" t="n">
        <x:v>4717</x:v>
      </x:c>
      <x:c r="F143" s="26" t="n">
        <x:f>ROUND(D143-E143,1)</x:f>
        <x:v>167</x:v>
      </x:c>
      <x:c r="G143" s="23" t="str">
        <x:v>IF2609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4800</x:v>
      </x:c>
      <x:c r="E144" s="24" t="n">
        <x:v>4718.6</x:v>
      </x:c>
      <x:c r="F144" s="24" t="n">
        <x:f>ROUND(D144-E144,1)</x:f>
        <x:v>81.4</x:v>
      </x:c>
      <x:c r="G144" s="23" t="str">
        <x:v>IF2609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4866</x:v>
      </x:c>
      <x:c r="E145" s="24" t="n">
        <x:v>4786</x:v>
      </x:c>
      <x:c r="F145" s="24" t="n">
        <x:f>ROUND(D145-E145,1)</x:f>
        <x:v>80</x:v>
      </x:c>
      <x:c r="G145" s="23" t="str">
        <x:v>IF2609</x:v>
      </x:c>
    </x:row>
    <x:row r="146">
      <x:c r="A146" s="33" t="str">
        <x:v>合计</x:v>
      </x:c>
      <x:c r="B146" s="32" t="n">
        <x:v>21</x:v>
      </x:c>
      <x:c r="C146" s="32"/>
      <x:c r="D146" s="32"/>
      <x:c r="E146" s="32"/>
      <x:c r="F146" s="34" t="n">
        <x:f>ROUND(SUM(F125:F145),1)</x:f>
        <x:v>1929</x:v>
      </x:c>
      <x:c r="G146" s="32"/>
    </x:row>
    <x:row r="147">
      <x:c r="A147" s="33" t="str">
        <x:v>均值</x:v>
      </x:c>
      <x:c r="B147" s="32"/>
      <x:c r="C147" s="32"/>
      <x:c r="D147" s="32"/>
      <x:c r="E147" s="32"/>
      <x:c r="F147" s="36" t="n">
        <x:f>ROUND(IFERROR(AVERAGE(F125:F145),0),1)</x:f>
        <x:v>91.9</x:v>
      </x:c>
      <x:c r="G147" s="32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高点</x:v>
      </x:c>
      <x:c r="E150" s="20" t="str">
        <x:v>低点</x:v>
      </x:c>
      <x:c r="F150" s="20" t="str">
        <x:v>振幅</x:v>
      </x:c>
      <x:c r="G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4899.6</x:v>
      </x:c>
      <x:c r="E151" s="24" t="n">
        <x:v>4802.2</x:v>
      </x:c>
      <x:c r="F151" s="26" t="n">
        <x:f>ROUND(D151-E151,1)</x:f>
        <x:v>97.4</x:v>
      </x:c>
      <x:c r="G151" s="23" t="str">
        <x:v>IF2609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4800.2</x:v>
      </x:c>
      <x:c r="E152" s="24" t="n">
        <x:v>4705</x:v>
      </x:c>
      <x:c r="F152" s="26" t="n">
        <x:f>ROUND(D152-E152,1)</x:f>
        <x:v>95.2</x:v>
      </x:c>
      <x:c r="G152" s="23" t="str">
        <x:v>IF2609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4810.4</x:v>
      </x:c>
      <x:c r="E153" s="24" t="n">
        <x:v>4728</x:v>
      </x:c>
      <x:c r="F153" s="24" t="n">
        <x:f>ROUND(D153-E153,1)</x:f>
        <x:v>82.4</x:v>
      </x:c>
      <x:c r="G153" s="23" t="str">
        <x:v>IF2609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4781.2</x:v>
      </x:c>
      <x:c r="E154" s="24" t="n">
        <x:v>4701</x:v>
      </x:c>
      <x:c r="F154" s="24" t="n">
        <x:f>ROUND(D154-E154,1)</x:f>
        <x:v>80.2</x:v>
      </x:c>
      <x:c r="G154" s="23" t="str">
        <x:v>IF2609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4752.6</x:v>
      </x:c>
      <x:c r="E155" s="24" t="n">
        <x:v>4671.4</x:v>
      </x:c>
      <x:c r="F155" s="24" t="n">
        <x:f>ROUND(D155-E155,1)</x:f>
        <x:v>81.2</x:v>
      </x:c>
      <x:c r="G155" s="23" t="str">
        <x:v>IF2609</x:v>
      </x:c>
    </x:row>
    <x:row r="156">
      <x:c r="A156" s="33" t="str">
        <x:v>合计</x:v>
      </x:c>
      <x:c r="B156" s="32" t="n">
        <x:v>5</x:v>
      </x:c>
      <x:c r="C156" s="32"/>
      <x:c r="D156" s="32"/>
      <x:c r="E156" s="32"/>
      <x:c r="F156" s="34" t="n">
        <x:f>ROUND(SUM(F151:F155),1)</x:f>
        <x:v>436.4</x:v>
      </x:c>
      <x:c r="G156" s="32"/>
    </x:row>
    <x:row r="157">
      <x:c r="A157" s="33" t="str">
        <x:v>均值</x:v>
      </x:c>
      <x:c r="B157" s="32"/>
      <x:c r="C157" s="32"/>
      <x:c r="D157" s="32"/>
      <x:c r="E157" s="32"/>
      <x:c r="F157" s="36" t="n">
        <x:f>ROUND(IFERROR(AVERAGE(F151:F155),0),1)</x:f>
        <x:v>87.3</x:v>
      </x:c>
      <x:c r="G157" s="32"/>
    </x:row>
  </x:sheetData>
  <x:mergeCells>
    <x:mergeCell ref="A1:G1"/>
    <x:mergeCell ref="A3:G3"/>
    <x:mergeCell ref="A28:G28"/>
    <x:mergeCell ref="A47:G47"/>
    <x:mergeCell ref="A74:G74"/>
    <x:mergeCell ref="A100:G100"/>
    <x:mergeCell ref="A123:G123"/>
    <x:mergeCell ref="A149:G14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高点</x:v>
      </x:c>
      <x:c r="E4" s="20" t="str">
        <x:v>低点</x:v>
      </x:c>
      <x:c r="F4" s="20" t="str">
        <x:v>振幅</x:v>
      </x:c>
      <x:c r="G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3108.8</x:v>
      </x:c>
      <x:c r="E5" s="24" t="n">
        <x:v>3040.8</x:v>
      </x:c>
      <x:c r="F5" s="26" t="n">
        <x:f>ROUND(D5-E5,1)</x:f>
        <x:v>68</x:v>
      </x:c>
      <x:c r="G5" s="23" t="str">
        <x:v>IH2603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3162</x:v>
      </x:c>
      <x:c r="E6" s="24" t="n">
        <x:v>3106</x:v>
      </x:c>
      <x:c r="F6" s="24" t="n">
        <x:f>ROUND(D6-E6,1)</x:f>
        <x:v>56</x:v>
      </x:c>
      <x:c r="G6" s="23" t="str">
        <x:v>IH2603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3165.6</x:v>
      </x:c>
      <x:c r="E7" s="24" t="n">
        <x:v>3131.2</x:v>
      </x:c>
      <x:c r="F7" s="24" t="n">
        <x:f>ROUND(D7-E7,1)</x:f>
        <x:v>34.4</x:v>
      </x:c>
      <x:c r="G7" s="23" t="str">
        <x:v>IH2603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3142.4</x:v>
      </x:c>
      <x:c r="E8" s="24" t="n">
        <x:v>3104.8</x:v>
      </x:c>
      <x:c r="F8" s="24" t="n">
        <x:f>ROUND(D8-E8,1)</x:f>
        <x:v>37.6</x:v>
      </x:c>
      <x:c r="G8" s="23" t="str">
        <x:v>IH2603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3148.6</x:v>
      </x:c>
      <x:c r="E9" s="24" t="n">
        <x:v>3112</x:v>
      </x:c>
      <x:c r="F9" s="24" t="n">
        <x:f>ROUND(D9-E9,1)</x:f>
        <x:v>36.6</x:v>
      </x:c>
      <x:c r="G9" s="23" t="str">
        <x:v>IH2603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3151.6</x:v>
      </x:c>
      <x:c r="E10" s="24" t="n">
        <x:v>3122.2</x:v>
      </x:c>
      <x:c r="F10" s="24" t="n">
        <x:f>ROUND(D10-E10,1)</x:f>
        <x:v>29.4</x:v>
      </x:c>
      <x:c r="G10" s="23" t="str">
        <x:v>IH2603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3181.2</x:v>
      </x:c>
      <x:c r="E11" s="24" t="n">
        <x:v>3125</x:v>
      </x:c>
      <x:c r="F11" s="24" t="n">
        <x:f>ROUND(D11-E11,1)</x:f>
        <x:v>56.2</x:v>
      </x:c>
      <x:c r="G11" s="23" t="str">
        <x:v>IH2603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3177.8</x:v>
      </x:c>
      <x:c r="E12" s="24" t="n">
        <x:v>3101</x:v>
      </x:c>
      <x:c r="F12" s="26" t="n">
        <x:f>ROUND(D12-E12,1)</x:f>
        <x:v>76.8</x:v>
      </x:c>
      <x:c r="G12" s="23" t="str">
        <x:v>IH2603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3132.4</x:v>
      </x:c>
      <x:c r="E13" s="24" t="n">
        <x:v>3098.6</x:v>
      </x:c>
      <x:c r="F13" s="24" t="n">
        <x:f>ROUND(D13-E13,1)</x:f>
        <x:v>33.8</x:v>
      </x:c>
      <x:c r="G13" s="23" t="str">
        <x:v>IH2603</x:v>
      </x:c>
    </x:row>
    <x:row r="14">
      <x:c r="A14" s="29" t="n">
        <x:v>10</x:v>
      </x:c>
      <x:c r="B14" s="29" t="str">
        <x:v>周五</x:v>
      </x:c>
      <x:c r="C14" s="29" t="str">
        <x:v>1月16日</x:v>
      </x:c>
      <x:c r="D14" s="30" t="n">
        <x:v>3133</x:v>
      </x:c>
      <x:c r="E14" s="30" t="n">
        <x:v>3074.4</x:v>
      </x:c>
      <x:c r="F14" s="30" t="n">
        <x:f>ROUND(D14-E14,1)</x:f>
        <x:v>58.6</x:v>
      </x:c>
      <x:c r="G14" s="29" t="str">
        <x:v>IH2603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3102.6</x:v>
      </x:c>
      <x:c r="E15" s="24" t="n">
        <x:v>3072</x:v>
      </x:c>
      <x:c r="F15" s="24" t="n">
        <x:f>ROUND(D15-E15,1)</x:f>
        <x:v>30.6</x:v>
      </x:c>
      <x:c r="G15" s="23" t="str">
        <x:v>IH2603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3092</x:v>
      </x:c>
      <x:c r="E16" s="24" t="n">
        <x:v>3061</x:v>
      </x:c>
      <x:c r="F16" s="24" t="n">
        <x:f>ROUND(D16-E16,1)</x:f>
        <x:v>31</x:v>
      </x:c>
      <x:c r="G16" s="23" t="str">
        <x:v>IH2603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3102.6</x:v>
      </x:c>
      <x:c r="E17" s="24" t="n">
        <x:v>3068</x:v>
      </x:c>
      <x:c r="F17" s="24" t="n">
        <x:f>ROUND(D17-E17,1)</x:f>
        <x:v>34.6</x:v>
      </x:c>
      <x:c r="G17" s="23" t="str">
        <x:v>IH2603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3093.8</x:v>
      </x:c>
      <x:c r="E18" s="24" t="n">
        <x:v>3052.8</x:v>
      </x:c>
      <x:c r="F18" s="24" t="n">
        <x:f>ROUND(D18-E18,1)</x:f>
        <x:v>41</x:v>
      </x:c>
      <x:c r="G18" s="23" t="str">
        <x:v>IH2603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3072.6</x:v>
      </x:c>
      <x:c r="E19" s="24" t="n">
        <x:v>3036.2</x:v>
      </x:c>
      <x:c r="F19" s="24" t="n">
        <x:f>ROUND(D19-E19,1)</x:f>
        <x:v>36.4</x:v>
      </x:c>
      <x:c r="G19" s="23" t="str">
        <x:v>IH2603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3099.8</x:v>
      </x:c>
      <x:c r="E20" s="24" t="n">
        <x:v>3045</x:v>
      </x:c>
      <x:c r="F20" s="24" t="n">
        <x:f>ROUND(D20-E20,1)</x:f>
        <x:v>54.8</x:v>
      </x:c>
      <x:c r="G20" s="23" t="str">
        <x:v>IH2603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3086.8</x:v>
      </x:c>
      <x:c r="E21" s="24" t="n">
        <x:v>3050.6</x:v>
      </x:c>
      <x:c r="F21" s="24" t="n">
        <x:f>ROUND(D21-E21,1)</x:f>
        <x:v>36.2</x:v>
      </x:c>
      <x:c r="G21" s="23" t="str">
        <x:v>IH2603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3079.8</x:v>
      </x:c>
      <x:c r="E22" s="24" t="n">
        <x:v>3058.6</x:v>
      </x:c>
      <x:c r="F22" s="24" t="n">
        <x:f>ROUND(D22-E22,1)</x:f>
        <x:v>21.2</x:v>
      </x:c>
      <x:c r="G22" s="23" t="str">
        <x:v>IH2603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3136.6</x:v>
      </x:c>
      <x:c r="E23" s="24" t="n">
        <x:v>3061.2</x:v>
      </x:c>
      <x:c r="F23" s="26" t="n">
        <x:f>ROUND(D23-E23,1)</x:f>
        <x:v>75.4</x:v>
      </x:c>
      <x:c r="G23" s="23" t="str">
        <x:v>IH2603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3128.4</x:v>
      </x:c>
      <x:c r="E24" s="24" t="n">
        <x:v>3044</x:v>
      </x:c>
      <x:c r="F24" s="26" t="n">
        <x:f>ROUND(D24-E24,1)</x:f>
        <x:v>84.4</x:v>
      </x:c>
      <x:c r="G24" s="23" t="str">
        <x:v>IH2603</x:v>
      </x:c>
    </x:row>
    <x:row r="25">
      <x:c r="A25" s="33" t="str">
        <x:v>合计</x:v>
      </x:c>
      <x:c r="B25" s="32" t="n">
        <x:v>20</x:v>
      </x:c>
      <x:c r="C25" s="32"/>
      <x:c r="D25" s="32"/>
      <x:c r="E25" s="32"/>
      <x:c r="F25" s="34" t="n">
        <x:f>ROUND(SUM(F5:F24),1)</x:f>
        <x:v>933</x:v>
      </x:c>
      <x:c r="G25" s="32"/>
    </x:row>
    <x:row r="26">
      <x:c r="A26" s="33" t="str">
        <x:v>均值</x:v>
      </x:c>
      <x:c r="B26" s="32"/>
      <x:c r="C26" s="32"/>
      <x:c r="D26" s="32"/>
      <x:c r="E26" s="32"/>
      <x:c r="F26" s="36" t="n">
        <x:f>ROUND(IFERROR(AVERAGE(F5:F24),0),1)</x:f>
        <x:v>46.7</x:v>
      </x:c>
      <x:c r="G26" s="32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高点</x:v>
      </x:c>
      <x:c r="E29" s="20" t="str">
        <x:v>低点</x:v>
      </x:c>
      <x:c r="F29" s="20" t="str">
        <x:v>振幅</x:v>
      </x:c>
      <x:c r="G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3081</x:v>
      </x:c>
      <x:c r="E30" s="24" t="n">
        <x:v>2984</x:v>
      </x:c>
      <x:c r="F30" s="26" t="n">
        <x:f>ROUND(D30-E30,1)</x:f>
        <x:v>97</x:v>
      </x:c>
      <x:c r="G30" s="23" t="str">
        <x:v>IH2603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3036.6</x:v>
      </x:c>
      <x:c r="E31" s="24" t="n">
        <x:v>2987.6</x:v>
      </x:c>
      <x:c r="F31" s="24" t="n">
        <x:f>ROUND(D31-E31,1)</x:f>
        <x:v>49</x:v>
      </x:c>
      <x:c r="G31" s="23" t="str">
        <x:v>IH2603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3074.4</x:v>
      </x:c>
      <x:c r="E32" s="24" t="n">
        <x:v>3027.6</x:v>
      </x:c>
      <x:c r="F32" s="24" t="n">
        <x:f>ROUND(D32-E32,1)</x:f>
        <x:v>46.8</x:v>
      </x:c>
      <x:c r="G32" s="23" t="str">
        <x:v>IH2603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3071.8</x:v>
      </x:c>
      <x:c r="E33" s="24" t="n">
        <x:v>3030.6</x:v>
      </x:c>
      <x:c r="F33" s="24" t="n">
        <x:f>ROUND(D33-E33,1)</x:f>
        <x:v>41.2</x:v>
      </x:c>
      <x:c r="G33" s="23" t="str">
        <x:v>IH2603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3060</x:v>
      </x:c>
      <x:c r="E34" s="24" t="n">
        <x:v>3013.6</x:v>
      </x:c>
      <x:c r="F34" s="24" t="n">
        <x:f>ROUND(D34-E34,1)</x:f>
        <x:v>46.4</x:v>
      </x:c>
      <x:c r="G34" s="23" t="str">
        <x:v>IH2603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3086.8</x:v>
      </x:c>
      <x:c r="E35" s="24" t="n">
        <x:v>3058.2</x:v>
      </x:c>
      <x:c r="F35" s="24" t="n">
        <x:f>ROUND(D35-E35,1)</x:f>
        <x:v>28.6</x:v>
      </x:c>
      <x:c r="G35" s="23" t="str">
        <x:v>IH2603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3095</x:v>
      </x:c>
      <x:c r="E36" s="24" t="n">
        <x:v>3083.4</x:v>
      </x:c>
      <x:c r="F36" s="24" t="n">
        <x:f>ROUND(D36-E36,1)</x:f>
        <x:v>11.6</x:v>
      </x:c>
      <x:c r="G36" s="23" t="str">
        <x:v>IH2603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3096.4</x:v>
      </x:c>
      <x:c r="E37" s="24" t="n">
        <x:v>3078.6</x:v>
      </x:c>
      <x:c r="F37" s="24" t="n">
        <x:f>ROUND(D37-E37,1)</x:f>
        <x:v>17.8</x:v>
      </x:c>
      <x:c r="G37" s="23" t="str">
        <x:v>IH2603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3098</x:v>
      </x:c>
      <x:c r="E38" s="24" t="n">
        <x:v>3080.8</x:v>
      </x:c>
      <x:c r="F38" s="24" t="n">
        <x:f>ROUND(D38-E38,1)</x:f>
        <x:v>17.2</x:v>
      </x:c>
      <x:c r="G38" s="23" t="str">
        <x:v>IH2603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3072.2</x:v>
      </x:c>
      <x:c r="E39" s="24" t="n">
        <x:v>3020</x:v>
      </x:c>
      <x:c r="F39" s="24" t="n">
        <x:f>ROUND(D39-E39,1)</x:f>
        <x:v>52.2</x:v>
      </x:c>
      <x:c r="G39" s="23" t="str">
        <x:v>IH2603</x:v>
      </x:c>
    </x:row>
    <x:row r="40">
      <x:c r="A40" s="29" t="n">
        <x:v>11</x:v>
      </x:c>
      <x:c r="B40" s="29" t="str">
        <x:v>周二</x:v>
      </x:c>
      <x:c r="C40" s="29" t="str">
        <x:v>2月24日</x:v>
      </x:c>
      <x:c r="D40" s="30" t="n">
        <x:v>3055.4</x:v>
      </x:c>
      <x:c r="E40" s="30" t="n">
        <x:v>3033.6</x:v>
      </x:c>
      <x:c r="F40" s="30" t="n">
        <x:f>ROUND(D40-E40,1)</x:f>
        <x:v>21.8</x:v>
      </x:c>
      <x:c r="G40" s="29" t="str">
        <x:v>IH2603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3086.4</x:v>
      </x:c>
      <x:c r="E41" s="24" t="n">
        <x:v>3041.4</x:v>
      </x:c>
      <x:c r="F41" s="24" t="n">
        <x:f>ROUND(D41-E41,1)</x:f>
        <x:v>45</x:v>
      </x:c>
      <x:c r="G41" s="23" t="str">
        <x:v>IH2603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3065</x:v>
      </x:c>
      <x:c r="E42" s="24" t="n">
        <x:v>3022</x:v>
      </x:c>
      <x:c r="F42" s="24" t="n">
        <x:f>ROUND(D42-E42,1)</x:f>
        <x:v>43</x:v>
      </x:c>
      <x:c r="G42" s="23" t="str">
        <x:v>IH2603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3051.2</x:v>
      </x:c>
      <x:c r="E43" s="24" t="n">
        <x:v>3027</x:v>
      </x:c>
      <x:c r="F43" s="24" t="n">
        <x:f>ROUND(D43-E43,1)</x:f>
        <x:v>24.2</x:v>
      </x:c>
      <x:c r="G43" s="23" t="str">
        <x:v>IH2603</x:v>
      </x:c>
    </x:row>
    <x:row r="44">
      <x:c r="A44" s="33" t="str">
        <x:v>合计</x:v>
      </x:c>
      <x:c r="B44" s="32" t="n">
        <x:v>14</x:v>
      </x:c>
      <x:c r="C44" s="32"/>
      <x:c r="D44" s="32"/>
      <x:c r="E44" s="32"/>
      <x:c r="F44" s="34" t="n">
        <x:f>ROUND(SUM(F30:F43),1)</x:f>
        <x:v>541.8</x:v>
      </x:c>
      <x:c r="G44" s="32"/>
    </x:row>
    <x:row r="45">
      <x:c r="A45" s="33" t="str">
        <x:v>均值</x:v>
      </x:c>
      <x:c r="B45" s="32"/>
      <x:c r="C45" s="32"/>
      <x:c r="D45" s="32"/>
      <x:c r="E45" s="32"/>
      <x:c r="F45" s="36" t="n">
        <x:f>ROUND(IFERROR(AVERAGE(F30:F43),0),1)</x:f>
        <x:v>38.7</x:v>
      </x:c>
      <x:c r="G45" s="32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高点</x:v>
      </x:c>
      <x:c r="E48" s="20" t="str">
        <x:v>低点</x:v>
      </x:c>
      <x:c r="F48" s="20" t="str">
        <x:v>振幅</x:v>
      </x:c>
      <x:c r="G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3053</x:v>
      </x:c>
      <x:c r="E49" s="24" t="n">
        <x:v>3006</x:v>
      </x:c>
      <x:c r="F49" s="24" t="n">
        <x:f>ROUND(D49-E49,1)</x:f>
        <x:v>47</x:v>
      </x:c>
      <x:c r="G49" s="23" t="str">
        <x:v>IH2603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3056</x:v>
      </x:c>
      <x:c r="E50" s="24" t="n">
        <x:v>3005</x:v>
      </x:c>
      <x:c r="F50" s="24" t="n">
        <x:f>ROUND(D50-E50,1)</x:f>
        <x:v>51</x:v>
      </x:c>
      <x:c r="G50" s="23" t="str">
        <x:v>IH2603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2999.8</x:v>
      </x:c>
      <x:c r="E51" s="24" t="n">
        <x:v>2950</x:v>
      </x:c>
      <x:c r="F51" s="24" t="n">
        <x:f>ROUND(D51-E51,1)</x:f>
        <x:v>49.8</x:v>
      </x:c>
      <x:c r="G51" s="23" t="str">
        <x:v>IH2603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2998.8</x:v>
      </x:c>
      <x:c r="E52" s="24" t="n">
        <x:v>2974</x:v>
      </x:c>
      <x:c r="F52" s="24" t="n">
        <x:f>ROUND(D52-E52,1)</x:f>
        <x:v>24.8</x:v>
      </x:c>
      <x:c r="G52" s="23" t="str">
        <x:v>IH2603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3002.6</x:v>
      </x:c>
      <x:c r="E53" s="24" t="n">
        <x:v>2965.2</x:v>
      </x:c>
      <x:c r="F53" s="24" t="n">
        <x:f>ROUND(D53-E53,1)</x:f>
        <x:v>37.4</x:v>
      </x:c>
      <x:c r="G53" s="23" t="str">
        <x:v>IH2603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2972</x:v>
      </x:c>
      <x:c r="E54" s="24" t="n">
        <x:v>2912.6</x:v>
      </x:c>
      <x:c r="F54" s="24" t="n">
        <x:f>ROUND(D54-E54,1)</x:f>
        <x:v>59.4</x:v>
      </x:c>
      <x:c r="G54" s="23" t="str">
        <x:v>IH2603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2987.6</x:v>
      </x:c>
      <x:c r="E55" s="24" t="n">
        <x:v>2969.6</x:v>
      </x:c>
      <x:c r="F55" s="24" t="n">
        <x:f>ROUND(D55-E55,1)</x:f>
        <x:v>18</x:v>
      </x:c>
      <x:c r="G55" s="23" t="str">
        <x:v>IH2603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2989</x:v>
      </x:c>
      <x:c r="E56" s="24" t="n">
        <x:v>2970.6</x:v>
      </x:c>
      <x:c r="F56" s="24" t="n">
        <x:f>ROUND(D56-E56,1)</x:f>
        <x:v>18.4</x:v>
      </x:c>
      <x:c r="G56" s="23" t="str">
        <x:v>IH2603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2983.8</x:v>
      </x:c>
      <x:c r="E57" s="24" t="n">
        <x:v>2951</x:v>
      </x:c>
      <x:c r="F57" s="24" t="n">
        <x:f>ROUND(D57-E57,1)</x:f>
        <x:v>32.8</x:v>
      </x:c>
      <x:c r="G57" s="23" t="str">
        <x:v>IH2603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2978.4</x:v>
      </x:c>
      <x:c r="E58" s="24" t="n">
        <x:v>2949.6</x:v>
      </x:c>
      <x:c r="F58" s="24" t="n">
        <x:f>ROUND(D58-E58,1)</x:f>
        <x:v>28.8</x:v>
      </x:c>
      <x:c r="G58" s="23" t="str">
        <x:v>IH2603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2956.6</x:v>
      </x:c>
      <x:c r="E59" s="24" t="n">
        <x:v>2925.2</x:v>
      </x:c>
      <x:c r="F59" s="24" t="n">
        <x:f>ROUND(D59-E59,1)</x:f>
        <x:v>31.4</x:v>
      </x:c>
      <x:c r="G59" s="23" t="str">
        <x:v>IH2603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2996.6</x:v>
      </x:c>
      <x:c r="E60" s="24" t="n">
        <x:v>2952</x:v>
      </x:c>
      <x:c r="F60" s="24" t="n">
        <x:f>ROUND(D60-E60,1)</x:f>
        <x:v>44.6</x:v>
      </x:c>
      <x:c r="G60" s="23" t="str">
        <x:v>IH2603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2975.2</x:v>
      </x:c>
      <x:c r="E61" s="24" t="n">
        <x:v>2938.6</x:v>
      </x:c>
      <x:c r="F61" s="24" t="n">
        <x:f>ROUND(D61-E61,1)</x:f>
        <x:v>36.6</x:v>
      </x:c>
      <x:c r="G61" s="23" t="str">
        <x:v>IH2603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2943.4</x:v>
      </x:c>
      <x:c r="E62" s="24" t="n">
        <x:v>2908.4</x:v>
      </x:c>
      <x:c r="F62" s="24" t="n">
        <x:f>ROUND(D62-E62,1)</x:f>
        <x:v>35</x:v>
      </x:c>
      <x:c r="G62" s="23" t="str">
        <x:v>IH2603</x:v>
      </x:c>
    </x:row>
    <x:row r="63">
      <x:c r="A63" s="29" t="n">
        <x:v>15</x:v>
      </x:c>
      <x:c r="B63" s="29" t="str">
        <x:v>周五</x:v>
      </x:c>
      <x:c r="C63" s="29" t="str">
        <x:v>3月20日</x:v>
      </x:c>
      <x:c r="D63" s="30" t="n">
        <x:v>2927.8</x:v>
      </x:c>
      <x:c r="E63" s="30" t="n">
        <x:v>2896</x:v>
      </x:c>
      <x:c r="F63" s="30" t="n">
        <x:f>ROUND(D63-E63,1)</x:f>
        <x:v>31.8</x:v>
      </x:c>
      <x:c r="G63" s="29" t="str">
        <x:v>IH2603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2847.6</x:v>
      </x:c>
      <x:c r="E64" s="24" t="n">
        <x:v>2750.8</x:v>
      </x:c>
      <x:c r="F64" s="26" t="n">
        <x:f>ROUND(D64-E64,1)</x:f>
        <x:v>96.8</x:v>
      </x:c>
      <x:c r="G64" s="23" t="str">
        <x:v>IH2606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2814.2</x:v>
      </x:c>
      <x:c r="E65" s="24" t="n">
        <x:v>2773</x:v>
      </x:c>
      <x:c r="F65" s="24" t="n">
        <x:f>ROUND(D65-E65,1)</x:f>
        <x:v>41.2</x:v>
      </x:c>
      <x:c r="G65" s="23" t="str">
        <x:v>IH2606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2847.6</x:v>
      </x:c>
      <x:c r="E66" s="24" t="n">
        <x:v>2822.2</x:v>
      </x:c>
      <x:c r="F66" s="24" t="n">
        <x:f>ROUND(D66-E66,1)</x:f>
        <x:v>25.4</x:v>
      </x:c>
      <x:c r="G66" s="23" t="str">
        <x:v>IH2606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2842.4</x:v>
      </x:c>
      <x:c r="E67" s="24" t="n">
        <x:v>2797.6</x:v>
      </x:c>
      <x:c r="F67" s="24" t="n">
        <x:f>ROUND(D67-E67,1)</x:f>
        <x:v>44.8</x:v>
      </x:c>
      <x:c r="G67" s="23" t="str">
        <x:v>IH2606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2832.6</x:v>
      </x:c>
      <x:c r="E68" s="24" t="n">
        <x:v>2785</x:v>
      </x:c>
      <x:c r="F68" s="24" t="n">
        <x:f>ROUND(D68-E68,1)</x:f>
        <x:v>47.6</x:v>
      </x:c>
      <x:c r="G68" s="23" t="str">
        <x:v>IH2606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2818</x:v>
      </x:c>
      <x:c r="E69" s="24" t="n">
        <x:v>2780.4</x:v>
      </x:c>
      <x:c r="F69" s="24" t="n">
        <x:f>ROUND(D69-E69,1)</x:f>
        <x:v>37.6</x:v>
      </x:c>
      <x:c r="G69" s="23" t="str">
        <x:v>IH2606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2844</x:v>
      </x:c>
      <x:c r="E70" s="24" t="n">
        <x:v>2802.6</x:v>
      </x:c>
      <x:c r="F70" s="24" t="n">
        <x:f>ROUND(D70-E70,1)</x:f>
        <x:v>41.4</x:v>
      </x:c>
      <x:c r="G70" s="23" t="str">
        <x:v>IH2606</x:v>
      </x:c>
    </x:row>
    <x:row r="71">
      <x:c r="A71" s="33" t="str">
        <x:v>合计</x:v>
      </x:c>
      <x:c r="B71" s="32" t="n">
        <x:v>22</x:v>
      </x:c>
      <x:c r="C71" s="32"/>
      <x:c r="D71" s="32"/>
      <x:c r="E71" s="32"/>
      <x:c r="F71" s="34" t="n">
        <x:f>ROUND(SUM(F49:F70),1)</x:f>
        <x:v>881.6</x:v>
      </x:c>
      <x:c r="G71" s="32"/>
    </x:row>
    <x:row r="72">
      <x:c r="A72" s="33" t="str">
        <x:v>均值</x:v>
      </x:c>
      <x:c r="B72" s="32"/>
      <x:c r="C72" s="32"/>
      <x:c r="D72" s="32"/>
      <x:c r="E72" s="32"/>
      <x:c r="F72" s="36" t="n">
        <x:f>ROUND(IFERROR(AVERAGE(F49:F70),0),1)</x:f>
        <x:v>40.1</x:v>
      </x:c>
      <x:c r="G72" s="32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高点</x:v>
      </x:c>
      <x:c r="E75" s="20" t="str">
        <x:v>低点</x:v>
      </x:c>
      <x:c r="F75" s="20" t="str">
        <x:v>振幅</x:v>
      </x:c>
      <x:c r="G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2865.4</x:v>
      </x:c>
      <x:c r="E76" s="24" t="n">
        <x:v>2835.2</x:v>
      </x:c>
      <x:c r="F76" s="24" t="n">
        <x:f>ROUND(D76-E76,1)</x:f>
        <x:v>30.2</x:v>
      </x:c>
      <x:c r="G76" s="23" t="str">
        <x:v>IH2606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2847.2</x:v>
      </x:c>
      <x:c r="E77" s="24" t="n">
        <x:v>2810.8</x:v>
      </x:c>
      <x:c r="F77" s="24" t="n">
        <x:f>ROUND(D77-E77,1)</x:f>
        <x:v>36.4</x:v>
      </x:c>
      <x:c r="G77" s="23" t="str">
        <x:v>IH2606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2835.2</x:v>
      </x:c>
      <x:c r="E78" s="24" t="n">
        <x:v>2798.4</x:v>
      </x:c>
      <x:c r="F78" s="24" t="n">
        <x:f>ROUND(D78-E78,1)</x:f>
        <x:v>36.8</x:v>
      </x:c>
      <x:c r="G78" s="23" t="str">
        <x:v>IH2606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2821.4</x:v>
      </x:c>
      <x:c r="E79" s="24" t="n">
        <x:v>2797.2</x:v>
      </x:c>
      <x:c r="F79" s="24" t="n">
        <x:f>ROUND(D79-E79,1)</x:f>
        <x:v>24.2</x:v>
      </x:c>
      <x:c r="G79" s="23" t="str">
        <x:v>IH2606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2891.8</x:v>
      </x:c>
      <x:c r="E80" s="24" t="n">
        <x:v>2841</x:v>
      </x:c>
      <x:c r="F80" s="24" t="n">
        <x:f>ROUND(D80-E80,1)</x:f>
        <x:v>50.8</x:v>
      </x:c>
      <x:c r="G80" s="23" t="str">
        <x:v>IH2606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2872.8</x:v>
      </x:c>
      <x:c r="E81" s="24" t="n">
        <x:v>2852.4</x:v>
      </x:c>
      <x:c r="F81" s="24" t="n">
        <x:f>ROUND(D81-E81,1)</x:f>
        <x:v>20.4</x:v>
      </x:c>
      <x:c r="G81" s="23" t="str">
        <x:v>IH2606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2896</x:v>
      </x:c>
      <x:c r="E82" s="24" t="n">
        <x:v>2868.8</x:v>
      </x:c>
      <x:c r="F82" s="24" t="n">
        <x:f>ROUND(D82-E82,1)</x:f>
        <x:v>27.2</x:v>
      </x:c>
      <x:c r="G82" s="23" t="str">
        <x:v>IH2606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2878.8</x:v>
      </x:c>
      <x:c r="E83" s="24" t="n">
        <x:v>2860</x:v>
      </x:c>
      <x:c r="F83" s="24" t="n">
        <x:f>ROUND(D83-E83,1)</x:f>
        <x:v>18.8</x:v>
      </x:c>
      <x:c r="G83" s="23" t="str">
        <x:v>IH2606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2900.8</x:v>
      </x:c>
      <x:c r="E84" s="24" t="n">
        <x:v>2873.2</x:v>
      </x:c>
      <x:c r="F84" s="24" t="n">
        <x:f>ROUND(D84-E84,1)</x:f>
        <x:v>27.6</x:v>
      </x:c>
      <x:c r="G84" s="23" t="str">
        <x:v>IH2606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2930.8</x:v>
      </x:c>
      <x:c r="E85" s="24" t="n">
        <x:v>2907</x:v>
      </x:c>
      <x:c r="F85" s="24" t="n">
        <x:f>ROUND(D85-E85,1)</x:f>
        <x:v>23.8</x:v>
      </x:c>
      <x:c r="G85" s="23" t="str">
        <x:v>IH2606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2929.4</x:v>
      </x:c>
      <x:c r="E86" s="24" t="n">
        <x:v>2911</x:v>
      </x:c>
      <x:c r="F86" s="24" t="n">
        <x:f>ROUND(D86-E86,1)</x:f>
        <x:v>18.4</x:v>
      </x:c>
      <x:c r="G86" s="23" t="str">
        <x:v>IH2606</x:v>
      </x:c>
    </x:row>
    <x:row r="87">
      <x:c r="A87" s="29" t="n">
        <x:v>12</x:v>
      </x:c>
      <x:c r="B87" s="29" t="str">
        <x:v>周五</x:v>
      </x:c>
      <x:c r="C87" s="29" t="str">
        <x:v>4月17日</x:v>
      </x:c>
      <x:c r="D87" s="30" t="n">
        <x:v>2907.8</x:v>
      </x:c>
      <x:c r="E87" s="30" t="n">
        <x:v>2888</x:v>
      </x:c>
      <x:c r="F87" s="30" t="n">
        <x:f>ROUND(D87-E87,1)</x:f>
        <x:v>19.8</x:v>
      </x:c>
      <x:c r="G87" s="29" t="str">
        <x:v>IH2606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2922</x:v>
      </x:c>
      <x:c r="E88" s="24" t="n">
        <x:v>2891</x:v>
      </x:c>
      <x:c r="F88" s="24" t="n">
        <x:f>ROUND(D88-E88,1)</x:f>
        <x:v>31</x:v>
      </x:c>
      <x:c r="G88" s="23" t="str">
        <x:v>IH2606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2923.6</x:v>
      </x:c>
      <x:c r="E89" s="24" t="n">
        <x:v>2902.2</x:v>
      </x:c>
      <x:c r="F89" s="24" t="n">
        <x:f>ROUND(D89-E89,1)</x:f>
        <x:v>21.4</x:v>
      </x:c>
      <x:c r="G89" s="23" t="str">
        <x:v>IH2606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2921</x:v>
      </x:c>
      <x:c r="E90" s="24" t="n">
        <x:v>2906.2</x:v>
      </x:c>
      <x:c r="F90" s="24" t="n">
        <x:f>ROUND(D90-E90,1)</x:f>
        <x:v>14.8</x:v>
      </x:c>
      <x:c r="G90" s="23" t="str">
        <x:v>IH2606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2924.4</x:v>
      </x:c>
      <x:c r="E91" s="24" t="n">
        <x:v>2891.2</x:v>
      </x:c>
      <x:c r="F91" s="24" t="n">
        <x:f>ROUND(D91-E91,1)</x:f>
        <x:v>33.2</x:v>
      </x:c>
      <x:c r="G91" s="23" t="str">
        <x:v>IH2606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2934.2</x:v>
      </x:c>
      <x:c r="E92" s="24" t="n">
        <x:v>2893.6</x:v>
      </x:c>
      <x:c r="F92" s="24" t="n">
        <x:f>ROUND(D92-E92,1)</x:f>
        <x:v>40.6</x:v>
      </x:c>
      <x:c r="G92" s="23" t="str">
        <x:v>IH2606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2942.6</x:v>
      </x:c>
      <x:c r="E93" s="24" t="n">
        <x:v>2917</x:v>
      </x:c>
      <x:c r="F93" s="24" t="n">
        <x:f>ROUND(D93-E93,1)</x:f>
        <x:v>25.6</x:v>
      </x:c>
      <x:c r="G93" s="23" t="str">
        <x:v>IH2606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2945.8</x:v>
      </x:c>
      <x:c r="E94" s="24" t="n">
        <x:v>2917.2</x:v>
      </x:c>
      <x:c r="F94" s="24" t="n">
        <x:f>ROUND(D94-E94,1)</x:f>
        <x:v>28.6</x:v>
      </x:c>
      <x:c r="G94" s="23" t="str">
        <x:v>IH2606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2956</x:v>
      </x:c>
      <x:c r="E95" s="24" t="n">
        <x:v>2923</x:v>
      </x:c>
      <x:c r="F95" s="24" t="n">
        <x:f>ROUND(D95-E95,1)</x:f>
        <x:v>33</x:v>
      </x:c>
      <x:c r="G95" s="23" t="str">
        <x:v>IH2606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2970</x:v>
      </x:c>
      <x:c r="E96" s="24" t="n">
        <x:v>2942.6</x:v>
      </x:c>
      <x:c r="F96" s="24" t="n">
        <x:f>ROUND(D96-E96,1)</x:f>
        <x:v>27.4</x:v>
      </x:c>
      <x:c r="G96" s="23" t="str">
        <x:v>IH2606</x:v>
      </x:c>
    </x:row>
    <x:row r="97">
      <x:c r="A97" s="33" t="str">
        <x:v>合计</x:v>
      </x:c>
      <x:c r="B97" s="32" t="n">
        <x:v>21</x:v>
      </x:c>
      <x:c r="C97" s="32"/>
      <x:c r="D97" s="32"/>
      <x:c r="E97" s="32"/>
      <x:c r="F97" s="34" t="n">
        <x:f>ROUND(SUM(F76:F96),1)</x:f>
        <x:v>590</x:v>
      </x:c>
      <x:c r="G97" s="32"/>
    </x:row>
    <x:row r="98">
      <x:c r="A98" s="33" t="str">
        <x:v>均值</x:v>
      </x:c>
      <x:c r="B98" s="32"/>
      <x:c r="C98" s="32"/>
      <x:c r="D98" s="32"/>
      <x:c r="E98" s="32"/>
      <x:c r="F98" s="36" t="n">
        <x:f>ROUND(IFERROR(AVERAGE(F76:F96),0),1)</x:f>
        <x:v>28.1</x:v>
      </x:c>
      <x:c r="G98" s="32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高点</x:v>
      </x:c>
      <x:c r="E101" s="20" t="str">
        <x:v>低点</x:v>
      </x:c>
      <x:c r="F101" s="20" t="str">
        <x:v>振幅</x:v>
      </x:c>
      <x:c r="G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3024.8</x:v>
      </x:c>
      <x:c r="E102" s="24" t="n">
        <x:v>2984.8</x:v>
      </x:c>
      <x:c r="F102" s="24" t="n">
        <x:f>ROUND(D102-E102,1)</x:f>
        <x:v>40</x:v>
      </x:c>
      <x:c r="G102" s="23" t="str">
        <x:v>IH2606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3024.6</x:v>
      </x:c>
      <x:c r="E103" s="24" t="n">
        <x:v>3003.4</x:v>
      </x:c>
      <x:c r="F103" s="24" t="n">
        <x:f>ROUND(D103-E103,1)</x:f>
        <x:v>21.2</x:v>
      </x:c>
      <x:c r="G103" s="23" t="str">
        <x:v>IH2606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3005</x:v>
      </x:c>
      <x:c r="E104" s="24" t="n">
        <x:v>2969.2</x:v>
      </x:c>
      <x:c r="F104" s="24" t="n">
        <x:f>ROUND(D104-E104,1)</x:f>
        <x:v>35.8</x:v>
      </x:c>
      <x:c r="G104" s="23" t="str">
        <x:v>IH2606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3031.8</x:v>
      </x:c>
      <x:c r="E105" s="24" t="n">
        <x:v>2984.2</x:v>
      </x:c>
      <x:c r="F105" s="24" t="n">
        <x:f>ROUND(D105-E105,1)</x:f>
        <x:v>47.6</x:v>
      </x:c>
      <x:c r="G105" s="23" t="str">
        <x:v>IH2606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3038.6</x:v>
      </x:c>
      <x:c r="E106" s="24" t="n">
        <x:v>3016.4</x:v>
      </x:c>
      <x:c r="F106" s="24" t="n">
        <x:f>ROUND(D106-E106,1)</x:f>
        <x:v>22.2</x:v>
      </x:c>
      <x:c r="G106" s="23" t="str">
        <x:v>IH2606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3039.4</x:v>
      </x:c>
      <x:c r="E107" s="24" t="n">
        <x:v>3004.6</x:v>
      </x:c>
      <x:c r="F107" s="24" t="n">
        <x:f>ROUND(D107-E107,1)</x:f>
        <x:v>34.8</x:v>
      </x:c>
      <x:c r="G107" s="23" t="str">
        <x:v>IH2606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3041.8</x:v>
      </x:c>
      <x:c r="E108" s="24" t="n">
        <x:v>2982.6</x:v>
      </x:c>
      <x:c r="F108" s="24" t="n">
        <x:f>ROUND(D108-E108,1)</x:f>
        <x:v>59.2</x:v>
      </x:c>
      <x:c r="G108" s="23" t="str">
        <x:v>IH2606</x:v>
      </x:c>
    </x:row>
    <x:row r="109">
      <x:c r="A109" s="29" t="n">
        <x:v>8</x:v>
      </x:c>
      <x:c r="B109" s="29" t="str">
        <x:v>周五</x:v>
      </x:c>
      <x:c r="C109" s="29" t="str">
        <x:v>5月15日</x:v>
      </x:c>
      <x:c r="D109" s="30" t="n">
        <x:v>2985.8</x:v>
      </x:c>
      <x:c r="E109" s="30" t="n">
        <x:v>2927</x:v>
      </x:c>
      <x:c r="F109" s="30" t="n">
        <x:f>ROUND(D109-E109,1)</x:f>
        <x:v>58.8</x:v>
      </x:c>
      <x:c r="G109" s="29" t="str">
        <x:v>IH2606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2944.8</x:v>
      </x:c>
      <x:c r="E110" s="24" t="n">
        <x:v>2903.4</x:v>
      </x:c>
      <x:c r="F110" s="24" t="n">
        <x:f>ROUND(D110-E110,1)</x:f>
        <x:v>41.4</x:v>
      </x:c>
      <x:c r="G110" s="23" t="str">
        <x:v>IH2606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2935.4</x:v>
      </x:c>
      <x:c r="E111" s="24" t="n">
        <x:v>2901</x:v>
      </x:c>
      <x:c r="F111" s="24" t="n">
        <x:f>ROUND(D111-E111,1)</x:f>
        <x:v>34.4</x:v>
      </x:c>
      <x:c r="G111" s="23" t="str">
        <x:v>IH2606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2944</x:v>
      </x:c>
      <x:c r="E112" s="24" t="n">
        <x:v>2916.8</x:v>
      </x:c>
      <x:c r="F112" s="24" t="n">
        <x:f>ROUND(D112-E112,1)</x:f>
        <x:v>27.2</x:v>
      </x:c>
      <x:c r="G112" s="23" t="str">
        <x:v>IH2606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2981.8</x:v>
      </x:c>
      <x:c r="E113" s="24" t="n">
        <x:v>2899.8</x:v>
      </x:c>
      <x:c r="F113" s="26" t="n">
        <x:f>ROUND(D113-E113,1)</x:f>
        <x:v>82</x:v>
      </x:c>
      <x:c r="G113" s="23" t="str">
        <x:v>IH2606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2920</x:v>
      </x:c>
      <x:c r="E114" s="24" t="n">
        <x:v>2893.2</x:v>
      </x:c>
      <x:c r="F114" s="24" t="n">
        <x:f>ROUND(D114-E114,1)</x:f>
        <x:v>26.8</x:v>
      </x:c>
      <x:c r="G114" s="23" t="str">
        <x:v>IH2606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2948.6</x:v>
      </x:c>
      <x:c r="E115" s="24" t="n">
        <x:v>2908.2</x:v>
      </x:c>
      <x:c r="F115" s="24" t="n">
        <x:f>ROUND(D115-E115,1)</x:f>
        <x:v>40.4</x:v>
      </x:c>
      <x:c r="G115" s="23" t="str">
        <x:v>IH2606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2958.4</x:v>
      </x:c>
      <x:c r="E116" s="24" t="n">
        <x:v>2928.2</x:v>
      </x:c>
      <x:c r="F116" s="24" t="n">
        <x:f>ROUND(D116-E116,1)</x:f>
        <x:v>30.2</x:v>
      </x:c>
      <x:c r="G116" s="23" t="str">
        <x:v>IH2606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2960</x:v>
      </x:c>
      <x:c r="E117" s="24" t="n">
        <x:v>2896.6</x:v>
      </x:c>
      <x:c r="F117" s="26" t="n">
        <x:f>ROUND(D117-E117,1)</x:f>
        <x:v>63.4</x:v>
      </x:c>
      <x:c r="G117" s="23" t="str">
        <x:v>IH2606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2911.6</x:v>
      </x:c>
      <x:c r="E118" s="24" t="n">
        <x:v>2871</x:v>
      </x:c>
      <x:c r="F118" s="24" t="n">
        <x:f>ROUND(D118-E118,1)</x:f>
        <x:v>40.6</x:v>
      </x:c>
      <x:c r="G118" s="23" t="str">
        <x:v>IH2606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2919.8</x:v>
      </x:c>
      <x:c r="E119" s="24" t="n">
        <x:v>2886.4</x:v>
      </x:c>
      <x:c r="F119" s="24" t="n">
        <x:f>ROUND(D119-E119,1)</x:f>
        <x:v>33.4</x:v>
      </x:c>
      <x:c r="G119" s="23" t="str">
        <x:v>IH2606</x:v>
      </x:c>
    </x:row>
    <x:row r="120">
      <x:c r="A120" s="33" t="str">
        <x:v>合计</x:v>
      </x:c>
      <x:c r="B120" s="32" t="n">
        <x:v>18</x:v>
      </x:c>
      <x:c r="C120" s="32"/>
      <x:c r="D120" s="32"/>
      <x:c r="E120" s="32"/>
      <x:c r="F120" s="34" t="n">
        <x:f>ROUND(SUM(F102:F119),1)</x:f>
        <x:v>739.4</x:v>
      </x:c>
      <x:c r="G120" s="32"/>
    </x:row>
    <x:row r="121">
      <x:c r="A121" s="33" t="str">
        <x:v>均值</x:v>
      </x:c>
      <x:c r="B121" s="32"/>
      <x:c r="C121" s="32"/>
      <x:c r="D121" s="32"/>
      <x:c r="E121" s="32"/>
      <x:c r="F121" s="36" t="n">
        <x:f>ROUND(IFERROR(AVERAGE(F102:F119),0),1)</x:f>
        <x:v>41.1</x:v>
      </x:c>
      <x:c r="G121" s="32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高点</x:v>
      </x:c>
      <x:c r="E124" s="20" t="str">
        <x:v>低点</x:v>
      </x:c>
      <x:c r="F124" s="20" t="str">
        <x:v>振幅</x:v>
      </x:c>
      <x:c r="G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2909</x:v>
      </x:c>
      <x:c r="E125" s="24" t="n">
        <x:v>2870</x:v>
      </x:c>
      <x:c r="F125" s="24" t="n">
        <x:f>ROUND(D125-E125,1)</x:f>
        <x:v>39</x:v>
      </x:c>
      <x:c r="G125" s="23" t="str">
        <x:v>IH2606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2920.6</x:v>
      </x:c>
      <x:c r="E126" s="24" t="n">
        <x:v>2877</x:v>
      </x:c>
      <x:c r="F126" s="24" t="n">
        <x:f>ROUND(D126-E126,1)</x:f>
        <x:v>43.6</x:v>
      </x:c>
      <x:c r="G126" s="23" t="str">
        <x:v>IH2606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2924.2</x:v>
      </x:c>
      <x:c r="E127" s="24" t="n">
        <x:v>2892.2</x:v>
      </x:c>
      <x:c r="F127" s="24" t="n">
        <x:f>ROUND(D127-E127,1)</x:f>
        <x:v>32</x:v>
      </x:c>
      <x:c r="G127" s="23" t="str">
        <x:v>IH2606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2903</x:v>
      </x:c>
      <x:c r="E128" s="24" t="n">
        <x:v>2865.6</x:v>
      </x:c>
      <x:c r="F128" s="24" t="n">
        <x:f>ROUND(D128-E128,1)</x:f>
        <x:v>37.4</x:v>
      </x:c>
      <x:c r="G128" s="23" t="str">
        <x:v>IH2606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2892.8</x:v>
      </x:c>
      <x:c r="E129" s="24" t="n">
        <x:v>2841.6</x:v>
      </x:c>
      <x:c r="F129" s="24" t="n">
        <x:f>ROUND(D129-E129,1)</x:f>
        <x:v>51.2</x:v>
      </x:c>
      <x:c r="G129" s="23" t="str">
        <x:v>IH2606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2833.2</x:v>
      </x:c>
      <x:c r="E130" s="24" t="n">
        <x:v>2791.2</x:v>
      </x:c>
      <x:c r="F130" s="24" t="n">
        <x:f>ROUND(D130-E130,1)</x:f>
        <x:v>42</x:v>
      </x:c>
      <x:c r="G130" s="23" t="str">
        <x:v>IH2606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2822.6</x:v>
      </x:c>
      <x:c r="E131" s="24" t="n">
        <x:v>2795.6</x:v>
      </x:c>
      <x:c r="F131" s="24" t="n">
        <x:f>ROUND(D131-E131,1)</x:f>
        <x:v>27</x:v>
      </x:c>
      <x:c r="G131" s="23" t="str">
        <x:v>IH2606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2840.4</x:v>
      </x:c>
      <x:c r="E132" s="24" t="n">
        <x:v>2809</x:v>
      </x:c>
      <x:c r="F132" s="24" t="n">
        <x:f>ROUND(D132-E132,1)</x:f>
        <x:v>31.4</x:v>
      </x:c>
      <x:c r="G132" s="23" t="str">
        <x:v>IH2606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2841.8</x:v>
      </x:c>
      <x:c r="E133" s="24" t="n">
        <x:v>2815.6</x:v>
      </x:c>
      <x:c r="F133" s="24" t="n">
        <x:f>ROUND(D133-E133,1)</x:f>
        <x:v>26.2</x:v>
      </x:c>
      <x:c r="G133" s="23" t="str">
        <x:v>IH2606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2902.6</x:v>
      </x:c>
      <x:c r="E134" s="24" t="n">
        <x:v>2844</x:v>
      </x:c>
      <x:c r="F134" s="24" t="n">
        <x:f>ROUND(D134-E134,1)</x:f>
        <x:v>58.6</x:v>
      </x:c>
      <x:c r="G134" s="23" t="str">
        <x:v>IH2606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2950.8</x:v>
      </x:c>
      <x:c r="E135" s="24" t="n">
        <x:v>2911</x:v>
      </x:c>
      <x:c r="F135" s="24" t="n">
        <x:f>ROUND(D135-E135,1)</x:f>
        <x:v>39.8</x:v>
      </x:c>
      <x:c r="G135" s="23" t="str">
        <x:v>IH2606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2935.2</x:v>
      </x:c>
      <x:c r="E136" s="24" t="n">
        <x:v>2905</x:v>
      </x:c>
      <x:c r="F136" s="24" t="n">
        <x:f>ROUND(D136-E136,1)</x:f>
        <x:v>30.2</x:v>
      </x:c>
      <x:c r="G136" s="23" t="str">
        <x:v>IH2606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2935.8</x:v>
      </x:c>
      <x:c r="E137" s="24" t="n">
        <x:v>2903.4</x:v>
      </x:c>
      <x:c r="F137" s="24" t="n">
        <x:f>ROUND(D137-E137,1)</x:f>
        <x:v>32.4</x:v>
      </x:c>
      <x:c r="G137" s="23" t="str">
        <x:v>IH2606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2954.6</x:v>
      </x:c>
      <x:c r="E138" s="24" t="n">
        <x:v>2922.4</x:v>
      </x:c>
      <x:c r="F138" s="24" t="n">
        <x:f>ROUND(D138-E138,1)</x:f>
        <x:v>32.2</x:v>
      </x:c>
      <x:c r="G138" s="23" t="str">
        <x:v>IH2606</x:v>
      </x:c>
    </x:row>
    <x:row r="139">
      <x:c r="A139" s="29" t="n">
        <x:v>15</x:v>
      </x:c>
      <x:c r="B139" s="29" t="str">
        <x:v>周一</x:v>
      </x:c>
      <x:c r="C139" s="29" t="str">
        <x:v>6月22日</x:v>
      </x:c>
      <x:c r="D139" s="30" t="n">
        <x:v>2982.2</x:v>
      </x:c>
      <x:c r="E139" s="30" t="n">
        <x:v>2883.4</x:v>
      </x:c>
      <x:c r="F139" s="26" t="n">
        <x:f>ROUND(D139-E139,1)</x:f>
        <x:v>98.8</x:v>
      </x:c>
      <x:c r="G139" s="29" t="str">
        <x:v>IH2609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2985.2</x:v>
      </x:c>
      <x:c r="E140" s="24" t="n">
        <x:v>2873.2</x:v>
      </x:c>
      <x:c r="F140" s="26" t="n">
        <x:f>ROUND(D140-E140,1)</x:f>
        <x:v>112</x:v>
      </x:c>
      <x:c r="G140" s="23" t="str">
        <x:v>IH2609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2905.8</x:v>
      </x:c>
      <x:c r="E141" s="24" t="n">
        <x:v>2885</x:v>
      </x:c>
      <x:c r="F141" s="24" t="n">
        <x:f>ROUND(D141-E141,1)</x:f>
        <x:v>20.8</x:v>
      </x:c>
      <x:c r="G141" s="23" t="str">
        <x:v>IH2609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2946.4</x:v>
      </x:c>
      <x:c r="E142" s="24" t="n">
        <x:v>2891.2</x:v>
      </x:c>
      <x:c r="F142" s="24" t="n">
        <x:f>ROUND(D142-E142,1)</x:f>
        <x:v>55.2</x:v>
      </x:c>
      <x:c r="G142" s="23" t="str">
        <x:v>IH2609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2920.8</x:v>
      </x:c>
      <x:c r="E143" s="24" t="n">
        <x:v>2834.8</x:v>
      </x:c>
      <x:c r="F143" s="26" t="n">
        <x:f>ROUND(D143-E143,1)</x:f>
        <x:v>86</x:v>
      </x:c>
      <x:c r="G143" s="23" t="str">
        <x:v>IH2609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2935</x:v>
      </x:c>
      <x:c r="E144" s="24" t="n">
        <x:v>2866.8</x:v>
      </x:c>
      <x:c r="F144" s="26" t="n">
        <x:f>ROUND(D144-E144,1)</x:f>
        <x:v>68.2</x:v>
      </x:c>
      <x:c r="G144" s="23" t="str">
        <x:v>IH2609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2940.8</x:v>
      </x:c>
      <x:c r="E145" s="24" t="n">
        <x:v>2913.4</x:v>
      </x:c>
      <x:c r="F145" s="24" t="n">
        <x:f>ROUND(D145-E145,1)</x:f>
        <x:v>27.4</x:v>
      </x:c>
      <x:c r="G145" s="23" t="str">
        <x:v>IH2609</x:v>
      </x:c>
    </x:row>
    <x:row r="146">
      <x:c r="A146" s="33" t="str">
        <x:v>合计</x:v>
      </x:c>
      <x:c r="B146" s="32" t="n">
        <x:v>21</x:v>
      </x:c>
      <x:c r="C146" s="32"/>
      <x:c r="D146" s="32"/>
      <x:c r="E146" s="32"/>
      <x:c r="F146" s="34" t="n">
        <x:f>ROUND(SUM(F125:F145),1)</x:f>
        <x:v>991.4</x:v>
      </x:c>
      <x:c r="G146" s="32"/>
    </x:row>
    <x:row r="147">
      <x:c r="A147" s="33" t="str">
        <x:v>均值</x:v>
      </x:c>
      <x:c r="B147" s="32"/>
      <x:c r="C147" s="32"/>
      <x:c r="D147" s="32"/>
      <x:c r="E147" s="32"/>
      <x:c r="F147" s="36" t="n">
        <x:f>ROUND(IFERROR(AVERAGE(F125:F145),0),1)</x:f>
        <x:v>47.2</x:v>
      </x:c>
      <x:c r="G147" s="32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高点</x:v>
      </x:c>
      <x:c r="E150" s="20" t="str">
        <x:v>低点</x:v>
      </x:c>
      <x:c r="F150" s="20" t="str">
        <x:v>振幅</x:v>
      </x:c>
      <x:c r="G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2976</x:v>
      </x:c>
      <x:c r="E151" s="24" t="n">
        <x:v>2918.2</x:v>
      </x:c>
      <x:c r="F151" s="24" t="n">
        <x:f>ROUND(D151-E151,1)</x:f>
        <x:v>57.8</x:v>
      </x:c>
      <x:c r="G151" s="23" t="str">
        <x:v>IH2609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2924.8</x:v>
      </x:c>
      <x:c r="E152" s="24" t="n">
        <x:v>2861.8</x:v>
      </x:c>
      <x:c r="F152" s="26" t="n">
        <x:f>ROUND(D152-E152,1)</x:f>
        <x:v>63</x:v>
      </x:c>
      <x:c r="G152" s="23" t="str">
        <x:v>IH2609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2912</x:v>
      </x:c>
      <x:c r="E153" s="24" t="n">
        <x:v>2873.6</x:v>
      </x:c>
      <x:c r="F153" s="24" t="n">
        <x:f>ROUND(D153-E153,1)</x:f>
        <x:v>38.4</x:v>
      </x:c>
      <x:c r="G153" s="23" t="str">
        <x:v>IH2609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2915</x:v>
      </x:c>
      <x:c r="E154" s="24" t="n">
        <x:v>2877.4</x:v>
      </x:c>
      <x:c r="F154" s="24" t="n">
        <x:f>ROUND(D154-E154,1)</x:f>
        <x:v>37.6</x:v>
      </x:c>
      <x:c r="G154" s="23" t="str">
        <x:v>IH2609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2908.4</x:v>
      </x:c>
      <x:c r="E155" s="24" t="n">
        <x:v>2862.4</x:v>
      </x:c>
      <x:c r="F155" s="24" t="n">
        <x:f>ROUND(D155-E155,1)</x:f>
        <x:v>46</x:v>
      </x:c>
      <x:c r="G155" s="23" t="str">
        <x:v>IH2609</x:v>
      </x:c>
    </x:row>
    <x:row r="156">
      <x:c r="A156" s="33" t="str">
        <x:v>合计</x:v>
      </x:c>
      <x:c r="B156" s="32" t="n">
        <x:v>5</x:v>
      </x:c>
      <x:c r="C156" s="32"/>
      <x:c r="D156" s="32"/>
      <x:c r="E156" s="32"/>
      <x:c r="F156" s="34" t="n">
        <x:f>ROUND(SUM(F151:F155),1)</x:f>
        <x:v>242.8</x:v>
      </x:c>
      <x:c r="G156" s="32"/>
    </x:row>
    <x:row r="157">
      <x:c r="A157" s="33" t="str">
        <x:v>均值</x:v>
      </x:c>
      <x:c r="B157" s="32"/>
      <x:c r="C157" s="32"/>
      <x:c r="D157" s="32"/>
      <x:c r="E157" s="32"/>
      <x:c r="F157" s="36" t="n">
        <x:f>ROUND(IFERROR(AVERAGE(F151:F155),0),1)</x:f>
        <x:v>48.6</x:v>
      </x:c>
      <x:c r="G157" s="32"/>
    </x:row>
  </x:sheetData>
  <x:mergeCells>
    <x:mergeCell ref="A1:G1"/>
    <x:mergeCell ref="A3:G3"/>
    <x:mergeCell ref="A28:G28"/>
    <x:mergeCell ref="A47:G47"/>
    <x:mergeCell ref="A74:G74"/>
    <x:mergeCell ref="A100:G100"/>
    <x:mergeCell ref="A123:G123"/>
    <x:mergeCell ref="A149:G149"/>
  </x:mergeCells>
  <x:pageMargins left="0.7" right="0.7" top="0.75" bottom="0.75" header="0.3" footer="0.3"/>
</x:worksheet>
</file>