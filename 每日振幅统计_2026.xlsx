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2c7b6b564d4c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65e74a90e97143e3"/>
    <x:sheet xmlns:r="http://schemas.openxmlformats.org/officeDocument/2006/relationships" name="中证1000" sheetId="2" r:id="R5c9e4393bf57461b"/>
    <x:sheet xmlns:r="http://schemas.openxmlformats.org/officeDocument/2006/relationships" name="中证500" sheetId="3" r:id="R917eba7abeac4d9f"/>
    <x:sheet xmlns:r="http://schemas.openxmlformats.org/officeDocument/2006/relationships" name="上证指数" sheetId="4" r:id="R68ffe3e78fe247cf"/>
    <x:sheet xmlns:r="http://schemas.openxmlformats.org/officeDocument/2006/relationships" name="IM主力" sheetId="5" r:id="R4e665cce3b5742dc"/>
    <x:sheet xmlns:r="http://schemas.openxmlformats.org/officeDocument/2006/relationships" name="IC主力" sheetId="6" r:id="R485fa77a4e704cc6"/>
    <x:sheet xmlns:r="http://schemas.openxmlformats.org/officeDocument/2006/relationships" name="IF主力" sheetId="7" r:id="R4bfb2f691336487c"/>
    <x:sheet xmlns:r="http://schemas.openxmlformats.org/officeDocument/2006/relationships" name="IH主力" sheetId="8" r:id="Rf1167e1966de46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9229d7085c4279" /><Relationship Type="http://schemas.openxmlformats.org/officeDocument/2006/relationships/theme" Target="/xl/theme/theme1.xml" Id="Rcc9629793c85457a" /><Relationship Type="http://schemas.openxmlformats.org/officeDocument/2006/relationships/sharedStrings" Target="/xl/sharedStrings.xml" Id="R6c06174a95bf4a0f" /><Relationship Type="http://schemas.openxmlformats.org/officeDocument/2006/relationships/worksheet" Target="/xl/worksheets/sheet1.xml" Id="R65e74a90e97143e3" /><Relationship Type="http://schemas.openxmlformats.org/officeDocument/2006/relationships/worksheet" Target="/xl/worksheets/sheet2.xml" Id="R5c9e4393bf57461b" /><Relationship Type="http://schemas.openxmlformats.org/officeDocument/2006/relationships/worksheet" Target="/xl/worksheets/sheet3.xml" Id="R917eba7abeac4d9f" /><Relationship Type="http://schemas.openxmlformats.org/officeDocument/2006/relationships/worksheet" Target="/xl/worksheets/sheet4.xml" Id="R68ffe3e78fe247cf" /><Relationship Type="http://schemas.openxmlformats.org/officeDocument/2006/relationships/worksheet" Target="/xl/worksheets/sheet5.xml" Id="R4e665cce3b5742dc" /><Relationship Type="http://schemas.openxmlformats.org/officeDocument/2006/relationships/worksheet" Target="/xl/worksheets/sheet6.xml" Id="R485fa77a4e704cc6" /><Relationship Type="http://schemas.openxmlformats.org/officeDocument/2006/relationships/worksheet" Target="/xl/worksheets/sheet7.xml" Id="R4bfb2f691336487c" /><Relationship Type="http://schemas.openxmlformats.org/officeDocument/2006/relationships/worksheet" Target="/xl/worksheets/sheet8.xml" Id="Rf1167e1966de46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2026-07-16</x:v>
      </x:c>
      <x:c r="C4" s="10" t="n">
        <x:v>7836.39</x:v>
      </x:c>
      <x:c r="D4" s="10" t="n">
        <x:v>7591.421</x:v>
      </x:c>
      <x:c r="E4" s="12" t="n">
        <x:v>245</x:v>
      </x:c>
      <x:c r="F4" s="9" t="n">
        <x:v>128</x:v>
      </x:c>
      <x:c r="G4" s="10" t="n">
        <x:v>22038.4</x:v>
      </x:c>
      <x:c r="H4" s="10" t="n">
        <x:v>172.2</x:v>
      </x:c>
      <x:c r="I4" s="10" t="n">
        <x:v>180</x:v>
      </x:c>
    </x:row>
    <x:row r="5">
      <x:c r="A5" s="9" t="str">
        <x:v>中证500</x:v>
      </x:c>
      <x:c r="B5" s="9" t="str">
        <x:v>2026-07-16</x:v>
      </x:c>
      <x:c r="C5" s="10" t="n">
        <x:v>8148.042</x:v>
      </x:c>
      <x:c r="D5" s="10" t="n">
        <x:v>7907.097</x:v>
      </x:c>
      <x:c r="E5" s="12" t="n">
        <x:v>240.9</x:v>
      </x:c>
      <x:c r="F5" s="9" t="n">
        <x:v>128</x:v>
      </x:c>
      <x:c r="G5" s="10" t="n">
        <x:v>22259.5</x:v>
      </x:c>
      <x:c r="H5" s="10" t="n">
        <x:v>173.9</x:v>
      </x:c>
      <x:c r="I5" s="10" t="n">
        <x:v>160</x:v>
      </x:c>
    </x:row>
    <x:row r="6">
      <x:c r="A6" s="9" t="str">
        <x:v>上证指数</x:v>
      </x:c>
      <x:c r="B6" s="9" t="str">
        <x:v>2026-07-16</x:v>
      </x:c>
      <x:c r="C6" s="10" t="n">
        <x:v>3940.451</x:v>
      </x:c>
      <x:c r="D6" s="10" t="n">
        <x:v>3867.601</x:v>
      </x:c>
      <x:c r="E6" s="12" t="n">
        <x:v>72.8</x:v>
      </x:c>
      <x:c r="F6" s="9" t="n">
        <x:v>128</x:v>
      </x:c>
      <x:c r="G6" s="10" t="n">
        <x:v>6243.9</x:v>
      </x:c>
      <x:c r="H6" s="10" t="n">
        <x:v>48.8</x:v>
      </x:c>
      <x:c r="I6" s="10" t="n">
        <x:v>50</x:v>
      </x:c>
    </x:row>
    <x:row r="7">
      <x:c r="A7" s="9" t="str">
        <x:v>IM主力</x:v>
      </x:c>
      <x:c r="B7" s="9" t="str">
        <x:v>2026-07-16</x:v>
      </x:c>
      <x:c r="C7" s="10" t="n">
        <x:v>7750.2</x:v>
      </x:c>
      <x:c r="D7" s="10" t="n">
        <x:v>7511</x:v>
      </x:c>
      <x:c r="E7" s="12" t="n">
        <x:v>239.2</x:v>
      </x:c>
      <x:c r="F7" s="9" t="n">
        <x:v>128</x:v>
      </x:c>
      <x:c r="G7" s="10" t="n">
        <x:v>23369.8</x:v>
      </x:c>
      <x:c r="H7" s="10" t="n">
        <x:v>182.6</x:v>
      </x:c>
      <x:c r="I7" s="10" t="n">
        <x:v>190</x:v>
      </x:c>
    </x:row>
    <x:row r="8">
      <x:c r="A8" s="9" t="str">
        <x:v>IC主力</x:v>
      </x:c>
      <x:c r="B8" s="9" t="str">
        <x:v>2026-07-16</x:v>
      </x:c>
      <x:c r="C8" s="10" t="n">
        <x:v>8054.4</x:v>
      </x:c>
      <x:c r="D8" s="10" t="n">
        <x:v>7823</x:v>
      </x:c>
      <x:c r="E8" s="12" t="n">
        <x:v>231.4</x:v>
      </x:c>
      <x:c r="F8" s="9" t="n">
        <x:v>128</x:v>
      </x:c>
      <x:c r="G8" s="10" t="n">
        <x:v>24814.8</x:v>
      </x:c>
      <x:c r="H8" s="10" t="n">
        <x:v>193.9</x:v>
      </x:c>
      <x:c r="I8" s="10" t="n">
        <x:v>150</x:v>
      </x:c>
    </x:row>
    <x:row r="9">
      <x:c r="A9" s="9" t="str">
        <x:v>IF主力</x:v>
      </x:c>
      <x:c r="B9" s="9" t="str">
        <x:v>2026-07-16</x:v>
      </x:c>
      <x:c r="C9" s="10" t="n">
        <x:v>4712.6</x:v>
      </x:c>
      <x:c r="D9" s="10" t="n">
        <x:v>4618</x:v>
      </x:c>
      <x:c r="E9" s="12" t="n">
        <x:v>94.6</x:v>
      </x:c>
      <x:c r="F9" s="9" t="n">
        <x:v>128</x:v>
      </x:c>
      <x:c r="G9" s="10" t="n">
        <x:v>9389</x:v>
      </x:c>
      <x:c r="H9" s="10" t="n">
        <x:v>73.4</x:v>
      </x:c>
      <x:c r="I9" s="10" t="n">
        <x:v>90</x:v>
      </x:c>
    </x:row>
    <x:row r="10">
      <x:c r="A10" s="9" t="str">
        <x:v>IH主力</x:v>
      </x:c>
      <x:c r="B10" s="9" t="str">
        <x:v>2026-07-16</x:v>
      </x:c>
      <x:c r="C10" s="10" t="n">
        <x:v>2911.8</x:v>
      </x:c>
      <x:c r="D10" s="10" t="n">
        <x:v>2853.4</x:v>
      </x:c>
      <x:c r="E10" s="12" t="n">
        <x:v>58.4</x:v>
      </x:c>
      <x:c r="F10" s="9" t="n">
        <x:v>128</x:v>
      </x:c>
      <x:c r="G10" s="10" t="n">
        <x:v>5305.2</x:v>
      </x:c>
      <x:c r="H10" s="10" t="n">
        <x:v>41.4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2026-07-16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2980.3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248.4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3125.3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260.4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808.2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67.4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2629.2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219.1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2906.4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242.2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1133.8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94.5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8" t="str">
        <x:v>合计</x:v>
      </x:c>
      <x:c r="B163" s="37" t="n">
        <x:v>12</x:v>
      </x:c>
      <x:c r="C163" s="37"/>
      <x:c r="D163" s="37"/>
      <x:c r="E163" s="37"/>
      <x:c r="F163" s="37"/>
      <x:c r="G163" s="37"/>
      <x:c r="H163" s="37"/>
      <x:c r="I163" s="37"/>
      <x:c r="J163" s="39" t="n">
        <x:f>ROUND(SUM(J151:J162),1)</x:f>
        <x:v>649</x:v>
      </x:c>
      <x:c r="K163" s="37"/>
    </x:row>
    <x:row r="164">
      <x:c r="A164" s="38" t="str">
        <x:v>均值</x:v>
      </x:c>
      <x:c r="B164" s="37"/>
      <x:c r="C164" s="37"/>
      <x:c r="D164" s="37"/>
      <x:c r="E164" s="37"/>
      <x:c r="F164" s="37"/>
      <x:c r="G164" s="37"/>
      <x:c r="H164" s="37"/>
      <x:c r="I164" s="37"/>
      <x:c r="J164" s="41" t="n">
        <x:f>ROUND(IFERROR(AVERAGE(J151:J162),0),1)</x:f>
        <x:v>54.1</x:v>
      </x:c>
      <x:c r="K164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