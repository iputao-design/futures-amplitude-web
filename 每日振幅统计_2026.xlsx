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881b18c17441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ea45d39959a4237"/>
    <x:sheet xmlns:r="http://schemas.openxmlformats.org/officeDocument/2006/relationships" name="周振幅统计" sheetId="2" r:id="R951a4d4e333643a1"/>
    <x:sheet xmlns:r="http://schemas.openxmlformats.org/officeDocument/2006/relationships" name="中证1000" sheetId="3" r:id="R926ee00e66434f59"/>
    <x:sheet xmlns:r="http://schemas.openxmlformats.org/officeDocument/2006/relationships" name="中证500" sheetId="4" r:id="R304f79f52cbc4bd3"/>
    <x:sheet xmlns:r="http://schemas.openxmlformats.org/officeDocument/2006/relationships" name="上证指数" sheetId="5" r:id="R8db1e49565d2404f"/>
    <x:sheet xmlns:r="http://schemas.openxmlformats.org/officeDocument/2006/relationships" name="IM主力" sheetId="6" r:id="Rc1231a5ac1ae4ad8"/>
    <x:sheet xmlns:r="http://schemas.openxmlformats.org/officeDocument/2006/relationships" name="IC主力" sheetId="7" r:id="R982c430863b04bbf"/>
    <x:sheet xmlns:r="http://schemas.openxmlformats.org/officeDocument/2006/relationships" name="IF主力" sheetId="8" r:id="Rad6755f6ab284ec8"/>
    <x:sheet xmlns:r="http://schemas.openxmlformats.org/officeDocument/2006/relationships" name="IH主力" sheetId="9" r:id="Rf61a1795e54e48c0"/>
    <x:sheet xmlns:r="http://schemas.openxmlformats.org/officeDocument/2006/relationships" name="碳酸锂2610" sheetId="10" r:id="R41b1c1afd34b4d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ed89ffcd2645f4" /><Relationship Type="http://schemas.openxmlformats.org/officeDocument/2006/relationships/theme" Target="/xl/theme/theme1.xml" Id="Ree039ef524594ef8" /><Relationship Type="http://schemas.openxmlformats.org/officeDocument/2006/relationships/sharedStrings" Target="/xl/sharedStrings.xml" Id="R95087c426f2c4994" /><Relationship Type="http://schemas.openxmlformats.org/officeDocument/2006/relationships/worksheet" Target="/xl/worksheets/sheet1.xml" Id="R5ea45d39959a4237" /><Relationship Type="http://schemas.openxmlformats.org/officeDocument/2006/relationships/worksheet" Target="/xl/worksheets/sheet2.xml" Id="R951a4d4e333643a1" /><Relationship Type="http://schemas.openxmlformats.org/officeDocument/2006/relationships/worksheet" Target="/xl/worksheets/sheet3.xml" Id="R926ee00e66434f59" /><Relationship Type="http://schemas.openxmlformats.org/officeDocument/2006/relationships/worksheet" Target="/xl/worksheets/sheet4.xml" Id="R304f79f52cbc4bd3" /><Relationship Type="http://schemas.openxmlformats.org/officeDocument/2006/relationships/worksheet" Target="/xl/worksheets/sheet5.xml" Id="R8db1e49565d2404f" /><Relationship Type="http://schemas.openxmlformats.org/officeDocument/2006/relationships/worksheet" Target="/xl/worksheets/sheet6.xml" Id="Rc1231a5ac1ae4ad8" /><Relationship Type="http://schemas.openxmlformats.org/officeDocument/2006/relationships/worksheet" Target="/xl/worksheets/sheet7.xml" Id="R982c430863b04bbf" /><Relationship Type="http://schemas.openxmlformats.org/officeDocument/2006/relationships/worksheet" Target="/xl/worksheets/sheet8.xml" Id="Rad6755f6ab284ec8" /><Relationship Type="http://schemas.openxmlformats.org/officeDocument/2006/relationships/worksheet" Target="/xl/worksheets/sheet9.xml" Id="Rf61a1795e54e48c0" /><Relationship Type="http://schemas.openxmlformats.org/officeDocument/2006/relationships/worksheet" Target="/xl/worksheets/sheet10.xml" Id="R41b1c1afd34b4d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2026-09-21</x:v>
      </x:c>
      <x:c r="C4" s="10" t="n">
        <x:v>7777.91</x:v>
      </x:c>
      <x:c r="D4" s="10" t="n">
        <x:v>7723.68</x:v>
      </x:c>
      <x:c r="E4" s="12" t="n">
        <x:v>54.2</x:v>
      </x:c>
      <x:c r="F4" s="9" t="n">
        <x:v>175</x:v>
      </x:c>
      <x:c r="G4" s="10" t="n">
        <x:v>30685.6</x:v>
      </x:c>
      <x:c r="H4" s="10" t="n">
        <x:v>175.3</x:v>
      </x:c>
      <x:c r="I4" s="10" t="n">
        <x:v>180</x:v>
      </x:c>
    </x:row>
    <x:row r="5">
      <x:c r="A5" s="9" t="str">
        <x:v>中证500</x:v>
      </x:c>
      <x:c r="B5" s="9" t="str">
        <x:v>2026-09-21</x:v>
      </x:c>
      <x:c r="C5" s="10" t="n">
        <x:v>7869.35</x:v>
      </x:c>
      <x:c r="D5" s="10" t="n">
        <x:v>7809.59</x:v>
      </x:c>
      <x:c r="E5" s="12" t="n">
        <x:v>59.8</x:v>
      </x:c>
      <x:c r="F5" s="9" t="n">
        <x:v>175</x:v>
      </x:c>
      <x:c r="G5" s="10" t="n">
        <x:v>30570.8</x:v>
      </x:c>
      <x:c r="H5" s="10" t="n">
        <x:v>174.7</x:v>
      </x:c>
      <x:c r="I5" s="10" t="n">
        <x:v>160</x:v>
      </x:c>
    </x:row>
    <x:row r="6">
      <x:c r="A6" s="9" t="str">
        <x:v>上证指数</x:v>
      </x:c>
      <x:c r="B6" s="9" t="str">
        <x:v>2026-09-21</x:v>
      </x:c>
      <x:c r="C6" s="10" t="n">
        <x:v>3950.94</x:v>
      </x:c>
      <x:c r="D6" s="10" t="n">
        <x:v>3918.13</x:v>
      </x:c>
      <x:c r="E6" s="12" t="n">
        <x:v>32.8</x:v>
      </x:c>
      <x:c r="F6" s="9" t="n">
        <x:v>175</x:v>
      </x:c>
      <x:c r="G6" s="10" t="n">
        <x:v>8410.4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2026-09-21</x:v>
      </x:c>
      <x:c r="C7" s="10" t="n">
        <x:v>7599</x:v>
      </x:c>
      <x:c r="D7" s="10" t="n">
        <x:v>7527</x:v>
      </x:c>
      <x:c r="E7" s="12" t="n">
        <x:v>72</x:v>
      </x:c>
      <x:c r="F7" s="9" t="n">
        <x:v>175</x:v>
      </x:c>
      <x:c r="G7" s="10" t="n">
        <x:v>32636</x:v>
      </x:c>
      <x:c r="H7" s="10" t="n">
        <x:v>186.5</x:v>
      </x:c>
      <x:c r="I7" s="10" t="n">
        <x:v>190</x:v>
      </x:c>
    </x:row>
    <x:row r="8">
      <x:c r="A8" s="9" t="str">
        <x:v>IC主力</x:v>
      </x:c>
      <x:c r="B8" s="9" t="str">
        <x:v>2026-09-21</x:v>
      </x:c>
      <x:c r="C8" s="10" t="n">
        <x:v>7728</x:v>
      </x:c>
      <x:c r="D8" s="10" t="n">
        <x:v>7640</x:v>
      </x:c>
      <x:c r="E8" s="12" t="n">
        <x:v>88</x:v>
      </x:c>
      <x:c r="F8" s="9" t="n">
        <x:v>175</x:v>
      </x:c>
      <x:c r="G8" s="10" t="n">
        <x:v>33854.2</x:v>
      </x:c>
      <x:c r="H8" s="10" t="n">
        <x:v>193.5</x:v>
      </x:c>
      <x:c r="I8" s="10" t="n">
        <x:v>150</x:v>
      </x:c>
    </x:row>
    <x:row r="9">
      <x:c r="A9" s="9" t="str">
        <x:v>IF主力</x:v>
      </x:c>
      <x:c r="B9" s="9" t="str">
        <x:v>2026-09-21</x:v>
      </x:c>
      <x:c r="C9" s="10" t="n">
        <x:v>4474.6</x:v>
      </x:c>
      <x:c r="D9" s="10" t="n">
        <x:v>4434.8</x:v>
      </x:c>
      <x:c r="E9" s="12" t="n">
        <x:v>39.8</x:v>
      </x:c>
      <x:c r="F9" s="9" t="n">
        <x:v>175</x:v>
      </x:c>
      <x:c r="G9" s="10" t="n">
        <x:v>12663.4</x:v>
      </x:c>
      <x:c r="H9" s="10" t="n">
        <x:v>72.4</x:v>
      </x:c>
      <x:c r="I9" s="10" t="n">
        <x:v>90</x:v>
      </x:c>
    </x:row>
    <x:row r="10">
      <x:c r="A10" s="9" t="str">
        <x:v>IH主力</x:v>
      </x:c>
      <x:c r="B10" s="9" t="str">
        <x:v>2026-09-21</x:v>
      </x:c>
      <x:c r="C10" s="10" t="n">
        <x:v>2849.8</x:v>
      </x:c>
      <x:c r="D10" s="10" t="n">
        <x:v>2822</x:v>
      </x:c>
      <x:c r="E10" s="12" t="n">
        <x:v>27.8</x:v>
      </x:c>
      <x:c r="F10" s="9" t="n">
        <x:v>175</x:v>
      </x:c>
      <x:c r="G10" s="10" t="n">
        <x:v>7036.8</x:v>
      </x:c>
      <x:c r="H10" s="10" t="n">
        <x:v>40.2</x:v>
      </x:c>
      <x:c r="I10" s="10" t="n">
        <x:v>60</x:v>
      </x:c>
    </x:row>
    <x:row r="11">
      <x:c r="A11" s="9" t="str">
        <x:v>碳酸锂2610</x:v>
      </x:c>
      <x:c r="B11" s="9" t="str">
        <x:v>2026-09-21</x:v>
      </x:c>
      <x:c r="C11" s="10" t="n">
        <x:v>134800</x:v>
      </x:c>
      <x:c r="D11" s="10" t="n">
        <x:v>127100</x:v>
      </x:c>
      <x:c r="E11" s="12" t="n">
        <x:v>7700</x:v>
      </x:c>
      <x:c r="F11" s="9" t="n">
        <x:v>175</x:v>
      </x:c>
      <x:c r="G11" s="10" t="n">
        <x:v>1408360</x:v>
      </x:c>
      <x:c r="H11" s="10" t="n">
        <x:v>8047.8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</x:v>
      </x:c>
      <x:c r="C41" s="23" t="n">
        <x:v>7723.68</x:v>
      </x:c>
      <x:c r="D41" s="23" t="n">
        <x:v>7777.91</x:v>
      </x:c>
      <x:c r="E41" s="23" t="n">
        <x:v>7723.68</x:v>
      </x:c>
      <x:c r="F41" s="23" t="n">
        <x:v>7766.33</x:v>
      </x:c>
      <x:c r="G41" s="23" t="n">
        <x:f>ROUND(F41-F40,1)</x:f>
        <x:v>78.7</x:v>
      </x:c>
      <x:c r="H41" s="24" t="n">
        <x:f>IFERROR(F41/F40-1,"")</x:f>
        <x:v>0.01024248171403519</x:v>
      </x:c>
      <x:c r="I41" s="23" t="n">
        <x:f>ROUND(D41-E41,1)</x:f>
        <x:v>54.2</x:v>
      </x:c>
      <x:c r="J41" s="22" t="str">
        <x:v>中证1000</x:v>
      </x:c>
      <x:c r="K41" s="22" t="n">
        <x:v>1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15128.1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408.9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</x:v>
      </x:c>
      <x:c r="C83" s="23" t="n">
        <x:v>7829.82</x:v>
      </x:c>
      <x:c r="D83" s="23" t="n">
        <x:v>7869.35</x:v>
      </x:c>
      <x:c r="E83" s="23" t="n">
        <x:v>7809.59</x:v>
      </x:c>
      <x:c r="F83" s="23" t="n">
        <x:v>7850.48</x:v>
      </x:c>
      <x:c r="G83" s="23" t="n">
        <x:f>ROUND(F83-F82,1)</x:f>
        <x:v>50.9</x:v>
      </x:c>
      <x:c r="H83" s="24" t="n">
        <x:f>IFERROR(F83/F82-1,"")</x:f>
        <x:v>0.0065221209778436595</x:v>
      </x:c>
      <x:c r="I83" s="23" t="n">
        <x:f>ROUND(D83-E83,1)</x:f>
        <x:v>59.8</x:v>
      </x:c>
      <x:c r="J83" s="22" t="str">
        <x:v>中证500</x:v>
      </x:c>
      <x:c r="K83" s="22" t="n">
        <x:v>1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15110.3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408.4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</x:v>
      </x:c>
      <x:c r="C125" s="23" t="n">
        <x:v>3920.27</x:v>
      </x:c>
      <x:c r="D125" s="23" t="n">
        <x:v>3950.94</x:v>
      </x:c>
      <x:c r="E125" s="23" t="n">
        <x:v>3918.13</x:v>
      </x:c>
      <x:c r="F125" s="23" t="n">
        <x:v>3949.91</x:v>
      </x:c>
      <x:c r="G125" s="23" t="n">
        <x:f>ROUND(F125-F124,1)</x:f>
        <x:v>38</x:v>
      </x:c>
      <x:c r="H125" s="24" t="n">
        <x:f>IFERROR(F125/F124-1,"")</x:f>
        <x:v>0.009724249527719442</x:v>
      </x:c>
      <x:c r="I125" s="23" t="n">
        <x:f>ROUND(D125-E125,1)</x:f>
        <x:v>32.8</x:v>
      </x:c>
      <x:c r="J125" s="22" t="str">
        <x:v>上证指数</x:v>
      </x:c>
      <x:c r="K125" s="22" t="n">
        <x:v>1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3973.9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107.4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</x:v>
      </x:c>
      <x:c r="C167" s="23" t="n">
        <x:v>7549</x:v>
      </x:c>
      <x:c r="D167" s="23" t="n">
        <x:v>7599</x:v>
      </x:c>
      <x:c r="E167" s="23" t="n">
        <x:v>7527</x:v>
      </x:c>
      <x:c r="F167" s="23" t="n">
        <x:v>7560.6</x:v>
      </x:c>
      <x:c r="G167" s="23" t="n">
        <x:f>ROUND(F167-F166,1)</x:f>
        <x:v>-118.6</x:v>
      </x:c>
      <x:c r="H167" s="24" t="n">
        <x:f>IFERROR(F167/F166-1,"")</x:f>
        <x:v>-0.01544431711636618</x:v>
      </x:c>
      <x:c r="I167" s="23" t="n">
        <x:f>ROUND(D167-E167,1)</x:f>
        <x:v>72</x:v>
      </x:c>
      <x:c r="J167" s="22" t="str">
        <x:v>IM2612</x:v>
      </x:c>
      <x:c r="K167" s="22" t="n">
        <x:v>1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15784.8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426.6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</x:v>
      </x:c>
      <x:c r="C209" s="23" t="n">
        <x:v>7688</x:v>
      </x:c>
      <x:c r="D209" s="23" t="n">
        <x:v>7728</x:v>
      </x:c>
      <x:c r="E209" s="23" t="n">
        <x:v>7640</x:v>
      </x:c>
      <x:c r="F209" s="23" t="n">
        <x:v>7672.6</x:v>
      </x:c>
      <x:c r="G209" s="23" t="n">
        <x:f>ROUND(F209-F208,1)</x:f>
        <x:v>-117.2</x:v>
      </x:c>
      <x:c r="H209" s="24" t="n">
        <x:f>IFERROR(F209/F208-1,"")</x:f>
        <x:v>-0.015045315669208414</x:v>
      </x:c>
      <x:c r="I209" s="23" t="n">
        <x:f>ROUND(D209-E209,1)</x:f>
        <x:v>88</x:v>
      </x:c>
      <x:c r="J209" s="22" t="str">
        <x:v>IC2612</x:v>
      </x:c>
      <x:c r="K209" s="22" t="n">
        <x:v>1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16281.2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440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</x:v>
      </x:c>
      <x:c r="C251" s="23" t="n">
        <x:v>4451</x:v>
      </x:c>
      <x:c r="D251" s="23" t="n">
        <x:v>4474.6</x:v>
      </x:c>
      <x:c r="E251" s="23" t="n">
        <x:v>4434.8</x:v>
      </x:c>
      <x:c r="F251" s="23" t="n">
        <x:v>4464.8</x:v>
      </x:c>
      <x:c r="G251" s="23" t="n">
        <x:f>ROUND(F251-F250,1)</x:f>
        <x:v>-43.2</x:v>
      </x:c>
      <x:c r="H251" s="24" t="n">
        <x:f>IFERROR(F251/F250-1,"")</x:f>
        <x:v>-0.0095829636202307</x:v>
      </x:c>
      <x:c r="I251" s="23" t="n">
        <x:f>ROUND(D251-E251,1)</x:f>
        <x:v>39.8</x:v>
      </x:c>
      <x:c r="J251" s="22" t="str">
        <x:v>IF2612</x:v>
      </x:c>
      <x:c r="K251" s="22" t="n">
        <x:v>1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5753.4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155.5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</x:v>
      </x:c>
      <x:c r="C293" s="23" t="n">
        <x:v>2830</x:v>
      </x:c>
      <x:c r="D293" s="23" t="n">
        <x:v>2849.8</x:v>
      </x:c>
      <x:c r="E293" s="23" t="n">
        <x:v>2822</x:v>
      </x:c>
      <x:c r="F293" s="23" t="n">
        <x:v>2847.4</x:v>
      </x:c>
      <x:c r="G293" s="23" t="n">
        <x:f>ROUND(F293-F292,1)</x:f>
        <x:v>-14.8</x:v>
      </x:c>
      <x:c r="H293" s="24" t="n">
        <x:f>IFERROR(F293/F292-1,"")</x:f>
        <x:v>-0.005170847599748396</x:v>
      </x:c>
      <x:c r="I293" s="23" t="n">
        <x:f>ROUND(D293-E293,1)</x:f>
        <x:v>27.8</x:v>
      </x:c>
      <x:c r="J293" s="22" t="str">
        <x:v>IH2612</x:v>
      </x:c>
      <x:c r="K293" s="22" t="n">
        <x:v>1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3287.2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88.8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</x:v>
      </x:c>
      <x:c r="C335" s="23" t="n">
        <x:v>128500</x:v>
      </x:c>
      <x:c r="D335" s="23" t="n">
        <x:v>134800</x:v>
      </x:c>
      <x:c r="E335" s="23" t="n">
        <x:v>127100</x:v>
      </x:c>
      <x:c r="F335" s="23" t="n">
        <x:v>133500</x:v>
      </x:c>
      <x:c r="G335" s="28" t="n">
        <x:f>ROUND(F335-F334,1)</x:f>
        <x:v>4920</x:v>
      </x:c>
      <x:c r="H335" s="24" t="n">
        <x:f>IFERROR(F335/F334-1,"")</x:f>
        <x:v>0.038264115725618275</x:v>
      </x:c>
      <x:c r="I335" s="26" t="n">
        <x:f>ROUND(D335-E335,1)</x:f>
        <x:v>7700</x:v>
      </x:c>
      <x:c r="J335" s="22" t="str">
        <x:v>LC2610</x:v>
      </x:c>
      <x:c r="K335" s="22" t="n">
        <x:v>1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749100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20245.9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1954.8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130.3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1787.1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119.1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529.3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35.3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2192.2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146.1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2110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140.7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776.8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51.8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460.2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30.7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89880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5992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