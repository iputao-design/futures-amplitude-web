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265898ff8b46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c1d92b8e64d4d36"/>
    <x:sheet xmlns:r="http://schemas.openxmlformats.org/officeDocument/2006/relationships" name="中证1000" sheetId="2" r:id="Ra61e23724cfd4172"/>
    <x:sheet xmlns:r="http://schemas.openxmlformats.org/officeDocument/2006/relationships" name="中证500" sheetId="3" r:id="Rc677b357c68b4cfe"/>
    <x:sheet xmlns:r="http://schemas.openxmlformats.org/officeDocument/2006/relationships" name="上证指数" sheetId="4" r:id="Rc41f4fc19bb3495e"/>
    <x:sheet xmlns:r="http://schemas.openxmlformats.org/officeDocument/2006/relationships" name="IM主力" sheetId="5" r:id="R3b11653c7f694452"/>
    <x:sheet xmlns:r="http://schemas.openxmlformats.org/officeDocument/2006/relationships" name="IC主力" sheetId="6" r:id="Reaed2a3310954de7"/>
    <x:sheet xmlns:r="http://schemas.openxmlformats.org/officeDocument/2006/relationships" name="IF主力" sheetId="7" r:id="Rb4c04a546a224b88"/>
    <x:sheet xmlns:r="http://schemas.openxmlformats.org/officeDocument/2006/relationships" name="IH主力" sheetId="8" r:id="Rb7bd71e6184243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938c7f82e84b0a" /><Relationship Type="http://schemas.openxmlformats.org/officeDocument/2006/relationships/theme" Target="/xl/theme/theme1.xml" Id="R4f189fa495a4482f" /><Relationship Type="http://schemas.openxmlformats.org/officeDocument/2006/relationships/sharedStrings" Target="/xl/sharedStrings.xml" Id="R3bdd337f443b406a" /><Relationship Type="http://schemas.openxmlformats.org/officeDocument/2006/relationships/worksheet" Target="/xl/worksheets/sheet1.xml" Id="R1c1d92b8e64d4d36" /><Relationship Type="http://schemas.openxmlformats.org/officeDocument/2006/relationships/worksheet" Target="/xl/worksheets/sheet2.xml" Id="Ra61e23724cfd4172" /><Relationship Type="http://schemas.openxmlformats.org/officeDocument/2006/relationships/worksheet" Target="/xl/worksheets/sheet3.xml" Id="Rc677b357c68b4cfe" /><Relationship Type="http://schemas.openxmlformats.org/officeDocument/2006/relationships/worksheet" Target="/xl/worksheets/sheet4.xml" Id="Rc41f4fc19bb3495e" /><Relationship Type="http://schemas.openxmlformats.org/officeDocument/2006/relationships/worksheet" Target="/xl/worksheets/sheet5.xml" Id="R3b11653c7f694452" /><Relationship Type="http://schemas.openxmlformats.org/officeDocument/2006/relationships/worksheet" Target="/xl/worksheets/sheet6.xml" Id="Reaed2a3310954de7" /><Relationship Type="http://schemas.openxmlformats.org/officeDocument/2006/relationships/worksheet" Target="/xl/worksheets/sheet7.xml" Id="Rb4c04a546a224b88" /><Relationship Type="http://schemas.openxmlformats.org/officeDocument/2006/relationships/worksheet" Target="/xl/worksheets/sheet8.xml" Id="Rb7bd71e6184243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2026-07-23</x:v>
      </x:c>
      <x:c r="C4" s="10" t="n">
        <x:v>7247.141</x:v>
      </x:c>
      <x:c r="D4" s="10" t="n">
        <x:v>7113.498</x:v>
      </x:c>
      <x:c r="E4" s="12" t="n">
        <x:v>133.6</x:v>
      </x:c>
      <x:c r="F4" s="9" t="n">
        <x:v>133</x:v>
      </x:c>
      <x:c r="G4" s="10" t="n">
        <x:v>23822.3</x:v>
      </x:c>
      <x:c r="H4" s="10" t="n">
        <x:v>179.1</x:v>
      </x:c>
      <x:c r="I4" s="10" t="n">
        <x:v>180</x:v>
      </x:c>
    </x:row>
    <x:row r="5">
      <x:c r="A5" s="9" t="str">
        <x:v>中证500</x:v>
      </x:c>
      <x:c r="B5" s="9" t="str">
        <x:v>2026-07-23</x:v>
      </x:c>
      <x:c r="C5" s="10" t="n">
        <x:v>7795.35</x:v>
      </x:c>
      <x:c r="D5" s="10" t="n">
        <x:v>7658.999</x:v>
      </x:c>
      <x:c r="E5" s="12" t="n">
        <x:v>136.4</x:v>
      </x:c>
      <x:c r="F5" s="9" t="n">
        <x:v>133</x:v>
      </x:c>
      <x:c r="G5" s="10" t="n">
        <x:v>23923.5</x:v>
      </x:c>
      <x:c r="H5" s="10" t="n">
        <x:v>179.9</x:v>
      </x:c>
      <x:c r="I5" s="10" t="n">
        <x:v>160</x:v>
      </x:c>
    </x:row>
    <x:row r="6">
      <x:c r="A6" s="9" t="str">
        <x:v>上证指数</x:v>
      </x:c>
      <x:c r="B6" s="9" t="str">
        <x:v>2026-07-23</x:v>
      </x:c>
      <x:c r="C6" s="10" t="n">
        <x:v>3878.832</x:v>
      </x:c>
      <x:c r="D6" s="10" t="n">
        <x:v>3851.706</x:v>
      </x:c>
      <x:c r="E6" s="12" t="n">
        <x:v>27.1</x:v>
      </x:c>
      <x:c r="F6" s="9" t="n">
        <x:v>133</x:v>
      </x:c>
      <x:c r="G6" s="10" t="n">
        <x:v>6651.5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2026-07-23</x:v>
      </x:c>
      <x:c r="C7" s="10" t="n">
        <x:v>7159.6</x:v>
      </x:c>
      <x:c r="D7" s="10" t="n">
        <x:v>7000.6</x:v>
      </x:c>
      <x:c r="E7" s="12" t="n">
        <x:v>159</x:v>
      </x:c>
      <x:c r="F7" s="9" t="n">
        <x:v>133</x:v>
      </x:c>
      <x:c r="G7" s="10" t="n">
        <x:v>25372.2</x:v>
      </x:c>
      <x:c r="H7" s="10" t="n">
        <x:v>190.8</x:v>
      </x:c>
      <x:c r="I7" s="10" t="n">
        <x:v>190</x:v>
      </x:c>
    </x:row>
    <x:row r="8">
      <x:c r="A8" s="9" t="str">
        <x:v>IC主力</x:v>
      </x:c>
      <x:c r="B8" s="9" t="str">
        <x:v>2026-07-23</x:v>
      </x:c>
      <x:c r="C8" s="10" t="n">
        <x:v>7693</x:v>
      </x:c>
      <x:c r="D8" s="10" t="n">
        <x:v>7538</x:v>
      </x:c>
      <x:c r="E8" s="12" t="n">
        <x:v>155</x:v>
      </x:c>
      <x:c r="F8" s="9" t="n">
        <x:v>133</x:v>
      </x:c>
      <x:c r="G8" s="10" t="n">
        <x:v>26606.2</x:v>
      </x:c>
      <x:c r="H8" s="10" t="n">
        <x:v>200</x:v>
      </x:c>
      <x:c r="I8" s="10" t="n">
        <x:v>150</x:v>
      </x:c>
    </x:row>
    <x:row r="9">
      <x:c r="A9" s="9" t="str">
        <x:v>IF主力</x:v>
      </x:c>
      <x:c r="B9" s="9" t="str">
        <x:v>2026-07-23</x:v>
      </x:c>
      <x:c r="C9" s="10" t="n">
        <x:v>4682.6</x:v>
      </x:c>
      <x:c r="D9" s="10" t="n">
        <x:v>4644</x:v>
      </x:c>
      <x:c r="E9" s="12" t="n">
        <x:v>38.6</x:v>
      </x:c>
      <x:c r="F9" s="9" t="n">
        <x:v>133</x:v>
      </x:c>
      <x:c r="G9" s="10" t="n">
        <x:v>9968.2</x:v>
      </x:c>
      <x:c r="H9" s="10" t="n">
        <x:v>74.9</x:v>
      </x:c>
      <x:c r="I9" s="10" t="n">
        <x:v>90</x:v>
      </x:c>
    </x:row>
    <x:row r="10">
      <x:c r="A10" s="9" t="str">
        <x:v>IH主力</x:v>
      </x:c>
      <x:c r="B10" s="9" t="str">
        <x:v>2026-07-23</x:v>
      </x:c>
      <x:c r="C10" s="10" t="n">
        <x:v>2969.6</x:v>
      </x:c>
      <x:c r="D10" s="10" t="n">
        <x:v>2938.8</x:v>
      </x:c>
      <x:c r="E10" s="12" t="n">
        <x:v>30.8</x:v>
      </x:c>
      <x:c r="F10" s="9" t="n">
        <x:v>133</x:v>
      </x:c>
      <x:c r="G10" s="10" t="n">
        <x:v>5612.6</x:v>
      </x:c>
      <x:c r="H10" s="10" t="n">
        <x:v>42.2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6975.893</x:v>
      </x:c>
      <x:c r="E165" s="24" t="n">
        <x:v>7264.338</x:v>
      </x:c>
      <x:c r="F165" s="24" t="n">
        <x:v>6714.187</x:v>
      </x:c>
      <x:c r="G165" s="24" t="n">
        <x:v>7259.863</x:v>
      </x:c>
      <x:c r="H165" s="27" t="n">
        <x:v>294.5</x:v>
      </x:c>
      <x:c r="I165" s="25" t="n">
        <x:v>0.042278693928367916</x:v>
      </x:c>
      <x:c r="J165" s="29" t="n">
        <x:f>ROUND(E165-F165,1)</x:f>
        <x:v>550.2</x:v>
      </x:c>
      <x:c r="K165" s="23" t="str">
        <x:v>中证1000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7196.863</x:v>
      </x:c>
      <x:c r="E166" s="24" t="n">
        <x:v>7302.454</x:v>
      </x:c>
      <x:c r="F166" s="24" t="n">
        <x:v>7118.66</x:v>
      </x:c>
      <x:c r="G166" s="24" t="n">
        <x:v>7158.762</x:v>
      </x:c>
      <x:c r="H166" s="24" t="n">
        <x:v>-101.1</x:v>
      </x:c>
      <x:c r="I166" s="25" t="n">
        <x:v>-0.01392602036705104</x:v>
      </x:c>
      <x:c r="J166" s="29" t="n">
        <x:f>ROUND(E166-F166,1)</x:f>
        <x:v>183.8</x:v>
      </x:c>
      <x:c r="K166" s="23" t="str">
        <x:v>中证1000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7169.543</x:v>
      </x:c>
      <x:c r="E167" s="24" t="n">
        <x:v>7247.141</x:v>
      </x:c>
      <x:c r="F167" s="24" t="n">
        <x:v>7113.498</x:v>
      </x:c>
      <x:c r="G167" s="24" t="n">
        <x:v>7195.5</x:v>
      </x:c>
      <x:c r="H167" s="24" t="n">
        <x:v>36.7</x:v>
      </x:c>
      <x:c r="I167" s="25" t="n">
        <x:v>0.0051318929166803695</x:v>
      </x:c>
      <x:c r="J167" s="24" t="n">
        <x:f>ROUND(E167-F167,1)</x:f>
        <x:v>133.6</x:v>
      </x:c>
      <x:c r="K167" s="23" t="str">
        <x:v>中证1000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4764.2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280.2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7437.452</x:v>
      </x:c>
      <x:c r="E165" s="24" t="n">
        <x:v>7802.755</x:v>
      </x:c>
      <x:c r="F165" s="24" t="n">
        <x:v>7270.954</x:v>
      </x:c>
      <x:c r="G165" s="24" t="n">
        <x:v>7800.609</x:v>
      </x:c>
      <x:c r="H165" s="27" t="n">
        <x:v>389.3</x:v>
      </x:c>
      <x:c r="I165" s="25" t="n">
        <x:v>0.052527264737031176</x:v>
      </x:c>
      <x:c r="J165" s="29" t="n">
        <x:f>ROUND(E165-F165,1)</x:f>
        <x:v>531.8</x:v>
      </x:c>
      <x:c r="K165" s="23" t="str">
        <x:v>中证500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7741.906</x:v>
      </x:c>
      <x:c r="E166" s="24" t="n">
        <x:v>7889.446</x:v>
      </x:c>
      <x:c r="F166" s="24" t="n">
        <x:v>7701.221</x:v>
      </x:c>
      <x:c r="G166" s="24" t="n">
        <x:v>7751.662</x:v>
      </x:c>
      <x:c r="H166" s="24" t="n">
        <x:v>-48.9</x:v>
      </x:c>
      <x:c r="I166" s="25" t="n">
        <x:v>-0.006274766495795392</x:v>
      </x:c>
      <x:c r="J166" s="29" t="n">
        <x:f>ROUND(E166-F166,1)</x:f>
        <x:v>188.2</x:v>
      </x:c>
      <x:c r="K166" s="23" t="str">
        <x:v>中证500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7750.852</x:v>
      </x:c>
      <x:c r="E167" s="24" t="n">
        <x:v>7795.35</x:v>
      </x:c>
      <x:c r="F167" s="24" t="n">
        <x:v>7658.999</x:v>
      </x:c>
      <x:c r="G167" s="24" t="n">
        <x:v>7734.31</x:v>
      </x:c>
      <x:c r="H167" s="24" t="n">
        <x:v>-17.4</x:v>
      </x:c>
      <x:c r="I167" s="25" t="n">
        <x:v>-0.0022384876946388577</x:v>
      </x:c>
      <x:c r="J167" s="24" t="n">
        <x:f>ROUND(E167-F167,1)</x:f>
        <x:v>136.4</x:v>
      </x:c>
      <x:c r="K167" s="23" t="str">
        <x:v>中证500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4789.3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281.7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3812.162</x:v>
      </x:c>
      <x:c r="E165" s="24" t="n">
        <x:v>3864.6</x:v>
      </x:c>
      <x:c r="F165" s="24" t="n">
        <x:v>3743.36</x:v>
      </x:c>
      <x:c r="G165" s="24" t="n">
        <x:v>3864.367</x:v>
      </x:c>
      <x:c r="H165" s="24" t="n">
        <x:v>68.1</x:v>
      </x:c>
      <x:c r="I165" s="25" t="n">
        <x:v>0.01793492104509653</x:v>
      </x:c>
      <x:c r="J165" s="29" t="n">
        <x:f>ROUND(E165-F165,1)</x:f>
        <x:v>121.2</x:v>
      </x:c>
      <x:c r="K165" s="23" t="str">
        <x:v>上证指数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3839.665</x:v>
      </x:c>
      <x:c r="E166" s="24" t="n">
        <x:v>3884.435</x:v>
      </x:c>
      <x:c r="F166" s="24" t="n">
        <x:v>3839.665</x:v>
      </x:c>
      <x:c r="G166" s="24" t="n">
        <x:v>3867.034</x:v>
      </x:c>
      <x:c r="H166" s="24" t="n">
        <x:v>2.7</x:v>
      </x:c>
      <x:c r="I166" s="25" t="n">
        <x:v>0.0006901518411681629</x:v>
      </x:c>
      <x:c r="J166" s="24" t="n">
        <x:f>ROUND(E166-F166,1)</x:f>
        <x:v>44.8</x:v>
      </x:c>
      <x:c r="K166" s="23" t="str">
        <x:v>上证指数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3868.087</x:v>
      </x:c>
      <x:c r="E167" s="24" t="n">
        <x:v>3878.832</x:v>
      </x:c>
      <x:c r="F167" s="24" t="n">
        <x:v>3851.706</x:v>
      </x:c>
      <x:c r="G167" s="24" t="n">
        <x:v>3876.777</x:v>
      </x:c>
      <x:c r="H167" s="24" t="n">
        <x:v>9.7</x:v>
      </x:c>
      <x:c r="I167" s="25" t="n">
        <x:v>0.0025195020266177703</x:v>
      </x:c>
      <x:c r="J167" s="24" t="n">
        <x:f>ROUND(E167-F167,1)</x:f>
        <x:v>27.1</x:v>
      </x:c>
      <x:c r="K167" s="23" t="str">
        <x:v>上证指数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1215.8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71.5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6920</x:v>
      </x:c>
      <x:c r="E165" s="24" t="n">
        <x:v>7175.8</x:v>
      </x:c>
      <x:c r="F165" s="24" t="n">
        <x:v>6641.8</x:v>
      </x:c>
      <x:c r="G165" s="24" t="n">
        <x:v>7164.4</x:v>
      </x:c>
      <x:c r="H165" s="27" t="n">
        <x:v>314.6</x:v>
      </x:c>
      <x:c r="I165" s="25" t="n">
        <x:v>0.04592834827294223</x:v>
      </x:c>
      <x:c r="J165" s="29" t="n">
        <x:f>ROUND(E165-F165,1)</x:f>
        <x:v>534</x:v>
      </x:c>
      <x:c r="K165" s="23" t="str">
        <x:v>IM2609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7148</x:v>
      </x:c>
      <x:c r="E166" s="24" t="n">
        <x:v>7194.6</x:v>
      </x:c>
      <x:c r="F166" s="24" t="n">
        <x:v>6985.8</x:v>
      </x:c>
      <x:c r="G166" s="24" t="n">
        <x:v>7028.8</x:v>
      </x:c>
      <x:c r="H166" s="24" t="n">
        <x:v>-135.6</x:v>
      </x:c>
      <x:c r="I166" s="25" t="n">
        <x:v>-0.018926916420076934</x:v>
      </x:c>
      <x:c r="J166" s="29" t="n">
        <x:f>ROUND(E166-F166,1)</x:f>
        <x:v>208.8</x:v>
      </x:c>
      <x:c r="K166" s="23" t="str">
        <x:v>IM2609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7061</x:v>
      </x:c>
      <x:c r="E167" s="24" t="n">
        <x:v>7159.6</x:v>
      </x:c>
      <x:c r="F167" s="24" t="n">
        <x:v>7000.6</x:v>
      </x:c>
      <x:c r="G167" s="24" t="n">
        <x:v>7071.6</x:v>
      </x:c>
      <x:c r="H167" s="24" t="n">
        <x:v>42.8</x:v>
      </x:c>
      <x:c r="I167" s="25" t="n">
        <x:v>0.0060892328704758025</x:v>
      </x:c>
      <x:c r="J167" s="24" t="n">
        <x:f>ROUND(E167-F167,1)</x:f>
        <x:v>159</x:v>
      </x:c>
      <x:c r="K167" s="23" t="str">
        <x:v>IM2609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4631.6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272.4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7385</x:v>
      </x:c>
      <x:c r="E165" s="24" t="n">
        <x:v>7700.6</x:v>
      </x:c>
      <x:c r="F165" s="24" t="n">
        <x:v>7201.2</x:v>
      </x:c>
      <x:c r="G165" s="24" t="n">
        <x:v>7685.8</x:v>
      </x:c>
      <x:c r="H165" s="27" t="n">
        <x:v>383.6</x:v>
      </x:c>
      <x:c r="I165" s="25" t="n">
        <x:v>0.052532113609597086</x:v>
      </x:c>
      <x:c r="J165" s="29" t="n">
        <x:f>ROUND(E165-F165,1)</x:f>
        <x:v>499.4</x:v>
      </x:c>
      <x:c r="K165" s="23" t="str">
        <x:v>IC2609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7674.8</x:v>
      </x:c>
      <x:c r="E166" s="24" t="n">
        <x:v>7765.6</x:v>
      </x:c>
      <x:c r="F166" s="24" t="n">
        <x:v>7583.8</x:v>
      </x:c>
      <x:c r="G166" s="24" t="n">
        <x:v>7611</x:v>
      </x:c>
      <x:c r="H166" s="24" t="n">
        <x:v>-74.8</x:v>
      </x:c>
      <x:c r="I166" s="25" t="n">
        <x:v>-0.009732233469515239</x:v>
      </x:c>
      <x:c r="J166" s="29" t="n">
        <x:f>ROUND(E166-F166,1)</x:f>
        <x:v>181.8</x:v>
      </x:c>
      <x:c r="K166" s="23" t="str">
        <x:v>IC2609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7675</x:v>
      </x:c>
      <x:c r="E167" s="24" t="n">
        <x:v>7693</x:v>
      </x:c>
      <x:c r="F167" s="24" t="n">
        <x:v>7538</x:v>
      </x:c>
      <x:c r="G167" s="24" t="n">
        <x:v>7602.6</x:v>
      </x:c>
      <x:c r="H167" s="24" t="n">
        <x:v>-8.4</x:v>
      </x:c>
      <x:c r="I167" s="25" t="n">
        <x:v>-0.0011036657469452038</x:v>
      </x:c>
      <x:c r="J167" s="29" t="n">
        <x:f>ROUND(E167-F167,1)</x:f>
        <x:v>155</x:v>
      </x:c>
      <x:c r="K167" s="23" t="str">
        <x:v>IC2609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4697.8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276.3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4563.8</x:v>
      </x:c>
      <x:c r="E165" s="24" t="n">
        <x:v>4673.8</x:v>
      </x:c>
      <x:c r="F165" s="24" t="n">
        <x:v>4524.4</x:v>
      </x:c>
      <x:c r="G165" s="24" t="n">
        <x:v>4662.4</x:v>
      </x:c>
      <x:c r="H165" s="24" t="n">
        <x:v>116.6</x:v>
      </x:c>
      <x:c r="I165" s="25" t="n">
        <x:v>0.02565005059615455</x:v>
      </x:c>
      <x:c r="J165" s="29" t="n">
        <x:f>ROUND(E165-F165,1)</x:f>
        <x:v>149.4</x:v>
      </x:c>
      <x:c r="K165" s="23" t="str">
        <x:v>IF2609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4652</x:v>
      </x:c>
      <x:c r="E166" s="24" t="n">
        <x:v>4707.8</x:v>
      </x:c>
      <x:c r="F166" s="24" t="n">
        <x:v>4634</x:v>
      </x:c>
      <x:c r="G166" s="24" t="n">
        <x:v>4648</x:v>
      </x:c>
      <x:c r="H166" s="24" t="n">
        <x:v>-14.4</x:v>
      </x:c>
      <x:c r="I166" s="25" t="n">
        <x:v>-0.003088538091969739</x:v>
      </x:c>
      <x:c r="J166" s="24" t="n">
        <x:f>ROUND(E166-F166,1)</x:f>
        <x:v>73.8</x:v>
      </x:c>
      <x:c r="K166" s="23" t="str">
        <x:v>IF2609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4670</x:v>
      </x:c>
      <x:c r="E167" s="24" t="n">
        <x:v>4682.6</x:v>
      </x:c>
      <x:c r="F167" s="24" t="n">
        <x:v>4644</x:v>
      </x:c>
      <x:c r="G167" s="24" t="n">
        <x:v>4661.4</x:v>
      </x:c>
      <x:c r="H167" s="24" t="n">
        <x:v>13.4</x:v>
      </x:c>
      <x:c r="I167" s="25" t="n">
        <x:v>0.002882960413080893</x:v>
      </x:c>
      <x:c r="J167" s="24" t="n">
        <x:f>ROUND(E167-F167,1)</x:f>
        <x:v>38.6</x:v>
      </x:c>
      <x:c r="K167" s="23" t="str">
        <x:v>IF2609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1713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100.8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2896</x:v>
      </x:c>
      <x:c r="E165" s="24" t="n">
        <x:v>2933</x:v>
      </x:c>
      <x:c r="F165" s="24" t="n">
        <x:v>2875.2</x:v>
      </x:c>
      <x:c r="G165" s="24" t="n">
        <x:v>2923.6</x:v>
      </x:c>
      <x:c r="H165" s="24" t="n">
        <x:v>49.6</x:v>
      </x:c>
      <x:c r="I165" s="25" t="n">
        <x:v>0.017258176757132926</x:v>
      </x:c>
      <x:c r="J165" s="24" t="n">
        <x:f>ROUND(E165-F165,1)</x:f>
        <x:v>57.8</x:v>
      </x:c>
      <x:c r="K165" s="23" t="str">
        <x:v>IH2609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2906</x:v>
      </x:c>
      <x:c r="E166" s="24" t="n">
        <x:v>2978</x:v>
      </x:c>
      <x:c r="F166" s="24" t="n">
        <x:v>2906</x:v>
      </x:c>
      <x:c r="G166" s="24" t="n">
        <x:v>2946.2</x:v>
      </x:c>
      <x:c r="H166" s="24" t="n">
        <x:v>22.6</x:v>
      </x:c>
      <x:c r="I166" s="25" t="n">
        <x:v>0.007730195649199523</x:v>
      </x:c>
      <x:c r="J166" s="29" t="n">
        <x:f>ROUND(E166-F166,1)</x:f>
        <x:v>72</x:v>
      </x:c>
      <x:c r="K166" s="23" t="str">
        <x:v>IH2609</x:v>
      </x:c>
    </x:row>
    <x:row r="167">
      <x:c r="A167" s="23" t="n">
        <x:v>17</x:v>
      </x:c>
      <x:c r="B167" s="23" t="str">
        <x:v>周四</x:v>
      </x:c>
      <x:c r="C167" s="23" t="str">
        <x:v>7月23日</x:v>
      </x:c>
      <x:c r="D167" s="24" t="n">
        <x:v>2960</x:v>
      </x:c>
      <x:c r="E167" s="24" t="n">
        <x:v>2969.6</x:v>
      </x:c>
      <x:c r="F167" s="24" t="n">
        <x:v>2938.8</x:v>
      </x:c>
      <x:c r="G167" s="24" t="n">
        <x:v>2948.8</x:v>
      </x:c>
      <x:c r="H167" s="24" t="n">
        <x:v>2.6</x:v>
      </x:c>
      <x:c r="I167" s="25" t="n">
        <x:v>0.0008824927024642104</x:v>
      </x:c>
      <x:c r="J167" s="24" t="n">
        <x:f>ROUND(E167-F167,1)</x:f>
        <x:v>30.8</x:v>
      </x:c>
      <x:c r="K167" s="23" t="str">
        <x:v>IH2609</x:v>
      </x:c>
    </x:row>
    <x:row r="168">
      <x:c r="A168" s="38" t="str">
        <x:v>合计</x:v>
      </x:c>
      <x:c r="B168" s="37" t="n">
        <x:v>17</x:v>
      </x:c>
      <x:c r="C168" s="37"/>
      <x:c r="D168" s="37"/>
      <x:c r="E168" s="37"/>
      <x:c r="F168" s="37"/>
      <x:c r="G168" s="37"/>
      <x:c r="H168" s="37"/>
      <x:c r="I168" s="37"/>
      <x:c r="J168" s="39" t="n">
        <x:f>ROUND(SUM(J151:J167),1)</x:f>
        <x:v>956.4</x:v>
      </x:c>
      <x:c r="K168" s="37"/>
    </x:row>
    <x:row r="169">
      <x:c r="A169" s="38" t="str">
        <x:v>均值</x:v>
      </x:c>
      <x:c r="B169" s="37"/>
      <x:c r="C169" s="37"/>
      <x:c r="D169" s="37"/>
      <x:c r="E169" s="37"/>
      <x:c r="F169" s="37"/>
      <x:c r="G169" s="37"/>
      <x:c r="H169" s="37"/>
      <x:c r="I169" s="37"/>
      <x:c r="J169" s="41" t="n">
        <x:f>ROUND(IFERROR(AVERAGE(J151:J167),0),1)</x:f>
        <x:v>56.3</x:v>
      </x:c>
      <x:c r="K16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