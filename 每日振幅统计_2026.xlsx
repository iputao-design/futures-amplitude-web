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abaeac2db045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5fa6c0e9fbd4e10"/>
    <x:sheet xmlns:r="http://schemas.openxmlformats.org/officeDocument/2006/relationships" name="周振幅统计" sheetId="2" r:id="R6946da80674e42f8"/>
    <x:sheet xmlns:r="http://schemas.openxmlformats.org/officeDocument/2006/relationships" name="中证1000" sheetId="3" r:id="Rdff444ca1ef94ffe"/>
    <x:sheet xmlns:r="http://schemas.openxmlformats.org/officeDocument/2006/relationships" name="中证500" sheetId="4" r:id="R506b49491a284a26"/>
    <x:sheet xmlns:r="http://schemas.openxmlformats.org/officeDocument/2006/relationships" name="上证指数" sheetId="5" r:id="R418d8ea73c0a41fd"/>
    <x:sheet xmlns:r="http://schemas.openxmlformats.org/officeDocument/2006/relationships" name="IM主力" sheetId="6" r:id="Rb51f63c5bcf048a2"/>
    <x:sheet xmlns:r="http://schemas.openxmlformats.org/officeDocument/2006/relationships" name="IC主力" sheetId="7" r:id="Raddb15334b0840c9"/>
    <x:sheet xmlns:r="http://schemas.openxmlformats.org/officeDocument/2006/relationships" name="IF主力" sheetId="8" r:id="R43c4b92a46584e03"/>
    <x:sheet xmlns:r="http://schemas.openxmlformats.org/officeDocument/2006/relationships" name="IH主力" sheetId="9" r:id="Rb62e451a2c5848ad"/>
    <x:sheet xmlns:r="http://schemas.openxmlformats.org/officeDocument/2006/relationships" name="碳酸锂2610" sheetId="10" r:id="R52de87ebe6e94b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df5f6f1cce4b0a" /><Relationship Type="http://schemas.openxmlformats.org/officeDocument/2006/relationships/theme" Target="/xl/theme/theme1.xml" Id="Rbdd4e76db85c4282" /><Relationship Type="http://schemas.openxmlformats.org/officeDocument/2006/relationships/sharedStrings" Target="/xl/sharedStrings.xml" Id="Rdce516e137774898" /><Relationship Type="http://schemas.openxmlformats.org/officeDocument/2006/relationships/worksheet" Target="/xl/worksheets/sheet1.xml" Id="Ra5fa6c0e9fbd4e10" /><Relationship Type="http://schemas.openxmlformats.org/officeDocument/2006/relationships/worksheet" Target="/xl/worksheets/sheet2.xml" Id="R6946da80674e42f8" /><Relationship Type="http://schemas.openxmlformats.org/officeDocument/2006/relationships/worksheet" Target="/xl/worksheets/sheet3.xml" Id="Rdff444ca1ef94ffe" /><Relationship Type="http://schemas.openxmlformats.org/officeDocument/2006/relationships/worksheet" Target="/xl/worksheets/sheet4.xml" Id="R506b49491a284a26" /><Relationship Type="http://schemas.openxmlformats.org/officeDocument/2006/relationships/worksheet" Target="/xl/worksheets/sheet5.xml" Id="R418d8ea73c0a41fd" /><Relationship Type="http://schemas.openxmlformats.org/officeDocument/2006/relationships/worksheet" Target="/xl/worksheets/sheet6.xml" Id="Rb51f63c5bcf048a2" /><Relationship Type="http://schemas.openxmlformats.org/officeDocument/2006/relationships/worksheet" Target="/xl/worksheets/sheet7.xml" Id="Raddb15334b0840c9" /><Relationship Type="http://schemas.openxmlformats.org/officeDocument/2006/relationships/worksheet" Target="/xl/worksheets/sheet8.xml" Id="R43c4b92a46584e03" /><Relationship Type="http://schemas.openxmlformats.org/officeDocument/2006/relationships/worksheet" Target="/xl/worksheets/sheet9.xml" Id="Rb62e451a2c5848ad" /><Relationship Type="http://schemas.openxmlformats.org/officeDocument/2006/relationships/worksheet" Target="/xl/worksheets/sheet10.xml" Id="R52de87ebe6e94b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2026-10-23</x:v>
      </x:c>
      <x:c r="C4" s="10" t="n">
        <x:v>6753.34</x:v>
      </x:c>
      <x:c r="D4" s="10" t="n">
        <x:v>6301.81</x:v>
      </x:c>
      <x:c r="E4" s="12" t="n">
        <x:v>451.5</x:v>
      </x:c>
      <x:c r="F4" s="9" t="n">
        <x:v>193</x:v>
      </x:c>
      <x:c r="G4" s="10" t="n">
        <x:v>34061.8</x:v>
      </x:c>
      <x:c r="H4" s="10" t="n">
        <x:v>176.5</x:v>
      </x:c>
      <x:c r="I4" s="10" t="n">
        <x:v>180</x:v>
      </x:c>
    </x:row>
    <x:row r="5">
      <x:c r="A5" s="9" t="str">
        <x:v>中证500</x:v>
      </x:c>
      <x:c r="B5" s="9" t="str">
        <x:v>2026-10-23</x:v>
      </x:c>
      <x:c r="C5" s="10" t="n">
        <x:v>6835.39</x:v>
      </x:c>
      <x:c r="D5" s="10" t="n">
        <x:v>6440.29</x:v>
      </x:c>
      <x:c r="E5" s="12" t="n">
        <x:v>395.1</x:v>
      </x:c>
      <x:c r="F5" s="9" t="n">
        <x:v>193</x:v>
      </x:c>
      <x:c r="G5" s="10" t="n">
        <x:v>33669.7</x:v>
      </x:c>
      <x:c r="H5" s="10" t="n">
        <x:v>174.5</x:v>
      </x:c>
      <x:c r="I5" s="10" t="n">
        <x:v>160</x:v>
      </x:c>
    </x:row>
    <x:row r="6">
      <x:c r="A6" s="9" t="str">
        <x:v>上证指数</x:v>
      </x:c>
      <x:c r="B6" s="9" t="str">
        <x:v>2026-10-23</x:v>
      </x:c>
      <x:c r="C6" s="10" t="n">
        <x:v>3691.4</x:v>
      </x:c>
      <x:c r="D6" s="10" t="n">
        <x:v>3574.27</x:v>
      </x:c>
      <x:c r="E6" s="12" t="n">
        <x:v>117.1</x:v>
      </x:c>
      <x:c r="F6" s="9" t="n">
        <x:v>193</x:v>
      </x:c>
      <x:c r="G6" s="10" t="n">
        <x:v>9351.7</x:v>
      </x:c>
      <x:c r="H6" s="10" t="n">
        <x:v>48.5</x:v>
      </x:c>
      <x:c r="I6" s="10" t="n">
        <x:v>50</x:v>
      </x:c>
    </x:row>
    <x:row r="7">
      <x:c r="A7" s="9" t="str">
        <x:v>IM主力</x:v>
      </x:c>
      <x:c r="B7" s="9" t="str">
        <x:v>2026-10-23</x:v>
      </x:c>
      <x:c r="C7" s="10" t="n">
        <x:v>6677</x:v>
      </x:c>
      <x:c r="D7" s="10" t="n">
        <x:v>6212.6</x:v>
      </x:c>
      <x:c r="E7" s="12" t="n">
        <x:v>464.4</x:v>
      </x:c>
      <x:c r="F7" s="9" t="n">
        <x:v>193</x:v>
      </x:c>
      <x:c r="G7" s="10" t="n">
        <x:v>36225.4</x:v>
      </x:c>
      <x:c r="H7" s="10" t="n">
        <x:v>187.7</x:v>
      </x:c>
      <x:c r="I7" s="10" t="n">
        <x:v>190</x:v>
      </x:c>
    </x:row>
    <x:row r="8">
      <x:c r="A8" s="9" t="str">
        <x:v>IC主力</x:v>
      </x:c>
      <x:c r="B8" s="9" t="str">
        <x:v>2026-10-23</x:v>
      </x:c>
      <x:c r="C8" s="10" t="n">
        <x:v>6766.6</x:v>
      </x:c>
      <x:c r="D8" s="10" t="n">
        <x:v>6340</x:v>
      </x:c>
      <x:c r="E8" s="12" t="n">
        <x:v>426.6</x:v>
      </x:c>
      <x:c r="F8" s="9" t="n">
        <x:v>193</x:v>
      </x:c>
      <x:c r="G8" s="10" t="n">
        <x:v>37313.8</x:v>
      </x:c>
      <x:c r="H8" s="10" t="n">
        <x:v>193.3</x:v>
      </x:c>
      <x:c r="I8" s="10" t="n">
        <x:v>150</x:v>
      </x:c>
    </x:row>
    <x:row r="9">
      <x:c r="A9" s="9" t="str">
        <x:v>IF主力</x:v>
      </x:c>
      <x:c r="B9" s="9" t="str">
        <x:v>2026-10-22</x:v>
      </x:c>
      <x:c r="C9" s="10" t="n">
        <x:v>4060</x:v>
      </x:c>
      <x:c r="D9" s="10" t="n">
        <x:v>3959</x:v>
      </x:c>
      <x:c r="E9" s="12" t="n">
        <x:v>101</x:v>
      </x:c>
      <x:c r="F9" s="9" t="n">
        <x:v>192</x:v>
      </x:c>
      <x:c r="G9" s="10" t="n">
        <x:v>13913.8</x:v>
      </x:c>
      <x:c r="H9" s="10" t="n">
        <x:v>72.5</x:v>
      </x:c>
      <x:c r="I9" s="10" t="n">
        <x:v>90</x:v>
      </x:c>
    </x:row>
    <x:row r="10">
      <x:c r="A10" s="9" t="str">
        <x:v>IH主力</x:v>
      </x:c>
      <x:c r="B10" s="9" t="str">
        <x:v>2026-10-23</x:v>
      </x:c>
      <x:c r="C10" s="10" t="n">
        <x:v>2721.2</x:v>
      </x:c>
      <x:c r="D10" s="10" t="n">
        <x:v>2638</x:v>
      </x:c>
      <x:c r="E10" s="12" t="n">
        <x:v>83.2</x:v>
      </x:c>
      <x:c r="F10" s="9" t="n">
        <x:v>193</x:v>
      </x:c>
      <x:c r="G10" s="10" t="n">
        <x:v>7819.8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17199.8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419.5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10月19日-10月23日</x:v>
      </x:c>
      <x:c r="C91" s="23" t="n">
        <x:v>6735.53</x:v>
      </x:c>
      <x:c r="D91" s="23" t="n">
        <x:v>6941.51</x:v>
      </x:c>
      <x:c r="E91" s="23" t="n">
        <x:v>6440.29</x:v>
      </x:c>
      <x:c r="F91" s="23" t="n">
        <x:v>6814.44</x:v>
      </x:c>
      <x:c r="G91" s="23" t="n">
        <x:f>ROUND(F91-F90,1)</x:f>
        <x:v>41.7</x:v>
      </x:c>
      <x:c r="H91" s="24" t="n">
        <x:f>IFERROR(F91/F90-1,"")</x:f>
        <x:v>0.006155549813591232</x:v>
      </x:c>
      <x:c r="I91" s="26" t="n">
        <x:f>ROUND(D91-E91,1)</x:f>
        <x:v>501.2</x:v>
      </x:c>
      <x:c r="J91" s="22" t="str">
        <x:v>中证500</x:v>
      </x:c>
      <x:c r="K91" s="22" t="n">
        <x:v>5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17016.8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415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10月19日-10月23日</x:v>
      </x:c>
      <x:c r="C137" s="23" t="n">
        <x:v>3694.12</x:v>
      </x:c>
      <x:c r="D137" s="23" t="n">
        <x:v>3743.8</x:v>
      </x:c>
      <x:c r="E137" s="23" t="n">
        <x:v>3574.27</x:v>
      </x:c>
      <x:c r="F137" s="23" t="n">
        <x:v>3690.48</x:v>
      </x:c>
      <x:c r="G137" s="23" t="n">
        <x:f>ROUND(F137-F136,1)</x:f>
        <x:v>-25.8</x:v>
      </x:c>
      <x:c r="H137" s="24" t="n">
        <x:f>IFERROR(F137/F136-1,"")</x:f>
        <x:v>-0.0069424262972650475</x:v>
      </x:c>
      <x:c r="I137" s="26" t="n">
        <x:f>ROUND(D137-E137,1)</x:f>
        <x:v>169.5</x:v>
      </x:c>
      <x:c r="J137" s="22" t="str">
        <x:v>上证指数</x:v>
      </x:c>
      <x:c r="K137" s="22" t="n">
        <x:v>5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4525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110.4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10月19日-10月23日</x:v>
      </x:c>
      <x:c r="C183" s="23" t="n">
        <x:v>6577.2</x:v>
      </x:c>
      <x:c r="D183" s="23" t="n">
        <x:v>6799.6</x:v>
      </x:c>
      <x:c r="E183" s="23" t="n">
        <x:v>6212.6</x:v>
      </x:c>
      <x:c r="F183" s="23" t="n">
        <x:v>6660</x:v>
      </x:c>
      <x:c r="G183" s="23" t="n">
        <x:f>ROUND(F183-F182,1)</x:f>
        <x:v>76.4</x:v>
      </x:c>
      <x:c r="H183" s="24" t="n">
        <x:f>IFERROR(F183/F182-1,"")</x:f>
        <x:v>0.011604593231666405</x:v>
      </x:c>
      <x:c r="I183" s="26" t="n">
        <x:f>ROUND(D183-E183,1)</x:f>
        <x:v>587</x:v>
      </x:c>
      <x:c r="J183" s="22" t="str">
        <x:v>IM2612</x:v>
      </x:c>
      <x:c r="K183" s="22" t="n">
        <x:v>5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17861.8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435.7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10月19日-10月23日</x:v>
      </x:c>
      <x:c r="C229" s="23" t="n">
        <x:v>6670.2</x:v>
      </x:c>
      <x:c r="D229" s="23" t="n">
        <x:v>6864</x:v>
      </x:c>
      <x:c r="E229" s="23" t="n">
        <x:v>6340</x:v>
      </x:c>
      <x:c r="F229" s="23" t="n">
        <x:v>6742</x:v>
      </x:c>
      <x:c r="G229" s="23" t="n">
        <x:f>ROUND(F229-F228,1)</x:f>
        <x:v>74.2</x:v>
      </x:c>
      <x:c r="H229" s="24" t="n">
        <x:f>IFERROR(F229/F228-1,"")</x:f>
        <x:v>0.011128108221602373</x:v>
      </x:c>
      <x:c r="I229" s="26" t="n">
        <x:f>ROUND(D229-E229,1)</x:f>
        <x:v>524</x:v>
      </x:c>
      <x:c r="J229" s="22" t="str">
        <x:v>IC2612</x:v>
      </x:c>
      <x:c r="K229" s="22" t="n">
        <x:v>5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18275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445.7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10月19日-10月22日</x:v>
      </x:c>
      <x:c r="C275" s="23" t="n">
        <x:v>4086.4</x:v>
      </x:c>
      <x:c r="D275" s="23" t="n">
        <x:v>4140.2</x:v>
      </x:c>
      <x:c r="E275" s="23" t="n">
        <x:v>3959</x:v>
      </x:c>
      <x:c r="F275" s="23" t="n">
        <x:v>3970</x:v>
      </x:c>
      <x:c r="G275" s="23" t="n">
        <x:f>ROUND(F275-F274,1)</x:f>
        <x:v>-118.8</x:v>
      </x:c>
      <x:c r="H275" s="24" t="n">
        <x:f>IFERROR(F275/F274-1,"")</x:f>
        <x:v>-0.02905497945607516</x:v>
      </x:c>
      <x:c r="I275" s="26" t="n">
        <x:f>ROUND(D275-E275,1)</x:f>
        <x:v>181.2</x:v>
      </x:c>
      <x:c r="J275" s="22" t="str">
        <x:v>IF2612</x:v>
      </x:c>
      <x:c r="K275" s="22" t="n">
        <x:v>4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6548.2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159.7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10月19日-10月23日</x:v>
      </x:c>
      <x:c r="C321" s="23" t="n">
        <x:v>2690</x:v>
      </x:c>
      <x:c r="D321" s="23" t="n">
        <x:v>2754.6</x:v>
      </x:c>
      <x:c r="E321" s="23" t="n">
        <x:v>2638</x:v>
      </x:c>
      <x:c r="F321" s="23" t="n">
        <x:v>2719</x:v>
      </x:c>
      <x:c r="G321" s="23" t="n">
        <x:f>ROUND(F321-F320,1)</x:f>
        <x:v>14.4</x:v>
      </x:c>
      <x:c r="H321" s="24" t="n">
        <x:f>IFERROR(F321/F320-1,"")</x:f>
        <x:v>0.0053242623678178</x:v>
      </x:c>
      <x:c r="I321" s="26" t="n">
        <x:f>ROUND(D321-E321,1)</x:f>
        <x:v>116.6</x:v>
      </x:c>
      <x:c r="J321" s="22" t="str">
        <x:v>IH2612</x:v>
      </x:c>
      <x:c r="K321" s="22" t="n">
        <x:v>5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3696.8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90.2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10月19日-10月21日</x:v>
      </x:c>
      <x:c r="C367" s="23" t="n">
        <x:v>99600</x:v>
      </x:c>
      <x:c r="D367" s="23" t="n">
        <x:v>103420</x:v>
      </x:c>
      <x:c r="E367" s="23" t="n">
        <x:v>98000</x:v>
      </x:c>
      <x:c r="F367" s="23" t="n">
        <x:v>98540</x:v>
      </x:c>
      <x:c r="G367" s="28" t="n">
        <x:f>ROUND(F367-F366,1)</x:f>
        <x:v>-960</x:v>
      </x:c>
      <x:c r="H367" s="24" t="n">
        <x:f>IFERROR(F367/F366-1,"")</x:f>
        <x:v>-0.00964824120603014</x:v>
      </x:c>
      <x:c r="I367" s="23" t="n">
        <x:f>ROUND(D367-E367,1)</x:f>
        <x:v>5420</x:v>
      </x:c>
      <x:c r="J367" s="22" t="str">
        <x:v>LC2610</x:v>
      </x:c>
      <x:c r="K367" s="22" t="n">
        <x:v>3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799200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19492.7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2570.8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214.2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2384.6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198.7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737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61.4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2732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227.7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2630.6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219.2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905.2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82.3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585.4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48.8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