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88d09218fa4d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0ca5ec7c98f496a"/>
    <x:sheet xmlns:r="http://schemas.openxmlformats.org/officeDocument/2006/relationships" name="周振幅统计" sheetId="2" r:id="R0c11bc70eb56492f"/>
    <x:sheet xmlns:r="http://schemas.openxmlformats.org/officeDocument/2006/relationships" name="中证1000" sheetId="3" r:id="Rf6a2ba028117428e"/>
    <x:sheet xmlns:r="http://schemas.openxmlformats.org/officeDocument/2006/relationships" name="中证500" sheetId="4" r:id="R08bb2a3eaa5a4ba4"/>
    <x:sheet xmlns:r="http://schemas.openxmlformats.org/officeDocument/2006/relationships" name="上证指数" sheetId="5" r:id="R4459ebdc933b4e3f"/>
    <x:sheet xmlns:r="http://schemas.openxmlformats.org/officeDocument/2006/relationships" name="IM主力" sheetId="6" r:id="Re9fc0955169d4632"/>
    <x:sheet xmlns:r="http://schemas.openxmlformats.org/officeDocument/2006/relationships" name="IC主力" sheetId="7" r:id="R927173a7576d4775"/>
    <x:sheet xmlns:r="http://schemas.openxmlformats.org/officeDocument/2006/relationships" name="IF主力" sheetId="8" r:id="R421c5e674af0492c"/>
    <x:sheet xmlns:r="http://schemas.openxmlformats.org/officeDocument/2006/relationships" name="IH主力" sheetId="9" r:id="Rb5e2f2ec828c4a44"/>
    <x:sheet xmlns:r="http://schemas.openxmlformats.org/officeDocument/2006/relationships" name="碳酸锂2609" sheetId="10" r:id="R7d24ad0e07ac4a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ae5c9ac45140db" /><Relationship Type="http://schemas.openxmlformats.org/officeDocument/2006/relationships/theme" Target="/xl/theme/theme1.xml" Id="R51264df67d7543b2" /><Relationship Type="http://schemas.openxmlformats.org/officeDocument/2006/relationships/sharedStrings" Target="/xl/sharedStrings.xml" Id="R1c44e2cb4e2a4ecd" /><Relationship Type="http://schemas.openxmlformats.org/officeDocument/2006/relationships/worksheet" Target="/xl/worksheets/sheet1.xml" Id="Ra0ca5ec7c98f496a" /><Relationship Type="http://schemas.openxmlformats.org/officeDocument/2006/relationships/worksheet" Target="/xl/worksheets/sheet2.xml" Id="R0c11bc70eb56492f" /><Relationship Type="http://schemas.openxmlformats.org/officeDocument/2006/relationships/worksheet" Target="/xl/worksheets/sheet3.xml" Id="Rf6a2ba028117428e" /><Relationship Type="http://schemas.openxmlformats.org/officeDocument/2006/relationships/worksheet" Target="/xl/worksheets/sheet4.xml" Id="R08bb2a3eaa5a4ba4" /><Relationship Type="http://schemas.openxmlformats.org/officeDocument/2006/relationships/worksheet" Target="/xl/worksheets/sheet5.xml" Id="R4459ebdc933b4e3f" /><Relationship Type="http://schemas.openxmlformats.org/officeDocument/2006/relationships/worksheet" Target="/xl/worksheets/sheet6.xml" Id="Re9fc0955169d4632" /><Relationship Type="http://schemas.openxmlformats.org/officeDocument/2006/relationships/worksheet" Target="/xl/worksheets/sheet7.xml" Id="R927173a7576d4775" /><Relationship Type="http://schemas.openxmlformats.org/officeDocument/2006/relationships/worksheet" Target="/xl/worksheets/sheet8.xml" Id="R421c5e674af0492c" /><Relationship Type="http://schemas.openxmlformats.org/officeDocument/2006/relationships/worksheet" Target="/xl/worksheets/sheet9.xml" Id="Rb5e2f2ec828c4a44" /><Relationship Type="http://schemas.openxmlformats.org/officeDocument/2006/relationships/worksheet" Target="/xl/worksheets/sheet10.xml" Id="R7d24ad0e07ac4a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2026-08-13</x:v>
      </x:c>
      <x:c r="C4" s="10" t="n">
        <x:v>7880.22</x:v>
      </x:c>
      <x:c r="D4" s="10" t="n">
        <x:v>7714.37</x:v>
      </x:c>
      <x:c r="E4" s="12" t="n">
        <x:v>165.9</x:v>
      </x:c>
      <x:c r="F4" s="9" t="n">
        <x:v>148</x:v>
      </x:c>
      <x:c r="G4" s="10" t="n">
        <x:v>26573.4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2026-08-13</x:v>
      </x:c>
      <x:c r="C5" s="10" t="n">
        <x:v>8142.33</x:v>
      </x:c>
      <x:c r="D5" s="10" t="n">
        <x:v>7966.87</x:v>
      </x:c>
      <x:c r="E5" s="12" t="n">
        <x:v>175.5</x:v>
      </x:c>
      <x:c r="F5" s="9" t="n">
        <x:v>148</x:v>
      </x:c>
      <x:c r="G5" s="10" t="n">
        <x:v>26768.3</x:v>
      </x:c>
      <x:c r="H5" s="10" t="n">
        <x:v>180.9</x:v>
      </x:c>
      <x:c r="I5" s="10" t="n">
        <x:v>160</x:v>
      </x:c>
    </x:row>
    <x:row r="6">
      <x:c r="A6" s="9" t="str">
        <x:v>上证指数</x:v>
      </x:c>
      <x:c r="B6" s="9" t="str">
        <x:v>2026-08-13</x:v>
      </x:c>
      <x:c r="C6" s="10" t="n">
        <x:v>3968.48</x:v>
      </x:c>
      <x:c r="D6" s="10" t="n">
        <x:v>3924.64</x:v>
      </x:c>
      <x:c r="E6" s="12" t="n">
        <x:v>43.8</x:v>
      </x:c>
      <x:c r="F6" s="9" t="n">
        <x:v>148</x:v>
      </x:c>
      <x:c r="G6" s="10" t="n">
        <x:v>7331.8</x:v>
      </x:c>
      <x:c r="H6" s="10" t="n">
        <x:v>49.5</x:v>
      </x:c>
      <x:c r="I6" s="10" t="n">
        <x:v>50</x:v>
      </x:c>
    </x:row>
    <x:row r="7">
      <x:c r="A7" s="9" t="str">
        <x:v>IM主力</x:v>
      </x:c>
      <x:c r="B7" s="9" t="str">
        <x:v>2026-08-13</x:v>
      </x:c>
      <x:c r="C7" s="10" t="n">
        <x:v>7776</x:v>
      </x:c>
      <x:c r="D7" s="10" t="n">
        <x:v>7627</x:v>
      </x:c>
      <x:c r="E7" s="12" t="n">
        <x:v>149</x:v>
      </x:c>
      <x:c r="F7" s="9" t="n">
        <x:v>148</x:v>
      </x:c>
      <x:c r="G7" s="10" t="n">
        <x:v>28255.4</x:v>
      </x:c>
      <x:c r="H7" s="10" t="n">
        <x:v>190.9</x:v>
      </x:c>
      <x:c r="I7" s="10" t="n">
        <x:v>190</x:v>
      </x:c>
    </x:row>
    <x:row r="8">
      <x:c r="A8" s="9" t="str">
        <x:v>IC主力</x:v>
      </x:c>
      <x:c r="B8" s="9" t="str">
        <x:v>2026-08-13</x:v>
      </x:c>
      <x:c r="C8" s="10" t="n">
        <x:v>8024</x:v>
      </x:c>
      <x:c r="D8" s="10" t="n">
        <x:v>7860.8</x:v>
      </x:c>
      <x:c r="E8" s="12" t="n">
        <x:v>163.2</x:v>
      </x:c>
      <x:c r="F8" s="9" t="n">
        <x:v>148</x:v>
      </x:c>
      <x:c r="G8" s="10" t="n">
        <x:v>29633.6</x:v>
      </x:c>
      <x:c r="H8" s="10" t="n">
        <x:v>200.2</x:v>
      </x:c>
      <x:c r="I8" s="10" t="n">
        <x:v>150</x:v>
      </x:c>
    </x:row>
    <x:row r="9">
      <x:c r="A9" s="9" t="str">
        <x:v>IF主力</x:v>
      </x:c>
      <x:c r="B9" s="9" t="str">
        <x:v>2026-08-13</x:v>
      </x:c>
      <x:c r="C9" s="10" t="n">
        <x:v>4681</x:v>
      </x:c>
      <x:c r="D9" s="10" t="n">
        <x:v>4621.4</x:v>
      </x:c>
      <x:c r="E9" s="12" t="n">
        <x:v>59.6</x:v>
      </x:c>
      <x:c r="F9" s="9" t="n">
        <x:v>148</x:v>
      </x:c>
      <x:c r="G9" s="10" t="n">
        <x:v>11087.8</x:v>
      </x:c>
      <x:c r="H9" s="10" t="n">
        <x:v>74.9</x:v>
      </x:c>
      <x:c r="I9" s="10" t="n">
        <x:v>90</x:v>
      </x:c>
    </x:row>
    <x:row r="10">
      <x:c r="A10" s="9" t="str">
        <x:v>IH主力</x:v>
      </x:c>
      <x:c r="B10" s="9" t="str">
        <x:v>2026-08-13</x:v>
      </x:c>
      <x:c r="C10" s="10" t="n">
        <x:v>2933.6</x:v>
      </x:c>
      <x:c r="D10" s="10" t="n">
        <x:v>2900.6</x:v>
      </x:c>
      <x:c r="E10" s="12" t="n">
        <x:v>33</x:v>
      </x:c>
      <x:c r="F10" s="9" t="n">
        <x:v>148</x:v>
      </x:c>
      <x:c r="G10" s="10" t="n">
        <x:v>6173.4</x:v>
      </x:c>
      <x:c r="H10" s="10" t="n">
        <x:v>41.7</x:v>
      </x:c>
      <x:c r="I10" s="10" t="n">
        <x:v>60</x:v>
      </x:c>
    </x:row>
    <x:row r="11">
      <x:c r="A11" s="9" t="str">
        <x:v>碳酸锂2609</x:v>
      </x:c>
      <x:c r="B11" s="9" t="str">
        <x:v>2026-08-13</x:v>
      </x:c>
      <x:c r="C11" s="10" t="n">
        <x:v>152440</x:v>
      </x:c>
      <x:c r="D11" s="10" t="n">
        <x:v>147100</x:v>
      </x:c>
      <x:c r="E11" s="12" t="n">
        <x:v>5340</x:v>
      </x:c>
      <x:c r="F11" s="9" t="n">
        <x:v>148</x:v>
      </x:c>
      <x:c r="G11" s="10" t="n">
        <x:v>1296860</x:v>
      </x:c>
      <x:c r="H11" s="10" t="n">
        <x:v>8762.6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8月10日-8月13日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7715.89</x:v>
      </x:c>
      <x:c r="G35" s="23" t="n">
        <x:f>ROUND(F35-F34,1)</x:f>
        <x:v>36.4</x:v>
      </x:c>
      <x:c r="H35" s="24" t="n">
        <x:f>IFERROR(F35/F34-1,"")</x:f>
        <x:v>0.0047346647516191</x:v>
      </x:c>
      <x:c r="I35" s="26" t="n">
        <x:f>ROUND(D35-E35,1)</x:f>
        <x:v>258.6</x:v>
      </x:c>
      <x:c r="J35" s="22" t="str">
        <x:v>中证1000</x:v>
      </x:c>
      <x:c r="K35" s="22" t="n">
        <x:v>4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12970.5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418.4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8月10日-8月13日</x:v>
      </x:c>
      <x:c r="C71" s="23" t="n">
        <x:v>8003.92</x:v>
      </x:c>
      <x:c r="D71" s="23" t="n">
        <x:v>8142.33</x:v>
      </x:c>
      <x:c r="E71" s="23" t="n">
        <x:v>7910.84</x:v>
      </x:c>
      <x:c r="F71" s="23" t="n">
        <x:v>7968.38</x:v>
      </x:c>
      <x:c r="G71" s="23" t="n">
        <x:f>ROUND(F71-F70,1)</x:f>
        <x:v>-11.7</x:v>
      </x:c>
      <x:c r="H71" s="24" t="n">
        <x:f>IFERROR(F71/F70-1,"")</x:f>
        <x:v>-0.0014711558222182397</x:v>
      </x:c>
      <x:c r="I71" s="26" t="n">
        <x:f>ROUND(D71-E71,1)</x:f>
        <x:v>231.5</x:v>
      </x:c>
      <x:c r="J71" s="22" t="str">
        <x:v>中证500</x:v>
      </x:c>
      <x:c r="K71" s="22" t="n">
        <x:v>4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13111.8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423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8月10日-8月13日</x:v>
      </x:c>
      <x:c r="C107" s="23" t="n">
        <x:v>3943.82</x:v>
      </x:c>
      <x:c r="D107" s="23" t="n">
        <x:v>3968.48</x:v>
      </x:c>
      <x:c r="E107" s="23" t="n">
        <x:v>3924.64</x:v>
      </x:c>
      <x:c r="F107" s="23" t="n">
        <x:v>3926.96</x:v>
      </x:c>
      <x:c r="G107" s="23" t="n">
        <x:f>ROUND(F107-F106,1)</x:f>
        <x:v>-13.1</x:v>
      </x:c>
      <x:c r="H107" s="24" t="n">
        <x:f>IFERROR(F107/F106-1,"")</x:f>
        <x:v>-0.0033197632511344777</x:v>
      </x:c>
      <x:c r="I107" s="23" t="n">
        <x:f>ROUND(D107-E107,1)</x:f>
        <x:v>43.8</x:v>
      </x:c>
      <x:c r="J107" s="22" t="str">
        <x:v>上证指数</x:v>
      </x:c>
      <x:c r="K107" s="22" t="n">
        <x:v>4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3423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110.4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8月10日-8月13日</x:v>
      </x:c>
      <x:c r="C143" s="23" t="n">
        <x:v>7628.8</x:v>
      </x:c>
      <x:c r="D143" s="23" t="n">
        <x:v>7776</x:v>
      </x:c>
      <x:c r="E143" s="23" t="n">
        <x:v>7525</x:v>
      </x:c>
      <x:c r="F143" s="23" t="n">
        <x:v>7634.2</x:v>
      </x:c>
      <x:c r="G143" s="23" t="n">
        <x:f>ROUND(F143-F142,1)</x:f>
        <x:v>43.6</x:v>
      </x:c>
      <x:c r="H143" s="24" t="n">
        <x:f>IFERROR(F143/F142-1,"")</x:f>
        <x:v>0.0057439464600952395</x:v>
      </x:c>
      <x:c r="I143" s="26" t="n">
        <x:f>ROUND(D143-E143,1)</x:f>
        <x:v>251</x:v>
      </x:c>
      <x:c r="J143" s="22" t="str">
        <x:v>IM2609</x:v>
      </x:c>
      <x:c r="K143" s="22" t="n">
        <x:v>4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13599.2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438.7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22" t="n">
        <x:v>31</x:v>
      </x:c>
      <x:c r="B179" s="22" t="str">
        <x:v>8月10日-8月13日</x:v>
      </x:c>
      <x:c r="C179" s="23" t="n">
        <x:v>7888</x:v>
      </x:c>
      <x:c r="D179" s="23" t="n">
        <x:v>8024</x:v>
      </x:c>
      <x:c r="E179" s="23" t="n">
        <x:v>7795.8</x:v>
      </x:c>
      <x:c r="F179" s="23" t="n">
        <x:v>7866.2</x:v>
      </x:c>
      <x:c r="G179" s="23" t="n">
        <x:f>ROUND(F179-F178,1)</x:f>
        <x:v>-11.6</x:v>
      </x:c>
      <x:c r="H179" s="24" t="n">
        <x:f>IFERROR(F179/F178-1,"")</x:f>
        <x:v>-0.0014724923201909768</x:v>
      </x:c>
      <x:c r="I179" s="26" t="n">
        <x:f>ROUND(D179-E179,1)</x:f>
        <x:v>228.2</x:v>
      </x:c>
      <x:c r="J179" s="22" t="str">
        <x:v>IC2609</x:v>
      </x:c>
      <x:c r="K179" s="22" t="n">
        <x:v>4</x:v>
      </x:c>
    </x:row>
    <x:row r="180">
      <x:c r="A180" s="31" t="str">
        <x:v>合计</x:v>
      </x:c>
      <x:c r="B180" s="30" t="n">
        <x:v>31</x:v>
      </x:c>
      <x:c r="C180" s="30"/>
      <x:c r="D180" s="30"/>
      <x:c r="E180" s="30"/>
      <x:c r="F180" s="30"/>
      <x:c r="G180" s="30"/>
      <x:c r="H180" s="30"/>
      <x:c r="I180" s="32" t="n">
        <x:f>ROUND(SUM(I149:I179),1)</x:f>
        <x:v>14224.8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ROUND(IFERROR(AVERAGE(I149:I179),0),1)</x:f>
        <x:v>458.9</x:v>
      </x:c>
      <x:c r="J181" s="30"/>
      <x:c r="K181" s="30"/>
    </x:row>
    <x:row r="183">
      <x:c r="A183" s="17" t="str">
        <x:v>IF主力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4627</x:v>
      </x:c>
      <x:c r="D185" s="23" t="n">
        <x:v>4785.8</x:v>
      </x:c>
      <x:c r="E185" s="23" t="n">
        <x:v>4627</x:v>
      </x:c>
      <x:c r="F185" s="23" t="n">
        <x:v>4743.8</x:v>
      </x:c>
      <x:c r="G185" s="23"/>
      <x:c r="H185" s="24"/>
      <x:c r="I185" s="26" t="n">
        <x:f>ROUND(D185-E185,1)</x:f>
        <x:v>158.8</x:v>
      </x:c>
      <x:c r="J185" s="22" t="str">
        <x:v>IF2603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4762</x:v>
      </x:c>
      <x:c r="D186" s="23" t="n">
        <x:v>4833.2</x:v>
      </x:c>
      <x:c r="E186" s="23" t="n">
        <x:v>4707</x:v>
      </x:c>
      <x:c r="F186" s="23" t="n">
        <x:v>4723.2</x:v>
      </x:c>
      <x:c r="G186" s="23" t="n">
        <x:f>ROUND(F186-F185,1)</x:f>
        <x:v>-20.6</x:v>
      </x:c>
      <x:c r="H186" s="24" t="n">
        <x:f>IFERROR(F186/F185-1,"")</x:f>
        <x:v>-0.004342510223871221</x:v>
      </x:c>
      <x:c r="I186" s="26" t="n">
        <x:f>ROUND(D186-E186,1)</x:f>
        <x:v>126.2</x:v>
      </x:c>
      <x:c r="J186" s="22" t="str">
        <x:v>IF2603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4711.8</x:v>
      </x:c>
      <x:c r="D187" s="23" t="n">
        <x:v>4763</x:v>
      </x:c>
      <x:c r="E187" s="23" t="n">
        <x:v>4672.8</x:v>
      </x:c>
      <x:c r="F187" s="23" t="n">
        <x:v>4709.2</x:v>
      </x:c>
      <x:c r="G187" s="23" t="n">
        <x:f>ROUND(F187-F186,1)</x:f>
        <x:v>-14</x:v>
      </x:c>
      <x:c r="H187" s="24" t="n">
        <x:f>IFERROR(F187/F186-1,"")</x:f>
        <x:v>-0.002964092140921415</x:v>
      </x:c>
      <x:c r="I187" s="26" t="n">
        <x:f>ROUND(D187-E187,1)</x:f>
        <x:v>90.2</x:v>
      </x:c>
      <x:c r="J187" s="22" t="str">
        <x:v>IF2603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4726.8</x:v>
      </x:c>
      <x:c r="D188" s="23" t="n">
        <x:v>4793</x:v>
      </x:c>
      <x:c r="E188" s="23" t="n">
        <x:v>4640</x:v>
      </x:c>
      <x:c r="F188" s="23" t="n">
        <x:v>4711</x:v>
      </x:c>
      <x:c r="G188" s="23" t="n">
        <x:f>ROUND(F188-F187,1)</x:f>
        <x:v>1.8</x:v>
      </x:c>
      <x:c r="H188" s="24" t="n">
        <x:f>IFERROR(F188/F187-1,"")</x:f>
        <x:v>0.00038223052747810016</x:v>
      </x:c>
      <x:c r="I188" s="26" t="n">
        <x:f>ROUND(D188-E188,1)</x:f>
        <x:v>153</x:v>
      </x:c>
      <x:c r="J188" s="22" t="str">
        <x:v>IF2603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4680.6</x:v>
      </x:c>
      <x:c r="D189" s="23" t="n">
        <x:v>4724</x:v>
      </x:c>
      <x:c r="E189" s="23" t="n">
        <x:v>4555.6</x:v>
      </x:c>
      <x:c r="F189" s="23" t="n">
        <x:v>4637.6</x:v>
      </x:c>
      <x:c r="G189" s="23" t="n">
        <x:f>ROUND(F189-F188,1)</x:f>
        <x:v>-73.4</x:v>
      </x:c>
      <x:c r="H189" s="24" t="n">
        <x:f>IFERROR(F189/F188-1,"")</x:f>
        <x:v>-0.015580556145192048</x:v>
      </x:c>
      <x:c r="I189" s="26" t="n">
        <x:f>ROUND(D189-E189,1)</x:f>
        <x:v>168.4</x:v>
      </x:c>
      <x:c r="J189" s="22" t="str">
        <x:v>IF2603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4688.8</x:v>
      </x:c>
      <x:c r="D190" s="23" t="n">
        <x:v>4733.8</x:v>
      </x:c>
      <x:c r="E190" s="23" t="n">
        <x:v>4624</x:v>
      </x:c>
      <x:c r="F190" s="23" t="n">
        <x:v>4627</x:v>
      </x:c>
      <x:c r="G190" s="23" t="n">
        <x:f>ROUND(F190-F189,1)</x:f>
        <x:v>-10.6</x:v>
      </x:c>
      <x:c r="H190" s="24" t="n">
        <x:f>IFERROR(F190/F189-1,"")</x:f>
        <x:v>-0.0022856649991375155</x:v>
      </x:c>
      <x:c r="I190" s="26" t="n">
        <x:f>ROUND(D190-E190,1)</x:f>
        <x:v>109.8</x:v>
      </x:c>
      <x:c r="J190" s="22" t="str">
        <x:v>IF2603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4680.2</x:v>
      </x:c>
      <x:c r="D191" s="23" t="n">
        <x:v>4768</x:v>
      </x:c>
      <x:c r="E191" s="23" t="n">
        <x:v>4671.2</x:v>
      </x:c>
      <x:c r="F191" s="23" t="n">
        <x:v>4713.8</x:v>
      </x:c>
      <x:c r="G191" s="23" t="n">
        <x:f>ROUND(F191-F190,1)</x:f>
        <x:v>86.8</x:v>
      </x:c>
      <x:c r="H191" s="24" t="n">
        <x:f>IFERROR(F191/F190-1,"")</x:f>
        <x:v>0.01875945537065049</x:v>
      </x:c>
      <x:c r="I191" s="26" t="n">
        <x:f>ROUND(D191-E191,1)</x:f>
        <x:v>96.8</x:v>
      </x:c>
      <x:c r="J191" s="22" t="str">
        <x:v>IF2603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4681.2</x:v>
      </x:c>
      <x:c r="D192" s="23" t="n">
        <x:v>4725</x:v>
      </x:c>
      <x:c r="E192" s="23" t="n">
        <x:v>4560.2</x:v>
      </x:c>
      <x:c r="F192" s="23" t="n">
        <x:v>4646</x:v>
      </x:c>
      <x:c r="G192" s="23" t="n">
        <x:f>ROUND(F192-F191,1)</x:f>
        <x:v>-67.8</x:v>
      </x:c>
      <x:c r="H192" s="24" t="n">
        <x:f>IFERROR(F192/F191-1,"")</x:f>
        <x:v>-0.014383300097585816</x:v>
      </x:c>
      <x:c r="I192" s="26" t="n">
        <x:f>ROUND(D192-E192,1)</x:f>
        <x:v>164.8</x:v>
      </x:c>
      <x:c r="J192" s="22" t="str">
        <x:v>IF2603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4600</x:v>
      </x:c>
      <x:c r="D193" s="23" t="n">
        <x:v>4699</x:v>
      </x:c>
      <x:c r="E193" s="23" t="n">
        <x:v>4500</x:v>
      </x:c>
      <x:c r="F193" s="23" t="n">
        <x:v>4658</x:v>
      </x:c>
      <x:c r="G193" s="23" t="n">
        <x:f>ROUND(F193-F192,1)</x:f>
        <x:v>12</x:v>
      </x:c>
      <x:c r="H193" s="24" t="n">
        <x:f>IFERROR(F193/F192-1,"")</x:f>
        <x:v>0.00258286698235044</x:v>
      </x:c>
      <x:c r="I193" s="26" t="n">
        <x:f>ROUND(D193-E193,1)</x:f>
        <x:v>199</x:v>
      </x:c>
      <x:c r="J193" s="22" t="str">
        <x:v>IF2603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4665</x:v>
      </x:c>
      <x:c r="D194" s="23" t="n">
        <x:v>4718.4</x:v>
      </x:c>
      <x:c r="E194" s="23" t="n">
        <x:v>4570</x:v>
      </x:c>
      <x:c r="F194" s="23" t="n">
        <x:v>4596.8</x:v>
      </x:c>
      <x:c r="G194" s="23" t="n">
        <x:f>ROUND(F194-F193,1)</x:f>
        <x:v>-61.2</x:v>
      </x:c>
      <x:c r="H194" s="24" t="n">
        <x:f>IFERROR(F194/F193-1,"")</x:f>
        <x:v>-0.0131386861313868</x:v>
      </x:c>
      <x:c r="I194" s="26" t="n">
        <x:f>ROUND(D194-E194,1)</x:f>
        <x:v>148.4</x:v>
      </x:c>
      <x:c r="J194" s="22" t="str">
        <x:v>IF2603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4434.4</x:v>
      </x:c>
      <x:c r="D195" s="23" t="n">
        <x:v>4466.2</x:v>
      </x:c>
      <x:c r="E195" s="23" t="n">
        <x:v>4307.2</x:v>
      </x:c>
      <x:c r="F195" s="23" t="n">
        <x:v>4427.4</x:v>
      </x:c>
      <x:c r="G195" s="28" t="n">
        <x:f>ROUND(F195-F194,1)</x:f>
        <x:v>-169.4</x:v>
      </x:c>
      <x:c r="H195" s="24" t="n">
        <x:f>IFERROR(F195/F194-1,"")</x:f>
        <x:v>-0.0368517229376959</x:v>
      </x:c>
      <x:c r="I195" s="26" t="n">
        <x:f>ROUND(D195-E195,1)</x:f>
        <x:v>159</x:v>
      </x:c>
      <x:c r="J195" s="22" t="str">
        <x:v>IF2606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4387.2</x:v>
      </x:c>
      <x:c r="D196" s="23" t="n">
        <x:v>4459.8</x:v>
      </x:c>
      <x:c r="E196" s="23" t="n">
        <x:v>4346</x:v>
      </x:c>
      <x:c r="F196" s="23" t="n">
        <x:v>4362.2</x:v>
      </x:c>
      <x:c r="G196" s="23" t="n">
        <x:f>ROUND(F196-F195,1)</x:f>
        <x:v>-65.2</x:v>
      </x:c>
      <x:c r="H196" s="24" t="n">
        <x:f>IFERROR(F196/F195-1,"")</x:f>
        <x:v>-0.014726476035596514</x:v>
      </x:c>
      <x:c r="I196" s="26" t="n">
        <x:f>ROUND(D196-E196,1)</x:f>
        <x:v>113.8</x:v>
      </x:c>
      <x:c r="J196" s="22" t="str">
        <x:v>IF2606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4369.8</x:v>
      </x:c>
      <x:c r="D197" s="23" t="n">
        <x:v>4591.8</x:v>
      </x:c>
      <x:c r="E197" s="23" t="n">
        <x:v>4347</x:v>
      </x:c>
      <x:c r="F197" s="23" t="n">
        <x:v>4562</x:v>
      </x:c>
      <x:c r="G197" s="28" t="n">
        <x:f>ROUND(F197-F196,1)</x:f>
        <x:v>199.8</x:v>
      </x:c>
      <x:c r="H197" s="24" t="n">
        <x:f>IFERROR(F197/F196-1,"")</x:f>
        <x:v>0.045802576681491125</x:v>
      </x:c>
      <x:c r="I197" s="26" t="n">
        <x:f>ROUND(D197-E197,1)</x:f>
        <x:v>244.8</x:v>
      </x:c>
      <x:c r="J197" s="22" t="str">
        <x:v>IF2606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4542</x:v>
      </x:c>
      <x:c r="D198" s="23" t="n">
        <x:v>4685</x:v>
      </x:c>
      <x:c r="E198" s="23" t="n">
        <x:v>4541.6</x:v>
      </x:c>
      <x:c r="F198" s="23" t="n">
        <x:v>4667</x:v>
      </x:c>
      <x:c r="G198" s="23" t="n">
        <x:f>ROUND(F198-F197,1)</x:f>
        <x:v>105</x:v>
      </x:c>
      <x:c r="H198" s="24" t="n">
        <x:f>IFERROR(F198/F197-1,"")</x:f>
        <x:v>0.0230162209557212</x:v>
      </x:c>
      <x:c r="I198" s="26" t="n">
        <x:f>ROUND(D198-E198,1)</x:f>
        <x:v>143.4</x:v>
      </x:c>
      <x:c r="J198" s="22" t="str">
        <x:v>IF2606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4665</x:v>
      </x:c>
      <x:c r="D199" s="23" t="n">
        <x:v>4763</x:v>
      </x:c>
      <x:c r="E199" s="23" t="n">
        <x:v>4656.8</x:v>
      </x:c>
      <x:c r="F199" s="23" t="n">
        <x:v>4713.6</x:v>
      </x:c>
      <x:c r="G199" s="23" t="n">
        <x:f>ROUND(F199-F198,1)</x:f>
        <x:v>46.6</x:v>
      </x:c>
      <x:c r="H199" s="24" t="n">
        <x:f>IFERROR(F199/F198-1,"")</x:f>
        <x:v>0.009985001071352029</x:v>
      </x:c>
      <x:c r="I199" s="26" t="n">
        <x:f>ROUND(D199-E199,1)</x:f>
        <x:v>106.2</x:v>
      </x:c>
      <x:c r="J199" s="22" t="str">
        <x:v>IF2606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4720</x:v>
      </x:c>
      <x:c r="D200" s="23" t="n">
        <x:v>4776.6</x:v>
      </x:c>
      <x:c r="E200" s="23" t="n">
        <x:v>4687.2</x:v>
      </x:c>
      <x:c r="F200" s="23" t="n">
        <x:v>4763.4</x:v>
      </x:c>
      <x:c r="G200" s="23" t="n">
        <x:f>ROUND(F200-F199,1)</x:f>
        <x:v>49.8</x:v>
      </x:c>
      <x:c r="H200" s="24" t="n">
        <x:f>IFERROR(F200/F199-1,"")</x:f>
        <x:v>0.010565173116089399</x:v>
      </x:c>
      <x:c r="I200" s="23" t="n">
        <x:f>ROUND(D200-E200,1)</x:f>
        <x:v>89.4</x:v>
      </x:c>
      <x:c r="J200" s="22" t="str">
        <x:v>IF2606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4808.2</x:v>
      </x:c>
      <x:c r="D201" s="23" t="n">
        <x:v>4869</x:v>
      </x:c>
      <x:c r="E201" s="23" t="n">
        <x:v>4797</x:v>
      </x:c>
      <x:c r="F201" s="23" t="n">
        <x:v>4836.8</x:v>
      </x:c>
      <x:c r="G201" s="23" t="n">
        <x:f>ROUND(F201-F200,1)</x:f>
        <x:v>73.4</x:v>
      </x:c>
      <x:c r="H201" s="24" t="n">
        <x:f>IFERROR(F201/F200-1,"")</x:f>
        <x:v>0.015409161523281867</x:v>
      </x:c>
      <x:c r="I201" s="23" t="n">
        <x:f>ROUND(D201-E201,1)</x:f>
        <x:v>72</x:v>
      </x:c>
      <x:c r="J201" s="22" t="str">
        <x:v>IF2606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4860</x:v>
      </x:c>
      <x:c r="D202" s="23" t="n">
        <x:v>4995</x:v>
      </x:c>
      <x:c r="E202" s="23" t="n">
        <x:v>4794</x:v>
      </x:c>
      <x:c r="F202" s="23" t="n">
        <x:v>4824</x:v>
      </x:c>
      <x:c r="G202" s="23" t="n">
        <x:f>ROUND(F202-F201,1)</x:f>
        <x:v>-12.8</x:v>
      </x:c>
      <x:c r="H202" s="24" t="n">
        <x:f>IFERROR(F202/F201-1,"")</x:f>
        <x:v>-0.0026463777704267555</x:v>
      </x:c>
      <x:c r="I202" s="26" t="n">
        <x:f>ROUND(D202-E202,1)</x:f>
        <x:v>201</x:v>
      </x:c>
      <x:c r="J202" s="22" t="str">
        <x:v>IF2606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4810</x:v>
      </x:c>
      <x:c r="D203" s="23" t="n">
        <x:v>4900.8</x:v>
      </x:c>
      <x:c r="E203" s="23" t="n">
        <x:v>4735</x:v>
      </x:c>
      <x:c r="F203" s="23" t="n">
        <x:v>4788.2</x:v>
      </x:c>
      <x:c r="G203" s="23" t="n">
        <x:f>ROUND(F203-F202,1)</x:f>
        <x:v>-35.8</x:v>
      </x:c>
      <x:c r="H203" s="24" t="n">
        <x:f>IFERROR(F203/F202-1,"")</x:f>
        <x:v>-0.007421227197346614</x:v>
      </x:c>
      <x:c r="I203" s="26" t="n">
        <x:f>ROUND(D203-E203,1)</x:f>
        <x:v>165.8</x:v>
      </x:c>
      <x:c r="J203" s="22" t="str">
        <x:v>IF2606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4817.8</x:v>
      </x:c>
      <x:c r="D204" s="23" t="n">
        <x:v>4928.4</x:v>
      </x:c>
      <x:c r="E204" s="23" t="n">
        <x:v>4793.2</x:v>
      </x:c>
      <x:c r="F204" s="23" t="n">
        <x:v>4847.8</x:v>
      </x:c>
      <x:c r="G204" s="23" t="n">
        <x:f>ROUND(F204-F203,1)</x:f>
        <x:v>59.6</x:v>
      </x:c>
      <x:c r="H204" s="24" t="n">
        <x:f>IFERROR(F204/F203-1,"")</x:f>
        <x:v>0.01244726619606551</x:v>
      </x:c>
      <x:c r="I204" s="26" t="n">
        <x:f>ROUND(D204-E204,1)</x:f>
        <x:v>135.2</x:v>
      </x:c>
      <x:c r="J204" s="22" t="str">
        <x:v>IF2606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4860</x:v>
      </x:c>
      <x:c r="D205" s="23" t="n">
        <x:v>4964.6</x:v>
      </x:c>
      <x:c r="E205" s="23" t="n">
        <x:v>4762.2</x:v>
      </x:c>
      <x:c r="F205" s="23" t="n">
        <x:v>4776.8</x:v>
      </x:c>
      <x:c r="G205" s="23" t="n">
        <x:f>ROUND(F205-F204,1)</x:f>
        <x:v>-71</x:v>
      </x:c>
      <x:c r="H205" s="24" t="n">
        <x:f>IFERROR(F205/F204-1,"")</x:f>
        <x:v>-0.014645818721894521</x:v>
      </x:c>
      <x:c r="I205" s="26" t="n">
        <x:f>ROUND(D205-E205,1)</x:f>
        <x:v>202.4</x:v>
      </x:c>
      <x:c r="J205" s="22" t="str">
        <x:v>IF2606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4700</x:v>
      </x:c>
      <x:c r="D206" s="23" t="n">
        <x:v>4793</x:v>
      </x:c>
      <x:c r="E206" s="23" t="n">
        <x:v>4640.2</x:v>
      </x:c>
      <x:c r="F206" s="23" t="n">
        <x:v>4769.8</x:v>
      </x:c>
      <x:c r="G206" s="23" t="n">
        <x:f>ROUND(F206-F205,1)</x:f>
        <x:v>-7</x:v>
      </x:c>
      <x:c r="H206" s="24" t="n">
        <x:f>IFERROR(F206/F205-1,"")</x:f>
        <x:v>-0.0014654161781946229</x:v>
      </x:c>
      <x:c r="I206" s="26" t="n">
        <x:f>ROUND(D206-E206,1)</x:f>
        <x:v>152.8</x:v>
      </x:c>
      <x:c r="J206" s="22" t="str">
        <x:v>IF2606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4819</x:v>
      </x:c>
      <x:c r="D207" s="23" t="n">
        <x:v>4971</x:v>
      </x:c>
      <x:c r="E207" s="23" t="n">
        <x:v>4804.8</x:v>
      </x:c>
      <x:c r="F207" s="23" t="n">
        <x:v>4960.6</x:v>
      </x:c>
      <x:c r="G207" s="28" t="n">
        <x:f>ROUND(F207-F206,1)</x:f>
        <x:v>190.8</x:v>
      </x:c>
      <x:c r="H207" s="24" t="n">
        <x:f>IFERROR(F207/F206-1,"")</x:f>
        <x:v>0.040001677219170695</x:v>
      </x:c>
      <x:c r="I207" s="26" t="n">
        <x:f>ROUND(D207-E207,1)</x:f>
        <x:v>166.2</x:v>
      </x:c>
      <x:c r="J207" s="22" t="str">
        <x:v>IF2606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4956</x:v>
      </x:c>
      <x:c r="D208" s="23" t="n">
        <x:v>5030.2</x:v>
      </x:c>
      <x:c r="E208" s="23" t="n">
        <x:v>4717</x:v>
      </x:c>
      <x:c r="F208" s="23" t="n">
        <x:v>4748.2</x:v>
      </x:c>
      <x:c r="G208" s="28" t="n">
        <x:f>ROUND(F208-F207,1)</x:f>
        <x:v>-212.4</x:v>
      </x:c>
      <x:c r="H208" s="24" t="n">
        <x:f>IFERROR(F208/F207-1,"")</x:f>
        <x:v>-0.04281740112083221</x:v>
      </x:c>
      <x:c r="I208" s="26" t="n">
        <x:f>ROUND(D208-E208,1)</x:f>
        <x:v>313.2</x:v>
      </x:c>
      <x:c r="J208" s="22" t="str">
        <x:v>IF2606/IF2609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4759.4</x:v>
      </x:c>
      <x:c r="D209" s="23" t="n">
        <x:v>4899.6</x:v>
      </x:c>
      <x:c r="E209" s="23" t="n">
        <x:v>4705</x:v>
      </x:c>
      <x:c r="F209" s="23" t="n">
        <x:v>4752.2</x:v>
      </x:c>
      <x:c r="G209" s="23" t="n">
        <x:f>ROUND(F209-F208,1)</x:f>
        <x:v>4</x:v>
      </x:c>
      <x:c r="H209" s="24" t="n">
        <x:f>IFERROR(F209/F208-1,"")</x:f>
        <x:v>0.0008424244977043305</x:v>
      </x:c>
      <x:c r="I209" s="26" t="n">
        <x:f>ROUND(D209-E209,1)</x:f>
        <x:v>194.6</x:v>
      </x:c>
      <x:c r="J209" s="22" t="str">
        <x:v>IF2609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4781</x:v>
      </x:c>
      <x:c r="D210" s="23" t="n">
        <x:v>4822.2</x:v>
      </x:c>
      <x:c r="E210" s="23" t="n">
        <x:v>4665.2</x:v>
      </x:c>
      <x:c r="F210" s="23" t="n">
        <x:v>4704.6</x:v>
      </x:c>
      <x:c r="G210" s="23" t="n">
        <x:f>ROUND(F210-F209,1)</x:f>
        <x:v>-47.6</x:v>
      </x:c>
      <x:c r="H210" s="24" t="n">
        <x:f>IFERROR(F210/F209-1,"")</x:f>
        <x:v>-0.010016413450612216</x:v>
      </x:c>
      <x:c r="I210" s="26" t="n">
        <x:f>ROUND(D210-E210,1)</x:f>
        <x:v>157</x:v>
      </x:c>
      <x:c r="J210" s="22" t="str">
        <x:v>IF2609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4691</x:v>
      </x:c>
      <x:c r="D211" s="23" t="n">
        <x:v>4739.4</x:v>
      </x:c>
      <x:c r="E211" s="23" t="n">
        <x:v>4441.4</x:v>
      </x:c>
      <x:c r="F211" s="23" t="n">
        <x:v>4473.8</x:v>
      </x:c>
      <x:c r="G211" s="28" t="n">
        <x:f>ROUND(F211-F210,1)</x:f>
        <x:v>-230.8</x:v>
      </x:c>
      <x:c r="H211" s="24" t="n">
        <x:f>IFERROR(F211/F210-1,"")</x:f>
        <x:v>-0.04905836840539046</x:v>
      </x:c>
      <x:c r="I211" s="26" t="n">
        <x:f>ROUND(D211-E211,1)</x:f>
        <x:v>298</x:v>
      </x:c>
      <x:c r="J211" s="22" t="str">
        <x:v>IF2609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4530</x:v>
      </x:c>
      <x:c r="D212" s="23" t="n">
        <x:v>4707.8</x:v>
      </x:c>
      <x:c r="E212" s="23" t="n">
        <x:v>4465</x:v>
      </x:c>
      <x:c r="F212" s="23" t="n">
        <x:v>4578.2</x:v>
      </x:c>
      <x:c r="G212" s="23" t="n">
        <x:f>ROUND(F212-F211,1)</x:f>
        <x:v>104.4</x:v>
      </x:c>
      <x:c r="H212" s="24" t="n">
        <x:f>IFERROR(F212/F211-1,"")</x:f>
        <x:v>0.023335866601099653</x:v>
      </x:c>
      <x:c r="I212" s="26" t="n">
        <x:f>ROUND(D212-E212,1)</x:f>
        <x:v>242.8</x:v>
      </x:c>
      <x:c r="J212" s="22" t="str">
        <x:v>IF2609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4589.4</x:v>
      </x:c>
      <x:c r="D213" s="23" t="n">
        <x:v>4652.2</x:v>
      </x:c>
      <x:c r="E213" s="23" t="n">
        <x:v>4420</x:v>
      </x:c>
      <x:c r="F213" s="23" t="n">
        <x:v>4538</x:v>
      </x:c>
      <x:c r="G213" s="23" t="n">
        <x:f>ROUND(F213-F212,1)</x:f>
        <x:v>-40.2</x:v>
      </x:c>
      <x:c r="H213" s="24" t="n">
        <x:f>IFERROR(F213/F212-1,"")</x:f>
        <x:v>-0.008780743523655543</x:v>
      </x:c>
      <x:c r="I213" s="26" t="n">
        <x:f>ROUND(D213-E213,1)</x:f>
        <x:v>232.2</x:v>
      </x:c>
      <x:c r="J213" s="22" t="str">
        <x:v>IF2609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4526.4</x:v>
      </x:c>
      <x:c r="D214" s="23" t="n">
        <x:v>4656.2</x:v>
      </x:c>
      <x:c r="E214" s="23" t="n">
        <x:v>4494.2</x:v>
      </x:c>
      <x:c r="F214" s="23" t="n">
        <x:v>4645.6</x:v>
      </x:c>
      <x:c r="G214" s="23" t="n">
        <x:f>ROUND(F214-F213,1)</x:f>
        <x:v>107.6</x:v>
      </x:c>
      <x:c r="H214" s="24" t="n">
        <x:f>IFERROR(F214/F213-1,"")</x:f>
        <x:v>0.02371088585279857</x:v>
      </x:c>
      <x:c r="I214" s="26" t="n">
        <x:f>ROUND(D214-E214,1)</x:f>
        <x:v>162</x:v>
      </x:c>
      <x:c r="J214" s="22" t="str">
        <x:v>IF2609</x:v>
      </x:c>
      <x:c r="K214" s="22" t="n">
        <x:v>5</x:v>
      </x:c>
    </x:row>
    <x:row r="215">
      <x:c r="A215" s="22" t="n">
        <x:v>31</x:v>
      </x:c>
      <x:c r="B215" s="22" t="str">
        <x:v>8月10日-8月13日</x:v>
      </x:c>
      <x:c r="C215" s="23" t="n">
        <x:v>4656.8</x:v>
      </x:c>
      <x:c r="D215" s="23" t="n">
        <x:v>4681</x:v>
      </x:c>
      <x:c r="E215" s="23" t="n">
        <x:v>4611</x:v>
      </x:c>
      <x:c r="F215" s="23" t="n">
        <x:v>4624</x:v>
      </x:c>
      <x:c r="G215" s="23" t="n">
        <x:f>ROUND(F215-F214,1)</x:f>
        <x:v>-21.6</x:v>
      </x:c>
      <x:c r="H215" s="24" t="n">
        <x:f>IFERROR(F215/F214-1,"")</x:f>
        <x:v>-0.004649560874806391</x:v>
      </x:c>
      <x:c r="I215" s="23" t="n">
        <x:f>ROUND(D215-E215,1)</x:f>
        <x:v>70</x:v>
      </x:c>
      <x:c r="J215" s="22" t="str">
        <x:v>IF2609</x:v>
      </x:c>
      <x:c r="K215" s="22" t="n">
        <x:v>4</x:v>
      </x:c>
    </x:row>
    <x:row r="216">
      <x:c r="A216" s="31" t="str">
        <x:v>合计</x:v>
      </x:c>
      <x:c r="B216" s="30" t="n">
        <x:v>31</x:v>
      </x:c>
      <x:c r="C216" s="30"/>
      <x:c r="D216" s="30"/>
      <x:c r="E216" s="30"/>
      <x:c r="F216" s="30"/>
      <x:c r="G216" s="30"/>
      <x:c r="H216" s="30"/>
      <x:c r="I216" s="32" t="n">
        <x:f>ROUND(SUM(I185:I215),1)</x:f>
        <x:v>5037.2</x:v>
      </x:c>
      <x:c r="J216" s="30"/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4" t="n">
        <x:f>ROUND(IFERROR(AVERAGE(I185:I215),0),1)</x:f>
        <x:v>162.5</x:v>
      </x:c>
      <x:c r="J217" s="30"/>
      <x:c r="K217" s="30"/>
    </x:row>
    <x:row r="219">
      <x:c r="A219" s="17" t="str">
        <x:v>IH主力</x:v>
      </x:c>
      <x:c r="B219" s="17"/>
      <x:c r="C219" s="17"/>
      <x:c r="D219" s="17"/>
      <x:c r="E219" s="17"/>
      <x:c r="F219" s="17"/>
      <x:c r="G219" s="17"/>
      <x:c r="H219" s="17"/>
      <x:c r="I219" s="17"/>
      <x:c r="J219" s="17"/>
      <x:c r="K219" s="17"/>
    </x:row>
    <x:row r="220">
      <x:c r="A220" s="20" t="str">
        <x:v>序号</x:v>
      </x:c>
      <x:c r="B220" s="20" t="str">
        <x:v>周期</x:v>
      </x:c>
      <x:c r="C220" s="20" t="str">
        <x:v>开盘</x:v>
      </x:c>
      <x:c r="D220" s="20" t="str">
        <x:v>高点</x:v>
      </x:c>
      <x:c r="E220" s="20" t="str">
        <x:v>低点</x:v>
      </x:c>
      <x:c r="F220" s="20" t="str">
        <x:v>收盘</x:v>
      </x:c>
      <x:c r="G220" s="20" t="str">
        <x:v>涨跌点数</x:v>
      </x:c>
      <x:c r="H220" s="20" t="str">
        <x:v>涨幅</x:v>
      </x:c>
      <x:c r="I220" s="20" t="str">
        <x:v>振幅</x:v>
      </x:c>
      <x:c r="J220" s="20" t="str">
        <x:v>标的</x:v>
      </x:c>
      <x:c r="K220" s="20" t="str">
        <x:v>交易日</x:v>
      </x:c>
    </x:row>
    <x:row r="221">
      <x:c r="A221" s="22" t="n">
        <x:v>1</x:v>
      </x:c>
      <x:c r="B221" s="22" t="str">
        <x:v>1月5日-1月9日</x:v>
      </x:c>
      <x:c r="C221" s="23" t="n">
        <x:v>3040.8</x:v>
      </x:c>
      <x:c r="D221" s="23" t="n">
        <x:v>3165.6</x:v>
      </x:c>
      <x:c r="E221" s="23" t="n">
        <x:v>3040.8</x:v>
      </x:c>
      <x:c r="F221" s="23" t="n">
        <x:v>3134.8</x:v>
      </x:c>
      <x:c r="G221" s="23"/>
      <x:c r="H221" s="24"/>
      <x:c r="I221" s="26" t="n">
        <x:f>ROUND(D221-E221,1)</x:f>
        <x:v>124.8</x:v>
      </x:c>
      <x:c r="J221" s="22" t="str">
        <x:v>IH2603</x:v>
      </x:c>
      <x:c r="K221" s="22" t="n">
        <x:v>5</x:v>
      </x:c>
    </x:row>
    <x:row r="222">
      <x:c r="A222" s="22" t="n">
        <x:v>2</x:v>
      </x:c>
      <x:c r="B222" s="22" t="str">
        <x:v>1月12日-1月16日</x:v>
      </x:c>
      <x:c r="C222" s="23" t="n">
        <x:v>3148.4</x:v>
      </x:c>
      <x:c r="D222" s="23" t="n">
        <x:v>3181.2</x:v>
      </x:c>
      <x:c r="E222" s="23" t="n">
        <x:v>3074.4</x:v>
      </x:c>
      <x:c r="F222" s="23" t="n">
        <x:v>3084.4</x:v>
      </x:c>
      <x:c r="G222" s="23" t="n">
        <x:f>ROUND(F222-F221,1)</x:f>
        <x:v>-50.4</x:v>
      </x:c>
      <x:c r="H222" s="24" t="n">
        <x:f>IFERROR(F222/F221-1,"")</x:f>
        <x:v>-0.016077580706903127</x:v>
      </x:c>
      <x:c r="I222" s="26" t="n">
        <x:f>ROUND(D222-E222,1)</x:f>
        <x:v>106.8</x:v>
      </x:c>
      <x:c r="J222" s="22" t="str">
        <x:v>IH2603</x:v>
      </x:c>
      <x:c r="K222" s="22" t="n">
        <x:v>5</x:v>
      </x:c>
    </x:row>
    <x:row r="223">
      <x:c r="A223" s="22" t="n">
        <x:v>3</x:v>
      </x:c>
      <x:c r="B223" s="22" t="str">
        <x:v>1月19日-1月23日</x:v>
      </x:c>
      <x:c r="C223" s="23" t="n">
        <x:v>3081.2</x:v>
      </x:c>
      <x:c r="D223" s="23" t="n">
        <x:v>3102.6</x:v>
      </x:c>
      <x:c r="E223" s="23" t="n">
        <x:v>3036.2</x:v>
      </x:c>
      <x:c r="F223" s="23" t="n">
        <x:v>3037.8</x:v>
      </x:c>
      <x:c r="G223" s="23" t="n">
        <x:f>ROUND(F223-F222,1)</x:f>
        <x:v>-46.6</x:v>
      </x:c>
      <x:c r="H223" s="24" t="n">
        <x:f>IFERROR(F223/F222-1,"")</x:f>
        <x:v>-0.015108286862923093</x:v>
      </x:c>
      <x:c r="I223" s="26" t="n">
        <x:f>ROUND(D223-E223,1)</x:f>
        <x:v>66.4</x:v>
      </x:c>
      <x:c r="J223" s="22" t="str">
        <x:v>IH2603</x:v>
      </x:c>
      <x:c r="K223" s="22" t="n">
        <x:v>5</x:v>
      </x:c>
    </x:row>
    <x:row r="224">
      <x:c r="A224" s="22" t="n">
        <x:v>4</x:v>
      </x:c>
      <x:c r="B224" s="22" t="str">
        <x:v>1月26日-1月30日</x:v>
      </x:c>
      <x:c r="C224" s="23" t="n">
        <x:v>3049.8</x:v>
      </x:c>
      <x:c r="D224" s="23" t="n">
        <x:v>3136.6</x:v>
      </x:c>
      <x:c r="E224" s="23" t="n">
        <x:v>3044</x:v>
      </x:c>
      <x:c r="F224" s="23" t="n">
        <x:v>3074</x:v>
      </x:c>
      <x:c r="G224" s="23" t="n">
        <x:f>ROUND(F224-F223,1)</x:f>
        <x:v>36.2</x:v>
      </x:c>
      <x:c r="H224" s="24" t="n">
        <x:f>IFERROR(F224/F223-1,"")</x:f>
        <x:v>0.011916518533148901</x:v>
      </x:c>
      <x:c r="I224" s="26" t="n">
        <x:f>ROUND(D224-E224,1)</x:f>
        <x:v>92.6</x:v>
      </x:c>
      <x:c r="J224" s="22" t="str">
        <x:v>IH2603</x:v>
      </x:c>
      <x:c r="K224" s="22" t="n">
        <x:v>5</x:v>
      </x:c>
    </x:row>
    <x:row r="225">
      <x:c r="A225" s="22" t="n">
        <x:v>5</x:v>
      </x:c>
      <x:c r="B225" s="22" t="str">
        <x:v>2月2日-2月6日</x:v>
      </x:c>
      <x:c r="C225" s="23" t="n">
        <x:v>3039.4</x:v>
      </x:c>
      <x:c r="D225" s="23" t="n">
        <x:v>3081</x:v>
      </x:c>
      <x:c r="E225" s="23" t="n">
        <x:v>2984</x:v>
      </x:c>
      <x:c r="F225" s="23" t="n">
        <x:v>3036.2</x:v>
      </x:c>
      <x:c r="G225" s="23" t="n">
        <x:f>ROUND(F225-F224,1)</x:f>
        <x:v>-37.8</x:v>
      </x:c>
      <x:c r="H225" s="24" t="n">
        <x:f>IFERROR(F225/F224-1,"")</x:f>
        <x:v>-0.012296681847755453</x:v>
      </x:c>
      <x:c r="I225" s="26" t="n">
        <x:f>ROUND(D225-E225,1)</x:f>
        <x:v>97</x:v>
      </x:c>
      <x:c r="J225" s="22" t="str">
        <x:v>IH2603</x:v>
      </x:c>
      <x:c r="K225" s="22" t="n">
        <x:v>5</x:v>
      </x:c>
    </x:row>
    <x:row r="226">
      <x:c r="A226" s="22" t="n">
        <x:v>6</x:v>
      </x:c>
      <x:c r="B226" s="22" t="str">
        <x:v>2月9日-2月13日</x:v>
      </x:c>
      <x:c r="C226" s="23" t="n">
        <x:v>3060.6</x:v>
      </x:c>
      <x:c r="D226" s="23" t="n">
        <x:v>3098</x:v>
      </x:c>
      <x:c r="E226" s="23" t="n">
        <x:v>3020</x:v>
      </x:c>
      <x:c r="F226" s="23" t="n">
        <x:v>3020</x:v>
      </x:c>
      <x:c r="G226" s="23" t="n">
        <x:f>ROUND(F226-F225,1)</x:f>
        <x:v>-16.2</x:v>
      </x:c>
      <x:c r="H226" s="24" t="n">
        <x:f>IFERROR(F226/F225-1,"")</x:f>
        <x:v>-0.005335616889532879</x:v>
      </x:c>
      <x:c r="I226" s="26" t="n">
        <x:f>ROUND(D226-E226,1)</x:f>
        <x:v>78</x:v>
      </x:c>
      <x:c r="J226" s="22" t="str">
        <x:v>IH2603</x:v>
      </x:c>
      <x:c r="K226" s="22" t="n">
        <x:v>5</x:v>
      </x:c>
    </x:row>
    <x:row r="227">
      <x:c r="A227" s="22" t="n">
        <x:v>7</x:v>
      </x:c>
      <x:c r="B227" s="22" t="str">
        <x:v>2月24日-2月27日</x:v>
      </x:c>
      <x:c r="C227" s="23" t="n">
        <x:v>3049.2</x:v>
      </x:c>
      <x:c r="D227" s="23" t="n">
        <x:v>3086.4</x:v>
      </x:c>
      <x:c r="E227" s="23" t="n">
        <x:v>3022</x:v>
      </x:c>
      <x:c r="F227" s="23" t="n">
        <x:v>3045.4</x:v>
      </x:c>
      <x:c r="G227" s="23" t="n">
        <x:f>ROUND(F227-F226,1)</x:f>
        <x:v>25.4</x:v>
      </x:c>
      <x:c r="H227" s="24" t="n">
        <x:f>IFERROR(F227/F226-1,"")</x:f>
        <x:v>0.008410596026490191</x:v>
      </x:c>
      <x:c r="I227" s="26" t="n">
        <x:f>ROUND(D227-E227,1)</x:f>
        <x:v>64.4</x:v>
      </x:c>
      <x:c r="J227" s="22" t="str">
        <x:v>IH2603</x:v>
      </x:c>
      <x:c r="K227" s="22" t="n">
        <x:v>4</x:v>
      </x:c>
    </x:row>
    <x:row r="228">
      <x:c r="A228" s="22" t="n">
        <x:v>8</x:v>
      </x:c>
      <x:c r="B228" s="22" t="str">
        <x:v>3月2日-3月6日</x:v>
      </x:c>
      <x:c r="C228" s="23" t="n">
        <x:v>3038</x:v>
      </x:c>
      <x:c r="D228" s="23" t="n">
        <x:v>3056</x:v>
      </x:c>
      <x:c r="E228" s="23" t="n">
        <x:v>2950</x:v>
      </x:c>
      <x:c r="F228" s="23" t="n">
        <x:v>2990</x:v>
      </x:c>
      <x:c r="G228" s="23" t="n">
        <x:f>ROUND(F228-F227,1)</x:f>
        <x:v>-55.4</x:v>
      </x:c>
      <x:c r="H228" s="24" t="n">
        <x:f>IFERROR(F228/F227-1,"")</x:f>
        <x:v>-0.018191370591712164</x:v>
      </x:c>
      <x:c r="I228" s="26" t="n">
        <x:f>ROUND(D228-E228,1)</x:f>
        <x:v>106</x:v>
      </x:c>
      <x:c r="J228" s="22" t="str">
        <x:v>IH2603</x:v>
      </x:c>
      <x:c r="K228" s="22" t="n">
        <x:v>5</x:v>
      </x:c>
    </x:row>
    <x:row r="229">
      <x:c r="A229" s="22" t="n">
        <x:v>9</x:v>
      </x:c>
      <x:c r="B229" s="22" t="str">
        <x:v>3月9日-3月13日</x:v>
      </x:c>
      <x:c r="C229" s="23" t="n">
        <x:v>2965.4</x:v>
      </x:c>
      <x:c r="D229" s="23" t="n">
        <x:v>2989</x:v>
      </x:c>
      <x:c r="E229" s="23" t="n">
        <x:v>2912.6</x:v>
      </x:c>
      <x:c r="F229" s="23" t="n">
        <x:v>2957</x:v>
      </x:c>
      <x:c r="G229" s="23" t="n">
        <x:f>ROUND(F229-F228,1)</x:f>
        <x:v>-33</x:v>
      </x:c>
      <x:c r="H229" s="24" t="n">
        <x:f>IFERROR(F229/F228-1,"")</x:f>
        <x:v>-0.011036789297658833</x:v>
      </x:c>
      <x:c r="I229" s="26" t="n">
        <x:f>ROUND(D229-E229,1)</x:f>
        <x:v>76.4</x:v>
      </x:c>
      <x:c r="J229" s="22" t="str">
        <x:v>IH2603</x:v>
      </x:c>
      <x:c r="K229" s="22" t="n">
        <x:v>5</x:v>
      </x:c>
    </x:row>
    <x:row r="230">
      <x:c r="A230" s="22" t="n">
        <x:v>10</x:v>
      </x:c>
      <x:c r="B230" s="22" t="str">
        <x:v>3月16日-3月20日</x:v>
      </x:c>
      <x:c r="C230" s="23" t="n">
        <x:v>2953</x:v>
      </x:c>
      <x:c r="D230" s="23" t="n">
        <x:v>2996.6</x:v>
      </x:c>
      <x:c r="E230" s="23" t="n">
        <x:v>2896</x:v>
      </x:c>
      <x:c r="F230" s="23" t="n">
        <x:v>2898.4</x:v>
      </x:c>
      <x:c r="G230" s="23" t="n">
        <x:f>ROUND(F230-F229,1)</x:f>
        <x:v>-58.6</x:v>
      </x:c>
      <x:c r="H230" s="24" t="n">
        <x:f>IFERROR(F230/F229-1,"")</x:f>
        <x:v>-0.019817382482245516</x:v>
      </x:c>
      <x:c r="I230" s="26" t="n">
        <x:f>ROUND(D230-E230,1)</x:f>
        <x:v>100.6</x:v>
      </x:c>
      <x:c r="J230" s="22" t="str">
        <x:v>IH2603</x:v>
      </x:c>
      <x:c r="K230" s="22" t="n">
        <x:v>5</x:v>
      </x:c>
    </x:row>
    <x:row r="231">
      <x:c r="A231" s="22" t="n">
        <x:v>11</x:v>
      </x:c>
      <x:c r="B231" s="22" t="str">
        <x:v>3月23日-3月27日</x:v>
      </x:c>
      <x:c r="C231" s="23" t="n">
        <x:v>2830</x:v>
      </x:c>
      <x:c r="D231" s="23" t="n">
        <x:v>2847.6</x:v>
      </x:c>
      <x:c r="E231" s="23" t="n">
        <x:v>2750.8</x:v>
      </x:c>
      <x:c r="F231" s="23" t="n">
        <x:v>2814.4</x:v>
      </x:c>
      <x:c r="G231" s="23" t="n">
        <x:f>ROUND(F231-F230,1)</x:f>
        <x:v>-84</x:v>
      </x:c>
      <x:c r="H231" s="24" t="n">
        <x:f>IFERROR(F231/F230-1,"")</x:f>
        <x:v>-0.028981507038365995</x:v>
      </x:c>
      <x:c r="I231" s="26" t="n">
        <x:f>ROUND(D231-E231,1)</x:f>
        <x:v>96.8</x:v>
      </x:c>
      <x:c r="J231" s="22" t="str">
        <x:v>IH2606</x:v>
      </x:c>
      <x:c r="K231" s="22" t="n">
        <x:v>5</x:v>
      </x:c>
    </x:row>
    <x:row r="232">
      <x:c r="A232" s="22" t="n">
        <x:v>12</x:v>
      </x:c>
      <x:c r="B232" s="22" t="str">
        <x:v>3月30日-4月3日</x:v>
      </x:c>
      <x:c r="C232" s="23" t="n">
        <x:v>2794.8</x:v>
      </x:c>
      <x:c r="D232" s="23" t="n">
        <x:v>2865.4</x:v>
      </x:c>
      <x:c r="E232" s="23" t="n">
        <x:v>2780.4</x:v>
      </x:c>
      <x:c r="F232" s="23" t="n">
        <x:v>2804.4</x:v>
      </x:c>
      <x:c r="G232" s="23" t="n">
        <x:f>ROUND(F232-F231,1)</x:f>
        <x:v>-10</x:v>
      </x:c>
      <x:c r="H232" s="24" t="n">
        <x:f>IFERROR(F232/F231-1,"")</x:f>
        <x:v>-0.0035531552018192025</x:v>
      </x:c>
      <x:c r="I232" s="26" t="n">
        <x:f>ROUND(D232-E232,1)</x:f>
        <x:v>85</x:v>
      </x:c>
      <x:c r="J232" s="22" t="str">
        <x:v>IH2606</x:v>
      </x:c>
      <x:c r="K232" s="22" t="n">
        <x:v>5</x:v>
      </x:c>
    </x:row>
    <x:row r="233">
      <x:c r="A233" s="22" t="n">
        <x:v>13</x:v>
      </x:c>
      <x:c r="B233" s="22" t="str">
        <x:v>4月7日-4月10日</x:v>
      </x:c>
      <x:c r="C233" s="23" t="n">
        <x:v>2810.4</x:v>
      </x:c>
      <x:c r="D233" s="23" t="n">
        <x:v>2896</x:v>
      </x:c>
      <x:c r="E233" s="23" t="n">
        <x:v>2797.2</x:v>
      </x:c>
      <x:c r="F233" s="23" t="n">
        <x:v>2873.2</x:v>
      </x:c>
      <x:c r="G233" s="23" t="n">
        <x:f>ROUND(F233-F232,1)</x:f>
        <x:v>68.8</x:v>
      </x:c>
      <x:c r="H233" s="24" t="n">
        <x:f>IFERROR(F233/F232-1,"")</x:f>
        <x:v>0.02453287690771644</x:v>
      </x:c>
      <x:c r="I233" s="26" t="n">
        <x:f>ROUND(D233-E233,1)</x:f>
        <x:v>98.8</x:v>
      </x:c>
      <x:c r="J233" s="22" t="str">
        <x:v>IH2606</x:v>
      </x:c>
      <x:c r="K233" s="22" t="n">
        <x:v>4</x:v>
      </x:c>
    </x:row>
    <x:row r="234">
      <x:c r="A234" s="22" t="n">
        <x:v>14</x:v>
      </x:c>
      <x:c r="B234" s="22" t="str">
        <x:v>4月13日-4月17日</x:v>
      </x:c>
      <x:c r="C234" s="23" t="n">
        <x:v>2864.6</x:v>
      </x:c>
      <x:c r="D234" s="23" t="n">
        <x:v>2930.8</x:v>
      </x:c>
      <x:c r="E234" s="23" t="n">
        <x:v>2860</x:v>
      </x:c>
      <x:c r="F234" s="23" t="n">
        <x:v>2888</x:v>
      </x:c>
      <x:c r="G234" s="23" t="n">
        <x:f>ROUND(F234-F233,1)</x:f>
        <x:v>14.8</x:v>
      </x:c>
      <x:c r="H234" s="24" t="n">
        <x:f>IFERROR(F234/F233-1,"")</x:f>
        <x:v>0.005151051092858294</x:v>
      </x:c>
      <x:c r="I234" s="26" t="n">
        <x:f>ROUND(D234-E234,1)</x:f>
        <x:v>70.8</x:v>
      </x:c>
      <x:c r="J234" s="22" t="str">
        <x:v>IH2606</x:v>
      </x:c>
      <x:c r="K234" s="22" t="n">
        <x:v>5</x:v>
      </x:c>
    </x:row>
    <x:row r="235">
      <x:c r="A235" s="22" t="n">
        <x:v>15</x:v>
      </x:c>
      <x:c r="B235" s="22" t="str">
        <x:v>4月20日-4月24日</x:v>
      </x:c>
      <x:c r="C235" s="23" t="n">
        <x:v>2900.8</x:v>
      </x:c>
      <x:c r="D235" s="23" t="n">
        <x:v>2934.2</x:v>
      </x:c>
      <x:c r="E235" s="23" t="n">
        <x:v>2891</x:v>
      </x:c>
      <x:c r="F235" s="23" t="n">
        <x:v>2929</x:v>
      </x:c>
      <x:c r="G235" s="23" t="n">
        <x:f>ROUND(F235-F234,1)</x:f>
        <x:v>41</x:v>
      </x:c>
      <x:c r="H235" s="24" t="n">
        <x:f>IFERROR(F235/F234-1,"")</x:f>
        <x:v>0.014196675900276956</x:v>
      </x:c>
      <x:c r="I235" s="23" t="n">
        <x:f>ROUND(D235-E235,1)</x:f>
        <x:v>43.2</x:v>
      </x:c>
      <x:c r="J235" s="22" t="str">
        <x:v>IH2606</x:v>
      </x:c>
      <x:c r="K235" s="22" t="n">
        <x:v>5</x:v>
      </x:c>
    </x:row>
    <x:row r="236">
      <x:c r="A236" s="22" t="n">
        <x:v>16</x:v>
      </x:c>
      <x:c r="B236" s="22" t="str">
        <x:v>4月27日-4月30日</x:v>
      </x:c>
      <x:c r="C236" s="23" t="n">
        <x:v>2929.2</x:v>
      </x:c>
      <x:c r="D236" s="23" t="n">
        <x:v>2970</x:v>
      </x:c>
      <x:c r="E236" s="23" t="n">
        <x:v>2917</x:v>
      </x:c>
      <x:c r="F236" s="23" t="n">
        <x:v>2968.8</x:v>
      </x:c>
      <x:c r="G236" s="23" t="n">
        <x:f>ROUND(F236-F235,1)</x:f>
        <x:v>39.8</x:v>
      </x:c>
      <x:c r="H236" s="24" t="n">
        <x:f>IFERROR(F236/F235-1,"")</x:f>
        <x:v>0.013588255377261937</x:v>
      </x:c>
      <x:c r="I236" s="23" t="n">
        <x:f>ROUND(D236-E236,1)</x:f>
        <x:v>53</x:v>
      </x:c>
      <x:c r="J236" s="22" t="str">
        <x:v>IH2606</x:v>
      </x:c>
      <x:c r="K236" s="22" t="n">
        <x:v>4</x:v>
      </x:c>
    </x:row>
    <x:row r="237">
      <x:c r="A237" s="22" t="n">
        <x:v>17</x:v>
      </x:c>
      <x:c r="B237" s="22" t="str">
        <x:v>5月6日-5月8日</x:v>
      </x:c>
      <x:c r="C237" s="23" t="n">
        <x:v>2995.2</x:v>
      </x:c>
      <x:c r="D237" s="23" t="n">
        <x:v>3024.8</x:v>
      </x:c>
      <x:c r="E237" s="23" t="n">
        <x:v>2969.2</x:v>
      </x:c>
      <x:c r="F237" s="23" t="n">
        <x:v>2981.6</x:v>
      </x:c>
      <x:c r="G237" s="23" t="n">
        <x:f>ROUND(F237-F236,1)</x:f>
        <x:v>12.8</x:v>
      </x:c>
      <x:c r="H237" s="24" t="n">
        <x:f>IFERROR(F237/F236-1,"")</x:f>
        <x:v>0.0043115063325247505</x:v>
      </x:c>
      <x:c r="I237" s="23" t="n">
        <x:f>ROUND(D237-E237,1)</x:f>
        <x:v>55.6</x:v>
      </x:c>
      <x:c r="J237" s="22" t="str">
        <x:v>IH2606</x:v>
      </x:c>
      <x:c r="K237" s="22" t="n">
        <x:v>3</x:v>
      </x:c>
    </x:row>
    <x:row r="238">
      <x:c r="A238" s="22" t="n">
        <x:v>18</x:v>
      </x:c>
      <x:c r="B238" s="22" t="str">
        <x:v>5月11日-5月15日</x:v>
      </x:c>
      <x:c r="C238" s="23" t="n">
        <x:v>2997.6</x:v>
      </x:c>
      <x:c r="D238" s="23" t="n">
        <x:v>3041.8</x:v>
      </x:c>
      <x:c r="E238" s="23" t="n">
        <x:v>2927</x:v>
      </x:c>
      <x:c r="F238" s="23" t="n">
        <x:v>2945</x:v>
      </x:c>
      <x:c r="G238" s="23" t="n">
        <x:f>ROUND(F238-F237,1)</x:f>
        <x:v>-36.6</x:v>
      </x:c>
      <x:c r="H238" s="24" t="n">
        <x:f>IFERROR(F238/F237-1,"")</x:f>
        <x:v>-0.012275288435739218</x:v>
      </x:c>
      <x:c r="I238" s="26" t="n">
        <x:f>ROUND(D238-E238,1)</x:f>
        <x:v>114.8</x:v>
      </x:c>
      <x:c r="J238" s="22" t="str">
        <x:v>IH2606</x:v>
      </x:c>
      <x:c r="K238" s="22" t="n">
        <x:v>5</x:v>
      </x:c>
    </x:row>
    <x:row r="239">
      <x:c r="A239" s="22" t="n">
        <x:v>19</x:v>
      </x:c>
      <x:c r="B239" s="22" t="str">
        <x:v>5月18日-5月22日</x:v>
      </x:c>
      <x:c r="C239" s="23" t="n">
        <x:v>2936</x:v>
      </x:c>
      <x:c r="D239" s="23" t="n">
        <x:v>2981.8</x:v>
      </x:c>
      <x:c r="E239" s="23" t="n">
        <x:v>2893.2</x:v>
      </x:c>
      <x:c r="F239" s="23" t="n">
        <x:v>2899.2</x:v>
      </x:c>
      <x:c r="G239" s="23" t="n">
        <x:f>ROUND(F239-F238,1)</x:f>
        <x:v>-45.8</x:v>
      </x:c>
      <x:c r="H239" s="24" t="n">
        <x:f>IFERROR(F239/F238-1,"")</x:f>
        <x:v>-0.015551782682512783</x:v>
      </x:c>
      <x:c r="I239" s="26" t="n">
        <x:f>ROUND(D239-E239,1)</x:f>
        <x:v>88.6</x:v>
      </x:c>
      <x:c r="J239" s="22" t="str">
        <x:v>IH2606</x:v>
      </x:c>
      <x:c r="K239" s="22" t="n">
        <x:v>5</x:v>
      </x:c>
    </x:row>
    <x:row r="240">
      <x:c r="A240" s="22" t="n">
        <x:v>20</x:v>
      </x:c>
      <x:c r="B240" s="22" t="str">
        <x:v>5月25日-5月29日</x:v>
      </x:c>
      <x:c r="C240" s="23" t="n">
        <x:v>2910.8</x:v>
      </x:c>
      <x:c r="D240" s="23" t="n">
        <x:v>2960</x:v>
      </x:c>
      <x:c r="E240" s="23" t="n">
        <x:v>2871</x:v>
      </x:c>
      <x:c r="F240" s="23" t="n">
        <x:v>2900.6</x:v>
      </x:c>
      <x:c r="G240" s="23" t="n">
        <x:f>ROUND(F240-F239,1)</x:f>
        <x:v>1.4</x:v>
      </x:c>
      <x:c r="H240" s="24" t="n">
        <x:f>IFERROR(F240/F239-1,"")</x:f>
        <x:v>0.0004828918322297149</x:v>
      </x:c>
      <x:c r="I240" s="26" t="n">
        <x:f>ROUND(D240-E240,1)</x:f>
        <x:v>89</x:v>
      </x:c>
      <x:c r="J240" s="22" t="str">
        <x:v>IH2606</x:v>
      </x:c>
      <x:c r="K240" s="22" t="n">
        <x:v>5</x:v>
      </x:c>
    </x:row>
    <x:row r="241">
      <x:c r="A241" s="22" t="n">
        <x:v>21</x:v>
      </x:c>
      <x:c r="B241" s="22" t="str">
        <x:v>6月1日-6月5日</x:v>
      </x:c>
      <x:c r="C241" s="23" t="n">
        <x:v>2901</x:v>
      </x:c>
      <x:c r="D241" s="23" t="n">
        <x:v>2924.2</x:v>
      </x:c>
      <x:c r="E241" s="23" t="n">
        <x:v>2841.6</x:v>
      </x:c>
      <x:c r="F241" s="23" t="n">
        <x:v>2844</x:v>
      </x:c>
      <x:c r="G241" s="23" t="n">
        <x:f>ROUND(F241-F240,1)</x:f>
        <x:v>-56.6</x:v>
      </x:c>
      <x:c r="H241" s="24" t="n">
        <x:f>IFERROR(F241/F240-1,"")</x:f>
        <x:v>-0.019513204164655518</x:v>
      </x:c>
      <x:c r="I241" s="26" t="n">
        <x:f>ROUND(D241-E241,1)</x:f>
        <x:v>82.6</x:v>
      </x:c>
      <x:c r="J241" s="22" t="str">
        <x:v>IH2606</x:v>
      </x:c>
      <x:c r="K241" s="22" t="n">
        <x:v>5</x:v>
      </x:c>
    </x:row>
    <x:row r="242">
      <x:c r="A242" s="22" t="n">
        <x:v>22</x:v>
      </x:c>
      <x:c r="B242" s="22" t="str">
        <x:v>6月8日-6月12日</x:v>
      </x:c>
      <x:c r="C242" s="23" t="n">
        <x:v>2808.4</x:v>
      </x:c>
      <x:c r="D242" s="23" t="n">
        <x:v>2902.6</x:v>
      </x:c>
      <x:c r="E242" s="23" t="n">
        <x:v>2791.2</x:v>
      </x:c>
      <x:c r="F242" s="23" t="n">
        <x:v>2897.2</x:v>
      </x:c>
      <x:c r="G242" s="23" t="n">
        <x:f>ROUND(F242-F241,1)</x:f>
        <x:v>53.2</x:v>
      </x:c>
      <x:c r="H242" s="24" t="n">
        <x:f>IFERROR(F242/F241-1,"")</x:f>
        <x:v>0.01870604781997187</x:v>
      </x:c>
      <x:c r="I242" s="26" t="n">
        <x:f>ROUND(D242-E242,1)</x:f>
        <x:v>111.4</x:v>
      </x:c>
      <x:c r="J242" s="22" t="str">
        <x:v>IH2606</x:v>
      </x:c>
      <x:c r="K242" s="22" t="n">
        <x:v>5</x:v>
      </x:c>
    </x:row>
    <x:row r="243">
      <x:c r="A243" s="22" t="n">
        <x:v>23</x:v>
      </x:c>
      <x:c r="B243" s="22" t="str">
        <x:v>6月15日-6月18日</x:v>
      </x:c>
      <x:c r="C243" s="23" t="n">
        <x:v>2926.2</x:v>
      </x:c>
      <x:c r="D243" s="23" t="n">
        <x:v>2954.6</x:v>
      </x:c>
      <x:c r="E243" s="23" t="n">
        <x:v>2903.4</x:v>
      </x:c>
      <x:c r="F243" s="23" t="n">
        <x:v>2941</x:v>
      </x:c>
      <x:c r="G243" s="23" t="n">
        <x:f>ROUND(F243-F242,1)</x:f>
        <x:v>43.8</x:v>
      </x:c>
      <x:c r="H243" s="24" t="n">
        <x:f>IFERROR(F243/F242-1,"")</x:f>
        <x:v>0.01511804500897429</x:v>
      </x:c>
      <x:c r="I243" s="23" t="n">
        <x:f>ROUND(D243-E243,1)</x:f>
        <x:v>51.2</x:v>
      </x:c>
      <x:c r="J243" s="22" t="str">
        <x:v>IH2606</x:v>
      </x:c>
      <x:c r="K243" s="22" t="n">
        <x:v>4</x:v>
      </x:c>
    </x:row>
    <x:row r="244">
      <x:c r="A244" s="22" t="n">
        <x:v>24</x:v>
      </x:c>
      <x:c r="B244" s="22" t="str">
        <x:v>6月22日-6月26日</x:v>
      </x:c>
      <x:c r="C244" s="23" t="n">
        <x:v>2936</x:v>
      </x:c>
      <x:c r="D244" s="23" t="n">
        <x:v>2996</x:v>
      </x:c>
      <x:c r="E244" s="23" t="n">
        <x:v>2834.8</x:v>
      </x:c>
      <x:c r="F244" s="23" t="n">
        <x:v>2859</x:v>
      </x:c>
      <x:c r="G244" s="23" t="n">
        <x:f>ROUND(F244-F243,1)</x:f>
        <x:v>-82</x:v>
      </x:c>
      <x:c r="H244" s="24" t="n">
        <x:f>IFERROR(F244/F243-1,"")</x:f>
        <x:v>-0.02788167290037402</x:v>
      </x:c>
      <x:c r="I244" s="26" t="n">
        <x:f>ROUND(D244-E244,1)</x:f>
        <x:v>161.2</x:v>
      </x:c>
      <x:c r="J244" s="22" t="str">
        <x:v>IH2606/IH2609</x:v>
      </x:c>
      <x:c r="K244" s="22" t="n">
        <x:v>5</x:v>
      </x:c>
    </x:row>
    <x:row r="245">
      <x:c r="A245" s="22" t="n">
        <x:v>25</x:v>
      </x:c>
      <x:c r="B245" s="22" t="str">
        <x:v>6月29日-7月3日</x:v>
      </x:c>
      <x:c r="C245" s="23" t="n">
        <x:v>2870</x:v>
      </x:c>
      <x:c r="D245" s="23" t="n">
        <x:v>2976</x:v>
      </x:c>
      <x:c r="E245" s="23" t="n">
        <x:v>2861.8</x:v>
      </x:c>
      <x:c r="F245" s="23" t="n">
        <x:v>2886.6</x:v>
      </x:c>
      <x:c r="G245" s="23" t="n">
        <x:f>ROUND(F245-F244,1)</x:f>
        <x:v>27.6</x:v>
      </x:c>
      <x:c r="H245" s="24" t="n">
        <x:f>IFERROR(F245/F244-1,"")</x:f>
        <x:v>0.009653725078698772</x:v>
      </x:c>
      <x:c r="I245" s="26" t="n">
        <x:f>ROUND(D245-E245,1)</x:f>
        <x:v>114.2</x:v>
      </x:c>
      <x:c r="J245" s="22" t="str">
        <x:v>IH2609</x:v>
      </x:c>
      <x:c r="K245" s="22" t="n">
        <x:v>5</x:v>
      </x:c>
    </x:row>
    <x:row r="246">
      <x:c r="A246" s="22" t="n">
        <x:v>26</x:v>
      </x:c>
      <x:c r="B246" s="22" t="str">
        <x:v>7月6日-7月10日</x:v>
      </x:c>
      <x:c r="C246" s="23" t="n">
        <x:v>2899</x:v>
      </x:c>
      <x:c r="D246" s="23" t="n">
        <x:v>2983.8</x:v>
      </x:c>
      <x:c r="E246" s="23" t="n">
        <x:v>2862.4</x:v>
      </x:c>
      <x:c r="F246" s="23" t="n">
        <x:v>2910.2</x:v>
      </x:c>
      <x:c r="G246" s="23" t="n">
        <x:f>ROUND(F246-F245,1)</x:f>
        <x:v>23.6</x:v>
      </x:c>
      <x:c r="H246" s="24" t="n">
        <x:f>IFERROR(F246/F245-1,"")</x:f>
        <x:v>0.008175708445922414</x:v>
      </x:c>
      <x:c r="I246" s="26" t="n">
        <x:f>ROUND(D246-E246,1)</x:f>
        <x:v>121.4</x:v>
      </x:c>
      <x:c r="J246" s="22" t="str">
        <x:v>IH2609</x:v>
      </x:c>
      <x:c r="K246" s="22" t="n">
        <x:v>5</x:v>
      </x:c>
    </x:row>
    <x:row r="247">
      <x:c r="A247" s="22" t="n">
        <x:v>27</x:v>
      </x:c>
      <x:c r="B247" s="22" t="str">
        <x:v>7月13日-7月17日</x:v>
      </x:c>
      <x:c r="C247" s="23" t="n">
        <x:v>2895.8</x:v>
      </x:c>
      <x:c r="D247" s="23" t="n">
        <x:v>2924</x:v>
      </x:c>
      <x:c r="E247" s="23" t="n">
        <x:v>2782.6</x:v>
      </x:c>
      <x:c r="F247" s="23" t="n">
        <x:v>2796.4</x:v>
      </x:c>
      <x:c r="G247" s="23" t="n">
        <x:f>ROUND(F247-F246,1)</x:f>
        <x:v>-113.8</x:v>
      </x:c>
      <x:c r="H247" s="24" t="n">
        <x:f>IFERROR(F247/F246-1,"")</x:f>
        <x:v>-0.039103841660366845</x:v>
      </x:c>
      <x:c r="I247" s="26" t="n">
        <x:f>ROUND(D247-E247,1)</x:f>
        <x:v>141.4</x:v>
      </x:c>
      <x:c r="J247" s="22" t="str">
        <x:v>IH2609</x:v>
      </x:c>
      <x:c r="K247" s="22" t="n">
        <x:v>5</x:v>
      </x:c>
    </x:row>
    <x:row r="248">
      <x:c r="A248" s="22" t="n">
        <x:v>28</x:v>
      </x:c>
      <x:c r="B248" s="22" t="str">
        <x:v>7月20日-7月24日</x:v>
      </x:c>
      <x:c r="C248" s="23" t="n">
        <x:v>2820</x:v>
      </x:c>
      <x:c r="D248" s="23" t="n">
        <x:v>2978</x:v>
      </x:c>
      <x:c r="E248" s="23" t="n">
        <x:v>2820</x:v>
      </x:c>
      <x:c r="F248" s="23" t="n">
        <x:v>2910</x:v>
      </x:c>
      <x:c r="G248" s="23" t="n">
        <x:f>ROUND(F248-F247,1)</x:f>
        <x:v>113.6</x:v>
      </x:c>
      <x:c r="H248" s="24" t="n">
        <x:f>IFERROR(F248/F247-1,"")</x:f>
        <x:v>0.040623658990130096</x:v>
      </x:c>
      <x:c r="I248" s="26" t="n">
        <x:f>ROUND(D248-E248,1)</x:f>
        <x:v>158</x:v>
      </x:c>
      <x:c r="J248" s="22" t="str">
        <x:v>IH2609</x:v>
      </x:c>
      <x:c r="K248" s="22" t="n">
        <x:v>5</x:v>
      </x:c>
    </x:row>
    <x:row r="249">
      <x:c r="A249" s="22" t="n">
        <x:v>29</x:v>
      </x:c>
      <x:c r="B249" s="22" t="str">
        <x:v>7月27日-7月31日</x:v>
      </x:c>
      <x:c r="C249" s="23" t="n">
        <x:v>2929.6</x:v>
      </x:c>
      <x:c r="D249" s="23" t="n">
        <x:v>2930</x:v>
      </x:c>
      <x:c r="E249" s="23" t="n">
        <x:v>2847.2</x:v>
      </x:c>
      <x:c r="F249" s="23" t="n">
        <x:v>2891.8</x:v>
      </x:c>
      <x:c r="G249" s="23" t="n">
        <x:f>ROUND(F249-F248,1)</x:f>
        <x:v>-18.2</x:v>
      </x:c>
      <x:c r="H249" s="24" t="n">
        <x:f>IFERROR(F249/F248-1,"")</x:f>
        <x:v>-0.006254295532646004</x:v>
      </x:c>
      <x:c r="I249" s="26" t="n">
        <x:f>ROUND(D249-E249,1)</x:f>
        <x:v>82.8</x:v>
      </x:c>
      <x:c r="J249" s="22" t="str">
        <x:v>IH2609</x:v>
      </x:c>
      <x:c r="K249" s="22" t="n">
        <x:v>5</x:v>
      </x:c>
    </x:row>
    <x:row r="250">
      <x:c r="A250" s="22" t="n">
        <x:v>30</x:v>
      </x:c>
      <x:c r="B250" s="22" t="str">
        <x:v>8月3日-8月7日</x:v>
      </x:c>
      <x:c r="C250" s="23" t="n">
        <x:v>2882.4</x:v>
      </x:c>
      <x:c r="D250" s="23" t="n">
        <x:v>2930.6</x:v>
      </x:c>
      <x:c r="E250" s="23" t="n">
        <x:v>2845.8</x:v>
      </x:c>
      <x:c r="F250" s="23" t="n">
        <x:v>2930</x:v>
      </x:c>
      <x:c r="G250" s="23" t="n">
        <x:f>ROUND(F250-F249,1)</x:f>
        <x:v>38.2</x:v>
      </x:c>
      <x:c r="H250" s="24" t="n">
        <x:f>IFERROR(F250/F249-1,"")</x:f>
        <x:v>0.013209765543951812</x:v>
      </x:c>
      <x:c r="I250" s="26" t="n">
        <x:f>ROUND(D250-E250,1)</x:f>
        <x:v>84.8</x:v>
      </x:c>
      <x:c r="J250" s="22" t="str">
        <x:v>IH2609</x:v>
      </x:c>
      <x:c r="K250" s="22" t="n">
        <x:v>5</x:v>
      </x:c>
    </x:row>
    <x:row r="251">
      <x:c r="A251" s="22" t="n">
        <x:v>31</x:v>
      </x:c>
      <x:c r="B251" s="22" t="str">
        <x:v>8月10日-8月13日</x:v>
      </x:c>
      <x:c r="C251" s="23" t="n">
        <x:v>2930</x:v>
      </x:c>
      <x:c r="D251" s="23" t="n">
        <x:v>2949.6</x:v>
      </x:c>
      <x:c r="E251" s="23" t="n">
        <x:v>2900.6</x:v>
      </x:c>
      <x:c r="F251" s="23" t="n">
        <x:v>2902.6</x:v>
      </x:c>
      <x:c r="G251" s="23" t="n">
        <x:f>ROUND(F251-F250,1)</x:f>
        <x:v>-27.4</x:v>
      </x:c>
      <x:c r="H251" s="24" t="n">
        <x:f>IFERROR(F251/F250-1,"")</x:f>
        <x:v>-0.009351535836177538</x:v>
      </x:c>
      <x:c r="I251" s="23" t="n">
        <x:f>ROUND(D251-E251,1)</x:f>
        <x:v>49</x:v>
      </x:c>
      <x:c r="J251" s="22" t="str">
        <x:v>IH2609</x:v>
      </x:c>
      <x:c r="K251" s="22" t="n">
        <x:v>4</x:v>
      </x:c>
    </x:row>
    <x:row r="252">
      <x:c r="A252" s="31" t="str">
        <x:v>合计</x:v>
      </x:c>
      <x:c r="B252" s="30" t="n">
        <x:v>31</x:v>
      </x:c>
      <x:c r="C252" s="30"/>
      <x:c r="D252" s="30"/>
      <x:c r="E252" s="30"/>
      <x:c r="F252" s="30"/>
      <x:c r="G252" s="30"/>
      <x:c r="H252" s="30"/>
      <x:c r="I252" s="32" t="n">
        <x:f>ROUND(SUM(I221:I251),1)</x:f>
        <x:v>2866.6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ROUND(IFERROR(AVERAGE(I221:I251),0),1)</x:f>
        <x:v>92.5</x:v>
      </x:c>
      <x:c r="J253" s="30"/>
      <x:c r="K253" s="30"/>
    </x:row>
    <x:row r="255">
      <x:c r="A255" s="17" t="str">
        <x:v>碳酸锂2609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126360</x:v>
      </x:c>
      <x:c r="D257" s="23" t="n">
        <x:v>150760</x:v>
      </x:c>
      <x:c r="E257" s="23" t="n">
        <x:v>125160</x:v>
      </x:c>
      <x:c r="F257" s="23" t="n">
        <x:v>145380</x:v>
      </x:c>
      <x:c r="G257" s="23"/>
      <x:c r="H257" s="24"/>
      <x:c r="I257" s="26" t="n">
        <x:f>ROUND(D257-E257,1)</x:f>
        <x:v>25600</x:v>
      </x:c>
      <x:c r="J257" s="22" t="str">
        <x:v>LC2609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153000</x:v>
      </x:c>
      <x:c r="D258" s="23" t="n">
        <x:v>176120</x:v>
      </x:c>
      <x:c r="E258" s="23" t="n">
        <x:v>147740</x:v>
      </x:c>
      <x:c r="F258" s="23" t="n">
        <x:v>147740</x:v>
      </x:c>
      <x:c r="G258" s="28" t="n">
        <x:f>ROUND(F258-F257,1)</x:f>
        <x:v>2360</x:v>
      </x:c>
      <x:c r="H258" s="24" t="n">
        <x:f>IFERROR(F258/F257-1,"")</x:f>
        <x:v>0.016233319576282934</x:v>
      </x:c>
      <x:c r="I258" s="26" t="n">
        <x:f>ROUND(D258-E258,1)</x:f>
        <x:v>28380</x:v>
      </x:c>
      <x:c r="J258" s="22" t="str">
        <x:v>LC2609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150720</x:v>
      </x:c>
      <x:c r="D259" s="23" t="n">
        <x:v>183780</x:v>
      </x:c>
      <x:c r="E259" s="23" t="n">
        <x:v>143820</x:v>
      </x:c>
      <x:c r="F259" s="23" t="n">
        <x:v>183380</x:v>
      </x:c>
      <x:c r="G259" s="28" t="n">
        <x:f>ROUND(F259-F258,1)</x:f>
        <x:v>35640</x:v>
      </x:c>
      <x:c r="H259" s="24" t="n">
        <x:f>IFERROR(F259/F258-1,"")</x:f>
        <x:v>0.24123460132665486</x:v>
      </x:c>
      <x:c r="I259" s="26" t="n">
        <x:f>ROUND(D259-E259,1)</x:f>
        <x:v>39960</x:v>
      </x:c>
      <x:c r="J259" s="22" t="str">
        <x:v>LC2609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187000</x:v>
      </x:c>
      <x:c r="D260" s="23" t="n">
        <x:v>190600</x:v>
      </x:c>
      <x:c r="E260" s="23" t="n">
        <x:v>148560</x:v>
      </x:c>
      <x:c r="F260" s="23" t="n">
        <x:v>148560</x:v>
      </x:c>
      <x:c r="G260" s="28" t="n">
        <x:f>ROUND(F260-F259,1)</x:f>
        <x:v>-34820</x:v>
      </x:c>
      <x:c r="H260" s="24" t="n">
        <x:f>IFERROR(F260/F259-1,"")</x:f>
        <x:v>-0.18987893990620575</x:v>
      </x:c>
      <x:c r="I260" s="26" t="n">
        <x:f>ROUND(D260-E260,1)</x:f>
        <x:v>42040</x:v>
      </x:c>
      <x:c r="J260" s="22" t="str">
        <x:v>LC2609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148040</x:v>
      </x:c>
      <x:c r="D261" s="23" t="n">
        <x:v>153200</x:v>
      </x:c>
      <x:c r="E261" s="23" t="n">
        <x:v>124480</x:v>
      </x:c>
      <x:c r="F261" s="23" t="n">
        <x:v>133500</x:v>
      </x:c>
      <x:c r="G261" s="28" t="n">
        <x:f>ROUND(F261-F260,1)</x:f>
        <x:v>-15060</x:v>
      </x:c>
      <x:c r="H261" s="24" t="n">
        <x:f>IFERROR(F261/F260-1,"")</x:f>
        <x:v>-0.10137318255250405</x:v>
      </x:c>
      <x:c r="I261" s="26" t="n">
        <x:f>ROUND(D261-E261,1)</x:f>
        <x:v>28720</x:v>
      </x:c>
      <x:c r="J261" s="22" t="str">
        <x:v>LC2609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135500</x:v>
      </x:c>
      <x:c r="D262" s="23" t="n">
        <x:v>153700</x:v>
      </x:c>
      <x:c r="E262" s="23" t="n">
        <x:v>133500</x:v>
      </x:c>
      <x:c r="F262" s="23" t="n">
        <x:v>153500</x:v>
      </x:c>
      <x:c r="G262" s="28" t="n">
        <x:f>ROUND(F262-F261,1)</x:f>
        <x:v>20000</x:v>
      </x:c>
      <x:c r="H262" s="24" t="n">
        <x:f>IFERROR(F262/F261-1,"")</x:f>
        <x:v>0.14981273408239693</x:v>
      </x:c>
      <x:c r="I262" s="26" t="n">
        <x:f>ROUND(D262-E262,1)</x:f>
        <x:v>20200</x:v>
      </x:c>
      <x:c r="J262" s="22" t="str">
        <x:v>LC2609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158340</x:v>
      </x:c>
      <x:c r="D263" s="23" t="n">
        <x:v>186900</x:v>
      </x:c>
      <x:c r="E263" s="23" t="n">
        <x:v>158340</x:v>
      </x:c>
      <x:c r="F263" s="23" t="n">
        <x:v>177200</x:v>
      </x:c>
      <x:c r="G263" s="28" t="n">
        <x:f>ROUND(F263-F262,1)</x:f>
        <x:v>23700</x:v>
      </x:c>
      <x:c r="H263" s="24" t="n">
        <x:f>IFERROR(F263/F262-1,"")</x:f>
        <x:v>0.15439739413680775</x:v>
      </x:c>
      <x:c r="I263" s="26" t="n">
        <x:f>ROUND(D263-E263,1)</x:f>
        <x:v>28560</x:v>
      </x:c>
      <x:c r="J263" s="22" t="str">
        <x:v>LC2609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180000</x:v>
      </x:c>
      <x:c r="D264" s="23" t="n">
        <x:v>180060</x:v>
      </x:c>
      <x:c r="E264" s="23" t="n">
        <x:v>146040</x:v>
      </x:c>
      <x:c r="F264" s="23" t="n">
        <x:v>156700</x:v>
      </x:c>
      <x:c r="G264" s="28" t="n">
        <x:f>ROUND(F264-F263,1)</x:f>
        <x:v>-20500</x:v>
      </x:c>
      <x:c r="H264" s="24" t="n">
        <x:f>IFERROR(F264/F263-1,"")</x:f>
        <x:v>-0.11568848758465011</x:v>
      </x:c>
      <x:c r="I264" s="26" t="n">
        <x:f>ROUND(D264-E264,1)</x:f>
        <x:v>34020</x:v>
      </x:c>
      <x:c r="J264" s="22" t="str">
        <x:v>LC2609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149000</x:v>
      </x:c>
      <x:c r="D265" s="23" t="n">
        <x:v>167400</x:v>
      </x:c>
      <x:c r="E265" s="23" t="n">
        <x:v>142600</x:v>
      </x:c>
      <x:c r="F265" s="23" t="n">
        <x:v>152100</x:v>
      </x:c>
      <x:c r="G265" s="28" t="n">
        <x:f>ROUND(F265-F264,1)</x:f>
        <x:v>-4600</x:v>
      </x:c>
      <x:c r="H265" s="24" t="n">
        <x:f>IFERROR(F265/F264-1,"")</x:f>
        <x:v>-0.02935545628589664</x:v>
      </x:c>
      <x:c r="I265" s="26" t="n">
        <x:f>ROUND(D265-E265,1)</x:f>
        <x:v>24800</x:v>
      </x:c>
      <x:c r="J265" s="22" t="str">
        <x:v>LC2609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150880</x:v>
      </x:c>
      <x:c r="D266" s="23" t="n">
        <x:v>160800</x:v>
      </x:c>
      <x:c r="E266" s="23" t="n">
        <x:v>140000</x:v>
      </x:c>
      <x:c r="F266" s="23" t="n">
        <x:v>143520</x:v>
      </x:c>
      <x:c r="G266" s="28" t="n">
        <x:f>ROUND(F266-F265,1)</x:f>
        <x:v>-8580</x:v>
      </x:c>
      <x:c r="H266" s="24" t="n">
        <x:f>IFERROR(F266/F265-1,"")</x:f>
        <x:v>-0.05641025641025643</x:v>
      </x:c>
      <x:c r="I266" s="26" t="n">
        <x:f>ROUND(D266-E266,1)</x:f>
        <x:v>20800</x:v>
      </x:c>
      <x:c r="J266" s="22" t="str">
        <x:v>LC2609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141220</x:v>
      </x:c>
      <x:c r="D267" s="23" t="n">
        <x:v>172220</x:v>
      </x:c>
      <x:c r="E267" s="23" t="n">
        <x:v>140020</x:v>
      </x:c>
      <x:c r="F267" s="23" t="n">
        <x:v>169400</x:v>
      </x:c>
      <x:c r="G267" s="28" t="n">
        <x:f>ROUND(F267-F266,1)</x:f>
        <x:v>25880</x:v>
      </x:c>
      <x:c r="H267" s="24" t="n">
        <x:f>IFERROR(F267/F266-1,"")</x:f>
        <x:v>0.18032329988851736</x:v>
      </x:c>
      <x:c r="I267" s="26" t="n">
        <x:f>ROUND(D267-E267,1)</x:f>
        <x:v>32200</x:v>
      </x:c>
      <x:c r="J267" s="22" t="str">
        <x:v>LC2609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170000</x:v>
      </x:c>
      <x:c r="D268" s="23" t="n">
        <x:v>175000</x:v>
      </x:c>
      <x:c r="E268" s="23" t="n">
        <x:v>154560</x:v>
      </x:c>
      <x:c r="F268" s="23" t="n">
        <x:v>157860</x:v>
      </x:c>
      <x:c r="G268" s="28" t="n">
        <x:f>ROUND(F268-F267,1)</x:f>
        <x:v>-11540</x:v>
      </x:c>
      <x:c r="H268" s="24" t="n">
        <x:f>IFERROR(F268/F267-1,"")</x:f>
        <x:v>-0.06812278630460444</x:v>
      </x:c>
      <x:c r="I268" s="26" t="n">
        <x:f>ROUND(D268-E268,1)</x:f>
        <x:v>20440</x:v>
      </x:c>
      <x:c r="J268" s="22" t="str">
        <x:v>LC2609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158440</x:v>
      </x:c>
      <x:c r="D269" s="23" t="n">
        <x:v>165500</x:v>
      </x:c>
      <x:c r="E269" s="23" t="n">
        <x:v>152500</x:v>
      </x:c>
      <x:c r="F269" s="23" t="n">
        <x:v>157600</x:v>
      </x:c>
      <x:c r="G269" s="28" t="n">
        <x:f>ROUND(F269-F268,1)</x:f>
        <x:v>-260</x:v>
      </x:c>
      <x:c r="H269" s="24" t="n">
        <x:f>IFERROR(F269/F268-1,"")</x:f>
        <x:v>-0.0016470290130495835</x:v>
      </x:c>
      <x:c r="I269" s="26" t="n">
        <x:f>ROUND(D269-E269,1)</x:f>
        <x:v>13000</x:v>
      </x:c>
      <x:c r="J269" s="22" t="str">
        <x:v>LC2609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155020</x:v>
      </x:c>
      <x:c r="D270" s="23" t="n">
        <x:v>178000</x:v>
      </x:c>
      <x:c r="E270" s="23" t="n">
        <x:v>154780</x:v>
      </x:c>
      <x:c r="F270" s="23" t="n">
        <x:v>177560</x:v>
      </x:c>
      <x:c r="G270" s="28" t="n">
        <x:f>ROUND(F270-F269,1)</x:f>
        <x:v>19960</x:v>
      </x:c>
      <x:c r="H270" s="24" t="n">
        <x:f>IFERROR(F270/F269-1,"")</x:f>
        <x:v>0.1266497461928935</x:v>
      </x:c>
      <x:c r="I270" s="26" t="n">
        <x:f>ROUND(D270-E270,1)</x:f>
        <x:v>23220</x:v>
      </x:c>
      <x:c r="J270" s="22" t="str">
        <x:v>LC2609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177000</x:v>
      </x:c>
      <x:c r="D271" s="23" t="n">
        <x:v>181440</x:v>
      </x:c>
      <x:c r="E271" s="23" t="n">
        <x:v>169500</x:v>
      </x:c>
      <x:c r="F271" s="23" t="n">
        <x:v>177900</x:v>
      </x:c>
      <x:c r="G271" s="28" t="n">
        <x:f>ROUND(F271-F270,1)</x:f>
        <x:v>340</x:v>
      </x:c>
      <x:c r="H271" s="24" t="n">
        <x:f>IFERROR(F271/F270-1,"")</x:f>
        <x:v>0.0019148456859652274</x:v>
      </x:c>
      <x:c r="I271" s="26" t="n">
        <x:f>ROUND(D271-E271,1)</x:f>
        <x:v>11940</x:v>
      </x:c>
      <x:c r="J271" s="22" t="str">
        <x:v>LC2609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182000</x:v>
      </x:c>
      <x:c r="D272" s="23" t="n">
        <x:v>189500</x:v>
      </x:c>
      <x:c r="E272" s="23" t="n">
        <x:v>173400</x:v>
      </x:c>
      <x:c r="F272" s="23" t="n">
        <x:v>189080</x:v>
      </x:c>
      <x:c r="G272" s="28" t="n">
        <x:f>ROUND(F272-F271,1)</x:f>
        <x:v>11180</x:v>
      </x:c>
      <x:c r="H272" s="24" t="n">
        <x:f>IFERROR(F272/F271-1,"")</x:f>
        <x:v>0.06284429454749851</x:v>
      </x:c>
      <x:c r="I272" s="26" t="n">
        <x:f>ROUND(D272-E272,1)</x:f>
        <x:v>16100</x:v>
      </x:c>
      <x:c r="J272" s="22" t="str">
        <x:v>LC2609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191500</x:v>
      </x:c>
      <x:c r="D273" s="23" t="n">
        <x:v>201480</x:v>
      </x:c>
      <x:c r="E273" s="23" t="n">
        <x:v>191040</x:v>
      </x:c>
      <x:c r="F273" s="23" t="n">
        <x:v>196560</x:v>
      </x:c>
      <x:c r="G273" s="28" t="n">
        <x:f>ROUND(F273-F272,1)</x:f>
        <x:v>7480</x:v>
      </x:c>
      <x:c r="H273" s="24" t="n">
        <x:f>IFERROR(F273/F272-1,"")</x:f>
        <x:v>0.039559974613920135</x:v>
      </x:c>
      <x:c r="I273" s="26" t="n">
        <x:f>ROUND(D273-E273,1)</x:f>
        <x:v>10440</x:v>
      </x:c>
      <x:c r="J273" s="22" t="str">
        <x:v>LC2609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196560</x:v>
      </x:c>
      <x:c r="D274" s="23" t="n">
        <x:v>209880</x:v>
      </x:c>
      <x:c r="E274" s="23" t="n">
        <x:v>186800</x:v>
      </x:c>
      <x:c r="F274" s="23" t="n">
        <x:v>188800</x:v>
      </x:c>
      <x:c r="G274" s="28" t="n">
        <x:f>ROUND(F274-F273,1)</x:f>
        <x:v>-7760</x:v>
      </x:c>
      <x:c r="H274" s="24" t="n">
        <x:f>IFERROR(F274/F273-1,"")</x:f>
        <x:v>-0.039479039479039524</x:v>
      </x:c>
      <x:c r="I274" s="26" t="n">
        <x:f>ROUND(D274-E274,1)</x:f>
        <x:v>23080</x:v>
      </x:c>
      <x:c r="J274" s="22" t="str">
        <x:v>LC2609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189000</x:v>
      </x:c>
      <x:c r="D275" s="23" t="n">
        <x:v>193900</x:v>
      </x:c>
      <x:c r="E275" s="23" t="n">
        <x:v>175200</x:v>
      </x:c>
      <x:c r="F275" s="23" t="n">
        <x:v>184460</x:v>
      </x:c>
      <x:c r="G275" s="28" t="n">
        <x:f>ROUND(F275-F274,1)</x:f>
        <x:v>-4340</x:v>
      </x:c>
      <x:c r="H275" s="24" t="n">
        <x:f>IFERROR(F275/F274-1,"")</x:f>
        <x:v>-0.022987288135593253</x:v>
      </x:c>
      <x:c r="I275" s="26" t="n">
        <x:f>ROUND(D275-E275,1)</x:f>
        <x:v>18700</x:v>
      </x:c>
      <x:c r="J275" s="22" t="str">
        <x:v>LC2609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185500</x:v>
      </x:c>
      <x:c r="D276" s="23" t="n">
        <x:v>187900</x:v>
      </x:c>
      <x:c r="E276" s="23" t="n">
        <x:v>172080</x:v>
      </x:c>
      <x:c r="F276" s="23" t="n">
        <x:v>179740</x:v>
      </x:c>
      <x:c r="G276" s="28" t="n">
        <x:f>ROUND(F276-F275,1)</x:f>
        <x:v>-4720</x:v>
      </x:c>
      <x:c r="H276" s="24" t="n">
        <x:f>IFERROR(F276/F275-1,"")</x:f>
        <x:v>-0.02558820340453216</x:v>
      </x:c>
      <x:c r="I276" s="26" t="n">
        <x:f>ROUND(D276-E276,1)</x:f>
        <x:v>15820</x:v>
      </x:c>
      <x:c r="J276" s="22" t="str">
        <x:v>LC2609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181000</x:v>
      </x:c>
      <x:c r="D277" s="23" t="n">
        <x:v>182100</x:v>
      </x:c>
      <x:c r="E277" s="23" t="n">
        <x:v>157180</x:v>
      </x:c>
      <x:c r="F277" s="23" t="n">
        <x:v>164360</x:v>
      </x:c>
      <x:c r="G277" s="28" t="n">
        <x:f>ROUND(F277-F276,1)</x:f>
        <x:v>-15380</x:v>
      </x:c>
      <x:c r="H277" s="24" t="n">
        <x:f>IFERROR(F277/F276-1,"")</x:f>
        <x:v>-0.08556804272838547</x:v>
      </x:c>
      <x:c r="I277" s="26" t="n">
        <x:f>ROUND(D277-E277,1)</x:f>
        <x:v>24920</x:v>
      </x:c>
      <x:c r="J277" s="22" t="str">
        <x:v>LC2609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161500</x:v>
      </x:c>
      <x:c r="D278" s="23" t="n">
        <x:v>178740</x:v>
      </x:c>
      <x:c r="E278" s="23" t="n">
        <x:v>160260</x:v>
      </x:c>
      <x:c r="F278" s="23" t="n">
        <x:v>175300</x:v>
      </x:c>
      <x:c r="G278" s="28" t="n">
        <x:f>ROUND(F278-F277,1)</x:f>
        <x:v>10940</x:v>
      </x:c>
      <x:c r="H278" s="24" t="n">
        <x:f>IFERROR(F278/F277-1,"")</x:f>
        <x:v>0.06656120710635194</x:v>
      </x:c>
      <x:c r="I278" s="26" t="n">
        <x:f>ROUND(D278-E278,1)</x:f>
        <x:v>18480</x:v>
      </x:c>
      <x:c r="J278" s="22" t="str">
        <x:v>LC2609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177600</x:v>
      </x:c>
      <x:c r="D279" s="23" t="n">
        <x:v>177920</x:v>
      </x:c>
      <x:c r="E279" s="23" t="n">
        <x:v>160100</x:v>
      </x:c>
      <x:c r="F279" s="23" t="n">
        <x:v>160500</x:v>
      </x:c>
      <x:c r="G279" s="28" t="n">
        <x:f>ROUND(F279-F278,1)</x:f>
        <x:v>-14800</x:v>
      </x:c>
      <x:c r="H279" s="24" t="n">
        <x:f>IFERROR(F279/F278-1,"")</x:f>
        <x:v>-0.08442669709070161</x:v>
      </x:c>
      <x:c r="I279" s="26" t="n">
        <x:f>ROUND(D279-E279,1)</x:f>
        <x:v>17820</x:v>
      </x:c>
      <x:c r="J279" s="22" t="str">
        <x:v>LC2609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157220</x:v>
      </x:c>
      <x:c r="D280" s="23" t="n">
        <x:v>163940</x:v>
      </x:c>
      <x:c r="E280" s="23" t="n">
        <x:v>145000</x:v>
      </x:c>
      <x:c r="F280" s="23" t="n">
        <x:v>150220</x:v>
      </x:c>
      <x:c r="G280" s="28" t="n">
        <x:f>ROUND(F280-F279,1)</x:f>
        <x:v>-10280</x:v>
      </x:c>
      <x:c r="H280" s="24" t="n">
        <x:f>IFERROR(F280/F279-1,"")</x:f>
        <x:v>-0.06404984423676008</x:v>
      </x:c>
      <x:c r="I280" s="26" t="n">
        <x:f>ROUND(D280-E280,1)</x:f>
        <x:v>18940</x:v>
      </x:c>
      <x:c r="J280" s="22" t="str">
        <x:v>LC2609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148000</x:v>
      </x:c>
      <x:c r="D281" s="23" t="n">
        <x:v>172000</x:v>
      </x:c>
      <x:c r="E281" s="23" t="n">
        <x:v>145300</x:v>
      </x:c>
      <x:c r="F281" s="23" t="n">
        <x:v>168780</x:v>
      </x:c>
      <x:c r="G281" s="28" t="n">
        <x:f>ROUND(F281-F280,1)</x:f>
        <x:v>18560</x:v>
      </x:c>
      <x:c r="H281" s="24" t="n">
        <x:f>IFERROR(F281/F280-1,"")</x:f>
        <x:v>0.12355212355212353</x:v>
      </x:c>
      <x:c r="I281" s="26" t="n">
        <x:f>ROUND(D281-E281,1)</x:f>
        <x:v>26700</x:v>
      </x:c>
      <x:c r="J281" s="22" t="str">
        <x:v>LC2609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166980</x:v>
      </x:c>
      <x:c r="D282" s="23" t="n">
        <x:v>168720</x:v>
      </x:c>
      <x:c r="E282" s="23" t="n">
        <x:v>150260</x:v>
      </x:c>
      <x:c r="F282" s="23" t="n">
        <x:v>151600</x:v>
      </x:c>
      <x:c r="G282" s="28" t="n">
        <x:f>ROUND(F282-F281,1)</x:f>
        <x:v>-17180</x:v>
      </x:c>
      <x:c r="H282" s="24" t="n">
        <x:f>IFERROR(F282/F281-1,"")</x:f>
        <x:v>-0.10178931152980208</x:v>
      </x:c>
      <x:c r="I282" s="26" t="n">
        <x:f>ROUND(D282-E282,1)</x:f>
        <x:v>18460</x:v>
      </x:c>
      <x:c r="J282" s="22" t="str">
        <x:v>LC2609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150500</x:v>
      </x:c>
      <x:c r="D283" s="23" t="n">
        <x:v>156500</x:v>
      </x:c>
      <x:c r="E283" s="23" t="n">
        <x:v>145860</x:v>
      </x:c>
      <x:c r="F283" s="23" t="n">
        <x:v>150140</x:v>
      </x:c>
      <x:c r="G283" s="28" t="n">
        <x:f>ROUND(F283-F282,1)</x:f>
        <x:v>-1460</x:v>
      </x:c>
      <x:c r="H283" s="24" t="n">
        <x:f>IFERROR(F283/F282-1,"")</x:f>
        <x:v>-0.009630606860158264</x:v>
      </x:c>
      <x:c r="I283" s="26" t="n">
        <x:f>ROUND(D283-E283,1)</x:f>
        <x:v>10640</x:v>
      </x:c>
      <x:c r="J283" s="22" t="str">
        <x:v>LC2609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151500</x:v>
      </x:c>
      <x:c r="D284" s="23" t="n">
        <x:v>154800</x:v>
      </x:c>
      <x:c r="E284" s="23" t="n">
        <x:v>136800</x:v>
      </x:c>
      <x:c r="F284" s="23" t="n">
        <x:v>144280</x:v>
      </x:c>
      <x:c r="G284" s="28" t="n">
        <x:f>ROUND(F284-F283,1)</x:f>
        <x:v>-5860</x:v>
      </x:c>
      <x:c r="H284" s="24" t="n">
        <x:f>IFERROR(F284/F283-1,"")</x:f>
        <x:v>-0.03903023844411879</x:v>
      </x:c>
      <x:c r="I284" s="26" t="n">
        <x:f>ROUND(D284-E284,1)</x:f>
        <x:v>18000</x:v>
      </x:c>
      <x:c r="J284" s="22" t="str">
        <x:v>LC2609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145780</x:v>
      </x:c>
      <x:c r="D285" s="23" t="n">
        <x:v>149400</x:v>
      </x:c>
      <x:c r="E285" s="23" t="n">
        <x:v>137760</x:v>
      </x:c>
      <x:c r="F285" s="23" t="n">
        <x:v>137760</x:v>
      </x:c>
      <x:c r="G285" s="28" t="n">
        <x:f>ROUND(F285-F284,1)</x:f>
        <x:v>-6520</x:v>
      </x:c>
      <x:c r="H285" s="24" t="n">
        <x:f>IFERROR(F285/F284-1,"")</x:f>
        <x:v>-0.04518990851122817</x:v>
      </x:c>
      <x:c r="I285" s="26" t="n">
        <x:f>ROUND(D285-E285,1)</x:f>
        <x:v>11640</x:v>
      </x:c>
      <x:c r="J285" s="22" t="str">
        <x:v>LC2609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137500</x:v>
      </x:c>
      <x:c r="D286" s="23" t="n">
        <x:v>144800</x:v>
      </x:c>
      <x:c r="E286" s="23" t="n">
        <x:v>135560</x:v>
      </x:c>
      <x:c r="F286" s="23" t="n">
        <x:v>140000</x:v>
      </x:c>
      <x:c r="G286" s="28" t="n">
        <x:f>ROUND(F286-F285,1)</x:f>
        <x:v>2240</x:v>
      </x:c>
      <x:c r="H286" s="24" t="n">
        <x:f>IFERROR(F286/F285-1,"")</x:f>
        <x:v>0.016260162601626105</x:v>
      </x:c>
      <x:c r="I286" s="26" t="n">
        <x:f>ROUND(D286-E286,1)</x:f>
        <x:v>9240</x:v>
      </x:c>
      <x:c r="J286" s="22" t="str">
        <x:v>LC2609</x:v>
      </x:c>
      <x:c r="K286" s="22" t="n">
        <x:v>5</x:v>
      </x:c>
    </x:row>
    <x:row r="287">
      <x:c r="A287" s="22" t="n">
        <x:v>31</x:v>
      </x:c>
      <x:c r="B287" s="22" t="str">
        <x:v>8月10日-8月13日</x:v>
      </x:c>
      <x:c r="C287" s="23" t="n">
        <x:v>140500</x:v>
      </x:c>
      <x:c r="D287" s="23" t="n">
        <x:v>152440</x:v>
      </x:c>
      <x:c r="E287" s="23" t="n">
        <x:v>139280</x:v>
      </x:c>
      <x:c r="F287" s="23" t="n">
        <x:v>151420</x:v>
      </x:c>
      <x:c r="G287" s="28" t="n">
        <x:f>ROUND(F287-F286,1)</x:f>
        <x:v>11420</x:v>
      </x:c>
      <x:c r="H287" s="24" t="n">
        <x:f>IFERROR(F287/F286-1,"")</x:f>
        <x:v>0.08157142857142863</x:v>
      </x:c>
      <x:c r="I287" s="26" t="n">
        <x:f>ROUND(D287-E287,1)</x:f>
        <x:v>13160</x:v>
      </x:c>
      <x:c r="J287" s="22" t="str">
        <x:v>LC2609</x:v>
      </x:c>
      <x:c r="K287" s="22" t="n">
        <x:v>4</x:v>
      </x:c>
    </x:row>
    <x:row r="288">
      <x:c r="A288" s="31" t="str">
        <x:v>合计</x:v>
      </x:c>
      <x:c r="B288" s="30" t="n">
        <x:v>31</x:v>
      </x:c>
      <x:c r="C288" s="30"/>
      <x:c r="D288" s="30"/>
      <x:c r="E288" s="30"/>
      <x:c r="F288" s="30"/>
      <x:c r="G288" s="30"/>
      <x:c r="H288" s="30"/>
      <x:c r="I288" s="32" t="n">
        <x:f>ROUND(SUM(I257:I287),1)</x:f>
        <x:v>666020</x:v>
      </x:c>
      <x:c r="J288" s="30"/>
      <x:c r="K288" s="30"/>
    </x:row>
    <x:row r="289">
      <x:c r="A289" s="31" t="str">
        <x:v>均值</x:v>
      </x:c>
      <x:c r="B289" s="30"/>
      <x:c r="C289" s="30"/>
      <x:c r="D289" s="30"/>
      <x:c r="E289" s="30"/>
      <x:c r="F289" s="30"/>
      <x:c r="G289" s="30"/>
      <x:c r="H289" s="30"/>
      <x:c r="I289" s="34" t="n">
        <x:f>ROUND(IFERROR(AVERAGE(I257:I287),0),1)</x:f>
        <x:v>21484.5</x:v>
      </x:c>
      <x:c r="J289" s="30"/>
      <x:c r="K289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3:K183"/>
    <x:mergeCell ref="A219:K219"/>
    <x:mergeCell ref="A255:K2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1457.5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161.9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1472.3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163.6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356.5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39.6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1427.6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158.6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1461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162.3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528.2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58.7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295.6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32.8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45540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5060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