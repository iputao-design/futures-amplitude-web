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9aa501aaa241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62857809d3d4618"/>
    <x:sheet xmlns:r="http://schemas.openxmlformats.org/officeDocument/2006/relationships" name="中证1000" sheetId="2" r:id="R90f13252893c4bc4"/>
    <x:sheet xmlns:r="http://schemas.openxmlformats.org/officeDocument/2006/relationships" name="中证500" sheetId="3" r:id="R3647edc8bcf14287"/>
    <x:sheet xmlns:r="http://schemas.openxmlformats.org/officeDocument/2006/relationships" name="上证指数" sheetId="4" r:id="R05498827f1fe4e89"/>
    <x:sheet xmlns:r="http://schemas.openxmlformats.org/officeDocument/2006/relationships" name="IM主力" sheetId="5" r:id="R08ba2c99c1f14241"/>
    <x:sheet xmlns:r="http://schemas.openxmlformats.org/officeDocument/2006/relationships" name="IC主力" sheetId="6" r:id="Rb26f597c323b42f3"/>
    <x:sheet xmlns:r="http://schemas.openxmlformats.org/officeDocument/2006/relationships" name="IF主力" sheetId="7" r:id="Rd6831d72c2264804"/>
    <x:sheet xmlns:r="http://schemas.openxmlformats.org/officeDocument/2006/relationships" name="IH主力" sheetId="8" r:id="R8de8723402d843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E3A8A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6" fillId="6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8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51c44c56fd402f" /><Relationship Type="http://schemas.openxmlformats.org/officeDocument/2006/relationships/theme" Target="/xl/theme/theme1.xml" Id="R15a820cdfda44271" /><Relationship Type="http://schemas.openxmlformats.org/officeDocument/2006/relationships/sharedStrings" Target="/xl/sharedStrings.xml" Id="R0e35f6b7e6344b18" /><Relationship Type="http://schemas.openxmlformats.org/officeDocument/2006/relationships/worksheet" Target="/xl/worksheets/sheet1.xml" Id="R762857809d3d4618" /><Relationship Type="http://schemas.openxmlformats.org/officeDocument/2006/relationships/worksheet" Target="/xl/worksheets/sheet2.xml" Id="R90f13252893c4bc4" /><Relationship Type="http://schemas.openxmlformats.org/officeDocument/2006/relationships/worksheet" Target="/xl/worksheets/sheet3.xml" Id="R3647edc8bcf14287" /><Relationship Type="http://schemas.openxmlformats.org/officeDocument/2006/relationships/worksheet" Target="/xl/worksheets/sheet4.xml" Id="R05498827f1fe4e89" /><Relationship Type="http://schemas.openxmlformats.org/officeDocument/2006/relationships/worksheet" Target="/xl/worksheets/sheet5.xml" Id="R08ba2c99c1f14241" /><Relationship Type="http://schemas.openxmlformats.org/officeDocument/2006/relationships/worksheet" Target="/xl/worksheets/sheet6.xml" Id="Rb26f597c323b42f3" /><Relationship Type="http://schemas.openxmlformats.org/officeDocument/2006/relationships/worksheet" Target="/xl/worksheets/sheet7.xml" Id="Rd6831d72c2264804" /><Relationship Type="http://schemas.openxmlformats.org/officeDocument/2006/relationships/worksheet" Target="/xl/worksheets/sheet8.xml" Id="R8de8723402d8434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2025年统计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2025-12-31</x:v>
      </x:c>
      <x:c r="C4" s="10" t="n">
        <x:v>7619.221</x:v>
      </x:c>
      <x:c r="D4" s="10" t="n">
        <x:v>7560.723</x:v>
      </x:c>
      <x:c r="E4" s="12" t="n">
        <x:v>58.5</x:v>
      </x:c>
      <x:c r="F4" s="9" t="n">
        <x:v>243</x:v>
      </x:c>
      <x:c r="G4" s="10" t="n">
        <x:v>26500.9</x:v>
      </x:c>
      <x:c r="H4" s="10" t="n">
        <x:v>109.1</x:v>
      </x:c>
      <x:c r="I4" s="10" t="n">
        <x:v>180</x:v>
      </x:c>
    </x:row>
    <x:row r="5">
      <x:c r="A5" s="9" t="str">
        <x:v>中证500</x:v>
      </x:c>
      <x:c r="B5" s="9" t="str">
        <x:v>2025-12-31</x:v>
      </x:c>
      <x:c r="C5" s="10" t="n">
        <x:v>7488.066</x:v>
      </x:c>
      <x:c r="D5" s="10" t="n">
        <x:v>7435.066</x:v>
      </x:c>
      <x:c r="E5" s="12" t="n">
        <x:v>53</x:v>
      </x:c>
      <x:c r="F5" s="9" t="n">
        <x:v>243</x:v>
      </x:c>
      <x:c r="G5" s="10" t="n">
        <x:v>23116.7</x:v>
      </x:c>
      <x:c r="H5" s="10" t="n">
        <x:v>95.1</x:v>
      </x:c>
      <x:c r="I5" s="10" t="n">
        <x:v>160</x:v>
      </x:c>
    </x:row>
    <x:row r="6">
      <x:c r="A6" s="9" t="str">
        <x:v>上证指数</x:v>
      </x:c>
      <x:c r="B6" s="9" t="str">
        <x:v>2025-12-31</x:v>
      </x:c>
      <x:c r="C6" s="10" t="n">
        <x:v>3977.536</x:v>
      </x:c>
      <x:c r="D6" s="10" t="n">
        <x:v>3955.487</x:v>
      </x:c>
      <x:c r="E6" s="12" t="n">
        <x:v>22</x:v>
      </x:c>
      <x:c r="F6" s="9" t="n">
        <x:v>243</x:v>
      </x:c>
      <x:c r="G6" s="10" t="n">
        <x:v>8706.3</x:v>
      </x:c>
      <x:c r="H6" s="10" t="n">
        <x:v>35.8</x:v>
      </x:c>
      <x:c r="I6" s="10" t="n">
        <x:v>50</x:v>
      </x:c>
    </x:row>
    <x:row r="7">
      <x:c r="A7" s="9" t="str">
        <x:v>IM主力</x:v>
      </x:c>
      <x:c r="B7" s="9" t="str">
        <x:v>2025-12-31</x:v>
      </x:c>
      <x:c r="C7" s="10" t="n">
        <x:v>7475.8</x:v>
      </x:c>
      <x:c r="D7" s="10" t="n">
        <x:v>7406</x:v>
      </x:c>
      <x:c r="E7" s="12" t="n">
        <x:v>69.8</x:v>
      </x:c>
      <x:c r="F7" s="9" t="n">
        <x:v>243</x:v>
      </x:c>
      <x:c r="G7" s="10" t="n">
        <x:v>29408.4</x:v>
      </x:c>
      <x:c r="H7" s="10" t="n">
        <x:v>121</x:v>
      </x:c>
      <x:c r="I7" s="10" t="n">
        <x:v>190</x:v>
      </x:c>
    </x:row>
    <x:row r="8">
      <x:c r="A8" s="9" t="str">
        <x:v>IC主力</x:v>
      </x:c>
      <x:c r="B8" s="9" t="str">
        <x:v>2025-12-31</x:v>
      </x:c>
      <x:c r="C8" s="10" t="n">
        <x:v>7400.2</x:v>
      </x:c>
      <x:c r="D8" s="10" t="n">
        <x:v>7335</x:v>
      </x:c>
      <x:c r="E8" s="12" t="n">
        <x:v>65.2</x:v>
      </x:c>
      <x:c r="F8" s="9" t="n">
        <x:v>243</x:v>
      </x:c>
      <x:c r="G8" s="10" t="n">
        <x:v>26578.4</x:v>
      </x:c>
      <x:c r="H8" s="10" t="n">
        <x:v>109.4</x:v>
      </x:c>
      <x:c r="I8" s="10" t="n">
        <x:v>150</x:v>
      </x:c>
    </x:row>
    <x:row r="9">
      <x:c r="A9" s="9" t="str">
        <x:v>IF主力</x:v>
      </x:c>
      <x:c r="B9" s="9" t="str">
        <x:v>2025-12-31</x:v>
      </x:c>
      <x:c r="C9" s="10" t="n">
        <x:v>4634.6</x:v>
      </x:c>
      <x:c r="D9" s="10" t="n">
        <x:v>4581.2</x:v>
      </x:c>
      <x:c r="E9" s="12" t="n">
        <x:v>53.4</x:v>
      </x:c>
      <x:c r="F9" s="9" t="n">
        <x:v>243</x:v>
      </x:c>
      <x:c r="G9" s="10" t="n">
        <x:v>13343.6</x:v>
      </x:c>
      <x:c r="H9" s="10" t="n">
        <x:v>54.9</x:v>
      </x:c>
      <x:c r="I9" s="10" t="n">
        <x:v>90</x:v>
      </x:c>
    </x:row>
    <x:row r="10">
      <x:c r="A10" s="9" t="str">
        <x:v>IH主力</x:v>
      </x:c>
      <x:c r="B10" s="9" t="str">
        <x:v>2025-12-31</x:v>
      </x:c>
      <x:c r="C10" s="10" t="n">
        <x:v>3046.8</x:v>
      </x:c>
      <x:c r="D10" s="10" t="n">
        <x:v>3015</x:v>
      </x:c>
      <x:c r="E10" s="12" t="n">
        <x:v>31.8</x:v>
      </x:c>
      <x:c r="F10" s="9" t="n">
        <x:v>243</x:v>
      </x:c>
      <x:c r="G10" s="10" t="n">
        <x:v>8422</x:v>
      </x:c>
      <x:c r="H10" s="10" t="n">
        <x:v>34.7</x:v>
      </x:c>
      <x:c r="I10" s="10" t="n">
        <x:v>60</x:v>
      </x:c>
    </x:row>
    <x:row r="13">
      <x:c r="A13" s="14" t="str">
        <x:v>统计区间</x:v>
      </x:c>
      <x:c r="B13" s="14" t="str">
        <x:v>2025-01-01</x:v>
      </x:c>
      <x:c r="C13" s="14" t="str">
        <x:v>2025-12-31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2025年统计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5982.554</x:v>
      </x:c>
      <x:c r="E5" s="24" t="n">
        <x:v>5743.179</x:v>
      </x:c>
      <x:c r="F5" s="26" t="n">
        <x:f>ROUND(D5-E5,1)</x:f>
        <x:v>239.4</x:v>
      </x:c>
      <x:c r="G5" s="23" t="str">
        <x:v>中证1000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5826.083</x:v>
      </x:c>
      <x:c r="E6" s="24" t="n">
        <x:v>5609.766</x:v>
      </x:c>
      <x:c r="F6" s="26" t="n">
        <x:f>ROUND(D6-E6,1)</x:f>
        <x:v>216.3</x:v>
      </x:c>
      <x:c r="G6" s="23" t="str">
        <x:v>中证1000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5688.922</x:v>
      </x:c>
      <x:c r="E7" s="24" t="n">
        <x:v>5561.898</x:v>
      </x:c>
      <x:c r="F7" s="24" t="n">
        <x:f>ROUND(D7-E7,1)</x:f>
        <x:v>127</x:v>
      </x:c>
      <x:c r="G7" s="23" t="str">
        <x:v>中证1000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5694.005</x:v>
      </x:c>
      <x:c r="E8" s="24" t="n">
        <x:v>5580.885</x:v>
      </x:c>
      <x:c r="F8" s="24" t="n">
        <x:f>ROUND(D8-E8,1)</x:f>
        <x:v>113.1</x:v>
      </x:c>
      <x:c r="G8" s="23" t="str">
        <x:v>中证1000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5706.659</x:v>
      </x:c>
      <x:c r="E9" s="24" t="n">
        <x:v>5501.492</x:v>
      </x:c>
      <x:c r="F9" s="26" t="n">
        <x:f>ROUND(D9-E9,1)</x:f>
        <x:v>205.2</x:v>
      </x:c>
      <x:c r="G9" s="23" t="str">
        <x:v>中证1000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5714.461</x:v>
      </x:c>
      <x:c r="E10" s="24" t="n">
        <x:v>5629.824</x:v>
      </x:c>
      <x:c r="F10" s="24" t="n">
        <x:f>ROUND(D10-E10,1)</x:f>
        <x:v>84.6</x:v>
      </x:c>
      <x:c r="G10" s="23" t="str">
        <x:v>中证1000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5718.212</x:v>
      </x:c>
      <x:c r="E11" s="24" t="n">
        <x:v>5544.916</x:v>
      </x:c>
      <x:c r="F11" s="24" t="n">
        <x:f>ROUND(D11-E11,1)</x:f>
        <x:v>173.3</x:v>
      </x:c>
      <x:c r="G11" s="23" t="str">
        <x:v>中证1000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5599.327</x:v>
      </x:c>
      <x:c r="E12" s="24" t="n">
        <x:v>5457.51</x:v>
      </x:c>
      <x:c r="F12" s="24" t="n">
        <x:f>ROUND(D12-E12,1)</x:f>
        <x:v>141.8</x:v>
      </x:c>
      <x:c r="G12" s="23" t="str">
        <x:v>中证1000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5814.707</x:v>
      </x:c>
      <x:c r="E13" s="24" t="n">
        <x:v>5562.18</x:v>
      </x:c>
      <x:c r="F13" s="26" t="n">
        <x:f>ROUND(D13-E13,1)</x:f>
        <x:v>252.5</x:v>
      </x:c>
      <x:c r="G13" s="23" t="str">
        <x:v>中证1000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5815.148</x:v>
      </x:c>
      <x:c r="E14" s="24" t="n">
        <x:v>5755.625</x:v>
      </x:c>
      <x:c r="F14" s="24" t="n">
        <x:f>ROUND(D14-E14,1)</x:f>
        <x:v>59.5</x:v>
      </x:c>
      <x:c r="G14" s="23" t="str">
        <x:v>中证1000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5906.466</x:v>
      </x:c>
      <x:c r="E15" s="24" t="n">
        <x:v>5753.764</x:v>
      </x:c>
      <x:c r="F15" s="24" t="n">
        <x:f>ROUND(D15-E15,1)</x:f>
        <x:v>152.7</x:v>
      </x:c>
      <x:c r="G15" s="23" t="str">
        <x:v>中证1000</x:v>
      </x:c>
    </x:row>
    <x:row r="16">
      <x:c r="A16" s="29" t="n">
        <x:v>12</x:v>
      </x:c>
      <x:c r="B16" s="29" t="str">
        <x:v>周五</x:v>
      </x:c>
      <x:c r="C16" s="29" t="str">
        <x:v>1月17日</x:v>
      </x:c>
      <x:c r="D16" s="30" t="n">
        <x:v>5885.417</x:v>
      </x:c>
      <x:c r="E16" s="30" t="n">
        <x:v>5755.907</x:v>
      </x:c>
      <x:c r="F16" s="30" t="n">
        <x:f>ROUND(D16-E16,1)</x:f>
        <x:v>129.5</x:v>
      </x:c>
      <x:c r="G16" s="29" t="str">
        <x:v>中证1000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5925.072</x:v>
      </x:c>
      <x:c r="E17" s="24" t="n">
        <x:v>5856.833</x:v>
      </x:c>
      <x:c r="F17" s="24" t="n">
        <x:f>ROUND(D17-E17,1)</x:f>
        <x:v>68.2</x:v>
      </x:c>
      <x:c r="G17" s="23" t="str">
        <x:v>中证1000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5917.129</x:v>
      </x:c>
      <x:c r="E18" s="24" t="n">
        <x:v>5834.964</x:v>
      </x:c>
      <x:c r="F18" s="24" t="n">
        <x:f>ROUND(D18-E18,1)</x:f>
        <x:v>82.2</x:v>
      </x:c>
      <x:c r="G18" s="23" t="str">
        <x:v>中证1000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5886.742</x:v>
      </x:c>
      <x:c r="E19" s="24" t="n">
        <x:v>5824.035</x:v>
      </x:c>
      <x:c r="F19" s="24" t="n">
        <x:f>ROUND(D19-E19,1)</x:f>
        <x:v>62.7</x:v>
      </x:c>
      <x:c r="G19" s="23" t="str">
        <x:v>中证1000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5991.845</x:v>
      </x:c>
      <x:c r="E20" s="24" t="n">
        <x:v>5829.033</x:v>
      </x:c>
      <x:c r="F20" s="24" t="n">
        <x:f>ROUND(D20-E20,1)</x:f>
        <x:v>162.8</x:v>
      </x:c>
      <x:c r="G20" s="23" t="str">
        <x:v>中证1000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5943.112</x:v>
      </x:c>
      <x:c r="E21" s="24" t="n">
        <x:v>5815.458</x:v>
      </x:c>
      <x:c r="F21" s="24" t="n">
        <x:f>ROUND(D21-E21,1)</x:f>
        <x:v>127.7</x:v>
      </x:c>
      <x:c r="G21" s="23" t="str">
        <x:v>中证1000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5964.15</x:v>
      </x:c>
      <x:c r="E22" s="24" t="n">
        <x:v>5846.069</x:v>
      </x:c>
      <x:c r="F22" s="24" t="n">
        <x:f>ROUND(D22-E22,1)</x:f>
        <x:v>118.1</x:v>
      </x:c>
      <x:c r="G22" s="23" t="str">
        <x:v>中证1000</x:v>
      </x:c>
    </x:row>
    <x:row r="23">
      <x:c r="A23" s="33" t="str">
        <x:v>合计</x:v>
      </x:c>
      <x:c r="B23" s="32" t="n">
        <x:v>18</x:v>
      </x:c>
      <x:c r="C23" s="32"/>
      <x:c r="D23" s="32"/>
      <x:c r="E23" s="32"/>
      <x:c r="F23" s="34" t="n">
        <x:f>ROUND(SUM(F5:F22),1)</x:f>
        <x:v>2516.6</x:v>
      </x:c>
      <x:c r="G23" s="32"/>
    </x:row>
    <x:row r="24">
      <x:c r="A24" s="33" t="str">
        <x:v>均值</x:v>
      </x:c>
      <x:c r="B24" s="32"/>
      <x:c r="C24" s="32"/>
      <x:c r="D24" s="32"/>
      <x:c r="E24" s="32"/>
      <x:c r="F24" s="36" t="n">
        <x:f>ROUND(IFERROR(AVERAGE(F5:F22),0),1)</x:f>
        <x:v>139.8</x:v>
      </x:c>
      <x:c r="G24" s="32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高点</x:v>
      </x:c>
      <x:c r="E27" s="20" t="str">
        <x:v>低点</x:v>
      </x:c>
      <x:c r="F27" s="20" t="str">
        <x:v>振幅</x:v>
      </x:c>
      <x:c r="G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5928.88</x:v>
      </x:c>
      <x:c r="E28" s="24" t="n">
        <x:v>5851.595</x:v>
      </x:c>
      <x:c r="F28" s="24" t="n">
        <x:f>ROUND(D28-E28,1)</x:f>
        <x:v>77.3</x:v>
      </x:c>
      <x:c r="G28" s="23" t="str">
        <x:v>中证1000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6042.019</x:v>
      </x:c>
      <x:c r="E29" s="24" t="n">
        <x:v>5853.746</x:v>
      </x:c>
      <x:c r="F29" s="26" t="n">
        <x:f>ROUND(D29-E29,1)</x:f>
        <x:v>188.3</x:v>
      </x:c>
      <x:c r="G29" s="23" t="str">
        <x:v>中证1000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6198.748</x:v>
      </x:c>
      <x:c r="E30" s="24" t="n">
        <x:v>6042.261</x:v>
      </x:c>
      <x:c r="F30" s="24" t="n">
        <x:f>ROUND(D30-E30,1)</x:f>
        <x:v>156.5</x:v>
      </x:c>
      <x:c r="G30" s="23" t="str">
        <x:v>中证1000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6218.066</x:v>
      </x:c>
      <x:c r="E31" s="24" t="n">
        <x:v>6126.082</x:v>
      </x:c>
      <x:c r="F31" s="24" t="n">
        <x:f>ROUND(D31-E31,1)</x:f>
        <x:v>92</x:v>
      </x:c>
      <x:c r="G31" s="23" t="str">
        <x:v>中证1000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6220.964</x:v>
      </x:c>
      <x:c r="E32" s="24" t="n">
        <x:v>6135.866</x:v>
      </x:c>
      <x:c r="F32" s="24" t="n">
        <x:f>ROUND(D32-E32,1)</x:f>
        <x:v>85.1</x:v>
      </x:c>
      <x:c r="G32" s="23" t="str">
        <x:v>中证1000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6284.918</x:v>
      </x:c>
      <x:c r="E33" s="24" t="n">
        <x:v>6171.061</x:v>
      </x:c>
      <x:c r="F33" s="24" t="n">
        <x:f>ROUND(D33-E33,1)</x:f>
        <x:v>113.9</x:v>
      </x:c>
      <x:c r="G33" s="23" t="str">
        <x:v>中证1000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6290.79</x:v>
      </x:c>
      <x:c r="E34" s="24" t="n">
        <x:v>6202.593</x:v>
      </x:c>
      <x:c r="F34" s="24" t="n">
        <x:f>ROUND(D34-E34,1)</x:f>
        <x:v>88.2</x:v>
      </x:c>
      <x:c r="G34" s="23" t="str">
        <x:v>中证1000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6257.306</x:v>
      </x:c>
      <x:c r="E35" s="24" t="n">
        <x:v>6182.264</x:v>
      </x:c>
      <x:c r="F35" s="24" t="n">
        <x:f>ROUND(D35-E35,1)</x:f>
        <x:v>75</x:v>
      </x:c>
      <x:c r="G35" s="23" t="str">
        <x:v>中证1000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6308.484</x:v>
      </x:c>
      <x:c r="E36" s="24" t="n">
        <x:v>6231.868</x:v>
      </x:c>
      <x:c r="F36" s="24" t="n">
        <x:f>ROUND(D36-E36,1)</x:f>
        <x:v>76.6</x:v>
      </x:c>
      <x:c r="G36" s="23" t="str">
        <x:v>中证1000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6282.404</x:v>
      </x:c>
      <x:c r="E37" s="24" t="n">
        <x:v>6112.585</x:v>
      </x:c>
      <x:c r="F37" s="24" t="n">
        <x:f>ROUND(D37-E37,1)</x:f>
        <x:v>169.8</x:v>
      </x:c>
      <x:c r="G37" s="23" t="str">
        <x:v>中证1000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6290.013</x:v>
      </x:c>
      <x:c r="E38" s="24" t="n">
        <x:v>6133.942</x:v>
      </x:c>
      <x:c r="F38" s="24" t="n">
        <x:f>ROUND(D38-E38,1)</x:f>
        <x:v>156.1</x:v>
      </x:c>
      <x:c r="G38" s="23" t="str">
        <x:v>中证1000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6349.474</x:v>
      </x:c>
      <x:c r="E39" s="24" t="n">
        <x:v>6274.031</x:v>
      </x:c>
      <x:c r="F39" s="24" t="n">
        <x:f>ROUND(D39-E39,1)</x:f>
        <x:v>75.4</x:v>
      </x:c>
      <x:c r="G39" s="23" t="str">
        <x:v>中证1000</x:v>
      </x:c>
    </x:row>
    <x:row r="40">
      <x:c r="A40" s="29" t="n">
        <x:v>13</x:v>
      </x:c>
      <x:c r="B40" s="29" t="str">
        <x:v>周五</x:v>
      </x:c>
      <x:c r="C40" s="29" t="str">
        <x:v>2月21日</x:v>
      </x:c>
      <x:c r="D40" s="30" t="n">
        <x:v>6456.919</x:v>
      </x:c>
      <x:c r="E40" s="30" t="n">
        <x:v>6317.085</x:v>
      </x:c>
      <x:c r="F40" s="30" t="n">
        <x:f>ROUND(D40-E40,1)</x:f>
        <x:v>139.8</x:v>
      </x:c>
      <x:c r="G40" s="29" t="str">
        <x:v>中证1000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6504.4</x:v>
      </x:c>
      <x:c r="E41" s="24" t="n">
        <x:v>6411.766</x:v>
      </x:c>
      <x:c r="F41" s="24" t="n">
        <x:f>ROUND(D41-E41,1)</x:f>
        <x:v>92.6</x:v>
      </x:c>
      <x:c r="G41" s="23" t="str">
        <x:v>中证1000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6503.007</x:v>
      </x:c>
      <x:c r="E42" s="24" t="n">
        <x:v>6359.836</x:v>
      </x:c>
      <x:c r="F42" s="24" t="n">
        <x:f>ROUND(D42-E42,1)</x:f>
        <x:v>143.2</x:v>
      </x:c>
      <x:c r="G42" s="23" t="str">
        <x:v>中证1000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6527.846</x:v>
      </x:c>
      <x:c r="E43" s="24" t="n">
        <x:v>6423.603</x:v>
      </x:c>
      <x:c r="F43" s="24" t="n">
        <x:f>ROUND(D43-E43,1)</x:f>
        <x:v>104.2</x:v>
      </x:c>
      <x:c r="G43" s="23" t="str">
        <x:v>中证1000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6550.1</x:v>
      </x:c>
      <x:c r="E44" s="24" t="n">
        <x:v>6395.908</x:v>
      </x:c>
      <x:c r="F44" s="24" t="n">
        <x:f>ROUND(D44-E44,1)</x:f>
        <x:v>154.2</x:v>
      </x:c>
      <x:c r="G44" s="23" t="str">
        <x:v>中证1000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6468.796</x:v>
      </x:c>
      <x:c r="E45" s="24" t="n">
        <x:v>6252.014</x:v>
      </x:c>
      <x:c r="F45" s="26" t="n">
        <x:f>ROUND(D45-E45,1)</x:f>
        <x:v>216.8</x:v>
      </x:c>
      <x:c r="G45" s="23" t="str">
        <x:v>中证1000</x:v>
      </x:c>
    </x:row>
    <x:row r="46">
      <x:c r="A46" s="33" t="str">
        <x:v>合计</x:v>
      </x:c>
      <x:c r="B46" s="32" t="n">
        <x:v>18</x:v>
      </x:c>
      <x:c r="C46" s="32"/>
      <x:c r="D46" s="32"/>
      <x:c r="E46" s="32"/>
      <x:c r="F46" s="34" t="n">
        <x:f>ROUND(SUM(F28:F45),1)</x:f>
        <x:v>2205</x:v>
      </x:c>
      <x:c r="G46" s="32"/>
    </x:row>
    <x:row r="47">
      <x:c r="A47" s="33" t="str">
        <x:v>均值</x:v>
      </x:c>
      <x:c r="B47" s="32"/>
      <x:c r="C47" s="32"/>
      <x:c r="D47" s="32"/>
      <x:c r="E47" s="32"/>
      <x:c r="F47" s="36" t="n">
        <x:f>ROUND(IFERROR(AVERAGE(F28:F45),0),1)</x:f>
        <x:v>122.5</x:v>
      </x:c>
      <x:c r="G47" s="32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高点</x:v>
      </x:c>
      <x:c r="E50" s="20" t="str">
        <x:v>低点</x:v>
      </x:c>
      <x:c r="F50" s="20" t="str">
        <x:v>振幅</x:v>
      </x:c>
      <x:c r="G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6382.048</x:v>
      </x:c>
      <x:c r="E51" s="24" t="n">
        <x:v>6240.568</x:v>
      </x:c>
      <x:c r="F51" s="24" t="n">
        <x:f>ROUND(D51-E51,1)</x:f>
        <x:v>141.5</x:v>
      </x:c>
      <x:c r="G51" s="23" t="str">
        <x:v>中证1000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6364.121</x:v>
      </x:c>
      <x:c r="E52" s="24" t="n">
        <x:v>6217.81</x:v>
      </x:c>
      <x:c r="F52" s="24" t="n">
        <x:f>ROUND(D52-E52,1)</x:f>
        <x:v>146.3</x:v>
      </x:c>
      <x:c r="G52" s="23" t="str">
        <x:v>中证1000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6401.831</x:v>
      </x:c>
      <x:c r="E53" s="24" t="n">
        <x:v>6318.287</x:v>
      </x:c>
      <x:c r="F53" s="24" t="n">
        <x:f>ROUND(D53-E53,1)</x:f>
        <x:v>83.5</x:v>
      </x:c>
      <x:c r="G53" s="23" t="str">
        <x:v>中证1000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6548.855</x:v>
      </x:c>
      <x:c r="E54" s="24" t="n">
        <x:v>6435.543</x:v>
      </x:c>
      <x:c r="F54" s="24" t="n">
        <x:f>ROUND(D54-E54,1)</x:f>
        <x:v>113.3</x:v>
      </x:c>
      <x:c r="G54" s="23" t="str">
        <x:v>中证1000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6577.951</x:v>
      </x:c>
      <x:c r="E55" s="24" t="n">
        <x:v>6465.264</x:v>
      </x:c>
      <x:c r="F55" s="24" t="n">
        <x:f>ROUND(D55-E55,1)</x:f>
        <x:v>112.7</x:v>
      </x:c>
      <x:c r="G55" s="23" t="str">
        <x:v>中证1000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6541.593</x:v>
      </x:c>
      <x:c r="E56" s="24" t="n">
        <x:v>6466.903</x:v>
      </x:c>
      <x:c r="F56" s="24" t="n">
        <x:f>ROUND(D56-E56,1)</x:f>
        <x:v>74.7</x:v>
      </x:c>
      <x:c r="G56" s="23" t="str">
        <x:v>中证1000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6551.734</x:v>
      </x:c>
      <x:c r="E57" s="24" t="n">
        <x:v>6432.758</x:v>
      </x:c>
      <x:c r="F57" s="24" t="n">
        <x:f>ROUND(D57-E57,1)</x:f>
        <x:v>119</x:v>
      </x:c>
      <x:c r="G57" s="23" t="str">
        <x:v>中证1000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6632.388</x:v>
      </x:c>
      <x:c r="E58" s="24" t="n">
        <x:v>6564.716</x:v>
      </x:c>
      <x:c r="F58" s="24" t="n">
        <x:f>ROUND(D58-E58,1)</x:f>
        <x:v>67.7</x:v>
      </x:c>
      <x:c r="G58" s="23" t="str">
        <x:v>中证1000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6570.887</x:v>
      </x:c>
      <x:c r="E59" s="24" t="n">
        <x:v>6405.732</x:v>
      </x:c>
      <x:c r="F59" s="24" t="n">
        <x:f>ROUND(D59-E59,1)</x:f>
        <x:v>165.2</x:v>
      </x:c>
      <x:c r="G59" s="23" t="str">
        <x:v>中证1000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6575.819</x:v>
      </x:c>
      <x:c r="E60" s="24" t="n">
        <x:v>6428.225</x:v>
      </x:c>
      <x:c r="F60" s="24" t="n">
        <x:f>ROUND(D60-E60,1)</x:f>
        <x:v>147.6</x:v>
      </x:c>
      <x:c r="G60" s="23" t="str">
        <x:v>中证1000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6609.889</x:v>
      </x:c>
      <x:c r="E61" s="24" t="n">
        <x:v>6557.634</x:v>
      </x:c>
      <x:c r="F61" s="24" t="n">
        <x:f>ROUND(D61-E61,1)</x:f>
        <x:v>52.3</x:v>
      </x:c>
      <x:c r="G61" s="23" t="str">
        <x:v>中证1000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6642.857</x:v>
      </x:c>
      <x:c r="E62" s="24" t="n">
        <x:v>6581.965</x:v>
      </x:c>
      <x:c r="F62" s="24" t="n">
        <x:f>ROUND(D62-E62,1)</x:f>
        <x:v>60.9</x:v>
      </x:c>
      <x:c r="G62" s="23" t="str">
        <x:v>中证1000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6598.508</x:v>
      </x:c>
      <x:c r="E63" s="24" t="n">
        <x:v>6536.716</x:v>
      </x:c>
      <x:c r="F63" s="24" t="n">
        <x:f>ROUND(D63-E63,1)</x:f>
        <x:v>61.8</x:v>
      </x:c>
      <x:c r="G63" s="23" t="str">
        <x:v>中证1000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6596.271</x:v>
      </x:c>
      <x:c r="E64" s="24" t="n">
        <x:v>6528.858</x:v>
      </x:c>
      <x:c r="F64" s="24" t="n">
        <x:f>ROUND(D64-E64,1)</x:f>
        <x:v>67.4</x:v>
      </x:c>
      <x:c r="G64" s="23" t="str">
        <x:v>中证1000</x:v>
      </x:c>
    </x:row>
    <x:row r="65">
      <x:c r="A65" s="29" t="n">
        <x:v>15</x:v>
      </x:c>
      <x:c r="B65" s="29" t="str">
        <x:v>周五</x:v>
      </x:c>
      <x:c r="C65" s="29" t="str">
        <x:v>3月21日</x:v>
      </x:c>
      <x:c r="D65" s="30" t="n">
        <x:v>6531.76</x:v>
      </x:c>
      <x:c r="E65" s="30" t="n">
        <x:v>6389.615</x:v>
      </x:c>
      <x:c r="F65" s="30" t="n">
        <x:f>ROUND(D65-E65,1)</x:f>
        <x:v>142.1</x:v>
      </x:c>
      <x:c r="G65" s="29" t="str">
        <x:v>中证1000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6412.518</x:v>
      </x:c>
      <x:c r="E66" s="24" t="n">
        <x:v>6244.868</x:v>
      </x:c>
      <x:c r="F66" s="24" t="n">
        <x:f>ROUND(D66-E66,1)</x:f>
        <x:v>167.6</x:v>
      </x:c>
      <x:c r="G66" s="23" t="str">
        <x:v>中证1000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6382.188</x:v>
      </x:c>
      <x:c r="E67" s="24" t="n">
        <x:v>6289.124</x:v>
      </x:c>
      <x:c r="F67" s="24" t="n">
        <x:f>ROUND(D67-E67,1)</x:f>
        <x:v>93.1</x:v>
      </x:c>
      <x:c r="G67" s="23" t="str">
        <x:v>中证1000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6371.101</x:v>
      </x:c>
      <x:c r="E68" s="24" t="n">
        <x:v>6297.329</x:v>
      </x:c>
      <x:c r="F68" s="24" t="n">
        <x:f>ROUND(D68-E68,1)</x:f>
        <x:v>73.8</x:v>
      </x:c>
      <x:c r="G68" s="23" t="str">
        <x:v>中证1000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6394.21</x:v>
      </x:c>
      <x:c r="E69" s="24" t="n">
        <x:v>6254.887</x:v>
      </x:c>
      <x:c r="F69" s="24" t="n">
        <x:f>ROUND(D69-E69,1)</x:f>
        <x:v>139.3</x:v>
      </x:c>
      <x:c r="G69" s="23" t="str">
        <x:v>中证1000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6356.804</x:v>
      </x:c>
      <x:c r="E70" s="24" t="n">
        <x:v>6261.686</x:v>
      </x:c>
      <x:c r="F70" s="24" t="n">
        <x:f>ROUND(D70-E70,1)</x:f>
        <x:v>95.1</x:v>
      </x:c>
      <x:c r="G70" s="23" t="str">
        <x:v>中证1000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6259.364</x:v>
      </x:c>
      <x:c r="E71" s="24" t="n">
        <x:v>6143.65</x:v>
      </x:c>
      <x:c r="F71" s="24" t="n">
        <x:f>ROUND(D71-E71,1)</x:f>
        <x:v>115.7</x:v>
      </x:c>
      <x:c r="G71" s="23" t="str">
        <x:v>中证1000</x:v>
      </x:c>
    </x:row>
    <x:row r="72">
      <x:c r="A72" s="33" t="str">
        <x:v>合计</x:v>
      </x:c>
      <x:c r="B72" s="32" t="n">
        <x:v>21</x:v>
      </x:c>
      <x:c r="C72" s="32"/>
      <x:c r="D72" s="32"/>
      <x:c r="E72" s="32"/>
      <x:c r="F72" s="34" t="n">
        <x:f>ROUND(SUM(F51:F71),1)</x:f>
        <x:v>2240.6</x:v>
      </x:c>
      <x:c r="G72" s="32"/>
    </x:row>
    <x:row r="73">
      <x:c r="A73" s="33" t="str">
        <x:v>均值</x:v>
      </x:c>
      <x:c r="B73" s="32"/>
      <x:c r="C73" s="32"/>
      <x:c r="D73" s="32"/>
      <x:c r="E73" s="32"/>
      <x:c r="F73" s="36" t="n">
        <x:f>ROUND(IFERROR(AVERAGE(F51:F71),0),1)</x:f>
        <x:v>106.7</x:v>
      </x:c>
      <x:c r="G73" s="32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高点</x:v>
      </x:c>
      <x:c r="E76" s="20" t="str">
        <x:v>低点</x:v>
      </x:c>
      <x:c r="F76" s="20" t="str">
        <x:v>振幅</x:v>
      </x:c>
      <x:c r="G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6300.666</x:v>
      </x:c>
      <x:c r="E77" s="24" t="n">
        <x:v>6240.204</x:v>
      </x:c>
      <x:c r="F77" s="24" t="n">
        <x:f>ROUND(D77-E77,1)</x:f>
        <x:v>60.5</x:v>
      </x:c>
      <x:c r="G77" s="23" t="str">
        <x:v>中证1000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6316.636</x:v>
      </x:c>
      <x:c r="E78" s="24" t="n">
        <x:v>6251.852</x:v>
      </x:c>
      <x:c r="F78" s="24" t="n">
        <x:f>ROUND(D78-E78,1)</x:f>
        <x:v>64.8</x:v>
      </x:c>
      <x:c r="G78" s="23" t="str">
        <x:v>中证1000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6299.165</x:v>
      </x:c>
      <x:c r="E79" s="24" t="n">
        <x:v>6168.535</x:v>
      </x:c>
      <x:c r="F79" s="24" t="n">
        <x:f>ROUND(D79-E79,1)</x:f>
        <x:v>130.6</x:v>
      </x:c>
      <x:c r="G79" s="23" t="str">
        <x:v>中证1000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5905.573</x:v>
      </x:c>
      <x:c r="E80" s="24" t="n">
        <x:v>5437.453</x:v>
      </x:c>
      <x:c r="F80" s="26" t="n">
        <x:f>ROUND(D80-E80,1)</x:f>
        <x:v>468.1</x:v>
      </x:c>
      <x:c r="G80" s="23" t="str">
        <x:v>中证1000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5632.641</x:v>
      </x:c>
      <x:c r="E81" s="24" t="n">
        <x:v>5426.034</x:v>
      </x:c>
      <x:c r="F81" s="26" t="n">
        <x:f>ROUND(D81-E81,1)</x:f>
        <x:v>206.6</x:v>
      </x:c>
      <x:c r="G81" s="23" t="str">
        <x:v>中证1000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5688.485</x:v>
      </x:c>
      <x:c r="E82" s="24" t="n">
        <x:v>5224.973</x:v>
      </x:c>
      <x:c r="F82" s="26" t="n">
        <x:f>ROUND(D82-E82,1)</x:f>
        <x:v>463.5</x:v>
      </x:c>
      <x:c r="G82" s="23" t="str">
        <x:v>中证1000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5883.459</x:v>
      </x:c>
      <x:c r="E83" s="24" t="n">
        <x:v>5766.406</x:v>
      </x:c>
      <x:c r="F83" s="24" t="n">
        <x:f>ROUND(D83-E83,1)</x:f>
        <x:v>117.1</x:v>
      </x:c>
      <x:c r="G83" s="23" t="str">
        <x:v>中证1000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5923.136</x:v>
      </x:c>
      <x:c r="E84" s="24" t="n">
        <x:v>5743.078</x:v>
      </x:c>
      <x:c r="F84" s="26" t="n">
        <x:f>ROUND(D84-E84,1)</x:f>
        <x:v>180.1</x:v>
      </x:c>
      <x:c r="G84" s="23" t="str">
        <x:v>中证1000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5979.902</x:v>
      </x:c>
      <x:c r="E85" s="24" t="n">
        <x:v>5914.254</x:v>
      </x:c>
      <x:c r="F85" s="24" t="n">
        <x:f>ROUND(D85-E85,1)</x:f>
        <x:v>65.6</x:v>
      </x:c>
      <x:c r="G85" s="23" t="str">
        <x:v>中证1000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5949.861</x:v>
      </x:c>
      <x:c r="E86" s="24" t="n">
        <x:v>5872.287</x:v>
      </x:c>
      <x:c r="F86" s="24" t="n">
        <x:f>ROUND(D86-E86,1)</x:f>
        <x:v>77.6</x:v>
      </x:c>
      <x:c r="G86" s="23" t="str">
        <x:v>中证1000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5903.119</x:v>
      </x:c>
      <x:c r="E87" s="24" t="n">
        <x:v>5758.666</x:v>
      </x:c>
      <x:c r="F87" s="24" t="n">
        <x:f>ROUND(D87-E87,1)</x:f>
        <x:v>144.5</x:v>
      </x:c>
      <x:c r="G87" s="23" t="str">
        <x:v>中证1000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5898.179</x:v>
      </x:c>
      <x:c r="E88" s="24" t="n">
        <x:v>5801.12</x:v>
      </x:c>
      <x:c r="F88" s="24" t="n">
        <x:f>ROUND(D88-E88,1)</x:f>
        <x:v>97.1</x:v>
      </x:c>
      <x:c r="G88" s="23" t="str">
        <x:v>中证1000</x:v>
      </x:c>
    </x:row>
    <x:row r="89">
      <x:c r="A89" s="29" t="n">
        <x:v>13</x:v>
      </x:c>
      <x:c r="B89" s="29" t="str">
        <x:v>周五</x:v>
      </x:c>
      <x:c r="C89" s="29" t="str">
        <x:v>4月18日</x:v>
      </x:c>
      <x:c r="D89" s="30" t="n">
        <x:v>5855.692</x:v>
      </x:c>
      <x:c r="E89" s="30" t="n">
        <x:v>5793.787</x:v>
      </x:c>
      <x:c r="F89" s="30" t="n">
        <x:f>ROUND(D89-E89,1)</x:f>
        <x:v>61.9</x:v>
      </x:c>
      <x:c r="G89" s="29" t="str">
        <x:v>中证1000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5952.718</x:v>
      </x:c>
      <x:c r="E90" s="24" t="n">
        <x:v>5802.835</x:v>
      </x:c>
      <x:c r="F90" s="24" t="n">
        <x:f>ROUND(D90-E90,1)</x:f>
        <x:v>149.9</x:v>
      </x:c>
      <x:c r="G90" s="23" t="str">
        <x:v>中证1000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5974.317</x:v>
      </x:c>
      <x:c r="E91" s="24" t="n">
        <x:v>5923.589</x:v>
      </x:c>
      <x:c r="F91" s="24" t="n">
        <x:f>ROUND(D91-E91,1)</x:f>
        <x:v>50.7</x:v>
      </x:c>
      <x:c r="G91" s="23" t="str">
        <x:v>中证1000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6013.275</x:v>
      </x:c>
      <x:c r="E92" s="24" t="n">
        <x:v>5954.027</x:v>
      </x:c>
      <x:c r="F92" s="24" t="n">
        <x:f>ROUND(D92-E92,1)</x:f>
        <x:v>59.2</x:v>
      </x:c>
      <x:c r="G92" s="23" t="str">
        <x:v>中证1000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5984.367</x:v>
      </x:c>
      <x:c r="E93" s="24" t="n">
        <x:v>5897.65</x:v>
      </x:c>
      <x:c r="F93" s="24" t="n">
        <x:f>ROUND(D93-E93,1)</x:f>
        <x:v>86.7</x:v>
      </x:c>
      <x:c r="G93" s="23" t="str">
        <x:v>中证1000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5982.715</x:v>
      </x:c>
      <x:c r="E94" s="24" t="n">
        <x:v>5901.077</x:v>
      </x:c>
      <x:c r="F94" s="24" t="n">
        <x:f>ROUND(D94-E94,1)</x:f>
        <x:v>81.6</x:v>
      </x:c>
      <x:c r="G94" s="23" t="str">
        <x:v>中证1000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5939.958</x:v>
      </x:c>
      <x:c r="E95" s="24" t="n">
        <x:v>5868.872</x:v>
      </x:c>
      <x:c r="F95" s="24" t="n">
        <x:f>ROUND(D95-E95,1)</x:f>
        <x:v>71.1</x:v>
      </x:c>
      <x:c r="G95" s="23" t="str">
        <x:v>中证1000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5921.556</x:v>
      </x:c>
      <x:c r="E96" s="24" t="n">
        <x:v>5836.031</x:v>
      </x:c>
      <x:c r="F96" s="24" t="n">
        <x:f>ROUND(D96-E96,1)</x:f>
        <x:v>85.5</x:v>
      </x:c>
      <x:c r="G96" s="23" t="str">
        <x:v>中证1000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5972.655</x:v>
      </x:c>
      <x:c r="E97" s="24" t="n">
        <x:v>5907.188</x:v>
      </x:c>
      <x:c r="F97" s="24" t="n">
        <x:f>ROUND(D97-E97,1)</x:f>
        <x:v>65.5</x:v>
      </x:c>
      <x:c r="G97" s="23" t="str">
        <x:v>中证1000</x:v>
      </x:c>
    </x:row>
    <x:row r="98">
      <x:c r="A98" s="33" t="str">
        <x:v>合计</x:v>
      </x:c>
      <x:c r="B98" s="32" t="n">
        <x:v>21</x:v>
      </x:c>
      <x:c r="C98" s="32"/>
      <x:c r="D98" s="32"/>
      <x:c r="E98" s="32"/>
      <x:c r="F98" s="34" t="n">
        <x:f>ROUND(SUM(F77:F97),1)</x:f>
        <x:v>2788.2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ROUND(IFERROR(AVERAGE(F77:F97),0),1)</x:f>
        <x:v>132.8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6102.922</x:v>
      </x:c>
      <x:c r="E103" s="24" t="n">
        <x:v>5993.334</x:v>
      </x:c>
      <x:c r="F103" s="24" t="n">
        <x:f>ROUND(D103-E103,1)</x:f>
        <x:v>109.6</x:v>
      </x:c>
      <x:c r="G103" s="23" t="str">
        <x:v>中证1000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6195.139</x:v>
      </x:c>
      <x:c r="E104" s="24" t="n">
        <x:v>6063.644</x:v>
      </x:c>
      <x:c r="F104" s="24" t="n">
        <x:f>ROUND(D104-E104,1)</x:f>
        <x:v>131.5</x:v>
      </x:c>
      <x:c r="G104" s="23" t="str">
        <x:v>中证1000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6167.146</x:v>
      </x:c>
      <x:c r="E105" s="24" t="n">
        <x:v>6087.372</x:v>
      </x:c>
      <x:c r="F105" s="24" t="n">
        <x:f>ROUND(D105-E105,1)</x:f>
        <x:v>79.8</x:v>
      </x:c>
      <x:c r="G105" s="23" t="str">
        <x:v>中证1000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6153.529</x:v>
      </x:c>
      <x:c r="E106" s="24" t="n">
        <x:v>6054.935</x:v>
      </x:c>
      <x:c r="F106" s="24" t="n">
        <x:f>ROUND(D106-E106,1)</x:f>
        <x:v>98.6</x:v>
      </x:c>
      <x:c r="G106" s="23" t="str">
        <x:v>中证1000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6167.461</x:v>
      </x:c>
      <x:c r="E107" s="24" t="n">
        <x:v>6110.022</x:v>
      </x:c>
      <x:c r="F107" s="24" t="n">
        <x:f>ROUND(D107-E107,1)</x:f>
        <x:v>57.4</x:v>
      </x:c>
      <x:c r="G107" s="23" t="str">
        <x:v>中证1000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6220.445</x:v>
      </x:c>
      <x:c r="E108" s="24" t="n">
        <x:v>6141.68</x:v>
      </x:c>
      <x:c r="F108" s="24" t="n">
        <x:f>ROUND(D108-E108,1)</x:f>
        <x:v>78.8</x:v>
      </x:c>
      <x:c r="G108" s="23" t="str">
        <x:v>中证1000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6199.299</x:v>
      </x:c>
      <x:c r="E109" s="24" t="n">
        <x:v>6111.112</x:v>
      </x:c>
      <x:c r="F109" s="24" t="n">
        <x:f>ROUND(D109-E109,1)</x:f>
        <x:v>88.2</x:v>
      </x:c>
      <x:c r="G109" s="23" t="str">
        <x:v>中证1000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6146.002</x:v>
      </x:c>
      <x:c r="E110" s="24" t="n">
        <x:v>6055.839</x:v>
      </x:c>
      <x:c r="F110" s="24" t="n">
        <x:f>ROUND(D110-E110,1)</x:f>
        <x:v>90.2</x:v>
      </x:c>
      <x:c r="G110" s="23" t="str">
        <x:v>中证1000</x:v>
      </x:c>
    </x:row>
    <x:row r="111">
      <x:c r="A111" s="29" t="n">
        <x:v>9</x:v>
      </x:c>
      <x:c r="B111" s="29" t="str">
        <x:v>周五</x:v>
      </x:c>
      <x:c r="C111" s="29" t="str">
        <x:v>5月16日</x:v>
      </x:c>
      <x:c r="D111" s="30" t="n">
        <x:v>6098.878</x:v>
      </x:c>
      <x:c r="E111" s="30" t="n">
        <x:v>6042.22</x:v>
      </x:c>
      <x:c r="F111" s="30" t="n">
        <x:f>ROUND(D111-E111,1)</x:f>
        <x:v>56.7</x:v>
      </x:c>
      <x:c r="G111" s="29" t="str">
        <x:v>中证1000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6100.802</x:v>
      </x:c>
      <x:c r="E112" s="24" t="n">
        <x:v>6009.951</x:v>
      </x:c>
      <x:c r="F112" s="24" t="n">
        <x:f>ROUND(D112-E112,1)</x:f>
        <x:v>90.9</x:v>
      </x:c>
      <x:c r="G112" s="23" t="str">
        <x:v>中证1000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6154.954</x:v>
      </x:c>
      <x:c r="E113" s="24" t="n">
        <x:v>6078.218</x:v>
      </x:c>
      <x:c r="F113" s="24" t="n">
        <x:f>ROUND(D113-E113,1)</x:f>
        <x:v>76.7</x:v>
      </x:c>
      <x:c r="G113" s="23" t="str">
        <x:v>中证1000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6141.726</x:v>
      </x:c>
      <x:c r="E114" s="24" t="n">
        <x:v>6109.925</x:v>
      </x:c>
      <x:c r="F114" s="24" t="n">
        <x:f>ROUND(D114-E114,1)</x:f>
        <x:v>31.8</x:v>
      </x:c>
      <x:c r="G114" s="23" t="str">
        <x:v>中证1000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6146.201</x:v>
      </x:c>
      <x:c r="E115" s="24" t="n">
        <x:v>6062.593</x:v>
      </x:c>
      <x:c r="F115" s="24" t="n">
        <x:f>ROUND(D115-E115,1)</x:f>
        <x:v>83.6</x:v>
      </x:c>
      <x:c r="G115" s="23" t="str">
        <x:v>中证1000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6099.227</x:v>
      </x:c>
      <x:c r="E116" s="24" t="n">
        <x:v>5989.675</x:v>
      </x:c>
      <x:c r="F116" s="24" t="n">
        <x:f>ROUND(D116-E116,1)</x:f>
        <x:v>109.6</x:v>
      </x:c>
      <x:c r="G116" s="23" t="str">
        <x:v>中证1000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6038.806</x:v>
      </x:c>
      <x:c r="E117" s="24" t="n">
        <x:v>5981.842</x:v>
      </x:c>
      <x:c r="F117" s="24" t="n">
        <x:f>ROUND(D117-E117,1)</x:f>
        <x:v>57</x:v>
      </x:c>
      <x:c r="G117" s="23" t="str">
        <x:v>中证1000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6023.144</x:v>
      </x:c>
      <x:c r="E118" s="24" t="n">
        <x:v>5971.347</x:v>
      </x:c>
      <x:c r="F118" s="24" t="n">
        <x:f>ROUND(D118-E118,1)</x:f>
        <x:v>51.8</x:v>
      </x:c>
      <x:c r="G118" s="23" t="str">
        <x:v>中证1000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6023.825</x:v>
      </x:c>
      <x:c r="E119" s="24" t="n">
        <x:v>5972.184</x:v>
      </x:c>
      <x:c r="F119" s="24" t="n">
        <x:f>ROUND(D119-E119,1)</x:f>
        <x:v>51.6</x:v>
      </x:c>
      <x:c r="G119" s="23" t="str">
        <x:v>中证1000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6091.962</x:v>
      </x:c>
      <x:c r="E120" s="24" t="n">
        <x:v>5980.857</x:v>
      </x:c>
      <x:c r="F120" s="24" t="n">
        <x:f>ROUND(D120-E120,1)</x:f>
        <x:v>111.1</x:v>
      </x:c>
      <x:c r="G120" s="23" t="str">
        <x:v>中证1000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6075.45</x:v>
      </x:c>
      <x:c r="E121" s="24" t="n">
        <x:v>6016.891</x:v>
      </x:c>
      <x:c r="F121" s="24" t="n">
        <x:f>ROUND(D121-E121,1)</x:f>
        <x:v>58.6</x:v>
      </x:c>
      <x:c r="G121" s="23" t="str">
        <x:v>中证1000</x:v>
      </x:c>
    </x:row>
    <x:row r="122">
      <x:c r="A122" s="33" t="str">
        <x:v>合计</x:v>
      </x:c>
      <x:c r="B122" s="32" t="n">
        <x:v>19</x:v>
      </x:c>
      <x:c r="C122" s="32"/>
      <x:c r="D122" s="32"/>
      <x:c r="E122" s="32"/>
      <x:c r="F122" s="34" t="n">
        <x:f>ROUND(SUM(F103:F121),1)</x:f>
        <x:v>1513.5</x:v>
      </x:c>
      <x:c r="G122" s="32"/>
    </x:row>
    <x:row r="123">
      <x:c r="A123" s="33" t="str">
        <x:v>均值</x:v>
      </x:c>
      <x:c r="B123" s="32"/>
      <x:c r="C123" s="32"/>
      <x:c r="D123" s="32"/>
      <x:c r="E123" s="32"/>
      <x:c r="F123" s="36" t="n">
        <x:f>ROUND(IFERROR(AVERAGE(F103:F121),0),1)</x:f>
        <x:v>79.7</x:v>
      </x:c>
      <x:c r="G123" s="32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高点</x:v>
      </x:c>
      <x:c r="E126" s="20" t="str">
        <x:v>低点</x:v>
      </x:c>
      <x:c r="F126" s="20" t="str">
        <x:v>振幅</x:v>
      </x:c>
      <x:c r="G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6086.616</x:v>
      </x:c>
      <x:c r="E127" s="24" t="n">
        <x:v>6008.545</x:v>
      </x:c>
      <x:c r="F127" s="24" t="n">
        <x:f>ROUND(D127-E127,1)</x:f>
        <x:v>78.1</x:v>
      </x:c>
      <x:c r="G127" s="23" t="str">
        <x:v>中证1000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6124.703</x:v>
      </x:c>
      <x:c r="E128" s="24" t="n">
        <x:v>6067.827</x:v>
      </x:c>
      <x:c r="F128" s="24" t="n">
        <x:f>ROUND(D128-E128,1)</x:f>
        <x:v>56.9</x:v>
      </x:c>
      <x:c r="G128" s="23" t="str">
        <x:v>中证1000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6174.85</x:v>
      </x:c>
      <x:c r="E129" s="24" t="n">
        <x:v>6101.846</x:v>
      </x:c>
      <x:c r="F129" s="24" t="n">
        <x:f>ROUND(D129-E129,1)</x:f>
        <x:v>73</x:v>
      </x:c>
      <x:c r="G129" s="23" t="str">
        <x:v>中证1000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6169.568</x:v>
      </x:c>
      <x:c r="E130" s="24" t="n">
        <x:v>6137.565</x:v>
      </x:c>
      <x:c r="F130" s="24" t="n">
        <x:f>ROUND(D130-E130,1)</x:f>
        <x:v>32</x:v>
      </x:c>
      <x:c r="G130" s="23" t="str">
        <x:v>中证1000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6226.383</x:v>
      </x:c>
      <x:c r="E131" s="24" t="n">
        <x:v>6158.903</x:v>
      </x:c>
      <x:c r="F131" s="24" t="n">
        <x:f>ROUND(D131-E131,1)</x:f>
        <x:v>67.5</x:v>
      </x:c>
      <x:c r="G131" s="23" t="str">
        <x:v>中证1000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6220.042</x:v>
      </x:c>
      <x:c r="E132" s="24" t="n">
        <x:v>6098.089</x:v>
      </x:c>
      <x:c r="F132" s="24" t="n">
        <x:f>ROUND(D132-E132,1)</x:f>
        <x:v>122</x:v>
      </x:c>
      <x:c r="G132" s="23" t="str">
        <x:v>中证1000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6221.202</x:v>
      </x:c>
      <x:c r="E133" s="24" t="n">
        <x:v>6162.157</x:v>
      </x:c>
      <x:c r="F133" s="24" t="n">
        <x:f>ROUND(D133-E133,1)</x:f>
        <x:v>59</x:v>
      </x:c>
      <x:c r="G133" s="23" t="str">
        <x:v>中证1000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6202.727</x:v>
      </x:c>
      <x:c r="E134" s="24" t="n">
        <x:v>6151.036</x:v>
      </x:c>
      <x:c r="F134" s="24" t="n">
        <x:f>ROUND(D134-E134,1)</x:f>
        <x:v>51.7</x:v>
      </x:c>
      <x:c r="G134" s="23" t="str">
        <x:v>中证1000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6183.714</x:v>
      </x:c>
      <x:c r="E135" s="24" t="n">
        <x:v>6088.571</x:v>
      </x:c>
      <x:c r="F135" s="24" t="n">
        <x:f>ROUND(D135-E135,1)</x:f>
        <x:v>95.1</x:v>
      </x:c>
      <x:c r="G135" s="23" t="str">
        <x:v>中证1000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6151.513</x:v>
      </x:c>
      <x:c r="E136" s="24" t="n">
        <x:v>6089.963</x:v>
      </x:c>
      <x:c r="F136" s="24" t="n">
        <x:f>ROUND(D136-E136,1)</x:f>
        <x:v>61.6</x:v>
      </x:c>
      <x:c r="G136" s="23" t="str">
        <x:v>中证1000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6171.165</x:v>
      </x:c>
      <x:c r="E137" s="24" t="n">
        <x:v>6120.57</x:v>
      </x:c>
      <x:c r="F137" s="24" t="n">
        <x:f>ROUND(D137-E137,1)</x:f>
        <x:v>50.6</x:v>
      </x:c>
      <x:c r="G137" s="23" t="str">
        <x:v>中证1000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6143.209</x:v>
      </x:c>
      <x:c r="E138" s="24" t="n">
        <x:v>6086.694</x:v>
      </x:c>
      <x:c r="F138" s="24" t="n">
        <x:f>ROUND(D138-E138,1)</x:f>
        <x:v>56.5</x:v>
      </x:c>
      <x:c r="G138" s="23" t="str">
        <x:v>中证1000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6146.642</x:v>
      </x:c>
      <x:c r="E139" s="24" t="n">
        <x:v>6028.717</x:v>
      </x:c>
      <x:c r="F139" s="24" t="n">
        <x:f>ROUND(D139-E139,1)</x:f>
        <x:v>117.9</x:v>
      </x:c>
      <x:c r="G139" s="23" t="str">
        <x:v>中证1000</x:v>
      </x:c>
    </x:row>
    <x:row r="140">
      <x:c r="A140" s="29" t="n">
        <x:v>14</x:v>
      </x:c>
      <x:c r="B140" s="29" t="str">
        <x:v>周五</x:v>
      </x:c>
      <x:c r="C140" s="29" t="str">
        <x:v>6月20日</x:v>
      </x:c>
      <x:c r="D140" s="30" t="n">
        <x:v>6061.841</x:v>
      </x:c>
      <x:c r="E140" s="30" t="n">
        <x:v>5997.59</x:v>
      </x:c>
      <x:c r="F140" s="30" t="n">
        <x:f>ROUND(D140-E140,1)</x:f>
        <x:v>64.3</x:v>
      </x:c>
      <x:c r="G140" s="29" t="str">
        <x:v>中证1000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6083.527</x:v>
      </x:c>
      <x:c r="E141" s="24" t="n">
        <x:v>5965.663</x:v>
      </x:c>
      <x:c r="F141" s="24" t="n">
        <x:f>ROUND(D141-E141,1)</x:f>
        <x:v>117.9</x:v>
      </x:c>
      <x:c r="G141" s="23" t="str">
        <x:v>中证1000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6194.666</x:v>
      </x:c>
      <x:c r="E142" s="24" t="n">
        <x:v>6082.744</x:v>
      </x:c>
      <x:c r="F142" s="24" t="n">
        <x:f>ROUND(D142-E142,1)</x:f>
        <x:v>111.9</x:v>
      </x:c>
      <x:c r="G142" s="23" t="str">
        <x:v>中证1000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6282.112</x:v>
      </x:c>
      <x:c r="E143" s="24" t="n">
        <x:v>6194.148</x:v>
      </x:c>
      <x:c r="F143" s="24" t="n">
        <x:f>ROUND(D143-E143,1)</x:f>
        <x:v>88</x:v>
      </x:c>
      <x:c r="G143" s="23" t="str">
        <x:v>中证1000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6310.536</x:v>
      </x:c>
      <x:c r="E144" s="24" t="n">
        <x:v>6244.781</x:v>
      </x:c>
      <x:c r="F144" s="24" t="n">
        <x:f>ROUND(D144-E144,1)</x:f>
        <x:v>65.8</x:v>
      </x:c>
      <x:c r="G144" s="23" t="str">
        <x:v>中证1000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6319.161</x:v>
      </x:c>
      <x:c r="E145" s="24" t="n">
        <x:v>6257.587</x:v>
      </x:c>
      <x:c r="F145" s="24" t="n">
        <x:f>ROUND(D145-E145,1)</x:f>
        <x:v>61.6</x:v>
      </x:c>
      <x:c r="G145" s="23" t="str">
        <x:v>中证1000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6358.026</x:v>
      </x:c>
      <x:c r="E146" s="24" t="n">
        <x:v>6292.514</x:v>
      </x:c>
      <x:c r="F146" s="24" t="n">
        <x:f>ROUND(D146-E146,1)</x:f>
        <x:v>65.5</x:v>
      </x:c>
      <x:c r="G146" s="23" t="str">
        <x:v>中证1000</x:v>
      </x:c>
    </x:row>
    <x:row r="147">
      <x:c r="A147" s="33" t="str">
        <x:v>合计</x:v>
      </x:c>
      <x:c r="B147" s="32" t="n">
        <x:v>20</x:v>
      </x:c>
      <x:c r="C147" s="32"/>
      <x:c r="D147" s="32"/>
      <x:c r="E147" s="32"/>
      <x:c r="F147" s="34" t="n">
        <x:f>ROUND(SUM(F127:F146),1)</x:f>
        <x:v>1496.9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ROUND(IFERROR(AVERAGE(F127:F146),0),1)</x:f>
        <x:v>74.8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6373.768</x:v>
      </x:c>
      <x:c r="E152" s="24" t="n">
        <x:v>6308.061</x:v>
      </x:c>
      <x:c r="F152" s="24" t="n">
        <x:f>ROUND(D152-E152,1)</x:f>
        <x:v>65.7</x:v>
      </x:c>
      <x:c r="G152" s="23" t="str">
        <x:v>中证1000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6358.873</x:v>
      </x:c>
      <x:c r="E153" s="24" t="n">
        <x:v>6285</x:v>
      </x:c>
      <x:c r="F153" s="24" t="n">
        <x:f>ROUND(D153-E153,1)</x:f>
        <x:v>73.9</x:v>
      </x:c>
      <x:c r="G153" s="23" t="str">
        <x:v>中证1000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6349.145</x:v>
      </x:c>
      <x:c r="E154" s="24" t="n">
        <x:v>6295.225</x:v>
      </x:c>
      <x:c r="F154" s="24" t="n">
        <x:f>ROUND(D154-E154,1)</x:f>
        <x:v>53.9</x:v>
      </x:c>
      <x:c r="G154" s="23" t="str">
        <x:v>中证1000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6375.067</x:v>
      </x:c>
      <x:c r="E155" s="24" t="n">
        <x:v>6292.136</x:v>
      </x:c>
      <x:c r="F155" s="24" t="n">
        <x:f>ROUND(D155-E155,1)</x:f>
        <x:v>82.9</x:v>
      </x:c>
      <x:c r="G155" s="23" t="str">
        <x:v>中证1000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6333.512</x:v>
      </x:c>
      <x:c r="E156" s="24" t="n">
        <x:v>6303.862</x:v>
      </x:c>
      <x:c r="F156" s="24" t="n">
        <x:f>ROUND(D156-E156,1)</x:f>
        <x:v>29.6</x:v>
      </x:c>
      <x:c r="G156" s="23" t="str">
        <x:v>中证1000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6408.114</x:v>
      </x:c>
      <x:c r="E157" s="24" t="n">
        <x:v>6318.523</x:v>
      </x:c>
      <x:c r="F157" s="24" t="n">
        <x:f>ROUND(D157-E157,1)</x:f>
        <x:v>89.6</x:v>
      </x:c>
      <x:c r="G157" s="23" t="str">
        <x:v>中证1000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6431.091</x:v>
      </x:c>
      <x:c r="E158" s="24" t="n">
        <x:v>6375.082</x:v>
      </x:c>
      <x:c r="F158" s="24" t="n">
        <x:f>ROUND(D158-E158,1)</x:f>
        <x:v>56</x:v>
      </x:c>
      <x:c r="G158" s="23" t="str">
        <x:v>中证1000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6427.739</x:v>
      </x:c>
      <x:c r="E159" s="24" t="n">
        <x:v>6367.66</x:v>
      </x:c>
      <x:c r="F159" s="24" t="n">
        <x:f>ROUND(D159-E159,1)</x:f>
        <x:v>60.1</x:v>
      </x:c>
      <x:c r="G159" s="23" t="str">
        <x:v>中证1000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6487.44</x:v>
      </x:c>
      <x:c r="E160" s="24" t="n">
        <x:v>6388.402</x:v>
      </x:c>
      <x:c r="F160" s="24" t="n">
        <x:f>ROUND(D160-E160,1)</x:f>
        <x:v>99</x:v>
      </x:c>
      <x:c r="G160" s="23" t="str">
        <x:v>中证1000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6474.934</x:v>
      </x:c>
      <x:c r="E161" s="24" t="n">
        <x:v>6443.555</x:v>
      </x:c>
      <x:c r="F161" s="24" t="n">
        <x:f>ROUND(D161-E161,1)</x:f>
        <x:v>31.4</x:v>
      </x:c>
      <x:c r="G161" s="23" t="str">
        <x:v>中证1000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6472.527</x:v>
      </x:c>
      <x:c r="E162" s="24" t="n">
        <x:v>6381.557</x:v>
      </x:c>
      <x:c r="F162" s="24" t="n">
        <x:f>ROUND(D162-E162,1)</x:f>
        <x:v>91</x:v>
      </x:c>
      <x:c r="G162" s="23" t="str">
        <x:v>中证1000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6487.83</x:v>
      </x:c>
      <x:c r="E163" s="24" t="n">
        <x:v>6433.507</x:v>
      </x:c>
      <x:c r="F163" s="24" t="n">
        <x:f>ROUND(D163-E163,1)</x:f>
        <x:v>54.3</x:v>
      </x:c>
      <x:c r="G163" s="23" t="str">
        <x:v>中证1000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6535.671</x:v>
      </x:c>
      <x:c r="E164" s="24" t="n">
        <x:v>6451.153</x:v>
      </x:c>
      <x:c r="F164" s="24" t="n">
        <x:f>ROUND(D164-E164,1)</x:f>
        <x:v>84.5</x:v>
      </x:c>
      <x:c r="G164" s="23" t="str">
        <x:v>中证1000</x:v>
      </x:c>
    </x:row>
    <x:row r="165">
      <x:c r="A165" s="29" t="n">
        <x:v>14</x:v>
      </x:c>
      <x:c r="B165" s="29" t="str">
        <x:v>周五</x:v>
      </x:c>
      <x:c r="C165" s="29" t="str">
        <x:v>7月18日</x:v>
      </x:c>
      <x:c r="D165" s="30" t="n">
        <x:v>6563.817</x:v>
      </x:c>
      <x:c r="E165" s="30" t="n">
        <x:v>6521.5</x:v>
      </x:c>
      <x:c r="F165" s="30" t="n">
        <x:f>ROUND(D165-E165,1)</x:f>
        <x:v>42.3</x:v>
      </x:c>
      <x:c r="G165" s="29" t="str">
        <x:v>中证1000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6614.606</x:v>
      </x:c>
      <x:c r="E166" s="24" t="n">
        <x:v>6555.043</x:v>
      </x:c>
      <x:c r="F166" s="24" t="n">
        <x:f>ROUND(D166-E166,1)</x:f>
        <x:v>59.6</x:v>
      </x:c>
      <x:c r="G166" s="23" t="str">
        <x:v>中证1000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6642.235</x:v>
      </x:c>
      <x:c r="E167" s="24" t="n">
        <x:v>6597.048</x:v>
      </x:c>
      <x:c r="F167" s="24" t="n">
        <x:f>ROUND(D167-E167,1)</x:f>
        <x:v>45.2</x:v>
      </x:c>
      <x:c r="G167" s="23" t="str">
        <x:v>中证1000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6667.858</x:v>
      </x:c>
      <x:c r="E168" s="24" t="n">
        <x:v>6594.483</x:v>
      </x:c>
      <x:c r="F168" s="24" t="n">
        <x:f>ROUND(D168-E168,1)</x:f>
        <x:v>73.4</x:v>
      </x:c>
      <x:c r="G168" s="23" t="str">
        <x:v>中证1000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6701.12</x:v>
      </x:c>
      <x:c r="E169" s="24" t="n">
        <x:v>6602.169</x:v>
      </x:c>
      <x:c r="F169" s="24" t="n">
        <x:f>ROUND(D169-E169,1)</x:f>
        <x:v>99</x:v>
      </x:c>
      <x:c r="G169" s="23" t="str">
        <x:v>中证1000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6716.703</x:v>
      </x:c>
      <x:c r="E170" s="24" t="n">
        <x:v>6674.541</x:v>
      </x:c>
      <x:c r="F170" s="24" t="n">
        <x:f>ROUND(D170-E170,1)</x:f>
        <x:v>42.2</x:v>
      </x:c>
      <x:c r="G170" s="23" t="str">
        <x:v>中证1000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6736.079</x:v>
      </x:c>
      <x:c r="E171" s="24" t="n">
        <x:v>6679.211</x:v>
      </x:c>
      <x:c r="F171" s="24" t="n">
        <x:f>ROUND(D171-E171,1)</x:f>
        <x:v>56.9</x:v>
      </x:c>
      <x:c r="G171" s="23" t="str">
        <x:v>中证1000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6773.884</x:v>
      </x:c>
      <x:c r="E172" s="24" t="n">
        <x:v>6684.158</x:v>
      </x:c>
      <x:c r="F172" s="24" t="n">
        <x:f>ROUND(D172-E172,1)</x:f>
        <x:v>89.7</x:v>
      </x:c>
      <x:c r="G172" s="23" t="str">
        <x:v>中证1000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6770.883</x:v>
      </x:c>
      <x:c r="E173" s="24" t="n">
        <x:v>6662.906</x:v>
      </x:c>
      <x:c r="F173" s="24" t="n">
        <x:f>ROUND(D173-E173,1)</x:f>
        <x:v>108</x:v>
      </x:c>
      <x:c r="G173" s="23" t="str">
        <x:v>中证1000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6750.078</x:v>
      </x:c>
      <x:c r="E174" s="24" t="n">
        <x:v>6639.123</x:v>
      </x:c>
      <x:c r="F174" s="24" t="n">
        <x:f>ROUND(D174-E174,1)</x:f>
        <x:v>111</x:v>
      </x:c>
      <x:c r="G174" s="23" t="str">
        <x:v>中证1000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1599.2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69.5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6702.679</x:v>
      </x:c>
      <x:c r="E180" s="24" t="n">
        <x:v>6625.928</x:v>
      </x:c>
      <x:c r="F180" s="24" t="n">
        <x:f>ROUND(D180-E180,1)</x:f>
        <x:v>76.8</x:v>
      </x:c>
      <x:c r="G180" s="23" t="str">
        <x:v>中证1000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6739.725</x:v>
      </x:c>
      <x:c r="E181" s="24" t="n">
        <x:v>6631.124</x:v>
      </x:c>
      <x:c r="F181" s="24" t="n">
        <x:f>ROUND(D181-E181,1)</x:f>
        <x:v>108.6</x:v>
      </x:c>
      <x:c r="G181" s="23" t="str">
        <x:v>中证1000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6787.481</x:v>
      </x:c>
      <x:c r="E182" s="24" t="n">
        <x:v>6744.072</x:v>
      </x:c>
      <x:c r="F182" s="24" t="n">
        <x:f>ROUND(D182-E182,1)</x:f>
        <x:v>43.4</x:v>
      </x:c>
      <x:c r="G182" s="23" t="str">
        <x:v>中证1000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6865.017</x:v>
      </x:c>
      <x:c r="E183" s="24" t="n">
        <x:v>6774.033</x:v>
      </x:c>
      <x:c r="F183" s="24" t="n">
        <x:f>ROUND(D183-E183,1)</x:f>
        <x:v>91</x:v>
      </x:c>
      <x:c r="G183" s="23" t="str">
        <x:v>中证1000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6876.497</x:v>
      </x:c>
      <x:c r="E184" s="24" t="n">
        <x:v>6813.774</x:v>
      </x:c>
      <x:c r="F184" s="24" t="n">
        <x:f>ROUND(D184-E184,1)</x:f>
        <x:v>62.7</x:v>
      </x:c>
      <x:c r="G184" s="23" t="str">
        <x:v>中证1000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6865.838</x:v>
      </x:c>
      <x:c r="E185" s="24" t="n">
        <x:v>6816.094</x:v>
      </x:c>
      <x:c r="F185" s="24" t="n">
        <x:f>ROUND(D185-E185,1)</x:f>
        <x:v>49.7</x:v>
      </x:c>
      <x:c r="G185" s="23" t="str">
        <x:v>中证1000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6957.404</x:v>
      </x:c>
      <x:c r="E186" s="24" t="n">
        <x:v>6850.572</x:v>
      </x:c>
      <x:c r="F186" s="24" t="n">
        <x:f>ROUND(D186-E186,1)</x:f>
        <x:v>106.8</x:v>
      </x:c>
      <x:c r="G186" s="23" t="str">
        <x:v>中证1000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6963.804</x:v>
      </x:c>
      <x:c r="E187" s="24" t="n">
        <x:v>6894.846</x:v>
      </x:c>
      <x:c r="F187" s="24" t="n">
        <x:f>ROUND(D187-E187,1)</x:f>
        <x:v>69</x:v>
      </x:c>
      <x:c r="G187" s="23" t="str">
        <x:v>中证1000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7070.504</x:v>
      </x:c>
      <x:c r="E188" s="24" t="n">
        <x:v>6966.273</x:v>
      </x:c>
      <x:c r="F188" s="24" t="n">
        <x:f>ROUND(D188-E188,1)</x:f>
        <x:v>104.2</x:v>
      </x:c>
      <x:c r="G188" s="23" t="str">
        <x:v>中证1000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7077.809</x:v>
      </x:c>
      <x:c r="E189" s="24" t="n">
        <x:v>6957.397</x:v>
      </x:c>
      <x:c r="F189" s="24" t="n">
        <x:f>ROUND(D189-E189,1)</x:f>
        <x:v>120.4</x:v>
      </x:c>
      <x:c r="G189" s="23" t="str">
        <x:v>中证1000</x:v>
      </x:c>
    </x:row>
    <x:row r="190">
      <x:c r="A190" s="29" t="n">
        <x:v>11</x:v>
      </x:c>
      <x:c r="B190" s="29" t="str">
        <x:v>周五</x:v>
      </x:c>
      <x:c r="C190" s="29" t="str">
        <x:v>8月15日</x:v>
      </x:c>
      <x:c r="D190" s="30" t="n">
        <x:v>7117.51</x:v>
      </x:c>
      <x:c r="E190" s="30" t="n">
        <x:v>6956.508</x:v>
      </x:c>
      <x:c r="F190" s="30" t="n">
        <x:f>ROUND(D190-E190,1)</x:f>
        <x:v>161</x:v>
      </x:c>
      <x:c r="G190" s="29" t="str">
        <x:v>中证1000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7267.981</x:v>
      </x:c>
      <x:c r="E191" s="24" t="n">
        <x:v>7143.066</x:v>
      </x:c>
      <x:c r="F191" s="24" t="n">
        <x:f>ROUND(D191-E191,1)</x:f>
        <x:v>124.9</x:v>
      </x:c>
      <x:c r="G191" s="23" t="str">
        <x:v>中证1000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7289.032</x:v>
      </x:c>
      <x:c r="E192" s="24" t="n">
        <x:v>7193.595</x:v>
      </x:c>
      <x:c r="F192" s="24" t="n">
        <x:f>ROUND(D192-E192,1)</x:f>
        <x:v>95.4</x:v>
      </x:c>
      <x:c r="G192" s="23" t="str">
        <x:v>中证1000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7305.461</x:v>
      </x:c>
      <x:c r="E193" s="24" t="n">
        <x:v>7166.991</x:v>
      </x:c>
      <x:c r="F193" s="24" t="n">
        <x:f>ROUND(D193-E193,1)</x:f>
        <x:v>138.5</x:v>
      </x:c>
      <x:c r="G193" s="23" t="str">
        <x:v>中证1000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7343.174</x:v>
      </x:c>
      <x:c r="E194" s="24" t="n">
        <x:v>7215.338</x:v>
      </x:c>
      <x:c r="F194" s="24" t="n">
        <x:f>ROUND(D194-E194,1)</x:f>
        <x:v>127.8</x:v>
      </x:c>
      <x:c r="G194" s="23" t="str">
        <x:v>中证1000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7362.94</x:v>
      </x:c>
      <x:c r="E195" s="24" t="n">
        <x:v>7250.191</x:v>
      </x:c>
      <x:c r="F195" s="24" t="n">
        <x:f>ROUND(D195-E195,1)</x:f>
        <x:v>112.7</x:v>
      </x:c>
      <x:c r="G195" s="23" t="str">
        <x:v>中证1000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7504.009</x:v>
      </x:c>
      <x:c r="E196" s="24" t="n">
        <x:v>7405.939</x:v>
      </x:c>
      <x:c r="F196" s="24" t="n">
        <x:f>ROUND(D196-E196,1)</x:f>
        <x:v>98.1</x:v>
      </x:c>
      <x:c r="G196" s="23" t="str">
        <x:v>中证1000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7526.166</x:v>
      </x:c>
      <x:c r="E197" s="24" t="n">
        <x:v>7435.301</x:v>
      </x:c>
      <x:c r="F197" s="24" t="n">
        <x:f>ROUND(D197-E197,1)</x:f>
        <x:v>90.9</x:v>
      </x:c>
      <x:c r="G197" s="23" t="str">
        <x:v>中证1000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7565.353</x:v>
      </x:c>
      <x:c r="E198" s="24" t="n">
        <x:v>7336.504</x:v>
      </x:c>
      <x:c r="F198" s="26" t="n">
        <x:f>ROUND(D198-E198,1)</x:f>
        <x:v>228.8</x:v>
      </x:c>
      <x:c r="G198" s="23" t="str">
        <x:v>中证1000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7447.11</x:v>
      </x:c>
      <x:c r="E199" s="24" t="n">
        <x:v>7216.766</x:v>
      </x:c>
      <x:c r="F199" s="26" t="n">
        <x:f>ROUND(D199-E199,1)</x:f>
        <x:v>230.3</x:v>
      </x:c>
      <x:c r="G199" s="23" t="str">
        <x:v>中证1000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7477.204</x:v>
      </x:c>
      <x:c r="E200" s="24" t="n">
        <x:v>7380.83</x:v>
      </x:c>
      <x:c r="F200" s="24" t="n">
        <x:f>ROUND(D200-E200,1)</x:f>
        <x:v>96.4</x:v>
      </x:c>
      <x:c r="G200" s="23" t="str">
        <x:v>中证1000</x:v>
      </x:c>
    </x:row>
    <x:row r="201">
      <x:c r="A201" s="33" t="str">
        <x:v>合计</x:v>
      </x:c>
      <x:c r="B201" s="32" t="n">
        <x:v>21</x:v>
      </x:c>
      <x:c r="C201" s="32"/>
      <x:c r="D201" s="32"/>
      <x:c r="E201" s="32"/>
      <x:c r="F201" s="34" t="n">
        <x:f>ROUND(SUM(F180:F200),1)</x:f>
        <x:v>2337.4</x:v>
      </x:c>
      <x:c r="G201" s="32"/>
    </x:row>
    <x:row r="202">
      <x:c r="A202" s="33" t="str">
        <x:v>均值</x:v>
      </x:c>
      <x:c r="B202" s="32"/>
      <x:c r="C202" s="32"/>
      <x:c r="D202" s="32"/>
      <x:c r="E202" s="32"/>
      <x:c r="F202" s="36" t="n">
        <x:f>ROUND(IFERROR(AVERAGE(F180:F200),0),1)</x:f>
        <x:v>111.3</x:v>
      </x:c>
      <x:c r="G202" s="32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高点</x:v>
      </x:c>
      <x:c r="E205" s="20" t="str">
        <x:v>低点</x:v>
      </x:c>
      <x:c r="F205" s="20" t="str">
        <x:v>振幅</x:v>
      </x:c>
      <x:c r="G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7502.592</x:v>
      </x:c>
      <x:c r="E206" s="24" t="n">
        <x:v>7424.341</x:v>
      </x:c>
      <x:c r="F206" s="24" t="n">
        <x:f>ROUND(D206-E206,1)</x:f>
        <x:v>78.3</x:v>
      </x:c>
      <x:c r="G206" s="23" t="str">
        <x:v>中证1000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7499.602</x:v>
      </x:c>
      <x:c r="E207" s="24" t="n">
        <x:v>7258.589</x:v>
      </x:c>
      <x:c r="F207" s="26" t="n">
        <x:f>ROUND(D207-E207,1)</x:f>
        <x:v>241</x:v>
      </x:c>
      <x:c r="G207" s="23" t="str">
        <x:v>中证1000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7361.028</x:v>
      </x:c>
      <x:c r="E208" s="24" t="n">
        <x:v>7182.291</x:v>
      </x:c>
      <x:c r="F208" s="24" t="n">
        <x:f>ROUND(D208-E208,1)</x:f>
        <x:v>178.7</x:v>
      </x:c>
      <x:c r="G208" s="23" t="str">
        <x:v>中证1000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7254.999</x:v>
      </x:c>
      <x:c r="E209" s="24" t="n">
        <x:v>6939.665</x:v>
      </x:c>
      <x:c r="F209" s="26" t="n">
        <x:f>ROUND(D209-E209,1)</x:f>
        <x:v>315.3</x:v>
      </x:c>
      <x:c r="G209" s="23" t="str">
        <x:v>中证1000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7248.577</x:v>
      </x:c>
      <x:c r="E210" s="24" t="n">
        <x:v>7017.946</x:v>
      </x:c>
      <x:c r="F210" s="26" t="n">
        <x:f>ROUND(D210-E210,1)</x:f>
        <x:v>230.6</x:v>
      </x:c>
      <x:c r="G210" s="23" t="str">
        <x:v>中证1000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7321.157</x:v>
      </x:c>
      <x:c r="E211" s="24" t="n">
        <x:v>7220.591</x:v>
      </x:c>
      <x:c r="F211" s="24" t="n">
        <x:f>ROUND(D211-E211,1)</x:f>
        <x:v>100.6</x:v>
      </x:c>
      <x:c r="G211" s="23" t="str">
        <x:v>中证1000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7315.967</x:v>
      </x:c>
      <x:c r="E212" s="24" t="n">
        <x:v>7198.319</x:v>
      </x:c>
      <x:c r="F212" s="24" t="n">
        <x:f>ROUND(D212-E212,1)</x:f>
        <x:v>117.6</x:v>
      </x:c>
      <x:c r="G212" s="23" t="str">
        <x:v>中证1000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7296.001</x:v>
      </x:c>
      <x:c r="E213" s="24" t="n">
        <x:v>7179.757</x:v>
      </x:c>
      <x:c r="F213" s="24" t="n">
        <x:f>ROUND(D213-E213,1)</x:f>
        <x:v>116.2</x:v>
      </x:c>
      <x:c r="G213" s="23" t="str">
        <x:v>中证1000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7399.885</x:v>
      </x:c>
      <x:c r="E214" s="24" t="n">
        <x:v>7161.281</x:v>
      </x:c>
      <x:c r="F214" s="26" t="n">
        <x:f>ROUND(D214-E214,1)</x:f>
        <x:v>238.6</x:v>
      </x:c>
      <x:c r="G214" s="23" t="str">
        <x:v>中证1000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7472.874</x:v>
      </x:c>
      <x:c r="E215" s="24" t="n">
        <x:v>7387.589</x:v>
      </x:c>
      <x:c r="F215" s="24" t="n">
        <x:f>ROUND(D215-E215,1)</x:f>
        <x:v>85.3</x:v>
      </x:c>
      <x:c r="G215" s="23" t="str">
        <x:v>中证1000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7454.295</x:v>
      </x:c>
      <x:c r="E216" s="24" t="n">
        <x:v>7404.496</x:v>
      </x:c>
      <x:c r="F216" s="24" t="n">
        <x:f>ROUND(D216-E216,1)</x:f>
        <x:v>49.8</x:v>
      </x:c>
      <x:c r="G216" s="23" t="str">
        <x:v>中证1000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7487.066</x:v>
      </x:c>
      <x:c r="E217" s="24" t="n">
        <x:v>7364.733</x:v>
      </x:c>
      <x:c r="F217" s="24" t="n">
        <x:f>ROUND(D217-E217,1)</x:f>
        <x:v>122.3</x:v>
      </x:c>
      <x:c r="G217" s="23" t="str">
        <x:v>中证1000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7564.816</x:v>
      </x:c>
      <x:c r="E218" s="24" t="n">
        <x:v>7461.41</x:v>
      </x:c>
      <x:c r="F218" s="24" t="n">
        <x:f>ROUND(D218-E218,1)</x:f>
        <x:v>103.4</x:v>
      </x:c>
      <x:c r="G218" s="23" t="str">
        <x:v>中证1000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7665.97</x:v>
      </x:c>
      <x:c r="E219" s="24" t="n">
        <x:v>7393.18</x:v>
      </x:c>
      <x:c r="F219" s="26" t="n">
        <x:f>ROUND(D219-E219,1)</x:f>
        <x:v>272.8</x:v>
      </x:c>
      <x:c r="G219" s="23" t="str">
        <x:v>中证1000</x:v>
      </x:c>
    </x:row>
    <x:row r="220">
      <x:c r="A220" s="29" t="n">
        <x:v>15</x:v>
      </x:c>
      <x:c r="B220" s="29" t="str">
        <x:v>周五</x:v>
      </x:c>
      <x:c r="C220" s="29" t="str">
        <x:v>9月19日</x:v>
      </x:c>
      <x:c r="D220" s="30" t="n">
        <x:v>7520.919</x:v>
      </x:c>
      <x:c r="E220" s="30" t="n">
        <x:v>7405.291</x:v>
      </x:c>
      <x:c r="F220" s="30" t="n">
        <x:f>ROUND(D220-E220,1)</x:f>
        <x:v>115.6</x:v>
      </x:c>
      <x:c r="G220" s="29" t="str">
        <x:v>中证1000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7489.478</x:v>
      </x:c>
      <x:c r="E221" s="24" t="n">
        <x:v>7418.465</x:v>
      </x:c>
      <x:c r="F221" s="24" t="n">
        <x:f>ROUND(D221-E221,1)</x:f>
        <x:v>71</x:v>
      </x:c>
      <x:c r="G221" s="23" t="str">
        <x:v>中证1000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7504.231</x:v>
      </x:c>
      <x:c r="E222" s="24" t="n">
        <x:v>7261.666</x:v>
      </x:c>
      <x:c r="F222" s="26" t="n">
        <x:f>ROUND(D222-E222,1)</x:f>
        <x:v>242.6</x:v>
      </x:c>
      <x:c r="G222" s="23" t="str">
        <x:v>中证1000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7534.222</x:v>
      </x:c>
      <x:c r="E223" s="24" t="n">
        <x:v>7342.47</x:v>
      </x:c>
      <x:c r="F223" s="26" t="n">
        <x:f>ROUND(D223-E223,1)</x:f>
        <x:v>191.8</x:v>
      </x:c>
      <x:c r="G223" s="23" t="str">
        <x:v>中证1000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7563.079</x:v>
      </x:c>
      <x:c r="E224" s="24" t="n">
        <x:v>7487.119</x:v>
      </x:c>
      <x:c r="F224" s="24" t="n">
        <x:f>ROUND(D224-E224,1)</x:f>
        <x:v>76</x:v>
      </x:c>
      <x:c r="G224" s="23" t="str">
        <x:v>中证1000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7516.111</x:v>
      </x:c>
      <x:c r="E225" s="24" t="n">
        <x:v>7396.585</x:v>
      </x:c>
      <x:c r="F225" s="24" t="n">
        <x:f>ROUND(D225-E225,1)</x:f>
        <x:v>119.5</x:v>
      </x:c>
      <x:c r="G225" s="23" t="str">
        <x:v>中证1000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7517.118</x:v>
      </x:c>
      <x:c r="E226" s="24" t="n">
        <x:v>7376.909</x:v>
      </x:c>
      <x:c r="F226" s="24" t="n">
        <x:f>ROUND(D226-E226,1)</x:f>
        <x:v>140.2</x:v>
      </x:c>
      <x:c r="G226" s="23" t="str">
        <x:v>中证1000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7592.914</x:v>
      </x:c>
      <x:c r="E227" s="24" t="n">
        <x:v>7524.915</x:v>
      </x:c>
      <x:c r="F227" s="24" t="n">
        <x:f>ROUND(D227-E227,1)</x:f>
        <x:v>68</x:v>
      </x:c>
      <x:c r="G227" s="23" t="str">
        <x:v>中证1000</x:v>
      </x:c>
    </x:row>
    <x:row r="228">
      <x:c r="A228" s="33" t="str">
        <x:v>合计</x:v>
      </x:c>
      <x:c r="B228" s="32" t="n">
        <x:v>22</x:v>
      </x:c>
      <x:c r="C228" s="32"/>
      <x:c r="D228" s="32"/>
      <x:c r="E228" s="32"/>
      <x:c r="F228" s="34" t="n">
        <x:f>ROUND(SUM(F206:F227),1)</x:f>
        <x:v>3275.2</x:v>
      </x:c>
      <x:c r="G228" s="32"/>
    </x:row>
    <x:row r="229">
      <x:c r="A229" s="33" t="str">
        <x:v>均值</x:v>
      </x:c>
      <x:c r="B229" s="32"/>
      <x:c r="C229" s="32"/>
      <x:c r="D229" s="32"/>
      <x:c r="E229" s="32"/>
      <x:c r="F229" s="36" t="n">
        <x:f>ROUND(IFERROR(AVERAGE(F206:F227),0),1)</x:f>
        <x:v>148.9</x:v>
      </x:c>
      <x:c r="G229" s="32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高点</x:v>
      </x:c>
      <x:c r="E232" s="20" t="str">
        <x:v>低点</x:v>
      </x:c>
      <x:c r="F232" s="20" t="str">
        <x:v>振幅</x:v>
      </x:c>
      <x:c r="G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7671.171</x:v>
      </x:c>
      <x:c r="E233" s="24" t="n">
        <x:v>7590.473</x:v>
      </x:c>
      <x:c r="F233" s="24" t="n">
        <x:f>ROUND(D233-E233,1)</x:f>
        <x:v>80.7</x:v>
      </x:c>
      <x:c r="G233" s="23" t="str">
        <x:v>中证1000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7621.976</x:v>
      </x:c>
      <x:c r="E234" s="24" t="n">
        <x:v>7513.166</x:v>
      </x:c>
      <x:c r="F234" s="24" t="n">
        <x:f>ROUND(D234-E234,1)</x:f>
        <x:v>108.8</x:v>
      </x:c>
      <x:c r="G234" s="23" t="str">
        <x:v>中证1000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7535.207</x:v>
      </x:c>
      <x:c r="E235" s="24" t="n">
        <x:v>7250.579</x:v>
      </x:c>
      <x:c r="F235" s="26" t="n">
        <x:f>ROUND(D235-E235,1)</x:f>
        <x:v>284.6</x:v>
      </x:c>
      <x:c r="G235" s="23" t="str">
        <x:v>中证1000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7611.826</x:v>
      </x:c>
      <x:c r="E236" s="24" t="n">
        <x:v>7342.6</x:v>
      </x:c>
      <x:c r="F236" s="26" t="n">
        <x:f>ROUND(D236-E236,1)</x:f>
        <x:v>269.2</x:v>
      </x:c>
      <x:c r="G236" s="23" t="str">
        <x:v>中证1000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7484.049</x:v>
      </x:c>
      <x:c r="E237" s="24" t="n">
        <x:v>7315.483</x:v>
      </x:c>
      <x:c r="F237" s="24" t="n">
        <x:f>ROUND(D237-E237,1)</x:f>
        <x:v>168.6</x:v>
      </x:c>
      <x:c r="G237" s="23" t="str">
        <x:v>中证1000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7472.755</x:v>
      </x:c>
      <x:c r="E238" s="24" t="n">
        <x:v>7378.297</x:v>
      </x:c>
      <x:c r="F238" s="24" t="n">
        <x:f>ROUND(D238-E238,1)</x:f>
        <x:v>94.5</x:v>
      </x:c>
      <x:c r="G238" s="23" t="str">
        <x:v>中证1000</x:v>
      </x:c>
    </x:row>
    <x:row r="239">
      <x:c r="A239" s="29" t="n">
        <x:v>7</x:v>
      </x:c>
      <x:c r="B239" s="29" t="str">
        <x:v>周五</x:v>
      </x:c>
      <x:c r="C239" s="29" t="str">
        <x:v>10月17日</x:v>
      </x:c>
      <x:c r="D239" s="30" t="n">
        <x:v>7426.21</x:v>
      </x:c>
      <x:c r="E239" s="30" t="n">
        <x:v>7176.959</x:v>
      </x:c>
      <x:c r="F239" s="26" t="n">
        <x:f>ROUND(D239-E239,1)</x:f>
        <x:v>249.3</x:v>
      </x:c>
      <x:c r="G239" s="29" t="str">
        <x:v>中证1000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7301.988</x:v>
      </x:c>
      <x:c r="E240" s="24" t="n">
        <x:v>7196.28</x:v>
      </x:c>
      <x:c r="F240" s="24" t="n">
        <x:f>ROUND(D240-E240,1)</x:f>
        <x:v>105.7</x:v>
      </x:c>
      <x:c r="G240" s="23" t="str">
        <x:v>中证1000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7350.923</x:v>
      </x:c>
      <x:c r="E241" s="24" t="n">
        <x:v>7236.634</x:v>
      </x:c>
      <x:c r="F241" s="24" t="n">
        <x:f>ROUND(D241-E241,1)</x:f>
        <x:v>114.3</x:v>
      </x:c>
      <x:c r="G241" s="23" t="str">
        <x:v>中证1000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7349.797</x:v>
      </x:c>
      <x:c r="E242" s="24" t="n">
        <x:v>7278.713</x:v>
      </x:c>
      <x:c r="F242" s="24" t="n">
        <x:f>ROUND(D242-E242,1)</x:f>
        <x:v>71.1</x:v>
      </x:c>
      <x:c r="G242" s="23" t="str">
        <x:v>中证1000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7319.55</x:v>
      </x:c>
      <x:c r="E243" s="24" t="n">
        <x:v>7192.416</x:v>
      </x:c>
      <x:c r="F243" s="24" t="n">
        <x:f>ROUND(D243-E243,1)</x:f>
        <x:v>127.1</x:v>
      </x:c>
      <x:c r="G243" s="23" t="str">
        <x:v>中证1000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7419.407</x:v>
      </x:c>
      <x:c r="E244" s="24" t="n">
        <x:v>7340.669</x:v>
      </x:c>
      <x:c r="F244" s="24" t="n">
        <x:f>ROUND(D244-E244,1)</x:f>
        <x:v>78.7</x:v>
      </x:c>
      <x:c r="G244" s="23" t="str">
        <x:v>中证1000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7511.414</x:v>
      </x:c>
      <x:c r="E245" s="24" t="n">
        <x:v>7430.62</x:v>
      </x:c>
      <x:c r="F245" s="24" t="n">
        <x:f>ROUND(D245-E245,1)</x:f>
        <x:v>80.8</x:v>
      </x:c>
      <x:c r="G245" s="23" t="str">
        <x:v>中证1000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7534.051</x:v>
      </x:c>
      <x:c r="E246" s="24" t="n">
        <x:v>7443.701</x:v>
      </x:c>
      <x:c r="F246" s="24" t="n">
        <x:f>ROUND(D246-E246,1)</x:f>
        <x:v>90.4</x:v>
      </x:c>
      <x:c r="G246" s="23" t="str">
        <x:v>中证1000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7569.117</x:v>
      </x:c>
      <x:c r="E247" s="24" t="n">
        <x:v>7469.07</x:v>
      </x:c>
      <x:c r="F247" s="24" t="n">
        <x:f>ROUND(D247-E247,1)</x:f>
        <x:v>100</x:v>
      </x:c>
      <x:c r="G247" s="23" t="str">
        <x:v>中证1000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7569.156</x:v>
      </x:c>
      <x:c r="E248" s="24" t="n">
        <x:v>7476.701</x:v>
      </x:c>
      <x:c r="F248" s="24" t="n">
        <x:f>ROUND(D248-E248,1)</x:f>
        <x:v>92.5</x:v>
      </x:c>
      <x:c r="G248" s="23" t="str">
        <x:v>中证1000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7583.033</x:v>
      </x:c>
      <x:c r="E249" s="24" t="n">
        <x:v>7480.658</x:v>
      </x:c>
      <x:c r="F249" s="24" t="n">
        <x:f>ROUND(D249-E249,1)</x:f>
        <x:v>102.4</x:v>
      </x:c>
      <x:c r="G249" s="23" t="str">
        <x:v>中证1000</x:v>
      </x:c>
    </x:row>
    <x:row r="250">
      <x:c r="A250" s="33" t="str">
        <x:v>合计</x:v>
      </x:c>
      <x:c r="B250" s="32" t="n">
        <x:v>17</x:v>
      </x:c>
      <x:c r="C250" s="32"/>
      <x:c r="D250" s="32"/>
      <x:c r="E250" s="32"/>
      <x:c r="F250" s="34" t="n">
        <x:f>ROUND(SUM(F233:F249),1)</x:f>
        <x:v>2218.7</x:v>
      </x:c>
      <x:c r="G250" s="32"/>
    </x:row>
    <x:row r="251">
      <x:c r="A251" s="33" t="str">
        <x:v>均值</x:v>
      </x:c>
      <x:c r="B251" s="32"/>
      <x:c r="C251" s="32"/>
      <x:c r="D251" s="32"/>
      <x:c r="E251" s="32"/>
      <x:c r="F251" s="36" t="n">
        <x:f>ROUND(IFERROR(AVERAGE(F233:F249),0),1)</x:f>
        <x:v>130.5</x:v>
      </x:c>
      <x:c r="G251" s="32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高点</x:v>
      </x:c>
      <x:c r="E254" s="20" t="str">
        <x:v>低点</x:v>
      </x:c>
      <x:c r="F254" s="20" t="str">
        <x:v>振幅</x:v>
      </x:c>
      <x:c r="G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7539.327</x:v>
      </x:c>
      <x:c r="E255" s="24" t="n">
        <x:v>7417.273</x:v>
      </x:c>
      <x:c r="F255" s="24" t="n">
        <x:f>ROUND(D255-E255,1)</x:f>
        <x:v>122.1</x:v>
      </x:c>
      <x:c r="G255" s="23" t="str">
        <x:v>中证1000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7523.64</x:v>
      </x:c>
      <x:c r="E256" s="24" t="n">
        <x:v>7387.378</x:v>
      </x:c>
      <x:c r="F256" s="24" t="n">
        <x:f>ROUND(D256-E256,1)</x:f>
        <x:v>136.3</x:v>
      </x:c>
      <x:c r="G256" s="23" t="str">
        <x:v>中证1000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7490.904</x:v>
      </x:c>
      <x:c r="E257" s="24" t="n">
        <x:v>7332.104</x:v>
      </x:c>
      <x:c r="F257" s="24" t="n">
        <x:f>ROUND(D257-E257,1)</x:f>
        <x:v>158.8</x:v>
      </x:c>
      <x:c r="G257" s="23" t="str">
        <x:v>中证1000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7551.83</x:v>
      </x:c>
      <x:c r="E258" s="24" t="n">
        <x:v>7466.752</x:v>
      </x:c>
      <x:c r="F258" s="24" t="n">
        <x:f>ROUND(D258-E258,1)</x:f>
        <x:v>85.1</x:v>
      </x:c>
      <x:c r="G258" s="23" t="str">
        <x:v>中证1000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7581.56</x:v>
      </x:c>
      <x:c r="E259" s="24" t="n">
        <x:v>7492.926</x:v>
      </x:c>
      <x:c r="F259" s="24" t="n">
        <x:f>ROUND(D259-E259,1)</x:f>
        <x:v>88.6</x:v>
      </x:c>
      <x:c r="G259" s="23" t="str">
        <x:v>中证1000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7592.757</x:v>
      </x:c>
      <x:c r="E260" s="24" t="n">
        <x:v>7515.684</x:v>
      </x:c>
      <x:c r="F260" s="24" t="n">
        <x:f>ROUND(D260-E260,1)</x:f>
        <x:v>77.1</x:v>
      </x:c>
      <x:c r="G260" s="23" t="str">
        <x:v>中证1000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7598.988</x:v>
      </x:c>
      <x:c r="E261" s="24" t="n">
        <x:v>7530.144</x:v>
      </x:c>
      <x:c r="F261" s="24" t="n">
        <x:f>ROUND(D261-E261,1)</x:f>
        <x:v>68.8</x:v>
      </x:c>
      <x:c r="G261" s="23" t="str">
        <x:v>中证1000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7537.761</x:v>
      </x:c>
      <x:c r="E262" s="24" t="n">
        <x:v>7421.459</x:v>
      </x:c>
      <x:c r="F262" s="24" t="n">
        <x:f>ROUND(D262-E262,1)</x:f>
        <x:v>116.3</x:v>
      </x:c>
      <x:c r="G262" s="23" t="str">
        <x:v>中证1000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7604.891</x:v>
      </x:c>
      <x:c r="E263" s="24" t="n">
        <x:v>7475.511</x:v>
      </x:c>
      <x:c r="F263" s="24" t="n">
        <x:f>ROUND(D263-E263,1)</x:f>
        <x:v>129.4</x:v>
      </x:c>
      <x:c r="G263" s="23" t="str">
        <x:v>中证1000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7591.315</x:v>
      </x:c>
      <x:c r="E264" s="24" t="n">
        <x:v>7502.757</x:v>
      </x:c>
      <x:c r="F264" s="24" t="n">
        <x:f>ROUND(D264-E264,1)</x:f>
        <x:v>88.6</x:v>
      </x:c>
      <x:c r="G264" s="23" t="str">
        <x:v>中证1000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7544.723</x:v>
      </x:c>
      <x:c r="E265" s="24" t="n">
        <x:v>7487.808</x:v>
      </x:c>
      <x:c r="F265" s="24" t="n">
        <x:f>ROUND(D265-E265,1)</x:f>
        <x:v>56.9</x:v>
      </x:c>
      <x:c r="G265" s="23" t="str">
        <x:v>中证1000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7521.656</x:v>
      </x:c>
      <x:c r="E266" s="24" t="n">
        <x:v>7412.276</x:v>
      </x:c>
      <x:c r="F266" s="24" t="n">
        <x:f>ROUND(D266-E266,1)</x:f>
        <x:v>109.4</x:v>
      </x:c>
      <x:c r="G266" s="23" t="str">
        <x:v>中证1000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7471.732</x:v>
      </x:c>
      <x:c r="E267" s="24" t="n">
        <x:v>7348.037</x:v>
      </x:c>
      <x:c r="F267" s="24" t="n">
        <x:f>ROUND(D267-E267,1)</x:f>
        <x:v>123.7</x:v>
      </x:c>
      <x:c r="G267" s="23" t="str">
        <x:v>中证1000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7439.044</x:v>
      </x:c>
      <x:c r="E268" s="24" t="n">
        <x:v>7332.321</x:v>
      </x:c>
      <x:c r="F268" s="24" t="n">
        <x:f>ROUND(D268-E268,1)</x:f>
        <x:v>106.7</x:v>
      </x:c>
      <x:c r="G268" s="23" t="str">
        <x:v>中证1000</x:v>
      </x:c>
    </x:row>
    <x:row r="269">
      <x:c r="A269" s="29" t="n">
        <x:v>15</x:v>
      </x:c>
      <x:c r="B269" s="29" t="str">
        <x:v>周五</x:v>
      </x:c>
      <x:c r="C269" s="29" t="str">
        <x:v>11月21日</x:v>
      </x:c>
      <x:c r="D269" s="30" t="n">
        <x:v>7274.334</x:v>
      </x:c>
      <x:c r="E269" s="30" t="n">
        <x:v>7067.703</x:v>
      </x:c>
      <x:c r="F269" s="26" t="n">
        <x:f>ROUND(D269-E269,1)</x:f>
        <x:v>206.6</x:v>
      </x:c>
      <x:c r="G269" s="29" t="str">
        <x:v>中证1000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7190.723</x:v>
      </x:c>
      <x:c r="E270" s="24" t="n">
        <x:v>7064.598</x:v>
      </x:c>
      <x:c r="F270" s="24" t="n">
        <x:f>ROUND(D270-E270,1)</x:f>
        <x:v>126.1</x:v>
      </x:c>
      <x:c r="G270" s="23" t="str">
        <x:v>中证1000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7311.727</x:v>
      </x:c>
      <x:c r="E271" s="24" t="n">
        <x:v>7194.766</x:v>
      </x:c>
      <x:c r="F271" s="24" t="n">
        <x:f>ROUND(D271-E271,1)</x:f>
        <x:v>117</x:v>
      </x:c>
      <x:c r="G271" s="23" t="str">
        <x:v>中证1000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7307.199</x:v>
      </x:c>
      <x:c r="E272" s="24" t="n">
        <x:v>7225.087</x:v>
      </x:c>
      <x:c r="F272" s="24" t="n">
        <x:f>ROUND(D272-E272,1)</x:f>
        <x:v>82.1</x:v>
      </x:c>
      <x:c r="G272" s="23" t="str">
        <x:v>中证1000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7330.6</x:v>
      </x:c>
      <x:c r="E273" s="24" t="n">
        <x:v>7243.714</x:v>
      </x:c>
      <x:c r="F273" s="24" t="n">
        <x:f>ROUND(D273-E273,1)</x:f>
        <x:v>86.9</x:v>
      </x:c>
      <x:c r="G273" s="23" t="str">
        <x:v>中证1000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7334.21</x:v>
      </x:c>
      <x:c r="E274" s="24" t="n">
        <x:v>7239.854</x:v>
      </x:c>
      <x:c r="F274" s="24" t="n">
        <x:f>ROUND(D274-E274,1)</x:f>
        <x:v>94.4</x:v>
      </x:c>
      <x:c r="G274" s="23" t="str">
        <x:v>中证1000</x:v>
      </x:c>
    </x:row>
    <x:row r="275">
      <x:c r="A275" s="33" t="str">
        <x:v>合计</x:v>
      </x:c>
      <x:c r="B275" s="32" t="n">
        <x:v>20</x:v>
      </x:c>
      <x:c r="C275" s="32"/>
      <x:c r="D275" s="32"/>
      <x:c r="E275" s="32"/>
      <x:c r="F275" s="34" t="n">
        <x:f>ROUND(SUM(F255:F274),1)</x:f>
        <x:v>2180.9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ROUND(IFERROR(AVERAGE(F255:F274),0),1)</x:f>
        <x:v>109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7388.618</x:v>
      </x:c>
      <x:c r="E280" s="24" t="n">
        <x:v>7342.596</x:v>
      </x:c>
      <x:c r="F280" s="24" t="n">
        <x:f>ROUND(D280-E280,1)</x:f>
        <x:v>46</x:v>
      </x:c>
      <x:c r="G280" s="23" t="str">
        <x:v>中证1000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7364.204</x:v>
      </x:c>
      <x:c r="E281" s="24" t="n">
        <x:v>7299.272</x:v>
      </x:c>
      <x:c r="F281" s="24" t="n">
        <x:f>ROUND(D281-E281,1)</x:f>
        <x:v>64.9</x:v>
      </x:c>
      <x:c r="G281" s="23" t="str">
        <x:v>中证1000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7324.211</x:v>
      </x:c>
      <x:c r="E282" s="24" t="n">
        <x:v>7220.976</x:v>
      </x:c>
      <x:c r="F282" s="24" t="n">
        <x:f>ROUND(D282-E282,1)</x:f>
        <x:v>103.2</x:v>
      </x:c>
      <x:c r="G282" s="23" t="str">
        <x:v>中证1000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7269.902</x:v>
      </x:c>
      <x:c r="E283" s="24" t="n">
        <x:v>7185.911</x:v>
      </x:c>
      <x:c r="F283" s="24" t="n">
        <x:f>ROUND(D283-E283,1)</x:f>
        <x:v>84</x:v>
      </x:c>
      <x:c r="G283" s="23" t="str">
        <x:v>中证1000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7346.999</x:v>
      </x:c>
      <x:c r="E284" s="24" t="n">
        <x:v>7194.661</x:v>
      </x:c>
      <x:c r="F284" s="24" t="n">
        <x:f>ROUND(D284-E284,1)</x:f>
        <x:v>152.3</x:v>
      </x:c>
      <x:c r="G284" s="23" t="str">
        <x:v>中证1000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7446.192</x:v>
      </x:c>
      <x:c r="E285" s="24" t="n">
        <x:v>7359.488</x:v>
      </x:c>
      <x:c r="F285" s="24" t="n">
        <x:f>ROUND(D285-E285,1)</x:f>
        <x:v>86.7</x:v>
      </x:c>
      <x:c r="G285" s="23" t="str">
        <x:v>中证1000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7439.546</x:v>
      </x:c>
      <x:c r="E286" s="24" t="n">
        <x:v>7370.296</x:v>
      </x:c>
      <x:c r="F286" s="24" t="n">
        <x:f>ROUND(D286-E286,1)</x:f>
        <x:v>69.3</x:v>
      </x:c>
      <x:c r="G286" s="23" t="str">
        <x:v>中证1000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7421.423</x:v>
      </x:c>
      <x:c r="E287" s="24" t="n">
        <x:v>7332.053</x:v>
      </x:c>
      <x:c r="F287" s="24" t="n">
        <x:f>ROUND(D287-E287,1)</x:f>
        <x:v>89.4</x:v>
      </x:c>
      <x:c r="G287" s="23" t="str">
        <x:v>中证1000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7425.441</x:v>
      </x:c>
      <x:c r="E288" s="24" t="n">
        <x:v>7311.995</x:v>
      </x:c>
      <x:c r="F288" s="24" t="n">
        <x:f>ROUND(D288-E288,1)</x:f>
        <x:v>113.4</x:v>
      </x:c>
      <x:c r="G288" s="23" t="str">
        <x:v>中证1000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7384.848</x:v>
      </x:c>
      <x:c r="E289" s="24" t="n">
        <x:v>7284.555</x:v>
      </x:c>
      <x:c r="F289" s="24" t="n">
        <x:f>ROUND(D289-E289,1)</x:f>
        <x:v>100.3</x:v>
      </x:c>
      <x:c r="G289" s="23" t="str">
        <x:v>中证1000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7375.612</x:v>
      </x:c>
      <x:c r="E290" s="24" t="n">
        <x:v>7305.832</x:v>
      </x:c>
      <x:c r="F290" s="24" t="n">
        <x:f>ROUND(D290-E290,1)</x:f>
        <x:v>69.8</x:v>
      </x:c>
      <x:c r="G290" s="23" t="str">
        <x:v>中证1000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7302.159</x:v>
      </x:c>
      <x:c r="E291" s="24" t="n">
        <x:v>7143.615</x:v>
      </x:c>
      <x:c r="F291" s="24" t="n">
        <x:f>ROUND(D291-E291,1)</x:f>
        <x:v>158.5</x:v>
      </x:c>
      <x:c r="G291" s="23" t="str">
        <x:v>中证1000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7303.375</x:v>
      </x:c>
      <x:c r="E292" s="24" t="n">
        <x:v>7149.019</x:v>
      </x:c>
      <x:c r="F292" s="24" t="n">
        <x:f>ROUND(D292-E292,1)</x:f>
        <x:v>154.4</x:v>
      </x:c>
      <x:c r="G292" s="23" t="str">
        <x:v>中证1000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7336.732</x:v>
      </x:c>
      <x:c r="E293" s="24" t="n">
        <x:v>7241.861</x:v>
      </x:c>
      <x:c r="F293" s="24" t="n">
        <x:f>ROUND(D293-E293,1)</x:f>
        <x:v>94.9</x:v>
      </x:c>
      <x:c r="G293" s="23" t="str">
        <x:v>中证1000</x:v>
      </x:c>
    </x:row>
    <x:row r="294">
      <x:c r="A294" s="29" t="n">
        <x:v>15</x:v>
      </x:c>
      <x:c r="B294" s="29" t="str">
        <x:v>周五</x:v>
      </x:c>
      <x:c r="C294" s="29" t="str">
        <x:v>12月19日</x:v>
      </x:c>
      <x:c r="D294" s="30" t="n">
        <x:v>7357.042</x:v>
      </x:c>
      <x:c r="E294" s="30" t="n">
        <x:v>7279.987</x:v>
      </x:c>
      <x:c r="F294" s="30" t="n">
        <x:f>ROUND(D294-E294,1)</x:f>
        <x:v>77.1</x:v>
      </x:c>
      <x:c r="G294" s="29" t="str">
        <x:v>中证1000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7433.428</x:v>
      </x:c>
      <x:c r="E295" s="24" t="n">
        <x:v>7363.064</x:v>
      </x:c>
      <x:c r="F295" s="24" t="n">
        <x:f>ROUND(D295-E295,1)</x:f>
        <x:v>70.4</x:v>
      </x:c>
      <x:c r="G295" s="23" t="str">
        <x:v>中证1000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7441.412</x:v>
      </x:c>
      <x:c r="E296" s="24" t="n">
        <x:v>7363.934</x:v>
      </x:c>
      <x:c r="F296" s="24" t="n">
        <x:f>ROUND(D296-E296,1)</x:f>
        <x:v>77.5</x:v>
      </x:c>
      <x:c r="G296" s="23" t="str">
        <x:v>中证1000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7513.254</x:v>
      </x:c>
      <x:c r="E297" s="24" t="n">
        <x:v>7386.489</x:v>
      </x:c>
      <x:c r="F297" s="24" t="n">
        <x:f>ROUND(D297-E297,1)</x:f>
        <x:v>126.8</x:v>
      </x:c>
      <x:c r="G297" s="23" t="str">
        <x:v>中证1000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7591.782</x:v>
      </x:c>
      <x:c r="E298" s="24" t="n">
        <x:v>7502.154</x:v>
      </x:c>
      <x:c r="F298" s="24" t="n">
        <x:f>ROUND(D298-E298,1)</x:f>
        <x:v>89.6</x:v>
      </x:c>
      <x:c r="G298" s="23" t="str">
        <x:v>中证1000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7644.84</x:v>
      </x:c>
      <x:c r="E299" s="24" t="n">
        <x:v>7550.014</x:v>
      </x:c>
      <x:c r="F299" s="24" t="n">
        <x:f>ROUND(D299-E299,1)</x:f>
        <x:v>94.8</x:v>
      </x:c>
      <x:c r="G299" s="23" t="str">
        <x:v>中证1000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7637.91</x:v>
      </x:c>
      <x:c r="E300" s="24" t="n">
        <x:v>7574.775</x:v>
      </x:c>
      <x:c r="F300" s="24" t="n">
        <x:f>ROUND(D300-E300,1)</x:f>
        <x:v>63.1</x:v>
      </x:c>
      <x:c r="G300" s="23" t="str">
        <x:v>中证1000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7636.153</x:v>
      </x:c>
      <x:c r="E301" s="24" t="n">
        <x:v>7552.401</x:v>
      </x:c>
      <x:c r="F301" s="24" t="n">
        <x:f>ROUND(D301-E301,1)</x:f>
        <x:v>83.8</x:v>
      </x:c>
      <x:c r="G301" s="23" t="str">
        <x:v>中证1000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7619.221</x:v>
      </x:c>
      <x:c r="E302" s="24" t="n">
        <x:v>7560.723</x:v>
      </x:c>
      <x:c r="F302" s="24" t="n">
        <x:f>ROUND(D302-E302,1)</x:f>
        <x:v>58.5</x:v>
      </x:c>
      <x:c r="G302" s="23" t="str">
        <x:v>中证1000</x:v>
      </x:c>
    </x:row>
    <x:row r="303">
      <x:c r="A303" s="33" t="str">
        <x:v>合计</x:v>
      </x:c>
      <x:c r="B303" s="32" t="n">
        <x:v>23</x:v>
      </x:c>
      <x:c r="C303" s="32"/>
      <x:c r="D303" s="32"/>
      <x:c r="E303" s="32"/>
      <x:c r="F303" s="34" t="n">
        <x:f>ROUND(SUM(F280:F302),1)</x:f>
        <x:v>2128.7</x:v>
      </x:c>
      <x:c r="G303" s="32"/>
    </x:row>
    <x:row r="304">
      <x:c r="A304" s="33" t="str">
        <x:v>均值</x:v>
      </x:c>
      <x:c r="B304" s="32"/>
      <x:c r="C304" s="32"/>
      <x:c r="D304" s="32"/>
      <x:c r="E304" s="32"/>
      <x:c r="F304" s="36" t="n">
        <x:f>ROUND(IFERROR(AVERAGE(F280:F302),0),1)</x:f>
        <x:v>92.6</x:v>
      </x:c>
      <x:c r="G304" s="32"/>
    </x:row>
  </x:sheetData>
  <x:mergeCells>
    <x:mergeCell ref="A1:G1"/>
    <x:mergeCell ref="A3:G3"/>
    <x:mergeCell ref="A26:G26"/>
    <x:mergeCell ref="A49:G49"/>
    <x:mergeCell ref="A75:G75"/>
    <x:mergeCell ref="A101:G101"/>
    <x:mergeCell ref="A125:G125"/>
    <x:mergeCell ref="A150:G150"/>
    <x:mergeCell ref="A178:G178"/>
    <x:mergeCell ref="A204:G204"/>
    <x:mergeCell ref="A231:G231"/>
    <x:mergeCell ref="A253:G253"/>
    <x:mergeCell ref="A278:G27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2025年统计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5722.111</x:v>
      </x:c>
      <x:c r="E5" s="24" t="n">
        <x:v>5498.822</x:v>
      </x:c>
      <x:c r="F5" s="26" t="n">
        <x:f>ROUND(D5-E5,1)</x:f>
        <x:v>223.3</x:v>
      </x:c>
      <x:c r="G5" s="23" t="str">
        <x:v>中证500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5581.398</x:v>
      </x:c>
      <x:c r="E6" s="24" t="n">
        <x:v>5419.743</x:v>
      </x:c>
      <x:c r="F6" s="26" t="n">
        <x:f>ROUND(D6-E6,1)</x:f>
        <x:v>161.7</x:v>
      </x:c>
      <x:c r="G6" s="23" t="str">
        <x:v>中证500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5482.625</x:v>
      </x:c>
      <x:c r="E7" s="24" t="n">
        <x:v>5384.333</x:v>
      </x:c>
      <x:c r="F7" s="24" t="n">
        <x:f>ROUND(D7-E7,1)</x:f>
        <x:v>98.3</x:v>
      </x:c>
      <x:c r="G7" s="23" t="str">
        <x:v>中证500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5485.585</x:v>
      </x:c>
      <x:c r="E8" s="24" t="n">
        <x:v>5405.133</x:v>
      </x:c>
      <x:c r="F8" s="24" t="n">
        <x:f>ROUND(D8-E8,1)</x:f>
        <x:v>80.5</x:v>
      </x:c>
      <x:c r="G8" s="23" t="str">
        <x:v>中证500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5501.656</x:v>
      </x:c>
      <x:c r="E9" s="24" t="n">
        <x:v>5326.926</x:v>
      </x:c>
      <x:c r="F9" s="26" t="n">
        <x:f>ROUND(D9-E9,1)</x:f>
        <x:v>174.7</x:v>
      </x:c>
      <x:c r="G9" s="23" t="str">
        <x:v>中证500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5493.68</x:v>
      </x:c>
      <x:c r="E10" s="24" t="n">
        <x:v>5436.704</x:v>
      </x:c>
      <x:c r="F10" s="24" t="n">
        <x:f>ROUND(D10-E10,1)</x:f>
        <x:v>57</x:v>
      </x:c>
      <x:c r="G10" s="23" t="str">
        <x:v>中证500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5496.383</x:v>
      </x:c>
      <x:c r="E11" s="24" t="n">
        <x:v>5369.281</x:v>
      </x:c>
      <x:c r="F11" s="24" t="n">
        <x:f>ROUND(D11-E11,1)</x:f>
        <x:v>127.1</x:v>
      </x:c>
      <x:c r="G11" s="23" t="str">
        <x:v>中证500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5422.012</x:v>
      </x:c>
      <x:c r="E12" s="24" t="n">
        <x:v>5319.274</x:v>
      </x:c>
      <x:c r="F12" s="24" t="n">
        <x:f>ROUND(D12-E12,1)</x:f>
        <x:v>102.7</x:v>
      </x:c>
      <x:c r="G12" s="23" t="str">
        <x:v>中证500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5582.835</x:v>
      </x:c>
      <x:c r="E13" s="24" t="n">
        <x:v>5378.588</x:v>
      </x:c>
      <x:c r="F13" s="26" t="n">
        <x:f>ROUND(D13-E13,1)</x:f>
        <x:v>204.2</x:v>
      </x:c>
      <x:c r="G13" s="23" t="str">
        <x:v>中证500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5569.19</x:v>
      </x:c>
      <x:c r="E14" s="24" t="n">
        <x:v>5509.576</x:v>
      </x:c>
      <x:c r="F14" s="24" t="n">
        <x:f>ROUND(D14-E14,1)</x:f>
        <x:v>59.6</x:v>
      </x:c>
      <x:c r="G14" s="23" t="str">
        <x:v>中证500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5633.855</x:v>
      </x:c>
      <x:c r="E15" s="24" t="n">
        <x:v>5508.915</x:v>
      </x:c>
      <x:c r="F15" s="24" t="n">
        <x:f>ROUND(D15-E15,1)</x:f>
        <x:v>124.9</x:v>
      </x:c>
      <x:c r="G15" s="23" t="str">
        <x:v>中证500</x:v>
      </x:c>
    </x:row>
    <x:row r="16">
      <x:c r="A16" s="29" t="n">
        <x:v>12</x:v>
      </x:c>
      <x:c r="B16" s="29" t="str">
        <x:v>周五</x:v>
      </x:c>
      <x:c r="C16" s="29" t="str">
        <x:v>1月17日</x:v>
      </x:c>
      <x:c r="D16" s="30" t="n">
        <x:v>5621.937</x:v>
      </x:c>
      <x:c r="E16" s="30" t="n">
        <x:v>5519.411</x:v>
      </x:c>
      <x:c r="F16" s="30" t="n">
        <x:f>ROUND(D16-E16,1)</x:f>
        <x:v>102.5</x:v>
      </x:c>
      <x:c r="G16" s="29" t="str">
        <x:v>中证500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5665.183</x:v>
      </x:c>
      <x:c r="E17" s="24" t="n">
        <x:v>5598.158</x:v>
      </x:c>
      <x:c r="F17" s="24" t="n">
        <x:f>ROUND(D17-E17,1)</x:f>
        <x:v>67</x:v>
      </x:c>
      <x:c r="G17" s="23" t="str">
        <x:v>中证500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5642.917</x:v>
      </x:c>
      <x:c r="E18" s="24" t="n">
        <x:v>5573.5</x:v>
      </x:c>
      <x:c r="F18" s="24" t="n">
        <x:f>ROUND(D18-E18,1)</x:f>
        <x:v>69.4</x:v>
      </x:c>
      <x:c r="G18" s="23" t="str">
        <x:v>中证500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5618.581</x:v>
      </x:c>
      <x:c r="E19" s="24" t="n">
        <x:v>5567.779</x:v>
      </x:c>
      <x:c r="F19" s="24" t="n">
        <x:f>ROUND(D19-E19,1)</x:f>
        <x:v>50.8</x:v>
      </x:c>
      <x:c r="G19" s="23" t="str">
        <x:v>中证500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5717.689</x:v>
      </x:c>
      <x:c r="E20" s="24" t="n">
        <x:v>5584.255</x:v>
      </x:c>
      <x:c r="F20" s="24" t="n">
        <x:f>ROUND(D20-E20,1)</x:f>
        <x:v>133.4</x:v>
      </x:c>
      <x:c r="G20" s="23" t="str">
        <x:v>中证500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5660.434</x:v>
      </x:c>
      <x:c r="E21" s="24" t="n">
        <x:v>5570.48</x:v>
      </x:c>
      <x:c r="F21" s="24" t="n">
        <x:f>ROUND(D21-E21,1)</x:f>
        <x:v>90</x:v>
      </x:c>
      <x:c r="G21" s="23" t="str">
        <x:v>中证500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5676.026</x:v>
      </x:c>
      <x:c r="E22" s="24" t="n">
        <x:v>5589.343</x:v>
      </x:c>
      <x:c r="F22" s="24" t="n">
        <x:f>ROUND(D22-E22,1)</x:f>
        <x:v>86.7</x:v>
      </x:c>
      <x:c r="G22" s="23" t="str">
        <x:v>中证500</x:v>
      </x:c>
    </x:row>
    <x:row r="23">
      <x:c r="A23" s="33" t="str">
        <x:v>合计</x:v>
      </x:c>
      <x:c r="B23" s="32" t="n">
        <x:v>18</x:v>
      </x:c>
      <x:c r="C23" s="32"/>
      <x:c r="D23" s="32"/>
      <x:c r="E23" s="32"/>
      <x:c r="F23" s="34" t="n">
        <x:f>ROUND(SUM(F5:F22),1)</x:f>
        <x:v>2013.8</x:v>
      </x:c>
      <x:c r="G23" s="32"/>
    </x:row>
    <x:row r="24">
      <x:c r="A24" s="33" t="str">
        <x:v>均值</x:v>
      </x:c>
      <x:c r="B24" s="32"/>
      <x:c r="C24" s="32"/>
      <x:c r="D24" s="32"/>
      <x:c r="E24" s="32"/>
      <x:c r="F24" s="36" t="n">
        <x:f>ROUND(IFERROR(AVERAGE(F5:F22),0),1)</x:f>
        <x:v>111.9</x:v>
      </x:c>
      <x:c r="G24" s="32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高点</x:v>
      </x:c>
      <x:c r="E27" s="20" t="str">
        <x:v>低点</x:v>
      </x:c>
      <x:c r="F27" s="20" t="str">
        <x:v>振幅</x:v>
      </x:c>
      <x:c r="G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5646.037</x:v>
      </x:c>
      <x:c r="E28" s="24" t="n">
        <x:v>5588.556</x:v>
      </x:c>
      <x:c r="F28" s="24" t="n">
        <x:f>ROUND(D28-E28,1)</x:f>
        <x:v>57.5</x:v>
      </x:c>
      <x:c r="G28" s="23" t="str">
        <x:v>中证500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5749.023</x:v>
      </x:c>
      <x:c r="E29" s="24" t="n">
        <x:v>5597.325</x:v>
      </x:c>
      <x:c r="F29" s="24" t="n">
        <x:f>ROUND(D29-E29,1)</x:f>
        <x:v>151.7</x:v>
      </x:c>
      <x:c r="G29" s="23" t="str">
        <x:v>中证500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5889.428</x:v>
      </x:c>
      <x:c r="E30" s="24" t="n">
        <x:v>5741.733</x:v>
      </x:c>
      <x:c r="F30" s="24" t="n">
        <x:f>ROUND(D30-E30,1)</x:f>
        <x:v>147.7</x:v>
      </x:c>
      <x:c r="G30" s="23" t="str">
        <x:v>中证500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5895.406</x:v>
      </x:c>
      <x:c r="E31" s="24" t="n">
        <x:v>5836.171</x:v>
      </x:c>
      <x:c r="F31" s="24" t="n">
        <x:f>ROUND(D31-E31,1)</x:f>
        <x:v>59.2</x:v>
      </x:c>
      <x:c r="G31" s="23" t="str">
        <x:v>中证500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5890.373</x:v>
      </x:c>
      <x:c r="E32" s="24" t="n">
        <x:v>5827.378</x:v>
      </x:c>
      <x:c r="F32" s="24" t="n">
        <x:f>ROUND(D32-E32,1)</x:f>
        <x:v>63</x:v>
      </x:c>
      <x:c r="G32" s="23" t="str">
        <x:v>中证500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5940.537</x:v>
      </x:c>
      <x:c r="E33" s="24" t="n">
        <x:v>5841.319</x:v>
      </x:c>
      <x:c r="F33" s="24" t="n">
        <x:f>ROUND(D33-E33,1)</x:f>
        <x:v>99.2</x:v>
      </x:c>
      <x:c r="G33" s="23" t="str">
        <x:v>中证500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5957.58</x:v>
      </x:c>
      <x:c r="E34" s="24" t="n">
        <x:v>5889.695</x:v>
      </x:c>
      <x:c r="F34" s="24" t="n">
        <x:f>ROUND(D34-E34,1)</x:f>
        <x:v>67.9</x:v>
      </x:c>
      <x:c r="G34" s="23" t="str">
        <x:v>中证500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5954.477</x:v>
      </x:c>
      <x:c r="E35" s="24" t="n">
        <x:v>5886.95</x:v>
      </x:c>
      <x:c r="F35" s="24" t="n">
        <x:f>ROUND(D35-E35,1)</x:f>
        <x:v>67.5</x:v>
      </x:c>
      <x:c r="G35" s="23" t="str">
        <x:v>中证500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5985.364</x:v>
      </x:c>
      <x:c r="E36" s="24" t="n">
        <x:v>5906.266</x:v>
      </x:c>
      <x:c r="F36" s="24" t="n">
        <x:f>ROUND(D36-E36,1)</x:f>
        <x:v>79.1</x:v>
      </x:c>
      <x:c r="G36" s="23" t="str">
        <x:v>中证500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5947.934</x:v>
      </x:c>
      <x:c r="E37" s="24" t="n">
        <x:v>5816.051</x:v>
      </x:c>
      <x:c r="F37" s="24" t="n">
        <x:f>ROUND(D37-E37,1)</x:f>
        <x:v>131.9</x:v>
      </x:c>
      <x:c r="G37" s="23" t="str">
        <x:v>中证500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5945.346</x:v>
      </x:c>
      <x:c r="E38" s="24" t="n">
        <x:v>5831.482</x:v>
      </x:c>
      <x:c r="F38" s="24" t="n">
        <x:f>ROUND(D38-E38,1)</x:f>
        <x:v>113.9</x:v>
      </x:c>
      <x:c r="G38" s="23" t="str">
        <x:v>中证500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5977.73</x:v>
      </x:c>
      <x:c r="E39" s="24" t="n">
        <x:v>5920.568</x:v>
      </x:c>
      <x:c r="F39" s="24" t="n">
        <x:f>ROUND(D39-E39,1)</x:f>
        <x:v>57.2</x:v>
      </x:c>
      <x:c r="G39" s="23" t="str">
        <x:v>中证500</x:v>
      </x:c>
    </x:row>
    <x:row r="40">
      <x:c r="A40" s="29" t="n">
        <x:v>13</x:v>
      </x:c>
      <x:c r="B40" s="29" t="str">
        <x:v>周五</x:v>
      </x:c>
      <x:c r="C40" s="29" t="str">
        <x:v>2月21日</x:v>
      </x:c>
      <x:c r="D40" s="30" t="n">
        <x:v>6061.824</x:v>
      </x:c>
      <x:c r="E40" s="30" t="n">
        <x:v>5943.195</x:v>
      </x:c>
      <x:c r="F40" s="30" t="n">
        <x:f>ROUND(D40-E40,1)</x:f>
        <x:v>118.6</x:v>
      </x:c>
      <x:c r="G40" s="29" t="str">
        <x:v>中证500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6079.017</x:v>
      </x:c>
      <x:c r="E41" s="24" t="n">
        <x:v>6007.179</x:v>
      </x:c>
      <x:c r="F41" s="24" t="n">
        <x:f>ROUND(D41-E41,1)</x:f>
        <x:v>71.8</x:v>
      </x:c>
      <x:c r="G41" s="23" t="str">
        <x:v>中证500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6044.756</x:v>
      </x:c>
      <x:c r="E42" s="24" t="n">
        <x:v>5956.176</x:v>
      </x:c>
      <x:c r="F42" s="24" t="n">
        <x:f>ROUND(D42-E42,1)</x:f>
        <x:v>88.6</x:v>
      </x:c>
      <x:c r="G42" s="23" t="str">
        <x:v>中证500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6055.873</x:v>
      </x:c>
      <x:c r="E43" s="24" t="n">
        <x:v>5973.857</x:v>
      </x:c>
      <x:c r="F43" s="24" t="n">
        <x:f>ROUND(D43-E43,1)</x:f>
        <x:v>82</x:v>
      </x:c>
      <x:c r="G43" s="23" t="str">
        <x:v>中证500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6064.491</x:v>
      </x:c>
      <x:c r="E44" s="24" t="n">
        <x:v>5940.335</x:v>
      </x:c>
      <x:c r="F44" s="24" t="n">
        <x:f>ROUND(D44-E44,1)</x:f>
        <x:v>124.2</x:v>
      </x:c>
      <x:c r="G44" s="23" t="str">
        <x:v>中证500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6007.472</x:v>
      </x:c>
      <x:c r="E45" s="24" t="n">
        <x:v>5847.151</x:v>
      </x:c>
      <x:c r="F45" s="26" t="n">
        <x:f>ROUND(D45-E45,1)</x:f>
        <x:v>160.3</x:v>
      </x:c>
      <x:c r="G45" s="23" t="str">
        <x:v>中证500</x:v>
      </x:c>
    </x:row>
    <x:row r="46">
      <x:c r="A46" s="33" t="str">
        <x:v>合计</x:v>
      </x:c>
      <x:c r="B46" s="32" t="n">
        <x:v>18</x:v>
      </x:c>
      <x:c r="C46" s="32"/>
      <x:c r="D46" s="32"/>
      <x:c r="E46" s="32"/>
      <x:c r="F46" s="34" t="n">
        <x:f>ROUND(SUM(F28:F45),1)</x:f>
        <x:v>1741.3</x:v>
      </x:c>
      <x:c r="G46" s="32"/>
    </x:row>
    <x:row r="47">
      <x:c r="A47" s="33" t="str">
        <x:v>均值</x:v>
      </x:c>
      <x:c r="B47" s="32"/>
      <x:c r="C47" s="32"/>
      <x:c r="D47" s="32"/>
      <x:c r="E47" s="32"/>
      <x:c r="F47" s="36" t="n">
        <x:f>ROUND(IFERROR(AVERAGE(F28:F45),0),1)</x:f>
        <x:v>96.7</x:v>
      </x:c>
      <x:c r="G47" s="32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高点</x:v>
      </x:c>
      <x:c r="E50" s="20" t="str">
        <x:v>低点</x:v>
      </x:c>
      <x:c r="F50" s="20" t="str">
        <x:v>振幅</x:v>
      </x:c>
      <x:c r="G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5964.268</x:v>
      </x:c>
      <x:c r="E51" s="24" t="n">
        <x:v>5851.56</x:v>
      </x:c>
      <x:c r="F51" s="24" t="n">
        <x:f>ROUND(D51-E51,1)</x:f>
        <x:v>112.7</x:v>
      </x:c>
      <x:c r="G51" s="23" t="str">
        <x:v>中证500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5943.084</x:v>
      </x:c>
      <x:c r="E52" s="24" t="n">
        <x:v>5843.463</x:v>
      </x:c>
      <x:c r="F52" s="24" t="n">
        <x:f>ROUND(D52-E52,1)</x:f>
        <x:v>99.6</x:v>
      </x:c>
      <x:c r="G52" s="23" t="str">
        <x:v>中证500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5955.899</x:v>
      </x:c>
      <x:c r="E53" s="24" t="n">
        <x:v>5892.533</x:v>
      </x:c>
      <x:c r="F53" s="24" t="n">
        <x:f>ROUND(D53-E53,1)</x:f>
        <x:v>63.4</x:v>
      </x:c>
      <x:c r="G53" s="23" t="str">
        <x:v>中证500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6062.541</x:v>
      </x:c>
      <x:c r="E54" s="24" t="n">
        <x:v>5972.604</x:v>
      </x:c>
      <x:c r="F54" s="24" t="n">
        <x:f>ROUND(D54-E54,1)</x:f>
        <x:v>89.9</x:v>
      </x:c>
      <x:c r="G54" s="23" t="str">
        <x:v>中证500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6067.348</x:v>
      </x:c>
      <x:c r="E55" s="24" t="n">
        <x:v>5989.321</x:v>
      </x:c>
      <x:c r="F55" s="24" t="n">
        <x:f>ROUND(D55-E55,1)</x:f>
        <x:v>78</x:v>
      </x:c>
      <x:c r="G55" s="23" t="str">
        <x:v>中证500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6041.522</x:v>
      </x:c>
      <x:c r="E56" s="24" t="n">
        <x:v>5971.813</x:v>
      </x:c>
      <x:c r="F56" s="24" t="n">
        <x:f>ROUND(D56-E56,1)</x:f>
        <x:v>69.7</x:v>
      </x:c>
      <x:c r="G56" s="23" t="str">
        <x:v>中证500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6044.974</x:v>
      </x:c>
      <x:c r="E57" s="24" t="n">
        <x:v>5942.912</x:v>
      </x:c>
      <x:c r="F57" s="24" t="n">
        <x:f>ROUND(D57-E57,1)</x:f>
        <x:v>102.1</x:v>
      </x:c>
      <x:c r="G57" s="23" t="str">
        <x:v>中证500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6098.235</x:v>
      </x:c>
      <x:c r="E58" s="24" t="n">
        <x:v>6038.822</x:v>
      </x:c>
      <x:c r="F58" s="24" t="n">
        <x:f>ROUND(D58-E58,1)</x:f>
        <x:v>59.4</x:v>
      </x:c>
      <x:c r="G58" s="23" t="str">
        <x:v>中证500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6050.178</x:v>
      </x:c>
      <x:c r="E59" s="24" t="n">
        <x:v>5947.782</x:v>
      </x:c>
      <x:c r="F59" s="24" t="n">
        <x:f>ROUND(D59-E59,1)</x:f>
        <x:v>102.4</x:v>
      </x:c>
      <x:c r="G59" s="23" t="str">
        <x:v>中证500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6099.981</x:v>
      </x:c>
      <x:c r="E60" s="24" t="n">
        <x:v>5978.532</x:v>
      </x:c>
      <x:c r="F60" s="24" t="n">
        <x:f>ROUND(D60-E60,1)</x:f>
        <x:v>121.4</x:v>
      </x:c>
      <x:c r="G60" s="23" t="str">
        <x:v>中证500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6129.854</x:v>
      </x:c>
      <x:c r="E61" s="24" t="n">
        <x:v>6098.508</x:v>
      </x:c>
      <x:c r="F61" s="24" t="n">
        <x:f>ROUND(D61-E61,1)</x:f>
        <x:v>31.3</x:v>
      </x:c>
      <x:c r="G61" s="23" t="str">
        <x:v>中证500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6161.228</x:v>
      </x:c>
      <x:c r="E62" s="24" t="n">
        <x:v>6114.206</x:v>
      </x:c>
      <x:c r="F62" s="24" t="n">
        <x:f>ROUND(D62-E62,1)</x:f>
        <x:v>47</x:v>
      </x:c>
      <x:c r="G62" s="23" t="str">
        <x:v>中证500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6128.23</x:v>
      </x:c>
      <x:c r="E63" s="24" t="n">
        <x:v>6076.564</x:v>
      </x:c>
      <x:c r="F63" s="24" t="n">
        <x:f>ROUND(D63-E63,1)</x:f>
        <x:v>51.7</x:v>
      </x:c>
      <x:c r="G63" s="23" t="str">
        <x:v>中证500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6109.183</x:v>
      </x:c>
      <x:c r="E64" s="24" t="n">
        <x:v>6055.381</x:v>
      </x:c>
      <x:c r="F64" s="24" t="n">
        <x:f>ROUND(D64-E64,1)</x:f>
        <x:v>53.8</x:v>
      </x:c>
      <x:c r="G64" s="23" t="str">
        <x:v>中证500</x:v>
      </x:c>
    </x:row>
    <x:row r="65">
      <x:c r="A65" s="29" t="n">
        <x:v>15</x:v>
      </x:c>
      <x:c r="B65" s="29" t="str">
        <x:v>周五</x:v>
      </x:c>
      <x:c r="C65" s="29" t="str">
        <x:v>3月21日</x:v>
      </x:c>
      <x:c r="D65" s="30" t="n">
        <x:v>6071.085</x:v>
      </x:c>
      <x:c r="E65" s="30" t="n">
        <x:v>5951.795</x:v>
      </x:c>
      <x:c r="F65" s="30" t="n">
        <x:f>ROUND(D65-E65,1)</x:f>
        <x:v>119.3</x:v>
      </x:c>
      <x:c r="G65" s="29" t="str">
        <x:v>中证500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5987.061</x:v>
      </x:c>
      <x:c r="E66" s="24" t="n">
        <x:v>5882.878</x:v>
      </x:c>
      <x:c r="F66" s="24" t="n">
        <x:f>ROUND(D66-E66,1)</x:f>
        <x:v>104.2</x:v>
      </x:c>
      <x:c r="G66" s="23" t="str">
        <x:v>中证500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5993.931</x:v>
      </x:c>
      <x:c r="E67" s="24" t="n">
        <x:v>5929.673</x:v>
      </x:c>
      <x:c r="F67" s="24" t="n">
        <x:f>ROUND(D67-E67,1)</x:f>
        <x:v>64.3</x:v>
      </x:c>
      <x:c r="G67" s="23" t="str">
        <x:v>中证500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5983.474</x:v>
      </x:c>
      <x:c r="E68" s="24" t="n">
        <x:v>5935.854</x:v>
      </x:c>
      <x:c r="F68" s="24" t="n">
        <x:f>ROUND(D68-E68,1)</x:f>
        <x:v>47.6</x:v>
      </x:c>
      <x:c r="G68" s="23" t="str">
        <x:v>中证500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6000.662</x:v>
      </x:c>
      <x:c r="E69" s="24" t="n">
        <x:v>5891.766</x:v>
      </x:c>
      <x:c r="F69" s="24" t="n">
        <x:f>ROUND(D69-E69,1)</x:f>
        <x:v>108.9</x:v>
      </x:c>
      <x:c r="G69" s="23" t="str">
        <x:v>中证500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5973.802</x:v>
      </x:c>
      <x:c r="E70" s="24" t="n">
        <x:v>5904.916</x:v>
      </x:c>
      <x:c r="F70" s="24" t="n">
        <x:f>ROUND(D70-E70,1)</x:f>
        <x:v>68.9</x:v>
      </x:c>
      <x:c r="G70" s="23" t="str">
        <x:v>中证500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5908.303</x:v>
      </x:c>
      <x:c r="E71" s="24" t="n">
        <x:v>5802.419</x:v>
      </x:c>
      <x:c r="F71" s="24" t="n">
        <x:f>ROUND(D71-E71,1)</x:f>
        <x:v>105.9</x:v>
      </x:c>
      <x:c r="G71" s="23" t="str">
        <x:v>中证500</x:v>
      </x:c>
    </x:row>
    <x:row r="72">
      <x:c r="A72" s="33" t="str">
        <x:v>合计</x:v>
      </x:c>
      <x:c r="B72" s="32" t="n">
        <x:v>21</x:v>
      </x:c>
      <x:c r="C72" s="32"/>
      <x:c r="D72" s="32"/>
      <x:c r="E72" s="32"/>
      <x:c r="F72" s="34" t="n">
        <x:f>ROUND(SUM(F51:F71),1)</x:f>
        <x:v>1701.5</x:v>
      </x:c>
      <x:c r="G72" s="32"/>
    </x:row>
    <x:row r="73">
      <x:c r="A73" s="33" t="str">
        <x:v>均值</x:v>
      </x:c>
      <x:c r="B73" s="32"/>
      <x:c r="C73" s="32"/>
      <x:c r="D73" s="32"/>
      <x:c r="E73" s="32"/>
      <x:c r="F73" s="36" t="n">
        <x:f>ROUND(IFERROR(AVERAGE(F51:F71),0),1)</x:f>
        <x:v>81</x:v>
      </x:c>
      <x:c r="G73" s="32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高点</x:v>
      </x:c>
      <x:c r="E76" s="20" t="str">
        <x:v>低点</x:v>
      </x:c>
      <x:c r="F76" s="20" t="str">
        <x:v>振幅</x:v>
      </x:c>
      <x:c r="G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5931.504</x:v>
      </x:c>
      <x:c r="E77" s="24" t="n">
        <x:v>5867.848</x:v>
      </x:c>
      <x:c r="F77" s="24" t="n">
        <x:f>ROUND(D77-E77,1)</x:f>
        <x:v>63.7</x:v>
      </x:c>
      <x:c r="G77" s="23" t="str">
        <x:v>中证500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5936.647</x:v>
      </x:c>
      <x:c r="E78" s="24" t="n">
        <x:v>5884.113</x:v>
      </x:c>
      <x:c r="F78" s="24" t="n">
        <x:f>ROUND(D78-E78,1)</x:f>
        <x:v>52.5</x:v>
      </x:c>
      <x:c r="G78" s="23" t="str">
        <x:v>中证500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5906.706</x:v>
      </x:c>
      <x:c r="E79" s="24" t="n">
        <x:v>5817.966</x:v>
      </x:c>
      <x:c r="F79" s="24" t="n">
        <x:f>ROUND(D79-E79,1)</x:f>
        <x:v>88.7</x:v>
      </x:c>
      <x:c r="G79" s="23" t="str">
        <x:v>中证500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5587.85</x:v>
      </x:c>
      <x:c r="E80" s="24" t="n">
        <x:v>5212.677</x:v>
      </x:c>
      <x:c r="F80" s="26" t="n">
        <x:f>ROUND(D80-E80,1)</x:f>
        <x:v>375.2</x:v>
      </x:c>
      <x:c r="G80" s="23" t="str">
        <x:v>中证500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5371.183</x:v>
      </x:c>
      <x:c r="E81" s="24" t="n">
        <x:v>5249.232</x:v>
      </x:c>
      <x:c r="F81" s="24" t="n">
        <x:f>ROUND(D81-E81,1)</x:f>
        <x:v>122</x:v>
      </x:c>
      <x:c r="G81" s="23" t="str">
        <x:v>中证500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5465.145</x:v>
      </x:c>
      <x:c r="E82" s="24" t="n">
        <x:v>5135.966</x:v>
      </x:c>
      <x:c r="F82" s="26" t="n">
        <x:f>ROUND(D82-E82,1)</x:f>
        <x:v>329.2</x:v>
      </x:c>
      <x:c r="G82" s="23" t="str">
        <x:v>中证500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5610.19</x:v>
      </x:c>
      <x:c r="E83" s="24" t="n">
        <x:v>5513.954</x:v>
      </x:c>
      <x:c r="F83" s="24" t="n">
        <x:f>ROUND(D83-E83,1)</x:f>
        <x:v>96.2</x:v>
      </x:c>
      <x:c r="G83" s="23" t="str">
        <x:v>中证500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5631.595</x:v>
      </x:c>
      <x:c r="E84" s="24" t="n">
        <x:v>5510.895</x:v>
      </x:c>
      <x:c r="F84" s="24" t="n">
        <x:f>ROUND(D84-E84,1)</x:f>
        <x:v>120.7</x:v>
      </x:c>
      <x:c r="G84" s="23" t="str">
        <x:v>中证500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5661.805</x:v>
      </x:c>
      <x:c r="E85" s="24" t="n">
        <x:v>5608.73</x:v>
      </x:c>
      <x:c r="F85" s="24" t="n">
        <x:f>ROUND(D85-E85,1)</x:f>
        <x:v>53.1</x:v>
      </x:c>
      <x:c r="G85" s="23" t="str">
        <x:v>中证500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5626.677</x:v>
      </x:c>
      <x:c r="E86" s="24" t="n">
        <x:v>5567.027</x:v>
      </x:c>
      <x:c r="F86" s="24" t="n">
        <x:f>ROUND(D86-E86,1)</x:f>
        <x:v>59.6</x:v>
      </x:c>
      <x:c r="G86" s="23" t="str">
        <x:v>中证500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5592.674</x:v>
      </x:c>
      <x:c r="E87" s="24" t="n">
        <x:v>5492.655</x:v>
      </x:c>
      <x:c r="F87" s="24" t="n">
        <x:f>ROUND(D87-E87,1)</x:f>
        <x:v>100</x:v>
      </x:c>
      <x:c r="G87" s="23" t="str">
        <x:v>中证500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5604.62</x:v>
      </x:c>
      <x:c r="E88" s="24" t="n">
        <x:v>5526.888</x:v>
      </x:c>
      <x:c r="F88" s="24" t="n">
        <x:f>ROUND(D88-E88,1)</x:f>
        <x:v>77.7</x:v>
      </x:c>
      <x:c r="G88" s="23" t="str">
        <x:v>中证500</x:v>
      </x:c>
    </x:row>
    <x:row r="89">
      <x:c r="A89" s="29" t="n">
        <x:v>13</x:v>
      </x:c>
      <x:c r="B89" s="29" t="str">
        <x:v>周五</x:v>
      </x:c>
      <x:c r="C89" s="29" t="str">
        <x:v>4月18日</x:v>
      </x:c>
      <x:c r="D89" s="30" t="n">
        <x:v>5579.479</x:v>
      </x:c>
      <x:c r="E89" s="30" t="n">
        <x:v>5525.405</x:v>
      </x:c>
      <x:c r="F89" s="30" t="n">
        <x:f>ROUND(D89-E89,1)</x:f>
        <x:v>54.1</x:v>
      </x:c>
      <x:c r="G89" s="29" t="str">
        <x:v>中证500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5646.218</x:v>
      </x:c>
      <x:c r="E90" s="24" t="n">
        <x:v>5535.699</x:v>
      </x:c>
      <x:c r="F90" s="24" t="n">
        <x:f>ROUND(D90-E90,1)</x:f>
        <x:v>110.5</x:v>
      </x:c>
      <x:c r="G90" s="23" t="str">
        <x:v>中证500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5651.554</x:v>
      </x:c>
      <x:c r="E91" s="24" t="n">
        <x:v>5617.879</x:v>
      </x:c>
      <x:c r="F91" s="24" t="n">
        <x:f>ROUND(D91-E91,1)</x:f>
        <x:v>33.7</x:v>
      </x:c>
      <x:c r="G91" s="23" t="str">
        <x:v>中证500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5670.26</x:v>
      </x:c>
      <x:c r="E92" s="24" t="n">
        <x:v>5614.768</x:v>
      </x:c>
      <x:c r="F92" s="24" t="n">
        <x:f>ROUND(D92-E92,1)</x:f>
        <x:v>55.5</x:v>
      </x:c>
      <x:c r="G92" s="23" t="str">
        <x:v>中证500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5651.534</x:v>
      </x:c>
      <x:c r="E93" s="24" t="n">
        <x:v>5583.43</x:v>
      </x:c>
      <x:c r="F93" s="24" t="n">
        <x:f>ROUND(D93-E93,1)</x:f>
        <x:v>68.1</x:v>
      </x:c>
      <x:c r="G93" s="23" t="str">
        <x:v>中证500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5661.587</x:v>
      </x:c>
      <x:c r="E94" s="24" t="n">
        <x:v>5596.527</x:v>
      </x:c>
      <x:c r="F94" s="24" t="n">
        <x:f>ROUND(D94-E94,1)</x:f>
        <x:v>65.1</x:v>
      </x:c>
      <x:c r="G94" s="23" t="str">
        <x:v>中证500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5628.078</x:v>
      </x:c>
      <x:c r="E95" s="24" t="n">
        <x:v>5587.786</x:v>
      </x:c>
      <x:c r="F95" s="24" t="n">
        <x:f>ROUND(D95-E95,1)</x:f>
        <x:v>40.3</x:v>
      </x:c>
      <x:c r="G95" s="23" t="str">
        <x:v>中证500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5622.022</x:v>
      </x:c>
      <x:c r="E96" s="24" t="n">
        <x:v>5571.236</x:v>
      </x:c>
      <x:c r="F96" s="24" t="n">
        <x:f>ROUND(D96-E96,1)</x:f>
        <x:v>50.8</x:v>
      </x:c>
      <x:c r="G96" s="23" t="str">
        <x:v>中证500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5647.782</x:v>
      </x:c>
      <x:c r="E97" s="24" t="n">
        <x:v>5603.172</x:v>
      </x:c>
      <x:c r="F97" s="24" t="n">
        <x:f>ROUND(D97-E97,1)</x:f>
        <x:v>44.6</x:v>
      </x:c>
      <x:c r="G97" s="23" t="str">
        <x:v>中证500</x:v>
      </x:c>
    </x:row>
    <x:row r="98">
      <x:c r="A98" s="33" t="str">
        <x:v>合计</x:v>
      </x:c>
      <x:c r="B98" s="32" t="n">
        <x:v>21</x:v>
      </x:c>
      <x:c r="C98" s="32"/>
      <x:c r="D98" s="32"/>
      <x:c r="E98" s="32"/>
      <x:c r="F98" s="34" t="n">
        <x:f>ROUND(SUM(F77:F97),1)</x:f>
        <x:v>2061.3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ROUND(IFERROR(AVERAGE(F77:F97),0),1)</x:f>
        <x:v>98.2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5740.334</x:v>
      </x:c>
      <x:c r="E103" s="24" t="n">
        <x:v>5666.47</x:v>
      </x:c>
      <x:c r="F103" s="24" t="n">
        <x:f>ROUND(D103-E103,1)</x:f>
        <x:v>73.9</x:v>
      </x:c>
      <x:c r="G103" s="23" t="str">
        <x:v>中证500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5819.242</x:v>
      </x:c>
      <x:c r="E104" s="24" t="n">
        <x:v>5713.273</x:v>
      </x:c>
      <x:c r="F104" s="24" t="n">
        <x:f>ROUND(D104-E104,1)</x:f>
        <x:v>106</x:v>
      </x:c>
      <x:c r="G104" s="23" t="str">
        <x:v>中证500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5783.792</x:v>
      </x:c>
      <x:c r="E105" s="24" t="n">
        <x:v>5724.951</x:v>
      </x:c>
      <x:c r="F105" s="24" t="n">
        <x:f>ROUND(D105-E105,1)</x:f>
        <x:v>58.8</x:v>
      </x:c>
      <x:c r="G105" s="23" t="str">
        <x:v>中证500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5770.441</x:v>
      </x:c>
      <x:c r="E106" s="24" t="n">
        <x:v>5705.165</x:v>
      </x:c>
      <x:c r="F106" s="24" t="n">
        <x:f>ROUND(D106-E106,1)</x:f>
        <x:v>65.3</x:v>
      </x:c>
      <x:c r="G106" s="23" t="str">
        <x:v>中证500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5794.516</x:v>
      </x:c>
      <x:c r="E107" s="24" t="n">
        <x:v>5737.462</x:v>
      </x:c>
      <x:c r="F107" s="24" t="n">
        <x:f>ROUND(D107-E107,1)</x:f>
        <x:v>57.1</x:v>
      </x:c>
      <x:c r="G107" s="23" t="str">
        <x:v>中证500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5838.034</x:v>
      </x:c>
      <x:c r="E108" s="24" t="n">
        <x:v>5772.072</x:v>
      </x:c>
      <x:c r="F108" s="24" t="n">
        <x:f>ROUND(D108-E108,1)</x:f>
        <x:v>66</x:v>
      </x:c>
      <x:c r="G108" s="23" t="str">
        <x:v>中证500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5835.491</x:v>
      </x:c>
      <x:c r="E109" s="24" t="n">
        <x:v>5750.537</x:v>
      </x:c>
      <x:c r="F109" s="24" t="n">
        <x:f>ROUND(D109-E109,1)</x:f>
        <x:v>85</x:v>
      </x:c>
      <x:c r="G109" s="23" t="str">
        <x:v>中证500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5786.783</x:v>
      </x:c>
      <x:c r="E110" s="24" t="n">
        <x:v>5715.294</x:v>
      </x:c>
      <x:c r="F110" s="24" t="n">
        <x:f>ROUND(D110-E110,1)</x:f>
        <x:v>71.5</x:v>
      </x:c>
      <x:c r="G110" s="23" t="str">
        <x:v>中证500</x:v>
      </x:c>
    </x:row>
    <x:row r="111">
      <x:c r="A111" s="29" t="n">
        <x:v>9</x:v>
      </x:c>
      <x:c r="B111" s="29" t="str">
        <x:v>周五</x:v>
      </x:c>
      <x:c r="C111" s="29" t="str">
        <x:v>5月16日</x:v>
      </x:c>
      <x:c r="D111" s="30" t="n">
        <x:v>5735.012</x:v>
      </x:c>
      <x:c r="E111" s="30" t="n">
        <x:v>5703.735</x:v>
      </x:c>
      <x:c r="F111" s="30" t="n">
        <x:f>ROUND(D111-E111,1)</x:f>
        <x:v>31.3</x:v>
      </x:c>
      <x:c r="G111" s="29" t="str">
        <x:v>中证500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5729.07</x:v>
      </x:c>
      <x:c r="E112" s="24" t="n">
        <x:v>5669.721</x:v>
      </x:c>
      <x:c r="F112" s="24" t="n">
        <x:f>ROUND(D112-E112,1)</x:f>
        <x:v>59.3</x:v>
      </x:c>
      <x:c r="G112" s="23" t="str">
        <x:v>中证500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5759.458</x:v>
      </x:c>
      <x:c r="E113" s="24" t="n">
        <x:v>5707.81</x:v>
      </x:c>
      <x:c r="F113" s="24" t="n">
        <x:f>ROUND(D113-E113,1)</x:f>
        <x:v>51.6</x:v>
      </x:c>
      <x:c r="G113" s="23" t="str">
        <x:v>中证500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5763.079</x:v>
      </x:c>
      <x:c r="E114" s="24" t="n">
        <x:v>5733.828</x:v>
      </x:c>
      <x:c r="F114" s="24" t="n">
        <x:f>ROUND(D114-E114,1)</x:f>
        <x:v>29.3</x:v>
      </x:c>
      <x:c r="G114" s="23" t="str">
        <x:v>中证500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5757.795</x:v>
      </x:c>
      <x:c r="E115" s="24" t="n">
        <x:v>5701.161</x:v>
      </x:c>
      <x:c r="F115" s="24" t="n">
        <x:f>ROUND(D115-E115,1)</x:f>
        <x:v>56.6</x:v>
      </x:c>
      <x:c r="G115" s="23" t="str">
        <x:v>中证500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5738.083</x:v>
      </x:c>
      <x:c r="E116" s="24" t="n">
        <x:v>5653.044</x:v>
      </x:c>
      <x:c r="F116" s="24" t="n">
        <x:f>ROUND(D116-E116,1)</x:f>
        <x:v>85</x:v>
      </x:c>
      <x:c r="G116" s="23" t="str">
        <x:v>中证500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5693.625</x:v>
      </x:c>
      <x:c r="E117" s="24" t="n">
        <x:v>5644.579</x:v>
      </x:c>
      <x:c r="F117" s="24" t="n">
        <x:f>ROUND(D117-E117,1)</x:f>
        <x:v>49</x:v>
      </x:c>
      <x:c r="G117" s="23" t="str">
        <x:v>中证500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5667.871</x:v>
      </x:c>
      <x:c r="E118" s="24" t="n">
        <x:v>5629.134</x:v>
      </x:c>
      <x:c r="F118" s="24" t="n">
        <x:f>ROUND(D118-E118,1)</x:f>
        <x:v>38.7</x:v>
      </x:c>
      <x:c r="G118" s="23" t="str">
        <x:v>中证500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5660.47</x:v>
      </x:c>
      <x:c r="E119" s="24" t="n">
        <x:v>5628.417</x:v>
      </x:c>
      <x:c r="F119" s="24" t="n">
        <x:f>ROUND(D119-E119,1)</x:f>
        <x:v>32.1</x:v>
      </x:c>
      <x:c r="G119" s="23" t="str">
        <x:v>中证500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5724.519</x:v>
      </x:c>
      <x:c r="E120" s="24" t="n">
        <x:v>5637.063</x:v>
      </x:c>
      <x:c r="F120" s="24" t="n">
        <x:f>ROUND(D120-E120,1)</x:f>
        <x:v>87.5</x:v>
      </x:c>
      <x:c r="G120" s="23" t="str">
        <x:v>中证500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5704.771</x:v>
      </x:c>
      <x:c r="E121" s="24" t="n">
        <x:v>5665.518</x:v>
      </x:c>
      <x:c r="F121" s="24" t="n">
        <x:f>ROUND(D121-E121,1)</x:f>
        <x:v>39.3</x:v>
      </x:c>
      <x:c r="G121" s="23" t="str">
        <x:v>中证500</x:v>
      </x:c>
    </x:row>
    <x:row r="122">
      <x:c r="A122" s="33" t="str">
        <x:v>合计</x:v>
      </x:c>
      <x:c r="B122" s="32" t="n">
        <x:v>19</x:v>
      </x:c>
      <x:c r="C122" s="32"/>
      <x:c r="D122" s="32"/>
      <x:c r="E122" s="32"/>
      <x:c r="F122" s="34" t="n">
        <x:f>ROUND(SUM(F103:F121),1)</x:f>
        <x:v>1143.3</x:v>
      </x:c>
      <x:c r="G122" s="32"/>
    </x:row>
    <x:row r="123">
      <x:c r="A123" s="33" t="str">
        <x:v>均值</x:v>
      </x:c>
      <x:c r="B123" s="32"/>
      <x:c r="C123" s="32"/>
      <x:c r="D123" s="32"/>
      <x:c r="E123" s="32"/>
      <x:c r="F123" s="36" t="n">
        <x:f>ROUND(IFERROR(AVERAGE(F103:F121),0),1)</x:f>
        <x:v>60.2</x:v>
      </x:c>
      <x:c r="G123" s="32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高点</x:v>
      </x:c>
      <x:c r="E126" s="20" t="str">
        <x:v>低点</x:v>
      </x:c>
      <x:c r="F126" s="20" t="str">
        <x:v>振幅</x:v>
      </x:c>
      <x:c r="G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5710.42</x:v>
      </x:c>
      <x:c r="E127" s="24" t="n">
        <x:v>5653.298</x:v>
      </x:c>
      <x:c r="F127" s="24" t="n">
        <x:f>ROUND(D127-E127,1)</x:f>
        <x:v>57.1</x:v>
      </x:c>
      <x:c r="G127" s="23" t="str">
        <x:v>中证500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5744.454</x:v>
      </x:c>
      <x:c r="E128" s="24" t="n">
        <x:v>5696.569</x:v>
      </x:c>
      <x:c r="F128" s="24" t="n">
        <x:f>ROUND(D128-E128,1)</x:f>
        <x:v>47.9</x:v>
      </x:c>
      <x:c r="G128" s="23" t="str">
        <x:v>中证500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5778.096</x:v>
      </x:c>
      <x:c r="E129" s="24" t="n">
        <x:v>5719.547</x:v>
      </x:c>
      <x:c r="F129" s="24" t="n">
        <x:f>ROUND(D129-E129,1)</x:f>
        <x:v>58.5</x:v>
      </x:c>
      <x:c r="G129" s="23" t="str">
        <x:v>中证500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5771.756</x:v>
      </x:c>
      <x:c r="E130" s="24" t="n">
        <x:v>5750.659</x:v>
      </x:c>
      <x:c r="F130" s="24" t="n">
        <x:f>ROUND(D130-E130,1)</x:f>
        <x:v>21.1</x:v>
      </x:c>
      <x:c r="G130" s="23" t="str">
        <x:v>中证500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5823.899</x:v>
      </x:c>
      <x:c r="E131" s="24" t="n">
        <x:v>5765.355</x:v>
      </x:c>
      <x:c r="F131" s="24" t="n">
        <x:f>ROUND(D131-E131,1)</x:f>
        <x:v>58.5</x:v>
      </x:c>
      <x:c r="G131" s="23" t="str">
        <x:v>中证500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5810.922</x:v>
      </x:c>
      <x:c r="E132" s="24" t="n">
        <x:v>5715.971</x:v>
      </x:c>
      <x:c r="F132" s="24" t="n">
        <x:f>ROUND(D132-E132,1)</x:f>
        <x:v>95</x:v>
      </x:c>
      <x:c r="G132" s="23" t="str">
        <x:v>中证500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5818.573</x:v>
      </x:c>
      <x:c r="E133" s="24" t="n">
        <x:v>5758.529</x:v>
      </x:c>
      <x:c r="F133" s="24" t="n">
        <x:f>ROUND(D133-E133,1)</x:f>
        <x:v>60</x:v>
      </x:c>
      <x:c r="G133" s="23" t="str">
        <x:v>中证500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5808.805</x:v>
      </x:c>
      <x:c r="E134" s="24" t="n">
        <x:v>5766.521</x:v>
      </x:c>
      <x:c r="F134" s="24" t="n">
        <x:f>ROUND(D134-E134,1)</x:f>
        <x:v>42.3</x:v>
      </x:c>
      <x:c r="G134" s="23" t="str">
        <x:v>中证500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5794.67</x:v>
      </x:c>
      <x:c r="E135" s="24" t="n">
        <x:v>5728.211</x:v>
      </x:c>
      <x:c r="F135" s="24" t="n">
        <x:f>ROUND(D135-E135,1)</x:f>
        <x:v>66.5</x:v>
      </x:c>
      <x:c r="G135" s="23" t="str">
        <x:v>中证500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5775.949</x:v>
      </x:c>
      <x:c r="E136" s="24" t="n">
        <x:v>5725.003</x:v>
      </x:c>
      <x:c r="F136" s="24" t="n">
        <x:f>ROUND(D136-E136,1)</x:f>
        <x:v>50.9</x:v>
      </x:c>
      <x:c r="G136" s="23" t="str">
        <x:v>中证500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5776.633</x:v>
      </x:c>
      <x:c r="E137" s="24" t="n">
        <x:v>5734.829</x:v>
      </x:c>
      <x:c r="F137" s="24" t="n">
        <x:f>ROUND(D137-E137,1)</x:f>
        <x:v>41.8</x:v>
      </x:c>
      <x:c r="G137" s="23" t="str">
        <x:v>中证500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5753.712</x:v>
      </x:c>
      <x:c r="E138" s="24" t="n">
        <x:v>5709.803</x:v>
      </x:c>
      <x:c r="F138" s="24" t="n">
        <x:f>ROUND(D138-E138,1)</x:f>
        <x:v>43.9</x:v>
      </x:c>
      <x:c r="G138" s="23" t="str">
        <x:v>中证500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5750.464</x:v>
      </x:c>
      <x:c r="E139" s="24" t="n">
        <x:v>5660.05</x:v>
      </x:c>
      <x:c r="F139" s="24" t="n">
        <x:f>ROUND(D139-E139,1)</x:f>
        <x:v>90.4</x:v>
      </x:c>
      <x:c r="G139" s="23" t="str">
        <x:v>中证500</x:v>
      </x:c>
    </x:row>
    <x:row r="140">
      <x:c r="A140" s="29" t="n">
        <x:v>14</x:v>
      </x:c>
      <x:c r="B140" s="29" t="str">
        <x:v>周五</x:v>
      </x:c>
      <x:c r="C140" s="29" t="str">
        <x:v>6月20日</x:v>
      </x:c>
      <x:c r="D140" s="30" t="n">
        <x:v>5688.736</x:v>
      </x:c>
      <x:c r="E140" s="30" t="n">
        <x:v>5636.785</x:v>
      </x:c>
      <x:c r="F140" s="30" t="n">
        <x:f>ROUND(D140-E140,1)</x:f>
        <x:v>52</x:v>
      </x:c>
      <x:c r="G140" s="29" t="str">
        <x:v>中证500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5684.397</x:v>
      </x:c>
      <x:c r="E141" s="24" t="n">
        <x:v>5613.281</x:v>
      </x:c>
      <x:c r="F141" s="24" t="n">
        <x:f>ROUND(D141-E141,1)</x:f>
        <x:v>71.1</x:v>
      </x:c>
      <x:c r="G141" s="23" t="str">
        <x:v>中证500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5766.019</x:v>
      </x:c>
      <x:c r="E142" s="24" t="n">
        <x:v>5683.462</x:v>
      </x:c>
      <x:c r="F142" s="24" t="n">
        <x:f>ROUND(D142-E142,1)</x:f>
        <x:v>82.6</x:v>
      </x:c>
      <x:c r="G142" s="23" t="str">
        <x:v>中证500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5866.525</x:v>
      </x:c>
      <x:c r="E143" s="24" t="n">
        <x:v>5776.124</x:v>
      </x:c>
      <x:c r="F143" s="24" t="n">
        <x:f>ROUND(D143-E143,1)</x:f>
        <x:v>90.4</x:v>
      </x:c>
      <x:c r="G143" s="23" t="str">
        <x:v>中证500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5885.251</x:v>
      </x:c>
      <x:c r="E144" s="24" t="n">
        <x:v>5835.34</x:v>
      </x:c>
      <x:c r="F144" s="24" t="n">
        <x:f>ROUND(D144-E144,1)</x:f>
        <x:v>49.9</x:v>
      </x:c>
      <x:c r="G144" s="23" t="str">
        <x:v>中证500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5905.696</x:v>
      </x:c>
      <x:c r="E145" s="24" t="n">
        <x:v>5839.578</x:v>
      </x:c>
      <x:c r="F145" s="24" t="n">
        <x:f>ROUND(D145-E145,1)</x:f>
        <x:v>66.1</x:v>
      </x:c>
      <x:c r="G145" s="23" t="str">
        <x:v>中证500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5918.307</x:v>
      </x:c>
      <x:c r="E146" s="24" t="n">
        <x:v>5872.225</x:v>
      </x:c>
      <x:c r="F146" s="24" t="n">
        <x:f>ROUND(D146-E146,1)</x:f>
        <x:v>46.1</x:v>
      </x:c>
      <x:c r="G146" s="23" t="str">
        <x:v>中证500</x:v>
      </x:c>
    </x:row>
    <x:row r="147">
      <x:c r="A147" s="33" t="str">
        <x:v>合计</x:v>
      </x:c>
      <x:c r="B147" s="32" t="n">
        <x:v>20</x:v>
      </x:c>
      <x:c r="C147" s="32"/>
      <x:c r="D147" s="32"/>
      <x:c r="E147" s="32"/>
      <x:c r="F147" s="34" t="n">
        <x:f>ROUND(SUM(F127:F146),1)</x:f>
        <x:v>1192.1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ROUND(IFERROR(AVERAGE(F127:F146),0),1)</x:f>
        <x:v>59.6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5936.924</x:v>
      </x:c>
      <x:c r="E152" s="24" t="n">
        <x:v>5890.114</x:v>
      </x:c>
      <x:c r="F152" s="24" t="n">
        <x:f>ROUND(D152-E152,1)</x:f>
        <x:v>46.8</x:v>
      </x:c>
      <x:c r="G152" s="23" t="str">
        <x:v>中证500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5922.541</x:v>
      </x:c>
      <x:c r="E153" s="24" t="n">
        <x:v>5873.892</x:v>
      </x:c>
      <x:c r="F153" s="24" t="n">
        <x:f>ROUND(D153-E153,1)</x:f>
        <x:v>48.6</x:v>
      </x:c>
      <x:c r="G153" s="23" t="str">
        <x:v>中证500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5929.727</x:v>
      </x:c>
      <x:c r="E154" s="24" t="n">
        <x:v>5885.943</x:v>
      </x:c>
      <x:c r="F154" s="24" t="n">
        <x:f>ROUND(D154-E154,1)</x:f>
        <x:v>43.8</x:v>
      </x:c>
      <x:c r="G154" s="23" t="str">
        <x:v>中证500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5969.303</x:v>
      </x:c>
      <x:c r="E155" s="24" t="n">
        <x:v>5889.73</x:v>
      </x:c>
      <x:c r="F155" s="24" t="n">
        <x:f>ROUND(D155-E155,1)</x:f>
        <x:v>79.6</x:v>
      </x:c>
      <x:c r="G155" s="23" t="str">
        <x:v>中证500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5910.804</x:v>
      </x:c>
      <x:c r="E156" s="24" t="n">
        <x:v>5889.602</x:v>
      </x:c>
      <x:c r="F156" s="24" t="n">
        <x:f>ROUND(D156-E156,1)</x:f>
        <x:v>21.2</x:v>
      </x:c>
      <x:c r="G156" s="23" t="str">
        <x:v>中证500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5979.627</x:v>
      </x:c>
      <x:c r="E157" s="24" t="n">
        <x:v>5903.102</x:v>
      </x:c>
      <x:c r="F157" s="24" t="n">
        <x:f>ROUND(D157-E157,1)</x:f>
        <x:v>76.5</x:v>
      </x:c>
      <x:c r="G157" s="23" t="str">
        <x:v>中证500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5992.135</x:v>
      </x:c>
      <x:c r="E158" s="24" t="n">
        <x:v>5940.176</x:v>
      </x:c>
      <x:c r="F158" s="24" t="n">
        <x:f>ROUND(D158-E158,1)</x:f>
        <x:v>52</x:v>
      </x:c>
      <x:c r="G158" s="23" t="str">
        <x:v>中证500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6000.686</x:v>
      </x:c>
      <x:c r="E159" s="24" t="n">
        <x:v>5942.29</x:v>
      </x:c>
      <x:c r="F159" s="24" t="n">
        <x:f>ROUND(D159-E159,1)</x:f>
        <x:v>58.4</x:v>
      </x:c>
      <x:c r="G159" s="23" t="str">
        <x:v>中证500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6057.623</x:v>
      </x:c>
      <x:c r="E160" s="24" t="n">
        <x:v>5963.257</x:v>
      </x:c>
      <x:c r="F160" s="24" t="n">
        <x:f>ROUND(D160-E160,1)</x:f>
        <x:v>94.4</x:v>
      </x:c>
      <x:c r="G160" s="23" t="str">
        <x:v>中证500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6042.886</x:v>
      </x:c>
      <x:c r="E161" s="24" t="n">
        <x:v>6011.687</x:v>
      </x:c>
      <x:c r="F161" s="24" t="n">
        <x:f>ROUND(D161-E161,1)</x:f>
        <x:v>31.2</x:v>
      </x:c>
      <x:c r="G161" s="23" t="str">
        <x:v>中证500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6049.787</x:v>
      </x:c>
      <x:c r="E162" s="24" t="n">
        <x:v>5973.797</x:v>
      </x:c>
      <x:c r="F162" s="24" t="n">
        <x:f>ROUND(D162-E162,1)</x:f>
        <x:v>76</x:v>
      </x:c>
      <x:c r="G162" s="23" t="str">
        <x:v>中证500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6061.199</x:v>
      </x:c>
      <x:c r="E163" s="24" t="n">
        <x:v>5997.163</x:v>
      </x:c>
      <x:c r="F163" s="24" t="n">
        <x:f>ROUND(D163-E163,1)</x:f>
        <x:v>64</x:v>
      </x:c>
      <x:c r="G163" s="23" t="str">
        <x:v>中证500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6082.464</x:v>
      </x:c>
      <x:c r="E164" s="24" t="n">
        <x:v>6013.044</x:v>
      </x:c>
      <x:c r="F164" s="24" t="n">
        <x:f>ROUND(D164-E164,1)</x:f>
        <x:v>69.4</x:v>
      </x:c>
      <x:c r="G164" s="23" t="str">
        <x:v>中证500</x:v>
      </x:c>
    </x:row>
    <x:row r="165">
      <x:c r="A165" s="29" t="n">
        <x:v>14</x:v>
      </x:c>
      <x:c r="B165" s="29" t="str">
        <x:v>周五</x:v>
      </x:c>
      <x:c r="C165" s="29" t="str">
        <x:v>7月18日</x:v>
      </x:c>
      <x:c r="D165" s="30" t="n">
        <x:v>6112.11</x:v>
      </x:c>
      <x:c r="E165" s="30" t="n">
        <x:v>6073.638</x:v>
      </x:c>
      <x:c r="F165" s="30" t="n">
        <x:f>ROUND(D165-E165,1)</x:f>
        <x:v>38.5</x:v>
      </x:c>
      <x:c r="G165" s="29" t="str">
        <x:v>中证500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6162.44</x:v>
      </x:c>
      <x:c r="E166" s="24" t="n">
        <x:v>6110.988</x:v>
      </x:c>
      <x:c r="F166" s="24" t="n">
        <x:f>ROUND(D166-E166,1)</x:f>
        <x:v>51.5</x:v>
      </x:c>
      <x:c r="G166" s="23" t="str">
        <x:v>中证500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6215.406</x:v>
      </x:c>
      <x:c r="E167" s="24" t="n">
        <x:v>6152.814</x:v>
      </x:c>
      <x:c r="F167" s="24" t="n">
        <x:f>ROUND(D167-E167,1)</x:f>
        <x:v>62.6</x:v>
      </x:c>
      <x:c r="G167" s="23" t="str">
        <x:v>中证500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6256.152</x:v>
      </x:c>
      <x:c r="E168" s="24" t="n">
        <x:v>6187.012</x:v>
      </x:c>
      <x:c r="F168" s="24" t="n">
        <x:f>ROUND(D168-E168,1)</x:f>
        <x:v>69.1</x:v>
      </x:c>
      <x:c r="G168" s="23" t="str">
        <x:v>中证500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6293.598</x:v>
      </x:c>
      <x:c r="E169" s="24" t="n">
        <x:v>6197.853</x:v>
      </x:c>
      <x:c r="F169" s="24" t="n">
        <x:f>ROUND(D169-E169,1)</x:f>
        <x:v>95.7</x:v>
      </x:c>
      <x:c r="G169" s="23" t="str">
        <x:v>中证500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6311.169</x:v>
      </x:c>
      <x:c r="E170" s="24" t="n">
        <x:v>6276.416</x:v>
      </x:c>
      <x:c r="F170" s="24" t="n">
        <x:f>ROUND(D170-E170,1)</x:f>
        <x:v>34.8</x:v>
      </x:c>
      <x:c r="G170" s="23" t="str">
        <x:v>中证500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6329.03</x:v>
      </x:c>
      <x:c r="E171" s="24" t="n">
        <x:v>6271.93</x:v>
      </x:c>
      <x:c r="F171" s="24" t="n">
        <x:f>ROUND(D171-E171,1)</x:f>
        <x:v>57.1</x:v>
      </x:c>
      <x:c r="G171" s="23" t="str">
        <x:v>中证500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6356.15</x:v>
      </x:c>
      <x:c r="E172" s="24" t="n">
        <x:v>6272.314</x:v>
      </x:c>
      <x:c r="F172" s="24" t="n">
        <x:f>ROUND(D172-E172,1)</x:f>
        <x:v>83.8</x:v>
      </x:c>
      <x:c r="G172" s="23" t="str">
        <x:v>中证500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6368.269</x:v>
      </x:c>
      <x:c r="E173" s="24" t="n">
        <x:v>6269.513</x:v>
      </x:c>
      <x:c r="F173" s="24" t="n">
        <x:f>ROUND(D173-E173,1)</x:f>
        <x:v>98.8</x:v>
      </x:c>
      <x:c r="G173" s="23" t="str">
        <x:v>中证500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6322.065</x:v>
      </x:c>
      <x:c r="E174" s="24" t="n">
        <x:v>6206.19</x:v>
      </x:c>
      <x:c r="F174" s="24" t="n">
        <x:f>ROUND(D174-E174,1)</x:f>
        <x:v>115.9</x:v>
      </x:c>
      <x:c r="G174" s="23" t="str">
        <x:v>中证500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1469.7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63.9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6253.658</x:v>
      </x:c>
      <x:c r="E180" s="24" t="n">
        <x:v>6177.478</x:v>
      </x:c>
      <x:c r="F180" s="24" t="n">
        <x:f>ROUND(D180-E180,1)</x:f>
        <x:v>76.2</x:v>
      </x:c>
      <x:c r="G180" s="23" t="str">
        <x:v>中证500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6261.962</x:v>
      </x:c>
      <x:c r="E181" s="24" t="n">
        <x:v>6187.622</x:v>
      </x:c>
      <x:c r="F181" s="24" t="n">
        <x:f>ROUND(D181-E181,1)</x:f>
        <x:v>74.3</x:v>
      </x:c>
      <x:c r="G181" s="23" t="str">
        <x:v>中证500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6303.236</x:v>
      </x:c>
      <x:c r="E182" s="24" t="n">
        <x:v>6272.506</x:v>
      </x:c>
      <x:c r="F182" s="24" t="n">
        <x:f>ROUND(D182-E182,1)</x:f>
        <x:v>30.7</x:v>
      </x:c>
      <x:c r="G182" s="23" t="str">
        <x:v>中证500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6357.59</x:v>
      </x:c>
      <x:c r="E183" s="24" t="n">
        <x:v>6293.225</x:v>
      </x:c>
      <x:c r="F183" s="24" t="n">
        <x:f>ROUND(D183-E183,1)</x:f>
        <x:v>64.4</x:v>
      </x:c>
      <x:c r="G183" s="23" t="str">
        <x:v>中证500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6366.214</x:v>
      </x:c>
      <x:c r="E184" s="24" t="n">
        <x:v>6299.493</x:v>
      </x:c>
      <x:c r="F184" s="24" t="n">
        <x:f>ROUND(D184-E184,1)</x:f>
        <x:v>66.7</x:v>
      </x:c>
      <x:c r="G184" s="23" t="str">
        <x:v>中证500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6351.335</x:v>
      </x:c>
      <x:c r="E185" s="24" t="n">
        <x:v>6308.148</x:v>
      </x:c>
      <x:c r="F185" s="24" t="n">
        <x:f>ROUND(D185-E185,1)</x:f>
        <x:v>43.2</x:v>
      </x:c>
      <x:c r="G185" s="23" t="str">
        <x:v>中证500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6404.833</x:v>
      </x:c>
      <x:c r="E186" s="24" t="n">
        <x:v>6335.427</x:v>
      </x:c>
      <x:c r="F186" s="24" t="n">
        <x:f>ROUND(D186-E186,1)</x:f>
        <x:v>69.4</x:v>
      </x:c>
      <x:c r="G186" s="23" t="str">
        <x:v>中证500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6418.16</x:v>
      </x:c>
      <x:c r="E187" s="24" t="n">
        <x:v>6360.109</x:v>
      </x:c>
      <x:c r="F187" s="24" t="n">
        <x:f>ROUND(D187-E187,1)</x:f>
        <x:v>58.1</x:v>
      </x:c>
      <x:c r="G187" s="23" t="str">
        <x:v>中证500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6514.456</x:v>
      </x:c>
      <x:c r="E188" s="24" t="n">
        <x:v>6422.215</x:v>
      </x:c>
      <x:c r="F188" s="24" t="n">
        <x:f>ROUND(D188-E188,1)</x:f>
        <x:v>92.2</x:v>
      </x:c>
      <x:c r="G188" s="23" t="str">
        <x:v>中证500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6519.794</x:v>
      </x:c>
      <x:c r="E189" s="24" t="n">
        <x:v>6411.921</x:v>
      </x:c>
      <x:c r="F189" s="24" t="n">
        <x:f>ROUND(D189-E189,1)</x:f>
        <x:v>107.9</x:v>
      </x:c>
      <x:c r="G189" s="23" t="str">
        <x:v>中证500</x:v>
      </x:c>
    </x:row>
    <x:row r="190">
      <x:c r="A190" s="29" t="n">
        <x:v>11</x:v>
      </x:c>
      <x:c r="B190" s="29" t="str">
        <x:v>周五</x:v>
      </x:c>
      <x:c r="C190" s="29" t="str">
        <x:v>8月15日</x:v>
      </x:c>
      <x:c r="D190" s="30" t="n">
        <x:v>6570.499</x:v>
      </x:c>
      <x:c r="E190" s="30" t="n">
        <x:v>6417.389</x:v>
      </x:c>
      <x:c r="F190" s="30" t="n">
        <x:f>ROUND(D190-E190,1)</x:f>
        <x:v>153.1</x:v>
      </x:c>
      <x:c r="G190" s="29" t="str">
        <x:v>中证500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6709.781</x:v>
      </x:c>
      <x:c r="E191" s="24" t="n">
        <x:v>6580.437</x:v>
      </x:c>
      <x:c r="F191" s="24" t="n">
        <x:f>ROUND(D191-E191,1)</x:f>
        <x:v>129.3</x:v>
      </x:c>
      <x:c r="G191" s="23" t="str">
        <x:v>中证500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6707.114</x:v>
      </x:c>
      <x:c r="E192" s="24" t="n">
        <x:v>6631.119</x:v>
      </x:c>
      <x:c r="F192" s="24" t="n">
        <x:f>ROUND(D192-E192,1)</x:f>
        <x:v>76</x:v>
      </x:c>
      <x:c r="G192" s="23" t="str">
        <x:v>中证500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6728.069</x:v>
      </x:c>
      <x:c r="E193" s="24" t="n">
        <x:v>6598.551</x:v>
      </x:c>
      <x:c r="F193" s="24" t="n">
        <x:f>ROUND(D193-E193,1)</x:f>
        <x:v>129.5</x:v>
      </x:c>
      <x:c r="G193" s="23" t="str">
        <x:v>中证500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6767.323</x:v>
      </x:c>
      <x:c r="E194" s="24" t="n">
        <x:v>6673.061</x:v>
      </x:c>
      <x:c r="F194" s="24" t="n">
        <x:f>ROUND(D194-E194,1)</x:f>
        <x:v>94.3</x:v>
      </x:c>
      <x:c r="G194" s="23" t="str">
        <x:v>中证500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6823.363</x:v>
      </x:c>
      <x:c r="E195" s="24" t="n">
        <x:v>6704.03</x:v>
      </x:c>
      <x:c r="F195" s="24" t="n">
        <x:f>ROUND(D195-E195,1)</x:f>
        <x:v>119.3</x:v>
      </x:c>
      <x:c r="G195" s="23" t="str">
        <x:v>中证500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6967.796</x:v>
      </x:c>
      <x:c r="E196" s="24" t="n">
        <x:v>6863.932</x:v>
      </x:c>
      <x:c r="F196" s="24" t="n">
        <x:f>ROUND(D196-E196,1)</x:f>
        <x:v>103.9</x:v>
      </x:c>
      <x:c r="G196" s="23" t="str">
        <x:v>中证500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7008.963</x:v>
      </x:c>
      <x:c r="E197" s="24" t="n">
        <x:v>6910.406</x:v>
      </x:c>
      <x:c r="F197" s="24" t="n">
        <x:f>ROUND(D197-E197,1)</x:f>
        <x:v>98.6</x:v>
      </x:c>
      <x:c r="G197" s="23" t="str">
        <x:v>中证500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7074.63</x:v>
      </x:c>
      <x:c r="E198" s="24" t="n">
        <x:v>6862.562</x:v>
      </x:c>
      <x:c r="F198" s="26" t="n">
        <x:f>ROUND(D198-E198,1)</x:f>
        <x:v>212.1</x:v>
      </x:c>
      <x:c r="G198" s="23" t="str">
        <x:v>中证500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7011.16</x:v>
      </x:c>
      <x:c r="E199" s="24" t="n">
        <x:v>6798.934</x:v>
      </x:c>
      <x:c r="F199" s="26" t="n">
        <x:f>ROUND(D199-E199,1)</x:f>
        <x:v>212.2</x:v>
      </x:c>
      <x:c r="G199" s="23" t="str">
        <x:v>中证500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7078.923</x:v>
      </x:c>
      <x:c r="E200" s="24" t="n">
        <x:v>6990.753</x:v>
      </x:c>
      <x:c r="F200" s="24" t="n">
        <x:f>ROUND(D200-E200,1)</x:f>
        <x:v>88.2</x:v>
      </x:c>
      <x:c r="G200" s="23" t="str">
        <x:v>中证500</x:v>
      </x:c>
    </x:row>
    <x:row r="201">
      <x:c r="A201" s="33" t="str">
        <x:v>合计</x:v>
      </x:c>
      <x:c r="B201" s="32" t="n">
        <x:v>21</x:v>
      </x:c>
      <x:c r="C201" s="32"/>
      <x:c r="D201" s="32"/>
      <x:c r="E201" s="32"/>
      <x:c r="F201" s="34" t="n">
        <x:f>ROUND(SUM(F180:F200),1)</x:f>
        <x:v>2099.6</x:v>
      </x:c>
      <x:c r="G201" s="32"/>
    </x:row>
    <x:row r="202">
      <x:c r="A202" s="33" t="str">
        <x:v>均值</x:v>
      </x:c>
      <x:c r="B202" s="32"/>
      <x:c r="C202" s="32"/>
      <x:c r="D202" s="32"/>
      <x:c r="E202" s="32"/>
      <x:c r="F202" s="36" t="n">
        <x:f>ROUND(IFERROR(AVERAGE(F180:F200),0),1)</x:f>
        <x:v>100</x:v>
      </x:c>
      <x:c r="G202" s="32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高点</x:v>
      </x:c>
      <x:c r="E205" s="20" t="str">
        <x:v>低点</x:v>
      </x:c>
      <x:c r="F205" s="20" t="str">
        <x:v>振幅</x:v>
      </x:c>
      <x:c r="G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7110.687</x:v>
      </x:c>
      <x:c r="E206" s="24" t="n">
        <x:v>7038.344</x:v>
      </x:c>
      <x:c r="F206" s="24" t="n">
        <x:f>ROUND(D206-E206,1)</x:f>
        <x:v>72.3</x:v>
      </x:c>
      <x:c r="G206" s="23" t="str">
        <x:v>中证500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7108.945</x:v>
      </x:c>
      <x:c r="E207" s="24" t="n">
        <x:v>6909.723</x:v>
      </x:c>
      <x:c r="F207" s="26" t="n">
        <x:f>ROUND(D207-E207,1)</x:f>
        <x:v>199.2</x:v>
      </x:c>
      <x:c r="G207" s="23" t="str">
        <x:v>中证500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7003.268</x:v>
      </x:c>
      <x:c r="E208" s="24" t="n">
        <x:v>6846.181</x:v>
      </x:c>
      <x:c r="F208" s="24" t="n">
        <x:f>ROUND(D208-E208,1)</x:f>
        <x:v>157.1</x:v>
      </x:c>
      <x:c r="G208" s="23" t="str">
        <x:v>中证500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6906.692</x:v>
      </x:c>
      <x:c r="E209" s="24" t="n">
        <x:v>6607.985</x:v>
      </x:c>
      <x:c r="F209" s="26" t="n">
        <x:f>ROUND(D209-E209,1)</x:f>
        <x:v>298.7</x:v>
      </x:c>
      <x:c r="G209" s="23" t="str">
        <x:v>中证500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6919.336</x:v>
      </x:c>
      <x:c r="E210" s="24" t="n">
        <x:v>6678.6</x:v>
      </x:c>
      <x:c r="F210" s="26" t="n">
        <x:f>ROUND(D210-E210,1)</x:f>
        <x:v>240.7</x:v>
      </x:c>
      <x:c r="G210" s="23" t="str">
        <x:v>中证500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6995.718</x:v>
      </x:c>
      <x:c r="E211" s="24" t="n">
        <x:v>6896.66</x:v>
      </x:c>
      <x:c r="F211" s="24" t="n">
        <x:f>ROUND(D211-E211,1)</x:f>
        <x:v>99.1</x:v>
      </x:c>
      <x:c r="G211" s="23" t="str">
        <x:v>中证500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6999.731</x:v>
      </x:c>
      <x:c r="E212" s="24" t="n">
        <x:v>6895.509</x:v>
      </x:c>
      <x:c r="F212" s="24" t="n">
        <x:f>ROUND(D212-E212,1)</x:f>
        <x:v>104.2</x:v>
      </x:c>
      <x:c r="G212" s="23" t="str">
        <x:v>中证500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6977.767</x:v>
      </x:c>
      <x:c r="E213" s="24" t="n">
        <x:v>6870.404</x:v>
      </x:c>
      <x:c r="F213" s="24" t="n">
        <x:f>ROUND(D213-E213,1)</x:f>
        <x:v>107.4</x:v>
      </x:c>
      <x:c r="G213" s="23" t="str">
        <x:v>中证500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7123.052</x:v>
      </x:c>
      <x:c r="E214" s="24" t="n">
        <x:v>6889.586</x:v>
      </x:c>
      <x:c r="F214" s="26" t="n">
        <x:f>ROUND(D214-E214,1)</x:f>
        <x:v>233.5</x:v>
      </x:c>
      <x:c r="G214" s="23" t="str">
        <x:v>中证500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7200.156</x:v>
      </x:c>
      <x:c r="E215" s="24" t="n">
        <x:v>7112.422</x:v>
      </x:c>
      <x:c r="F215" s="24" t="n">
        <x:f>ROUND(D215-E215,1)</x:f>
        <x:v>87.7</x:v>
      </x:c>
      <x:c r="G215" s="23" t="str">
        <x:v>中证500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7174.891</x:v>
      </x:c>
      <x:c r="E216" s="24" t="n">
        <x:v>7126.829</x:v>
      </x:c>
      <x:c r="F216" s="24" t="n">
        <x:f>ROUND(D216-E216,1)</x:f>
        <x:v>48.1</x:v>
      </x:c>
      <x:c r="G216" s="23" t="str">
        <x:v>中证500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7195.425</x:v>
      </x:c>
      <x:c r="E217" s="24" t="n">
        <x:v>7080.427</x:v>
      </x:c>
      <x:c r="F217" s="24" t="n">
        <x:f>ROUND(D217-E217,1)</x:f>
        <x:v>115</x:v>
      </x:c>
      <x:c r="G217" s="23" t="str">
        <x:v>中证500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7265.393</x:v>
      </x:c>
      <x:c r="E218" s="24" t="n">
        <x:v>7159.667</x:v>
      </x:c>
      <x:c r="F218" s="24" t="n">
        <x:f>ROUND(D218-E218,1)</x:f>
        <x:v>105.7</x:v>
      </x:c>
      <x:c r="G218" s="23" t="str">
        <x:v>中证500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7350.977</x:v>
      </x:c>
      <x:c r="E219" s="24" t="n">
        <x:v>7115.631</x:v>
      </x:c>
      <x:c r="F219" s="26" t="n">
        <x:f>ROUND(D219-E219,1)</x:f>
        <x:v>235.3</x:v>
      </x:c>
      <x:c r="G219" s="23" t="str">
        <x:v>中证500</x:v>
      </x:c>
    </x:row>
    <x:row r="220">
      <x:c r="A220" s="29" t="n">
        <x:v>15</x:v>
      </x:c>
      <x:c r="B220" s="29" t="str">
        <x:v>周五</x:v>
      </x:c>
      <x:c r="C220" s="29" t="str">
        <x:v>9月19日</x:v>
      </x:c>
      <x:c r="D220" s="30" t="n">
        <x:v>7231.999</x:v>
      </x:c>
      <x:c r="E220" s="30" t="n">
        <x:v>7142.061</x:v>
      </x:c>
      <x:c r="F220" s="30" t="n">
        <x:f>ROUND(D220-E220,1)</x:f>
        <x:v>89.9</x:v>
      </x:c>
      <x:c r="G220" s="29" t="str">
        <x:v>中证500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7225.858</x:v>
      </x:c>
      <x:c r="E221" s="24" t="n">
        <x:v>7143.075</x:v>
      </x:c>
      <x:c r="F221" s="24" t="n">
        <x:f>ROUND(D221-E221,1)</x:f>
        <x:v>82.8</x:v>
      </x:c>
      <x:c r="G221" s="23" t="str">
        <x:v>中证500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7250.816</x:v>
      </x:c>
      <x:c r="E222" s="24" t="n">
        <x:v>7045.561</x:v>
      </x:c>
      <x:c r="F222" s="26" t="n">
        <x:f>ROUND(D222-E222,1)</x:f>
        <x:v>205.3</x:v>
      </x:c>
      <x:c r="G222" s="23" t="str">
        <x:v>中证500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7327.021</x:v>
      </x:c>
      <x:c r="E223" s="24" t="n">
        <x:v>7133.432</x:v>
      </x:c>
      <x:c r="F223" s="26" t="n">
        <x:f>ROUND(D223-E223,1)</x:f>
        <x:v>193.6</x:v>
      </x:c>
      <x:c r="G223" s="23" t="str">
        <x:v>中证500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7379.611</x:v>
      </x:c>
      <x:c r="E224" s="24" t="n">
        <x:v>7312.351</x:v>
      </x:c>
      <x:c r="F224" s="24" t="n">
        <x:f>ROUND(D224-E224,1)</x:f>
        <x:v>67.3</x:v>
      </x:c>
      <x:c r="G224" s="23" t="str">
        <x:v>中证500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7351.793</x:v>
      </x:c>
      <x:c r="E225" s="24" t="n">
        <x:v>7237.046</x:v>
      </x:c>
      <x:c r="F225" s="24" t="n">
        <x:f>ROUND(D225-E225,1)</x:f>
        <x:v>114.7</x:v>
      </x:c>
      <x:c r="G225" s="23" t="str">
        <x:v>中证500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7377.222</x:v>
      </x:c>
      <x:c r="E226" s="24" t="n">
        <x:v>7216.736</x:v>
      </x:c>
      <x:c r="F226" s="26" t="n">
        <x:f>ROUND(D226-E226,1)</x:f>
        <x:v>160.5</x:v>
      </x:c>
      <x:c r="G226" s="23" t="str">
        <x:v>中证500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7428.031</x:v>
      </x:c>
      <x:c r="E227" s="24" t="n">
        <x:v>7372.063</x:v>
      </x:c>
      <x:c r="F227" s="24" t="n">
        <x:f>ROUND(D227-E227,1)</x:f>
        <x:v>56</x:v>
      </x:c>
      <x:c r="G227" s="23" t="str">
        <x:v>中证500</x:v>
      </x:c>
    </x:row>
    <x:row r="228">
      <x:c r="A228" s="33" t="str">
        <x:v>合计</x:v>
      </x:c>
      <x:c r="B228" s="32" t="n">
        <x:v>22</x:v>
      </x:c>
      <x:c r="C228" s="32"/>
      <x:c r="D228" s="32"/>
      <x:c r="E228" s="32"/>
      <x:c r="F228" s="34" t="n">
        <x:f>ROUND(SUM(F206:F227),1)</x:f>
        <x:v>3074.1</x:v>
      </x:c>
      <x:c r="G228" s="32"/>
    </x:row>
    <x:row r="229">
      <x:c r="A229" s="33" t="str">
        <x:v>均值</x:v>
      </x:c>
      <x:c r="B229" s="32"/>
      <x:c r="C229" s="32"/>
      <x:c r="D229" s="32"/>
      <x:c r="E229" s="32"/>
      <x:c r="F229" s="36" t="n">
        <x:f>ROUND(IFERROR(AVERAGE(F206:F227),0),1)</x:f>
        <x:v>139.7</x:v>
      </x:c>
      <x:c r="G229" s="32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高点</x:v>
      </x:c>
      <x:c r="E232" s="20" t="str">
        <x:v>低点</x:v>
      </x:c>
      <x:c r="F232" s="20" t="str">
        <x:v>振幅</x:v>
      </x:c>
      <x:c r="G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7559.092</x:v>
      </x:c>
      <x:c r="E233" s="24" t="n">
        <x:v>7437.324</x:v>
      </x:c>
      <x:c r="F233" s="24" t="n">
        <x:f>ROUND(D233-E233,1)</x:f>
        <x:v>121.8</x:v>
      </x:c>
      <x:c r="G233" s="23" t="str">
        <x:v>中证500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7509.116</x:v>
      </x:c>
      <x:c r="E234" s="24" t="n">
        <x:v>7373.984</x:v>
      </x:c>
      <x:c r="F234" s="24" t="n">
        <x:f>ROUND(D234-E234,1)</x:f>
        <x:v>135.1</x:v>
      </x:c>
      <x:c r="G234" s="23" t="str">
        <x:v>中证500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7391.825</x:v>
      </x:c>
      <x:c r="E235" s="24" t="n">
        <x:v>7135.104</x:v>
      </x:c>
      <x:c r="F235" s="26" t="n">
        <x:f>ROUND(D235-E235,1)</x:f>
        <x:v>256.7</x:v>
      </x:c>
      <x:c r="G235" s="23" t="str">
        <x:v>中证500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7459.016</x:v>
      </x:c>
      <x:c r="E236" s="24" t="n">
        <x:v>7166.082</x:v>
      </x:c>
      <x:c r="F236" s="26" t="n">
        <x:f>ROUND(D236-E236,1)</x:f>
        <x:v>292.9</x:v>
      </x:c>
      <x:c r="G236" s="23" t="str">
        <x:v>中证500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7294.001</x:v>
      </x:c>
      <x:c r="E237" s="24" t="n">
        <x:v>7153.419</x:v>
      </x:c>
      <x:c r="F237" s="24" t="n">
        <x:f>ROUND(D237-E237,1)</x:f>
        <x:v>140.6</x:v>
      </x:c>
      <x:c r="G237" s="23" t="str">
        <x:v>中证500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7305.947</x:v>
      </x:c>
      <x:c r="E238" s="24" t="n">
        <x:v>7206.443</x:v>
      </x:c>
      <x:c r="F238" s="24" t="n">
        <x:f>ROUND(D238-E238,1)</x:f>
        <x:v>99.5</x:v>
      </x:c>
      <x:c r="G238" s="23" t="str">
        <x:v>中证500</x:v>
      </x:c>
    </x:row>
    <x:row r="239">
      <x:c r="A239" s="29" t="n">
        <x:v>7</x:v>
      </x:c>
      <x:c r="B239" s="29" t="str">
        <x:v>周五</x:v>
      </x:c>
      <x:c r="C239" s="29" t="str">
        <x:v>10月17日</x:v>
      </x:c>
      <x:c r="D239" s="30" t="n">
        <x:v>7254.579</x:v>
      </x:c>
      <x:c r="E239" s="30" t="n">
        <x:v>7009.891</x:v>
      </x:c>
      <x:c r="F239" s="26" t="n">
        <x:f>ROUND(D239-E239,1)</x:f>
        <x:v>244.7</x:v>
      </x:c>
      <x:c r="G239" s="29" t="str">
        <x:v>中证500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7129.994</x:v>
      </x:c>
      <x:c r="E240" s="24" t="n">
        <x:v>7033.384</x:v>
      </x:c>
      <x:c r="F240" s="24" t="n">
        <x:f>ROUND(D240-E240,1)</x:f>
        <x:v>96.6</x:v>
      </x:c>
      <x:c r="G240" s="23" t="str">
        <x:v>中证500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7193.73</x:v>
      </x:c>
      <x:c r="E241" s="24" t="n">
        <x:v>7082.3</x:v>
      </x:c>
      <x:c r="F241" s="24" t="n">
        <x:f>ROUND(D241-E241,1)</x:f>
        <x:v>111.4</x:v>
      </x:c>
      <x:c r="G241" s="23" t="str">
        <x:v>中证500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7166.557</x:v>
      </x:c>
      <x:c r="E242" s="24" t="n">
        <x:v>7101.827</x:v>
      </x:c>
      <x:c r="F242" s="24" t="n">
        <x:f>ROUND(D242-E242,1)</x:f>
        <x:v>64.7</x:v>
      </x:c>
      <x:c r="G242" s="23" t="str">
        <x:v>中证500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7153.656</x:v>
      </x:c>
      <x:c r="E243" s="24" t="n">
        <x:v>7022.295</x:v>
      </x:c>
      <x:c r="F243" s="24" t="n">
        <x:f>ROUND(D243-E243,1)</x:f>
        <x:v>131.4</x:v>
      </x:c>
      <x:c r="G243" s="23" t="str">
        <x:v>中证500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7258.534</x:v>
      </x:c>
      <x:c r="E244" s="24" t="n">
        <x:v>7174.351</x:v>
      </x:c>
      <x:c r="F244" s="24" t="n">
        <x:f>ROUND(D244-E244,1)</x:f>
        <x:v>84.2</x:v>
      </x:c>
      <x:c r="G244" s="23" t="str">
        <x:v>中证500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7391.212</x:v>
      </x:c>
      <x:c r="E245" s="24" t="n">
        <x:v>7302.017</x:v>
      </x:c>
      <x:c r="F245" s="24" t="n">
        <x:f>ROUND(D245-E245,1)</x:f>
        <x:v>89.2</x:v>
      </x:c>
      <x:c r="G245" s="23" t="str">
        <x:v>中证500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7404.756</x:v>
      </x:c>
      <x:c r="E246" s="24" t="n">
        <x:v>7308.272</x:v>
      </x:c>
      <x:c r="F246" s="24" t="n">
        <x:f>ROUND(D246-E246,1)</x:f>
        <x:v>96.5</x:v>
      </x:c>
      <x:c r="G246" s="23" t="str">
        <x:v>中证500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7480.967</x:v>
      </x:c>
      <x:c r="E247" s="24" t="n">
        <x:v>7350.757</x:v>
      </x:c>
      <x:c r="F247" s="24" t="n">
        <x:f>ROUND(D247-E247,1)</x:f>
        <x:v>130.2</x:v>
      </x:c>
      <x:c r="G247" s="23" t="str">
        <x:v>中证500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7463.653</x:v>
      </x:c>
      <x:c r="E248" s="24" t="n">
        <x:v>7375.239</x:v>
      </x:c>
      <x:c r="F248" s="24" t="n">
        <x:f>ROUND(D248-E248,1)</x:f>
        <x:v>88.4</x:v>
      </x:c>
      <x:c r="G248" s="23" t="str">
        <x:v>中证500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7430.856</x:v>
      </x:c>
      <x:c r="E249" s="24" t="n">
        <x:v>7331.003</x:v>
      </x:c>
      <x:c r="F249" s="24" t="n">
        <x:f>ROUND(D249-E249,1)</x:f>
        <x:v>99.9</x:v>
      </x:c>
      <x:c r="G249" s="23" t="str">
        <x:v>中证500</x:v>
      </x:c>
    </x:row>
    <x:row r="250">
      <x:c r="A250" s="33" t="str">
        <x:v>合计</x:v>
      </x:c>
      <x:c r="B250" s="32" t="n">
        <x:v>17</x:v>
      </x:c>
      <x:c r="C250" s="32"/>
      <x:c r="D250" s="32"/>
      <x:c r="E250" s="32"/>
      <x:c r="F250" s="34" t="n">
        <x:f>ROUND(SUM(F233:F249),1)</x:f>
        <x:v>2283.8</x:v>
      </x:c>
      <x:c r="G250" s="32"/>
    </x:row>
    <x:row r="251">
      <x:c r="A251" s="33" t="str">
        <x:v>均值</x:v>
      </x:c>
      <x:c r="B251" s="32"/>
      <x:c r="C251" s="32"/>
      <x:c r="D251" s="32"/>
      <x:c r="E251" s="32"/>
      <x:c r="F251" s="36" t="n">
        <x:f>ROUND(IFERROR(AVERAGE(F233:F249),0),1)</x:f>
        <x:v>134.3</x:v>
      </x:c>
      <x:c r="G251" s="32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高点</x:v>
      </x:c>
      <x:c r="E254" s="20" t="str">
        <x:v>低点</x:v>
      </x:c>
      <x:c r="F254" s="20" t="str">
        <x:v>振幅</x:v>
      </x:c>
      <x:c r="G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7336.511</x:v>
      </x:c>
      <x:c r="E255" s="24" t="n">
        <x:v>7214.833</x:v>
      </x:c>
      <x:c r="F255" s="24" t="n">
        <x:f>ROUND(D255-E255,1)</x:f>
        <x:v>121.7</x:v>
      </x:c>
      <x:c r="G255" s="23" t="str">
        <x:v>中证500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7323.704</x:v>
      </x:c>
      <x:c r="E256" s="24" t="n">
        <x:v>7167.347</x:v>
      </x:c>
      <x:c r="F256" s="24" t="n">
        <x:f>ROUND(D256-E256,1)</x:f>
        <x:v>156.4</x:v>
      </x:c>
      <x:c r="G256" s="23" t="str">
        <x:v>中证500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7257.84</x:v>
      </x:c>
      <x:c r="E257" s="24" t="n">
        <x:v>7098.956</x:v>
      </x:c>
      <x:c r="F257" s="24" t="n">
        <x:f>ROUND(D257-E257,1)</x:f>
        <x:v>158.9</x:v>
      </x:c>
      <x:c r="G257" s="23" t="str">
        <x:v>中证500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7352.177</x:v>
      </x:c>
      <x:c r="E258" s="24" t="n">
        <x:v>7243.196</x:v>
      </x:c>
      <x:c r="F258" s="24" t="n">
        <x:f>ROUND(D258-E258,1)</x:f>
        <x:v>109</x:v>
      </x:c>
      <x:c r="G258" s="23" t="str">
        <x:v>中证500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7371.438</x:v>
      </x:c>
      <x:c r="E259" s="24" t="n">
        <x:v>7285.819</x:v>
      </x:c>
      <x:c r="F259" s="24" t="n">
        <x:f>ROUND(D259-E259,1)</x:f>
        <x:v>85.6</x:v>
      </x:c>
      <x:c r="G259" s="23" t="str">
        <x:v>中证500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7384.785</x:v>
      </x:c>
      <x:c r="E260" s="24" t="n">
        <x:v>7289.768</x:v>
      </x:c>
      <x:c r="F260" s="24" t="n">
        <x:f>ROUND(D260-E260,1)</x:f>
        <x:v>95</x:v>
      </x:c>
      <x:c r="G260" s="23" t="str">
        <x:v>中证500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7379.806</x:v>
      </x:c>
      <x:c r="E261" s="24" t="n">
        <x:v>7281.975</x:v>
      </x:c>
      <x:c r="F261" s="24" t="n">
        <x:f>ROUND(D261-E261,1)</x:f>
        <x:v>97.8</x:v>
      </x:c>
      <x:c r="G261" s="23" t="str">
        <x:v>中证500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7305.856</x:v>
      </x:c>
      <x:c r="E262" s="24" t="n">
        <x:v>7187.869</x:v>
      </x:c>
      <x:c r="F262" s="24" t="n">
        <x:f>ROUND(D262-E262,1)</x:f>
        <x:v>118</x:v>
      </x:c>
      <x:c r="G262" s="23" t="str">
        <x:v>中证500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7366.412</x:v>
      </x:c>
      <x:c r="E263" s="24" t="n">
        <x:v>7243.64</x:v>
      </x:c>
      <x:c r="F263" s="24" t="n">
        <x:f>ROUND(D263-E263,1)</x:f>
        <x:v>122.8</x:v>
      </x:c>
      <x:c r="G263" s="23" t="str">
        <x:v>中证500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7329.596</x:v>
      </x:c>
      <x:c r="E264" s="24" t="n">
        <x:v>7235.462</x:v>
      </x:c>
      <x:c r="F264" s="24" t="n">
        <x:f>ROUND(D264-E264,1)</x:f>
        <x:v>94.1</x:v>
      </x:c>
      <x:c r="G264" s="23" t="str">
        <x:v>中证500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7262.331</x:v>
      </x:c>
      <x:c r="E265" s="24" t="n">
        <x:v>7202.593</x:v>
      </x:c>
      <x:c r="F265" s="24" t="n">
        <x:f>ROUND(D265-E265,1)</x:f>
        <x:v>59.7</x:v>
      </x:c>
      <x:c r="G265" s="23" t="str">
        <x:v>中证500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7230.542</x:v>
      </x:c>
      <x:c r="E266" s="24" t="n">
        <x:v>7118.409</x:v>
      </x:c>
      <x:c r="F266" s="24" t="n">
        <x:f>ROUND(D266-E266,1)</x:f>
        <x:v>112.1</x:v>
      </x:c>
      <x:c r="G266" s="23" t="str">
        <x:v>中证500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7178.15</x:v>
      </x:c>
      <x:c r="E267" s="24" t="n">
        <x:v>7086.123</x:v>
      </x:c>
      <x:c r="F267" s="24" t="n">
        <x:f>ROUND(D267-E267,1)</x:f>
        <x:v>92</x:v>
      </x:c>
      <x:c r="G267" s="23" t="str">
        <x:v>中证500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7180.732</x:v>
      </x:c>
      <x:c r="E268" s="24" t="n">
        <x:v>7056.9</x:v>
      </x:c>
      <x:c r="F268" s="24" t="n">
        <x:f>ROUND(D268-E268,1)</x:f>
        <x:v>123.8</x:v>
      </x:c>
      <x:c r="G268" s="23" t="str">
        <x:v>中证500</x:v>
      </x:c>
    </x:row>
    <x:row r="269">
      <x:c r="A269" s="29" t="n">
        <x:v>15</x:v>
      </x:c>
      <x:c r="B269" s="29" t="str">
        <x:v>周五</x:v>
      </x:c>
      <x:c r="C269" s="29" t="str">
        <x:v>11月21日</x:v>
      </x:c>
      <x:c r="D269" s="30" t="n">
        <x:v>6986.778</x:v>
      </x:c>
      <x:c r="E269" s="30" t="n">
        <x:v>6817.41</x:v>
      </x:c>
      <x:c r="F269" s="26" t="n">
        <x:f>ROUND(D269-E269,1)</x:f>
        <x:v>169.4</x:v>
      </x:c>
      <x:c r="G269" s="29" t="str">
        <x:v>中证500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6905.923</x:v>
      </x:c>
      <x:c r="E270" s="24" t="n">
        <x:v>6797.496</x:v>
      </x:c>
      <x:c r="F270" s="24" t="n">
        <x:f>ROUND(D270-E270,1)</x:f>
        <x:v>108.4</x:v>
      </x:c>
      <x:c r="G270" s="23" t="str">
        <x:v>中证500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7018.47</x:v>
      </x:c>
      <x:c r="E271" s="24" t="n">
        <x:v>6912.32</x:v>
      </x:c>
      <x:c r="F271" s="24" t="n">
        <x:f>ROUND(D271-E271,1)</x:f>
        <x:v>106.2</x:v>
      </x:c>
      <x:c r="G271" s="23" t="str">
        <x:v>中证500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7024.882</x:v>
      </x:c>
      <x:c r="E272" s="24" t="n">
        <x:v>6936.877</x:v>
      </x:c>
      <x:c r="F272" s="24" t="n">
        <x:f>ROUND(D272-E272,1)</x:f>
        <x:v>88</x:v>
      </x:c>
      <x:c r="G272" s="23" t="str">
        <x:v>中证500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7045.845</x:v>
      </x:c>
      <x:c r="E273" s="24" t="n">
        <x:v>6943.444</x:v>
      </x:c>
      <x:c r="F273" s="24" t="n">
        <x:f>ROUND(D273-E273,1)</x:f>
        <x:v>102.4</x:v>
      </x:c>
      <x:c r="G273" s="23" t="str">
        <x:v>中证500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7031.712</x:v>
      </x:c>
      <x:c r="E274" s="24" t="n">
        <x:v>6941.483</x:v>
      </x:c>
      <x:c r="F274" s="24" t="n">
        <x:f>ROUND(D274-E274,1)</x:f>
        <x:v>90.2</x:v>
      </x:c>
      <x:c r="G274" s="23" t="str">
        <x:v>中证500</x:v>
      </x:c>
    </x:row>
    <x:row r="275">
      <x:c r="A275" s="33" t="str">
        <x:v>合计</x:v>
      </x:c>
      <x:c r="B275" s="32" t="n">
        <x:v>20</x:v>
      </x:c>
      <x:c r="C275" s="32"/>
      <x:c r="D275" s="32"/>
      <x:c r="E275" s="32"/>
      <x:c r="F275" s="34" t="n">
        <x:f>ROUND(SUM(F255:F274),1)</x:f>
        <x:v>2211.5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ROUND(IFERROR(AVERAGE(F255:F274),0),1)</x:f>
        <x:v>110.6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7101.832</x:v>
      </x:c>
      <x:c r="E280" s="24" t="n">
        <x:v>7040.803</x:v>
      </x:c>
      <x:c r="F280" s="24" t="n">
        <x:f>ROUND(D280-E280,1)</x:f>
        <x:v>61</x:v>
      </x:c>
      <x:c r="G280" s="23" t="str">
        <x:v>中证500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7085.303</x:v>
      </x:c>
      <x:c r="E281" s="24" t="n">
        <x:v>7022.61</x:v>
      </x:c>
      <x:c r="F281" s="24" t="n">
        <x:f>ROUND(D281-E281,1)</x:f>
        <x:v>62.7</x:v>
      </x:c>
      <x:c r="G281" s="23" t="str">
        <x:v>中证500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7064.16</x:v>
      </x:c>
      <x:c r="E282" s="24" t="n">
        <x:v>6975.089</x:v>
      </x:c>
      <x:c r="F282" s="24" t="n">
        <x:f>ROUND(D282-E282,1)</x:f>
        <x:v>89.1</x:v>
      </x:c>
      <x:c r="G282" s="23" t="str">
        <x:v>中证500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7039.716</x:v>
      </x:c>
      <x:c r="E283" s="24" t="n">
        <x:v>6958.632</x:v>
      </x:c>
      <x:c r="F283" s="24" t="n">
        <x:f>ROUND(D283-E283,1)</x:f>
        <x:v>81.1</x:v>
      </x:c>
      <x:c r="G283" s="23" t="str">
        <x:v>中证500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7104.021</x:v>
      </x:c>
      <x:c r="E284" s="24" t="n">
        <x:v>6965.806</x:v>
      </x:c>
      <x:c r="F284" s="24" t="n">
        <x:f>ROUND(D284-E284,1)</x:f>
        <x:v>138.2</x:v>
      </x:c>
      <x:c r="G284" s="23" t="str">
        <x:v>中证500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7193.723</x:v>
      </x:c>
      <x:c r="E285" s="24" t="n">
        <x:v>7114.323</x:v>
      </x:c>
      <x:c r="F285" s="24" t="n">
        <x:f>ROUND(D285-E285,1)</x:f>
        <x:v>79.4</x:v>
      </x:c>
      <x:c r="G285" s="23" t="str">
        <x:v>中证500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7185.107</x:v>
      </x:c>
      <x:c r="E286" s="24" t="n">
        <x:v>7103.833</x:v>
      </x:c>
      <x:c r="F286" s="24" t="n">
        <x:f>ROUND(D286-E286,1)</x:f>
        <x:v>81.3</x:v>
      </x:c>
      <x:c r="G286" s="23" t="str">
        <x:v>中证500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7171.973</x:v>
      </x:c>
      <x:c r="E287" s="24" t="n">
        <x:v>7070.475</x:v>
      </x:c>
      <x:c r="F287" s="24" t="n">
        <x:f>ROUND(D287-E287,1)</x:f>
        <x:v>101.5</x:v>
      </x:c>
      <x:c r="G287" s="23" t="str">
        <x:v>中证500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7179.425</x:v>
      </x:c>
      <x:c r="E288" s="24" t="n">
        <x:v>7082.893</x:v>
      </x:c>
      <x:c r="F288" s="24" t="n">
        <x:f>ROUND(D288-E288,1)</x:f>
        <x:v>96.5</x:v>
      </x:c>
      <x:c r="G288" s="23" t="str">
        <x:v>中证500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7187.1</x:v>
      </x:c>
      <x:c r="E289" s="24" t="n">
        <x:v>7063.841</x:v>
      </x:c>
      <x:c r="F289" s="24" t="n">
        <x:f>ROUND(D289-E289,1)</x:f>
        <x:v>123.3</x:v>
      </x:c>
      <x:c r="G289" s="23" t="str">
        <x:v>中证500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7177.154</x:v>
      </x:c>
      <x:c r="E290" s="24" t="n">
        <x:v>7110.678</x:v>
      </x:c>
      <x:c r="F290" s="24" t="n">
        <x:f>ROUND(D290-E290,1)</x:f>
        <x:v>66.5</x:v>
      </x:c>
      <x:c r="G290" s="23" t="str">
        <x:v>中证500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7102.772</x:v>
      </x:c>
      <x:c r="E291" s="24" t="n">
        <x:v>6962.645</x:v>
      </x:c>
      <x:c r="F291" s="24" t="n">
        <x:f>ROUND(D291-E291,1)</x:f>
        <x:v>140.1</x:v>
      </x:c>
      <x:c r="G291" s="23" t="str">
        <x:v>中证500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7160.776</x:v>
      </x:c>
      <x:c r="E292" s="24" t="n">
        <x:v>6988.871</x:v>
      </x:c>
      <x:c r="F292" s="26" t="n">
        <x:f>ROUND(D292-E292,1)</x:f>
        <x:v>171.9</x:v>
      </x:c>
      <x:c r="G292" s="23" t="str">
        <x:v>中证500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7172.962</x:v>
      </x:c>
      <x:c r="E293" s="24" t="n">
        <x:v>7094.54</x:v>
      </x:c>
      <x:c r="F293" s="24" t="n">
        <x:f>ROUND(D293-E293,1)</x:f>
        <x:v>78.4</x:v>
      </x:c>
      <x:c r="G293" s="23" t="str">
        <x:v>中证500</x:v>
      </x:c>
    </x:row>
    <x:row r="294">
      <x:c r="A294" s="29" t="n">
        <x:v>15</x:v>
      </x:c>
      <x:c r="B294" s="29" t="str">
        <x:v>周五</x:v>
      </x:c>
      <x:c r="C294" s="29" t="str">
        <x:v>12月19日</x:v>
      </x:c>
      <x:c r="D294" s="30" t="n">
        <x:v>7197.068</x:v>
      </x:c>
      <x:c r="E294" s="30" t="n">
        <x:v>7117.158</x:v>
      </x:c>
      <x:c r="F294" s="30" t="n">
        <x:f>ROUND(D294-E294,1)</x:f>
        <x:v>79.9</x:v>
      </x:c>
      <x:c r="G294" s="29" t="str">
        <x:v>中证500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7277.386</x:v>
      </x:c>
      <x:c r="E295" s="24" t="n">
        <x:v>7205.489</x:v>
      </x:c>
      <x:c r="F295" s="24" t="n">
        <x:f>ROUND(D295-E295,1)</x:f>
        <x:v>71.9</x:v>
      </x:c>
      <x:c r="G295" s="23" t="str">
        <x:v>中证500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7297.703</x:v>
      </x:c>
      <x:c r="E296" s="24" t="n">
        <x:v>7228.723</x:v>
      </x:c>
      <x:c r="F296" s="24" t="n">
        <x:f>ROUND(D296-E296,1)</x:f>
        <x:v>69</x:v>
      </x:c>
      <x:c r="G296" s="23" t="str">
        <x:v>中证500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7362.57</x:v>
      </x:c>
      <x:c r="E297" s="24" t="n">
        <x:v>7247.405</x:v>
      </x:c>
      <x:c r="F297" s="24" t="n">
        <x:f>ROUND(D297-E297,1)</x:f>
        <x:v>115.2</x:v>
      </x:c>
      <x:c r="G297" s="23" t="str">
        <x:v>中证500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7426.137</x:v>
      </x:c>
      <x:c r="E298" s="24" t="n">
        <x:v>7334.34</x:v>
      </x:c>
      <x:c r="F298" s="24" t="n">
        <x:f>ROUND(D298-E298,1)</x:f>
        <x:v>91.8</x:v>
      </x:c>
      <x:c r="G298" s="23" t="str">
        <x:v>中证500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7484.916</x:v>
      </x:c>
      <x:c r="E299" s="24" t="n">
        <x:v>7397.426</x:v>
      </x:c>
      <x:c r="F299" s="24" t="n">
        <x:f>ROUND(D299-E299,1)</x:f>
        <x:v>87.5</x:v>
      </x:c>
      <x:c r="G299" s="23" t="str">
        <x:v>中证500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7491.693</x:v>
      </x:c>
      <x:c r="E300" s="24" t="n">
        <x:v>7411.447</x:v>
      </x:c>
      <x:c r="F300" s="24" t="n">
        <x:f>ROUND(D300-E300,1)</x:f>
        <x:v>80.2</x:v>
      </x:c>
      <x:c r="G300" s="23" t="str">
        <x:v>中证500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7495.061</x:v>
      </x:c>
      <x:c r="E301" s="24" t="n">
        <x:v>7389.869</x:v>
      </x:c>
      <x:c r="F301" s="24" t="n">
        <x:f>ROUND(D301-E301,1)</x:f>
        <x:v>105.2</x:v>
      </x:c>
      <x:c r="G301" s="23" t="str">
        <x:v>中证500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7488.066</x:v>
      </x:c>
      <x:c r="E302" s="24" t="n">
        <x:v>7435.066</x:v>
      </x:c>
      <x:c r="F302" s="24" t="n">
        <x:f>ROUND(D302-E302,1)</x:f>
        <x:v>53</x:v>
      </x:c>
      <x:c r="G302" s="23" t="str">
        <x:v>中证500</x:v>
      </x:c>
    </x:row>
    <x:row r="303">
      <x:c r="A303" s="33" t="str">
        <x:v>合计</x:v>
      </x:c>
      <x:c r="B303" s="32" t="n">
        <x:v>23</x:v>
      </x:c>
      <x:c r="C303" s="32"/>
      <x:c r="D303" s="32"/>
      <x:c r="E303" s="32"/>
      <x:c r="F303" s="34" t="n">
        <x:f>ROUND(SUM(F280:F302),1)</x:f>
        <x:v>2124.7</x:v>
      </x:c>
      <x:c r="G303" s="32"/>
    </x:row>
    <x:row r="304">
      <x:c r="A304" s="33" t="str">
        <x:v>均值</x:v>
      </x:c>
      <x:c r="B304" s="32"/>
      <x:c r="C304" s="32"/>
      <x:c r="D304" s="32"/>
      <x:c r="E304" s="32"/>
      <x:c r="F304" s="36" t="n">
        <x:f>ROUND(IFERROR(AVERAGE(F280:F302),0),1)</x:f>
        <x:v>92.4</x:v>
      </x:c>
      <x:c r="G304" s="32"/>
    </x:row>
  </x:sheetData>
  <x:mergeCells>
    <x:mergeCell ref="A1:G1"/>
    <x:mergeCell ref="A3:G3"/>
    <x:mergeCell ref="A26:G26"/>
    <x:mergeCell ref="A49:G49"/>
    <x:mergeCell ref="A75:G75"/>
    <x:mergeCell ref="A101:G101"/>
    <x:mergeCell ref="A125:G125"/>
    <x:mergeCell ref="A150:G150"/>
    <x:mergeCell ref="A178:G178"/>
    <x:mergeCell ref="A204:G204"/>
    <x:mergeCell ref="A231:G231"/>
    <x:mergeCell ref="A253:G253"/>
    <x:mergeCell ref="A278:G27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2025年统计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3351.722</x:v>
      </x:c>
      <x:c r="E5" s="24" t="n">
        <x:v>3242.087</x:v>
      </x:c>
      <x:c r="F5" s="26" t="n">
        <x:f>ROUND(D5-E5,1)</x:f>
        <x:v>109.6</x:v>
      </x:c>
      <x:c r="G5" s="23" t="str">
        <x:v>上证指数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3273.566</x:v>
      </x:c>
      <x:c r="E6" s="24" t="n">
        <x:v>3205.776</x:v>
      </x:c>
      <x:c r="F6" s="26" t="n">
        <x:f>ROUND(D6-E6,1)</x:f>
        <x:v>67.8</x:v>
      </x:c>
      <x:c r="G6" s="23" t="str">
        <x:v>上证指数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3219.488</x:v>
      </x:c>
      <x:c r="E7" s="24" t="n">
        <x:v>3185.463</x:v>
      </x:c>
      <x:c r="F7" s="24" t="n">
        <x:f>ROUND(D7-E7,1)</x:f>
        <x:v>34</x:v>
      </x:c>
      <x:c r="G7" s="23" t="str">
        <x:v>上证指数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3230.853</x:v>
      </x:c>
      <x:c r="E8" s="24" t="n">
        <x:v>3190.461</x:v>
      </x:c>
      <x:c r="F8" s="24" t="n">
        <x:f>ROUND(D8-E8,1)</x:f>
        <x:v>40.4</x:v>
      </x:c>
      <x:c r="G8" s="23" t="str">
        <x:v>上证指数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3246.291</x:v>
      </x:c>
      <x:c r="E9" s="24" t="n">
        <x:v>3175.725</x:v>
      </x:c>
      <x:c r="F9" s="26" t="n">
        <x:f>ROUND(D9-E9,1)</x:f>
        <x:v>70.6</x:v>
      </x:c>
      <x:c r="G9" s="23" t="str">
        <x:v>上证指数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3228.973</x:v>
      </x:c>
      <x:c r="E10" s="24" t="n">
        <x:v>3205.91</x:v>
      </x:c>
      <x:c r="F10" s="24" t="n">
        <x:f>ROUND(D10-E10,1)</x:f>
        <x:v>23.1</x:v>
      </x:c>
      <x:c r="G10" s="23" t="str">
        <x:v>上证指数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3220.107</x:v>
      </x:c>
      <x:c r="E11" s="24" t="n">
        <x:v>3168.524</x:v>
      </x:c>
      <x:c r="F11" s="26" t="n">
        <x:f>ROUND(D11-E11,1)</x:f>
        <x:v>51.6</x:v>
      </x:c>
      <x:c r="G11" s="23" t="str">
        <x:v>上证指数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3172.7</x:v>
      </x:c>
      <x:c r="E12" s="24" t="n">
        <x:v>3140.978</x:v>
      </x:c>
      <x:c r="F12" s="24" t="n">
        <x:f>ROUND(D12-E12,1)</x:f>
        <x:v>31.7</x:v>
      </x:c>
      <x:c r="G12" s="23" t="str">
        <x:v>上证指数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3245.22</x:v>
      </x:c>
      <x:c r="E13" s="24" t="n">
        <x:v>3159.432</x:v>
      </x:c>
      <x:c r="F13" s="26" t="n">
        <x:f>ROUND(D13-E13,1)</x:f>
        <x:v>85.8</x:v>
      </x:c>
      <x:c r="G13" s="23" t="str">
        <x:v>上证指数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3245.904</x:v>
      </x:c>
      <x:c r="E14" s="24" t="n">
        <x:v>3222.236</x:v>
      </x:c>
      <x:c r="F14" s="24" t="n">
        <x:f>ROUND(D14-E14,1)</x:f>
        <x:v>23.7</x:v>
      </x:c>
      <x:c r="G14" s="23" t="str">
        <x:v>上证指数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3265.282</x:v>
      </x:c>
      <x:c r="E15" s="24" t="n">
        <x:v>3217.097</x:v>
      </x:c>
      <x:c r="F15" s="24" t="n">
        <x:f>ROUND(D15-E15,1)</x:f>
        <x:v>48.2</x:v>
      </x:c>
      <x:c r="G15" s="23" t="str">
        <x:v>上证指数</x:v>
      </x:c>
    </x:row>
    <x:row r="16">
      <x:c r="A16" s="29" t="n">
        <x:v>12</x:v>
      </x:c>
      <x:c r="B16" s="29" t="str">
        <x:v>周五</x:v>
      </x:c>
      <x:c r="C16" s="29" t="str">
        <x:v>1月17日</x:v>
      </x:c>
      <x:c r="D16" s="30" t="n">
        <x:v>3256.507</x:v>
      </x:c>
      <x:c r="E16" s="30" t="n">
        <x:v>3219.773</x:v>
      </x:c>
      <x:c r="F16" s="30" t="n">
        <x:f>ROUND(D16-E16,1)</x:f>
        <x:v>36.7</x:v>
      </x:c>
      <x:c r="G16" s="29" t="str">
        <x:v>上证指数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3268.263</x:v>
      </x:c>
      <x:c r="E17" s="24" t="n">
        <x:v>3238.121</x:v>
      </x:c>
      <x:c r="F17" s="24" t="n">
        <x:f>ROUND(D17-E17,1)</x:f>
        <x:v>30.1</x:v>
      </x:c>
      <x:c r="G17" s="23" t="str">
        <x:v>上证指数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3258.61</x:v>
      </x:c>
      <x:c r="E18" s="24" t="n">
        <x:v>3229.069</x:v>
      </x:c>
      <x:c r="F18" s="24" t="n">
        <x:f>ROUND(D18-E18,1)</x:f>
        <x:v>29.5</x:v>
      </x:c>
      <x:c r="G18" s="23" t="str">
        <x:v>上证指数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3235.501</x:v>
      </x:c>
      <x:c r="E19" s="24" t="n">
        <x:v>3203.38</x:v>
      </x:c>
      <x:c r="F19" s="24" t="n">
        <x:f>ROUND(D19-E19,1)</x:f>
        <x:v>32.1</x:v>
      </x:c>
      <x:c r="G19" s="23" t="str">
        <x:v>上证指数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3273.52</x:v>
      </x:c>
      <x:c r="E20" s="24" t="n">
        <x:v>3229.572</x:v>
      </x:c>
      <x:c r="F20" s="24" t="n">
        <x:f>ROUND(D20-E20,1)</x:f>
        <x:v>43.9</x:v>
      </x:c>
      <x:c r="G20" s="23" t="str">
        <x:v>上证指数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3260.011</x:v>
      </x:c>
      <x:c r="E21" s="24" t="n">
        <x:v>3221.712</x:v>
      </x:c>
      <x:c r="F21" s="24" t="n">
        <x:f>ROUND(D21-E21,1)</x:f>
        <x:v>38.3</x:v>
      </x:c>
      <x:c r="G21" s="23" t="str">
        <x:v>上证指数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3274.392</x:v>
      </x:c>
      <x:c r="E22" s="24" t="n">
        <x:v>3250.601</x:v>
      </x:c>
      <x:c r="F22" s="24" t="n">
        <x:f>ROUND(D22-E22,1)</x:f>
        <x:v>23.8</x:v>
      </x:c>
      <x:c r="G22" s="23" t="str">
        <x:v>上证指数</x:v>
      </x:c>
    </x:row>
    <x:row r="23">
      <x:c r="A23" s="33" t="str">
        <x:v>合计</x:v>
      </x:c>
      <x:c r="B23" s="32" t="n">
        <x:v>18</x:v>
      </x:c>
      <x:c r="C23" s="32"/>
      <x:c r="D23" s="32"/>
      <x:c r="E23" s="32"/>
      <x:c r="F23" s="34" t="n">
        <x:f>ROUND(SUM(F5:F22),1)</x:f>
        <x:v>820.9</x:v>
      </x:c>
      <x:c r="G23" s="32"/>
    </x:row>
    <x:row r="24">
      <x:c r="A24" s="33" t="str">
        <x:v>均值</x:v>
      </x:c>
      <x:c r="B24" s="32"/>
      <x:c r="C24" s="32"/>
      <x:c r="D24" s="32"/>
      <x:c r="E24" s="32"/>
      <x:c r="F24" s="36" t="n">
        <x:f>ROUND(IFERROR(AVERAGE(F5:F22),0),1)</x:f>
        <x:v>45.6</x:v>
      </x:c>
      <x:c r="G24" s="32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高点</x:v>
      </x:c>
      <x:c r="E27" s="20" t="str">
        <x:v>低点</x:v>
      </x:c>
      <x:c r="F27" s="20" t="str">
        <x:v>振幅</x:v>
      </x:c>
      <x:c r="G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3271.022</x:v>
      </x:c>
      <x:c r="E28" s="24" t="n">
        <x:v>3220.279</x:v>
      </x:c>
      <x:c r="F28" s="26" t="n">
        <x:f>ROUND(D28-E28,1)</x:f>
        <x:v>50.7</x:v>
      </x:c>
      <x:c r="G28" s="23" t="str">
        <x:v>上证指数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3271.427</x:v>
      </x:c>
      <x:c r="E29" s="24" t="n">
        <x:v>3225.846</x:v>
      </x:c>
      <x:c r="F29" s="24" t="n">
        <x:f>ROUND(D29-E29,1)</x:f>
        <x:v>45.6</x:v>
      </x:c>
      <x:c r="G29" s="23" t="str">
        <x:v>上证指数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3324.428</x:v>
      </x:c>
      <x:c r="E30" s="24" t="n">
        <x:v>3262.509</x:v>
      </x:c>
      <x:c r="F30" s="26" t="n">
        <x:f>ROUND(D30-E30,1)</x:f>
        <x:v>61.9</x:v>
      </x:c>
      <x:c r="G30" s="23" t="str">
        <x:v>上证指数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3325.356</x:v>
      </x:c>
      <x:c r="E31" s="24" t="n">
        <x:v>3299.243</x:v>
      </x:c>
      <x:c r="F31" s="24" t="n">
        <x:f>ROUND(D31-E31,1)</x:f>
        <x:v>26.1</x:v>
      </x:c>
      <x:c r="G31" s="23" t="str">
        <x:v>上证指数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3324.173</x:v>
      </x:c>
      <x:c r="E32" s="24" t="n">
        <x:v>3304.444</x:v>
      </x:c>
      <x:c r="F32" s="24" t="n">
        <x:f>ROUND(D32-E32,1)</x:f>
        <x:v>19.7</x:v>
      </x:c>
      <x:c r="G32" s="23" t="str">
        <x:v>上证指数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3346.385</x:v>
      </x:c>
      <x:c r="E33" s="24" t="n">
        <x:v>3310.39</x:v>
      </x:c>
      <x:c r="F33" s="24" t="n">
        <x:f>ROUND(D33-E33,1)</x:f>
        <x:v>36</x:v>
      </x:c>
      <x:c r="G33" s="23" t="str">
        <x:v>上证指数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3359.181</x:v>
      </x:c>
      <x:c r="E34" s="24" t="n">
        <x:v>3332.483</x:v>
      </x:c>
      <x:c r="F34" s="24" t="n">
        <x:f>ROUND(D34-E34,1)</x:f>
        <x:v>26.7</x:v>
      </x:c>
      <x:c r="G34" s="23" t="str">
        <x:v>上证指数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3349.084</x:v>
      </x:c>
      <x:c r="E35" s="24" t="n">
        <x:v>3322.529</x:v>
      </x:c>
      <x:c r="F35" s="24" t="n">
        <x:f>ROUND(D35-E35,1)</x:f>
        <x:v>26.6</x:v>
      </x:c>
      <x:c r="G35" s="23" t="str">
        <x:v>上证指数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3357.121</x:v>
      </x:c>
      <x:c r="E36" s="24" t="n">
        <x:v>3333.195</x:v>
      </x:c>
      <x:c r="F36" s="24" t="n">
        <x:f>ROUND(D36-E36,1)</x:f>
        <x:v>23.9</x:v>
      </x:c>
      <x:c r="G36" s="23" t="str">
        <x:v>上证指数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3366.012</x:v>
      </x:c>
      <x:c r="E37" s="24" t="n">
        <x:v>3314.301</x:v>
      </x:c>
      <x:c r="F37" s="26" t="n">
        <x:f>ROUND(D37-E37,1)</x:f>
        <x:v>51.7</x:v>
      </x:c>
      <x:c r="G37" s="23" t="str">
        <x:v>上证指数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3352.087</x:v>
      </x:c>
      <x:c r="E38" s="24" t="n">
        <x:v>3320.581</x:v>
      </x:c>
      <x:c r="F38" s="24" t="n">
        <x:f>ROUND(D38-E38,1)</x:f>
        <x:v>31.5</x:v>
      </x:c>
      <x:c r="G38" s="23" t="str">
        <x:v>上证指数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3355.557</x:v>
      </x:c>
      <x:c r="E39" s="24" t="n">
        <x:v>3338.034</x:v>
      </x:c>
      <x:c r="F39" s="24" t="n">
        <x:f>ROUND(D39-E39,1)</x:f>
        <x:v>17.5</x:v>
      </x:c>
      <x:c r="G39" s="23" t="str">
        <x:v>上证指数</x:v>
      </x:c>
    </x:row>
    <x:row r="40">
      <x:c r="A40" s="29" t="n">
        <x:v>13</x:v>
      </x:c>
      <x:c r="B40" s="29" t="str">
        <x:v>周五</x:v>
      </x:c>
      <x:c r="C40" s="29" t="str">
        <x:v>2月21日</x:v>
      </x:c>
      <x:c r="D40" s="30" t="n">
        <x:v>3381.058</x:v>
      </x:c>
      <x:c r="E40" s="30" t="n">
        <x:v>3339.026</x:v>
      </x:c>
      <x:c r="F40" s="30" t="n">
        <x:f>ROUND(D40-E40,1)</x:f>
        <x:v>42</x:v>
      </x:c>
      <x:c r="G40" s="29" t="str">
        <x:v>上证指数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3384.811</x:v>
      </x:c>
      <x:c r="E41" s="24" t="n">
        <x:v>3355.869</x:v>
      </x:c>
      <x:c r="F41" s="24" t="n">
        <x:f>ROUND(D41-E41,1)</x:f>
        <x:v>28.9</x:v>
      </x:c>
      <x:c r="G41" s="23" t="str">
        <x:v>上证指数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3369.558</x:v>
      </x:c>
      <x:c r="E42" s="24" t="n">
        <x:v>3337.845</x:v>
      </x:c>
      <x:c r="F42" s="24" t="n">
        <x:f>ROUND(D42-E42,1)</x:f>
        <x:v>31.7</x:v>
      </x:c>
      <x:c r="G42" s="23" t="str">
        <x:v>上证指数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3380.214</x:v>
      </x:c>
      <x:c r="E43" s="24" t="n">
        <x:v>3351.209</x:v>
      </x:c>
      <x:c r="F43" s="24" t="n">
        <x:f>ROUND(D43-E43,1)</x:f>
        <x:v>29</x:v>
      </x:c>
      <x:c r="G43" s="23" t="str">
        <x:v>上证指数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3388.781</x:v>
      </x:c>
      <x:c r="E44" s="24" t="n">
        <x:v>3353.571</x:v>
      </x:c>
      <x:c r="F44" s="24" t="n">
        <x:f>ROUND(D44-E44,1)</x:f>
        <x:v>35.2</x:v>
      </x:c>
      <x:c r="G44" s="23" t="str">
        <x:v>上证指数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3383.191</x:v>
      </x:c>
      <x:c r="E45" s="24" t="n">
        <x:v>3318.716</x:v>
      </x:c>
      <x:c r="F45" s="26" t="n">
        <x:f>ROUND(D45-E45,1)</x:f>
        <x:v>64.5</x:v>
      </x:c>
      <x:c r="G45" s="23" t="str">
        <x:v>上证指数</x:v>
      </x:c>
    </x:row>
    <x:row r="46">
      <x:c r="A46" s="33" t="str">
        <x:v>合计</x:v>
      </x:c>
      <x:c r="B46" s="32" t="n">
        <x:v>18</x:v>
      </x:c>
      <x:c r="C46" s="32"/>
      <x:c r="D46" s="32"/>
      <x:c r="E46" s="32"/>
      <x:c r="F46" s="34" t="n">
        <x:f>ROUND(SUM(F28:F45),1)</x:f>
        <x:v>649.2</x:v>
      </x:c>
      <x:c r="G46" s="32"/>
    </x:row>
    <x:row r="47">
      <x:c r="A47" s="33" t="str">
        <x:v>均值</x:v>
      </x:c>
      <x:c r="B47" s="32"/>
      <x:c r="C47" s="32"/>
      <x:c r="D47" s="32"/>
      <x:c r="E47" s="32"/>
      <x:c r="F47" s="36" t="n">
        <x:f>ROUND(IFERROR(AVERAGE(F28:F45),0),1)</x:f>
        <x:v>36.1</x:v>
      </x:c>
      <x:c r="G47" s="32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高点</x:v>
      </x:c>
      <x:c r="E50" s="20" t="str">
        <x:v>低点</x:v>
      </x:c>
      <x:c r="F50" s="20" t="str">
        <x:v>振幅</x:v>
      </x:c>
      <x:c r="G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3349.017</x:v>
      </x:c>
      <x:c r="E51" s="24" t="n">
        <x:v>3304.593</x:v>
      </x:c>
      <x:c r="F51" s="24" t="n">
        <x:f>ROUND(D51-E51,1)</x:f>
        <x:v>44.4</x:v>
      </x:c>
      <x:c r="G51" s="23" t="str">
        <x:v>上证指数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3327.824</x:v>
      </x:c>
      <x:c r="E52" s="24" t="n">
        <x:v>3297.53</x:v>
      </x:c>
      <x:c r="F52" s="24" t="n">
        <x:f>ROUND(D52-E52,1)</x:f>
        <x:v>30.3</x:v>
      </x:c>
      <x:c r="G52" s="23" t="str">
        <x:v>上证指数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3342.714</x:v>
      </x:c>
      <x:c r="E53" s="24" t="n">
        <x:v>3314.148</x:v>
      </x:c>
      <x:c r="F53" s="24" t="n">
        <x:f>ROUND(D53-E53,1)</x:f>
        <x:v>28.6</x:v>
      </x:c>
      <x:c r="G53" s="23" t="str">
        <x:v>上证指数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3387.054</x:v>
      </x:c>
      <x:c r="E54" s="24" t="n">
        <x:v>3348.684</x:v>
      </x:c>
      <x:c r="F54" s="24" t="n">
        <x:f>ROUND(D54-E54,1)</x:f>
        <x:v>38.4</x:v>
      </x:c>
      <x:c r="G54" s="23" t="str">
        <x:v>上证指数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3390.944</x:v>
      </x:c>
      <x:c r="E55" s="24" t="n">
        <x:v>3363.929</x:v>
      </x:c>
      <x:c r="F55" s="24" t="n">
        <x:f>ROUND(D55-E55,1)</x:f>
        <x:v>27</x:v>
      </x:c>
      <x:c r="G55" s="23" t="str">
        <x:v>上证指数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3375.798</x:v>
      </x:c>
      <x:c r="E56" s="24" t="n">
        <x:v>3347.186</x:v>
      </x:c>
      <x:c r="F56" s="24" t="n">
        <x:f>ROUND(D56-E56,1)</x:f>
        <x:v>28.6</x:v>
      </x:c>
      <x:c r="G56" s="23" t="str">
        <x:v>上证指数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3379.829</x:v>
      </x:c>
      <x:c r="E57" s="24" t="n">
        <x:v>3334.831</x:v>
      </x:c>
      <x:c r="F57" s="24" t="n">
        <x:f>ROUND(D57-E57,1)</x:f>
        <x:v>45</x:v>
      </x:c>
      <x:c r="G57" s="23" t="str">
        <x:v>上证指数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3392.409</x:v>
      </x:c>
      <x:c r="E58" s="24" t="n">
        <x:v>3370.22</x:v>
      </x:c>
      <x:c r="F58" s="24" t="n">
        <x:f>ROUND(D58-E58,1)</x:f>
        <x:v>22.2</x:v>
      </x:c>
      <x:c r="G58" s="23" t="str">
        <x:v>上证指数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3377.118</x:v>
      </x:c>
      <x:c r="E59" s="24" t="n">
        <x:v>3341.118</x:v>
      </x:c>
      <x:c r="F59" s="24" t="n">
        <x:f>ROUND(D59-E59,1)</x:f>
        <x:v>36</x:v>
      </x:c>
      <x:c r="G59" s="23" t="str">
        <x:v>上证指数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3421.233</x:v>
      </x:c>
      <x:c r="E60" s="24" t="n">
        <x:v>3360.606</x:v>
      </x:c>
      <x:c r="F60" s="26" t="n">
        <x:f>ROUND(D60-E60,1)</x:f>
        <x:v>60.6</x:v>
      </x:c>
      <x:c r="G60" s="23" t="str">
        <x:v>上证指数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3436.352</x:v>
      </x:c>
      <x:c r="E61" s="24" t="n">
        <x:v>3422.462</x:v>
      </x:c>
      <x:c r="F61" s="24" t="n">
        <x:f>ROUND(D61-E61,1)</x:f>
        <x:v>13.9</x:v>
      </x:c>
      <x:c r="G61" s="23" t="str">
        <x:v>上证指数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3437.065</x:v>
      </x:c>
      <x:c r="E62" s="24" t="n">
        <x:v>3423.301</x:v>
      </x:c>
      <x:c r="F62" s="24" t="n">
        <x:f>ROUND(D62-E62,1)</x:f>
        <x:v>13.8</x:v>
      </x:c>
      <x:c r="G62" s="23" t="str">
        <x:v>上证指数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3439.046</x:v>
      </x:c>
      <x:c r="E63" s="24" t="n">
        <x:v>3414.593</x:v>
      </x:c>
      <x:c r="F63" s="24" t="n">
        <x:f>ROUND(D63-E63,1)</x:f>
        <x:v>24.5</x:v>
      </x:c>
      <x:c r="G63" s="23" t="str">
        <x:v>上证指数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3427.045</x:v>
      </x:c>
      <x:c r="E64" s="24" t="n">
        <x:v>3404.662</x:v>
      </x:c>
      <x:c r="F64" s="24" t="n">
        <x:f>ROUND(D64-E64,1)</x:f>
        <x:v>22.4</x:v>
      </x:c>
      <x:c r="G64" s="23" t="str">
        <x:v>上证指数</x:v>
      </x:c>
    </x:row>
    <x:row r="65">
      <x:c r="A65" s="29" t="n">
        <x:v>15</x:v>
      </x:c>
      <x:c r="B65" s="29" t="str">
        <x:v>周五</x:v>
      </x:c>
      <x:c r="C65" s="29" t="str">
        <x:v>3月21日</x:v>
      </x:c>
      <x:c r="D65" s="30" t="n">
        <x:v>3414.709</x:v>
      </x:c>
      <x:c r="E65" s="30" t="n">
        <x:v>3355.84</x:v>
      </x:c>
      <x:c r="F65" s="26" t="n">
        <x:f>ROUND(D65-E65,1)</x:f>
        <x:v>58.9</x:v>
      </x:c>
      <x:c r="G65" s="29" t="str">
        <x:v>上证指数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3373.694</x:v>
      </x:c>
      <x:c r="E66" s="24" t="n">
        <x:v>3340.238</x:v>
      </x:c>
      <x:c r="F66" s="24" t="n">
        <x:f>ROUND(D66-E66,1)</x:f>
        <x:v>33.5</x:v>
      </x:c>
      <x:c r="G66" s="23" t="str">
        <x:v>上证指数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3379.988</x:v>
      </x:c>
      <x:c r="E67" s="24" t="n">
        <x:v>3361.046</x:v>
      </x:c>
      <x:c r="F67" s="24" t="n">
        <x:f>ROUND(D67-E67,1)</x:f>
        <x:v>18.9</x:v>
      </x:c>
      <x:c r="G67" s="23" t="str">
        <x:v>上证指数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3382.342</x:v>
      </x:c>
      <x:c r="E68" s="24" t="n">
        <x:v>3365.666</x:v>
      </x:c>
      <x:c r="F68" s="24" t="n">
        <x:f>ROUND(D68-E68,1)</x:f>
        <x:v>16.7</x:v>
      </x:c>
      <x:c r="G68" s="23" t="str">
        <x:v>上证指数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3394.035</x:v>
      </x:c>
      <x:c r="E69" s="24" t="n">
        <x:v>3351.174</x:v>
      </x:c>
      <x:c r="F69" s="24" t="n">
        <x:f>ROUND(D69-E69,1)</x:f>
        <x:v>42.9</x:v>
      </x:c>
      <x:c r="G69" s="23" t="str">
        <x:v>上证指数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3375.053</x:v>
      </x:c>
      <x:c r="E70" s="24" t="n">
        <x:v>3346.081</x:v>
      </x:c>
      <x:c r="F70" s="24" t="n">
        <x:f>ROUND(D70-E70,1)</x:f>
        <x:v>29</x:v>
      </x:c>
      <x:c r="G70" s="23" t="str">
        <x:v>上证指数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3361.742</x:v>
      </x:c>
      <x:c r="E71" s="24" t="n">
        <x:v>3317.738</x:v>
      </x:c>
      <x:c r="F71" s="24" t="n">
        <x:f>ROUND(D71-E71,1)</x:f>
        <x:v>44</x:v>
      </x:c>
      <x:c r="G71" s="23" t="str">
        <x:v>上证指数</x:v>
      </x:c>
    </x:row>
    <x:row r="72">
      <x:c r="A72" s="33" t="str">
        <x:v>合计</x:v>
      </x:c>
      <x:c r="B72" s="32" t="n">
        <x:v>21</x:v>
      </x:c>
      <x:c r="C72" s="32"/>
      <x:c r="D72" s="32"/>
      <x:c r="E72" s="32"/>
      <x:c r="F72" s="34" t="n">
        <x:f>ROUND(SUM(F51:F71),1)</x:f>
        <x:v>679.6</x:v>
      </x:c>
      <x:c r="G72" s="32"/>
    </x:row>
    <x:row r="73">
      <x:c r="A73" s="33" t="str">
        <x:v>均值</x:v>
      </x:c>
      <x:c r="B73" s="32"/>
      <x:c r="C73" s="32"/>
      <x:c r="D73" s="32"/>
      <x:c r="E73" s="32"/>
      <x:c r="F73" s="36" t="n">
        <x:f>ROUND(IFERROR(AVERAGE(F51:F71),0),1)</x:f>
        <x:v>32.4</x:v>
      </x:c>
      <x:c r="G73" s="32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高点</x:v>
      </x:c>
      <x:c r="E76" s="20" t="str">
        <x:v>低点</x:v>
      </x:c>
      <x:c r="F76" s="20" t="str">
        <x:v>振幅</x:v>
      </x:c>
      <x:c r="G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3357.622</x:v>
      </x:c>
      <x:c r="E77" s="24" t="n">
        <x:v>3338.779</x:v>
      </x:c>
      <x:c r="F77" s="24" t="n">
        <x:f>ROUND(D77-E77,1)</x:f>
        <x:v>18.8</x:v>
      </x:c>
      <x:c r="G77" s="23" t="str">
        <x:v>上证指数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3361.134</x:v>
      </x:c>
      <x:c r="E78" s="24" t="n">
        <x:v>3343.116</x:v>
      </x:c>
      <x:c r="F78" s="24" t="n">
        <x:f>ROUND(D78-E78,1)</x:f>
        <x:v>18</x:v>
      </x:c>
      <x:c r="G78" s="23" t="str">
        <x:v>上证指数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3358.426</x:v>
      </x:c>
      <x:c r="E79" s="24" t="n">
        <x:v>3319.606</x:v>
      </x:c>
      <x:c r="F79" s="24" t="n">
        <x:f>ROUND(D79-E79,1)</x:f>
        <x:v>38.8</x:v>
      </x:c>
      <x:c r="G79" s="23" t="str">
        <x:v>上证指数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3217.782</x:v>
      </x:c>
      <x:c r="E80" s="24" t="n">
        <x:v>3040.693</x:v>
      </x:c>
      <x:c r="F80" s="26" t="n">
        <x:f>ROUND(D80-E80,1)</x:f>
        <x:v>177.1</x:v>
      </x:c>
      <x:c r="G80" s="23" t="str">
        <x:v>上证指数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3145.549</x:v>
      </x:c>
      <x:c r="E81" s="24" t="n">
        <x:v>3085.123</x:v>
      </x:c>
      <x:c r="F81" s="26" t="n">
        <x:f>ROUND(D81-E81,1)</x:f>
        <x:v>60.4</x:v>
      </x:c>
      <x:c r="G81" s="23" t="str">
        <x:v>上证指数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3186.81</x:v>
      </x:c>
      <x:c r="E82" s="24" t="n">
        <x:v>3070.078</x:v>
      </x:c>
      <x:c r="F82" s="26" t="n">
        <x:f>ROUND(D82-E82,1)</x:f>
        <x:v>116.7</x:v>
      </x:c>
      <x:c r="G82" s="23" t="str">
        <x:v>上证指数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3239.941</x:v>
      </x:c>
      <x:c r="E83" s="24" t="n">
        <x:v>3201.571</x:v>
      </x:c>
      <x:c r="F83" s="24" t="n">
        <x:f>ROUND(D83-E83,1)</x:f>
        <x:v>38.4</x:v>
      </x:c>
      <x:c r="G83" s="23" t="str">
        <x:v>上证指数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3249.854</x:v>
      </x:c>
      <x:c r="E84" s="24" t="n">
        <x:v>3211.35</x:v>
      </x:c>
      <x:c r="F84" s="24" t="n">
        <x:f>ROUND(D84-E84,1)</x:f>
        <x:v>38.5</x:v>
      </x:c>
      <x:c r="G84" s="23" t="str">
        <x:v>上证指数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3272.72</x:v>
      </x:c>
      <x:c r="E85" s="24" t="n">
        <x:v>3244.733</x:v>
      </x:c>
      <x:c r="F85" s="24" t="n">
        <x:f>ROUND(D85-E85,1)</x:f>
        <x:v>28</x:v>
      </x:c>
      <x:c r="G85" s="23" t="str">
        <x:v>上证指数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3268.985</x:v>
      </x:c>
      <x:c r="E86" s="24" t="n">
        <x:v>3246.337</x:v>
      </x:c>
      <x:c r="F86" s="24" t="n">
        <x:f>ROUND(D86-E86,1)</x:f>
        <x:v>22.6</x:v>
      </x:c>
      <x:c r="G86" s="23" t="str">
        <x:v>上证指数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3276.005</x:v>
      </x:c>
      <x:c r="E87" s="24" t="n">
        <x:v>3233.791</x:v>
      </x:c>
      <x:c r="F87" s="24" t="n">
        <x:f>ROUND(D87-E87,1)</x:f>
        <x:v>42.2</x:v>
      </x:c>
      <x:c r="G87" s="23" t="str">
        <x:v>上证指数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3285.915</x:v>
      </x:c>
      <x:c r="E88" s="24" t="n">
        <x:v>3258.145</x:v>
      </x:c>
      <x:c r="F88" s="24" t="n">
        <x:f>ROUND(D88-E88,1)</x:f>
        <x:v>27.8</x:v>
      </x:c>
      <x:c r="G88" s="23" t="str">
        <x:v>上证指数</x:v>
      </x:c>
    </x:row>
    <x:row r="89">
      <x:c r="A89" s="29" t="n">
        <x:v>13</x:v>
      </x:c>
      <x:c r="B89" s="29" t="str">
        <x:v>周五</x:v>
      </x:c>
      <x:c r="C89" s="29" t="str">
        <x:v>4月18日</x:v>
      </x:c>
      <x:c r="D89" s="30" t="n">
        <x:v>3283.09</x:v>
      </x:c>
      <x:c r="E89" s="30" t="n">
        <x:v>3262.392</x:v>
      </x:c>
      <x:c r="F89" s="30" t="n">
        <x:f>ROUND(D89-E89,1)</x:f>
        <x:v>20.7</x:v>
      </x:c>
      <x:c r="G89" s="29" t="str">
        <x:v>上证指数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3298.64</x:v>
      </x:c>
      <x:c r="E90" s="24" t="n">
        <x:v>3270.013</x:v>
      </x:c>
      <x:c r="F90" s="24" t="n">
        <x:f>ROUND(D90-E90,1)</x:f>
        <x:v>28.6</x:v>
      </x:c>
      <x:c r="G90" s="23" t="str">
        <x:v>上证指数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3311.153</x:v>
      </x:c>
      <x:c r="E91" s="24" t="n">
        <x:v>3288.332</x:v>
      </x:c>
      <x:c r="F91" s="24" t="n">
        <x:f>ROUND(D91-E91,1)</x:f>
        <x:v>22.8</x:v>
      </x:c>
      <x:c r="G91" s="23" t="str">
        <x:v>上证指数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3312.192</x:v>
      </x:c>
      <x:c r="E92" s="24" t="n">
        <x:v>3293.063</x:v>
      </x:c>
      <x:c r="F92" s="24" t="n">
        <x:f>ROUND(D92-E92,1)</x:f>
        <x:v>19.1</x:v>
      </x:c>
      <x:c r="G92" s="23" t="str">
        <x:v>上证指数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3313.509</x:v>
      </x:c>
      <x:c r="E93" s="24" t="n">
        <x:v>3286.236</x:v>
      </x:c>
      <x:c r="F93" s="24" t="n">
        <x:f>ROUND(D93-E93,1)</x:f>
        <x:v>27.3</x:v>
      </x:c>
      <x:c r="G93" s="23" t="str">
        <x:v>上证指数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3305.262</x:v>
      </x:c>
      <x:c r="E94" s="24" t="n">
        <x:v>3288.755</x:v>
      </x:c>
      <x:c r="F94" s="24" t="n">
        <x:f>ROUND(D94-E94,1)</x:f>
        <x:v>16.5</x:v>
      </x:c>
      <x:c r="G94" s="23" t="str">
        <x:v>上证指数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3296.932</x:v>
      </x:c>
      <x:c r="E95" s="24" t="n">
        <x:v>3279.877</x:v>
      </x:c>
      <x:c r="F95" s="24" t="n">
        <x:f>ROUND(D95-E95,1)</x:f>
        <x:v>17.1</x:v>
      </x:c>
      <x:c r="G95" s="23" t="str">
        <x:v>上证指数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3294.982</x:v>
      </x:c>
      <x:c r="E96" s="24" t="n">
        <x:v>3277.627</x:v>
      </x:c>
      <x:c r="F96" s="24" t="n">
        <x:f>ROUND(D96-E96,1)</x:f>
        <x:v>17.4</x:v>
      </x:c>
      <x:c r="G96" s="23" t="str">
        <x:v>上证指数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3292.2</x:v>
      </x:c>
      <x:c r="E97" s="24" t="n">
        <x:v>3277.55</x:v>
      </x:c>
      <x:c r="F97" s="24" t="n">
        <x:f>ROUND(D97-E97,1)</x:f>
        <x:v>14.6</x:v>
      </x:c>
      <x:c r="G97" s="23" t="str">
        <x:v>上证指数</x:v>
      </x:c>
    </x:row>
    <x:row r="98">
      <x:c r="A98" s="33" t="str">
        <x:v>合计</x:v>
      </x:c>
      <x:c r="B98" s="32" t="n">
        <x:v>21</x:v>
      </x:c>
      <x:c r="C98" s="32"/>
      <x:c r="D98" s="32"/>
      <x:c r="E98" s="32"/>
      <x:c r="F98" s="34" t="n">
        <x:f>ROUND(SUM(F77:F97),1)</x:f>
        <x:v>811.4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ROUND(IFERROR(AVERAGE(F77:F97),0),1)</x:f>
        <x:v>38.6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3316.448</x:v>
      </x:c>
      <x:c r="E103" s="24" t="n">
        <x:v>3286.989</x:v>
      </x:c>
      <x:c r="F103" s="24" t="n">
        <x:f>ROUND(D103-E103,1)</x:f>
        <x:v>29.5</x:v>
      </x:c>
      <x:c r="G103" s="23" t="str">
        <x:v>上证指数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3356.688</x:v>
      </x:c>
      <x:c r="E104" s="24" t="n">
        <x:v>3324.809</x:v>
      </x:c>
      <x:c r="F104" s="24" t="n">
        <x:f>ROUND(D104-E104,1)</x:f>
        <x:v>31.9</x:v>
      </x:c>
      <x:c r="G104" s="23" t="str">
        <x:v>上证指数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3359.731</x:v>
      </x:c>
      <x:c r="E105" s="24" t="n">
        <x:v>3327.902</x:v>
      </x:c>
      <x:c r="F105" s="24" t="n">
        <x:f>ROUND(D105-E105,1)</x:f>
        <x:v>31.8</x:v>
      </x:c>
      <x:c r="G105" s="23" t="str">
        <x:v>上证指数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3351.22</x:v>
      </x:c>
      <x:c r="E106" s="24" t="n">
        <x:v>3335.127</x:v>
      </x:c>
      <x:c r="F106" s="24" t="n">
        <x:f>ROUND(D106-E106,1)</x:f>
        <x:v>16.1</x:v>
      </x:c>
      <x:c r="G106" s="23" t="str">
        <x:v>上证指数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3372.472</x:v>
      </x:c>
      <x:c r="E107" s="24" t="n">
        <x:v>3344.269</x:v>
      </x:c>
      <x:c r="F107" s="24" t="n">
        <x:f>ROUND(D107-E107,1)</x:f>
        <x:v>28.2</x:v>
      </x:c>
      <x:c r="G107" s="23" t="str">
        <x:v>上证指数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3386.234</x:v>
      </x:c>
      <x:c r="E108" s="24" t="n">
        <x:v>3370.252</x:v>
      </x:c>
      <x:c r="F108" s="24" t="n">
        <x:f>ROUND(D108-E108,1)</x:f>
        <x:v>16</x:v>
      </x:c>
      <x:c r="G108" s="23" t="str">
        <x:v>上证指数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3417.314</x:v>
      </x:c>
      <x:c r="E109" s="24" t="n">
        <x:v>3368.078</x:v>
      </x:c>
      <x:c r="F109" s="24" t="n">
        <x:f>ROUND(D109-E109,1)</x:f>
        <x:v>49.2</x:v>
      </x:c>
      <x:c r="G109" s="23" t="str">
        <x:v>上证指数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3402.866</x:v>
      </x:c>
      <x:c r="E110" s="24" t="n">
        <x:v>3378.021</x:v>
      </x:c>
      <x:c r="F110" s="24" t="n">
        <x:f>ROUND(D110-E110,1)</x:f>
        <x:v>24.8</x:v>
      </x:c>
      <x:c r="G110" s="23" t="str">
        <x:v>上证指数</x:v>
      </x:c>
    </x:row>
    <x:row r="111">
      <x:c r="A111" s="29" t="n">
        <x:v>9</x:v>
      </x:c>
      <x:c r="B111" s="29" t="str">
        <x:v>周五</x:v>
      </x:c>
      <x:c r="C111" s="29" t="str">
        <x:v>5月16日</x:v>
      </x:c>
      <x:c r="D111" s="30" t="n">
        <x:v>3380.29</x:v>
      </x:c>
      <x:c r="E111" s="30" t="n">
        <x:v>3356.661</x:v>
      </x:c>
      <x:c r="F111" s="30" t="n">
        <x:f>ROUND(D111-E111,1)</x:f>
        <x:v>23.6</x:v>
      </x:c>
      <x:c r="G111" s="29" t="str">
        <x:v>上证指数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3373.599</x:v>
      </x:c>
      <x:c r="E112" s="24" t="n">
        <x:v>3356.648</x:v>
      </x:c>
      <x:c r="F112" s="24" t="n">
        <x:f>ROUND(D112-E112,1)</x:f>
        <x:v>17</x:v>
      </x:c>
      <x:c r="G112" s="23" t="str">
        <x:v>上证指数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3387.804</x:v>
      </x:c>
      <x:c r="E113" s="24" t="n">
        <x:v>3369.963</x:v>
      </x:c>
      <x:c r="F113" s="24" t="n">
        <x:f>ROUND(D113-E113,1)</x:f>
        <x:v>17.8</x:v>
      </x:c>
      <x:c r="G113" s="23" t="str">
        <x:v>上证指数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3394.754</x:v>
      </x:c>
      <x:c r="E114" s="24" t="n">
        <x:v>3380.209</x:v>
      </x:c>
      <x:c r="F114" s="24" t="n">
        <x:f>ROUND(D114-E114,1)</x:f>
        <x:v>14.5</x:v>
      </x:c>
      <x:c r="G114" s="23" t="str">
        <x:v>上证指数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3390.593</x:v>
      </x:c>
      <x:c r="E115" s="24" t="n">
        <x:v>3376.233</x:v>
      </x:c>
      <x:c r="F115" s="24" t="n">
        <x:f>ROUND(D115-E115,1)</x:f>
        <x:v>14.4</x:v>
      </x:c>
      <x:c r="G115" s="23" t="str">
        <x:v>上证指数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3389.469</x:v>
      </x:c>
      <x:c r="E116" s="24" t="n">
        <x:v>3348.372</x:v>
      </x:c>
      <x:c r="F116" s="24" t="n">
        <x:f>ROUND(D116-E116,1)</x:f>
        <x:v>41.1</x:v>
      </x:c>
      <x:c r="G116" s="23" t="str">
        <x:v>上证指数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3362.307</x:v>
      </x:c>
      <x:c r="E117" s="24" t="n">
        <x:v>3336.355</x:v>
      </x:c>
      <x:c r="F117" s="24" t="n">
        <x:f>ROUND(D117-E117,1)</x:f>
        <x:v>26</x:v>
      </x:c>
      <x:c r="G117" s="23" t="str">
        <x:v>上证指数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3351.572</x:v>
      </x:c>
      <x:c r="E118" s="24" t="n">
        <x:v>3332.49</x:v>
      </x:c>
      <x:c r="F118" s="24" t="n">
        <x:f>ROUND(D118-E118,1)</x:f>
        <x:v>19.1</x:v>
      </x:c>
      <x:c r="G118" s="23" t="str">
        <x:v>上证指数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3348.234</x:v>
      </x:c>
      <x:c r="E119" s="24" t="n">
        <x:v>3336.727</x:v>
      </x:c>
      <x:c r="F119" s="24" t="n">
        <x:f>ROUND(D119-E119,1)</x:f>
        <x:v>11.5</x:v>
      </x:c>
      <x:c r="G119" s="23" t="str">
        <x:v>上证指数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3368.633</x:v>
      </x:c>
      <x:c r="E120" s="24" t="n">
        <x:v>3337.415</x:v>
      </x:c>
      <x:c r="F120" s="24" t="n">
        <x:f>ROUND(D120-E120,1)</x:f>
        <x:v>31.2</x:v>
      </x:c>
      <x:c r="G120" s="23" t="str">
        <x:v>上证指数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3361.275</x:v>
      </x:c>
      <x:c r="E121" s="24" t="n">
        <x:v>3341.648</x:v>
      </x:c>
      <x:c r="F121" s="24" t="n">
        <x:f>ROUND(D121-E121,1)</x:f>
        <x:v>19.6</x:v>
      </x:c>
      <x:c r="G121" s="23" t="str">
        <x:v>上证指数</x:v>
      </x:c>
    </x:row>
    <x:row r="122">
      <x:c r="A122" s="33" t="str">
        <x:v>合计</x:v>
      </x:c>
      <x:c r="B122" s="32" t="n">
        <x:v>19</x:v>
      </x:c>
      <x:c r="C122" s="32"/>
      <x:c r="D122" s="32"/>
      <x:c r="E122" s="32"/>
      <x:c r="F122" s="34" t="n">
        <x:f>ROUND(SUM(F103:F121),1)</x:f>
        <x:v>463.3</x:v>
      </x:c>
      <x:c r="G122" s="32"/>
    </x:row>
    <x:row r="123">
      <x:c r="A123" s="33" t="str">
        <x:v>均值</x:v>
      </x:c>
      <x:c r="B123" s="32"/>
      <x:c r="C123" s="32"/>
      <x:c r="D123" s="32"/>
      <x:c r="E123" s="32"/>
      <x:c r="F123" s="36" t="n">
        <x:f>ROUND(IFERROR(AVERAGE(F103:F121),0),1)</x:f>
        <x:v>24.4</x:v>
      </x:c>
      <x:c r="G123" s="32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高点</x:v>
      </x:c>
      <x:c r="E126" s="20" t="str">
        <x:v>低点</x:v>
      </x:c>
      <x:c r="F126" s="20" t="str">
        <x:v>振幅</x:v>
      </x:c>
      <x:c r="G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3366.997</x:v>
      </x:c>
      <x:c r="E127" s="24" t="n">
        <x:v>3340.067</x:v>
      </x:c>
      <x:c r="F127" s="24" t="n">
        <x:f>ROUND(D127-E127,1)</x:f>
        <x:v>26.9</x:v>
      </x:c>
      <x:c r="G127" s="23" t="str">
        <x:v>上证指数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3379.64</x:v>
      </x:c>
      <x:c r="E128" s="24" t="n">
        <x:v>3363.391</x:v>
      </x:c>
      <x:c r="F128" s="24" t="n">
        <x:f>ROUND(D128-E128,1)</x:f>
        <x:v>16.2</x:v>
      </x:c>
      <x:c r="G128" s="23" t="str">
        <x:v>上证指数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3387.765</x:v>
      </x:c>
      <x:c r="E129" s="24" t="n">
        <x:v>3371.146</x:v>
      </x:c>
      <x:c r="F129" s="24" t="n">
        <x:f>ROUND(D129-E129,1)</x:f>
        <x:v>16.6</x:v>
      </x:c>
      <x:c r="G129" s="23" t="str">
        <x:v>上证指数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3391.451</x:v>
      </x:c>
      <x:c r="E130" s="24" t="n">
        <x:v>3379.764</x:v>
      </x:c>
      <x:c r="F130" s="24" t="n">
        <x:f>ROUND(D130-E130,1)</x:f>
        <x:v>11.7</x:v>
      </x:c>
      <x:c r="G130" s="23" t="str">
        <x:v>上证指数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3402.05</x:v>
      </x:c>
      <x:c r="E131" s="24" t="n">
        <x:v>3383.074</x:v>
      </x:c>
      <x:c r="F131" s="24" t="n">
        <x:f>ROUND(D131-E131,1)</x:f>
        <x:v>19</x:v>
      </x:c>
      <x:c r="G131" s="23" t="str">
        <x:v>上证指数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3406.452</x:v>
      </x:c>
      <x:c r="E132" s="24" t="n">
        <x:v>3365.667</x:v>
      </x:c>
      <x:c r="F132" s="24" t="n">
        <x:f>ROUND(D132-E132,1)</x:f>
        <x:v>40.8</x:v>
      </x:c>
      <x:c r="G132" s="23" t="str">
        <x:v>上证指数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3413.513</x:v>
      </x:c>
      <x:c r="E133" s="24" t="n">
        <x:v>3385.457</x:v>
      </x:c>
      <x:c r="F133" s="24" t="n">
        <x:f>ROUND(D133-E133,1)</x:f>
        <x:v>28.1</x:v>
      </x:c>
      <x:c r="G133" s="23" t="str">
        <x:v>上证指数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3408.205</x:v>
      </x:c>
      <x:c r="E134" s="24" t="n">
        <x:v>3388.866</x:v>
      </x:c>
      <x:c r="F134" s="24" t="n">
        <x:f>ROUND(D134-E134,1)</x:f>
        <x:v>19.3</x:v>
      </x:c>
      <x:c r="G134" s="23" t="str">
        <x:v>上证指数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3401.553</x:v>
      </x:c>
      <x:c r="E135" s="24" t="n">
        <x:v>3370.592</x:v>
      </x:c>
      <x:c r="F135" s="24" t="n">
        <x:f>ROUND(D135-E135,1)</x:f>
        <x:v>31</x:v>
      </x:c>
      <x:c r="G135" s="23" t="str">
        <x:v>上证指数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3389.756</x:v>
      </x:c>
      <x:c r="E136" s="24" t="n">
        <x:v>3368.876</x:v>
      </x:c>
      <x:c r="F136" s="24" t="n">
        <x:f>ROUND(D136-E136,1)</x:f>
        <x:v>20.9</x:v>
      </x:c>
      <x:c r="G136" s="23" t="str">
        <x:v>上证指数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3393.313</x:v>
      </x:c>
      <x:c r="E137" s="24" t="n">
        <x:v>3376.42</x:v>
      </x:c>
      <x:c r="F137" s="24" t="n">
        <x:f>ROUND(D137-E137,1)</x:f>
        <x:v>16.9</x:v>
      </x:c>
      <x:c r="G137" s="23" t="str">
        <x:v>上证指数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3391.709</x:v>
      </x:c>
      <x:c r="E138" s="24" t="n">
        <x:v>3369.986</x:v>
      </x:c>
      <x:c r="F138" s="24" t="n">
        <x:f>ROUND(D138-E138,1)</x:f>
        <x:v>21.7</x:v>
      </x:c>
      <x:c r="G138" s="23" t="str">
        <x:v>上证指数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3386.919</x:v>
      </x:c>
      <x:c r="E139" s="24" t="n">
        <x:v>3353.936</x:v>
      </x:c>
      <x:c r="F139" s="24" t="n">
        <x:f>ROUND(D139-E139,1)</x:f>
        <x:v>33</x:v>
      </x:c>
      <x:c r="G139" s="23" t="str">
        <x:v>上证指数</x:v>
      </x:c>
    </x:row>
    <x:row r="140">
      <x:c r="A140" s="29" t="n">
        <x:v>14</x:v>
      </x:c>
      <x:c r="B140" s="29" t="str">
        <x:v>周五</x:v>
      </x:c>
      <x:c r="C140" s="29" t="str">
        <x:v>6月20日</x:v>
      </x:c>
      <x:c r="D140" s="30" t="n">
        <x:v>3370.798</x:v>
      </x:c>
      <x:c r="E140" s="30" t="n">
        <x:v>3357.706</x:v>
      </x:c>
      <x:c r="F140" s="30" t="n">
        <x:f>ROUND(D140-E140,1)</x:f>
        <x:v>13.1</x:v>
      </x:c>
      <x:c r="G140" s="29" t="str">
        <x:v>上证指数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3389.452</x:v>
      </x:c>
      <x:c r="E141" s="24" t="n">
        <x:v>3347.651</x:v>
      </x:c>
      <x:c r="F141" s="24" t="n">
        <x:f>ROUND(D141-E141,1)</x:f>
        <x:v>41.8</x:v>
      </x:c>
      <x:c r="G141" s="23" t="str">
        <x:v>上证指数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3423.784</x:v>
      </x:c>
      <x:c r="E142" s="24" t="n">
        <x:v>3380.08</x:v>
      </x:c>
      <x:c r="F142" s="24" t="n">
        <x:f>ROUND(D142-E142,1)</x:f>
        <x:v>43.7</x:v>
      </x:c>
      <x:c r="G142" s="23" t="str">
        <x:v>上证指数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3459.009</x:v>
      </x:c>
      <x:c r="E143" s="24" t="n">
        <x:v>3417.411</x:v>
      </x:c>
      <x:c r="F143" s="24" t="n">
        <x:f>ROUND(D143-E143,1)</x:f>
        <x:v>41.6</x:v>
      </x:c>
      <x:c r="G143" s="23" t="str">
        <x:v>上证指数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3462.752</x:v>
      </x:c>
      <x:c r="E144" s="24" t="n">
        <x:v>3446.186</x:v>
      </x:c>
      <x:c r="F144" s="24" t="n">
        <x:f>ROUND(D144-E144,1)</x:f>
        <x:v>16.6</x:v>
      </x:c>
      <x:c r="G144" s="23" t="str">
        <x:v>上证指数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3462.627</x:v>
      </x:c>
      <x:c r="E145" s="24" t="n">
        <x:v>3421.04</x:v>
      </x:c>
      <x:c r="F145" s="24" t="n">
        <x:f>ROUND(D145-E145,1)</x:f>
        <x:v>41.6</x:v>
      </x:c>
      <x:c r="G145" s="23" t="str">
        <x:v>上证指数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3447.46</x:v>
      </x:c>
      <x:c r="E146" s="24" t="n">
        <x:v>3420.112</x:v>
      </x:c>
      <x:c r="F146" s="24" t="n">
        <x:f>ROUND(D146-E146,1)</x:f>
        <x:v>27.3</x:v>
      </x:c>
      <x:c r="G146" s="23" t="str">
        <x:v>上证指数</x:v>
      </x:c>
    </x:row>
    <x:row r="147">
      <x:c r="A147" s="33" t="str">
        <x:v>合计</x:v>
      </x:c>
      <x:c r="B147" s="32" t="n">
        <x:v>20</x:v>
      </x:c>
      <x:c r="C147" s="32"/>
      <x:c r="D147" s="32"/>
      <x:c r="E147" s="32"/>
      <x:c r="F147" s="34" t="n">
        <x:f>ROUND(SUM(F127:F146),1)</x:f>
        <x:v>527.8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ROUND(IFERROR(AVERAGE(F127:F146),0),1)</x:f>
        <x:v>26.4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3459.587</x:v>
      </x:c>
      <x:c r="E152" s="24" t="n">
        <x:v>3441.038</x:v>
      </x:c>
      <x:c r="F152" s="24" t="n">
        <x:f>ROUND(D152-E152,1)</x:f>
        <x:v>18.5</x:v>
      </x:c>
      <x:c r="G152" s="23" t="str">
        <x:v>上证指数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3461.328</x:v>
      </x:c>
      <x:c r="E153" s="24" t="n">
        <x:v>3447.956</x:v>
      </x:c>
      <x:c r="F153" s="24" t="n">
        <x:f>ROUND(D153-E153,1)</x:f>
        <x:v>13.4</x:v>
      </x:c>
      <x:c r="G153" s="23" t="str">
        <x:v>上证指数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3463.62</x:v>
      </x:c>
      <x:c r="E154" s="24" t="n">
        <x:v>3446.974</x:v>
      </x:c>
      <x:c r="F154" s="24" t="n">
        <x:f>ROUND(D154-E154,1)</x:f>
        <x:v>16.6</x:v>
      </x:c>
      <x:c r="G154" s="23" t="str">
        <x:v>上证指数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3497.225</x:v>
      </x:c>
      <x:c r="E155" s="24" t="n">
        <x:v>3455.494</x:v>
      </x:c>
      <x:c r="F155" s="24" t="n">
        <x:f>ROUND(D155-E155,1)</x:f>
        <x:v>41.7</x:v>
      </x:c>
      <x:c r="G155" s="23" t="str">
        <x:v>上证指数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3474.801</x:v>
      </x:c>
      <x:c r="E156" s="24" t="n">
        <x:v>3462.792</x:v>
      </x:c>
      <x:c r="F156" s="24" t="n">
        <x:f>ROUND(D156-E156,1)</x:f>
        <x:v>12</x:v>
      </x:c>
      <x:c r="G156" s="23" t="str">
        <x:v>上证指数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3499.886</x:v>
      </x:c>
      <x:c r="E157" s="24" t="n">
        <x:v>3474.632</x:v>
      </x:c>
      <x:c r="F157" s="24" t="n">
        <x:f>ROUND(D157-E157,1)</x:f>
        <x:v>25.3</x:v>
      </x:c>
      <x:c r="G157" s="23" t="str">
        <x:v>上证指数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3512.669</x:v>
      </x:c>
      <x:c r="E158" s="24" t="n">
        <x:v>3491.201</x:v>
      </x:c>
      <x:c r="F158" s="24" t="n">
        <x:f>ROUND(D158-E158,1)</x:f>
        <x:v>21.5</x:v>
      </x:c>
      <x:c r="G158" s="23" t="str">
        <x:v>上证指数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3526.59</x:v>
      </x:c>
      <x:c r="E159" s="24" t="n">
        <x:v>3491.497</x:v>
      </x:c>
      <x:c r="F159" s="24" t="n">
        <x:f>ROUND(D159-E159,1)</x:f>
        <x:v>35.1</x:v>
      </x:c>
      <x:c r="G159" s="23" t="str">
        <x:v>上证指数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3555.218</x:v>
      </x:c>
      <x:c r="E160" s="24" t="n">
        <x:v>3506.799</x:v>
      </x:c>
      <x:c r="F160" s="24" t="n">
        <x:f>ROUND(D160-E160,1)</x:f>
        <x:v>48.4</x:v>
      </x:c>
      <x:c r="G160" s="23" t="str">
        <x:v>上证指数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3532.118</x:v>
      </x:c>
      <x:c r="E161" s="24" t="n">
        <x:v>3513.252</x:v>
      </x:c>
      <x:c r="F161" s="24" t="n">
        <x:f>ROUND(D161-E161,1)</x:f>
        <x:v>18.9</x:v>
      </x:c>
      <x:c r="G161" s="23" t="str">
        <x:v>上证指数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3527.038</x:v>
      </x:c>
      <x:c r="E162" s="24" t="n">
        <x:v>3483.38</x:v>
      </x:c>
      <x:c r="F162" s="24" t="n">
        <x:f>ROUND(D162-E162,1)</x:f>
        <x:v>43.7</x:v>
      </x:c>
      <x:c r="G162" s="23" t="str">
        <x:v>上证指数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3511.806</x:v>
      </x:c>
      <x:c r="E163" s="24" t="n">
        <x:v>3489.137</x:v>
      </x:c>
      <x:c r="F163" s="24" t="n">
        <x:f>ROUND(D163-E163,1)</x:f>
        <x:v>22.7</x:v>
      </x:c>
      <x:c r="G163" s="23" t="str">
        <x:v>上证指数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3517.285</x:v>
      </x:c>
      <x:c r="E164" s="24" t="n">
        <x:v>3499.186</x:v>
      </x:c>
      <x:c r="F164" s="24" t="n">
        <x:f>ROUND(D164-E164,1)</x:f>
        <x:v>18.1</x:v>
      </x:c>
      <x:c r="G164" s="23" t="str">
        <x:v>上证指数</x:v>
      </x:c>
    </x:row>
    <x:row r="165">
      <x:c r="A165" s="29" t="n">
        <x:v>14</x:v>
      </x:c>
      <x:c r="B165" s="29" t="str">
        <x:v>周五</x:v>
      </x:c>
      <x:c r="C165" s="29" t="str">
        <x:v>7月18日</x:v>
      </x:c>
      <x:c r="D165" s="30" t="n">
        <x:v>3536.014</x:v>
      </x:c>
      <x:c r="E165" s="30" t="n">
        <x:v>3518.231</x:v>
      </x:c>
      <x:c r="F165" s="30" t="n">
        <x:f>ROUND(D165-E165,1)</x:f>
        <x:v>17.8</x:v>
      </x:c>
      <x:c r="G165" s="29" t="str">
        <x:v>上证指数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3560.629</x:v>
      </x:c>
      <x:c r="E166" s="24" t="n">
        <x:v>3542.568</x:v>
      </x:c>
      <x:c r="F166" s="24" t="n">
        <x:f>ROUND(D166-E166,1)</x:f>
        <x:v>18.1</x:v>
      </x:c>
      <x:c r="G166" s="23" t="str">
        <x:v>上证指数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3584.719</x:v>
      </x:c>
      <x:c r="E167" s="24" t="n">
        <x:v>3547.252</x:v>
      </x:c>
      <x:c r="F167" s="24" t="n">
        <x:f>ROUND(D167-E167,1)</x:f>
        <x:v>37.5</x:v>
      </x:c>
      <x:c r="G167" s="23" t="str">
        <x:v>上证指数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3613.022</x:v>
      </x:c>
      <x:c r="E168" s="24" t="n">
        <x:v>3577.594</x:v>
      </x:c>
      <x:c r="F168" s="24" t="n">
        <x:f>ROUND(D168-E168,1)</x:f>
        <x:v>35.4</x:v>
      </x:c>
      <x:c r="G168" s="23" t="str">
        <x:v>上证指数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3608.728</x:v>
      </x:c>
      <x:c r="E169" s="24" t="n">
        <x:v>3577.113</x:v>
      </x:c>
      <x:c r="F169" s="24" t="n">
        <x:f>ROUND(D169-E169,1)</x:f>
        <x:v>31.6</x:v>
      </x:c>
      <x:c r="G169" s="23" t="str">
        <x:v>上证指数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3610.029</x:v>
      </x:c>
      <x:c r="E170" s="24" t="n">
        <x:v>3586.22</x:v>
      </x:c>
      <x:c r="F170" s="24" t="n">
        <x:f>ROUND(D170-E170,1)</x:f>
        <x:v>23.8</x:v>
      </x:c>
      <x:c r="G170" s="23" t="str">
        <x:v>上证指数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3606.274</x:v>
      </x:c>
      <x:c r="E171" s="24" t="n">
        <x:v>3582.149</x:v>
      </x:c>
      <x:c r="F171" s="24" t="n">
        <x:f>ROUND(D171-E171,1)</x:f>
        <x:v>24.1</x:v>
      </x:c>
      <x:c r="G171" s="23" t="str">
        <x:v>上证指数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3611.353</x:v>
      </x:c>
      <x:c r="E172" s="24" t="n">
        <x:v>3585.944</x:v>
      </x:c>
      <x:c r="F172" s="24" t="n">
        <x:f>ROUND(D172-E172,1)</x:f>
        <x:v>25.4</x:v>
      </x:c>
      <x:c r="G172" s="23" t="str">
        <x:v>上证指数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3636.166</x:v>
      </x:c>
      <x:c r="E173" s="24" t="n">
        <x:v>3593.734</x:v>
      </x:c>
      <x:c r="F173" s="24" t="n">
        <x:f>ROUND(D173-E173,1)</x:f>
        <x:v>42.4</x:v>
      </x:c>
      <x:c r="G173" s="23" t="str">
        <x:v>上证指数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3606.374</x:v>
      </x:c>
      <x:c r="E174" s="24" t="n">
        <x:v>3562.607</x:v>
      </x:c>
      <x:c r="F174" s="24" t="n">
        <x:f>ROUND(D174-E174,1)</x:f>
        <x:v>43.8</x:v>
      </x:c>
      <x:c r="G174" s="23" t="str">
        <x:v>上证指数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635.8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27.6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3581.746</x:v>
      </x:c>
      <x:c r="E180" s="24" t="n">
        <x:v>3550.043</x:v>
      </x:c>
      <x:c r="F180" s="24" t="n">
        <x:f>ROUND(D180-E180,1)</x:f>
        <x:v>31.7</x:v>
      </x:c>
      <x:c r="G180" s="23" t="str">
        <x:v>上证指数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3583.309</x:v>
      </x:c>
      <x:c r="E181" s="24" t="n">
        <x:v>3547.163</x:v>
      </x:c>
      <x:c r="F181" s="24" t="n">
        <x:f>ROUND(D181-E181,1)</x:f>
        <x:v>36.1</x:v>
      </x:c>
      <x:c r="G181" s="23" t="str">
        <x:v>上证指数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3617.598</x:v>
      </x:c>
      <x:c r="E182" s="24" t="n">
        <x:v>3586.969</x:v>
      </x:c>
      <x:c r="F182" s="24" t="n">
        <x:f>ROUND(D182-E182,1)</x:f>
        <x:v>30.6</x:v>
      </x:c>
      <x:c r="G182" s="23" t="str">
        <x:v>上证指数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3634.314</x:v>
      </x:c>
      <x:c r="E183" s="24" t="n">
        <x:v>3613.989</x:v>
      </x:c>
      <x:c r="F183" s="24" t="n">
        <x:f>ROUND(D183-E183,1)</x:f>
        <x:v>20.3</x:v>
      </x:c>
      <x:c r="G183" s="23" t="str">
        <x:v>上证指数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3645.117</x:v>
      </x:c>
      <x:c r="E184" s="24" t="n">
        <x:v>3622.522</x:v>
      </x:c>
      <x:c r="F184" s="24" t="n">
        <x:f>ROUND(D184-E184,1)</x:f>
        <x:v>22.6</x:v>
      </x:c>
      <x:c r="G184" s="23" t="str">
        <x:v>上证指数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3645.367</x:v>
      </x:c>
      <x:c r="E185" s="24" t="n">
        <x:v>3625.451</x:v>
      </x:c>
      <x:c r="F185" s="24" t="n">
        <x:f>ROUND(D185-E185,1)</x:f>
        <x:v>19.9</x:v>
      </x:c>
      <x:c r="G185" s="23" t="str">
        <x:v>上证指数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3656.852</x:v>
      </x:c>
      <x:c r="E186" s="24" t="n">
        <x:v>3629.627</x:v>
      </x:c>
      <x:c r="F186" s="24" t="n">
        <x:f>ROUND(D186-E186,1)</x:f>
        <x:v>27.2</x:v>
      </x:c>
      <x:c r="G186" s="23" t="str">
        <x:v>上证指数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3669.038</x:v>
      </x:c>
      <x:c r="E187" s="24" t="n">
        <x:v>3647.963</x:v>
      </x:c>
      <x:c r="F187" s="24" t="n">
        <x:f>ROUND(D187-E187,1)</x:f>
        <x:v>21.1</x:v>
      </x:c>
      <x:c r="G187" s="23" t="str">
        <x:v>上证指数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3688.628</x:v>
      </x:c>
      <x:c r="E188" s="24" t="n">
        <x:v>3666.547</x:v>
      </x:c>
      <x:c r="F188" s="24" t="n">
        <x:f>ROUND(D188-E188,1)</x:f>
        <x:v>22.1</x:v>
      </x:c>
      <x:c r="G188" s="23" t="str">
        <x:v>上证指数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3704.772</x:v>
      </x:c>
      <x:c r="E189" s="24" t="n">
        <x:v>3662.57</x:v>
      </x:c>
      <x:c r="F189" s="24" t="n">
        <x:f>ROUND(D189-E189,1)</x:f>
        <x:v>42.2</x:v>
      </x:c>
      <x:c r="G189" s="23" t="str">
        <x:v>上证指数</x:v>
      </x:c>
    </x:row>
    <x:row r="190">
      <x:c r="A190" s="29" t="n">
        <x:v>11</x:v>
      </x:c>
      <x:c r="B190" s="29" t="str">
        <x:v>周五</x:v>
      </x:c>
      <x:c r="C190" s="29" t="str">
        <x:v>8月15日</x:v>
      </x:c>
      <x:c r="D190" s="30" t="n">
        <x:v>3702.255</x:v>
      </x:c>
      <x:c r="E190" s="30" t="n">
        <x:v>3658.376</x:v>
      </x:c>
      <x:c r="F190" s="30" t="n">
        <x:f>ROUND(D190-E190,1)</x:f>
        <x:v>43.9</x:v>
      </x:c>
      <x:c r="G190" s="29" t="str">
        <x:v>上证指数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3745.939</x:v>
      </x:c>
      <x:c r="E191" s="24" t="n">
        <x:v>3702.38</x:v>
      </x:c>
      <x:c r="F191" s="24" t="n">
        <x:f>ROUND(D191-E191,1)</x:f>
        <x:v>43.6</x:v>
      </x:c>
      <x:c r="G191" s="23" t="str">
        <x:v>上证指数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3746.669</x:v>
      </x:c>
      <x:c r="E192" s="24" t="n">
        <x:v>3718.147</x:v>
      </x:c>
      <x:c r="F192" s="24" t="n">
        <x:f>ROUND(D192-E192,1)</x:f>
        <x:v>28.5</x:v>
      </x:c>
      <x:c r="G192" s="23" t="str">
        <x:v>上证指数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3767.43</x:v>
      </x:c>
      <x:c r="E193" s="24" t="n">
        <x:v>3704.991</x:v>
      </x:c>
      <x:c r="F193" s="26" t="n">
        <x:f>ROUND(D193-E193,1)</x:f>
        <x:v>62.4</x:v>
      </x:c>
      <x:c r="G193" s="23" t="str">
        <x:v>上证指数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3787.981</x:v>
      </x:c>
      <x:c r="E194" s="24" t="n">
        <x:v>3757.992</x:v>
      </x:c>
      <x:c r="F194" s="24" t="n">
        <x:f>ROUND(D194-E194,1)</x:f>
        <x:v>30</x:v>
      </x:c>
      <x:c r="G194" s="23" t="str">
        <x:v>上证指数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3825.759</x:v>
      </x:c>
      <x:c r="E195" s="24" t="n">
        <x:v>3772.277</x:v>
      </x:c>
      <x:c r="F195" s="26" t="n">
        <x:f>ROUND(D195-E195,1)</x:f>
        <x:v>53.5</x:v>
      </x:c>
      <x:c r="G195" s="23" t="str">
        <x:v>上证指数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3883.562</x:v>
      </x:c>
      <x:c r="E196" s="24" t="n">
        <x:v>3839.972</x:v>
      </x:c>
      <x:c r="F196" s="24" t="n">
        <x:f>ROUND(D196-E196,1)</x:f>
        <x:v>43.6</x:v>
      </x:c>
      <x:c r="G196" s="23" t="str">
        <x:v>上证指数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3888.599</x:v>
      </x:c>
      <x:c r="E197" s="24" t="n">
        <x:v>3859.758</x:v>
      </x:c>
      <x:c r="F197" s="24" t="n">
        <x:f>ROUND(D197-E197,1)</x:f>
        <x:v>28.8</x:v>
      </x:c>
      <x:c r="G197" s="23" t="str">
        <x:v>上证指数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3887.198</x:v>
      </x:c>
      <x:c r="E198" s="24" t="n">
        <x:v>3800.35</x:v>
      </x:c>
      <x:c r="F198" s="26" t="n">
        <x:f>ROUND(D198-E198,1)</x:f>
        <x:v>86.8</x:v>
      </x:c>
      <x:c r="G198" s="23" t="str">
        <x:v>上证指数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3845.087</x:v>
      </x:c>
      <x:c r="E199" s="24" t="n">
        <x:v>3761.422</x:v>
      </x:c>
      <x:c r="F199" s="26" t="n">
        <x:f>ROUND(D199-E199,1)</x:f>
        <x:v>83.7</x:v>
      </x:c>
      <x:c r="G199" s="23" t="str">
        <x:v>上证指数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3867.606</x:v>
      </x:c>
      <x:c r="E200" s="24" t="n">
        <x:v>3839.206</x:v>
      </x:c>
      <x:c r="F200" s="24" t="n">
        <x:f>ROUND(D200-E200,1)</x:f>
        <x:v>28.4</x:v>
      </x:c>
      <x:c r="G200" s="23" t="str">
        <x:v>上证指数</x:v>
      </x:c>
    </x:row>
    <x:row r="201">
      <x:c r="A201" s="33" t="str">
        <x:v>合计</x:v>
      </x:c>
      <x:c r="B201" s="32" t="n">
        <x:v>21</x:v>
      </x:c>
      <x:c r="C201" s="32"/>
      <x:c r="D201" s="32"/>
      <x:c r="E201" s="32"/>
      <x:c r="F201" s="34" t="n">
        <x:f>ROUND(SUM(F180:F200),1)</x:f>
        <x:v>807</x:v>
      </x:c>
      <x:c r="G201" s="32"/>
    </x:row>
    <x:row r="202">
      <x:c r="A202" s="33" t="str">
        <x:v>均值</x:v>
      </x:c>
      <x:c r="B202" s="32"/>
      <x:c r="C202" s="32"/>
      <x:c r="D202" s="32"/>
      <x:c r="E202" s="32"/>
      <x:c r="F202" s="36" t="n">
        <x:f>ROUND(IFERROR(AVERAGE(F180:F200),0),1)</x:f>
        <x:v>38.4</x:v>
      </x:c>
      <x:c r="G202" s="32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高点</x:v>
      </x:c>
      <x:c r="E205" s="20" t="str">
        <x:v>低点</x:v>
      </x:c>
      <x:c r="F205" s="20" t="str">
        <x:v>振幅</x:v>
      </x:c>
      <x:c r="G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3879.045</x:v>
      </x:c>
      <x:c r="E206" s="24" t="n">
        <x:v>3853.658</x:v>
      </x:c>
      <x:c r="F206" s="24" t="n">
        <x:f>ROUND(D206-E206,1)</x:f>
        <x:v>25.4</x:v>
      </x:c>
      <x:c r="G206" s="23" t="str">
        <x:v>上证指数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3885.315</x:v>
      </x:c>
      <x:c r="E207" s="24" t="n">
        <x:v>3828.678</x:v>
      </x:c>
      <x:c r="F207" s="26" t="n">
        <x:f>ROUND(D207-E207,1)</x:f>
        <x:v>56.6</x:v>
      </x:c>
      <x:c r="G207" s="23" t="str">
        <x:v>上证指数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3868.388</x:v>
      </x:c>
      <x:c r="E208" s="24" t="n">
        <x:v>3794.884</x:v>
      </x:c>
      <x:c r="F208" s="26" t="n">
        <x:f>ROUND(D208-E208,1)</x:f>
        <x:v>73.5</x:v>
      </x:c>
      <x:c r="G208" s="23" t="str">
        <x:v>上证指数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3808.396</x:v>
      </x:c>
      <x:c r="E209" s="24" t="n">
        <x:v>3732.84</x:v>
      </x:c>
      <x:c r="F209" s="26" t="n">
        <x:f>ROUND(D209-E209,1)</x:f>
        <x:v>75.6</x:v>
      </x:c>
      <x:c r="G209" s="23" t="str">
        <x:v>上证指数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3817.159</x:v>
      </x:c>
      <x:c r="E210" s="24" t="n">
        <x:v>3745.309</x:v>
      </x:c>
      <x:c r="F210" s="26" t="n">
        <x:f>ROUND(D210-E210,1)</x:f>
        <x:v>71.8</x:v>
      </x:c>
      <x:c r="G210" s="23" t="str">
        <x:v>上证指数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3833.143</x:v>
      </x:c>
      <x:c r="E211" s="24" t="n">
        <x:v>3803.603</x:v>
      </x:c>
      <x:c r="F211" s="24" t="n">
        <x:f>ROUND(D211-E211,1)</x:f>
        <x:v>29.5</x:v>
      </x:c>
      <x:c r="G211" s="23" t="str">
        <x:v>上证指数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3834.671</x:v>
      </x:c>
      <x:c r="E212" s="24" t="n">
        <x:v>3791.724</x:v>
      </x:c>
      <x:c r="F212" s="24" t="n">
        <x:f>ROUND(D212-E212,1)</x:f>
        <x:v>42.9</x:v>
      </x:c>
      <x:c r="G212" s="23" t="str">
        <x:v>上证指数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3826.996</x:v>
      </x:c>
      <x:c r="E213" s="24" t="n">
        <x:v>3794.057</x:v>
      </x:c>
      <x:c r="F213" s="24" t="n">
        <x:f>ROUND(D213-E213,1)</x:f>
        <x:v>32.9</x:v>
      </x:c>
      <x:c r="G213" s="23" t="str">
        <x:v>上证指数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3875.309</x:v>
      </x:c>
      <x:c r="E214" s="24" t="n">
        <x:v>3796.435</x:v>
      </x:c>
      <x:c r="F214" s="26" t="n">
        <x:f>ROUND(D214-E214,1)</x:f>
        <x:v>78.9</x:v>
      </x:c>
      <x:c r="G214" s="23" t="str">
        <x:v>上证指数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3892.738</x:v>
      </x:c>
      <x:c r="E215" s="24" t="n">
        <x:v>3866.539</x:v>
      </x:c>
      <x:c r="F215" s="24" t="n">
        <x:f>ROUND(D215-E215,1)</x:f>
        <x:v>26.2</x:v>
      </x:c>
      <x:c r="G215" s="23" t="str">
        <x:v>上证指数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3879.737</x:v>
      </x:c>
      <x:c r="E216" s="24" t="n">
        <x:v>3855.973</x:v>
      </x:c>
      <x:c r="F216" s="24" t="n">
        <x:f>ROUND(D216-E216,1)</x:f>
        <x:v>23.8</x:v>
      </x:c>
      <x:c r="G216" s="23" t="str">
        <x:v>上证指数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3876.69</x:v>
      </x:c>
      <x:c r="E217" s="24" t="n">
        <x:v>3838.648</x:v>
      </x:c>
      <x:c r="F217" s="24" t="n">
        <x:f>ROUND(D217-E217,1)</x:f>
        <x:v>38</x:v>
      </x:c>
      <x:c r="G217" s="23" t="str">
        <x:v>上证指数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3882.669</x:v>
      </x:c>
      <x:c r="E218" s="24" t="n">
        <x:v>3848.946</x:v>
      </x:c>
      <x:c r="F218" s="24" t="n">
        <x:f>ROUND(D218-E218,1)</x:f>
        <x:v>33.7</x:v>
      </x:c>
      <x:c r="G218" s="23" t="str">
        <x:v>上证指数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3899.959</x:v>
      </x:c>
      <x:c r="E219" s="24" t="n">
        <x:v>3800.995</x:v>
      </x:c>
      <x:c r="F219" s="26" t="n">
        <x:f>ROUND(D219-E219,1)</x:f>
        <x:v>99</x:v>
      </x:c>
      <x:c r="G219" s="23" t="str">
        <x:v>上证指数</x:v>
      </x:c>
    </x:row>
    <x:row r="220">
      <x:c r="A220" s="29" t="n">
        <x:v>15</x:v>
      </x:c>
      <x:c r="B220" s="29" t="str">
        <x:v>周五</x:v>
      </x:c>
      <x:c r="C220" s="29" t="str">
        <x:v>9月19日</x:v>
      </x:c>
      <x:c r="D220" s="30" t="n">
        <x:v>3843.17</x:v>
      </x:c>
      <x:c r="E220" s="30" t="n">
        <x:v>3811.903</x:v>
      </x:c>
      <x:c r="F220" s="30" t="n">
        <x:f>ROUND(D220-E220,1)</x:f>
        <x:v>31.3</x:v>
      </x:c>
      <x:c r="G220" s="29" t="str">
        <x:v>上证指数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3831.74</x:v>
      </x:c>
      <x:c r="E221" s="24" t="n">
        <x:v>3806.202</x:v>
      </x:c>
      <x:c r="F221" s="24" t="n">
        <x:f>ROUND(D221-E221,1)</x:f>
        <x:v>25.5</x:v>
      </x:c>
      <x:c r="G221" s="23" t="str">
        <x:v>上证指数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3838.606</x:v>
      </x:c>
      <x:c r="E222" s="24" t="n">
        <x:v>3774.528</x:v>
      </x:c>
      <x:c r="F222" s="26" t="n">
        <x:f>ROUND(D222-E222,1)</x:f>
        <x:v>64.1</x:v>
      </x:c>
      <x:c r="G222" s="23" t="str">
        <x:v>上证指数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3854.923</x:v>
      </x:c>
      <x:c r="E223" s="24" t="n">
        <x:v>3804.328</x:v>
      </x:c>
      <x:c r="F223" s="26" t="n">
        <x:f>ROUND(D223-E223,1)</x:f>
        <x:v>50.6</x:v>
      </x:c>
      <x:c r="G223" s="23" t="str">
        <x:v>上证指数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3866.106</x:v>
      </x:c>
      <x:c r="E224" s="24" t="n">
        <x:v>3840.459</x:v>
      </x:c>
      <x:c r="F224" s="24" t="n">
        <x:f>ROUND(D224-E224,1)</x:f>
        <x:v>25.6</x:v>
      </x:c>
      <x:c r="G224" s="23" t="str">
        <x:v>上证指数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3856.606</x:v>
      </x:c>
      <x:c r="E225" s="24" t="n">
        <x:v>3828.106</x:v>
      </x:c>
      <x:c r="F225" s="24" t="n">
        <x:f>ROUND(D225-E225,1)</x:f>
        <x:v>28.5</x:v>
      </x:c>
      <x:c r="G225" s="23" t="str">
        <x:v>上证指数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3881.002</x:v>
      </x:c>
      <x:c r="E226" s="24" t="n">
        <x:v>3809.535</x:v>
      </x:c>
      <x:c r="F226" s="26" t="n">
        <x:f>ROUND(D226-E226,1)</x:f>
        <x:v>71.5</x:v>
      </x:c>
      <x:c r="G226" s="23" t="str">
        <x:v>上证指数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3887.57</x:v>
      </x:c>
      <x:c r="E227" s="24" t="n">
        <x:v>3866.281</x:v>
      </x:c>
      <x:c r="F227" s="24" t="n">
        <x:f>ROUND(D227-E227,1)</x:f>
        <x:v>21.3</x:v>
      </x:c>
      <x:c r="G227" s="23" t="str">
        <x:v>上证指数</x:v>
      </x:c>
    </x:row>
    <x:row r="228">
      <x:c r="A228" s="33" t="str">
        <x:v>合计</x:v>
      </x:c>
      <x:c r="B228" s="32" t="n">
        <x:v>22</x:v>
      </x:c>
      <x:c r="C228" s="32"/>
      <x:c r="D228" s="32"/>
      <x:c r="E228" s="32"/>
      <x:c r="F228" s="34" t="n">
        <x:f>ROUND(SUM(F206:F227),1)</x:f>
        <x:v>1026.2</x:v>
      </x:c>
      <x:c r="G228" s="32"/>
    </x:row>
    <x:row r="229">
      <x:c r="A229" s="33" t="str">
        <x:v>均值</x:v>
      </x:c>
      <x:c r="B229" s="32"/>
      <x:c r="C229" s="32"/>
      <x:c r="D229" s="32"/>
      <x:c r="E229" s="32"/>
      <x:c r="F229" s="36" t="n">
        <x:f>ROUND(IFERROR(AVERAGE(F206:F227),0),1)</x:f>
        <x:v>46.6</x:v>
      </x:c>
      <x:c r="G229" s="32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高点</x:v>
      </x:c>
      <x:c r="E232" s="20" t="str">
        <x:v>低点</x:v>
      </x:c>
      <x:c r="F232" s="20" t="str">
        <x:v>振幅</x:v>
      </x:c>
      <x:c r="G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3936.576</x:v>
      </x:c>
      <x:c r="E233" s="24" t="n">
        <x:v>3885.744</x:v>
      </x:c>
      <x:c r="F233" s="26" t="n">
        <x:f>ROUND(D233-E233,1)</x:f>
        <x:v>50.8</x:v>
      </x:c>
      <x:c r="G233" s="23" t="str">
        <x:v>上证指数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3933.005</x:v>
      </x:c>
      <x:c r="E234" s="24" t="n">
        <x:v>3886.305</x:v>
      </x:c>
      <x:c r="F234" s="24" t="n">
        <x:f>ROUND(D234-E234,1)</x:f>
        <x:v>46.7</x:v>
      </x:c>
      <x:c r="G234" s="23" t="str">
        <x:v>上证指数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3895.83</x:v>
      </x:c>
      <x:c r="E235" s="24" t="n">
        <x:v>3800.106</x:v>
      </x:c>
      <x:c r="F235" s="26" t="n">
        <x:f>ROUND(D235-E235,1)</x:f>
        <x:v>95.7</x:v>
      </x:c>
      <x:c r="G235" s="23" t="str">
        <x:v>上证指数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3918.436</x:v>
      </x:c>
      <x:c r="E236" s="24" t="n">
        <x:v>3851.121</x:v>
      </x:c>
      <x:c r="F236" s="26" t="n">
        <x:f>ROUND(D236-E236,1)</x:f>
        <x:v>67.3</x:v>
      </x:c>
      <x:c r="G236" s="23" t="str">
        <x:v>上证指数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3912.291</x:v>
      </x:c>
      <x:c r="E237" s="24" t="n">
        <x:v>3857.667</x:v>
      </x:c>
      <x:c r="F237" s="26" t="n">
        <x:f>ROUND(D237-E237,1)</x:f>
        <x:v>54.6</x:v>
      </x:c>
      <x:c r="G237" s="23" t="str">
        <x:v>上证指数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3931.05</x:v>
      </x:c>
      <x:c r="E238" s="24" t="n">
        <x:v>3899.167</x:v>
      </x:c>
      <x:c r="F238" s="24" t="n">
        <x:f>ROUND(D238-E238,1)</x:f>
        <x:v>31.9</x:v>
      </x:c>
      <x:c r="G238" s="23" t="str">
        <x:v>上证指数</x:v>
      </x:c>
    </x:row>
    <x:row r="239">
      <x:c r="A239" s="29" t="n">
        <x:v>7</x:v>
      </x:c>
      <x:c r="B239" s="29" t="str">
        <x:v>周五</x:v>
      </x:c>
      <x:c r="C239" s="29" t="str">
        <x:v>10月17日</x:v>
      </x:c>
      <x:c r="D239" s="30" t="n">
        <x:v>3921.065</x:v>
      </x:c>
      <x:c r="E239" s="30" t="n">
        <x:v>3835.365</x:v>
      </x:c>
      <x:c r="F239" s="26" t="n">
        <x:f>ROUND(D239-E239,1)</x:f>
        <x:v>85.7</x:v>
      </x:c>
      <x:c r="G239" s="29" t="str">
        <x:v>上证指数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3877.722</x:v>
      </x:c>
      <x:c r="E240" s="24" t="n">
        <x:v>3850.367</x:v>
      </x:c>
      <x:c r="F240" s="24" t="n">
        <x:f>ROUND(D240-E240,1)</x:f>
        <x:v>27.4</x:v>
      </x:c>
      <x:c r="G240" s="23" t="str">
        <x:v>上证指数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3919.318</x:v>
      </x:c>
      <x:c r="E241" s="24" t="n">
        <x:v>3868.145</x:v>
      </x:c>
      <x:c r="F241" s="26" t="n">
        <x:f>ROUND(D241-E241,1)</x:f>
        <x:v>51.2</x:v>
      </x:c>
      <x:c r="G241" s="23" t="str">
        <x:v>上证指数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3918.592</x:v>
      </x:c>
      <x:c r="E242" s="24" t="n">
        <x:v>3893.325</x:v>
      </x:c>
      <x:c r="F242" s="24" t="n">
        <x:f>ROUND(D242-E242,1)</x:f>
        <x:v>25.3</x:v>
      </x:c>
      <x:c r="G242" s="23" t="str">
        <x:v>上证指数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3926.217</x:v>
      </x:c>
      <x:c r="E243" s="24" t="n">
        <x:v>3877.529</x:v>
      </x:c>
      <x:c r="F243" s="24" t="n">
        <x:f>ROUND(D243-E243,1)</x:f>
        <x:v>48.7</x:v>
      </x:c>
      <x:c r="G243" s="23" t="str">
        <x:v>上证指数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3950.312</x:v>
      </x:c>
      <x:c r="E244" s="24" t="n">
        <x:v>3928.96</x:v>
      </x:c>
      <x:c r="F244" s="24" t="n">
        <x:f>ROUND(D244-E244,1)</x:f>
        <x:v>21.4</x:v>
      </x:c>
      <x:c r="G244" s="23" t="str">
        <x:v>上证指数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3999.067</x:v>
      </x:c>
      <x:c r="E245" s="24" t="n">
        <x:v>3963.102</x:v>
      </x:c>
      <x:c r="F245" s="24" t="n">
        <x:f>ROUND(D245-E245,1)</x:f>
        <x:v>36</x:v>
      </x:c>
      <x:c r="G245" s="23" t="str">
        <x:v>上证指数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4010.728</x:v>
      </x:c>
      <x:c r="E246" s="24" t="n">
        <x:v>3976.833</x:v>
      </x:c>
      <x:c r="F246" s="24" t="n">
        <x:f>ROUND(D246-E246,1)</x:f>
        <x:v>33.9</x:v>
      </x:c>
      <x:c r="G246" s="23" t="str">
        <x:v>上证指数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4016.331</x:v>
      </x:c>
      <x:c r="E247" s="24" t="n">
        <x:v>3986.941</x:v>
      </x:c>
      <x:c r="F247" s="24" t="n">
        <x:f>ROUND(D247-E247,1)</x:f>
        <x:v>29.4</x:v>
      </x:c>
      <x:c r="G247" s="23" t="str">
        <x:v>上证指数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4025.705</x:v>
      </x:c>
      <x:c r="E248" s="24" t="n">
        <x:v>3984.828</x:v>
      </x:c>
      <x:c r="F248" s="24" t="n">
        <x:f>ROUND(D248-E248,1)</x:f>
        <x:v>40.9</x:v>
      </x:c>
      <x:c r="G248" s="23" t="str">
        <x:v>上证指数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3986.743</x:v>
      </x:c>
      <x:c r="E249" s="24" t="n">
        <x:v>3951.731</x:v>
      </x:c>
      <x:c r="F249" s="24" t="n">
        <x:f>ROUND(D249-E249,1)</x:f>
        <x:v>35</x:v>
      </x:c>
      <x:c r="G249" s="23" t="str">
        <x:v>上证指数</x:v>
      </x:c>
    </x:row>
    <x:row r="250">
      <x:c r="A250" s="33" t="str">
        <x:v>合计</x:v>
      </x:c>
      <x:c r="B250" s="32" t="n">
        <x:v>17</x:v>
      </x:c>
      <x:c r="C250" s="32"/>
      <x:c r="D250" s="32"/>
      <x:c r="E250" s="32"/>
      <x:c r="F250" s="34" t="n">
        <x:f>ROUND(SUM(F233:F249),1)</x:f>
        <x:v>781.9</x:v>
      </x:c>
      <x:c r="G250" s="32"/>
    </x:row>
    <x:row r="251">
      <x:c r="A251" s="33" t="str">
        <x:v>均值</x:v>
      </x:c>
      <x:c r="B251" s="32"/>
      <x:c r="C251" s="32"/>
      <x:c r="D251" s="32"/>
      <x:c r="E251" s="32"/>
      <x:c r="F251" s="36" t="n">
        <x:f>ROUND(IFERROR(AVERAGE(F233:F249),0),1)</x:f>
        <x:v>46</x:v>
      </x:c>
      <x:c r="G251" s="32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高点</x:v>
      </x:c>
      <x:c r="E254" s="20" t="str">
        <x:v>低点</x:v>
      </x:c>
      <x:c r="F254" s="20" t="str">
        <x:v>振幅</x:v>
      </x:c>
      <x:c r="G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3977.305</x:v>
      </x:c>
      <x:c r="E255" s="24" t="n">
        <x:v>3937.022</x:v>
      </x:c>
      <x:c r="F255" s="24" t="n">
        <x:f>ROUND(D255-E255,1)</x:f>
        <x:v>40.3</x:v>
      </x:c>
      <x:c r="G255" s="23" t="str">
        <x:v>上证指数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3985.882</x:v>
      </x:c>
      <x:c r="E256" s="24" t="n">
        <x:v>3938.52</x:v>
      </x:c>
      <x:c r="F256" s="24" t="n">
        <x:f>ROUND(D256-E256,1)</x:f>
        <x:v>47.4</x:v>
      </x:c>
      <x:c r="G256" s="23" t="str">
        <x:v>上证指数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3979.754</x:v>
      </x:c>
      <x:c r="E257" s="24" t="n">
        <x:v>3922.584</x:v>
      </x:c>
      <x:c r="F257" s="26" t="n">
        <x:f>ROUND(D257-E257,1)</x:f>
        <x:v>57.2</x:v>
      </x:c>
      <x:c r="G257" s="23" t="str">
        <x:v>上证指数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4008.799</x:v>
      </x:c>
      <x:c r="E258" s="24" t="n">
        <x:v>3973.349</x:v>
      </x:c>
      <x:c r="F258" s="24" t="n">
        <x:f>ROUND(D258-E258,1)</x:f>
        <x:v>35.4</x:v>
      </x:c>
      <x:c r="G258" s="23" t="str">
        <x:v>上证指数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4012.005</x:v>
      </x:c>
      <x:c r="E259" s="24" t="n">
        <x:v>3993.691</x:v>
      </x:c>
      <x:c r="F259" s="24" t="n">
        <x:f>ROUND(D259-E259,1)</x:f>
        <x:v>18.3</x:v>
      </x:c>
      <x:c r="G259" s="23" t="str">
        <x:v>上证指数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4018.696</x:v>
      </x:c>
      <x:c r="E260" s="24" t="n">
        <x:v>3990.836</x:v>
      </x:c>
      <x:c r="F260" s="24" t="n">
        <x:f>ROUND(D260-E260,1)</x:f>
        <x:v>27.9</x:v>
      </x:c>
      <x:c r="G260" s="23" t="str">
        <x:v>上证指数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4024.939</x:v>
      </x:c>
      <x:c r="E261" s="24" t="n">
        <x:v>3991.516</x:v>
      </x:c>
      <x:c r="F261" s="24" t="n">
        <x:f>ROUND(D261-E261,1)</x:f>
        <x:v>33.4</x:v>
      </x:c>
      <x:c r="G261" s="23" t="str">
        <x:v>上证指数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4020.378</x:v>
      </x:c>
      <x:c r="E262" s="24" t="n">
        <x:v>3980.676</x:v>
      </x:c>
      <x:c r="F262" s="24" t="n">
        <x:f>ROUND(D262-E262,1)</x:f>
        <x:v>39.7</x:v>
      </x:c>
      <x:c r="G262" s="23" t="str">
        <x:v>上证指数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4030.398</x:v>
      </x:c>
      <x:c r="E263" s="24" t="n">
        <x:v>3994.771</x:v>
      </x:c>
      <x:c r="F263" s="24" t="n">
        <x:f>ROUND(D263-E263,1)</x:f>
        <x:v>35.6</x:v>
      </x:c>
      <x:c r="G263" s="23" t="str">
        <x:v>上证指数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4034.079</x:v>
      </x:c>
      <x:c r="E264" s="24" t="n">
        <x:v>3990.307</x:v>
      </x:c>
      <x:c r="F264" s="24" t="n">
        <x:f>ROUND(D264-E264,1)</x:f>
        <x:v>43.8</x:v>
      </x:c>
      <x:c r="G264" s="23" t="str">
        <x:v>上证指数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3992.404</x:v>
      </x:c>
      <x:c r="E265" s="24" t="n">
        <x:v>3958.948</x:v>
      </x:c>
      <x:c r="F265" s="24" t="n">
        <x:f>ROUND(D265-E265,1)</x:f>
        <x:v>33.5</x:v>
      </x:c>
      <x:c r="G265" s="23" t="str">
        <x:v>上证指数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3966.885</x:v>
      </x:c>
      <x:c r="E266" s="24" t="n">
        <x:v>3926.589</x:v>
      </x:c>
      <x:c r="F266" s="24" t="n">
        <x:f>ROUND(D266-E266,1)</x:f>
        <x:v>40.3</x:v>
      </x:c>
      <x:c r="G266" s="23" t="str">
        <x:v>上证指数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3960.052</x:v>
      </x:c>
      <x:c r="E267" s="24" t="n">
        <x:v>3930.075</x:v>
      </x:c>
      <x:c r="F267" s="24" t="n">
        <x:f>ROUND(D267-E267,1)</x:f>
        <x:v>30</x:v>
      </x:c>
      <x:c r="G267" s="23" t="str">
        <x:v>上证指数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3967.971</x:v>
      </x:c>
      <x:c r="E268" s="24" t="n">
        <x:v>3927.512</x:v>
      </x:c>
      <x:c r="F268" s="24" t="n">
        <x:f>ROUND(D268-E268,1)</x:f>
        <x:v>40.5</x:v>
      </x:c>
      <x:c r="G268" s="23" t="str">
        <x:v>上证指数</x:v>
      </x:c>
    </x:row>
    <x:row r="269">
      <x:c r="A269" s="29" t="n">
        <x:v>15</x:v>
      </x:c>
      <x:c r="B269" s="29" t="str">
        <x:v>周五</x:v>
      </x:c>
      <x:c r="C269" s="29" t="str">
        <x:v>11月21日</x:v>
      </x:c>
      <x:c r="D269" s="30" t="n">
        <x:v>3912.006</x:v>
      </x:c>
      <x:c r="E269" s="30" t="n">
        <x:v>3834.749</x:v>
      </x:c>
      <x:c r="F269" s="26" t="n">
        <x:f>ROUND(D269-E269,1)</x:f>
        <x:v>77.3</x:v>
      </x:c>
      <x:c r="G269" s="29" t="str">
        <x:v>上证指数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3854.331</x:v>
      </x:c>
      <x:c r="E270" s="24" t="n">
        <x:v>3816.576</x:v>
      </x:c>
      <x:c r="F270" s="24" t="n">
        <x:f>ROUND(D270-E270,1)</x:f>
        <x:v>37.8</x:v>
      </x:c>
      <x:c r="G270" s="23" t="str">
        <x:v>上证指数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3882.03</x:v>
      </x:c>
      <x:c r="E271" s="24" t="n">
        <x:v>3845.138</x:v>
      </x:c>
      <x:c r="F271" s="24" t="n">
        <x:f>ROUND(D271-E271,1)</x:f>
        <x:v>36.9</x:v>
      </x:c>
      <x:c r="G271" s="23" t="str">
        <x:v>上证指数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3879.923</x:v>
      </x:c>
      <x:c r="E272" s="24" t="n">
        <x:v>3861.177</x:v>
      </x:c>
      <x:c r="F272" s="24" t="n">
        <x:f>ROUND(D272-E272,1)</x:f>
        <x:v>18.7</x:v>
      </x:c>
      <x:c r="G272" s="23" t="str">
        <x:v>上证指数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3895.589</x:v>
      </x:c>
      <x:c r="E273" s="24" t="n">
        <x:v>3864.131</x:v>
      </x:c>
      <x:c r="F273" s="24" t="n">
        <x:f>ROUND(D273-E273,1)</x:f>
        <x:v>31.5</x:v>
      </x:c>
      <x:c r="G273" s="23" t="str">
        <x:v>上证指数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3888.889</x:v>
      </x:c>
      <x:c r="E274" s="24" t="n">
        <x:v>3856.25</x:v>
      </x:c>
      <x:c r="F274" s="24" t="n">
        <x:f>ROUND(D274-E274,1)</x:f>
        <x:v>32.6</x:v>
      </x:c>
      <x:c r="G274" s="23" t="str">
        <x:v>上证指数</x:v>
      </x:c>
    </x:row>
    <x:row r="275">
      <x:c r="A275" s="33" t="str">
        <x:v>合计</x:v>
      </x:c>
      <x:c r="B275" s="32" t="n">
        <x:v>20</x:v>
      </x:c>
      <x:c r="C275" s="32"/>
      <x:c r="D275" s="32"/>
      <x:c r="E275" s="32"/>
      <x:c r="F275" s="34" t="n">
        <x:f>ROUND(SUM(F255:F274),1)</x:f>
        <x:v>758.1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ROUND(IFERROR(AVERAGE(F255:F274),0),1)</x:f>
        <x:v>37.9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3914.464</x:v>
      </x:c>
      <x:c r="E280" s="24" t="n">
        <x:v>3890.949</x:v>
      </x:c>
      <x:c r="F280" s="24" t="n">
        <x:f>ROUND(D280-E280,1)</x:f>
        <x:v>23.5</x:v>
      </x:c>
      <x:c r="G280" s="23" t="str">
        <x:v>上证指数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3908.769</x:v>
      </x:c>
      <x:c r="E281" s="24" t="n">
        <x:v>3888.328</x:v>
      </x:c>
      <x:c r="F281" s="24" t="n">
        <x:f>ROUND(D281-E281,1)</x:f>
        <x:v>20.4</x:v>
      </x:c>
      <x:c r="G281" s="23" t="str">
        <x:v>上证指数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3901.696</x:v>
      </x:c>
      <x:c r="E282" s="24" t="n">
        <x:v>3869.953</x:v>
      </x:c>
      <x:c r="F282" s="24" t="n">
        <x:f>ROUND(D282-E282,1)</x:f>
        <x:v>31.7</x:v>
      </x:c>
      <x:c r="G282" s="23" t="str">
        <x:v>上证指数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3888.86</x:v>
      </x:c>
      <x:c r="E283" s="24" t="n">
        <x:v>3859.049</x:v>
      </x:c>
      <x:c r="F283" s="24" t="n">
        <x:f>ROUND(D283-E283,1)</x:f>
        <x:v>29.8</x:v>
      </x:c>
      <x:c r="G283" s="23" t="str">
        <x:v>上证指数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3907.782</x:v>
      </x:c>
      <x:c r="E284" s="24" t="n">
        <x:v>3863.314</x:v>
      </x:c>
      <x:c r="F284" s="24" t="n">
        <x:f>ROUND(D284-E284,1)</x:f>
        <x:v>44.5</x:v>
      </x:c>
      <x:c r="G284" s="23" t="str">
        <x:v>上证指数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3936.311</x:v>
      </x:c>
      <x:c r="E285" s="24" t="n">
        <x:v>3904.738</x:v>
      </x:c>
      <x:c r="F285" s="24" t="n">
        <x:f>ROUND(D285-E285,1)</x:f>
        <x:v>31.6</x:v>
      </x:c>
      <x:c r="G285" s="23" t="str">
        <x:v>上证指数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3923.899</x:v>
      </x:c>
      <x:c r="E286" s="24" t="n">
        <x:v>3902.128</x:v>
      </x:c>
      <x:c r="F286" s="24" t="n">
        <x:f>ROUND(D286-E286,1)</x:f>
        <x:v>21.8</x:v>
      </x:c>
      <x:c r="G286" s="23" t="str">
        <x:v>上证指数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3906.116</x:v>
      </x:c>
      <x:c r="E287" s="24" t="n">
        <x:v>3876.475</x:v>
      </x:c>
      <x:c r="F287" s="24" t="n">
        <x:f>ROUND(D287-E287,1)</x:f>
        <x:v>29.6</x:v>
      </x:c>
      <x:c r="G287" s="23" t="str">
        <x:v>上证指数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3904.963</x:v>
      </x:c>
      <x:c r="E288" s="24" t="n">
        <x:v>3862.821</x:v>
      </x:c>
      <x:c r="F288" s="24" t="n">
        <x:f>ROUND(D288-E288,1)</x:f>
        <x:v>42.1</x:v>
      </x:c>
      <x:c r="G288" s="23" t="str">
        <x:v>上证指数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3891.807</x:v>
      </x:c>
      <x:c r="E289" s="24" t="n">
        <x:v>3850.597</x:v>
      </x:c>
      <x:c r="F289" s="24" t="n">
        <x:f>ROUND(D289-E289,1)</x:f>
        <x:v>41.2</x:v>
      </x:c>
      <x:c r="G289" s="23" t="str">
        <x:v>上证指数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3896.977</x:v>
      </x:c>
      <x:c r="E290" s="24" t="n">
        <x:v>3863.63</x:v>
      </x:c>
      <x:c r="F290" s="24" t="n">
        <x:f>ROUND(D290-E290,1)</x:f>
        <x:v>33.3</x:v>
      </x:c>
      <x:c r="G290" s="23" t="str">
        <x:v>上证指数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3862.427</x:v>
      </x:c>
      <x:c r="E291" s="24" t="n">
        <x:v>3815.844</x:v>
      </x:c>
      <x:c r="F291" s="24" t="n">
        <x:f>ROUND(D291-E291,1)</x:f>
        <x:v>46.6</x:v>
      </x:c>
      <x:c r="G291" s="23" t="str">
        <x:v>上证指数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3881.752</x:v>
      </x:c>
      <x:c r="E292" s="24" t="n">
        <x:v>3817.996</x:v>
      </x:c>
      <x:c r="F292" s="26" t="n">
        <x:f>ROUND(D292-E292,1)</x:f>
        <x:v>63.8</x:v>
      </x:c>
      <x:c r="G292" s="23" t="str">
        <x:v>上证指数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3888.285</x:v>
      </x:c>
      <x:c r="E293" s="24" t="n">
        <x:v>3856.423</x:v>
      </x:c>
      <x:c r="F293" s="24" t="n">
        <x:f>ROUND(D293-E293,1)</x:f>
        <x:v>31.9</x:v>
      </x:c>
      <x:c r="G293" s="23" t="str">
        <x:v>上证指数</x:v>
      </x:c>
    </x:row>
    <x:row r="294">
      <x:c r="A294" s="29" t="n">
        <x:v>15</x:v>
      </x:c>
      <x:c r="B294" s="29" t="str">
        <x:v>周五</x:v>
      </x:c>
      <x:c r="C294" s="29" t="str">
        <x:v>12月19日</x:v>
      </x:c>
      <x:c r="D294" s="30" t="n">
        <x:v>3902.671</x:v>
      </x:c>
      <x:c r="E294" s="30" t="n">
        <x:v>3871.777</x:v>
      </x:c>
      <x:c r="F294" s="30" t="n">
        <x:f>ROUND(D294-E294,1)</x:f>
        <x:v>30.9</x:v>
      </x:c>
      <x:c r="G294" s="29" t="str">
        <x:v>上证指数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3920.012</x:v>
      </x:c>
      <x:c r="E295" s="24" t="n">
        <x:v>3900.515</x:v>
      </x:c>
      <x:c r="F295" s="24" t="n">
        <x:f>ROUND(D295-E295,1)</x:f>
        <x:v>19.5</x:v>
      </x:c>
      <x:c r="G295" s="23" t="str">
        <x:v>上证指数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3937.127</x:v>
      </x:c>
      <x:c r="E296" s="24" t="n">
        <x:v>3910.745</x:v>
      </x:c>
      <x:c r="F296" s="24" t="n">
        <x:f>ROUND(D296-E296,1)</x:f>
        <x:v>26.4</x:v>
      </x:c>
      <x:c r="G296" s="23" t="str">
        <x:v>上证指数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3947.041</x:v>
      </x:c>
      <x:c r="E297" s="24" t="n">
        <x:v>3912.311</x:v>
      </x:c>
      <x:c r="F297" s="24" t="n">
        <x:f>ROUND(D297-E297,1)</x:f>
        <x:v>34.7</x:v>
      </x:c>
      <x:c r="G297" s="23" t="str">
        <x:v>上证指数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3964.073</x:v>
      </x:c>
      <x:c r="E298" s="24" t="n">
        <x:v>3936.078</x:v>
      </x:c>
      <x:c r="F298" s="24" t="n">
        <x:f>ROUND(D298-E298,1)</x:f>
        <x:v>28</x:v>
      </x:c>
      <x:c r="G298" s="23" t="str">
        <x:v>上证指数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3977.706</x:v>
      </x:c>
      <x:c r="E299" s="24" t="n">
        <x:v>3945.524</x:v>
      </x:c>
      <x:c r="F299" s="24" t="n">
        <x:f>ROUND(D299-E299,1)</x:f>
        <x:v>32.2</x:v>
      </x:c>
      <x:c r="G299" s="23" t="str">
        <x:v>上证指数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3983.979</x:v>
      </x:c>
      <x:c r="E300" s="24" t="n">
        <x:v>3956.946</x:v>
      </x:c>
      <x:c r="F300" s="24" t="n">
        <x:f>ROUND(D300-E300,1)</x:f>
        <x:v>27</x:v>
      </x:c>
      <x:c r="G300" s="23" t="str">
        <x:v>上证指数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3979.99</x:v>
      </x:c>
      <x:c r="E301" s="24" t="n">
        <x:v>3947.419</x:v>
      </x:c>
      <x:c r="F301" s="24" t="n">
        <x:f>ROUND(D301-E301,1)</x:f>
        <x:v>32.6</x:v>
      </x:c>
      <x:c r="G301" s="23" t="str">
        <x:v>上证指数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3977.536</x:v>
      </x:c>
      <x:c r="E302" s="24" t="n">
        <x:v>3955.487</x:v>
      </x:c>
      <x:c r="F302" s="24" t="n">
        <x:f>ROUND(D302-E302,1)</x:f>
        <x:v>22</x:v>
      </x:c>
      <x:c r="G302" s="23" t="str">
        <x:v>上证指数</x:v>
      </x:c>
    </x:row>
    <x:row r="303">
      <x:c r="A303" s="33" t="str">
        <x:v>合计</x:v>
      </x:c>
      <x:c r="B303" s="32" t="n">
        <x:v>23</x:v>
      </x:c>
      <x:c r="C303" s="32"/>
      <x:c r="D303" s="32"/>
      <x:c r="E303" s="32"/>
      <x:c r="F303" s="34" t="n">
        <x:f>ROUND(SUM(F280:F302),1)</x:f>
        <x:v>745.1</x:v>
      </x:c>
      <x:c r="G303" s="32"/>
    </x:row>
    <x:row r="304">
      <x:c r="A304" s="33" t="str">
        <x:v>均值</x:v>
      </x:c>
      <x:c r="B304" s="32"/>
      <x:c r="C304" s="32"/>
      <x:c r="D304" s="32"/>
      <x:c r="E304" s="32"/>
      <x:c r="F304" s="36" t="n">
        <x:f>ROUND(IFERROR(AVERAGE(F280:F302),0),1)</x:f>
        <x:v>32.4</x:v>
      </x:c>
      <x:c r="G304" s="32"/>
    </x:row>
  </x:sheetData>
  <x:mergeCells>
    <x:mergeCell ref="A1:G1"/>
    <x:mergeCell ref="A3:G3"/>
    <x:mergeCell ref="A26:G26"/>
    <x:mergeCell ref="A49:G49"/>
    <x:mergeCell ref="A75:G75"/>
    <x:mergeCell ref="A101:G101"/>
    <x:mergeCell ref="A125:G125"/>
    <x:mergeCell ref="A150:G150"/>
    <x:mergeCell ref="A178:G178"/>
    <x:mergeCell ref="A204:G204"/>
    <x:mergeCell ref="A231:G231"/>
    <x:mergeCell ref="A253:G253"/>
    <x:mergeCell ref="A278:G27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2025年统计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5887.8</x:v>
      </x:c>
      <x:c r="E5" s="24" t="n">
        <x:v>5638</x:v>
      </x:c>
      <x:c r="F5" s="26" t="n">
        <x:f>ROUND(D5-E5,1)</x:f>
        <x:v>249.8</x:v>
      </x:c>
      <x:c r="G5" s="23" t="str">
        <x:v>IM2503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5727</x:v>
      </x:c>
      <x:c r="E6" s="24" t="n">
        <x:v>5529</x:v>
      </x:c>
      <x:c r="F6" s="26" t="n">
        <x:f>ROUND(D6-E6,1)</x:f>
        <x:v>198</x:v>
      </x:c>
      <x:c r="G6" s="23" t="str">
        <x:v>IM2503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5606.8</x:v>
      </x:c>
      <x:c r="E7" s="24" t="n">
        <x:v>5490.8</x:v>
      </x:c>
      <x:c r="F7" s="24" t="n">
        <x:f>ROUND(D7-E7,1)</x:f>
        <x:v>116</x:v>
      </x:c>
      <x:c r="G7" s="23" t="str">
        <x:v>IM2503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5608.6</x:v>
      </x:c>
      <x:c r="E8" s="24" t="n">
        <x:v>5496.2</x:v>
      </x:c>
      <x:c r="F8" s="24" t="n">
        <x:f>ROUND(D8-E8,1)</x:f>
        <x:v>112.4</x:v>
      </x:c>
      <x:c r="G8" s="23" t="str">
        <x:v>IM2503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5622</x:v>
      </x:c>
      <x:c r="E9" s="24" t="n">
        <x:v>5402.6</x:v>
      </x:c>
      <x:c r="F9" s="26" t="n">
        <x:f>ROUND(D9-E9,1)</x:f>
        <x:v>219.4</x:v>
      </x:c>
      <x:c r="G9" s="23" t="str">
        <x:v>IM2503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5615</x:v>
      </x:c>
      <x:c r="E10" s="24" t="n">
        <x:v>5539.2</x:v>
      </x:c>
      <x:c r="F10" s="24" t="n">
        <x:f>ROUND(D10-E10,1)</x:f>
        <x:v>75.8</x:v>
      </x:c>
      <x:c r="G10" s="23" t="str">
        <x:v>IM2503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5630</x:v>
      </x:c>
      <x:c r="E11" s="24" t="n">
        <x:v>5452</x:v>
      </x:c>
      <x:c r="F11" s="24" t="n">
        <x:f>ROUND(D11-E11,1)</x:f>
        <x:v>178</x:v>
      </x:c>
      <x:c r="G11" s="23" t="str">
        <x:v>IM2503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5525</x:v>
      </x:c>
      <x:c r="E12" s="24" t="n">
        <x:v>5381</x:v>
      </x:c>
      <x:c r="F12" s="24" t="n">
        <x:f>ROUND(D12-E12,1)</x:f>
        <x:v>144</x:v>
      </x:c>
      <x:c r="G12" s="23" t="str">
        <x:v>IM2503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5752</x:v>
      </x:c>
      <x:c r="E13" s="24" t="n">
        <x:v>5477</x:v>
      </x:c>
      <x:c r="F13" s="26" t="n">
        <x:f>ROUND(D13-E13,1)</x:f>
        <x:v>275</x:v>
      </x:c>
      <x:c r="G13" s="23" t="str">
        <x:v>IM2503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5745</x:v>
      </x:c>
      <x:c r="E14" s="24" t="n">
        <x:v>5673.6</x:v>
      </x:c>
      <x:c r="F14" s="24" t="n">
        <x:f>ROUND(D14-E14,1)</x:f>
        <x:v>71.4</x:v>
      </x:c>
      <x:c r="G14" s="23" t="str">
        <x:v>IM2503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5852.6</x:v>
      </x:c>
      <x:c r="E15" s="24" t="n">
        <x:v>5677</x:v>
      </x:c>
      <x:c r="F15" s="24" t="n">
        <x:f>ROUND(D15-E15,1)</x:f>
        <x:v>175.6</x:v>
      </x:c>
      <x:c r="G15" s="23" t="str">
        <x:v>IM2503</x:v>
      </x:c>
    </x:row>
    <x:row r="16">
      <x:c r="A16" s="29" t="n">
        <x:v>12</x:v>
      </x:c>
      <x:c r="B16" s="29" t="str">
        <x:v>周五</x:v>
      </x:c>
      <x:c r="C16" s="29" t="str">
        <x:v>1月17日</x:v>
      </x:c>
      <x:c r="D16" s="30" t="n">
        <x:v>5832</x:v>
      </x:c>
      <x:c r="E16" s="30" t="n">
        <x:v>5686</x:v>
      </x:c>
      <x:c r="F16" s="30" t="n">
        <x:f>ROUND(D16-E16,1)</x:f>
        <x:v>146</x:v>
      </x:c>
      <x:c r="G16" s="29" t="str">
        <x:v>IM2503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5885</x:v>
      </x:c>
      <x:c r="E17" s="24" t="n">
        <x:v>5797.4</x:v>
      </x:c>
      <x:c r="F17" s="24" t="n">
        <x:f>ROUND(D17-E17,1)</x:f>
        <x:v>87.6</x:v>
      </x:c>
      <x:c r="G17" s="23" t="str">
        <x:v>IM2503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5872.8</x:v>
      </x:c>
      <x:c r="E18" s="24" t="n">
        <x:v>5766</x:v>
      </x:c>
      <x:c r="F18" s="24" t="n">
        <x:f>ROUND(D18-E18,1)</x:f>
        <x:v>106.8</x:v>
      </x:c>
      <x:c r="G18" s="23" t="str">
        <x:v>IM2503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5829</x:v>
      </x:c>
      <x:c r="E19" s="24" t="n">
        <x:v>5751</x:v>
      </x:c>
      <x:c r="F19" s="24" t="n">
        <x:f>ROUND(D19-E19,1)</x:f>
        <x:v>78</x:v>
      </x:c>
      <x:c r="G19" s="23" t="str">
        <x:v>IM2503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5961.8</x:v>
      </x:c>
      <x:c r="E20" s="24" t="n">
        <x:v>5775</x:v>
      </x:c>
      <x:c r="F20" s="24" t="n">
        <x:f>ROUND(D20-E20,1)</x:f>
        <x:v>186.8</x:v>
      </x:c>
      <x:c r="G20" s="23" t="str">
        <x:v>IM2503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5926.4</x:v>
      </x:c>
      <x:c r="E21" s="24" t="n">
        <x:v>5776.8</x:v>
      </x:c>
      <x:c r="F21" s="24" t="n">
        <x:f>ROUND(D21-E21,1)</x:f>
        <x:v>149.6</x:v>
      </x:c>
      <x:c r="G21" s="23" t="str">
        <x:v>IM2503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5954</x:v>
      </x:c>
      <x:c r="E22" s="24" t="n">
        <x:v>5786</x:v>
      </x:c>
      <x:c r="F22" s="24" t="n">
        <x:f>ROUND(D22-E22,1)</x:f>
        <x:v>168</x:v>
      </x:c>
      <x:c r="G22" s="23" t="str">
        <x:v>IM2503</x:v>
      </x:c>
    </x:row>
    <x:row r="23">
      <x:c r="A23" s="33" t="str">
        <x:v>合计</x:v>
      </x:c>
      <x:c r="B23" s="32" t="n">
        <x:v>18</x:v>
      </x:c>
      <x:c r="C23" s="32"/>
      <x:c r="D23" s="32"/>
      <x:c r="E23" s="32"/>
      <x:c r="F23" s="34" t="n">
        <x:f>ROUND(SUM(F5:F22),1)</x:f>
        <x:v>2738.2</x:v>
      </x:c>
      <x:c r="G23" s="32"/>
    </x:row>
    <x:row r="24">
      <x:c r="A24" s="33" t="str">
        <x:v>均值</x:v>
      </x:c>
      <x:c r="B24" s="32"/>
      <x:c r="C24" s="32"/>
      <x:c r="D24" s="32"/>
      <x:c r="E24" s="32"/>
      <x:c r="F24" s="36" t="n">
        <x:f>ROUND(IFERROR(AVERAGE(F5:F22),0),1)</x:f>
        <x:v>152.1</x:v>
      </x:c>
      <x:c r="G24" s="32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高点</x:v>
      </x:c>
      <x:c r="E27" s="20" t="str">
        <x:v>低点</x:v>
      </x:c>
      <x:c r="F27" s="20" t="str">
        <x:v>振幅</x:v>
      </x:c>
      <x:c r="G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5904</x:v>
      </x:c>
      <x:c r="E28" s="24" t="n">
        <x:v>5796</x:v>
      </x:c>
      <x:c r="F28" s="24" t="n">
        <x:f>ROUND(D28-E28,1)</x:f>
        <x:v>108</x:v>
      </x:c>
      <x:c r="G28" s="23" t="str">
        <x:v>IM2503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6012</x:v>
      </x:c>
      <x:c r="E29" s="24" t="n">
        <x:v>5797</x:v>
      </x:c>
      <x:c r="F29" s="26" t="n">
        <x:f>ROUND(D29-E29,1)</x:f>
        <x:v>215</x:v>
      </x:c>
      <x:c r="G29" s="23" t="str">
        <x:v>IM2503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6176</x:v>
      </x:c>
      <x:c r="E30" s="24" t="n">
        <x:v>5988</x:v>
      </x:c>
      <x:c r="F30" s="24" t="n">
        <x:f>ROUND(D30-E30,1)</x:f>
        <x:v>188</x:v>
      </x:c>
      <x:c r="G30" s="23" t="str">
        <x:v>IM2503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6169.8</x:v>
      </x:c>
      <x:c r="E31" s="24" t="n">
        <x:v>6083</x:v>
      </x:c>
      <x:c r="F31" s="24" t="n">
        <x:f>ROUND(D31-E31,1)</x:f>
        <x:v>86.8</x:v>
      </x:c>
      <x:c r="G31" s="23" t="str">
        <x:v>IM2503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6156</x:v>
      </x:c>
      <x:c r="E32" s="24" t="n">
        <x:v>6077</x:v>
      </x:c>
      <x:c r="F32" s="24" t="n">
        <x:f>ROUND(D32-E32,1)</x:f>
        <x:v>79</x:v>
      </x:c>
      <x:c r="G32" s="23" t="str">
        <x:v>IM2503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6227.8</x:v>
      </x:c>
      <x:c r="E33" s="24" t="n">
        <x:v>6119.4</x:v>
      </x:c>
      <x:c r="F33" s="24" t="n">
        <x:f>ROUND(D33-E33,1)</x:f>
        <x:v>108.4</x:v>
      </x:c>
      <x:c r="G33" s="23" t="str">
        <x:v>IM2503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6226</x:v>
      </x:c>
      <x:c r="E34" s="24" t="n">
        <x:v>6155</x:v>
      </x:c>
      <x:c r="F34" s="24" t="n">
        <x:f>ROUND(D34-E34,1)</x:f>
        <x:v>71</x:v>
      </x:c>
      <x:c r="G34" s="23" t="str">
        <x:v>IM2503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6219.8</x:v>
      </x:c>
      <x:c r="E35" s="24" t="n">
        <x:v>6132</x:v>
      </x:c>
      <x:c r="F35" s="24" t="n">
        <x:f>ROUND(D35-E35,1)</x:f>
        <x:v>87.8</x:v>
      </x:c>
      <x:c r="G35" s="23" t="str">
        <x:v>IM2503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6259.8</x:v>
      </x:c>
      <x:c r="E36" s="24" t="n">
        <x:v>6168.4</x:v>
      </x:c>
      <x:c r="F36" s="24" t="n">
        <x:f>ROUND(D36-E36,1)</x:f>
        <x:v>91.4</x:v>
      </x:c>
      <x:c r="G36" s="23" t="str">
        <x:v>IM2503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6236</x:v>
      </x:c>
      <x:c r="E37" s="24" t="n">
        <x:v>6065.6</x:v>
      </x:c>
      <x:c r="F37" s="24" t="n">
        <x:f>ROUND(D37-E37,1)</x:f>
        <x:v>170.4</x:v>
      </x:c>
      <x:c r="G37" s="23" t="str">
        <x:v>IM2503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6247.8</x:v>
      </x:c>
      <x:c r="E38" s="24" t="n">
        <x:v>6099.6</x:v>
      </x:c>
      <x:c r="F38" s="24" t="n">
        <x:f>ROUND(D38-E38,1)</x:f>
        <x:v>148.2</x:v>
      </x:c>
      <x:c r="G38" s="23" t="str">
        <x:v>IM2503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6291.8</x:v>
      </x:c>
      <x:c r="E39" s="24" t="n">
        <x:v>6206</x:v>
      </x:c>
      <x:c r="F39" s="24" t="n">
        <x:f>ROUND(D39-E39,1)</x:f>
        <x:v>85.8</x:v>
      </x:c>
      <x:c r="G39" s="23" t="str">
        <x:v>IM2503</x:v>
      </x:c>
    </x:row>
    <x:row r="40">
      <x:c r="A40" s="29" t="n">
        <x:v>13</x:v>
      </x:c>
      <x:c r="B40" s="29" t="str">
        <x:v>周五</x:v>
      </x:c>
      <x:c r="C40" s="29" t="str">
        <x:v>2月21日</x:v>
      </x:c>
      <x:c r="D40" s="30" t="n">
        <x:v>6423</x:v>
      </x:c>
      <x:c r="E40" s="30" t="n">
        <x:v>6246</x:v>
      </x:c>
      <x:c r="F40" s="30" t="n">
        <x:f>ROUND(D40-E40,1)</x:f>
        <x:v>177</x:v>
      </x:c>
      <x:c r="G40" s="29" t="str">
        <x:v>IM2503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6409.8</x:v>
      </x:c>
      <x:c r="E41" s="24" t="n">
        <x:v>6327.8</x:v>
      </x:c>
      <x:c r="F41" s="24" t="n">
        <x:f>ROUND(D41-E41,1)</x:f>
        <x:v>82</x:v>
      </x:c>
      <x:c r="G41" s="23" t="str">
        <x:v>IM2503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6405.2</x:v>
      </x:c>
      <x:c r="E42" s="24" t="n">
        <x:v>6292</x:v>
      </x:c>
      <x:c r="F42" s="24" t="n">
        <x:f>ROUND(D42-E42,1)</x:f>
        <x:v>113.2</x:v>
      </x:c>
      <x:c r="G42" s="23" t="str">
        <x:v>IM2503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6465</x:v>
      </x:c>
      <x:c r="E43" s="24" t="n">
        <x:v>6322.2</x:v>
      </x:c>
      <x:c r="F43" s="24" t="n">
        <x:f>ROUND(D43-E43,1)</x:f>
        <x:v>142.8</x:v>
      </x:c>
      <x:c r="G43" s="23" t="str">
        <x:v>IM2503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6453.6</x:v>
      </x:c>
      <x:c r="E44" s="24" t="n">
        <x:v>6324.6</x:v>
      </x:c>
      <x:c r="F44" s="24" t="n">
        <x:f>ROUND(D44-E44,1)</x:f>
        <x:v>129</x:v>
      </x:c>
      <x:c r="G44" s="23" t="str">
        <x:v>IM2503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6397</x:v>
      </x:c>
      <x:c r="E45" s="24" t="n">
        <x:v>6208</x:v>
      </x:c>
      <x:c r="F45" s="24" t="n">
        <x:f>ROUND(D45-E45,1)</x:f>
        <x:v>189</x:v>
      </x:c>
      <x:c r="G45" s="23" t="str">
        <x:v>IM2503</x:v>
      </x:c>
    </x:row>
    <x:row r="46">
      <x:c r="A46" s="33" t="str">
        <x:v>合计</x:v>
      </x:c>
      <x:c r="B46" s="32" t="n">
        <x:v>18</x:v>
      </x:c>
      <x:c r="C46" s="32"/>
      <x:c r="D46" s="32"/>
      <x:c r="E46" s="32"/>
      <x:c r="F46" s="34" t="n">
        <x:f>ROUND(SUM(F28:F45),1)</x:f>
        <x:v>2272.8</x:v>
      </x:c>
      <x:c r="G46" s="32"/>
    </x:row>
    <x:row r="47">
      <x:c r="A47" s="33" t="str">
        <x:v>均值</x:v>
      </x:c>
      <x:c r="B47" s="32"/>
      <x:c r="C47" s="32"/>
      <x:c r="D47" s="32"/>
      <x:c r="E47" s="32"/>
      <x:c r="F47" s="36" t="n">
        <x:f>ROUND(IFERROR(AVERAGE(F28:F45),0),1)</x:f>
        <x:v>126.3</x:v>
      </x:c>
      <x:c r="G47" s="32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高点</x:v>
      </x:c>
      <x:c r="E50" s="20" t="str">
        <x:v>低点</x:v>
      </x:c>
      <x:c r="F50" s="20" t="str">
        <x:v>振幅</x:v>
      </x:c>
      <x:c r="G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6324.6</x:v>
      </x:c>
      <x:c r="E51" s="24" t="n">
        <x:v>6196.4</x:v>
      </x:c>
      <x:c r="F51" s="24" t="n">
        <x:f>ROUND(D51-E51,1)</x:f>
        <x:v>128.2</x:v>
      </x:c>
      <x:c r="G51" s="23" t="str">
        <x:v>IM2503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6306</x:v>
      </x:c>
      <x:c r="E52" s="24" t="n">
        <x:v>6169</x:v>
      </x:c>
      <x:c r="F52" s="24" t="n">
        <x:f>ROUND(D52-E52,1)</x:f>
        <x:v>137</x:v>
      </x:c>
      <x:c r="G52" s="23" t="str">
        <x:v>IM2503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6329.8</x:v>
      </x:c>
      <x:c r="E53" s="24" t="n">
        <x:v>6233.2</x:v>
      </x:c>
      <x:c r="F53" s="24" t="n">
        <x:f>ROUND(D53-E53,1)</x:f>
        <x:v>96.6</x:v>
      </x:c>
      <x:c r="G53" s="23" t="str">
        <x:v>IM2503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6504.4</x:v>
      </x:c>
      <x:c r="E54" s="24" t="n">
        <x:v>6352.2</x:v>
      </x:c>
      <x:c r="F54" s="24" t="n">
        <x:f>ROUND(D54-E54,1)</x:f>
        <x:v>152.2</x:v>
      </x:c>
      <x:c r="G54" s="23" t="str">
        <x:v>IM2503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6500</x:v>
      </x:c>
      <x:c r="E55" s="24" t="n">
        <x:v>6417.8</x:v>
      </x:c>
      <x:c r="F55" s="24" t="n">
        <x:f>ROUND(D55-E55,1)</x:f>
        <x:v>82.2</x:v>
      </x:c>
      <x:c r="G55" s="23" t="str">
        <x:v>IM2503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6476.2</x:v>
      </x:c>
      <x:c r="E56" s="24" t="n">
        <x:v>6373.6</x:v>
      </x:c>
      <x:c r="F56" s="24" t="n">
        <x:f>ROUND(D56-E56,1)</x:f>
        <x:v>102.6</x:v>
      </x:c>
      <x:c r="G56" s="23" t="str">
        <x:v>IM2503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6491</x:v>
      </x:c>
      <x:c r="E57" s="24" t="n">
        <x:v>6365</x:v>
      </x:c>
      <x:c r="F57" s="24" t="n">
        <x:f>ROUND(D57-E57,1)</x:f>
        <x:v>126</x:v>
      </x:c>
      <x:c r="G57" s="23" t="str">
        <x:v>IM2503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6587</x:v>
      </x:c>
      <x:c r="E58" s="24" t="n">
        <x:v>6482.2</x:v>
      </x:c>
      <x:c r="F58" s="24" t="n">
        <x:f>ROUND(D58-E58,1)</x:f>
        <x:v>104.8</x:v>
      </x:c>
      <x:c r="G58" s="23" t="str">
        <x:v>IM2503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6520.6</x:v>
      </x:c>
      <x:c r="E59" s="24" t="n">
        <x:v>6360.2</x:v>
      </x:c>
      <x:c r="F59" s="24" t="n">
        <x:f>ROUND(D59-E59,1)</x:f>
        <x:v>160.4</x:v>
      </x:c>
      <x:c r="G59" s="23" t="str">
        <x:v>IM2503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6568</x:v>
      </x:c>
      <x:c r="E60" s="24" t="n">
        <x:v>6389.2</x:v>
      </x:c>
      <x:c r="F60" s="24" t="n">
        <x:f>ROUND(D60-E60,1)</x:f>
        <x:v>178.8</x:v>
      </x:c>
      <x:c r="G60" s="23" t="str">
        <x:v>IM2503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6573</x:v>
      </x:c>
      <x:c r="E61" s="24" t="n">
        <x:v>6523.2</x:v>
      </x:c>
      <x:c r="F61" s="24" t="n">
        <x:f>ROUND(D61-E61,1)</x:f>
        <x:v>49.8</x:v>
      </x:c>
      <x:c r="G61" s="23" t="str">
        <x:v>IM2503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6634.4</x:v>
      </x:c>
      <x:c r="E62" s="24" t="n">
        <x:v>6555.6</x:v>
      </x:c>
      <x:c r="F62" s="24" t="n">
        <x:f>ROUND(D62-E62,1)</x:f>
        <x:v>78.8</x:v>
      </x:c>
      <x:c r="G62" s="23" t="str">
        <x:v>IM2503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6584</x:v>
      </x:c>
      <x:c r="E63" s="24" t="n">
        <x:v>6506</x:v>
      </x:c>
      <x:c r="F63" s="24" t="n">
        <x:f>ROUND(D63-E63,1)</x:f>
        <x:v>78</x:v>
      </x:c>
      <x:c r="G63" s="23" t="str">
        <x:v>IM2503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6582.8</x:v>
      </x:c>
      <x:c r="E64" s="24" t="n">
        <x:v>6493.8</x:v>
      </x:c>
      <x:c r="F64" s="24" t="n">
        <x:f>ROUND(D64-E64,1)</x:f>
        <x:v>89</x:v>
      </x:c>
      <x:c r="G64" s="23" t="str">
        <x:v>IM2503</x:v>
      </x:c>
    </x:row>
    <x:row r="65">
      <x:c r="A65" s="29" t="n">
        <x:v>15</x:v>
      </x:c>
      <x:c r="B65" s="29" t="str">
        <x:v>周五</x:v>
      </x:c>
      <x:c r="C65" s="29" t="str">
        <x:v>3月21日</x:v>
      </x:c>
      <x:c r="D65" s="30" t="n">
        <x:v>6530.4</x:v>
      </x:c>
      <x:c r="E65" s="30" t="n">
        <x:v>6402.2</x:v>
      </x:c>
      <x:c r="F65" s="30" t="n">
        <x:f>ROUND(D65-E65,1)</x:f>
        <x:v>128.2</x:v>
      </x:c>
      <x:c r="G65" s="29" t="str">
        <x:v>IM2503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6189.4</x:v>
      </x:c>
      <x:c r="E66" s="24" t="n">
        <x:v>6063</x:v>
      </x:c>
      <x:c r="F66" s="24" t="n">
        <x:f>ROUND(D66-E66,1)</x:f>
        <x:v>126.4</x:v>
      </x:c>
      <x:c r="G66" s="23" t="str">
        <x:v>IM2506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6167</x:v>
      </x:c>
      <x:c r="E67" s="24" t="n">
        <x:v>6069.2</x:v>
      </x:c>
      <x:c r="F67" s="24" t="n">
        <x:f>ROUND(D67-E67,1)</x:f>
        <x:v>97.8</x:v>
      </x:c>
      <x:c r="G67" s="23" t="str">
        <x:v>IM2506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6185</x:v>
      </x:c>
      <x:c r="E68" s="24" t="n">
        <x:v>6113</x:v>
      </x:c>
      <x:c r="F68" s="24" t="n">
        <x:f>ROUND(D68-E68,1)</x:f>
        <x:v>72</x:v>
      </x:c>
      <x:c r="G68" s="23" t="str">
        <x:v>IM2506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6202.2</x:v>
      </x:c>
      <x:c r="E69" s="24" t="n">
        <x:v>6044</x:v>
      </x:c>
      <x:c r="F69" s="24" t="n">
        <x:f>ROUND(D69-E69,1)</x:f>
        <x:v>158.2</x:v>
      </x:c>
      <x:c r="G69" s="23" t="str">
        <x:v>IM2506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6180</x:v>
      </x:c>
      <x:c r="E70" s="24" t="n">
        <x:v>6066.2</x:v>
      </x:c>
      <x:c r="F70" s="24" t="n">
        <x:f>ROUND(D70-E70,1)</x:f>
        <x:v>113.8</x:v>
      </x:c>
      <x:c r="G70" s="23" t="str">
        <x:v>IM2506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6092</x:v>
      </x:c>
      <x:c r="E71" s="24" t="n">
        <x:v>5979.8</x:v>
      </x:c>
      <x:c r="F71" s="24" t="n">
        <x:f>ROUND(D71-E71,1)</x:f>
        <x:v>112.2</x:v>
      </x:c>
      <x:c r="G71" s="23" t="str">
        <x:v>IM2506</x:v>
      </x:c>
    </x:row>
    <x:row r="72">
      <x:c r="A72" s="33" t="str">
        <x:v>合计</x:v>
      </x:c>
      <x:c r="B72" s="32" t="n">
        <x:v>21</x:v>
      </x:c>
      <x:c r="C72" s="32"/>
      <x:c r="D72" s="32"/>
      <x:c r="E72" s="32"/>
      <x:c r="F72" s="34" t="n">
        <x:f>ROUND(SUM(F51:F71),1)</x:f>
        <x:v>2373</x:v>
      </x:c>
      <x:c r="G72" s="32"/>
    </x:row>
    <x:row r="73">
      <x:c r="A73" s="33" t="str">
        <x:v>均值</x:v>
      </x:c>
      <x:c r="B73" s="32"/>
      <x:c r="C73" s="32"/>
      <x:c r="D73" s="32"/>
      <x:c r="E73" s="32"/>
      <x:c r="F73" s="36" t="n">
        <x:f>ROUND(IFERROR(AVERAGE(F51:F71),0),1)</x:f>
        <x:v>113</x:v>
      </x:c>
      <x:c r="G73" s="32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高点</x:v>
      </x:c>
      <x:c r="E76" s="20" t="str">
        <x:v>低点</x:v>
      </x:c>
      <x:c r="F76" s="20" t="str">
        <x:v>振幅</x:v>
      </x:c>
      <x:c r="G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6117.6</x:v>
      </x:c>
      <x:c r="E77" s="24" t="n">
        <x:v>6059.2</x:v>
      </x:c>
      <x:c r="F77" s="24" t="n">
        <x:f>ROUND(D77-E77,1)</x:f>
        <x:v>58.4</x:v>
      </x:c>
      <x:c r="G77" s="23" t="str">
        <x:v>IM2506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6141</x:v>
      </x:c>
      <x:c r="E78" s="24" t="n">
        <x:v>6063</x:v>
      </x:c>
      <x:c r="F78" s="24" t="n">
        <x:f>ROUND(D78-E78,1)</x:f>
        <x:v>78</x:v>
      </x:c>
      <x:c r="G78" s="23" t="str">
        <x:v>IM2506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6134.8</x:v>
      </x:c>
      <x:c r="E79" s="24" t="n">
        <x:v>6000.4</x:v>
      </x:c>
      <x:c r="F79" s="24" t="n">
        <x:f>ROUND(D79-E79,1)</x:f>
        <x:v>134.4</x:v>
      </x:c>
      <x:c r="G79" s="23" t="str">
        <x:v>IM2506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5838.8</x:v>
      </x:c>
      <x:c r="E80" s="24" t="n">
        <x:v>5432.6</x:v>
      </x:c>
      <x:c r="F80" s="26" t="n">
        <x:f>ROUND(D80-E80,1)</x:f>
        <x:v>406.2</x:v>
      </x:c>
      <x:c r="G80" s="23" t="str">
        <x:v>IM2506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5500.2</x:v>
      </x:c>
      <x:c r="E81" s="24" t="n">
        <x:v>5202</x:v>
      </x:c>
      <x:c r="F81" s="26" t="n">
        <x:f>ROUND(D81-E81,1)</x:f>
        <x:v>298.2</x:v>
      </x:c>
      <x:c r="G81" s="23" t="str">
        <x:v>IM2506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5488</x:v>
      </x:c>
      <x:c r="E82" s="24" t="n">
        <x:v>5053.2</x:v>
      </x:c>
      <x:c r="F82" s="26" t="n">
        <x:f>ROUND(D82-E82,1)</x:f>
        <x:v>434.8</x:v>
      </x:c>
      <x:c r="G82" s="23" t="str">
        <x:v>IM2506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5701.2</x:v>
      </x:c>
      <x:c r="E83" s="24" t="n">
        <x:v>5549</x:v>
      </x:c>
      <x:c r="F83" s="24" t="n">
        <x:f>ROUND(D83-E83,1)</x:f>
        <x:v>152.2</x:v>
      </x:c>
      <x:c r="G83" s="23" t="str">
        <x:v>IM2506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5746.6</x:v>
      </x:c>
      <x:c r="E84" s="24" t="n">
        <x:v>5545</x:v>
      </x:c>
      <x:c r="F84" s="26" t="n">
        <x:f>ROUND(D84-E84,1)</x:f>
        <x:v>201.6</x:v>
      </x:c>
      <x:c r="G84" s="23" t="str">
        <x:v>IM2506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5769.8</x:v>
      </x:c>
      <x:c r="E85" s="24" t="n">
        <x:v>5690</x:v>
      </x:c>
      <x:c r="F85" s="24" t="n">
        <x:f>ROUND(D85-E85,1)</x:f>
        <x:v>79.8</x:v>
      </x:c>
      <x:c r="G85" s="23" t="str">
        <x:v>IM2506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5722</x:v>
      </x:c>
      <x:c r="E86" s="24" t="n">
        <x:v>5637</x:v>
      </x:c>
      <x:c r="F86" s="24" t="n">
        <x:f>ROUND(D86-E86,1)</x:f>
        <x:v>85</x:v>
      </x:c>
      <x:c r="G86" s="23" t="str">
        <x:v>IM2506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5667.8</x:v>
      </x:c>
      <x:c r="E87" s="24" t="n">
        <x:v>5554.6</x:v>
      </x:c>
      <x:c r="F87" s="24" t="n">
        <x:f>ROUND(D87-E87,1)</x:f>
        <x:v>113.2</x:v>
      </x:c>
      <x:c r="G87" s="23" t="str">
        <x:v>IM2506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5715</x:v>
      </x:c>
      <x:c r="E88" s="24" t="n">
        <x:v>5578</x:v>
      </x:c>
      <x:c r="F88" s="24" t="n">
        <x:f>ROUND(D88-E88,1)</x:f>
        <x:v>137</x:v>
      </x:c>
      <x:c r="G88" s="23" t="str">
        <x:v>IM2506</x:v>
      </x:c>
    </x:row>
    <x:row r="89">
      <x:c r="A89" s="29" t="n">
        <x:v>13</x:v>
      </x:c>
      <x:c r="B89" s="29" t="str">
        <x:v>周五</x:v>
      </x:c>
      <x:c r="C89" s="29" t="str">
        <x:v>4月18日</x:v>
      </x:c>
      <x:c r="D89" s="30" t="n">
        <x:v>5699</x:v>
      </x:c>
      <x:c r="E89" s="30" t="n">
        <x:v>5593.8</x:v>
      </x:c>
      <x:c r="F89" s="30" t="n">
        <x:f>ROUND(D89-E89,1)</x:f>
        <x:v>105.2</x:v>
      </x:c>
      <x:c r="G89" s="29" t="str">
        <x:v>IM2506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5783</x:v>
      </x:c>
      <x:c r="E90" s="24" t="n">
        <x:v>5603.6</x:v>
      </x:c>
      <x:c r="F90" s="24" t="n">
        <x:f>ROUND(D90-E90,1)</x:f>
        <x:v>179.4</x:v>
      </x:c>
      <x:c r="G90" s="23" t="str">
        <x:v>IM2506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5802.8</x:v>
      </x:c>
      <x:c r="E91" s="24" t="n">
        <x:v>5732.2</x:v>
      </x:c>
      <x:c r="F91" s="24" t="n">
        <x:f>ROUND(D91-E91,1)</x:f>
        <x:v>70.6</x:v>
      </x:c>
      <x:c r="G91" s="23" t="str">
        <x:v>IM2506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5873.2</x:v>
      </x:c>
      <x:c r="E92" s="24" t="n">
        <x:v>5791.8</x:v>
      </x:c>
      <x:c r="F92" s="24" t="n">
        <x:f>ROUND(D92-E92,1)</x:f>
        <x:v>81.4</x:v>
      </x:c>
      <x:c r="G92" s="23" t="str">
        <x:v>IM2506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5823</x:v>
      </x:c>
      <x:c r="E93" s="24" t="n">
        <x:v>5730.8</x:v>
      </x:c>
      <x:c r="F93" s="24" t="n">
        <x:f>ROUND(D93-E93,1)</x:f>
        <x:v>92.2</x:v>
      </x:c>
      <x:c r="G93" s="23" t="str">
        <x:v>IM2506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5840</x:v>
      </x:c>
      <x:c r="E94" s="24" t="n">
        <x:v>5744</x:v>
      </x:c>
      <x:c r="F94" s="24" t="n">
        <x:f>ROUND(D94-E94,1)</x:f>
        <x:v>96</x:v>
      </x:c>
      <x:c r="G94" s="23" t="str">
        <x:v>IM2506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5794.6</x:v>
      </x:c>
      <x:c r="E95" s="24" t="n">
        <x:v>5700</x:v>
      </x:c>
      <x:c r="F95" s="24" t="n">
        <x:f>ROUND(D95-E95,1)</x:f>
        <x:v>94.6</x:v>
      </x:c>
      <x:c r="G95" s="23" t="str">
        <x:v>IM2506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5787.6</x:v>
      </x:c>
      <x:c r="E96" s="24" t="n">
        <x:v>5700</x:v>
      </x:c>
      <x:c r="F96" s="24" t="n">
        <x:f>ROUND(D96-E96,1)</x:f>
        <x:v>87.6</x:v>
      </x:c>
      <x:c r="G96" s="23" t="str">
        <x:v>IM2506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5833</x:v>
      </x:c>
      <x:c r="E97" s="24" t="n">
        <x:v>5775</x:v>
      </x:c>
      <x:c r="F97" s="24" t="n">
        <x:f>ROUND(D97-E97,1)</x:f>
        <x:v>58</x:v>
      </x:c>
      <x:c r="G97" s="23" t="str">
        <x:v>IM2506</x:v>
      </x:c>
    </x:row>
    <x:row r="98">
      <x:c r="A98" s="33" t="str">
        <x:v>合计</x:v>
      </x:c>
      <x:c r="B98" s="32" t="n">
        <x:v>21</x:v>
      </x:c>
      <x:c r="C98" s="32"/>
      <x:c r="D98" s="32"/>
      <x:c r="E98" s="32"/>
      <x:c r="F98" s="34" t="n">
        <x:f>ROUND(SUM(F77:F97),1)</x:f>
        <x:v>3043.8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ROUND(IFERROR(AVERAGE(F77:F97),0),1)</x:f>
        <x:v>144.9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5955</x:v>
      </x:c>
      <x:c r="E103" s="24" t="n">
        <x:v>5852</x:v>
      </x:c>
      <x:c r="F103" s="24" t="n">
        <x:f>ROUND(D103-E103,1)</x:f>
        <x:v>103</x:v>
      </x:c>
      <x:c r="G103" s="23" t="str">
        <x:v>IM2506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6090</x:v>
      </x:c>
      <x:c r="E104" s="24" t="n">
        <x:v>5920.4</x:v>
      </x:c>
      <x:c r="F104" s="24" t="n">
        <x:f>ROUND(D104-E104,1)</x:f>
        <x:v>169.6</x:v>
      </x:c>
      <x:c r="G104" s="23" t="str">
        <x:v>IM2506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6042.8</x:v>
      </x:c>
      <x:c r="E105" s="24" t="n">
        <x:v>5945</x:v>
      </x:c>
      <x:c r="F105" s="24" t="n">
        <x:f>ROUND(D105-E105,1)</x:f>
        <x:v>97.8</x:v>
      </x:c>
      <x:c r="G105" s="23" t="str">
        <x:v>IM2506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6012.8</x:v>
      </x:c>
      <x:c r="E106" s="24" t="n">
        <x:v>5911.6</x:v>
      </x:c>
      <x:c r="F106" s="24" t="n">
        <x:f>ROUND(D106-E106,1)</x:f>
        <x:v>101.2</x:v>
      </x:c>
      <x:c r="G106" s="23" t="str">
        <x:v>IM2506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6039</x:v>
      </x:c>
      <x:c r="E107" s="24" t="n">
        <x:v>5975.2</x:v>
      </x:c>
      <x:c r="F107" s="24" t="n">
        <x:f>ROUND(D107-E107,1)</x:f>
        <x:v>63.8</x:v>
      </x:c>
      <x:c r="G107" s="23" t="str">
        <x:v>IM2506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6079.6</x:v>
      </x:c>
      <x:c r="E108" s="24" t="n">
        <x:v>5981</x:v>
      </x:c>
      <x:c r="F108" s="24" t="n">
        <x:f>ROUND(D108-E108,1)</x:f>
        <x:v>98.6</x:v>
      </x:c>
      <x:c r="G108" s="23" t="str">
        <x:v>IM2506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6101.8</x:v>
      </x:c>
      <x:c r="E109" s="24" t="n">
        <x:v>5973.6</x:v>
      </x:c>
      <x:c r="F109" s="24" t="n">
        <x:f>ROUND(D109-E109,1)</x:f>
        <x:v>128.2</x:v>
      </x:c>
      <x:c r="G109" s="23" t="str">
        <x:v>IM2506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6029.8</x:v>
      </x:c>
      <x:c r="E110" s="24" t="n">
        <x:v>5924.4</x:v>
      </x:c>
      <x:c r="F110" s="24" t="n">
        <x:f>ROUND(D110-E110,1)</x:f>
        <x:v>105.4</x:v>
      </x:c>
      <x:c r="G110" s="23" t="str">
        <x:v>IM2506</x:v>
      </x:c>
    </x:row>
    <x:row r="111">
      <x:c r="A111" s="29" t="n">
        <x:v>9</x:v>
      </x:c>
      <x:c r="B111" s="29" t="str">
        <x:v>周五</x:v>
      </x:c>
      <x:c r="C111" s="29" t="str">
        <x:v>5月16日</x:v>
      </x:c>
      <x:c r="D111" s="30" t="n">
        <x:v>5992.2</x:v>
      </x:c>
      <x:c r="E111" s="30" t="n">
        <x:v>5933.2</x:v>
      </x:c>
      <x:c r="F111" s="30" t="n">
        <x:f>ROUND(D111-E111,1)</x:f>
        <x:v>59</x:v>
      </x:c>
      <x:c r="G111" s="29" t="str">
        <x:v>IM2506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5976.8</x:v>
      </x:c>
      <x:c r="E112" s="24" t="n">
        <x:v>5870.2</x:v>
      </x:c>
      <x:c r="F112" s="24" t="n">
        <x:f>ROUND(D112-E112,1)</x:f>
        <x:v>106.6</x:v>
      </x:c>
      <x:c r="G112" s="23" t="str">
        <x:v>IM2506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6028</x:v>
      </x:c>
      <x:c r="E113" s="24" t="n">
        <x:v>5943</x:v>
      </x:c>
      <x:c r="F113" s="24" t="n">
        <x:f>ROUND(D113-E113,1)</x:f>
        <x:v>85</x:v>
      </x:c>
      <x:c r="G113" s="23" t="str">
        <x:v>IM2506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6018</x:v>
      </x:c>
      <x:c r="E114" s="24" t="n">
        <x:v>5974</x:v>
      </x:c>
      <x:c r="F114" s="24" t="n">
        <x:f>ROUND(D114-E114,1)</x:f>
        <x:v>44</x:v>
      </x:c>
      <x:c r="G114" s="23" t="str">
        <x:v>IM2506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6037.8</x:v>
      </x:c>
      <x:c r="E115" s="24" t="n">
        <x:v>5930</x:v>
      </x:c>
      <x:c r="F115" s="24" t="n">
        <x:f>ROUND(D115-E115,1)</x:f>
        <x:v>107.8</x:v>
      </x:c>
      <x:c r="G115" s="23" t="str">
        <x:v>IM2506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5998</x:v>
      </x:c>
      <x:c r="E116" s="24" t="n">
        <x:v>5871</x:v>
      </x:c>
      <x:c r="F116" s="24" t="n">
        <x:f>ROUND(D116-E116,1)</x:f>
        <x:v>127</x:v>
      </x:c>
      <x:c r="G116" s="23" t="str">
        <x:v>IM2506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5941.4</x:v>
      </x:c>
      <x:c r="E117" s="24" t="n">
        <x:v>5871</x:v>
      </x:c>
      <x:c r="F117" s="24" t="n">
        <x:f>ROUND(D117-E117,1)</x:f>
        <x:v>70.4</x:v>
      </x:c>
      <x:c r="G117" s="23" t="str">
        <x:v>IM2506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5936</x:v>
      </x:c>
      <x:c r="E118" s="24" t="n">
        <x:v>5861.2</x:v>
      </x:c>
      <x:c r="F118" s="24" t="n">
        <x:f>ROUND(D118-E118,1)</x:f>
        <x:v>74.8</x:v>
      </x:c>
      <x:c r="G118" s="23" t="str">
        <x:v>IM2506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5944.8</x:v>
      </x:c>
      <x:c r="E119" s="24" t="n">
        <x:v>5873.6</x:v>
      </x:c>
      <x:c r="F119" s="24" t="n">
        <x:f>ROUND(D119-E119,1)</x:f>
        <x:v>71.2</x:v>
      </x:c>
      <x:c r="G119" s="23" t="str">
        <x:v>IM2506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6031.4</x:v>
      </x:c>
      <x:c r="E120" s="24" t="n">
        <x:v>5906</x:v>
      </x:c>
      <x:c r="F120" s="24" t="n">
        <x:f>ROUND(D120-E120,1)</x:f>
        <x:v>125.4</x:v>
      </x:c>
      <x:c r="G120" s="23" t="str">
        <x:v>IM2506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6004.2</x:v>
      </x:c>
      <x:c r="E121" s="24" t="n">
        <x:v>5932</x:v>
      </x:c>
      <x:c r="F121" s="24" t="n">
        <x:f>ROUND(D121-E121,1)</x:f>
        <x:v>72.2</x:v>
      </x:c>
      <x:c r="G121" s="23" t="str">
        <x:v>IM2506</x:v>
      </x:c>
    </x:row>
    <x:row r="122">
      <x:c r="A122" s="33" t="str">
        <x:v>合计</x:v>
      </x:c>
      <x:c r="B122" s="32" t="n">
        <x:v>19</x:v>
      </x:c>
      <x:c r="C122" s="32"/>
      <x:c r="D122" s="32"/>
      <x:c r="E122" s="32"/>
      <x:c r="F122" s="34" t="n">
        <x:f>ROUND(SUM(F103:F121),1)</x:f>
        <x:v>1811</x:v>
      </x:c>
      <x:c r="G122" s="32"/>
    </x:row>
    <x:row r="123">
      <x:c r="A123" s="33" t="str">
        <x:v>均值</x:v>
      </x:c>
      <x:c r="B123" s="32"/>
      <x:c r="C123" s="32"/>
      <x:c r="D123" s="32"/>
      <x:c r="E123" s="32"/>
      <x:c r="F123" s="36" t="n">
        <x:f>ROUND(IFERROR(AVERAGE(F103:F121),0),1)</x:f>
        <x:v>95.3</x:v>
      </x:c>
      <x:c r="G123" s="32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高点</x:v>
      </x:c>
      <x:c r="E126" s="20" t="str">
        <x:v>低点</x:v>
      </x:c>
      <x:c r="F126" s="20" t="str">
        <x:v>振幅</x:v>
      </x:c>
      <x:c r="G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6027</x:v>
      </x:c>
      <x:c r="E127" s="24" t="n">
        <x:v>5940.8</x:v>
      </x:c>
      <x:c r="F127" s="24" t="n">
        <x:f>ROUND(D127-E127,1)</x:f>
        <x:v>86.2</x:v>
      </x:c>
      <x:c r="G127" s="23" t="str">
        <x:v>IM2506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6067</x:v>
      </x:c>
      <x:c r="E128" s="24" t="n">
        <x:v>5992</x:v>
      </x:c>
      <x:c r="F128" s="24" t="n">
        <x:f>ROUND(D128-E128,1)</x:f>
        <x:v>75</x:v>
      </x:c>
      <x:c r="G128" s="23" t="str">
        <x:v>IM2506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6119</x:v>
      </x:c>
      <x:c r="E129" s="24" t="n">
        <x:v>6030</x:v>
      </x:c>
      <x:c r="F129" s="24" t="n">
        <x:f>ROUND(D129-E129,1)</x:f>
        <x:v>89</x:v>
      </x:c>
      <x:c r="G129" s="23" t="str">
        <x:v>IM2506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6114.6</x:v>
      </x:c>
      <x:c r="E130" s="24" t="n">
        <x:v>6077.2</x:v>
      </x:c>
      <x:c r="F130" s="24" t="n">
        <x:f>ROUND(D130-E130,1)</x:f>
        <x:v>37.4</x:v>
      </x:c>
      <x:c r="G130" s="23" t="str">
        <x:v>IM2506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6191.2</x:v>
      </x:c>
      <x:c r="E131" s="24" t="n">
        <x:v>6108</x:v>
      </x:c>
      <x:c r="F131" s="24" t="n">
        <x:f>ROUND(D131-E131,1)</x:f>
        <x:v>83.2</x:v>
      </x:c>
      <x:c r="G131" s="23" t="str">
        <x:v>IM2506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6174</x:v>
      </x:c>
      <x:c r="E132" s="24" t="n">
        <x:v>6062</x:v>
      </x:c>
      <x:c r="F132" s="24" t="n">
        <x:f>ROUND(D132-E132,1)</x:f>
        <x:v>112</x:v>
      </x:c>
      <x:c r="G132" s="23" t="str">
        <x:v>IM2506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6196.6</x:v>
      </x:c>
      <x:c r="E133" s="24" t="n">
        <x:v>6122.4</x:v>
      </x:c>
      <x:c r="F133" s="24" t="n">
        <x:f>ROUND(D133-E133,1)</x:f>
        <x:v>74.2</x:v>
      </x:c>
      <x:c r="G133" s="23" t="str">
        <x:v>IM2506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6174.6</x:v>
      </x:c>
      <x:c r="E134" s="24" t="n">
        <x:v>6103.2</x:v>
      </x:c>
      <x:c r="F134" s="24" t="n">
        <x:f>ROUND(D134-E134,1)</x:f>
        <x:v>71.4</x:v>
      </x:c>
      <x:c r="G134" s="23" t="str">
        <x:v>IM2506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6149.8</x:v>
      </x:c>
      <x:c r="E135" s="24" t="n">
        <x:v>6060</x:v>
      </x:c>
      <x:c r="F135" s="24" t="n">
        <x:f>ROUND(D135-E135,1)</x:f>
        <x:v>89.8</x:v>
      </x:c>
      <x:c r="G135" s="23" t="str">
        <x:v>IM2506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6142</x:v>
      </x:c>
      <x:c r="E136" s="24" t="n">
        <x:v>6063.8</x:v>
      </x:c>
      <x:c r="F136" s="24" t="n">
        <x:f>ROUND(D136-E136,1)</x:f>
        <x:v>78.2</x:v>
      </x:c>
      <x:c r="G136" s="23" t="str">
        <x:v>IM2506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6150</x:v>
      </x:c>
      <x:c r="E137" s="24" t="n">
        <x:v>6100</x:v>
      </x:c>
      <x:c r="F137" s="24" t="n">
        <x:f>ROUND(D137-E137,1)</x:f>
        <x:v>50</x:v>
      </x:c>
      <x:c r="G137" s="23" t="str">
        <x:v>IM2506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6139.8</x:v>
      </x:c>
      <x:c r="E138" s="24" t="n">
        <x:v>6078.8</x:v>
      </x:c>
      <x:c r="F138" s="24" t="n">
        <x:f>ROUND(D138-E138,1)</x:f>
        <x:v>61</x:v>
      </x:c>
      <x:c r="G138" s="23" t="str">
        <x:v>IM2506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6131.8</x:v>
      </x:c>
      <x:c r="E139" s="24" t="n">
        <x:v>6030.8</x:v>
      </x:c>
      <x:c r="F139" s="24" t="n">
        <x:f>ROUND(D139-E139,1)</x:f>
        <x:v>101</x:v>
      </x:c>
      <x:c r="G139" s="23" t="str">
        <x:v>IM2506</x:v>
      </x:c>
    </x:row>
    <x:row r="140">
      <x:c r="A140" s="29" t="n">
        <x:v>14</x:v>
      </x:c>
      <x:c r="B140" s="29" t="str">
        <x:v>周五</x:v>
      </x:c>
      <x:c r="C140" s="29" t="str">
        <x:v>6月20日</x:v>
      </x:c>
      <x:c r="D140" s="30" t="n">
        <x:v>6093</x:v>
      </x:c>
      <x:c r="E140" s="30" t="n">
        <x:v>6008.8</x:v>
      </x:c>
      <x:c r="F140" s="30" t="n">
        <x:f>ROUND(D140-E140,1)</x:f>
        <x:v>84.2</x:v>
      </x:c>
      <x:c r="G140" s="29" t="str">
        <x:v>IM2506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5866.8</x:v>
      </x:c>
      <x:c r="E141" s="24" t="n">
        <x:v>5765</x:v>
      </x:c>
      <x:c r="F141" s="24" t="n">
        <x:f>ROUND(D141-E141,1)</x:f>
        <x:v>101.8</x:v>
      </x:c>
      <x:c r="G141" s="23" t="str">
        <x:v>IM2509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6003.4</x:v>
      </x:c>
      <x:c r="E142" s="24" t="n">
        <x:v>5866.8</x:v>
      </x:c>
      <x:c r="F142" s="24" t="n">
        <x:f>ROUND(D142-E142,1)</x:f>
        <x:v>136.6</x:v>
      </x:c>
      <x:c r="G142" s="23" t="str">
        <x:v>IM2509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6133</x:v>
      </x:c>
      <x:c r="E143" s="24" t="n">
        <x:v>5994.8</x:v>
      </x:c>
      <x:c r="F143" s="24" t="n">
        <x:f>ROUND(D143-E143,1)</x:f>
        <x:v>138.2</x:v>
      </x:c>
      <x:c r="G143" s="23" t="str">
        <x:v>IM2509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6147.8</x:v>
      </x:c>
      <x:c r="E144" s="24" t="n">
        <x:v>6090.6</x:v>
      </x:c>
      <x:c r="F144" s="24" t="n">
        <x:f>ROUND(D144-E144,1)</x:f>
        <x:v>57.2</x:v>
      </x:c>
      <x:c r="G144" s="23" t="str">
        <x:v>IM2509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6174.4</x:v>
      </x:c>
      <x:c r="E145" s="24" t="n">
        <x:v>6100.6</x:v>
      </x:c>
      <x:c r="F145" s="24" t="n">
        <x:f>ROUND(D145-E145,1)</x:f>
        <x:v>73.8</x:v>
      </x:c>
      <x:c r="G145" s="23" t="str">
        <x:v>IM2509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6173.6</x:v>
      </x:c>
      <x:c r="E146" s="24" t="n">
        <x:v>6119</x:v>
      </x:c>
      <x:c r="F146" s="24" t="n">
        <x:f>ROUND(D146-E146,1)</x:f>
        <x:v>54.6</x:v>
      </x:c>
      <x:c r="G146" s="23" t="str">
        <x:v>IM2509</x:v>
      </x:c>
    </x:row>
    <x:row r="147">
      <x:c r="A147" s="33" t="str">
        <x:v>合计</x:v>
      </x:c>
      <x:c r="B147" s="32" t="n">
        <x:v>20</x:v>
      </x:c>
      <x:c r="C147" s="32"/>
      <x:c r="D147" s="32"/>
      <x:c r="E147" s="32"/>
      <x:c r="F147" s="34" t="n">
        <x:f>ROUND(SUM(F127:F146),1)</x:f>
        <x:v>1654.8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ROUND(IFERROR(AVERAGE(F127:F146),0),1)</x:f>
        <x:v>82.7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6150</x:v>
      </x:c>
      <x:c r="E152" s="24" t="n">
        <x:v>6076.2</x:v>
      </x:c>
      <x:c r="F152" s="24" t="n">
        <x:f>ROUND(D152-E152,1)</x:f>
        <x:v>73.8</x:v>
      </x:c>
      <x:c r="G152" s="23" t="str">
        <x:v>IM2509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6131.8</x:v>
      </x:c>
      <x:c r="E153" s="24" t="n">
        <x:v>6080</x:v>
      </x:c>
      <x:c r="F153" s="24" t="n">
        <x:f>ROUND(D153-E153,1)</x:f>
        <x:v>51.8</x:v>
      </x:c>
      <x:c r="G153" s="23" t="str">
        <x:v>IM2509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6161</x:v>
      </x:c>
      <x:c r="E154" s="24" t="n">
        <x:v>6098.4</x:v>
      </x:c>
      <x:c r="F154" s="24" t="n">
        <x:f>ROUND(D154-E154,1)</x:f>
        <x:v>62.6</x:v>
      </x:c>
      <x:c r="G154" s="23" t="str">
        <x:v>IM2509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6184.2</x:v>
      </x:c>
      <x:c r="E155" s="24" t="n">
        <x:v>6084.2</x:v>
      </x:c>
      <x:c r="F155" s="24" t="n">
        <x:f>ROUND(D155-E155,1)</x:f>
        <x:v>100</x:v>
      </x:c>
      <x:c r="G155" s="23" t="str">
        <x:v>IM2509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6130</x:v>
      </x:c>
      <x:c r="E156" s="24" t="n">
        <x:v>6095.2</x:v>
      </x:c>
      <x:c r="F156" s="24" t="n">
        <x:f>ROUND(D156-E156,1)</x:f>
        <x:v>34.8</x:v>
      </x:c>
      <x:c r="G156" s="23" t="str">
        <x:v>IM2509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6237</x:v>
      </x:c>
      <x:c r="E157" s="24" t="n">
        <x:v>6102</x:v>
      </x:c>
      <x:c r="F157" s="24" t="n">
        <x:f>ROUND(D157-E157,1)</x:f>
        <x:v>135</x:v>
      </x:c>
      <x:c r="G157" s="23" t="str">
        <x:v>IM2509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6249.8</x:v>
      </x:c>
      <x:c r="E158" s="24" t="n">
        <x:v>6208.2</x:v>
      </x:c>
      <x:c r="F158" s="24" t="n">
        <x:f>ROUND(D158-E158,1)</x:f>
        <x:v>41.6</x:v>
      </x:c>
      <x:c r="G158" s="23" t="str">
        <x:v>IM2509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6265</x:v>
      </x:c>
      <x:c r="E159" s="24" t="n">
        <x:v>6200.8</x:v>
      </x:c>
      <x:c r="F159" s="24" t="n">
        <x:f>ROUND(D159-E159,1)</x:f>
        <x:v>64.2</x:v>
      </x:c>
      <x:c r="G159" s="23" t="str">
        <x:v>IM2509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6360</x:v>
      </x:c>
      <x:c r="E160" s="24" t="n">
        <x:v>6211.4</x:v>
      </x:c>
      <x:c r="F160" s="24" t="n">
        <x:f>ROUND(D160-E160,1)</x:f>
        <x:v>148.6</x:v>
      </x:c>
      <x:c r="G160" s="23" t="str">
        <x:v>IM2509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6329.8</x:v>
      </x:c>
      <x:c r="E161" s="24" t="n">
        <x:v>6293</x:v>
      </x:c>
      <x:c r="F161" s="24" t="n">
        <x:f>ROUND(D161-E161,1)</x:f>
        <x:v>36.8</x:v>
      </x:c>
      <x:c r="G161" s="23" t="str">
        <x:v>IM2509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6335.4</x:v>
      </x:c>
      <x:c r="E162" s="24" t="n">
        <x:v>6229</x:v>
      </x:c>
      <x:c r="F162" s="24" t="n">
        <x:f>ROUND(D162-E162,1)</x:f>
        <x:v>106.4</x:v>
      </x:c>
      <x:c r="G162" s="23" t="str">
        <x:v>IM2509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6355</x:v>
      </x:c>
      <x:c r="E163" s="24" t="n">
        <x:v>6270.2</x:v>
      </x:c>
      <x:c r="F163" s="24" t="n">
        <x:f>ROUND(D163-E163,1)</x:f>
        <x:v>84.8</x:v>
      </x:c>
      <x:c r="G163" s="23" t="str">
        <x:v>IM2509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6391.6</x:v>
      </x:c>
      <x:c r="E164" s="24" t="n">
        <x:v>6288.2</x:v>
      </x:c>
      <x:c r="F164" s="24" t="n">
        <x:f>ROUND(D164-E164,1)</x:f>
        <x:v>103.4</x:v>
      </x:c>
      <x:c r="G164" s="23" t="str">
        <x:v>IM2509</x:v>
      </x:c>
    </x:row>
    <x:row r="165">
      <x:c r="A165" s="29" t="n">
        <x:v>14</x:v>
      </x:c>
      <x:c r="B165" s="29" t="str">
        <x:v>周五</x:v>
      </x:c>
      <x:c r="C165" s="29" t="str">
        <x:v>7月18日</x:v>
      </x:c>
      <x:c r="D165" s="30" t="n">
        <x:v>6437</x:v>
      </x:c>
      <x:c r="E165" s="30" t="n">
        <x:v>6372.8</x:v>
      </x:c>
      <x:c r="F165" s="30" t="n">
        <x:f>ROUND(D165-E165,1)</x:f>
        <x:v>64.2</x:v>
      </x:c>
      <x:c r="G165" s="29" t="str">
        <x:v>IM2509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6503.2</x:v>
      </x:c>
      <x:c r="E166" s="24" t="n">
        <x:v>6430.2</x:v>
      </x:c>
      <x:c r="F166" s="24" t="n">
        <x:f>ROUND(D166-E166,1)</x:f>
        <x:v>73</x:v>
      </x:c>
      <x:c r="G166" s="23" t="str">
        <x:v>IM2509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6518</x:v>
      </x:c>
      <x:c r="E167" s="24" t="n">
        <x:v>6451.2</x:v>
      </x:c>
      <x:c r="F167" s="24" t="n">
        <x:f>ROUND(D167-E167,1)</x:f>
        <x:v>66.8</x:v>
      </x:c>
      <x:c r="G167" s="23" t="str">
        <x:v>IM2509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6561.4</x:v>
      </x:c>
      <x:c r="E168" s="24" t="n">
        <x:v>6474.2</x:v>
      </x:c>
      <x:c r="F168" s="24" t="n">
        <x:f>ROUND(D168-E168,1)</x:f>
        <x:v>87.2</x:v>
      </x:c>
      <x:c r="G168" s="23" t="str">
        <x:v>IM2509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6626.2</x:v>
      </x:c>
      <x:c r="E169" s="24" t="n">
        <x:v>6491.2</x:v>
      </x:c>
      <x:c r="F169" s="24" t="n">
        <x:f>ROUND(D169-E169,1)</x:f>
        <x:v>135</x:v>
      </x:c>
      <x:c r="G169" s="23" t="str">
        <x:v>IM2509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6619</x:v>
      </x:c>
      <x:c r="E170" s="24" t="n">
        <x:v>6567</x:v>
      </x:c>
      <x:c r="F170" s="24" t="n">
        <x:f>ROUND(D170-E170,1)</x:f>
        <x:v>52</x:v>
      </x:c>
      <x:c r="G170" s="23" t="str">
        <x:v>IM2509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6645</x:v>
      </x:c>
      <x:c r="E171" s="24" t="n">
        <x:v>6560</x:v>
      </x:c>
      <x:c r="F171" s="24" t="n">
        <x:f>ROUND(D171-E171,1)</x:f>
        <x:v>85</x:v>
      </x:c>
      <x:c r="G171" s="23" t="str">
        <x:v>IM2509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6664.2</x:v>
      </x:c>
      <x:c r="E172" s="24" t="n">
        <x:v>6546.6</x:v>
      </x:c>
      <x:c r="F172" s="24" t="n">
        <x:f>ROUND(D172-E172,1)</x:f>
        <x:v>117.6</x:v>
      </x:c>
      <x:c r="G172" s="23" t="str">
        <x:v>IM2509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6658</x:v>
      </x:c>
      <x:c r="E173" s="24" t="n">
        <x:v>6556</x:v>
      </x:c>
      <x:c r="F173" s="24" t="n">
        <x:f>ROUND(D173-E173,1)</x:f>
        <x:v>102</x:v>
      </x:c>
      <x:c r="G173" s="23" t="str">
        <x:v>IM2509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6634</x:v>
      </x:c>
      <x:c r="E174" s="24" t="n">
        <x:v>6497.2</x:v>
      </x:c>
      <x:c r="F174" s="24" t="n">
        <x:f>ROUND(D174-E174,1)</x:f>
        <x:v>136.8</x:v>
      </x:c>
      <x:c r="G174" s="23" t="str">
        <x:v>IM2509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1963.4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85.4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6594.6</x:v>
      </x:c>
      <x:c r="E180" s="24" t="n">
        <x:v>6507</x:v>
      </x:c>
      <x:c r="F180" s="24" t="n">
        <x:f>ROUND(D180-E180,1)</x:f>
        <x:v>87.6</x:v>
      </x:c>
      <x:c r="G180" s="23" t="str">
        <x:v>IM2509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6644</x:v>
      </x:c>
      <x:c r="E181" s="24" t="n">
        <x:v>6512.2</x:v>
      </x:c>
      <x:c r="F181" s="24" t="n">
        <x:f>ROUND(D181-E181,1)</x:f>
        <x:v>131.8</x:v>
      </x:c>
      <x:c r="G181" s="23" t="str">
        <x:v>IM2509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6685</x:v>
      </x:c>
      <x:c r="E182" s="24" t="n">
        <x:v>6631</x:v>
      </x:c>
      <x:c r="F182" s="24" t="n">
        <x:f>ROUND(D182-E182,1)</x:f>
        <x:v>54</x:v>
      </x:c>
      <x:c r="G182" s="23" t="str">
        <x:v>IM2509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6785</x:v>
      </x:c>
      <x:c r="E183" s="24" t="n">
        <x:v>6668</x:v>
      </x:c>
      <x:c r="F183" s="24" t="n">
        <x:f>ROUND(D183-E183,1)</x:f>
        <x:v>117</x:v>
      </x:c>
      <x:c r="G183" s="23" t="str">
        <x:v>IM2509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6794.6</x:v>
      </x:c>
      <x:c r="E184" s="24" t="n">
        <x:v>6711</x:v>
      </x:c>
      <x:c r="F184" s="24" t="n">
        <x:f>ROUND(D184-E184,1)</x:f>
        <x:v>83.6</x:v>
      </x:c>
      <x:c r="G184" s="23" t="str">
        <x:v>IM2509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6760.8</x:v>
      </x:c>
      <x:c r="E185" s="24" t="n">
        <x:v>6705.4</x:v>
      </x:c>
      <x:c r="F185" s="24" t="n">
        <x:f>ROUND(D185-E185,1)</x:f>
        <x:v>55.4</x:v>
      </x:c>
      <x:c r="G185" s="23" t="str">
        <x:v>IM2509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6888</x:v>
      </x:c>
      <x:c r="E186" s="24" t="n">
        <x:v>6756.2</x:v>
      </x:c>
      <x:c r="F186" s="24" t="n">
        <x:f>ROUND(D186-E186,1)</x:f>
        <x:v>131.8</x:v>
      </x:c>
      <x:c r="G186" s="23" t="str">
        <x:v>IM2509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6891.8</x:v>
      </x:c>
      <x:c r="E187" s="24" t="n">
        <x:v>6824.2</x:v>
      </x:c>
      <x:c r="F187" s="24" t="n">
        <x:f>ROUND(D187-E187,1)</x:f>
        <x:v>67.6</x:v>
      </x:c>
      <x:c r="G187" s="23" t="str">
        <x:v>IM2509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7016</x:v>
      </x:c>
      <x:c r="E188" s="24" t="n">
        <x:v>6898.2</x:v>
      </x:c>
      <x:c r="F188" s="24" t="n">
        <x:f>ROUND(D188-E188,1)</x:f>
        <x:v>117.8</x:v>
      </x:c>
      <x:c r="G188" s="23" t="str">
        <x:v>IM2509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7027.8</x:v>
      </x:c>
      <x:c r="E189" s="24" t="n">
        <x:v>6893</x:v>
      </x:c>
      <x:c r="F189" s="24" t="n">
        <x:f>ROUND(D189-E189,1)</x:f>
        <x:v>134.8</x:v>
      </x:c>
      <x:c r="G189" s="23" t="str">
        <x:v>IM2509</x:v>
      </x:c>
    </x:row>
    <x:row r="190">
      <x:c r="A190" s="29" t="n">
        <x:v>11</x:v>
      </x:c>
      <x:c r="B190" s="29" t="str">
        <x:v>周五</x:v>
      </x:c>
      <x:c r="C190" s="29" t="str">
        <x:v>8月15日</x:v>
      </x:c>
      <x:c r="D190" s="30" t="n">
        <x:v>7086.8</x:v>
      </x:c>
      <x:c r="E190" s="30" t="n">
        <x:v>6918</x:v>
      </x:c>
      <x:c r="F190" s="30" t="n">
        <x:f>ROUND(D190-E190,1)</x:f>
        <x:v>168.8</x:v>
      </x:c>
      <x:c r="G190" s="29" t="str">
        <x:v>IM2509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7259.8</x:v>
      </x:c>
      <x:c r="E191" s="24" t="n">
        <x:v>7093.4</x:v>
      </x:c>
      <x:c r="F191" s="24" t="n">
        <x:f>ROUND(D191-E191,1)</x:f>
        <x:v>166.4</x:v>
      </x:c>
      <x:c r="G191" s="23" t="str">
        <x:v>IM2509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7235</x:v>
      </x:c>
      <x:c r="E192" s="24" t="n">
        <x:v>7155.6</x:v>
      </x:c>
      <x:c r="F192" s="24" t="n">
        <x:f>ROUND(D192-E192,1)</x:f>
        <x:v>79.4</x:v>
      </x:c>
      <x:c r="G192" s="23" t="str">
        <x:v>IM2509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7283</x:v>
      </x:c>
      <x:c r="E193" s="24" t="n">
        <x:v>7087.4</x:v>
      </x:c>
      <x:c r="F193" s="26" t="n">
        <x:f>ROUND(D193-E193,1)</x:f>
        <x:v>195.6</x:v>
      </x:c>
      <x:c r="G193" s="23" t="str">
        <x:v>IM2509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7312</x:v>
      </x:c>
      <x:c r="E194" s="24" t="n">
        <x:v>7156.2</x:v>
      </x:c>
      <x:c r="F194" s="24" t="n">
        <x:f>ROUND(D194-E194,1)</x:f>
        <x:v>155.8</x:v>
      </x:c>
      <x:c r="G194" s="23" t="str">
        <x:v>IM2509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7349.8</x:v>
      </x:c>
      <x:c r="E195" s="24" t="n">
        <x:v>7210</x:v>
      </x:c>
      <x:c r="F195" s="24" t="n">
        <x:f>ROUND(D195-E195,1)</x:f>
        <x:v>139.8</x:v>
      </x:c>
      <x:c r="G195" s="23" t="str">
        <x:v>IM2509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7495.4</x:v>
      </x:c>
      <x:c r="E196" s="24" t="n">
        <x:v>7362</x:v>
      </x:c>
      <x:c r="F196" s="24" t="n">
        <x:f>ROUND(D196-E196,1)</x:f>
        <x:v>133.4</x:v>
      </x:c>
      <x:c r="G196" s="23" t="str">
        <x:v>IM2509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7486.8</x:v>
      </x:c>
      <x:c r="E197" s="24" t="n">
        <x:v>7381.4</x:v>
      </x:c>
      <x:c r="F197" s="24" t="n">
        <x:f>ROUND(D197-E197,1)</x:f>
        <x:v>105.4</x:v>
      </x:c>
      <x:c r="G197" s="23" t="str">
        <x:v>IM2509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7511.6</x:v>
      </x:c>
      <x:c r="E198" s="24" t="n">
        <x:v>7275.8</x:v>
      </x:c>
      <x:c r="F198" s="26" t="n">
        <x:f>ROUND(D198-E198,1)</x:f>
        <x:v>235.8</x:v>
      </x:c>
      <x:c r="G198" s="23" t="str">
        <x:v>IM2509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7385</x:v>
      </x:c>
      <x:c r="E199" s="24" t="n">
        <x:v>7160.2</x:v>
      </x:c>
      <x:c r="F199" s="26" t="n">
        <x:f>ROUND(D199-E199,1)</x:f>
        <x:v>224.8</x:v>
      </x:c>
      <x:c r="G199" s="23" t="str">
        <x:v>IM2509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7419.8</x:v>
      </x:c>
      <x:c r="E200" s="24" t="n">
        <x:v>7280</x:v>
      </x:c>
      <x:c r="F200" s="24" t="n">
        <x:f>ROUND(D200-E200,1)</x:f>
        <x:v>139.8</x:v>
      </x:c>
      <x:c r="G200" s="23" t="str">
        <x:v>IM2509</x:v>
      </x:c>
    </x:row>
    <x:row r="201">
      <x:c r="A201" s="33" t="str">
        <x:v>合计</x:v>
      </x:c>
      <x:c r="B201" s="32" t="n">
        <x:v>21</x:v>
      </x:c>
      <x:c r="C201" s="32"/>
      <x:c r="D201" s="32"/>
      <x:c r="E201" s="32"/>
      <x:c r="F201" s="34" t="n">
        <x:f>ROUND(SUM(F180:F200),1)</x:f>
        <x:v>2726.4</x:v>
      </x:c>
      <x:c r="G201" s="32"/>
    </x:row>
    <x:row r="202">
      <x:c r="A202" s="33" t="str">
        <x:v>均值</x:v>
      </x:c>
      <x:c r="B202" s="32"/>
      <x:c r="C202" s="32"/>
      <x:c r="D202" s="32"/>
      <x:c r="E202" s="32"/>
      <x:c r="F202" s="36" t="n">
        <x:f>ROUND(IFERROR(AVERAGE(F180:F200),0),1)</x:f>
        <x:v>129.8</x:v>
      </x:c>
      <x:c r="G202" s="32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高点</x:v>
      </x:c>
      <x:c r="E205" s="20" t="str">
        <x:v>低点</x:v>
      </x:c>
      <x:c r="F205" s="20" t="str">
        <x:v>振幅</x:v>
      </x:c>
      <x:c r="G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7445.8</x:v>
      </x:c>
      <x:c r="E206" s="24" t="n">
        <x:v>7329.4</x:v>
      </x:c>
      <x:c r="F206" s="24" t="n">
        <x:f>ROUND(D206-E206,1)</x:f>
        <x:v>116.4</x:v>
      </x:c>
      <x:c r="G206" s="23" t="str">
        <x:v>IM2509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7393.8</x:v>
      </x:c>
      <x:c r="E207" s="24" t="n">
        <x:v>7182.4</x:v>
      </x:c>
      <x:c r="F207" s="26" t="n">
        <x:f>ROUND(D207-E207,1)</x:f>
        <x:v>211.4</x:v>
      </x:c>
      <x:c r="G207" s="23" t="str">
        <x:v>IM2509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7295.6</x:v>
      </x:c>
      <x:c r="E208" s="24" t="n">
        <x:v>7110.4</x:v>
      </x:c>
      <x:c r="F208" s="24" t="n">
        <x:f>ROUND(D208-E208,1)</x:f>
        <x:v>185.2</x:v>
      </x:c>
      <x:c r="G208" s="23" t="str">
        <x:v>IM2509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7205</x:v>
      </x:c>
      <x:c r="E209" s="24" t="n">
        <x:v>6910</x:v>
      </x:c>
      <x:c r="F209" s="26" t="n">
        <x:f>ROUND(D209-E209,1)</x:f>
        <x:v>295</x:v>
      </x:c>
      <x:c r="G209" s="23" t="str">
        <x:v>IM2509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7234.8</x:v>
      </x:c>
      <x:c r="E210" s="24" t="n">
        <x:v>6997.6</x:v>
      </x:c>
      <x:c r="F210" s="26" t="n">
        <x:f>ROUND(D210-E210,1)</x:f>
        <x:v>237.2</x:v>
      </x:c>
      <x:c r="G210" s="23" t="str">
        <x:v>IM2509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7278.6</x:v>
      </x:c>
      <x:c r="E211" s="24" t="n">
        <x:v>7163.4</x:v>
      </x:c>
      <x:c r="F211" s="24" t="n">
        <x:f>ROUND(D211-E211,1)</x:f>
        <x:v>115.2</x:v>
      </x:c>
      <x:c r="G211" s="23" t="str">
        <x:v>IM2509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7263</x:v>
      </x:c>
      <x:c r="E212" s="24" t="n">
        <x:v>7117.2</x:v>
      </x:c>
      <x:c r="F212" s="24" t="n">
        <x:f>ROUND(D212-E212,1)</x:f>
        <x:v>145.8</x:v>
      </x:c>
      <x:c r="G212" s="23" t="str">
        <x:v>IM2509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7268.8</x:v>
      </x:c>
      <x:c r="E213" s="24" t="n">
        <x:v>7138</x:v>
      </x:c>
      <x:c r="F213" s="24" t="n">
        <x:f>ROUND(D213-E213,1)</x:f>
        <x:v>130.8</x:v>
      </x:c>
      <x:c r="G213" s="23" t="str">
        <x:v>IM2509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7391.8</x:v>
      </x:c>
      <x:c r="E214" s="24" t="n">
        <x:v>7090</x:v>
      </x:c>
      <x:c r="F214" s="26" t="n">
        <x:f>ROUND(D214-E214,1)</x:f>
        <x:v>301.8</x:v>
      </x:c>
      <x:c r="G214" s="23" t="str">
        <x:v>IM2509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7448</x:v>
      </x:c>
      <x:c r="E215" s="24" t="n">
        <x:v>7366</x:v>
      </x:c>
      <x:c r="F215" s="24" t="n">
        <x:f>ROUND(D215-E215,1)</x:f>
        <x:v>82</x:v>
      </x:c>
      <x:c r="G215" s="23" t="str">
        <x:v>IM2509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7429.8</x:v>
      </x:c>
      <x:c r="E216" s="24" t="n">
        <x:v>7365</x:v>
      </x:c>
      <x:c r="F216" s="24" t="n">
        <x:f>ROUND(D216-E216,1)</x:f>
        <x:v>64.8</x:v>
      </x:c>
      <x:c r="G216" s="23" t="str">
        <x:v>IM2509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7474.2</x:v>
      </x:c>
      <x:c r="E217" s="24" t="n">
        <x:v>7329.2</x:v>
      </x:c>
      <x:c r="F217" s="24" t="n">
        <x:f>ROUND(D217-E217,1)</x:f>
        <x:v>145</x:v>
      </x:c>
      <x:c r="G217" s="23" t="str">
        <x:v>IM2509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7565</x:v>
      </x:c>
      <x:c r="E218" s="24" t="n">
        <x:v>7431</x:v>
      </x:c>
      <x:c r="F218" s="24" t="n">
        <x:f>ROUND(D218-E218,1)</x:f>
        <x:v>134</x:v>
      </x:c>
      <x:c r="G218" s="23" t="str">
        <x:v>IM2509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7660</x:v>
      </x:c>
      <x:c r="E219" s="24" t="n">
        <x:v>7371</x:v>
      </x:c>
      <x:c r="F219" s="26" t="n">
        <x:f>ROUND(D219-E219,1)</x:f>
        <x:v>289</x:v>
      </x:c>
      <x:c r="G219" s="23" t="str">
        <x:v>IM2509</x:v>
      </x:c>
    </x:row>
    <x:row r="220">
      <x:c r="A220" s="29" t="n">
        <x:v>15</x:v>
      </x:c>
      <x:c r="B220" s="29" t="str">
        <x:v>周五</x:v>
      </x:c>
      <x:c r="C220" s="29" t="str">
        <x:v>9月19日</x:v>
      </x:c>
      <x:c r="D220" s="30" t="n">
        <x:v>7513.8</x:v>
      </x:c>
      <x:c r="E220" s="30" t="n">
        <x:v>7425</x:v>
      </x:c>
      <x:c r="F220" s="30" t="n">
        <x:f>ROUND(D220-E220,1)</x:f>
        <x:v>88.8</x:v>
      </x:c>
      <x:c r="G220" s="29" t="str">
        <x:v>IM2509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7238</x:v>
      </x:c>
      <x:c r="E221" s="24" t="n">
        <x:v>7144</x:v>
      </x:c>
      <x:c r="F221" s="24" t="n">
        <x:f>ROUND(D221-E221,1)</x:f>
        <x:v>94</x:v>
      </x:c>
      <x:c r="G221" s="23" t="str">
        <x:v>IM2512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7244.8</x:v>
      </x:c>
      <x:c r="E222" s="24" t="n">
        <x:v>6995.6</x:v>
      </x:c>
      <x:c r="F222" s="26" t="n">
        <x:f>ROUND(D222-E222,1)</x:f>
        <x:v>249.2</x:v>
      </x:c>
      <x:c r="G222" s="23" t="str">
        <x:v>IM2512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7313.8</x:v>
      </x:c>
      <x:c r="E223" s="24" t="n">
        <x:v>7087</x:v>
      </x:c>
      <x:c r="F223" s="26" t="n">
        <x:f>ROUND(D223-E223,1)</x:f>
        <x:v>226.8</x:v>
      </x:c>
      <x:c r="G223" s="23" t="str">
        <x:v>IM2512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7342</x:v>
      </x:c>
      <x:c r="E224" s="24" t="n">
        <x:v>7251.8</x:v>
      </x:c>
      <x:c r="F224" s="24" t="n">
        <x:f>ROUND(D224-E224,1)</x:f>
        <x:v>90.2</x:v>
      </x:c>
      <x:c r="G224" s="23" t="str">
        <x:v>IM2512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7306</x:v>
      </x:c>
      <x:c r="E225" s="24" t="n">
        <x:v>7173</x:v>
      </x:c>
      <x:c r="F225" s="24" t="n">
        <x:f>ROUND(D225-E225,1)</x:f>
        <x:v>133</x:v>
      </x:c>
      <x:c r="G225" s="23" t="str">
        <x:v>IM2512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7374.4</x:v>
      </x:c>
      <x:c r="E226" s="24" t="n">
        <x:v>7158.8</x:v>
      </x:c>
      <x:c r="F226" s="26" t="n">
        <x:f>ROUND(D226-E226,1)</x:f>
        <x:v>215.6</x:v>
      </x:c>
      <x:c r="G226" s="23" t="str">
        <x:v>IM2512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7434.4</x:v>
      </x:c>
      <x:c r="E227" s="24" t="n">
        <x:v>7347.4</x:v>
      </x:c>
      <x:c r="F227" s="24" t="n">
        <x:f>ROUND(D227-E227,1)</x:f>
        <x:v>87</x:v>
      </x:c>
      <x:c r="G227" s="23" t="str">
        <x:v>IM2512</x:v>
      </x:c>
    </x:row>
    <x:row r="228">
      <x:c r="A228" s="33" t="str">
        <x:v>合计</x:v>
      </x:c>
      <x:c r="B228" s="32" t="n">
        <x:v>22</x:v>
      </x:c>
      <x:c r="C228" s="32"/>
      <x:c r="D228" s="32"/>
      <x:c r="E228" s="32"/>
      <x:c r="F228" s="34" t="n">
        <x:f>ROUND(SUM(F206:F227),1)</x:f>
        <x:v>3638.2</x:v>
      </x:c>
      <x:c r="G228" s="32"/>
    </x:row>
    <x:row r="229">
      <x:c r="A229" s="33" t="str">
        <x:v>均值</x:v>
      </x:c>
      <x:c r="B229" s="32"/>
      <x:c r="C229" s="32"/>
      <x:c r="D229" s="32"/>
      <x:c r="E229" s="32"/>
      <x:c r="F229" s="36" t="n">
        <x:f>ROUND(IFERROR(AVERAGE(F206:F227),0),1)</x:f>
        <x:v>165.4</x:v>
      </x:c>
      <x:c r="G229" s="32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高点</x:v>
      </x:c>
      <x:c r="E232" s="20" t="str">
        <x:v>低点</x:v>
      </x:c>
      <x:c r="F232" s="20" t="str">
        <x:v>振幅</x:v>
      </x:c>
      <x:c r="G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7519</x:v>
      </x:c>
      <x:c r="E233" s="24" t="n">
        <x:v>7413</x:v>
      </x:c>
      <x:c r="F233" s="24" t="n">
        <x:f>ROUND(D233-E233,1)</x:f>
        <x:v>106</x:v>
      </x:c>
      <x:c r="G233" s="23" t="str">
        <x:v>IM2512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7434</x:v>
      </x:c>
      <x:c r="E234" s="24" t="n">
        <x:v>7327</x:v>
      </x:c>
      <x:c r="F234" s="24" t="n">
        <x:f>ROUND(D234-E234,1)</x:f>
        <x:v>107</x:v>
      </x:c>
      <x:c r="G234" s="23" t="str">
        <x:v>IM2512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7333</x:v>
      </x:c>
      <x:c r="E235" s="24" t="n">
        <x:v>7141.2</x:v>
      </x:c>
      <x:c r="F235" s="26" t="n">
        <x:f>ROUND(D235-E235,1)</x:f>
        <x:v>191.8</x:v>
      </x:c>
      <x:c r="G235" s="23" t="str">
        <x:v>IM2512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7404</x:v>
      </x:c>
      <x:c r="E236" s="24" t="n">
        <x:v>7100</x:v>
      </x:c>
      <x:c r="F236" s="26" t="n">
        <x:f>ROUND(D236-E236,1)</x:f>
        <x:v>304</x:v>
      </x:c>
      <x:c r="G236" s="23" t="str">
        <x:v>IM2512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7305</x:v>
      </x:c>
      <x:c r="E237" s="24" t="n">
        <x:v>7128</x:v>
      </x:c>
      <x:c r="F237" s="24" t="n">
        <x:f>ROUND(D237-E237,1)</x:f>
        <x:v>177</x:v>
      </x:c>
      <x:c r="G237" s="23" t="str">
        <x:v>IM2512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7269.8</x:v>
      </x:c>
      <x:c r="E238" s="24" t="n">
        <x:v>7161.2</x:v>
      </x:c>
      <x:c r="F238" s="24" t="n">
        <x:f>ROUND(D238-E238,1)</x:f>
        <x:v>108.6</x:v>
      </x:c>
      <x:c r="G238" s="23" t="str">
        <x:v>IM2512</x:v>
      </x:c>
    </x:row>
    <x:row r="239">
      <x:c r="A239" s="29" t="n">
        <x:v>7</x:v>
      </x:c>
      <x:c r="B239" s="29" t="str">
        <x:v>周五</x:v>
      </x:c>
      <x:c r="C239" s="29" t="str">
        <x:v>10月17日</x:v>
      </x:c>
      <x:c r="D239" s="30" t="n">
        <x:v>7238</x:v>
      </x:c>
      <x:c r="E239" s="30" t="n">
        <x:v>7002.2</x:v>
      </x:c>
      <x:c r="F239" s="26" t="n">
        <x:f>ROUND(D239-E239,1)</x:f>
        <x:v>235.8</x:v>
      </x:c>
      <x:c r="G239" s="29" t="str">
        <x:v>IM2512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7150.8</x:v>
      </x:c>
      <x:c r="E240" s="24" t="n">
        <x:v>7028.4</x:v>
      </x:c>
      <x:c r="F240" s="24" t="n">
        <x:f>ROUND(D240-E240,1)</x:f>
        <x:v>122.4</x:v>
      </x:c>
      <x:c r="G240" s="23" t="str">
        <x:v>IM2512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7228.6</x:v>
      </x:c>
      <x:c r="E241" s="24" t="n">
        <x:v>7083</x:v>
      </x:c>
      <x:c r="F241" s="24" t="n">
        <x:f>ROUND(D241-E241,1)</x:f>
        <x:v>145.6</x:v>
      </x:c>
      <x:c r="G241" s="23" t="str">
        <x:v>IM2512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7201.2</x:v>
      </x:c>
      <x:c r="E242" s="24" t="n">
        <x:v>7117.2</x:v>
      </x:c>
      <x:c r="F242" s="24" t="n">
        <x:f>ROUND(D242-E242,1)</x:f>
        <x:v>84</x:v>
      </x:c>
      <x:c r="G242" s="23" t="str">
        <x:v>IM2512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7186.4</x:v>
      </x:c>
      <x:c r="E243" s="24" t="n">
        <x:v>7014.4</x:v>
      </x:c>
      <x:c r="F243" s="24" t="n">
        <x:f>ROUND(D243-E243,1)</x:f>
        <x:v>172</x:v>
      </x:c>
      <x:c r="G243" s="23" t="str">
        <x:v>IM2512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7298</x:v>
      </x:c>
      <x:c r="E244" s="24" t="n">
        <x:v>7194.4</x:v>
      </x:c>
      <x:c r="F244" s="24" t="n">
        <x:f>ROUND(D244-E244,1)</x:f>
        <x:v>103.6</x:v>
      </x:c>
      <x:c r="G244" s="23" t="str">
        <x:v>IM2512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7395.6</x:v>
      </x:c>
      <x:c r="E245" s="24" t="n">
        <x:v>7300.2</x:v>
      </x:c>
      <x:c r="F245" s="24" t="n">
        <x:f>ROUND(D245-E245,1)</x:f>
        <x:v>95.4</x:v>
      </x:c>
      <x:c r="G245" s="23" t="str">
        <x:v>IM2512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7416.8</x:v>
      </x:c>
      <x:c r="E246" s="24" t="n">
        <x:v>7301.2</x:v>
      </x:c>
      <x:c r="F246" s="24" t="n">
        <x:f>ROUND(D246-E246,1)</x:f>
        <x:v>115.6</x:v>
      </x:c>
      <x:c r="G246" s="23" t="str">
        <x:v>IM2512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7450</x:v>
      </x:c>
      <x:c r="E247" s="24" t="n">
        <x:v>7330.8</x:v>
      </x:c>
      <x:c r="F247" s="24" t="n">
        <x:f>ROUND(D247-E247,1)</x:f>
        <x:v>119.2</x:v>
      </x:c>
      <x:c r="G247" s="23" t="str">
        <x:v>IM2512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7444</x:v>
      </x:c>
      <x:c r="E248" s="24" t="n">
        <x:v>7328</x:v>
      </x:c>
      <x:c r="F248" s="24" t="n">
        <x:f>ROUND(D248-E248,1)</x:f>
        <x:v>116</x:v>
      </x:c>
      <x:c r="G248" s="23" t="str">
        <x:v>IM2512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7479</x:v>
      </x:c>
      <x:c r="E249" s="24" t="n">
        <x:v>7363</x:v>
      </x:c>
      <x:c r="F249" s="24" t="n">
        <x:f>ROUND(D249-E249,1)</x:f>
        <x:v>116</x:v>
      </x:c>
      <x:c r="G249" s="23" t="str">
        <x:v>IM2512</x:v>
      </x:c>
    </x:row>
    <x:row r="250">
      <x:c r="A250" s="33" t="str">
        <x:v>合计</x:v>
      </x:c>
      <x:c r="B250" s="32" t="n">
        <x:v>17</x:v>
      </x:c>
      <x:c r="C250" s="32"/>
      <x:c r="D250" s="32"/>
      <x:c r="E250" s="32"/>
      <x:c r="F250" s="34" t="n">
        <x:f>ROUND(SUM(F233:F249),1)</x:f>
        <x:v>2420</x:v>
      </x:c>
      <x:c r="G250" s="32"/>
    </x:row>
    <x:row r="251">
      <x:c r="A251" s="33" t="str">
        <x:v>均值</x:v>
      </x:c>
      <x:c r="B251" s="32"/>
      <x:c r="C251" s="32"/>
      <x:c r="D251" s="32"/>
      <x:c r="E251" s="32"/>
      <x:c r="F251" s="36" t="n">
        <x:f>ROUND(IFERROR(AVERAGE(F233:F249),0),1)</x:f>
        <x:v>142.4</x:v>
      </x:c>
      <x:c r="G251" s="32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高点</x:v>
      </x:c>
      <x:c r="E254" s="20" t="str">
        <x:v>低点</x:v>
      </x:c>
      <x:c r="F254" s="20" t="str">
        <x:v>振幅</x:v>
      </x:c>
      <x:c r="G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7411</x:v>
      </x:c>
      <x:c r="E255" s="24" t="n">
        <x:v>7275</x:v>
      </x:c>
      <x:c r="F255" s="24" t="n">
        <x:f>ROUND(D255-E255,1)</x:f>
        <x:v>136</x:v>
      </x:c>
      <x:c r="G255" s="23" t="str">
        <x:v>IM2512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7389</x:v>
      </x:c>
      <x:c r="E256" s="24" t="n">
        <x:v>7215.4</x:v>
      </x:c>
      <x:c r="F256" s="24" t="n">
        <x:f>ROUND(D256-E256,1)</x:f>
        <x:v>173.6</x:v>
      </x:c>
      <x:c r="G256" s="23" t="str">
        <x:v>IM2512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7355</x:v>
      </x:c>
      <x:c r="E257" s="24" t="n">
        <x:v>7200.4</x:v>
      </x:c>
      <x:c r="F257" s="24" t="n">
        <x:f>ROUND(D257-E257,1)</x:f>
        <x:v>154.6</x:v>
      </x:c>
      <x:c r="G257" s="23" t="str">
        <x:v>IM2512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7418</x:v>
      </x:c>
      <x:c r="E258" s="24" t="n">
        <x:v>7300</x:v>
      </x:c>
      <x:c r="F258" s="24" t="n">
        <x:f>ROUND(D258-E258,1)</x:f>
        <x:v>118</x:v>
      </x:c>
      <x:c r="G258" s="23" t="str">
        <x:v>IM2512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7443.8</x:v>
      </x:c>
      <x:c r="E259" s="24" t="n">
        <x:v>7340</x:v>
      </x:c>
      <x:c r="F259" s="24" t="n">
        <x:f>ROUND(D259-E259,1)</x:f>
        <x:v>103.8</x:v>
      </x:c>
      <x:c r="G259" s="23" t="str">
        <x:v>IM2512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7477.4</x:v>
      </x:c>
      <x:c r="E260" s="24" t="n">
        <x:v>7368.2</x:v>
      </x:c>
      <x:c r="F260" s="24" t="n">
        <x:f>ROUND(D260-E260,1)</x:f>
        <x:v>109.2</x:v>
      </x:c>
      <x:c r="G260" s="23" t="str">
        <x:v>IM2512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7484</x:v>
      </x:c>
      <x:c r="E261" s="24" t="n">
        <x:v>7375</x:v>
      </x:c>
      <x:c r="F261" s="24" t="n">
        <x:f>ROUND(D261-E261,1)</x:f>
        <x:v>109</x:v>
      </x:c>
      <x:c r="G261" s="23" t="str">
        <x:v>IM2512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7417</x:v>
      </x:c>
      <x:c r="E262" s="24" t="n">
        <x:v>7293</x:v>
      </x:c>
      <x:c r="F262" s="24" t="n">
        <x:f>ROUND(D262-E262,1)</x:f>
        <x:v>124</x:v>
      </x:c>
      <x:c r="G262" s="23" t="str">
        <x:v>IM2512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7487.8</x:v>
      </x:c>
      <x:c r="E263" s="24" t="n">
        <x:v>7337.6</x:v>
      </x:c>
      <x:c r="F263" s="24" t="n">
        <x:f>ROUND(D263-E263,1)</x:f>
        <x:v>150.2</x:v>
      </x:c>
      <x:c r="G263" s="23" t="str">
        <x:v>IM2512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7469</x:v>
      </x:c>
      <x:c r="E264" s="24" t="n">
        <x:v>7372</x:v>
      </x:c>
      <x:c r="F264" s="24" t="n">
        <x:f>ROUND(D264-E264,1)</x:f>
        <x:v>97</x:v>
      </x:c>
      <x:c r="G264" s="23" t="str">
        <x:v>IM2512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7429.8</x:v>
      </x:c>
      <x:c r="E265" s="24" t="n">
        <x:v>7351.2</x:v>
      </x:c>
      <x:c r="F265" s="24" t="n">
        <x:f>ROUND(D265-E265,1)</x:f>
        <x:v>78.6</x:v>
      </x:c>
      <x:c r="G265" s="23" t="str">
        <x:v>IM2512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7399.6</x:v>
      </x:c>
      <x:c r="E266" s="24" t="n">
        <x:v>7303</x:v>
      </x:c>
      <x:c r="F266" s="24" t="n">
        <x:f>ROUND(D266-E266,1)</x:f>
        <x:v>96.6</x:v>
      </x:c>
      <x:c r="G266" s="23" t="str">
        <x:v>IM2512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7388.4</x:v>
      </x:c>
      <x:c r="E267" s="24" t="n">
        <x:v>7252.2</x:v>
      </x:c>
      <x:c r="F267" s="24" t="n">
        <x:f>ROUND(D267-E267,1)</x:f>
        <x:v>136.2</x:v>
      </x:c>
      <x:c r="G267" s="23" t="str">
        <x:v>IM2512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7358.4</x:v>
      </x:c>
      <x:c r="E268" s="24" t="n">
        <x:v>7246.8</x:v>
      </x:c>
      <x:c r="F268" s="24" t="n">
        <x:f>ROUND(D268-E268,1)</x:f>
        <x:v>111.6</x:v>
      </x:c>
      <x:c r="G268" s="23" t="str">
        <x:v>IM2512</x:v>
      </x:c>
    </x:row>
    <x:row r="269">
      <x:c r="A269" s="29" t="n">
        <x:v>15</x:v>
      </x:c>
      <x:c r="B269" s="29" t="str">
        <x:v>周五</x:v>
      </x:c>
      <x:c r="C269" s="29" t="str">
        <x:v>11月21日</x:v>
      </x:c>
      <x:c r="D269" s="30" t="n">
        <x:v>7234</x:v>
      </x:c>
      <x:c r="E269" s="30" t="n">
        <x:v>7012</x:v>
      </x:c>
      <x:c r="F269" s="26" t="n">
        <x:f>ROUND(D269-E269,1)</x:f>
        <x:v>222</x:v>
      </x:c>
      <x:c r="G269" s="29" t="str">
        <x:v>IM2512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7132.4</x:v>
      </x:c>
      <x:c r="E270" s="24" t="n">
        <x:v>7008.8</x:v>
      </x:c>
      <x:c r="F270" s="24" t="n">
        <x:f>ROUND(D270-E270,1)</x:f>
        <x:v>123.6</x:v>
      </x:c>
      <x:c r="G270" s="23" t="str">
        <x:v>IM2512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7250</x:v>
      </x:c>
      <x:c r="E271" s="24" t="n">
        <x:v>7136.2</x:v>
      </x:c>
      <x:c r="F271" s="24" t="n">
        <x:f>ROUND(D271-E271,1)</x:f>
        <x:v>113.8</x:v>
      </x:c>
      <x:c r="G271" s="23" t="str">
        <x:v>IM2512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7245</x:v>
      </x:c>
      <x:c r="E272" s="24" t="n">
        <x:v>7152</x:v>
      </x:c>
      <x:c r="F272" s="24" t="n">
        <x:f>ROUND(D272-E272,1)</x:f>
        <x:v>93</x:v>
      </x:c>
      <x:c r="G272" s="23" t="str">
        <x:v>IM2512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7264</x:v>
      </x:c>
      <x:c r="E273" s="24" t="n">
        <x:v>7167.6</x:v>
      </x:c>
      <x:c r="F273" s="24" t="n">
        <x:f>ROUND(D273-E273,1)</x:f>
        <x:v>96.4</x:v>
      </x:c>
      <x:c r="G273" s="23" t="str">
        <x:v>IM2512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7261.6</x:v>
      </x:c>
      <x:c r="E274" s="24" t="n">
        <x:v>7161.2</x:v>
      </x:c>
      <x:c r="F274" s="24" t="n">
        <x:f>ROUND(D274-E274,1)</x:f>
        <x:v>100.4</x:v>
      </x:c>
      <x:c r="G274" s="23" t="str">
        <x:v>IM2512</x:v>
      </x:c>
    </x:row>
    <x:row r="275">
      <x:c r="A275" s="33" t="str">
        <x:v>合计</x:v>
      </x:c>
      <x:c r="B275" s="32" t="n">
        <x:v>20</x:v>
      </x:c>
      <x:c r="C275" s="32"/>
      <x:c r="D275" s="32"/>
      <x:c r="E275" s="32"/>
      <x:c r="F275" s="34" t="n">
        <x:f>ROUND(SUM(F255:F274),1)</x:f>
        <x:v>2447.6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ROUND(IFERROR(AVERAGE(F255:F274),0),1)</x:f>
        <x:v>122.4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7328.4</x:v>
      </x:c>
      <x:c r="E280" s="24" t="n">
        <x:v>7256.4</x:v>
      </x:c>
      <x:c r="F280" s="24" t="n">
        <x:f>ROUND(D280-E280,1)</x:f>
        <x:v>72</x:v>
      </x:c>
      <x:c r="G280" s="23" t="str">
        <x:v>IM2512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7286</x:v>
      </x:c>
      <x:c r="E281" s="24" t="n">
        <x:v>7220</x:v>
      </x:c>
      <x:c r="F281" s="24" t="n">
        <x:f>ROUND(D281-E281,1)</x:f>
        <x:v>66</x:v>
      </x:c>
      <x:c r="G281" s="23" t="str">
        <x:v>IM2512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7265</x:v>
      </x:c>
      <x:c r="E282" s="24" t="n">
        <x:v>7170.6</x:v>
      </x:c>
      <x:c r="F282" s="24" t="n">
        <x:f>ROUND(D282-E282,1)</x:f>
        <x:v>94.4</x:v>
      </x:c>
      <x:c r="G282" s="23" t="str">
        <x:v>IM2512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7224</x:v>
      </x:c>
      <x:c r="E283" s="24" t="n">
        <x:v>7137.2</x:v>
      </x:c>
      <x:c r="F283" s="24" t="n">
        <x:f>ROUND(D283-E283,1)</x:f>
        <x:v>86.8</x:v>
      </x:c>
      <x:c r="G283" s="23" t="str">
        <x:v>IM2512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7323.8</x:v>
      </x:c>
      <x:c r="E284" s="24" t="n">
        <x:v>7145.6</x:v>
      </x:c>
      <x:c r="F284" s="24" t="n">
        <x:f>ROUND(D284-E284,1)</x:f>
        <x:v>178.2</x:v>
      </x:c>
      <x:c r="G284" s="23" t="str">
        <x:v>IM2512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7409.6</x:v>
      </x:c>
      <x:c r="E285" s="24" t="n">
        <x:v>7332</x:v>
      </x:c>
      <x:c r="F285" s="24" t="n">
        <x:f>ROUND(D285-E285,1)</x:f>
        <x:v>77.6</x:v>
      </x:c>
      <x:c r="G285" s="23" t="str">
        <x:v>IM2512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7406</x:v>
      </x:c>
      <x:c r="E286" s="24" t="n">
        <x:v>7343</x:v>
      </x:c>
      <x:c r="F286" s="24" t="n">
        <x:f>ROUND(D286-E286,1)</x:f>
        <x:v>63</x:v>
      </x:c>
      <x:c r="G286" s="23" t="str">
        <x:v>IM2512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7390.2</x:v>
      </x:c>
      <x:c r="E287" s="24" t="n">
        <x:v>7295</x:v>
      </x:c>
      <x:c r="F287" s="24" t="n">
        <x:f>ROUND(D287-E287,1)</x:f>
        <x:v>95.2</x:v>
      </x:c>
      <x:c r="G287" s="23" t="str">
        <x:v>IM2512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7399.8</x:v>
      </x:c>
      <x:c r="E288" s="24" t="n">
        <x:v>7298.2</x:v>
      </x:c>
      <x:c r="F288" s="24" t="n">
        <x:f>ROUND(D288-E288,1)</x:f>
        <x:v>101.6</x:v>
      </x:c>
      <x:c r="G288" s="23" t="str">
        <x:v>IM2512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7385</x:v>
      </x:c>
      <x:c r="E289" s="24" t="n">
        <x:v>7279</x:v>
      </x:c>
      <x:c r="F289" s="24" t="n">
        <x:f>ROUND(D289-E289,1)</x:f>
        <x:v>106</x:v>
      </x:c>
      <x:c r="G289" s="23" t="str">
        <x:v>IM2512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7369.8</x:v>
      </x:c>
      <x:c r="E290" s="24" t="n">
        <x:v>7296</x:v>
      </x:c>
      <x:c r="F290" s="24" t="n">
        <x:f>ROUND(D290-E290,1)</x:f>
        <x:v>73.8</x:v>
      </x:c>
      <x:c r="G290" s="23" t="str">
        <x:v>IM2512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7299.2</x:v>
      </x:c>
      <x:c r="E291" s="24" t="n">
        <x:v>7143.2</x:v>
      </x:c>
      <x:c r="F291" s="24" t="n">
        <x:f>ROUND(D291-E291,1)</x:f>
        <x:v>156</x:v>
      </x:c>
      <x:c r="G291" s="23" t="str">
        <x:v>IM2512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7320</x:v>
      </x:c>
      <x:c r="E292" s="24" t="n">
        <x:v>7153</x:v>
      </x:c>
      <x:c r="F292" s="24" t="n">
        <x:f>ROUND(D292-E292,1)</x:f>
        <x:v>167</x:v>
      </x:c>
      <x:c r="G292" s="23" t="str">
        <x:v>IM2512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7348</x:v>
      </x:c>
      <x:c r="E293" s="24" t="n">
        <x:v>7252</x:v>
      </x:c>
      <x:c r="F293" s="24" t="n">
        <x:f>ROUND(D293-E293,1)</x:f>
        <x:v>96</x:v>
      </x:c>
      <x:c r="G293" s="23" t="str">
        <x:v>IM2512</x:v>
      </x:c>
    </x:row>
    <x:row r="294">
      <x:c r="A294" s="29" t="n">
        <x:v>15</x:v>
      </x:c>
      <x:c r="B294" s="29" t="str">
        <x:v>周五</x:v>
      </x:c>
      <x:c r="C294" s="29" t="str">
        <x:v>12月19日</x:v>
      </x:c>
      <x:c r="D294" s="30" t="n">
        <x:v>7363.4</x:v>
      </x:c>
      <x:c r="E294" s="30" t="n">
        <x:v>7281.6</x:v>
      </x:c>
      <x:c r="F294" s="30" t="n">
        <x:f>ROUND(D294-E294,1)</x:f>
        <x:v>81.8</x:v>
      </x:c>
      <x:c r="G294" s="29" t="str">
        <x:v>IM2512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7253.8</x:v>
      </x:c>
      <x:c r="E295" s="24" t="n">
        <x:v>7169.8</x:v>
      </x:c>
      <x:c r="F295" s="24" t="n">
        <x:f>ROUND(D295-E295,1)</x:f>
        <x:v>84</x:v>
      </x:c>
      <x:c r="G295" s="23" t="str">
        <x:v>IM2603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7247.8</x:v>
      </x:c>
      <x:c r="E296" s="24" t="n">
        <x:v>7177.6</x:v>
      </x:c>
      <x:c r="F296" s="24" t="n">
        <x:f>ROUND(D296-E296,1)</x:f>
        <x:v>70.2</x:v>
      </x:c>
      <x:c r="G296" s="23" t="str">
        <x:v>IM2603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7351.6</x:v>
      </x:c>
      <x:c r="E297" s="24" t="n">
        <x:v>7193</x:v>
      </x:c>
      <x:c r="F297" s="24" t="n">
        <x:f>ROUND(D297-E297,1)</x:f>
        <x:v>158.6</x:v>
      </x:c>
      <x:c r="G297" s="23" t="str">
        <x:v>IM2603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7443.8</x:v>
      </x:c>
      <x:c r="E298" s="24" t="n">
        <x:v>7305.2</x:v>
      </x:c>
      <x:c r="F298" s="24" t="n">
        <x:f>ROUND(D298-E298,1)</x:f>
        <x:v>138.6</x:v>
      </x:c>
      <x:c r="G298" s="23" t="str">
        <x:v>IM2603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7526</x:v>
      </x:c>
      <x:c r="E299" s="24" t="n">
        <x:v>7420.4</x:v>
      </x:c>
      <x:c r="F299" s="24" t="n">
        <x:f>ROUND(D299-E299,1)</x:f>
        <x:v>105.6</x:v>
      </x:c>
      <x:c r="G299" s="23" t="str">
        <x:v>IM2603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7499</x:v>
      </x:c>
      <x:c r="E300" s="24" t="n">
        <x:v>7413.8</x:v>
      </x:c>
      <x:c r="F300" s="24" t="n">
        <x:f>ROUND(D300-E300,1)</x:f>
        <x:v>85.2</x:v>
      </x:c>
      <x:c r="G300" s="23" t="str">
        <x:v>IM2603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7502</x:v>
      </x:c>
      <x:c r="E301" s="24" t="n">
        <x:v>7410.2</x:v>
      </x:c>
      <x:c r="F301" s="24" t="n">
        <x:f>ROUND(D301-E301,1)</x:f>
        <x:v>91.8</x:v>
      </x:c>
      <x:c r="G301" s="23" t="str">
        <x:v>IM2603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7475.8</x:v>
      </x:c>
      <x:c r="E302" s="24" t="n">
        <x:v>7406</x:v>
      </x:c>
      <x:c r="F302" s="24" t="n">
        <x:f>ROUND(D302-E302,1)</x:f>
        <x:v>69.8</x:v>
      </x:c>
      <x:c r="G302" s="23" t="str">
        <x:v>IM2603</x:v>
      </x:c>
    </x:row>
    <x:row r="303">
      <x:c r="A303" s="33" t="str">
        <x:v>合计</x:v>
      </x:c>
      <x:c r="B303" s="32" t="n">
        <x:v>23</x:v>
      </x:c>
      <x:c r="C303" s="32"/>
      <x:c r="D303" s="32"/>
      <x:c r="E303" s="32"/>
      <x:c r="F303" s="34" t="n">
        <x:f>ROUND(SUM(F280:F302),1)</x:f>
        <x:v>2319.2</x:v>
      </x:c>
      <x:c r="G303" s="32"/>
    </x:row>
    <x:row r="304">
      <x:c r="A304" s="33" t="str">
        <x:v>均值</x:v>
      </x:c>
      <x:c r="B304" s="32"/>
      <x:c r="C304" s="32"/>
      <x:c r="D304" s="32"/>
      <x:c r="E304" s="32"/>
      <x:c r="F304" s="36" t="n">
        <x:f>ROUND(IFERROR(AVERAGE(F280:F302),0),1)</x:f>
        <x:v>100.8</x:v>
      </x:c>
      <x:c r="G304" s="32"/>
    </x:row>
  </x:sheetData>
  <x:mergeCells>
    <x:mergeCell ref="A1:G1"/>
    <x:mergeCell ref="A3:G3"/>
    <x:mergeCell ref="A26:G26"/>
    <x:mergeCell ref="A49:G49"/>
    <x:mergeCell ref="A75:G75"/>
    <x:mergeCell ref="A101:G101"/>
    <x:mergeCell ref="A125:G125"/>
    <x:mergeCell ref="A150:G150"/>
    <x:mergeCell ref="A178:G178"/>
    <x:mergeCell ref="A204:G204"/>
    <x:mergeCell ref="A231:G231"/>
    <x:mergeCell ref="A253:G253"/>
    <x:mergeCell ref="A278:G27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2025年统计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5663.8</x:v>
      </x:c>
      <x:c r="E5" s="24" t="n">
        <x:v>5426.6</x:v>
      </x:c>
      <x:c r="F5" s="26" t="n">
        <x:f>ROUND(D5-E5,1)</x:f>
        <x:v>237.2</x:v>
      </x:c>
      <x:c r="G5" s="23" t="str">
        <x:v>IC2503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5520</x:v>
      </x:c>
      <x:c r="E6" s="24" t="n">
        <x:v>5361.6</x:v>
      </x:c>
      <x:c r="F6" s="26" t="n">
        <x:f>ROUND(D6-E6,1)</x:f>
        <x:v>158.4</x:v>
      </x:c>
      <x:c r="G6" s="23" t="str">
        <x:v>IC2503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5427.6</x:v>
      </x:c>
      <x:c r="E7" s="24" t="n">
        <x:v>5338</x:v>
      </x:c>
      <x:c r="F7" s="24" t="n">
        <x:f>ROUND(D7-E7,1)</x:f>
        <x:v>89.6</x:v>
      </x:c>
      <x:c r="G7" s="23" t="str">
        <x:v>IC2503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5433</x:v>
      </x:c>
      <x:c r="E8" s="24" t="n">
        <x:v>5349.2</x:v>
      </x:c>
      <x:c r="F8" s="24" t="n">
        <x:f>ROUND(D8-E8,1)</x:f>
        <x:v>83.8</x:v>
      </x:c>
      <x:c r="G8" s="23" t="str">
        <x:v>IC2503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5451.6</x:v>
      </x:c>
      <x:c r="E9" s="24" t="n">
        <x:v>5260.2</x:v>
      </x:c>
      <x:c r="F9" s="26" t="n">
        <x:f>ROUND(D9-E9,1)</x:f>
        <x:v>191.4</x:v>
      </x:c>
      <x:c r="G9" s="23" t="str">
        <x:v>IC2503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5436.8</x:v>
      </x:c>
      <x:c r="E10" s="24" t="n">
        <x:v>5381.2</x:v>
      </x:c>
      <x:c r="F10" s="24" t="n">
        <x:f>ROUND(D10-E10,1)</x:f>
        <x:v>55.6</x:v>
      </x:c>
      <x:c r="G10" s="23" t="str">
        <x:v>IC2503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5444.8</x:v>
      </x:c>
      <x:c r="E11" s="24" t="n">
        <x:v>5315.6</x:v>
      </x:c>
      <x:c r="F11" s="24" t="n">
        <x:f>ROUND(D11-E11,1)</x:f>
        <x:v>129.2</x:v>
      </x:c>
      <x:c r="G11" s="23" t="str">
        <x:v>IC2503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5376.8</x:v>
      </x:c>
      <x:c r="E12" s="24" t="n">
        <x:v>5273.2</x:v>
      </x:c>
      <x:c r="F12" s="24" t="n">
        <x:f>ROUND(D12-E12,1)</x:f>
        <x:v>103.6</x:v>
      </x:c>
      <x:c r="G12" s="23" t="str">
        <x:v>IC2503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5549</x:v>
      </x:c>
      <x:c r="E13" s="24" t="n">
        <x:v>5323.6</x:v>
      </x:c>
      <x:c r="F13" s="26" t="n">
        <x:f>ROUND(D13-E13,1)</x:f>
        <x:v>225.4</x:v>
      </x:c>
      <x:c r="G13" s="23" t="str">
        <x:v>IC2503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5525</x:v>
      </x:c>
      <x:c r="E14" s="24" t="n">
        <x:v>5465.6</x:v>
      </x:c>
      <x:c r="F14" s="24" t="n">
        <x:f>ROUND(D14-E14,1)</x:f>
        <x:v>59.4</x:v>
      </x:c>
      <x:c r="G14" s="23" t="str">
        <x:v>IC2503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5602</x:v>
      </x:c>
      <x:c r="E15" s="24" t="n">
        <x:v>5457.2</x:v>
      </x:c>
      <x:c r="F15" s="24" t="n">
        <x:f>ROUND(D15-E15,1)</x:f>
        <x:v>144.8</x:v>
      </x:c>
      <x:c r="G15" s="23" t="str">
        <x:v>IC2503</x:v>
      </x:c>
    </x:row>
    <x:row r="16">
      <x:c r="A16" s="29" t="n">
        <x:v>12</x:v>
      </x:c>
      <x:c r="B16" s="29" t="str">
        <x:v>周五</x:v>
      </x:c>
      <x:c r="C16" s="29" t="str">
        <x:v>1月17日</x:v>
      </x:c>
      <x:c r="D16" s="30" t="n">
        <x:v>5587.8</x:v>
      </x:c>
      <x:c r="E16" s="30" t="n">
        <x:v>5468.2</x:v>
      </x:c>
      <x:c r="F16" s="30" t="n">
        <x:f>ROUND(D16-E16,1)</x:f>
        <x:v>119.6</x:v>
      </x:c>
      <x:c r="G16" s="29" t="str">
        <x:v>IC2503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5644.2</x:v>
      </x:c>
      <x:c r="E17" s="24" t="n">
        <x:v>5564.4</x:v>
      </x:c>
      <x:c r="F17" s="24" t="n">
        <x:f>ROUND(D17-E17,1)</x:f>
        <x:v>79.8</x:v>
      </x:c>
      <x:c r="G17" s="23" t="str">
        <x:v>IC2503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5622.4</x:v>
      </x:c>
      <x:c r="E18" s="24" t="n">
        <x:v>5536</x:v>
      </x:c>
      <x:c r="F18" s="24" t="n">
        <x:f>ROUND(D18-E18,1)</x:f>
        <x:v>86.4</x:v>
      </x:c>
      <x:c r="G18" s="23" t="str">
        <x:v>IC2503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5584</x:v>
      </x:c>
      <x:c r="E19" s="24" t="n">
        <x:v>5510.2</x:v>
      </x:c>
      <x:c r="F19" s="24" t="n">
        <x:f>ROUND(D19-E19,1)</x:f>
        <x:v>73.8</x:v>
      </x:c>
      <x:c r="G19" s="23" t="str">
        <x:v>IC2503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5704</x:v>
      </x:c>
      <x:c r="E20" s="24" t="n">
        <x:v>5536.6</x:v>
      </x:c>
      <x:c r="F20" s="26" t="n">
        <x:f>ROUND(D20-E20,1)</x:f>
        <x:v>167.4</x:v>
      </x:c>
      <x:c r="G20" s="23" t="str">
        <x:v>IC2503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5648</x:v>
      </x:c>
      <x:c r="E21" s="24" t="n">
        <x:v>5540</x:v>
      </x:c>
      <x:c r="F21" s="24" t="n">
        <x:f>ROUND(D21-E21,1)</x:f>
        <x:v>108</x:v>
      </x:c>
      <x:c r="G21" s="23" t="str">
        <x:v>IC2503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5658.8</x:v>
      </x:c>
      <x:c r="E22" s="24" t="n">
        <x:v>5525</x:v>
      </x:c>
      <x:c r="F22" s="24" t="n">
        <x:f>ROUND(D22-E22,1)</x:f>
        <x:v>133.8</x:v>
      </x:c>
      <x:c r="G22" s="23" t="str">
        <x:v>IC2503</x:v>
      </x:c>
    </x:row>
    <x:row r="23">
      <x:c r="A23" s="33" t="str">
        <x:v>合计</x:v>
      </x:c>
      <x:c r="B23" s="32" t="n">
        <x:v>18</x:v>
      </x:c>
      <x:c r="C23" s="32"/>
      <x:c r="D23" s="32"/>
      <x:c r="E23" s="32"/>
      <x:c r="F23" s="34" t="n">
        <x:f>ROUND(SUM(F5:F22),1)</x:f>
        <x:v>2247.2</x:v>
      </x:c>
      <x:c r="G23" s="32"/>
    </x:row>
    <x:row r="24">
      <x:c r="A24" s="33" t="str">
        <x:v>均值</x:v>
      </x:c>
      <x:c r="B24" s="32"/>
      <x:c r="C24" s="32"/>
      <x:c r="D24" s="32"/>
      <x:c r="E24" s="32"/>
      <x:c r="F24" s="36" t="n">
        <x:f>ROUND(IFERROR(AVERAGE(F5:F22),0),1)</x:f>
        <x:v>124.8</x:v>
      </x:c>
      <x:c r="G24" s="32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高点</x:v>
      </x:c>
      <x:c r="E27" s="20" t="str">
        <x:v>低点</x:v>
      </x:c>
      <x:c r="F27" s="20" t="str">
        <x:v>振幅</x:v>
      </x:c>
      <x:c r="G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5613</x:v>
      </x:c>
      <x:c r="E28" s="24" t="n">
        <x:v>5540.6</x:v>
      </x:c>
      <x:c r="F28" s="24" t="n">
        <x:f>ROUND(D28-E28,1)</x:f>
        <x:v>72.4</x:v>
      </x:c>
      <x:c r="G28" s="23" t="str">
        <x:v>IC2503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5728</x:v>
      </x:c>
      <x:c r="E29" s="24" t="n">
        <x:v>5551.4</x:v>
      </x:c>
      <x:c r="F29" s="26" t="n">
        <x:f>ROUND(D29-E29,1)</x:f>
        <x:v>176.6</x:v>
      </x:c>
      <x:c r="G29" s="23" t="str">
        <x:v>IC2503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5877.4</x:v>
      </x:c>
      <x:c r="E30" s="24" t="n">
        <x:v>5703.6</x:v>
      </x:c>
      <x:c r="F30" s="26" t="n">
        <x:f>ROUND(D30-E30,1)</x:f>
        <x:v>173.8</x:v>
      </x:c>
      <x:c r="G30" s="23" t="str">
        <x:v>IC2503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5863.8</x:v>
      </x:c>
      <x:c r="E31" s="24" t="n">
        <x:v>5804</x:v>
      </x:c>
      <x:c r="F31" s="24" t="n">
        <x:f>ROUND(D31-E31,1)</x:f>
        <x:v>59.8</x:v>
      </x:c>
      <x:c r="G31" s="23" t="str">
        <x:v>IC2503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5848.8</x:v>
      </x:c>
      <x:c r="E32" s="24" t="n">
        <x:v>5782.6</x:v>
      </x:c>
      <x:c r="F32" s="24" t="n">
        <x:f>ROUND(D32-E32,1)</x:f>
        <x:v>66.2</x:v>
      </x:c>
      <x:c r="G32" s="23" t="str">
        <x:v>IC2503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5916.2</x:v>
      </x:c>
      <x:c r="E33" s="24" t="n">
        <x:v>5809.4</x:v>
      </x:c>
      <x:c r="F33" s="24" t="n">
        <x:f>ROUND(D33-E33,1)</x:f>
        <x:v>106.8</x:v>
      </x:c>
      <x:c r="G33" s="23" t="str">
        <x:v>IC2503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5917.8</x:v>
      </x:c>
      <x:c r="E34" s="24" t="n">
        <x:v>5850</x:v>
      </x:c>
      <x:c r="F34" s="24" t="n">
        <x:f>ROUND(D34-E34,1)</x:f>
        <x:v>67.8</x:v>
      </x:c>
      <x:c r="G34" s="23" t="str">
        <x:v>IC2503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5933.8</x:v>
      </x:c>
      <x:c r="E35" s="24" t="n">
        <x:v>5855</x:v>
      </x:c>
      <x:c r="F35" s="24" t="n">
        <x:f>ROUND(D35-E35,1)</x:f>
        <x:v>78.8</x:v>
      </x:c>
      <x:c r="G35" s="23" t="str">
        <x:v>IC2503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5960</x:v>
      </x:c>
      <x:c r="E36" s="24" t="n">
        <x:v>5860.6</x:v>
      </x:c>
      <x:c r="F36" s="24" t="n">
        <x:f>ROUND(D36-E36,1)</x:f>
        <x:v>99.4</x:v>
      </x:c>
      <x:c r="G36" s="23" t="str">
        <x:v>IC2503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5919.2</x:v>
      </x:c>
      <x:c r="E37" s="24" t="n">
        <x:v>5783</x:v>
      </x:c>
      <x:c r="F37" s="24" t="n">
        <x:f>ROUND(D37-E37,1)</x:f>
        <x:v>136.2</x:v>
      </x:c>
      <x:c r="G37" s="23" t="str">
        <x:v>IC2503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5924.6</x:v>
      </x:c>
      <x:c r="E38" s="24" t="n">
        <x:v>5806.6</x:v>
      </x:c>
      <x:c r="F38" s="24" t="n">
        <x:f>ROUND(D38-E38,1)</x:f>
        <x:v>118</x:v>
      </x:c>
      <x:c r="G38" s="23" t="str">
        <x:v>IC2503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5948.8</x:v>
      </x:c>
      <x:c r="E39" s="24" t="n">
        <x:v>5881.8</x:v>
      </x:c>
      <x:c r="F39" s="24" t="n">
        <x:f>ROUND(D39-E39,1)</x:f>
        <x:v>67</x:v>
      </x:c>
      <x:c r="G39" s="23" t="str">
        <x:v>IC2503</x:v>
      </x:c>
    </x:row>
    <x:row r="40">
      <x:c r="A40" s="29" t="n">
        <x:v>13</x:v>
      </x:c>
      <x:c r="B40" s="29" t="str">
        <x:v>周五</x:v>
      </x:c>
      <x:c r="C40" s="29" t="str">
        <x:v>2月21日</x:v>
      </x:c>
      <x:c r="D40" s="30" t="n">
        <x:v>6048.2</x:v>
      </x:c>
      <x:c r="E40" s="30" t="n">
        <x:v>5909</x:v>
      </x:c>
      <x:c r="F40" s="30" t="n">
        <x:f>ROUND(D40-E40,1)</x:f>
        <x:v>139.2</x:v>
      </x:c>
      <x:c r="G40" s="29" t="str">
        <x:v>IC2503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6030</x:v>
      </x:c>
      <x:c r="E41" s="24" t="n">
        <x:v>5958</x:v>
      </x:c>
      <x:c r="F41" s="24" t="n">
        <x:f>ROUND(D41-E41,1)</x:f>
        <x:v>72</x:v>
      </x:c>
      <x:c r="G41" s="23" t="str">
        <x:v>IC2503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5998.8</x:v>
      </x:c>
      <x:c r="E42" s="24" t="n">
        <x:v>5916.6</x:v>
      </x:c>
      <x:c r="F42" s="24" t="n">
        <x:f>ROUND(D42-E42,1)</x:f>
        <x:v>82.2</x:v>
      </x:c>
      <x:c r="G42" s="23" t="str">
        <x:v>IC2503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6029.6</x:v>
      </x:c>
      <x:c r="E43" s="24" t="n">
        <x:v>5922.6</x:v>
      </x:c>
      <x:c r="F43" s="24" t="n">
        <x:f>ROUND(D43-E43,1)</x:f>
        <x:v>107</x:v>
      </x:c>
      <x:c r="G43" s="23" t="str">
        <x:v>IC2503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6014.4</x:v>
      </x:c>
      <x:c r="E44" s="24" t="n">
        <x:v>5888.6</x:v>
      </x:c>
      <x:c r="F44" s="24" t="n">
        <x:f>ROUND(D44-E44,1)</x:f>
        <x:v>125.8</x:v>
      </x:c>
      <x:c r="G44" s="23" t="str">
        <x:v>IC2503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5965</x:v>
      </x:c>
      <x:c r="E45" s="24" t="n">
        <x:v>5808.4</x:v>
      </x:c>
      <x:c r="F45" s="26" t="n">
        <x:f>ROUND(D45-E45,1)</x:f>
        <x:v>156.6</x:v>
      </x:c>
      <x:c r="G45" s="23" t="str">
        <x:v>IC2503</x:v>
      </x:c>
    </x:row>
    <x:row r="46">
      <x:c r="A46" s="33" t="str">
        <x:v>合计</x:v>
      </x:c>
      <x:c r="B46" s="32" t="n">
        <x:v>18</x:v>
      </x:c>
      <x:c r="C46" s="32"/>
      <x:c r="D46" s="32"/>
      <x:c r="E46" s="32"/>
      <x:c r="F46" s="34" t="n">
        <x:f>ROUND(SUM(F28:F45),1)</x:f>
        <x:v>1905.6</x:v>
      </x:c>
      <x:c r="G46" s="32"/>
    </x:row>
    <x:row r="47">
      <x:c r="A47" s="33" t="str">
        <x:v>均值</x:v>
      </x:c>
      <x:c r="B47" s="32"/>
      <x:c r="C47" s="32"/>
      <x:c r="D47" s="32"/>
      <x:c r="E47" s="32"/>
      <x:c r="F47" s="36" t="n">
        <x:f>ROUND(IFERROR(AVERAGE(F28:F45),0),1)</x:f>
        <x:v>105.9</x:v>
      </x:c>
      <x:c r="G47" s="32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高点</x:v>
      </x:c>
      <x:c r="E50" s="20" t="str">
        <x:v>低点</x:v>
      </x:c>
      <x:c r="F50" s="20" t="str">
        <x:v>振幅</x:v>
      </x:c>
      <x:c r="G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5938</x:v>
      </x:c>
      <x:c r="E51" s="24" t="n">
        <x:v>5822.2</x:v>
      </x:c>
      <x:c r="F51" s="24" t="n">
        <x:f>ROUND(D51-E51,1)</x:f>
        <x:v>115.8</x:v>
      </x:c>
      <x:c r="G51" s="23" t="str">
        <x:v>IC2503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5921.4</x:v>
      </x:c>
      <x:c r="E52" s="24" t="n">
        <x:v>5810</x:v>
      </x:c>
      <x:c r="F52" s="24" t="n">
        <x:f>ROUND(D52-E52,1)</x:f>
        <x:v>111.4</x:v>
      </x:c>
      <x:c r="G52" s="23" t="str">
        <x:v>IC2503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5919</x:v>
      </x:c>
      <x:c r="E53" s="24" t="n">
        <x:v>5837</x:v>
      </x:c>
      <x:c r="F53" s="24" t="n">
        <x:f>ROUND(D53-E53,1)</x:f>
        <x:v>82</x:v>
      </x:c>
      <x:c r="G53" s="23" t="str">
        <x:v>IC2503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6047</x:v>
      </x:c>
      <x:c r="E54" s="24" t="n">
        <x:v>5940</x:v>
      </x:c>
      <x:c r="F54" s="24" t="n">
        <x:f>ROUND(D54-E54,1)</x:f>
        <x:v>107</x:v>
      </x:c>
      <x:c r="G54" s="23" t="str">
        <x:v>IC2503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6036</x:v>
      </x:c>
      <x:c r="E55" s="24" t="n">
        <x:v>5968.2</x:v>
      </x:c>
      <x:c r="F55" s="24" t="n">
        <x:f>ROUND(D55-E55,1)</x:f>
        <x:v>67.8</x:v>
      </x:c>
      <x:c r="G55" s="23" t="str">
        <x:v>IC2503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6008.4</x:v>
      </x:c>
      <x:c r="E56" s="24" t="n">
        <x:v>5920.2</x:v>
      </x:c>
      <x:c r="F56" s="24" t="n">
        <x:f>ROUND(D56-E56,1)</x:f>
        <x:v>88.2</x:v>
      </x:c>
      <x:c r="G56" s="23" t="str">
        <x:v>IC2503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6011.8</x:v>
      </x:c>
      <x:c r="E57" s="24" t="n">
        <x:v>5901</x:v>
      </x:c>
      <x:c r="F57" s="24" t="n">
        <x:f>ROUND(D57-E57,1)</x:f>
        <x:v>110.8</x:v>
      </x:c>
      <x:c r="G57" s="23" t="str">
        <x:v>IC2503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6079.8</x:v>
      </x:c>
      <x:c r="E58" s="24" t="n">
        <x:v>5998.6</x:v>
      </x:c>
      <x:c r="F58" s="24" t="n">
        <x:f>ROUND(D58-E58,1)</x:f>
        <x:v>81.2</x:v>
      </x:c>
      <x:c r="G58" s="23" t="str">
        <x:v>IC2503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6027.8</x:v>
      </x:c>
      <x:c r="E59" s="24" t="n">
        <x:v>5914.6</x:v>
      </x:c>
      <x:c r="F59" s="24" t="n">
        <x:f>ROUND(D59-E59,1)</x:f>
        <x:v>113.2</x:v>
      </x:c>
      <x:c r="G59" s="23" t="str">
        <x:v>IC2503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6099.2</x:v>
      </x:c>
      <x:c r="E60" s="24" t="n">
        <x:v>5951.4</x:v>
      </x:c>
      <x:c r="F60" s="24" t="n">
        <x:f>ROUND(D60-E60,1)</x:f>
        <x:v>147.8</x:v>
      </x:c>
      <x:c r="G60" s="23" t="str">
        <x:v>IC2503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6110</x:v>
      </x:c>
      <x:c r="E61" s="24" t="n">
        <x:v>6077.2</x:v>
      </x:c>
      <x:c r="F61" s="24" t="n">
        <x:f>ROUND(D61-E61,1)</x:f>
        <x:v>32.8</x:v>
      </x:c>
      <x:c r="G61" s="23" t="str">
        <x:v>IC2503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6165</x:v>
      </x:c>
      <x:c r="E62" s="24" t="n">
        <x:v>6094.6</x:v>
      </x:c>
      <x:c r="F62" s="24" t="n">
        <x:f>ROUND(D62-E62,1)</x:f>
        <x:v>70.4</x:v>
      </x:c>
      <x:c r="G62" s="23" t="str">
        <x:v>IC2503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6121</x:v>
      </x:c>
      <x:c r="E63" s="24" t="n">
        <x:v>6058.2</x:v>
      </x:c>
      <x:c r="F63" s="24" t="n">
        <x:f>ROUND(D63-E63,1)</x:f>
        <x:v>62.8</x:v>
      </x:c>
      <x:c r="G63" s="23" t="str">
        <x:v>IC2503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6102.6</x:v>
      </x:c>
      <x:c r="E64" s="24" t="n">
        <x:v>6045.6</x:v>
      </x:c>
      <x:c r="F64" s="24" t="n">
        <x:f>ROUND(D64-E64,1)</x:f>
        <x:v>57</x:v>
      </x:c>
      <x:c r="G64" s="23" t="str">
        <x:v>IC2503</x:v>
      </x:c>
    </x:row>
    <x:row r="65">
      <x:c r="A65" s="29" t="n">
        <x:v>15</x:v>
      </x:c>
      <x:c r="B65" s="29" t="str">
        <x:v>周五</x:v>
      </x:c>
      <x:c r="C65" s="29" t="str">
        <x:v>3月21日</x:v>
      </x:c>
      <x:c r="D65" s="30" t="n">
        <x:v>6068.6</x:v>
      </x:c>
      <x:c r="E65" s="30" t="n">
        <x:v>5965.6</x:v>
      </x:c>
      <x:c r="F65" s="30" t="n">
        <x:f>ROUND(D65-E65,1)</x:f>
        <x:v>103</x:v>
      </x:c>
      <x:c r="G65" s="29" t="str">
        <x:v>IC2503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5831.6</x:v>
      </x:c>
      <x:c r="E66" s="24" t="n">
        <x:v>5739.2</x:v>
      </x:c>
      <x:c r="F66" s="24" t="n">
        <x:f>ROUND(D66-E66,1)</x:f>
        <x:v>92.4</x:v>
      </x:c>
      <x:c r="G66" s="23" t="str">
        <x:v>IC2506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5831</x:v>
      </x:c>
      <x:c r="E67" s="24" t="n">
        <x:v>5763.4</x:v>
      </x:c>
      <x:c r="F67" s="24" t="n">
        <x:f>ROUND(D67-E67,1)</x:f>
        <x:v>67.6</x:v>
      </x:c>
      <x:c r="G67" s="23" t="str">
        <x:v>IC2506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5845</x:v>
      </x:c>
      <x:c r="E68" s="24" t="n">
        <x:v>5790.4</x:v>
      </x:c>
      <x:c r="F68" s="24" t="n">
        <x:f>ROUND(D68-E68,1)</x:f>
        <x:v>54.6</x:v>
      </x:c>
      <x:c r="G68" s="23" t="str">
        <x:v>IC2506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5862.8</x:v>
      </x:c>
      <x:c r="E69" s="24" t="n">
        <x:v>5733.4</x:v>
      </x:c>
      <x:c r="F69" s="24" t="n">
        <x:f>ROUND(D69-E69,1)</x:f>
        <x:v>129.4</x:v>
      </x:c>
      <x:c r="G69" s="23" t="str">
        <x:v>IC2506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5837.6</x:v>
      </x:c>
      <x:c r="E70" s="24" t="n">
        <x:v>5752.4</x:v>
      </x:c>
      <x:c r="F70" s="24" t="n">
        <x:f>ROUND(D70-E70,1)</x:f>
        <x:v>85.2</x:v>
      </x:c>
      <x:c r="G70" s="23" t="str">
        <x:v>IC2506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5774</x:v>
      </x:c>
      <x:c r="E71" s="24" t="n">
        <x:v>5647</x:v>
      </x:c>
      <x:c r="F71" s="24" t="n">
        <x:f>ROUND(D71-E71,1)</x:f>
        <x:v>127</x:v>
      </x:c>
      <x:c r="G71" s="23" t="str">
        <x:v>IC2506</x:v>
      </x:c>
    </x:row>
    <x:row r="72">
      <x:c r="A72" s="33" t="str">
        <x:v>合计</x:v>
      </x:c>
      <x:c r="B72" s="32" t="n">
        <x:v>21</x:v>
      </x:c>
      <x:c r="C72" s="32"/>
      <x:c r="D72" s="32"/>
      <x:c r="E72" s="32"/>
      <x:c r="F72" s="34" t="n">
        <x:f>ROUND(SUM(F51:F71),1)</x:f>
        <x:v>1907.4</x:v>
      </x:c>
      <x:c r="G72" s="32"/>
    </x:row>
    <x:row r="73">
      <x:c r="A73" s="33" t="str">
        <x:v>均值</x:v>
      </x:c>
      <x:c r="B73" s="32"/>
      <x:c r="C73" s="32"/>
      <x:c r="D73" s="32"/>
      <x:c r="E73" s="32"/>
      <x:c r="F73" s="36" t="n">
        <x:f>ROUND(IFERROR(AVERAGE(F51:F71),0),1)</x:f>
        <x:v>90.8</x:v>
      </x:c>
      <x:c r="G73" s="32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高点</x:v>
      </x:c>
      <x:c r="E76" s="20" t="str">
        <x:v>低点</x:v>
      </x:c>
      <x:c r="F76" s="20" t="str">
        <x:v>振幅</x:v>
      </x:c>
      <x:c r="G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5784.2</x:v>
      </x:c>
      <x:c r="E77" s="24" t="n">
        <x:v>5712.2</x:v>
      </x:c>
      <x:c r="F77" s="24" t="n">
        <x:f>ROUND(D77-E77,1)</x:f>
        <x:v>72</x:v>
      </x:c>
      <x:c r="G77" s="23" t="str">
        <x:v>IC2506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5795.6</x:v>
      </x:c>
      <x:c r="E78" s="24" t="n">
        <x:v>5732</x:v>
      </x:c>
      <x:c r="F78" s="24" t="n">
        <x:f>ROUND(D78-E78,1)</x:f>
        <x:v>63.6</x:v>
      </x:c>
      <x:c r="G78" s="23" t="str">
        <x:v>IC2506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5777</x:v>
      </x:c>
      <x:c r="E79" s="24" t="n">
        <x:v>5680.4</x:v>
      </x:c>
      <x:c r="F79" s="24" t="n">
        <x:f>ROUND(D79-E79,1)</x:f>
        <x:v>96.6</x:v>
      </x:c>
      <x:c r="G79" s="23" t="str">
        <x:v>IC2506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5530.4</x:v>
      </x:c>
      <x:c r="E80" s="24" t="n">
        <x:v>5139</x:v>
      </x:c>
      <x:c r="F80" s="26" t="n">
        <x:f>ROUND(D80-E80,1)</x:f>
        <x:v>391.4</x:v>
      </x:c>
      <x:c r="G80" s="23" t="str">
        <x:v>IC2506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5235</x:v>
      </x:c>
      <x:c r="E81" s="24" t="n">
        <x:v>5054</x:v>
      </x:c>
      <x:c r="F81" s="26" t="n">
        <x:f>ROUND(D81-E81,1)</x:f>
        <x:v>181</x:v>
      </x:c>
      <x:c r="G81" s="23" t="str">
        <x:v>IC2506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5306.8</x:v>
      </x:c>
      <x:c r="E82" s="24" t="n">
        <x:v>4966.2</x:v>
      </x:c>
      <x:c r="F82" s="26" t="n">
        <x:f>ROUND(D82-E82,1)</x:f>
        <x:v>340.6</x:v>
      </x:c>
      <x:c r="G82" s="23" t="str">
        <x:v>IC2506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5469</x:v>
      </x:c>
      <x:c r="E83" s="24" t="n">
        <x:v>5359.8</x:v>
      </x:c>
      <x:c r="F83" s="24" t="n">
        <x:f>ROUND(D83-E83,1)</x:f>
        <x:v>109.2</x:v>
      </x:c>
      <x:c r="G83" s="23" t="str">
        <x:v>IC2506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5488.6</x:v>
      </x:c>
      <x:c r="E84" s="24" t="n">
        <x:v>5361.8</x:v>
      </x:c>
      <x:c r="F84" s="24" t="n">
        <x:f>ROUND(D84-E84,1)</x:f>
        <x:v>126.8</x:v>
      </x:c>
      <x:c r="G84" s="23" t="str">
        <x:v>IC2506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5498</x:v>
      </x:c>
      <x:c r="E85" s="24" t="n">
        <x:v>5436</x:v>
      </x:c>
      <x:c r="F85" s="24" t="n">
        <x:f>ROUND(D85-E85,1)</x:f>
        <x:v>62</x:v>
      </x:c>
      <x:c r="G85" s="23" t="str">
        <x:v>IC2506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5453.8</x:v>
      </x:c>
      <x:c r="E86" s="24" t="n">
        <x:v>5381</x:v>
      </x:c>
      <x:c r="F86" s="24" t="n">
        <x:f>ROUND(D86-E86,1)</x:f>
        <x:v>72.8</x:v>
      </x:c>
      <x:c r="G86" s="23" t="str">
        <x:v>IC2506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5403.6</x:v>
      </x:c>
      <x:c r="E87" s="24" t="n">
        <x:v>5316.2</x:v>
      </x:c>
      <x:c r="F87" s="24" t="n">
        <x:f>ROUND(D87-E87,1)</x:f>
        <x:v>87.4</x:v>
      </x:c>
      <x:c r="G87" s="23" t="str">
        <x:v>IC2506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5454</x:v>
      </x:c>
      <x:c r="E88" s="24" t="n">
        <x:v>5347</x:v>
      </x:c>
      <x:c r="F88" s="24" t="n">
        <x:f>ROUND(D88-E88,1)</x:f>
        <x:v>107</x:v>
      </x:c>
      <x:c r="G88" s="23" t="str">
        <x:v>IC2506</x:v>
      </x:c>
    </x:row>
    <x:row r="89">
      <x:c r="A89" s="29" t="n">
        <x:v>13</x:v>
      </x:c>
      <x:c r="B89" s="29" t="str">
        <x:v>周五</x:v>
      </x:c>
      <x:c r="C89" s="29" t="str">
        <x:v>4月18日</x:v>
      </x:c>
      <x:c r="D89" s="30" t="n">
        <x:v>5446</x:v>
      </x:c>
      <x:c r="E89" s="30" t="n">
        <x:v>5366</x:v>
      </x:c>
      <x:c r="F89" s="30" t="n">
        <x:f>ROUND(D89-E89,1)</x:f>
        <x:v>80</x:v>
      </x:c>
      <x:c r="G89" s="29" t="str">
        <x:v>IC2506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5521.8</x:v>
      </x:c>
      <x:c r="E90" s="24" t="n">
        <x:v>5375.4</x:v>
      </x:c>
      <x:c r="F90" s="24" t="n">
        <x:f>ROUND(D90-E90,1)</x:f>
        <x:v>146.4</x:v>
      </x:c>
      <x:c r="G90" s="23" t="str">
        <x:v>IC2506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5514.6</x:v>
      </x:c>
      <x:c r="E91" s="24" t="n">
        <x:v>5467.4</x:v>
      </x:c>
      <x:c r="F91" s="24" t="n">
        <x:f>ROUND(D91-E91,1)</x:f>
        <x:v>47.2</x:v>
      </x:c>
      <x:c r="G91" s="23" t="str">
        <x:v>IC2506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5564.6</x:v>
      </x:c>
      <x:c r="E92" s="24" t="n">
        <x:v>5476</x:v>
      </x:c>
      <x:c r="F92" s="24" t="n">
        <x:f>ROUND(D92-E92,1)</x:f>
        <x:v>88.6</x:v>
      </x:c>
      <x:c r="G92" s="23" t="str">
        <x:v>IC2506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5515.6</x:v>
      </x:c>
      <x:c r="E93" s="24" t="n">
        <x:v>5443</x:v>
      </x:c>
      <x:c r="F93" s="24" t="n">
        <x:f>ROUND(D93-E93,1)</x:f>
        <x:v>72.6</x:v>
      </x:c>
      <x:c r="G93" s="23" t="str">
        <x:v>IC2506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5546.2</x:v>
      </x:c>
      <x:c r="E94" s="24" t="n">
        <x:v>5467</x:v>
      </x:c>
      <x:c r="F94" s="24" t="n">
        <x:f>ROUND(D94-E94,1)</x:f>
        <x:v>79.2</x:v>
      </x:c>
      <x:c r="G94" s="23" t="str">
        <x:v>IC2506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5509</x:v>
      </x:c>
      <x:c r="E95" s="24" t="n">
        <x:v>5444.2</x:v>
      </x:c>
      <x:c r="F95" s="24" t="n">
        <x:f>ROUND(D95-E95,1)</x:f>
        <x:v>64.8</x:v>
      </x:c>
      <x:c r="G95" s="23" t="str">
        <x:v>IC2506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5505.8</x:v>
      </x:c>
      <x:c r="E96" s="24" t="n">
        <x:v>5440.8</x:v>
      </x:c>
      <x:c r="F96" s="24" t="n">
        <x:f>ROUND(D96-E96,1)</x:f>
        <x:v>65</x:v>
      </x:c>
      <x:c r="G96" s="23" t="str">
        <x:v>IC2506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5531.8</x:v>
      </x:c>
      <x:c r="E97" s="24" t="n">
        <x:v>5484.8</x:v>
      </x:c>
      <x:c r="F97" s="24" t="n">
        <x:f>ROUND(D97-E97,1)</x:f>
        <x:v>47</x:v>
      </x:c>
      <x:c r="G97" s="23" t="str">
        <x:v>IC2506</x:v>
      </x:c>
    </x:row>
    <x:row r="98">
      <x:c r="A98" s="33" t="str">
        <x:v>合计</x:v>
      </x:c>
      <x:c r="B98" s="32" t="n">
        <x:v>21</x:v>
      </x:c>
      <x:c r="C98" s="32"/>
      <x:c r="D98" s="32"/>
      <x:c r="E98" s="32"/>
      <x:c r="F98" s="34" t="n">
        <x:f>ROUND(SUM(F77:F97),1)</x:f>
        <x:v>2401.2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ROUND(IFERROR(AVERAGE(F77:F97),0),1)</x:f>
        <x:v>114.3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5625.4</x:v>
      </x:c>
      <x:c r="E103" s="24" t="n">
        <x:v>5537</x:v>
      </x:c>
      <x:c r="F103" s="24" t="n">
        <x:f>ROUND(D103-E103,1)</x:f>
        <x:v>88.4</x:v>
      </x:c>
      <x:c r="G103" s="23" t="str">
        <x:v>IC2506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5748</x:v>
      </x:c>
      <x:c r="E104" s="24" t="n">
        <x:v>5591.4</x:v>
      </x:c>
      <x:c r="F104" s="26" t="n">
        <x:f>ROUND(D104-E104,1)</x:f>
        <x:v>156.6</x:v>
      </x:c>
      <x:c r="G104" s="23" t="str">
        <x:v>IC2506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5685.6</x:v>
      </x:c>
      <x:c r="E105" s="24" t="n">
        <x:v>5609.6</x:v>
      </x:c>
      <x:c r="F105" s="24" t="n">
        <x:f>ROUND(D105-E105,1)</x:f>
        <x:v>76</x:v>
      </x:c>
      <x:c r="G105" s="23" t="str">
        <x:v>IC2506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5658</x:v>
      </x:c>
      <x:c r="E106" s="24" t="n">
        <x:v>5583</x:v>
      </x:c>
      <x:c r="F106" s="24" t="n">
        <x:f>ROUND(D106-E106,1)</x:f>
        <x:v>75</x:v>
      </x:c>
      <x:c r="G106" s="23" t="str">
        <x:v>IC2506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5692</x:v>
      </x:c>
      <x:c r="E107" s="24" t="n">
        <x:v>5625</x:v>
      </x:c>
      <x:c r="F107" s="24" t="n">
        <x:f>ROUND(D107-E107,1)</x:f>
        <x:v>67</x:v>
      </x:c>
      <x:c r="G107" s="23" t="str">
        <x:v>IC2506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5717.8</x:v>
      </x:c>
      <x:c r="E108" s="24" t="n">
        <x:v>5639.8</x:v>
      </x:c>
      <x:c r="F108" s="24" t="n">
        <x:f>ROUND(D108-E108,1)</x:f>
        <x:v>78</x:v>
      </x:c>
      <x:c r="G108" s="23" t="str">
        <x:v>IC2506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5749.2</x:v>
      </x:c>
      <x:c r="E109" s="24" t="n">
        <x:v>5635.8</x:v>
      </x:c>
      <x:c r="F109" s="24" t="n">
        <x:f>ROUND(D109-E109,1)</x:f>
        <x:v>113.4</x:v>
      </x:c>
      <x:c r="G109" s="23" t="str">
        <x:v>IC2506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5689.8</x:v>
      </x:c>
      <x:c r="E110" s="24" t="n">
        <x:v>5602.6</x:v>
      </x:c>
      <x:c r="F110" s="24" t="n">
        <x:f>ROUND(D110-E110,1)</x:f>
        <x:v>87.2</x:v>
      </x:c>
      <x:c r="G110" s="23" t="str">
        <x:v>IC2506</x:v>
      </x:c>
    </x:row>
    <x:row r="111">
      <x:c r="A111" s="29" t="n">
        <x:v>9</x:v>
      </x:c>
      <x:c r="B111" s="29" t="str">
        <x:v>周五</x:v>
      </x:c>
      <x:c r="C111" s="29" t="str">
        <x:v>5月16日</x:v>
      </x:c>
      <x:c r="D111" s="30" t="n">
        <x:v>5641.6</x:v>
      </x:c>
      <x:c r="E111" s="30" t="n">
        <x:v>5601.2</x:v>
      </x:c>
      <x:c r="F111" s="30" t="n">
        <x:f>ROUND(D111-E111,1)</x:f>
        <x:v>40.4</x:v>
      </x:c>
      <x:c r="G111" s="29" t="str">
        <x:v>IC2506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5628</x:v>
      </x:c>
      <x:c r="E112" s="24" t="n">
        <x:v>5548.2</x:v>
      </x:c>
      <x:c r="F112" s="24" t="n">
        <x:f>ROUND(D112-E112,1)</x:f>
        <x:v>79.8</x:v>
      </x:c>
      <x:c r="G112" s="23" t="str">
        <x:v>IC2506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5663</x:v>
      </x:c>
      <x:c r="E113" s="24" t="n">
        <x:v>5596.6</x:v>
      </x:c>
      <x:c r="F113" s="24" t="n">
        <x:f>ROUND(D113-E113,1)</x:f>
        <x:v>66.4</x:v>
      </x:c>
      <x:c r="G113" s="23" t="str">
        <x:v>IC2506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5665.8</x:v>
      </x:c>
      <x:c r="E114" s="24" t="n">
        <x:v>5628</x:v>
      </x:c>
      <x:c r="F114" s="24" t="n">
        <x:f>ROUND(D114-E114,1)</x:f>
        <x:v>37.8</x:v>
      </x:c>
      <x:c r="G114" s="23" t="str">
        <x:v>IC2506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5686.6</x:v>
      </x:c>
      <x:c r="E115" s="24" t="n">
        <x:v>5598</x:v>
      </x:c>
      <x:c r="F115" s="24" t="n">
        <x:f>ROUND(D115-E115,1)</x:f>
        <x:v>88.6</x:v>
      </x:c>
      <x:c r="G115" s="23" t="str">
        <x:v>IC2506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5664.8</x:v>
      </x:c>
      <x:c r="E116" s="24" t="n">
        <x:v>5557</x:v>
      </x:c>
      <x:c r="F116" s="24" t="n">
        <x:f>ROUND(D116-E116,1)</x:f>
        <x:v>107.8</x:v>
      </x:c>
      <x:c r="G116" s="23" t="str">
        <x:v>IC2506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5622</x:v>
      </x:c>
      <x:c r="E117" s="24" t="n">
        <x:v>5560</x:v>
      </x:c>
      <x:c r="F117" s="24" t="n">
        <x:f>ROUND(D117-E117,1)</x:f>
        <x:v>62</x:v>
      </x:c>
      <x:c r="G117" s="23" t="str">
        <x:v>IC2506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5599.8</x:v>
      </x:c>
      <x:c r="E118" s="24" t="n">
        <x:v>5545.2</x:v>
      </x:c>
      <x:c r="F118" s="24" t="n">
        <x:f>ROUND(D118-E118,1)</x:f>
        <x:v>54.6</x:v>
      </x:c>
      <x:c r="G118" s="23" t="str">
        <x:v>IC2506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5596</x:v>
      </x:c>
      <x:c r="E119" s="24" t="n">
        <x:v>5549</x:v>
      </x:c>
      <x:c r="F119" s="24" t="n">
        <x:f>ROUND(D119-E119,1)</x:f>
        <x:v>47</x:v>
      </x:c>
      <x:c r="G119" s="23" t="str">
        <x:v>IC2506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5685.2</x:v>
      </x:c>
      <x:c r="E120" s="24" t="n">
        <x:v>5572</x:v>
      </x:c>
      <x:c r="F120" s="24" t="n">
        <x:f>ROUND(D120-E120,1)</x:f>
        <x:v>113.2</x:v>
      </x:c>
      <x:c r="G120" s="23" t="str">
        <x:v>IC2506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5645</x:v>
      </x:c>
      <x:c r="E121" s="24" t="n">
        <x:v>5590.2</x:v>
      </x:c>
      <x:c r="F121" s="24" t="n">
        <x:f>ROUND(D121-E121,1)</x:f>
        <x:v>54.8</x:v>
      </x:c>
      <x:c r="G121" s="23" t="str">
        <x:v>IC2506</x:v>
      </x:c>
    </x:row>
    <x:row r="122">
      <x:c r="A122" s="33" t="str">
        <x:v>合计</x:v>
      </x:c>
      <x:c r="B122" s="32" t="n">
        <x:v>19</x:v>
      </x:c>
      <x:c r="C122" s="32"/>
      <x:c r="D122" s="32"/>
      <x:c r="E122" s="32"/>
      <x:c r="F122" s="34" t="n">
        <x:f>ROUND(SUM(F103:F121),1)</x:f>
        <x:v>1494</x:v>
      </x:c>
      <x:c r="G122" s="32"/>
    </x:row>
    <x:row r="123">
      <x:c r="A123" s="33" t="str">
        <x:v>均值</x:v>
      </x:c>
      <x:c r="B123" s="32"/>
      <x:c r="C123" s="32"/>
      <x:c r="D123" s="32"/>
      <x:c r="E123" s="32"/>
      <x:c r="F123" s="36" t="n">
        <x:f>ROUND(IFERROR(AVERAGE(F103:F121),0),1)</x:f>
        <x:v>78.6</x:v>
      </x:c>
      <x:c r="G123" s="32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高点</x:v>
      </x:c>
      <x:c r="E126" s="20" t="str">
        <x:v>低点</x:v>
      </x:c>
      <x:c r="F126" s="20" t="str">
        <x:v>振幅</x:v>
      </x:c>
      <x:c r="G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5670.8</x:v>
      </x:c>
      <x:c r="E127" s="24" t="n">
        <x:v>5603.2</x:v>
      </x:c>
      <x:c r="F127" s="24" t="n">
        <x:f>ROUND(D127-E127,1)</x:f>
        <x:v>67.6</x:v>
      </x:c>
      <x:c r="G127" s="23" t="str">
        <x:v>IC2506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5706</x:v>
      </x:c>
      <x:c r="E128" s="24" t="n">
        <x:v>5641.4</x:v>
      </x:c>
      <x:c r="F128" s="24" t="n">
        <x:f>ROUND(D128-E128,1)</x:f>
        <x:v>64.6</x:v>
      </x:c>
      <x:c r="G128" s="23" t="str">
        <x:v>IC2506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5741</x:v>
      </x:c>
      <x:c r="E129" s="24" t="n">
        <x:v>5671</x:v>
      </x:c>
      <x:c r="F129" s="24" t="n">
        <x:f>ROUND(D129-E129,1)</x:f>
        <x:v>70</x:v>
      </x:c>
      <x:c r="G129" s="23" t="str">
        <x:v>IC2506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5734.6</x:v>
      </x:c>
      <x:c r="E130" s="24" t="n">
        <x:v>5708</x:v>
      </x:c>
      <x:c r="F130" s="24" t="n">
        <x:f>ROUND(D130-E130,1)</x:f>
        <x:v>26.6</x:v>
      </x:c>
      <x:c r="G130" s="23" t="str">
        <x:v>IC2506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5801</x:v>
      </x:c>
      <x:c r="E131" s="24" t="n">
        <x:v>5729.8</x:v>
      </x:c>
      <x:c r="F131" s="24" t="n">
        <x:f>ROUND(D131-E131,1)</x:f>
        <x:v>71.2</x:v>
      </x:c>
      <x:c r="G131" s="23" t="str">
        <x:v>IC2506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5774</x:v>
      </x:c>
      <x:c r="E132" s="24" t="n">
        <x:v>5685.6</x:v>
      </x:c>
      <x:c r="F132" s="24" t="n">
        <x:f>ROUND(D132-E132,1)</x:f>
        <x:v>88.4</x:v>
      </x:c>
      <x:c r="G132" s="23" t="str">
        <x:v>IC2506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5800</x:v>
      </x:c>
      <x:c r="E133" s="24" t="n">
        <x:v>5725.2</x:v>
      </x:c>
      <x:c r="F133" s="24" t="n">
        <x:f>ROUND(D133-E133,1)</x:f>
        <x:v>74.8</x:v>
      </x:c>
      <x:c r="G133" s="23" t="str">
        <x:v>IC2506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5787.6</x:v>
      </x:c>
      <x:c r="E134" s="24" t="n">
        <x:v>5731.4</x:v>
      </x:c>
      <x:c r="F134" s="24" t="n">
        <x:f>ROUND(D134-E134,1)</x:f>
        <x:v>56.2</x:v>
      </x:c>
      <x:c r="G134" s="23" t="str">
        <x:v>IC2506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5774</x:v>
      </x:c>
      <x:c r="E135" s="24" t="n">
        <x:v>5705</x:v>
      </x:c>
      <x:c r="F135" s="24" t="n">
        <x:f>ROUND(D135-E135,1)</x:f>
        <x:v>69</x:v>
      </x:c>
      <x:c r="G135" s="23" t="str">
        <x:v>IC2506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5773.4</x:v>
      </x:c>
      <x:c r="E136" s="24" t="n">
        <x:v>5718.4</x:v>
      </x:c>
      <x:c r="F136" s="24" t="n">
        <x:f>ROUND(D136-E136,1)</x:f>
        <x:v>55</x:v>
      </x:c>
      <x:c r="G136" s="23" t="str">
        <x:v>IC2506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5768.8</x:v>
      </x:c>
      <x:c r="E137" s="24" t="n">
        <x:v>5726.4</x:v>
      </x:c>
      <x:c r="F137" s="24" t="n">
        <x:f>ROUND(D137-E137,1)</x:f>
        <x:v>42.4</x:v>
      </x:c>
      <x:c r="G137" s="23" t="str">
        <x:v>IC2506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5755</x:v>
      </x:c>
      <x:c r="E138" s="24" t="n">
        <x:v>5700</x:v>
      </x:c>
      <x:c r="F138" s="24" t="n">
        <x:f>ROUND(D138-E138,1)</x:f>
        <x:v>55</x:v>
      </x:c>
      <x:c r="G138" s="23" t="str">
        <x:v>IC2506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5745</x:v>
      </x:c>
      <x:c r="E139" s="24" t="n">
        <x:v>5655</x:v>
      </x:c>
      <x:c r="F139" s="24" t="n">
        <x:f>ROUND(D139-E139,1)</x:f>
        <x:v>90</x:v>
      </x:c>
      <x:c r="G139" s="23" t="str">
        <x:v>IC2506</x:v>
      </x:c>
    </x:row>
    <x:row r="140">
      <x:c r="A140" s="29" t="n">
        <x:v>14</x:v>
      </x:c>
      <x:c r="B140" s="29" t="str">
        <x:v>周五</x:v>
      </x:c>
      <x:c r="C140" s="29" t="str">
        <x:v>6月20日</x:v>
      </x:c>
      <x:c r="D140" s="30" t="n">
        <x:v>5698.2</x:v>
      </x:c>
      <x:c r="E140" s="30" t="n">
        <x:v>5645.4</x:v>
      </x:c>
      <x:c r="F140" s="30" t="n">
        <x:f>ROUND(D140-E140,1)</x:f>
        <x:v>52.8</x:v>
      </x:c>
      <x:c r="G140" s="29" t="str">
        <x:v>IC2506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5541</x:v>
      </x:c>
      <x:c r="E141" s="24" t="n">
        <x:v>5457.2</x:v>
      </x:c>
      <x:c r="F141" s="24" t="n">
        <x:f>ROUND(D141-E141,1)</x:f>
        <x:v>83.8</x:v>
      </x:c>
      <x:c r="G141" s="23" t="str">
        <x:v>IC2509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5650.4</x:v>
      </x:c>
      <x:c r="E142" s="24" t="n">
        <x:v>5536</x:v>
      </x:c>
      <x:c r="F142" s="24" t="n">
        <x:f>ROUND(D142-E142,1)</x:f>
        <x:v>114.4</x:v>
      </x:c>
      <x:c r="G142" s="23" t="str">
        <x:v>IC2509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5770.8</x:v>
      </x:c>
      <x:c r="E143" s="24" t="n">
        <x:v>5634</x:v>
      </x:c>
      <x:c r="F143" s="24" t="n">
        <x:f>ROUND(D143-E143,1)</x:f>
        <x:v>136.8</x:v>
      </x:c>
      <x:c r="G143" s="23" t="str">
        <x:v>IC2509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5763.2</x:v>
      </x:c>
      <x:c r="E144" s="24" t="n">
        <x:v>5722.8</x:v>
      </x:c>
      <x:c r="F144" s="24" t="n">
        <x:f>ROUND(D144-E144,1)</x:f>
        <x:v>40.4</x:v>
      </x:c>
      <x:c r="G144" s="23" t="str">
        <x:v>IC2509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5801</x:v>
      </x:c>
      <x:c r="E145" s="24" t="n">
        <x:v>5724</x:v>
      </x:c>
      <x:c r="F145" s="24" t="n">
        <x:f>ROUND(D145-E145,1)</x:f>
        <x:v>77</x:v>
      </x:c>
      <x:c r="G145" s="23" t="str">
        <x:v>IC2509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5788.6</x:v>
      </x:c>
      <x:c r="E146" s="24" t="n">
        <x:v>5748</x:v>
      </x:c>
      <x:c r="F146" s="24" t="n">
        <x:f>ROUND(D146-E146,1)</x:f>
        <x:v>40.6</x:v>
      </x:c>
      <x:c r="G146" s="23" t="str">
        <x:v>IC2509</x:v>
      </x:c>
    </x:row>
    <x:row r="147">
      <x:c r="A147" s="33" t="str">
        <x:v>合计</x:v>
      </x:c>
      <x:c r="B147" s="32" t="n">
        <x:v>20</x:v>
      </x:c>
      <x:c r="C147" s="32"/>
      <x:c r="D147" s="32"/>
      <x:c r="E147" s="32"/>
      <x:c r="F147" s="34" t="n">
        <x:f>ROUND(SUM(F127:F146),1)</x:f>
        <x:v>1376.6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ROUND(IFERROR(AVERAGE(F127:F146),0),1)</x:f>
        <x:v>68.8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5781.2</x:v>
      </x:c>
      <x:c r="E152" s="24" t="n">
        <x:v>5722</x:v>
      </x:c>
      <x:c r="F152" s="24" t="n">
        <x:f>ROUND(D152-E152,1)</x:f>
        <x:v>59.2</x:v>
      </x:c>
      <x:c r="G152" s="23" t="str">
        <x:v>IC2509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5763.6</x:v>
      </x:c>
      <x:c r="E153" s="24" t="n">
        <x:v>5724.6</x:v>
      </x:c>
      <x:c r="F153" s="24" t="n">
        <x:f>ROUND(D153-E153,1)</x:f>
        <x:v>39</x:v>
      </x:c>
      <x:c r="G153" s="23" t="str">
        <x:v>IC2509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5787.8</x:v>
      </x:c>
      <x:c r="E154" s="24" t="n">
        <x:v>5735</x:v>
      </x:c>
      <x:c r="F154" s="24" t="n">
        <x:f>ROUND(D154-E154,1)</x:f>
        <x:v>52.8</x:v>
      </x:c>
      <x:c r="G154" s="23" t="str">
        <x:v>IC2509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5836</x:v>
      </x:c>
      <x:c r="E155" s="24" t="n">
        <x:v>5726</x:v>
      </x:c>
      <x:c r="F155" s="24" t="n">
        <x:f>ROUND(D155-E155,1)</x:f>
        <x:v>110</x:v>
      </x:c>
      <x:c r="G155" s="23" t="str">
        <x:v>IC2509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5775</x:v>
      </x:c>
      <x:c r="E156" s="24" t="n">
        <x:v>5735</x:v>
      </x:c>
      <x:c r="F156" s="24" t="n">
        <x:f>ROUND(D156-E156,1)</x:f>
        <x:v>40</x:v>
      </x:c>
      <x:c r="G156" s="23" t="str">
        <x:v>IC2509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5859.8</x:v>
      </x:c>
      <x:c r="E157" s="24" t="n">
        <x:v>5743.2</x:v>
      </x:c>
      <x:c r="F157" s="24" t="n">
        <x:f>ROUND(D157-E157,1)</x:f>
        <x:v>116.6</x:v>
      </x:c>
      <x:c r="G157" s="23" t="str">
        <x:v>IC2509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5858</x:v>
      </x:c>
      <x:c r="E158" s="24" t="n">
        <x:v>5818</x:v>
      </x:c>
      <x:c r="F158" s="24" t="n">
        <x:f>ROUND(D158-E158,1)</x:f>
        <x:v>40</x:v>
      </x:c>
      <x:c r="G158" s="23" t="str">
        <x:v>IC2509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5880.4</x:v>
      </x:c>
      <x:c r="E159" s="24" t="n">
        <x:v>5813.6</x:v>
      </x:c>
      <x:c r="F159" s="24" t="n">
        <x:f>ROUND(D159-E159,1)</x:f>
        <x:v>66.8</x:v>
      </x:c>
      <x:c r="G159" s="23" t="str">
        <x:v>IC2509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5964.8</x:v>
      </x:c>
      <x:c r="E160" s="24" t="n">
        <x:v>5829</x:v>
      </x:c>
      <x:c r="F160" s="24" t="n">
        <x:f>ROUND(D160-E160,1)</x:f>
        <x:v>135.8</x:v>
      </x:c>
      <x:c r="G160" s="23" t="str">
        <x:v>IC2509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5928</x:v>
      </x:c>
      <x:c r="E161" s="24" t="n">
        <x:v>5895.8</x:v>
      </x:c>
      <x:c r="F161" s="24" t="n">
        <x:f>ROUND(D161-E161,1)</x:f>
        <x:v>32.2</x:v>
      </x:c>
      <x:c r="G161" s="23" t="str">
        <x:v>IC2509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5942</x:v>
      </x:c>
      <x:c r="E162" s="24" t="n">
        <x:v>5847.8</x:v>
      </x:c>
      <x:c r="F162" s="24" t="n">
        <x:f>ROUND(D162-E162,1)</x:f>
        <x:v>94.2</x:v>
      </x:c>
      <x:c r="G162" s="23" t="str">
        <x:v>IC2509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5961.2</x:v>
      </x:c>
      <x:c r="E163" s="24" t="n">
        <x:v>5873</x:v>
      </x:c>
      <x:c r="F163" s="24" t="n">
        <x:f>ROUND(D163-E163,1)</x:f>
        <x:v>88.2</x:v>
      </x:c>
      <x:c r="G163" s="23" t="str">
        <x:v>IC2509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5981</x:v>
      </x:c>
      <x:c r="E164" s="24" t="n">
        <x:v>5890.8</x:v>
      </x:c>
      <x:c r="F164" s="24" t="n">
        <x:f>ROUND(D164-E164,1)</x:f>
        <x:v>90.2</x:v>
      </x:c>
      <x:c r="G164" s="23" t="str">
        <x:v>IC2509</x:v>
      </x:c>
    </x:row>
    <x:row r="165">
      <x:c r="A165" s="29" t="n">
        <x:v>14</x:v>
      </x:c>
      <x:c r="B165" s="29" t="str">
        <x:v>周五</x:v>
      </x:c>
      <x:c r="C165" s="29" t="str">
        <x:v>7月18日</x:v>
      </x:c>
      <x:c r="D165" s="30" t="n">
        <x:v>6022</x:v>
      </x:c>
      <x:c r="E165" s="30" t="n">
        <x:v>5968</x:v>
      </x:c>
      <x:c r="F165" s="30" t="n">
        <x:f>ROUND(D165-E165,1)</x:f>
        <x:v>54</x:v>
      </x:c>
      <x:c r="G165" s="29" t="str">
        <x:v>IC2509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6077.4</x:v>
      </x:c>
      <x:c r="E166" s="24" t="n">
        <x:v>6022.2</x:v>
      </x:c>
      <x:c r="F166" s="24" t="n">
        <x:f>ROUND(D166-E166,1)</x:f>
        <x:v>55.2</x:v>
      </x:c>
      <x:c r="G166" s="23" t="str">
        <x:v>IC2509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6133</x:v>
      </x:c>
      <x:c r="E167" s="24" t="n">
        <x:v>6050</x:v>
      </x:c>
      <x:c r="F167" s="24" t="n">
        <x:f>ROUND(D167-E167,1)</x:f>
        <x:v>83</x:v>
      </x:c>
      <x:c r="G167" s="23" t="str">
        <x:v>IC2509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6184.8</x:v>
      </x:c>
      <x:c r="E168" s="24" t="n">
        <x:v>6101.8</x:v>
      </x:c>
      <x:c r="F168" s="24" t="n">
        <x:f>ROUND(D168-E168,1)</x:f>
        <x:v>83</x:v>
      </x:c>
      <x:c r="G168" s="23" t="str">
        <x:v>IC2509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6234.6</x:v>
      </x:c>
      <x:c r="E169" s="24" t="n">
        <x:v>6115</x:v>
      </x:c>
      <x:c r="F169" s="24" t="n">
        <x:f>ROUND(D169-E169,1)</x:f>
        <x:v>119.6</x:v>
      </x:c>
      <x:c r="G169" s="23" t="str">
        <x:v>IC2509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6232</x:v>
      </x:c>
      <x:c r="E170" s="24" t="n">
        <x:v>6189.6</x:v>
      </x:c>
      <x:c r="F170" s="24" t="n">
        <x:f>ROUND(D170-E170,1)</x:f>
        <x:v>42.4</x:v>
      </x:c>
      <x:c r="G170" s="23" t="str">
        <x:v>IC2509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6251.8</x:v>
      </x:c>
      <x:c r="E171" s="24" t="n">
        <x:v>6176.2</x:v>
      </x:c>
      <x:c r="F171" s="24" t="n">
        <x:f>ROUND(D171-E171,1)</x:f>
        <x:v>75.6</x:v>
      </x:c>
      <x:c r="G171" s="23" t="str">
        <x:v>IC2509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6267</x:v>
      </x:c>
      <x:c r="E172" s="24" t="n">
        <x:v>6161.4</x:v>
      </x:c>
      <x:c r="F172" s="24" t="n">
        <x:f>ROUND(D172-E172,1)</x:f>
        <x:v>105.6</x:v>
      </x:c>
      <x:c r="G172" s="23" t="str">
        <x:v>IC2509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6275</x:v>
      </x:c>
      <x:c r="E173" s="24" t="n">
        <x:v>6173.2</x:v>
      </x:c>
      <x:c r="F173" s="24" t="n">
        <x:f>ROUND(D173-E173,1)</x:f>
        <x:v>101.8</x:v>
      </x:c>
      <x:c r="G173" s="23" t="str">
        <x:v>IC2509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6228</x:v>
      </x:c>
      <x:c r="E174" s="24" t="n">
        <x:v>6084.4</x:v>
      </x:c>
      <x:c r="F174" s="24" t="n">
        <x:f>ROUND(D174-E174,1)</x:f>
        <x:v>143.6</x:v>
      </x:c>
      <x:c r="G174" s="23" t="str">
        <x:v>IC2509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1828.8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79.5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6163.8</x:v>
      </x:c>
      <x:c r="E180" s="24" t="n">
        <x:v>6078.8</x:v>
      </x:c>
      <x:c r="F180" s="24" t="n">
        <x:f>ROUND(D180-E180,1)</x:f>
        <x:v>85</x:v>
      </x:c>
      <x:c r="G180" s="23" t="str">
        <x:v>IC2509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6169.8</x:v>
      </x:c>
      <x:c r="E181" s="24" t="n">
        <x:v>6083.2</x:v>
      </x:c>
      <x:c r="F181" s="24" t="n">
        <x:f>ROUND(D181-E181,1)</x:f>
        <x:v>86.6</x:v>
      </x:c>
      <x:c r="G181" s="23" t="str">
        <x:v>IC2509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6204</x:v>
      </x:c>
      <x:c r="E182" s="24" t="n">
        <x:v>6160</x:v>
      </x:c>
      <x:c r="F182" s="24" t="n">
        <x:f>ROUND(D182-E182,1)</x:f>
        <x:v>44</x:v>
      </x:c>
      <x:c r="G182" s="23" t="str">
        <x:v>IC2509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6274</x:v>
      </x:c>
      <x:c r="E183" s="24" t="n">
        <x:v>6192</x:v>
      </x:c>
      <x:c r="F183" s="24" t="n">
        <x:f>ROUND(D183-E183,1)</x:f>
        <x:v>82</x:v>
      </x:c>
      <x:c r="G183" s="23" t="str">
        <x:v>IC2509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6288.8</x:v>
      </x:c>
      <x:c r="E184" s="24" t="n">
        <x:v>6195.2</x:v>
      </x:c>
      <x:c r="F184" s="24" t="n">
        <x:f>ROUND(D184-E184,1)</x:f>
        <x:v>93.6</x:v>
      </x:c>
      <x:c r="G184" s="23" t="str">
        <x:v>IC2509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6251</x:v>
      </x:c>
      <x:c r="E185" s="24" t="n">
        <x:v>6196</x:v>
      </x:c>
      <x:c r="F185" s="24" t="n">
        <x:f>ROUND(D185-E185,1)</x:f>
        <x:v>55</x:v>
      </x:c>
      <x:c r="G185" s="23" t="str">
        <x:v>IC2509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6339</x:v>
      </x:c>
      <x:c r="E186" s="24" t="n">
        <x:v>6240.8</x:v>
      </x:c>
      <x:c r="F186" s="24" t="n">
        <x:f>ROUND(D186-E186,1)</x:f>
        <x:v>98.2</x:v>
      </x:c>
      <x:c r="G186" s="23" t="str">
        <x:v>IC2509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6347.8</x:v>
      </x:c>
      <x:c r="E187" s="24" t="n">
        <x:v>6281</x:v>
      </x:c>
      <x:c r="F187" s="24" t="n">
        <x:f>ROUND(D187-E187,1)</x:f>
        <x:v>66.8</x:v>
      </x:c>
      <x:c r="G187" s="23" t="str">
        <x:v>IC2509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6466</x:v>
      </x:c>
      <x:c r="E188" s="24" t="n">
        <x:v>6351</x:v>
      </x:c>
      <x:c r="F188" s="24" t="n">
        <x:f>ROUND(D188-E188,1)</x:f>
        <x:v>115</x:v>
      </x:c>
      <x:c r="G188" s="23" t="str">
        <x:v>IC2509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6469.2</x:v>
      </x:c>
      <x:c r="E189" s="24" t="n">
        <x:v>6358.2</x:v>
      </x:c>
      <x:c r="F189" s="24" t="n">
        <x:f>ROUND(D189-E189,1)</x:f>
        <x:v>111</x:v>
      </x:c>
      <x:c r="G189" s="23" t="str">
        <x:v>IC2509</x:v>
      </x:c>
    </x:row>
    <x:row r="190">
      <x:c r="A190" s="29" t="n">
        <x:v>11</x:v>
      </x:c>
      <x:c r="B190" s="29" t="str">
        <x:v>周五</x:v>
      </x:c>
      <x:c r="C190" s="29" t="str">
        <x:v>8月15日</x:v>
      </x:c>
      <x:c r="D190" s="30" t="n">
        <x:v>6541</x:v>
      </x:c>
      <x:c r="E190" s="30" t="n">
        <x:v>6365</x:v>
      </x:c>
      <x:c r="F190" s="26" t="n">
        <x:f>ROUND(D190-E190,1)</x:f>
        <x:v>176</x:v>
      </x:c>
      <x:c r="G190" s="29" t="str">
        <x:v>IC2509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6684.6</x:v>
      </x:c>
      <x:c r="E191" s="24" t="n">
        <x:v>6530</x:v>
      </x:c>
      <x:c r="F191" s="26" t="n">
        <x:f>ROUND(D191-E191,1)</x:f>
        <x:v>154.6</x:v>
      </x:c>
      <x:c r="G191" s="23" t="str">
        <x:v>IC2509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6652</x:v>
      </x:c>
      <x:c r="E192" s="24" t="n">
        <x:v>6583.2</x:v>
      </x:c>
      <x:c r="F192" s="24" t="n">
        <x:f>ROUND(D192-E192,1)</x:f>
        <x:v>68.8</x:v>
      </x:c>
      <x:c r="G192" s="23" t="str">
        <x:v>IC2509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6699.4</x:v>
      </x:c>
      <x:c r="E193" s="24" t="n">
        <x:v>6522</x:v>
      </x:c>
      <x:c r="F193" s="26" t="n">
        <x:f>ROUND(D193-E193,1)</x:f>
        <x:v>177.4</x:v>
      </x:c>
      <x:c r="G193" s="23" t="str">
        <x:v>IC2509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6724.4</x:v>
      </x:c>
      <x:c r="E194" s="24" t="n">
        <x:v>6618.4</x:v>
      </x:c>
      <x:c r="F194" s="24" t="n">
        <x:f>ROUND(D194-E194,1)</x:f>
        <x:v>106</x:v>
      </x:c>
      <x:c r="G194" s="23" t="str">
        <x:v>IC2509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6812</x:v>
      </x:c>
      <x:c r="E195" s="24" t="n">
        <x:v>6660.2</x:v>
      </x:c>
      <x:c r="F195" s="26" t="n">
        <x:f>ROUND(D195-E195,1)</x:f>
        <x:v>151.8</x:v>
      </x:c>
      <x:c r="G195" s="23" t="str">
        <x:v>IC2509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6958.2</x:v>
      </x:c>
      <x:c r="E196" s="24" t="n">
        <x:v>6831</x:v>
      </x:c>
      <x:c r="F196" s="24" t="n">
        <x:f>ROUND(D196-E196,1)</x:f>
        <x:v>127.2</x:v>
      </x:c>
      <x:c r="G196" s="23" t="str">
        <x:v>IC2509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6983.2</x:v>
      </x:c>
      <x:c r="E197" s="24" t="n">
        <x:v>6872</x:v>
      </x:c>
      <x:c r="F197" s="24" t="n">
        <x:f>ROUND(D197-E197,1)</x:f>
        <x:v>111.2</x:v>
      </x:c>
      <x:c r="G197" s="23" t="str">
        <x:v>IC2509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7042.8</x:v>
      </x:c>
      <x:c r="E198" s="24" t="n">
        <x:v>6813.4</x:v>
      </x:c>
      <x:c r="F198" s="26" t="n">
        <x:f>ROUND(D198-E198,1)</x:f>
        <x:v>229.4</x:v>
      </x:c>
      <x:c r="G198" s="23" t="str">
        <x:v>IC2509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6977.2</x:v>
      </x:c>
      <x:c r="E199" s="24" t="n">
        <x:v>6761.4</x:v>
      </x:c>
      <x:c r="F199" s="26" t="n">
        <x:f>ROUND(D199-E199,1)</x:f>
        <x:v>215.8</x:v>
      </x:c>
      <x:c r="G199" s="23" t="str">
        <x:v>IC2509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7039.4</x:v>
      </x:c>
      <x:c r="E200" s="24" t="n">
        <x:v>6925.2</x:v>
      </x:c>
      <x:c r="F200" s="24" t="n">
        <x:f>ROUND(D200-E200,1)</x:f>
        <x:v>114.2</x:v>
      </x:c>
      <x:c r="G200" s="23" t="str">
        <x:v>IC2509</x:v>
      </x:c>
    </x:row>
    <x:row r="201">
      <x:c r="A201" s="33" t="str">
        <x:v>合计</x:v>
      </x:c>
      <x:c r="B201" s="32" t="n">
        <x:v>21</x:v>
      </x:c>
      <x:c r="C201" s="32"/>
      <x:c r="D201" s="32"/>
      <x:c r="E201" s="32"/>
      <x:c r="F201" s="34" t="n">
        <x:f>ROUND(SUM(F180:F200),1)</x:f>
        <x:v>2469.6</x:v>
      </x:c>
      <x:c r="G201" s="32"/>
    </x:row>
    <x:row r="202">
      <x:c r="A202" s="33" t="str">
        <x:v>均值</x:v>
      </x:c>
      <x:c r="B202" s="32"/>
      <x:c r="C202" s="32"/>
      <x:c r="D202" s="32"/>
      <x:c r="E202" s="32"/>
      <x:c r="F202" s="36" t="n">
        <x:f>ROUND(IFERROR(AVERAGE(F180:F200),0),1)</x:f>
        <x:v>117.6</x:v>
      </x:c>
      <x:c r="G202" s="32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高点</x:v>
      </x:c>
      <x:c r="E205" s="20" t="str">
        <x:v>低点</x:v>
      </x:c>
      <x:c r="F205" s="20" t="str">
        <x:v>振幅</x:v>
      </x:c>
      <x:c r="G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7065</x:v>
      </x:c>
      <x:c r="E206" s="24" t="n">
        <x:v>6975</x:v>
      </x:c>
      <x:c r="F206" s="24" t="n">
        <x:f>ROUND(D206-E206,1)</x:f>
        <x:v>90</x:v>
      </x:c>
      <x:c r="G206" s="23" t="str">
        <x:v>IC2509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7031.8</x:v>
      </x:c>
      <x:c r="E207" s="24" t="n">
        <x:v>6830</x:v>
      </x:c>
      <x:c r="F207" s="26" t="n">
        <x:f>ROUND(D207-E207,1)</x:f>
        <x:v>201.8</x:v>
      </x:c>
      <x:c r="G207" s="23" t="str">
        <x:v>IC2509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6945</x:v>
      </x:c>
      <x:c r="E208" s="24" t="n">
        <x:v>6758.2</x:v>
      </x:c>
      <x:c r="F208" s="26" t="n">
        <x:f>ROUND(D208-E208,1)</x:f>
        <x:v>186.8</x:v>
      </x:c>
      <x:c r="G208" s="23" t="str">
        <x:v>IC2509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6857.2</x:v>
      </x:c>
      <x:c r="E209" s="24" t="n">
        <x:v>6550</x:v>
      </x:c>
      <x:c r="F209" s="26" t="n">
        <x:f>ROUND(D209-E209,1)</x:f>
        <x:v>307.2</x:v>
      </x:c>
      <x:c r="G209" s="23" t="str">
        <x:v>IC2509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6905.2</x:v>
      </x:c>
      <x:c r="E210" s="24" t="n">
        <x:v>6637.8</x:v>
      </x:c>
      <x:c r="F210" s="26" t="n">
        <x:f>ROUND(D210-E210,1)</x:f>
        <x:v>267.4</x:v>
      </x:c>
      <x:c r="G210" s="23" t="str">
        <x:v>IC2509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6953.4</x:v>
      </x:c>
      <x:c r="E211" s="24" t="n">
        <x:v>6841.6</x:v>
      </x:c>
      <x:c r="F211" s="24" t="n">
        <x:f>ROUND(D211-E211,1)</x:f>
        <x:v>111.8</x:v>
      </x:c>
      <x:c r="G211" s="23" t="str">
        <x:v>IC2509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6948.4</x:v>
      </x:c>
      <x:c r="E212" s="24" t="n">
        <x:v>6832</x:v>
      </x:c>
      <x:c r="F212" s="24" t="n">
        <x:f>ROUND(D212-E212,1)</x:f>
        <x:v>116.4</x:v>
      </x:c>
      <x:c r="G212" s="23" t="str">
        <x:v>IC2509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6948.8</x:v>
      </x:c>
      <x:c r="E213" s="24" t="n">
        <x:v>6833</x:v>
      </x:c>
      <x:c r="F213" s="24" t="n">
        <x:f>ROUND(D213-E213,1)</x:f>
        <x:v>115.8</x:v>
      </x:c>
      <x:c r="G213" s="23" t="str">
        <x:v>IC2509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7125.8</x:v>
      </x:c>
      <x:c r="E214" s="24" t="n">
        <x:v>6825</x:v>
      </x:c>
      <x:c r="F214" s="26" t="n">
        <x:f>ROUND(D214-E214,1)</x:f>
        <x:v>300.8</x:v>
      </x:c>
      <x:c r="G214" s="23" t="str">
        <x:v>IC2509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7198</x:v>
      </x:c>
      <x:c r="E215" s="24" t="n">
        <x:v>7107.6</x:v>
      </x:c>
      <x:c r="F215" s="24" t="n">
        <x:f>ROUND(D215-E215,1)</x:f>
        <x:v>90.4</x:v>
      </x:c>
      <x:c r="G215" s="23" t="str">
        <x:v>IC2509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7168.8</x:v>
      </x:c>
      <x:c r="E216" s="24" t="n">
        <x:v>7101.2</x:v>
      </x:c>
      <x:c r="F216" s="24" t="n">
        <x:f>ROUND(D216-E216,1)</x:f>
        <x:v>67.6</x:v>
      </x:c>
      <x:c r="G216" s="23" t="str">
        <x:v>IC2509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7190.2</x:v>
      </x:c>
      <x:c r="E217" s="24" t="n">
        <x:v>7053.6</x:v>
      </x:c>
      <x:c r="F217" s="24" t="n">
        <x:f>ROUND(D217-E217,1)</x:f>
        <x:v>136.6</x:v>
      </x:c>
      <x:c r="G217" s="23" t="str">
        <x:v>IC2509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7263.4</x:v>
      </x:c>
      <x:c r="E218" s="24" t="n">
        <x:v>7128</x:v>
      </x:c>
      <x:c r="F218" s="24" t="n">
        <x:f>ROUND(D218-E218,1)</x:f>
        <x:v>135.4</x:v>
      </x:c>
      <x:c r="G218" s="23" t="str">
        <x:v>IC2509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7351.6</x:v>
      </x:c>
      <x:c r="E219" s="24" t="n">
        <x:v>7099.2</x:v>
      </x:c>
      <x:c r="F219" s="26" t="n">
        <x:f>ROUND(D219-E219,1)</x:f>
        <x:v>252.4</x:v>
      </x:c>
      <x:c r="G219" s="23" t="str">
        <x:v>IC2509</x:v>
      </x:c>
    </x:row>
    <x:row r="220">
      <x:c r="A220" s="29" t="n">
        <x:v>15</x:v>
      </x:c>
      <x:c r="B220" s="29" t="str">
        <x:v>周五</x:v>
      </x:c>
      <x:c r="C220" s="29" t="str">
        <x:v>9月19日</x:v>
      </x:c>
      <x:c r="D220" s="30" t="n">
        <x:v>7232.4</x:v>
      </x:c>
      <x:c r="E220" s="30" t="n">
        <x:v>7158</x:v>
      </x:c>
      <x:c r="F220" s="30" t="n">
        <x:f>ROUND(D220-E220,1)</x:f>
        <x:v>74.4</x:v>
      </x:c>
      <x:c r="G220" s="29" t="str">
        <x:v>IC2509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7019.8</x:v>
      </x:c>
      <x:c r="E221" s="24" t="n">
        <x:v>6925.2</x:v>
      </x:c>
      <x:c r="F221" s="24" t="n">
        <x:f>ROUND(D221-E221,1)</x:f>
        <x:v>94.6</x:v>
      </x:c>
      <x:c r="G221" s="23" t="str">
        <x:v>IC2512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7038</x:v>
      </x:c>
      <x:c r="E222" s="24" t="n">
        <x:v>6789</x:v>
      </x:c>
      <x:c r="F222" s="26" t="n">
        <x:f>ROUND(D222-E222,1)</x:f>
        <x:v>249</x:v>
      </x:c>
      <x:c r="G222" s="23" t="str">
        <x:v>IC2512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7162.6</x:v>
      </x:c>
      <x:c r="E223" s="24" t="n">
        <x:v>6906</x:v>
      </x:c>
      <x:c r="F223" s="26" t="n">
        <x:f>ROUND(D223-E223,1)</x:f>
        <x:v>256.6</x:v>
      </x:c>
      <x:c r="G223" s="23" t="str">
        <x:v>IC2512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7212.8</x:v>
      </x:c>
      <x:c r="E224" s="24" t="n">
        <x:v>7132.4</x:v>
      </x:c>
      <x:c r="F224" s="24" t="n">
        <x:f>ROUND(D224-E224,1)</x:f>
        <x:v>80.4</x:v>
      </x:c>
      <x:c r="G224" s="23" t="str">
        <x:v>IC2512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7196.6</x:v>
      </x:c>
      <x:c r="E225" s="24" t="n">
        <x:v>7080</x:v>
      </x:c>
      <x:c r="F225" s="24" t="n">
        <x:f>ROUND(D225-E225,1)</x:f>
        <x:v>116.6</x:v>
      </x:c>
      <x:c r="G225" s="23" t="str">
        <x:v>IC2512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7266</x:v>
      </x:c>
      <x:c r="E226" s="24" t="n">
        <x:v>7058</x:v>
      </x:c>
      <x:c r="F226" s="26" t="n">
        <x:f>ROUND(D226-E226,1)</x:f>
        <x:v>208</x:v>
      </x:c>
      <x:c r="G226" s="23" t="str">
        <x:v>IC2512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7323</x:v>
      </x:c>
      <x:c r="E227" s="24" t="n">
        <x:v>7236.2</x:v>
      </x:c>
      <x:c r="F227" s="24" t="n">
        <x:f>ROUND(D227-E227,1)</x:f>
        <x:v>86.8</x:v>
      </x:c>
      <x:c r="G227" s="23" t="str">
        <x:v>IC2512</x:v>
      </x:c>
    </x:row>
    <x:row r="228">
      <x:c r="A228" s="33" t="str">
        <x:v>合计</x:v>
      </x:c>
      <x:c r="B228" s="32" t="n">
        <x:v>22</x:v>
      </x:c>
      <x:c r="C228" s="32"/>
      <x:c r="D228" s="32"/>
      <x:c r="E228" s="32"/>
      <x:c r="F228" s="34" t="n">
        <x:f>ROUND(SUM(F206:F227),1)</x:f>
        <x:v>3546.8</x:v>
      </x:c>
      <x:c r="G228" s="32"/>
    </x:row>
    <x:row r="229">
      <x:c r="A229" s="33" t="str">
        <x:v>均值</x:v>
      </x:c>
      <x:c r="B229" s="32"/>
      <x:c r="C229" s="32"/>
      <x:c r="D229" s="32"/>
      <x:c r="E229" s="32"/>
      <x:c r="F229" s="36" t="n">
        <x:f>ROUND(IFERROR(AVERAGE(F206:F227),0),1)</x:f>
        <x:v>161.2</x:v>
      </x:c>
      <x:c r="G229" s="32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高点</x:v>
      </x:c>
      <x:c r="E232" s="20" t="str">
        <x:v>低点</x:v>
      </x:c>
      <x:c r="F232" s="20" t="str">
        <x:v>振幅</x:v>
      </x:c>
      <x:c r="G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7469.6</x:v>
      </x:c>
      <x:c r="E233" s="24" t="n">
        <x:v>7323.8</x:v>
      </x:c>
      <x:c r="F233" s="24" t="n">
        <x:f>ROUND(D233-E233,1)</x:f>
        <x:v>145.8</x:v>
      </x:c>
      <x:c r="G233" s="23" t="str">
        <x:v>IC2512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7398.8</x:v>
      </x:c>
      <x:c r="E234" s="24" t="n">
        <x:v>7252.2</x:v>
      </x:c>
      <x:c r="F234" s="24" t="n">
        <x:f>ROUND(D234-E234,1)</x:f>
        <x:v>146.6</x:v>
      </x:c>
      <x:c r="G234" s="23" t="str">
        <x:v>IC2512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7251</x:v>
      </x:c>
      <x:c r="E235" s="24" t="n">
        <x:v>7075</x:v>
      </x:c>
      <x:c r="F235" s="26" t="n">
        <x:f>ROUND(D235-E235,1)</x:f>
        <x:v>176</x:v>
      </x:c>
      <x:c r="G235" s="23" t="str">
        <x:v>IC2512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7317.8</x:v>
      </x:c>
      <x:c r="E236" s="24" t="n">
        <x:v>6971.8</x:v>
      </x:c>
      <x:c r="F236" s="26" t="n">
        <x:f>ROUND(D236-E236,1)</x:f>
        <x:v>346</x:v>
      </x:c>
      <x:c r="G236" s="23" t="str">
        <x:v>IC2512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7166</x:v>
      </x:c>
      <x:c r="E237" s="24" t="n">
        <x:v>7008</x:v>
      </x:c>
      <x:c r="F237" s="26" t="n">
        <x:f>ROUND(D237-E237,1)</x:f>
        <x:v>158</x:v>
      </x:c>
      <x:c r="G237" s="23" t="str">
        <x:v>IC2512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7144</x:v>
      </x:c>
      <x:c r="E238" s="24" t="n">
        <x:v>7018</x:v>
      </x:c>
      <x:c r="F238" s="24" t="n">
        <x:f>ROUND(D238-E238,1)</x:f>
        <x:v>126</x:v>
      </x:c>
      <x:c r="G238" s="23" t="str">
        <x:v>IC2512</x:v>
      </x:c>
    </x:row>
    <x:row r="239">
      <x:c r="A239" s="29" t="n">
        <x:v>7</x:v>
      </x:c>
      <x:c r="B239" s="29" t="str">
        <x:v>周五</x:v>
      </x:c>
      <x:c r="C239" s="29" t="str">
        <x:v>10月17日</x:v>
      </x:c>
      <x:c r="D239" s="30" t="n">
        <x:v>7098.2</x:v>
      </x:c>
      <x:c r="E239" s="30" t="n">
        <x:v>6840</x:v>
      </x:c>
      <x:c r="F239" s="26" t="n">
        <x:f>ROUND(D239-E239,1)</x:f>
        <x:v>258.2</x:v>
      </x:c>
      <x:c r="G239" s="29" t="str">
        <x:v>IC2512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6997.4</x:v>
      </x:c>
      <x:c r="E240" s="24" t="n">
        <x:v>6885</x:v>
      </x:c>
      <x:c r="F240" s="24" t="n">
        <x:f>ROUND(D240-E240,1)</x:f>
        <x:v>112.4</x:v>
      </x:c>
      <x:c r="G240" s="23" t="str">
        <x:v>IC2512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7098</x:v>
      </x:c>
      <x:c r="E241" s="24" t="n">
        <x:v>6948</x:v>
      </x:c>
      <x:c r="F241" s="26" t="n">
        <x:f>ROUND(D241-E241,1)</x:f>
        <x:v>150</x:v>
      </x:c>
      <x:c r="G241" s="23" t="str">
        <x:v>IC2512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7052.4</x:v>
      </x:c>
      <x:c r="E242" s="24" t="n">
        <x:v>6970</x:v>
      </x:c>
      <x:c r="F242" s="24" t="n">
        <x:f>ROUND(D242-E242,1)</x:f>
        <x:v>82.4</x:v>
      </x:c>
      <x:c r="G242" s="23" t="str">
        <x:v>IC2512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7047.4</x:v>
      </x:c>
      <x:c r="E243" s="24" t="n">
        <x:v>6893.8</x:v>
      </x:c>
      <x:c r="F243" s="26" t="n">
        <x:f>ROUND(D243-E243,1)</x:f>
        <x:v>153.6</x:v>
      </x:c>
      <x:c r="G243" s="23" t="str">
        <x:v>IC2512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7159.8</x:v>
      </x:c>
      <x:c r="E244" s="24" t="n">
        <x:v>7043.6</x:v>
      </x:c>
      <x:c r="F244" s="24" t="n">
        <x:f>ROUND(D244-E244,1)</x:f>
        <x:v>116.2</x:v>
      </x:c>
      <x:c r="G244" s="23" t="str">
        <x:v>IC2512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7285.8</x:v>
      </x:c>
      <x:c r="E245" s="24" t="n">
        <x:v>7191</x:v>
      </x:c>
      <x:c r="F245" s="24" t="n">
        <x:f>ROUND(D245-E245,1)</x:f>
        <x:v>94.8</x:v>
      </x:c>
      <x:c r="G245" s="23" t="str">
        <x:v>IC2512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7313</x:v>
      </x:c>
      <x:c r="E246" s="24" t="n">
        <x:v>7203.6</x:v>
      </x:c>
      <x:c r="F246" s="24" t="n">
        <x:f>ROUND(D246-E246,1)</x:f>
        <x:v>109.4</x:v>
      </x:c>
      <x:c r="G246" s="23" t="str">
        <x:v>IC2512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7395</x:v>
      </x:c>
      <x:c r="E247" s="24" t="n">
        <x:v>7257.6</x:v>
      </x:c>
      <x:c r="F247" s="24" t="n">
        <x:f>ROUND(D247-E247,1)</x:f>
        <x:v>137.4</x:v>
      </x:c>
      <x:c r="G247" s="23" t="str">
        <x:v>IC2512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7374</x:v>
      </x:c>
      <x:c r="E248" s="24" t="n">
        <x:v>7265</x:v>
      </x:c>
      <x:c r="F248" s="24" t="n">
        <x:f>ROUND(D248-E248,1)</x:f>
        <x:v>109</x:v>
      </x:c>
      <x:c r="G248" s="23" t="str">
        <x:v>IC2512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7355</x:v>
      </x:c>
      <x:c r="E249" s="24" t="n">
        <x:v>7239.6</x:v>
      </x:c>
      <x:c r="F249" s="24" t="n">
        <x:f>ROUND(D249-E249,1)</x:f>
        <x:v>115.4</x:v>
      </x:c>
      <x:c r="G249" s="23" t="str">
        <x:v>IC2512</x:v>
      </x:c>
    </x:row>
    <x:row r="250">
      <x:c r="A250" s="33" t="str">
        <x:v>合计</x:v>
      </x:c>
      <x:c r="B250" s="32" t="n">
        <x:v>17</x:v>
      </x:c>
      <x:c r="C250" s="32"/>
      <x:c r="D250" s="32"/>
      <x:c r="E250" s="32"/>
      <x:c r="F250" s="34" t="n">
        <x:f>ROUND(SUM(F233:F249),1)</x:f>
        <x:v>2537.2</x:v>
      </x:c>
      <x:c r="G250" s="32"/>
    </x:row>
    <x:row r="251">
      <x:c r="A251" s="33" t="str">
        <x:v>均值</x:v>
      </x:c>
      <x:c r="B251" s="32"/>
      <x:c r="C251" s="32"/>
      <x:c r="D251" s="32"/>
      <x:c r="E251" s="32"/>
      <x:c r="F251" s="36" t="n">
        <x:f>ROUND(IFERROR(AVERAGE(F233:F249),0),1)</x:f>
        <x:v>149.2</x:v>
      </x:c>
      <x:c r="G251" s="32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高点</x:v>
      </x:c>
      <x:c r="E254" s="20" t="str">
        <x:v>低点</x:v>
      </x:c>
      <x:c r="F254" s="20" t="str">
        <x:v>振幅</x:v>
      </x:c>
      <x:c r="G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7250.8</x:v>
      </x:c>
      <x:c r="E255" s="24" t="n">
        <x:v>7108</x:v>
      </x:c>
      <x:c r="F255" s="24" t="n">
        <x:f>ROUND(D255-E255,1)</x:f>
        <x:v>142.8</x:v>
      </x:c>
      <x:c r="G255" s="23" t="str">
        <x:v>IC2512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7227.2</x:v>
      </x:c>
      <x:c r="E256" s="24" t="n">
        <x:v>7032.2</x:v>
      </x:c>
      <x:c r="F256" s="26" t="n">
        <x:f>ROUND(D256-E256,1)</x:f>
        <x:v>195</x:v>
      </x:c>
      <x:c r="G256" s="23" t="str">
        <x:v>IC2512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7159</x:v>
      </x:c>
      <x:c r="E257" s="24" t="n">
        <x:v>7006</x:v>
      </x:c>
      <x:c r="F257" s="26" t="n">
        <x:f>ROUND(D257-E257,1)</x:f>
        <x:v>153</x:v>
      </x:c>
      <x:c r="G257" s="23" t="str">
        <x:v>IC2512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7261.8</x:v>
      </x:c>
      <x:c r="E258" s="24" t="n">
        <x:v>7120</x:v>
      </x:c>
      <x:c r="F258" s="24" t="n">
        <x:f>ROUND(D258-E258,1)</x:f>
        <x:v>141.8</x:v>
      </x:c>
      <x:c r="G258" s="23" t="str">
        <x:v>IC2512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7268.8</x:v>
      </x:c>
      <x:c r="E259" s="24" t="n">
        <x:v>7172</x:v>
      </x:c>
      <x:c r="F259" s="24" t="n">
        <x:f>ROUND(D259-E259,1)</x:f>
        <x:v>96.8</x:v>
      </x:c>
      <x:c r="G259" s="23" t="str">
        <x:v>IC2512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7301</x:v>
      </x:c>
      <x:c r="E260" s="24" t="n">
        <x:v>7176.2</x:v>
      </x:c>
      <x:c r="F260" s="24" t="n">
        <x:f>ROUND(D260-E260,1)</x:f>
        <x:v>124.8</x:v>
      </x:c>
      <x:c r="G260" s="23" t="str">
        <x:v>IC2512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7296</x:v>
      </x:c>
      <x:c r="E261" s="24" t="n">
        <x:v>7160</x:v>
      </x:c>
      <x:c r="F261" s="24" t="n">
        <x:f>ROUND(D261-E261,1)</x:f>
        <x:v>136</x:v>
      </x:c>
      <x:c r="G261" s="23" t="str">
        <x:v>IC2512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7215</x:v>
      </x:c>
      <x:c r="E262" s="24" t="n">
        <x:v>7081</x:v>
      </x:c>
      <x:c r="F262" s="24" t="n">
        <x:f>ROUND(D262-E262,1)</x:f>
        <x:v>134</x:v>
      </x:c>
      <x:c r="G262" s="23" t="str">
        <x:v>IC2512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7278.2</x:v>
      </x:c>
      <x:c r="E263" s="24" t="n">
        <x:v>7138</x:v>
      </x:c>
      <x:c r="F263" s="24" t="n">
        <x:f>ROUND(D263-E263,1)</x:f>
        <x:v>140.2</x:v>
      </x:c>
      <x:c r="G263" s="23" t="str">
        <x:v>IC2512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7240</x:v>
      </x:c>
      <x:c r="E264" s="24" t="n">
        <x:v>7136.8</x:v>
      </x:c>
      <x:c r="F264" s="24" t="n">
        <x:f>ROUND(D264-E264,1)</x:f>
        <x:v>103.2</x:v>
      </x:c>
      <x:c r="G264" s="23" t="str">
        <x:v>IC2512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7181.8</x:v>
      </x:c>
      <x:c r="E265" s="24" t="n">
        <x:v>7107</x:v>
      </x:c>
      <x:c r="F265" s="24" t="n">
        <x:f>ROUND(D265-E265,1)</x:f>
        <x:v>74.8</x:v>
      </x:c>
      <x:c r="G265" s="23" t="str">
        <x:v>IC2512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7139</x:v>
      </x:c>
      <x:c r="E266" s="24" t="n">
        <x:v>7028</x:v>
      </x:c>
      <x:c r="F266" s="24" t="n">
        <x:f>ROUND(D266-E266,1)</x:f>
        <x:v>111</x:v>
      </x:c>
      <x:c r="G266" s="23" t="str">
        <x:v>IC2512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7113.6</x:v>
      </x:c>
      <x:c r="E267" s="24" t="n">
        <x:v>7013</x:v>
      </x:c>
      <x:c r="F267" s="24" t="n">
        <x:f>ROUND(D267-E267,1)</x:f>
        <x:v>100.6</x:v>
      </x:c>
      <x:c r="G267" s="23" t="str">
        <x:v>IC2512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7124.2</x:v>
      </x:c>
      <x:c r="E268" s="24" t="n">
        <x:v>6988.4</x:v>
      </x:c>
      <x:c r="F268" s="24" t="n">
        <x:f>ROUND(D268-E268,1)</x:f>
        <x:v>135.8</x:v>
      </x:c>
      <x:c r="G268" s="23" t="str">
        <x:v>IC2512</x:v>
      </x:c>
    </x:row>
    <x:row r="269">
      <x:c r="A269" s="29" t="n">
        <x:v>15</x:v>
      </x:c>
      <x:c r="B269" s="29" t="str">
        <x:v>周五</x:v>
      </x:c>
      <x:c r="C269" s="29" t="str">
        <x:v>11月21日</x:v>
      </x:c>
      <x:c r="D269" s="30" t="n">
        <x:v>6964.8</x:v>
      </x:c>
      <x:c r="E269" s="30" t="n">
        <x:v>6765</x:v>
      </x:c>
      <x:c r="F269" s="26" t="n">
        <x:f>ROUND(D269-E269,1)</x:f>
        <x:v>199.8</x:v>
      </x:c>
      <x:c r="G269" s="29" t="str">
        <x:v>IC2512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6867.8</x:v>
      </x:c>
      <x:c r="E270" s="24" t="n">
        <x:v>6754.4</x:v>
      </x:c>
      <x:c r="F270" s="24" t="n">
        <x:f>ROUND(D270-E270,1)</x:f>
        <x:v>113.4</x:v>
      </x:c>
      <x:c r="G270" s="23" t="str">
        <x:v>IC2512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6991.8</x:v>
      </x:c>
      <x:c r="E271" s="24" t="n">
        <x:v>6873</x:v>
      </x:c>
      <x:c r="F271" s="24" t="n">
        <x:f>ROUND(D271-E271,1)</x:f>
        <x:v>118.8</x:v>
      </x:c>
      <x:c r="G271" s="23" t="str">
        <x:v>IC2512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6978</x:v>
      </x:c>
      <x:c r="E272" s="24" t="n">
        <x:v>6890</x:v>
      </x:c>
      <x:c r="F272" s="24" t="n">
        <x:f>ROUND(D272-E272,1)</x:f>
        <x:v>88</x:v>
      </x:c>
      <x:c r="G272" s="23" t="str">
        <x:v>IC2512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7008.8</x:v>
      </x:c>
      <x:c r="E273" s="24" t="n">
        <x:v>6881.2</x:v>
      </x:c>
      <x:c r="F273" s="24" t="n">
        <x:f>ROUND(D273-E273,1)</x:f>
        <x:v>127.6</x:v>
      </x:c>
      <x:c r="G273" s="23" t="str">
        <x:v>IC2512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6982.6</x:v>
      </x:c>
      <x:c r="E274" s="24" t="n">
        <x:v>6887.4</x:v>
      </x:c>
      <x:c r="F274" s="24" t="n">
        <x:f>ROUND(D274-E274,1)</x:f>
        <x:v>95.2</x:v>
      </x:c>
      <x:c r="G274" s="23" t="str">
        <x:v>IC2512</x:v>
      </x:c>
    </x:row>
    <x:row r="275">
      <x:c r="A275" s="33" t="str">
        <x:v>合计</x:v>
      </x:c>
      <x:c r="B275" s="32" t="n">
        <x:v>20</x:v>
      </x:c>
      <x:c r="C275" s="32"/>
      <x:c r="D275" s="32"/>
      <x:c r="E275" s="32"/>
      <x:c r="F275" s="34" t="n">
        <x:f>ROUND(SUM(F255:F274),1)</x:f>
        <x:v>2532.6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ROUND(IFERROR(AVERAGE(F255:F274),0),1)</x:f>
        <x:v>126.6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7049</x:v>
      </x:c>
      <x:c r="E280" s="24" t="n">
        <x:v>6977.4</x:v>
      </x:c>
      <x:c r="F280" s="24" t="n">
        <x:f>ROUND(D280-E280,1)</x:f>
        <x:v>71.6</x:v>
      </x:c>
      <x:c r="G280" s="23" t="str">
        <x:v>IC2512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7026.8</x:v>
      </x:c>
      <x:c r="E281" s="24" t="n">
        <x:v>6966</x:v>
      </x:c>
      <x:c r="F281" s="24" t="n">
        <x:f>ROUND(D281-E281,1)</x:f>
        <x:v>60.8</x:v>
      </x:c>
      <x:c r="G281" s="23" t="str">
        <x:v>IC2512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7018</x:v>
      </x:c>
      <x:c r="E282" s="24" t="n">
        <x:v>6925.4</x:v>
      </x:c>
      <x:c r="F282" s="24" t="n">
        <x:f>ROUND(D282-E282,1)</x:f>
        <x:v>92.6</x:v>
      </x:c>
      <x:c r="G282" s="23" t="str">
        <x:v>IC2512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7005.6</x:v>
      </x:c>
      <x:c r="E283" s="24" t="n">
        <x:v>6912</x:v>
      </x:c>
      <x:c r="F283" s="24" t="n">
        <x:f>ROUND(D283-E283,1)</x:f>
        <x:v>93.6</x:v>
      </x:c>
      <x:c r="G283" s="23" t="str">
        <x:v>IC2512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7087.4</x:v>
      </x:c>
      <x:c r="E284" s="24" t="n">
        <x:v>6921.2</x:v>
      </x:c>
      <x:c r="F284" s="26" t="n">
        <x:f>ROUND(D284-E284,1)</x:f>
        <x:v>166.2</x:v>
      </x:c>
      <x:c r="G284" s="23" t="str">
        <x:v>IC2512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7173</x:v>
      </x:c>
      <x:c r="E285" s="24" t="n">
        <x:v>7096</x:v>
      </x:c>
      <x:c r="F285" s="24" t="n">
        <x:f>ROUND(D285-E285,1)</x:f>
        <x:v>77</x:v>
      </x:c>
      <x:c r="G285" s="23" t="str">
        <x:v>IC2512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7161.2</x:v>
      </x:c>
      <x:c r="E286" s="24" t="n">
        <x:v>7082.4</x:v>
      </x:c>
      <x:c r="F286" s="24" t="n">
        <x:f>ROUND(D286-E286,1)</x:f>
        <x:v>78.8</x:v>
      </x:c>
      <x:c r="G286" s="23" t="str">
        <x:v>IC2512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7143.6</x:v>
      </x:c>
      <x:c r="E287" s="24" t="n">
        <x:v>7040</x:v>
      </x:c>
      <x:c r="F287" s="24" t="n">
        <x:f>ROUND(D287-E287,1)</x:f>
        <x:v>103.6</x:v>
      </x:c>
      <x:c r="G287" s="23" t="str">
        <x:v>IC2512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7151.6</x:v>
      </x:c>
      <x:c r="E288" s="24" t="n">
        <x:v>7066.4</x:v>
      </x:c>
      <x:c r="F288" s="24" t="n">
        <x:f>ROUND(D288-E288,1)</x:f>
        <x:v>85.2</x:v>
      </x:c>
      <x:c r="G288" s="23" t="str">
        <x:v>IC2512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7188.4</x:v>
      </x:c>
      <x:c r="E289" s="24" t="n">
        <x:v>7058.4</x:v>
      </x:c>
      <x:c r="F289" s="24" t="n">
        <x:f>ROUND(D289-E289,1)</x:f>
        <x:v>130</x:v>
      </x:c>
      <x:c r="G289" s="23" t="str">
        <x:v>IC2512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7179.8</x:v>
      </x:c>
      <x:c r="E290" s="24" t="n">
        <x:v>7110</x:v>
      </x:c>
      <x:c r="F290" s="24" t="n">
        <x:f>ROUND(D290-E290,1)</x:f>
        <x:v>69.8</x:v>
      </x:c>
      <x:c r="G290" s="23" t="str">
        <x:v>IC2512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7103.6</x:v>
      </x:c>
      <x:c r="E291" s="24" t="n">
        <x:v>6958.6</x:v>
      </x:c>
      <x:c r="F291" s="24" t="n">
        <x:f>ROUND(D291-E291,1)</x:f>
        <x:v>145</x:v>
      </x:c>
      <x:c r="G291" s="23" t="str">
        <x:v>IC2512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7178.8</x:v>
      </x:c>
      <x:c r="E292" s="24" t="n">
        <x:v>6987.6</x:v>
      </x:c>
      <x:c r="F292" s="26" t="n">
        <x:f>ROUND(D292-E292,1)</x:f>
        <x:v>191.2</x:v>
      </x:c>
      <x:c r="G292" s="23" t="str">
        <x:v>IC2512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7184.6</x:v>
      </x:c>
      <x:c r="E293" s="24" t="n">
        <x:v>7101</x:v>
      </x:c>
      <x:c r="F293" s="24" t="n">
        <x:f>ROUND(D293-E293,1)</x:f>
        <x:v>83.6</x:v>
      </x:c>
      <x:c r="G293" s="23" t="str">
        <x:v>IC2512</x:v>
      </x:c>
    </x:row>
    <x:row r="294">
      <x:c r="A294" s="29" t="n">
        <x:v>15</x:v>
      </x:c>
      <x:c r="B294" s="29" t="str">
        <x:v>周五</x:v>
      </x:c>
      <x:c r="C294" s="29" t="str">
        <x:v>12月19日</x:v>
      </x:c>
      <x:c r="D294" s="30" t="n">
        <x:v>7199</x:v>
      </x:c>
      <x:c r="E294" s="30" t="n">
        <x:v>7115</x:v>
      </x:c>
      <x:c r="F294" s="30" t="n">
        <x:f>ROUND(D294-E294,1)</x:f>
        <x:v>84</x:v>
      </x:c>
      <x:c r="G294" s="29" t="str">
        <x:v>IC2512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7170</x:v>
      </x:c>
      <x:c r="E295" s="24" t="n">
        <x:v>7088.6</x:v>
      </x:c>
      <x:c r="F295" s="24" t="n">
        <x:f>ROUND(D295-E295,1)</x:f>
        <x:v>81.4</x:v>
      </x:c>
      <x:c r="G295" s="23" t="str">
        <x:v>IC2603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7178.6</x:v>
      </x:c>
      <x:c r="E296" s="24" t="n">
        <x:v>7108</x:v>
      </x:c>
      <x:c r="F296" s="24" t="n">
        <x:f>ROUND(D296-E296,1)</x:f>
        <x:v>70.6</x:v>
      </x:c>
      <x:c r="G296" s="23" t="str">
        <x:v>IC2603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7271.6</x:v>
      </x:c>
      <x:c r="E297" s="24" t="n">
        <x:v>7128.8</x:v>
      </x:c>
      <x:c r="F297" s="24" t="n">
        <x:f>ROUND(D297-E297,1)</x:f>
        <x:v>142.8</x:v>
      </x:c>
      <x:c r="G297" s="23" t="str">
        <x:v>IC2603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7344</x:v>
      </x:c>
      <x:c r="E298" s="24" t="n">
        <x:v>7219.8</x:v>
      </x:c>
      <x:c r="F298" s="24" t="n">
        <x:f>ROUND(D298-E298,1)</x:f>
        <x:v>124.2</x:v>
      </x:c>
      <x:c r="G298" s="23" t="str">
        <x:v>IC2603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7431.2</x:v>
      </x:c>
      <x:c r="E299" s="24" t="n">
        <x:v>7330</x:v>
      </x:c>
      <x:c r="F299" s="24" t="n">
        <x:f>ROUND(D299-E299,1)</x:f>
        <x:v>101.2</x:v>
      </x:c>
      <x:c r="G299" s="23" t="str">
        <x:v>IC2603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7414.6</x:v>
      </x:c>
      <x:c r="E300" s="24" t="n">
        <x:v>7318</x:v>
      </x:c>
      <x:c r="F300" s="24" t="n">
        <x:f>ROUND(D300-E300,1)</x:f>
        <x:v>96.6</x:v>
      </x:c>
      <x:c r="G300" s="23" t="str">
        <x:v>IC2603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7425.2</x:v>
      </x:c>
      <x:c r="E301" s="24" t="n">
        <x:v>7308.8</x:v>
      </x:c>
      <x:c r="F301" s="24" t="n">
        <x:f>ROUND(D301-E301,1)</x:f>
        <x:v>116.4</x:v>
      </x:c>
      <x:c r="G301" s="23" t="str">
        <x:v>IC2603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7400.2</x:v>
      </x:c>
      <x:c r="E302" s="24" t="n">
        <x:v>7335</x:v>
      </x:c>
      <x:c r="F302" s="24" t="n">
        <x:f>ROUND(D302-E302,1)</x:f>
        <x:v>65.2</x:v>
      </x:c>
      <x:c r="G302" s="23" t="str">
        <x:v>IC2603</x:v>
      </x:c>
    </x:row>
    <x:row r="303">
      <x:c r="A303" s="33" t="str">
        <x:v>合计</x:v>
      </x:c>
      <x:c r="B303" s="32" t="n">
        <x:v>23</x:v>
      </x:c>
      <x:c r="C303" s="32"/>
      <x:c r="D303" s="32"/>
      <x:c r="E303" s="32"/>
      <x:c r="F303" s="34" t="n">
        <x:f>ROUND(SUM(F280:F302),1)</x:f>
        <x:v>2331.4</x:v>
      </x:c>
      <x:c r="G303" s="32"/>
    </x:row>
    <x:row r="304">
      <x:c r="A304" s="33" t="str">
        <x:v>均值</x:v>
      </x:c>
      <x:c r="B304" s="32"/>
      <x:c r="C304" s="32"/>
      <x:c r="D304" s="32"/>
      <x:c r="E304" s="32"/>
      <x:c r="F304" s="36" t="n">
        <x:f>ROUND(IFERROR(AVERAGE(F280:F302),0),1)</x:f>
        <x:v>101.4</x:v>
      </x:c>
      <x:c r="G304" s="32"/>
    </x:row>
  </x:sheetData>
  <x:mergeCells>
    <x:mergeCell ref="A1:G1"/>
    <x:mergeCell ref="A3:G3"/>
    <x:mergeCell ref="A26:G26"/>
    <x:mergeCell ref="A49:G49"/>
    <x:mergeCell ref="A75:G75"/>
    <x:mergeCell ref="A101:G101"/>
    <x:mergeCell ref="A125:G125"/>
    <x:mergeCell ref="A150:G150"/>
    <x:mergeCell ref="A178:G178"/>
    <x:mergeCell ref="A204:G204"/>
    <x:mergeCell ref="A231:G231"/>
    <x:mergeCell ref="A253:G253"/>
    <x:mergeCell ref="A278:G278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2025年统计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3931</x:v>
      </x:c>
      <x:c r="E5" s="24" t="n">
        <x:v>3784.4</x:v>
      </x:c>
      <x:c r="F5" s="26" t="n">
        <x:f>ROUND(D5-E5,1)</x:f>
        <x:v>146.6</x:v>
      </x:c>
      <x:c r="G5" s="23" t="str">
        <x:v>IF2503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3834</x:v>
      </x:c>
      <x:c r="E6" s="24" t="n">
        <x:v>3758</x:v>
      </x:c>
      <x:c r="F6" s="24" t="n">
        <x:f>ROUND(D6-E6,1)</x:f>
        <x:v>76</x:v>
      </x:c>
      <x:c r="G6" s="23" t="str">
        <x:v>IF2503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3785.4</x:v>
      </x:c>
      <x:c r="E7" s="24" t="n">
        <x:v>3740.8</x:v>
      </x:c>
      <x:c r="F7" s="24" t="n">
        <x:f>ROUND(D7-E7,1)</x:f>
        <x:v>44.6</x:v>
      </x:c>
      <x:c r="G7" s="23" t="str">
        <x:v>IF2503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3793.4</x:v>
      </x:c>
      <x:c r="E8" s="24" t="n">
        <x:v>3750</x:v>
      </x:c>
      <x:c r="F8" s="24" t="n">
        <x:f>ROUND(D8-E8,1)</x:f>
        <x:v>43.4</x:v>
      </x:c>
      <x:c r="G8" s="23" t="str">
        <x:v>IF2503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3810</x:v>
      </x:c>
      <x:c r="E9" s="24" t="n">
        <x:v>3720.6</x:v>
      </x:c>
      <x:c r="F9" s="24" t="n">
        <x:f>ROUND(D9-E9,1)</x:f>
        <x:v>89.4</x:v>
      </x:c>
      <x:c r="G9" s="23" t="str">
        <x:v>IF2503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3790</x:v>
      </x:c>
      <x:c r="E10" s="24" t="n">
        <x:v>3762.4</x:v>
      </x:c>
      <x:c r="F10" s="24" t="n">
        <x:f>ROUND(D10-E10,1)</x:f>
        <x:v>27.6</x:v>
      </x:c>
      <x:c r="G10" s="23" t="str">
        <x:v>IF2503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3785.8</x:v>
      </x:c>
      <x:c r="E11" s="24" t="n">
        <x:v>3727.4</x:v>
      </x:c>
      <x:c r="F11" s="24" t="n">
        <x:f>ROUND(D11-E11,1)</x:f>
        <x:v>58.4</x:v>
      </x:c>
      <x:c r="G11" s="23" t="str">
        <x:v>IF2503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3739.2</x:v>
      </x:c>
      <x:c r="E12" s="24" t="n">
        <x:v>3702</x:v>
      </x:c>
      <x:c r="F12" s="24" t="n">
        <x:f>ROUND(D12-E12,1)</x:f>
        <x:v>37.2</x:v>
      </x:c>
      <x:c r="G12" s="23" t="str">
        <x:v>IF2503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3834.8</x:v>
      </x:c>
      <x:c r="E13" s="24" t="n">
        <x:v>3721.2</x:v>
      </x:c>
      <x:c r="F13" s="26" t="n">
        <x:f>ROUND(D13-E13,1)</x:f>
        <x:v>113.6</x:v>
      </x:c>
      <x:c r="G13" s="23" t="str">
        <x:v>IF2503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3815</x:v>
      </x:c>
      <x:c r="E14" s="24" t="n">
        <x:v>3786</x:v>
      </x:c>
      <x:c r="F14" s="24" t="n">
        <x:f>ROUND(D14-E14,1)</x:f>
        <x:v>29</x:v>
      </x:c>
      <x:c r="G14" s="23" t="str">
        <x:v>IF2503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3849.6</x:v>
      </x:c>
      <x:c r="E15" s="24" t="n">
        <x:v>3771</x:v>
      </x:c>
      <x:c r="F15" s="24" t="n">
        <x:f>ROUND(D15-E15,1)</x:f>
        <x:v>78.6</x:v>
      </x:c>
      <x:c r="G15" s="23" t="str">
        <x:v>IF2503</x:v>
      </x:c>
    </x:row>
    <x:row r="16">
      <x:c r="A16" s="29" t="n">
        <x:v>12</x:v>
      </x:c>
      <x:c r="B16" s="29" t="str">
        <x:v>周五</x:v>
      </x:c>
      <x:c r="C16" s="29" t="str">
        <x:v>1月17日</x:v>
      </x:c>
      <x:c r="D16" s="30" t="n">
        <x:v>3835</x:v>
      </x:c>
      <x:c r="E16" s="30" t="n">
        <x:v>3776.6</x:v>
      </x:c>
      <x:c r="F16" s="30" t="n">
        <x:f>ROUND(D16-E16,1)</x:f>
        <x:v>58.4</x:v>
      </x:c>
      <x:c r="G16" s="29" t="str">
        <x:v>IF2503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3863.6</x:v>
      </x:c>
      <x:c r="E17" s="24" t="n">
        <x:v>3818.6</x:v>
      </x:c>
      <x:c r="F17" s="24" t="n">
        <x:f>ROUND(D17-E17,1)</x:f>
        <x:v>45</x:v>
      </x:c>
      <x:c r="G17" s="23" t="str">
        <x:v>IF2503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3854</x:v>
      </x:c>
      <x:c r="E18" s="24" t="n">
        <x:v>3816</x:v>
      </x:c>
      <x:c r="F18" s="24" t="n">
        <x:f>ROUND(D18-E18,1)</x:f>
        <x:v>38</x:v>
      </x:c>
      <x:c r="G18" s="23" t="str">
        <x:v>IF2503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3825.4</x:v>
      </x:c>
      <x:c r="E19" s="24" t="n">
        <x:v>3774.2</x:v>
      </x:c>
      <x:c r="F19" s="24" t="n">
        <x:f>ROUND(D19-E19,1)</x:f>
        <x:v>51.2</x:v>
      </x:c>
      <x:c r="G19" s="23" t="str">
        <x:v>IF2503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3872.6</x:v>
      </x:c>
      <x:c r="E20" s="24" t="n">
        <x:v>3791</x:v>
      </x:c>
      <x:c r="F20" s="24" t="n">
        <x:f>ROUND(D20-E20,1)</x:f>
        <x:v>81.6</x:v>
      </x:c>
      <x:c r="G20" s="23" t="str">
        <x:v>IF2503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3859</x:v>
      </x:c>
      <x:c r="E21" s="24" t="n">
        <x:v>3797</x:v>
      </x:c>
      <x:c r="F21" s="24" t="n">
        <x:f>ROUND(D21-E21,1)</x:f>
        <x:v>62</x:v>
      </x:c>
      <x:c r="G21" s="23" t="str">
        <x:v>IF2503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3855.4</x:v>
      </x:c>
      <x:c r="E22" s="24" t="n">
        <x:v>3795</x:v>
      </x:c>
      <x:c r="F22" s="24" t="n">
        <x:f>ROUND(D22-E22,1)</x:f>
        <x:v>60.4</x:v>
      </x:c>
      <x:c r="G22" s="23" t="str">
        <x:v>IF2503</x:v>
      </x:c>
    </x:row>
    <x:row r="23">
      <x:c r="A23" s="33" t="str">
        <x:v>合计</x:v>
      </x:c>
      <x:c r="B23" s="32" t="n">
        <x:v>18</x:v>
      </x:c>
      <x:c r="C23" s="32"/>
      <x:c r="D23" s="32"/>
      <x:c r="E23" s="32"/>
      <x:c r="F23" s="34" t="n">
        <x:f>ROUND(SUM(F5:F22),1)</x:f>
        <x:v>1141</x:v>
      </x:c>
      <x:c r="G23" s="32"/>
    </x:row>
    <x:row r="24">
      <x:c r="A24" s="33" t="str">
        <x:v>均值</x:v>
      </x:c>
      <x:c r="B24" s="32"/>
      <x:c r="C24" s="32"/>
      <x:c r="D24" s="32"/>
      <x:c r="E24" s="32"/>
      <x:c r="F24" s="36" t="n">
        <x:f>ROUND(IFERROR(AVERAGE(F5:F22),0),1)</x:f>
        <x:v>63.4</x:v>
      </x:c>
      <x:c r="G24" s="32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高点</x:v>
      </x:c>
      <x:c r="E27" s="20" t="str">
        <x:v>低点</x:v>
      </x:c>
      <x:c r="F27" s="20" t="str">
        <x:v>振幅</x:v>
      </x:c>
      <x:c r="G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3829.4</x:v>
      </x:c>
      <x:c r="E28" s="24" t="n">
        <x:v>3775.6</x:v>
      </x:c>
      <x:c r="F28" s="24" t="n">
        <x:f>ROUND(D28-E28,1)</x:f>
        <x:v>53.8</x:v>
      </x:c>
      <x:c r="G28" s="23" t="str">
        <x:v>IF2503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3849.8</x:v>
      </x:c>
      <x:c r="E29" s="24" t="n">
        <x:v>3786.2</x:v>
      </x:c>
      <x:c r="F29" s="24" t="n">
        <x:f>ROUND(D29-E29,1)</x:f>
        <x:v>63.6</x:v>
      </x:c>
      <x:c r="G29" s="23" t="str">
        <x:v>IF2503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3925.6</x:v>
      </x:c>
      <x:c r="E30" s="24" t="n">
        <x:v>3834.2</x:v>
      </x:c>
      <x:c r="F30" s="26" t="n">
        <x:f>ROUND(D30-E30,1)</x:f>
        <x:v>91.4</x:v>
      </x:c>
      <x:c r="G30" s="23" t="str">
        <x:v>IF2503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3910.2</x:v>
      </x:c>
      <x:c r="E31" s="24" t="n">
        <x:v>3882.2</x:v>
      </x:c>
      <x:c r="F31" s="24" t="n">
        <x:f>ROUND(D31-E31,1)</x:f>
        <x:v>28</x:v>
      </x:c>
      <x:c r="G31" s="23" t="str">
        <x:v>IF2503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3904.4</x:v>
      </x:c>
      <x:c r="E32" s="24" t="n">
        <x:v>3868.4</x:v>
      </x:c>
      <x:c r="F32" s="24" t="n">
        <x:f>ROUND(D32-E32,1)</x:f>
        <x:v>36</x:v>
      </x:c>
      <x:c r="G32" s="23" t="str">
        <x:v>IF2503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3927.6</x:v>
      </x:c>
      <x:c r="E33" s="24" t="n">
        <x:v>3866</x:v>
      </x:c>
      <x:c r="F33" s="24" t="n">
        <x:f>ROUND(D33-E33,1)</x:f>
        <x:v>61.6</x:v>
      </x:c>
      <x:c r="G33" s="23" t="str">
        <x:v>IF2503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3940.2</x:v>
      </x:c>
      <x:c r="E34" s="24" t="n">
        <x:v>3901</x:v>
      </x:c>
      <x:c r="F34" s="24" t="n">
        <x:f>ROUND(D34-E34,1)</x:f>
        <x:v>39.2</x:v>
      </x:c>
      <x:c r="G34" s="23" t="str">
        <x:v>IF2503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3948.6</x:v>
      </x:c>
      <x:c r="E35" s="24" t="n">
        <x:v>3904.4</x:v>
      </x:c>
      <x:c r="F35" s="24" t="n">
        <x:f>ROUND(D35-E35,1)</x:f>
        <x:v>44.2</x:v>
      </x:c>
      <x:c r="G35" s="23" t="str">
        <x:v>IF2503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3964</x:v>
      </x:c>
      <x:c r="E36" s="24" t="n">
        <x:v>3916</x:v>
      </x:c>
      <x:c r="F36" s="24" t="n">
        <x:f>ROUND(D36-E36,1)</x:f>
        <x:v>48</x:v>
      </x:c>
      <x:c r="G36" s="23" t="str">
        <x:v>IF2503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3965</x:v>
      </x:c>
      <x:c r="E37" s="24" t="n">
        <x:v>3900.4</x:v>
      </x:c>
      <x:c r="F37" s="24" t="n">
        <x:f>ROUND(D37-E37,1)</x:f>
        <x:v>64.6</x:v>
      </x:c>
      <x:c r="G37" s="23" t="str">
        <x:v>IF2503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3949.6</x:v>
      </x:c>
      <x:c r="E38" s="24" t="n">
        <x:v>3907.4</x:v>
      </x:c>
      <x:c r="F38" s="24" t="n">
        <x:f>ROUND(D38-E38,1)</x:f>
        <x:v>42.2</x:v>
      </x:c>
      <x:c r="G38" s="23" t="str">
        <x:v>IF2503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3939.4</x:v>
      </x:c>
      <x:c r="E39" s="24" t="n">
        <x:v>3913.2</x:v>
      </x:c>
      <x:c r="F39" s="24" t="n">
        <x:f>ROUND(D39-E39,1)</x:f>
        <x:v>26.2</x:v>
      </x:c>
      <x:c r="G39" s="23" t="str">
        <x:v>IF2503</x:v>
      </x:c>
    </x:row>
    <x:row r="40">
      <x:c r="A40" s="29" t="n">
        <x:v>13</x:v>
      </x:c>
      <x:c r="B40" s="29" t="str">
        <x:v>周五</x:v>
      </x:c>
      <x:c r="C40" s="29" t="str">
        <x:v>2月21日</x:v>
      </x:c>
      <x:c r="D40" s="30" t="n">
        <x:v>3988.4</x:v>
      </x:c>
      <x:c r="E40" s="30" t="n">
        <x:v>3925.8</x:v>
      </x:c>
      <x:c r="F40" s="30" t="n">
        <x:f>ROUND(D40-E40,1)</x:f>
        <x:v>62.6</x:v>
      </x:c>
      <x:c r="G40" s="29" t="str">
        <x:v>IF2503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3995.8</x:v>
      </x:c>
      <x:c r="E41" s="24" t="n">
        <x:v>3946</x:v>
      </x:c>
      <x:c r="F41" s="24" t="n">
        <x:f>ROUND(D41-E41,1)</x:f>
        <x:v>49.8</x:v>
      </x:c>
      <x:c r="G41" s="23" t="str">
        <x:v>IF2503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3956.6</x:v>
      </x:c>
      <x:c r="E42" s="24" t="n">
        <x:v>3913</x:v>
      </x:c>
      <x:c r="F42" s="24" t="n">
        <x:f>ROUND(D42-E42,1)</x:f>
        <x:v>43.6</x:v>
      </x:c>
      <x:c r="G42" s="23" t="str">
        <x:v>IF2503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3961</x:v>
      </x:c>
      <x:c r="E43" s="24" t="n">
        <x:v>3922.6</x:v>
      </x:c>
      <x:c r="F43" s="24" t="n">
        <x:f>ROUND(D43-E43,1)</x:f>
        <x:v>38.4</x:v>
      </x:c>
      <x:c r="G43" s="23" t="str">
        <x:v>IF2503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3975</x:v>
      </x:c>
      <x:c r="E44" s="24" t="n">
        <x:v>3931</x:v>
      </x:c>
      <x:c r="F44" s="24" t="n">
        <x:f>ROUND(D44-E44,1)</x:f>
        <x:v>44</x:v>
      </x:c>
      <x:c r="G44" s="23" t="str">
        <x:v>IF2503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3970</x:v>
      </x:c>
      <x:c r="E45" s="24" t="n">
        <x:v>3887.4</x:v>
      </x:c>
      <x:c r="F45" s="24" t="n">
        <x:f>ROUND(D45-E45,1)</x:f>
        <x:v>82.6</x:v>
      </x:c>
      <x:c r="G45" s="23" t="str">
        <x:v>IF2503</x:v>
      </x:c>
    </x:row>
    <x:row r="46">
      <x:c r="A46" s="33" t="str">
        <x:v>合计</x:v>
      </x:c>
      <x:c r="B46" s="32" t="n">
        <x:v>18</x:v>
      </x:c>
      <x:c r="C46" s="32"/>
      <x:c r="D46" s="32"/>
      <x:c r="E46" s="32"/>
      <x:c r="F46" s="34" t="n">
        <x:f>ROUND(SUM(F28:F45),1)</x:f>
        <x:v>919.8</x:v>
      </x:c>
      <x:c r="G46" s="32"/>
    </x:row>
    <x:row r="47">
      <x:c r="A47" s="33" t="str">
        <x:v>均值</x:v>
      </x:c>
      <x:c r="B47" s="32"/>
      <x:c r="C47" s="32"/>
      <x:c r="D47" s="32"/>
      <x:c r="E47" s="32"/>
      <x:c r="F47" s="36" t="n">
        <x:f>ROUND(IFERROR(AVERAGE(F28:F45),0),1)</x:f>
        <x:v>51.1</x:v>
      </x:c>
      <x:c r="G47" s="32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高点</x:v>
      </x:c>
      <x:c r="E50" s="20" t="str">
        <x:v>低点</x:v>
      </x:c>
      <x:c r="F50" s="20" t="str">
        <x:v>振幅</x:v>
      </x:c>
      <x:c r="G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3935</x:v>
      </x:c>
      <x:c r="E51" s="24" t="n">
        <x:v>3871.8</x:v>
      </x:c>
      <x:c r="F51" s="24" t="n">
        <x:f>ROUND(D51-E51,1)</x:f>
        <x:v>63.2</x:v>
      </x:c>
      <x:c r="G51" s="23" t="str">
        <x:v>IF2503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3891</x:v>
      </x:c>
      <x:c r="E52" s="24" t="n">
        <x:v>3858.8</x:v>
      </x:c>
      <x:c r="F52" s="24" t="n">
        <x:f>ROUND(D52-E52,1)</x:f>
        <x:v>32.2</x:v>
      </x:c>
      <x:c r="G52" s="23" t="str">
        <x:v>IF2503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3903</x:v>
      </x:c>
      <x:c r="E53" s="24" t="n">
        <x:v>3871.4</x:v>
      </x:c>
      <x:c r="F53" s="24" t="n">
        <x:f>ROUND(D53-E53,1)</x:f>
        <x:v>31.6</x:v>
      </x:c>
      <x:c r="G53" s="23" t="str">
        <x:v>IF2503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3969</x:v>
      </x:c>
      <x:c r="E54" s="24" t="n">
        <x:v>3916</x:v>
      </x:c>
      <x:c r="F54" s="24" t="n">
        <x:f>ROUND(D54-E54,1)</x:f>
        <x:v>53</x:v>
      </x:c>
      <x:c r="G54" s="23" t="str">
        <x:v>IF2503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3964.8</x:v>
      </x:c>
      <x:c r="E55" s="24" t="n">
        <x:v>3933</x:v>
      </x:c>
      <x:c r="F55" s="24" t="n">
        <x:f>ROUND(D55-E55,1)</x:f>
        <x:v>31.8</x:v>
      </x:c>
      <x:c r="G55" s="23" t="str">
        <x:v>IF2503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3945.8</x:v>
      </x:c>
      <x:c r="E56" s="24" t="n">
        <x:v>3896.6</x:v>
      </x:c>
      <x:c r="F56" s="24" t="n">
        <x:f>ROUND(D56-E56,1)</x:f>
        <x:v>49.2</x:v>
      </x:c>
      <x:c r="G56" s="23" t="str">
        <x:v>IF2503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3930</x:v>
      </x:c>
      <x:c r="E57" s="24" t="n">
        <x:v>3882.2</x:v>
      </x:c>
      <x:c r="F57" s="24" t="n">
        <x:f>ROUND(D57-E57,1)</x:f>
        <x:v>47.8</x:v>
      </x:c>
      <x:c r="G57" s="23" t="str">
        <x:v>IF2503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3950.8</x:v>
      </x:c>
      <x:c r="E58" s="24" t="n">
        <x:v>3911.6</x:v>
      </x:c>
      <x:c r="F58" s="24" t="n">
        <x:f>ROUND(D58-E58,1)</x:f>
        <x:v>39.2</x:v>
      </x:c>
      <x:c r="G58" s="23" t="str">
        <x:v>IF2503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3935</x:v>
      </x:c>
      <x:c r="E59" s="24" t="n">
        <x:v>3885.8</x:v>
      </x:c>
      <x:c r="F59" s="24" t="n">
        <x:f>ROUND(D59-E59,1)</x:f>
        <x:v>49.2</x:v>
      </x:c>
      <x:c r="G59" s="23" t="str">
        <x:v>IF2503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4020</x:v>
      </x:c>
      <x:c r="E60" s="24" t="n">
        <x:v>3910.4</x:v>
      </x:c>
      <x:c r="F60" s="26" t="n">
        <x:f>ROUND(D60-E60,1)</x:f>
        <x:v>109.6</x:v>
      </x:c>
      <x:c r="G60" s="23" t="str">
        <x:v>IF2503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4028</x:v>
      </x:c>
      <x:c r="E61" s="24" t="n">
        <x:v>3991</x:v>
      </x:c>
      <x:c r="F61" s="24" t="n">
        <x:f>ROUND(D61-E61,1)</x:f>
        <x:v>37</x:v>
      </x:c>
      <x:c r="G61" s="23" t="str">
        <x:v>IF2503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4019.8</x:v>
      </x:c>
      <x:c r="E62" s="24" t="n">
        <x:v>3996.2</x:v>
      </x:c>
      <x:c r="F62" s="24" t="n">
        <x:f>ROUND(D62-E62,1)</x:f>
        <x:v>23.6</x:v>
      </x:c>
      <x:c r="G62" s="23" t="str">
        <x:v>IF2503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4026</x:v>
      </x:c>
      <x:c r="E63" s="24" t="n">
        <x:v>3988</x:v>
      </x:c>
      <x:c r="F63" s="24" t="n">
        <x:f>ROUND(D63-E63,1)</x:f>
        <x:v>38</x:v>
      </x:c>
      <x:c r="G63" s="23" t="str">
        <x:v>IF2503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4014.2</x:v>
      </x:c>
      <x:c r="E64" s="24" t="n">
        <x:v>3972</x:v>
      </x:c>
      <x:c r="F64" s="24" t="n">
        <x:f>ROUND(D64-E64,1)</x:f>
        <x:v>42.2</x:v>
      </x:c>
      <x:c r="G64" s="23" t="str">
        <x:v>IF2503</x:v>
      </x:c>
    </x:row>
    <x:row r="65">
      <x:c r="A65" s="29" t="n">
        <x:v>15</x:v>
      </x:c>
      <x:c r="B65" s="29" t="str">
        <x:v>周五</x:v>
      </x:c>
      <x:c r="C65" s="29" t="str">
        <x:v>3月21日</x:v>
      </x:c>
      <x:c r="D65" s="30" t="n">
        <x:v>3983.8</x:v>
      </x:c>
      <x:c r="E65" s="30" t="n">
        <x:v>3912.6</x:v>
      </x:c>
      <x:c r="F65" s="30" t="n">
        <x:f>ROUND(D65-E65,1)</x:f>
        <x:v>71.2</x:v>
      </x:c>
      <x:c r="G65" s="29" t="str">
        <x:v>IF2503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3907.2</x:v>
      </x:c>
      <x:c r="E66" s="24" t="n">
        <x:v>3878.6</x:v>
      </x:c>
      <x:c r="F66" s="24" t="n">
        <x:f>ROUND(D66-E66,1)</x:f>
        <x:v>28.6</x:v>
      </x:c>
      <x:c r="G66" s="23" t="str">
        <x:v>IF2506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3913.2</x:v>
      </x:c>
      <x:c r="E67" s="24" t="n">
        <x:v>3890.6</x:v>
      </x:c>
      <x:c r="F67" s="24" t="n">
        <x:f>ROUND(D67-E67,1)</x:f>
        <x:v>22.6</x:v>
      </x:c>
      <x:c r="G67" s="23" t="str">
        <x:v>IF2506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3918.6</x:v>
      </x:c>
      <x:c r="E68" s="24" t="n">
        <x:v>3888.8</x:v>
      </x:c>
      <x:c r="F68" s="24" t="n">
        <x:f>ROUND(D68-E68,1)</x:f>
        <x:v>29.8</x:v>
      </x:c>
      <x:c r="G68" s="23" t="str">
        <x:v>IF2506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3931.6</x:v>
      </x:c>
      <x:c r="E69" s="24" t="n">
        <x:v>3873.4</x:v>
      </x:c>
      <x:c r="F69" s="24" t="n">
        <x:f>ROUND(D69-E69,1)</x:f>
        <x:v>58.2</x:v>
      </x:c>
      <x:c r="G69" s="23" t="str">
        <x:v>IF2506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3909.8</x:v>
      </x:c>
      <x:c r="E70" s="24" t="n">
        <x:v>3875.2</x:v>
      </x:c>
      <x:c r="F70" s="24" t="n">
        <x:f>ROUND(D70-E70,1)</x:f>
        <x:v>34.6</x:v>
      </x:c>
      <x:c r="G70" s="23" t="str">
        <x:v>IF2506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3902</x:v>
      </x:c>
      <x:c r="E71" s="24" t="n">
        <x:v>3833.8</x:v>
      </x:c>
      <x:c r="F71" s="24" t="n">
        <x:f>ROUND(D71-E71,1)</x:f>
        <x:v>68.2</x:v>
      </x:c>
      <x:c r="G71" s="23" t="str">
        <x:v>IF2506</x:v>
      </x:c>
    </x:row>
    <x:row r="72">
      <x:c r="A72" s="33" t="str">
        <x:v>合计</x:v>
      </x:c>
      <x:c r="B72" s="32" t="n">
        <x:v>21</x:v>
      </x:c>
      <x:c r="C72" s="32"/>
      <x:c r="D72" s="32"/>
      <x:c r="E72" s="32"/>
      <x:c r="F72" s="34" t="n">
        <x:f>ROUND(SUM(F51:F71),1)</x:f>
        <x:v>960.8</x:v>
      </x:c>
      <x:c r="G72" s="32"/>
    </x:row>
    <x:row r="73">
      <x:c r="A73" s="33" t="str">
        <x:v>均值</x:v>
      </x:c>
      <x:c r="B73" s="32"/>
      <x:c r="C73" s="32"/>
      <x:c r="D73" s="32"/>
      <x:c r="E73" s="32"/>
      <x:c r="F73" s="36" t="n">
        <x:f>ROUND(IFERROR(AVERAGE(F51:F71),0),1)</x:f>
        <x:v>45.8</x:v>
      </x:c>
      <x:c r="G73" s="32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高点</x:v>
      </x:c>
      <x:c r="E76" s="20" t="str">
        <x:v>低点</x:v>
      </x:c>
      <x:c r="F76" s="20" t="str">
        <x:v>振幅</x:v>
      </x:c>
      <x:c r="G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3879.6</x:v>
      </x:c>
      <x:c r="E77" s="24" t="n">
        <x:v>3853.4</x:v>
      </x:c>
      <x:c r="F77" s="24" t="n">
        <x:f>ROUND(D77-E77,1)</x:f>
        <x:v>26.2</x:v>
      </x:c>
      <x:c r="G77" s="23" t="str">
        <x:v>IF2506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3876</x:v>
      </x:c>
      <x:c r="E78" s="24" t="n">
        <x:v>3850.4</x:v>
      </x:c>
      <x:c r="F78" s="24" t="n">
        <x:f>ROUND(D78-E78,1)</x:f>
        <x:v>25.6</x:v>
      </x:c>
      <x:c r="G78" s="23" t="str">
        <x:v>IF2506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3864</x:v>
      </x:c>
      <x:c r="E79" s="24" t="n">
        <x:v>3820.2</x:v>
      </x:c>
      <x:c r="F79" s="24" t="n">
        <x:f>ROUND(D79-E79,1)</x:f>
        <x:v>43.8</x:v>
      </x:c>
      <x:c r="G79" s="23" t="str">
        <x:v>IF2506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3729.2</x:v>
      </x:c>
      <x:c r="E80" s="24" t="n">
        <x:v>3452.6</x:v>
      </x:c>
      <x:c r="F80" s="26" t="n">
        <x:f>ROUND(D80-E80,1)</x:f>
        <x:v>276.6</x:v>
      </x:c>
      <x:c r="G80" s="23" t="str">
        <x:v>IF2506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3560</x:v>
      </x:c>
      <x:c r="E81" s="24" t="n">
        <x:v>3470</x:v>
      </x:c>
      <x:c r="F81" s="26" t="n">
        <x:f>ROUND(D81-E81,1)</x:f>
        <x:v>90</x:v>
      </x:c>
      <x:c r="G81" s="23" t="str">
        <x:v>IF2506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3634.4</x:v>
      </x:c>
      <x:c r="E82" s="24" t="n">
        <x:v>3489</x:v>
      </x:c>
      <x:c r="F82" s="26" t="n">
        <x:f>ROUND(D82-E82,1)</x:f>
        <x:v>145.4</x:v>
      </x:c>
      <x:c r="G82" s="23" t="str">
        <x:v>IF2506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3713.4</x:v>
      </x:c>
      <x:c r="E83" s="24" t="n">
        <x:v>3655</x:v>
      </x:c>
      <x:c r="F83" s="24" t="n">
        <x:f>ROUND(D83-E83,1)</x:f>
        <x:v>58.4</x:v>
      </x:c>
      <x:c r="G83" s="23" t="str">
        <x:v>IF2506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3709</x:v>
      </x:c>
      <x:c r="E84" s="24" t="n">
        <x:v>3650.2</x:v>
      </x:c>
      <x:c r="F84" s="24" t="n">
        <x:f>ROUND(D84-E84,1)</x:f>
        <x:v>58.8</x:v>
      </x:c>
      <x:c r="G84" s="23" t="str">
        <x:v>IF2506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3717</x:v>
      </x:c>
      <x:c r="E85" s="24" t="n">
        <x:v>3694</x:v>
      </x:c>
      <x:c r="F85" s="24" t="n">
        <x:f>ROUND(D85-E85,1)</x:f>
        <x:v>23</x:v>
      </x:c>
      <x:c r="G85" s="23" t="str">
        <x:v>IF2506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3698</x:v>
      </x:c>
      <x:c r="E86" s="24" t="n">
        <x:v>3675.4</x:v>
      </x:c>
      <x:c r="F86" s="24" t="n">
        <x:f>ROUND(D86-E86,1)</x:f>
        <x:v>22.6</x:v>
      </x:c>
      <x:c r="G86" s="23" t="str">
        <x:v>IF2506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3697.8</x:v>
      </x:c>
      <x:c r="E87" s="24" t="n">
        <x:v>3652.6</x:v>
      </x:c>
      <x:c r="F87" s="24" t="n">
        <x:f>ROUND(D87-E87,1)</x:f>
        <x:v>45.2</x:v>
      </x:c>
      <x:c r="G87" s="23" t="str">
        <x:v>IF2506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3725</x:v>
      </x:c>
      <x:c r="E88" s="24" t="n">
        <x:v>3678.2</x:v>
      </x:c>
      <x:c r="F88" s="24" t="n">
        <x:f>ROUND(D88-E88,1)</x:f>
        <x:v>46.8</x:v>
      </x:c>
      <x:c r="G88" s="23" t="str">
        <x:v>IF2506</x:v>
      </x:c>
    </x:row>
    <x:row r="89">
      <x:c r="A89" s="29" t="n">
        <x:v>13</x:v>
      </x:c>
      <x:c r="B89" s="29" t="str">
        <x:v>周五</x:v>
      </x:c>
      <x:c r="C89" s="29" t="str">
        <x:v>4月18日</x:v>
      </x:c>
      <x:c r="D89" s="30" t="n">
        <x:v>3723.4</x:v>
      </x:c>
      <x:c r="E89" s="30" t="n">
        <x:v>3694.6</x:v>
      </x:c>
      <x:c r="F89" s="30" t="n">
        <x:f>ROUND(D89-E89,1)</x:f>
        <x:v>28.8</x:v>
      </x:c>
      <x:c r="G89" s="29" t="str">
        <x:v>IF2506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3745.2</x:v>
      </x:c>
      <x:c r="E90" s="24" t="n">
        <x:v>3705.4</x:v>
      </x:c>
      <x:c r="F90" s="24" t="n">
        <x:f>ROUND(D90-E90,1)</x:f>
        <x:v>39.8</x:v>
      </x:c>
      <x:c r="G90" s="23" t="str">
        <x:v>IF2506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3750</x:v>
      </x:c>
      <x:c r="E91" s="24" t="n">
        <x:v>3731.4</x:v>
      </x:c>
      <x:c r="F91" s="24" t="n">
        <x:f>ROUND(D91-E91,1)</x:f>
        <x:v>18.6</x:v>
      </x:c>
      <x:c r="G91" s="23" t="str">
        <x:v>IF2506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3768</x:v>
      </x:c>
      <x:c r="E92" s="24" t="n">
        <x:v>3727.8</x:v>
      </x:c>
      <x:c r="F92" s="24" t="n">
        <x:f>ROUND(D92-E92,1)</x:f>
        <x:v>40.2</x:v>
      </x:c>
      <x:c r="G92" s="23" t="str">
        <x:v>IF2506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3759.8</x:v>
      </x:c>
      <x:c r="E93" s="24" t="n">
        <x:v>3720.6</x:v>
      </x:c>
      <x:c r="F93" s="24" t="n">
        <x:f>ROUND(D93-E93,1)</x:f>
        <x:v>39.2</x:v>
      </x:c>
      <x:c r="G93" s="23" t="str">
        <x:v>IF2506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3760</x:v>
      </x:c>
      <x:c r="E94" s="24" t="n">
        <x:v>3730.2</x:v>
      </x:c>
      <x:c r="F94" s="24" t="n">
        <x:f>ROUND(D94-E94,1)</x:f>
        <x:v>29.8</x:v>
      </x:c>
      <x:c r="G94" s="23" t="str">
        <x:v>IF2506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3741</x:v>
      </x:c>
      <x:c r="E95" s="24" t="n">
        <x:v>3716.8</x:v>
      </x:c>
      <x:c r="F95" s="24" t="n">
        <x:f>ROUND(D95-E95,1)</x:f>
        <x:v>24.2</x:v>
      </x:c>
      <x:c r="G95" s="23" t="str">
        <x:v>IF2506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3739</x:v>
      </x:c>
      <x:c r="E96" s="24" t="n">
        <x:v>3715.4</x:v>
      </x:c>
      <x:c r="F96" s="24" t="n">
        <x:f>ROUND(D96-E96,1)</x:f>
        <x:v>23.6</x:v>
      </x:c>
      <x:c r="G96" s="23" t="str">
        <x:v>IF2506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3748</x:v>
      </x:c>
      <x:c r="E97" s="24" t="n">
        <x:v>3715.6</x:v>
      </x:c>
      <x:c r="F97" s="24" t="n">
        <x:f>ROUND(D97-E97,1)</x:f>
        <x:v>32.4</x:v>
      </x:c>
      <x:c r="G97" s="23" t="str">
        <x:v>IF2506</x:v>
      </x:c>
    </x:row>
    <x:row r="98">
      <x:c r="A98" s="33" t="str">
        <x:v>合计</x:v>
      </x:c>
      <x:c r="B98" s="32" t="n">
        <x:v>21</x:v>
      </x:c>
      <x:c r="C98" s="32"/>
      <x:c r="D98" s="32"/>
      <x:c r="E98" s="32"/>
      <x:c r="F98" s="34" t="n">
        <x:f>ROUND(SUM(F77:F97),1)</x:f>
        <x:v>1139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ROUND(IFERROR(AVERAGE(F77:F97),0),1)</x:f>
        <x:v>54.2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3772</x:v>
      </x:c>
      <x:c r="E103" s="24" t="n">
        <x:v>3733.2</x:v>
      </x:c>
      <x:c r="F103" s="24" t="n">
        <x:f>ROUND(D103-E103,1)</x:f>
        <x:v>38.8</x:v>
      </x:c>
      <x:c r="G103" s="23" t="str">
        <x:v>IF2506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3835</x:v>
      </x:c>
      <x:c r="E104" s="24" t="n">
        <x:v>3770.2</x:v>
      </x:c>
      <x:c r="F104" s="24" t="n">
        <x:f>ROUND(D104-E104,1)</x:f>
        <x:v>64.8</x:v>
      </x:c>
      <x:c r="G104" s="23" t="str">
        <x:v>IF2506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3836.2</x:v>
      </x:c>
      <x:c r="E105" s="24" t="n">
        <x:v>3775.6</x:v>
      </x:c>
      <x:c r="F105" s="24" t="n">
        <x:f>ROUND(D105-E105,1)</x:f>
        <x:v>60.6</x:v>
      </x:c>
      <x:c r="G105" s="23" t="str">
        <x:v>IF2506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3815.2</x:v>
      </x:c>
      <x:c r="E106" s="24" t="n">
        <x:v>3793.4</x:v>
      </x:c>
      <x:c r="F106" s="24" t="n">
        <x:f>ROUND(D106-E106,1)</x:f>
        <x:v>21.8</x:v>
      </x:c>
      <x:c r="G106" s="23" t="str">
        <x:v>IF2506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3858.8</x:v>
      </x:c>
      <x:c r="E107" s="24" t="n">
        <x:v>3822</x:v>
      </x:c>
      <x:c r="F107" s="24" t="n">
        <x:f>ROUND(D107-E107,1)</x:f>
        <x:v>36.8</x:v>
      </x:c>
      <x:c r="G107" s="23" t="str">
        <x:v>IF2506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3872</x:v>
      </x:c>
      <x:c r="E108" s="24" t="n">
        <x:v>3842</x:v>
      </x:c>
      <x:c r="F108" s="24" t="n">
        <x:f>ROUND(D108-E108,1)</x:f>
        <x:v>30</x:v>
      </x:c>
      <x:c r="G108" s="23" t="str">
        <x:v>IF2506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3933.2</x:v>
      </x:c>
      <x:c r="E109" s="24" t="n">
        <x:v>3851.2</x:v>
      </x:c>
      <x:c r="F109" s="24" t="n">
        <x:f>ROUND(D109-E109,1)</x:f>
        <x:v>82</x:v>
      </x:c>
      <x:c r="G109" s="23" t="str">
        <x:v>IF2506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3905.8</x:v>
      </x:c>
      <x:c r="E110" s="24" t="n">
        <x:v>3863.4</x:v>
      </x:c>
      <x:c r="F110" s="24" t="n">
        <x:f>ROUND(D110-E110,1)</x:f>
        <x:v>42.4</x:v>
      </x:c>
      <x:c r="G110" s="23" t="str">
        <x:v>IF2506</x:v>
      </x:c>
    </x:row>
    <x:row r="111">
      <x:c r="A111" s="29" t="n">
        <x:v>9</x:v>
      </x:c>
      <x:c r="B111" s="29" t="str">
        <x:v>周五</x:v>
      </x:c>
      <x:c r="C111" s="29" t="str">
        <x:v>5月16日</x:v>
      </x:c>
      <x:c r="D111" s="30" t="n">
        <x:v>3876.8</x:v>
      </x:c>
      <x:c r="E111" s="30" t="n">
        <x:v>3838.4</x:v>
      </x:c>
      <x:c r="F111" s="30" t="n">
        <x:f>ROUND(D111-E111,1)</x:f>
        <x:v>38.4</x:v>
      </x:c>
      <x:c r="G111" s="29" t="str">
        <x:v>IF2506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3848</x:v>
      </x:c>
      <x:c r="E112" s="24" t="n">
        <x:v>3821.8</x:v>
      </x:c>
      <x:c r="F112" s="24" t="n">
        <x:f>ROUND(D112-E112,1)</x:f>
        <x:v>26.2</x:v>
      </x:c>
      <x:c r="G112" s="23" t="str">
        <x:v>IF2506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3878</x:v>
      </x:c>
      <x:c r="E113" s="24" t="n">
        <x:v>3839.4</x:v>
      </x:c>
      <x:c r="F113" s="24" t="n">
        <x:f>ROUND(D113-E113,1)</x:f>
        <x:v>38.6</x:v>
      </x:c>
      <x:c r="G113" s="23" t="str">
        <x:v>IF2506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3894.6</x:v>
      </x:c>
      <x:c r="E114" s="24" t="n">
        <x:v>3863.8</x:v>
      </x:c>
      <x:c r="F114" s="24" t="n">
        <x:f>ROUND(D114-E114,1)</x:f>
        <x:v>30.8</x:v>
      </x:c>
      <x:c r="G114" s="23" t="str">
        <x:v>IF2506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3889.8</x:v>
      </x:c>
      <x:c r="E115" s="24" t="n">
        <x:v>3864</x:v>
      </x:c>
      <x:c r="F115" s="24" t="n">
        <x:f>ROUND(D115-E115,1)</x:f>
        <x:v>25.8</x:v>
      </x:c>
      <x:c r="G115" s="23" t="str">
        <x:v>IF2506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3904.8</x:v>
      </x:c>
      <x:c r="E116" s="24" t="n">
        <x:v>3846</x:v>
      </x:c>
      <x:c r="F116" s="24" t="n">
        <x:f>ROUND(D116-E116,1)</x:f>
        <x:v>58.8</x:v>
      </x:c>
      <x:c r="G116" s="23" t="str">
        <x:v>IF2506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3856.8</x:v>
      </x:c>
      <x:c r="E117" s="24" t="n">
        <x:v>3817.4</x:v>
      </x:c>
      <x:c r="F117" s="24" t="n">
        <x:f>ROUND(D117-E117,1)</x:f>
        <x:v>39.4</x:v>
      </x:c>
      <x:c r="G117" s="23" t="str">
        <x:v>IF2506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3834.6</x:v>
      </x:c>
      <x:c r="E118" s="24" t="n">
        <x:v>3802</x:v>
      </x:c>
      <x:c r="F118" s="24" t="n">
        <x:f>ROUND(D118-E118,1)</x:f>
        <x:v>32.6</x:v>
      </x:c>
      <x:c r="G118" s="23" t="str">
        <x:v>IF2506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3821.6</x:v>
      </x:c>
      <x:c r="E119" s="24" t="n">
        <x:v>3800.6</x:v>
      </x:c>
      <x:c r="F119" s="24" t="n">
        <x:f>ROUND(D119-E119,1)</x:f>
        <x:v>21</x:v>
      </x:c>
      <x:c r="G119" s="23" t="str">
        <x:v>IF2506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3853.6</x:v>
      </x:c>
      <x:c r="E120" s="24" t="n">
        <x:v>3803</x:v>
      </x:c>
      <x:c r="F120" s="24" t="n">
        <x:f>ROUND(D120-E120,1)</x:f>
        <x:v>50.6</x:v>
      </x:c>
      <x:c r="G120" s="23" t="str">
        <x:v>IF2506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3830.8</x:v>
      </x:c>
      <x:c r="E121" s="24" t="n">
        <x:v>3792</x:v>
      </x:c>
      <x:c r="F121" s="24" t="n">
        <x:f>ROUND(D121-E121,1)</x:f>
        <x:v>38.8</x:v>
      </x:c>
      <x:c r="G121" s="23" t="str">
        <x:v>IF2506</x:v>
      </x:c>
    </x:row>
    <x:row r="122">
      <x:c r="A122" s="33" t="str">
        <x:v>合计</x:v>
      </x:c>
      <x:c r="B122" s="32" t="n">
        <x:v>19</x:v>
      </x:c>
      <x:c r="C122" s="32"/>
      <x:c r="D122" s="32"/>
      <x:c r="E122" s="32"/>
      <x:c r="F122" s="34" t="n">
        <x:f>ROUND(SUM(F103:F121),1)</x:f>
        <x:v>778.2</x:v>
      </x:c>
      <x:c r="G122" s="32"/>
    </x:row>
    <x:row r="123">
      <x:c r="A123" s="33" t="str">
        <x:v>均值</x:v>
      </x:c>
      <x:c r="B123" s="32"/>
      <x:c r="C123" s="32"/>
      <x:c r="D123" s="32"/>
      <x:c r="E123" s="32"/>
      <x:c r="F123" s="36" t="n">
        <x:f>ROUND(IFERROR(AVERAGE(F103:F121),0),1)</x:f>
        <x:v>41</x:v>
      </x:c>
      <x:c r="G123" s="32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高点</x:v>
      </x:c>
      <x:c r="E126" s="20" t="str">
        <x:v>低点</x:v>
      </x:c>
      <x:c r="F126" s="20" t="str">
        <x:v>振幅</x:v>
      </x:c>
      <x:c r="G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3841.4</x:v>
      </x:c>
      <x:c r="E127" s="24" t="n">
        <x:v>3808.2</x:v>
      </x:c>
      <x:c r="F127" s="24" t="n">
        <x:f>ROUND(D127-E127,1)</x:f>
        <x:v>33.2</x:v>
      </x:c>
      <x:c r="G127" s="23" t="str">
        <x:v>IF2506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3855.6</x:v>
      </x:c>
      <x:c r="E128" s="24" t="n">
        <x:v>3827.2</x:v>
      </x:c>
      <x:c r="F128" s="24" t="n">
        <x:f>ROUND(D128-E128,1)</x:f>
        <x:v>28.4</x:v>
      </x:c>
      <x:c r="G128" s="23" t="str">
        <x:v>IF2506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3865</x:v>
      </x:c>
      <x:c r="E129" s="24" t="n">
        <x:v>3835</x:v>
      </x:c>
      <x:c r="F129" s="24" t="n">
        <x:f>ROUND(D129-E129,1)</x:f>
        <x:v>30</x:v>
      </x:c>
      <x:c r="G129" s="23" t="str">
        <x:v>IF2506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3870.4</x:v>
      </x:c>
      <x:c r="E130" s="24" t="n">
        <x:v>3846.8</x:v>
      </x:c>
      <x:c r="F130" s="24" t="n">
        <x:f>ROUND(D130-E130,1)</x:f>
        <x:v>23.6</x:v>
      </x:c>
      <x:c r="G130" s="23" t="str">
        <x:v>IF2506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3883.6</x:v>
      </x:c>
      <x:c r="E131" s="24" t="n">
        <x:v>3855.2</x:v>
      </x:c>
      <x:c r="F131" s="24" t="n">
        <x:f>ROUND(D131-E131,1)</x:f>
        <x:v>28.4</x:v>
      </x:c>
      <x:c r="G131" s="23" t="str">
        <x:v>IF2506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3878.8</x:v>
      </x:c>
      <x:c r="E132" s="24" t="n">
        <x:v>3830</x:v>
      </x:c>
      <x:c r="F132" s="24" t="n">
        <x:f>ROUND(D132-E132,1)</x:f>
        <x:v>48.8</x:v>
      </x:c>
      <x:c r="G132" s="23" t="str">
        <x:v>IF2506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3902.6</x:v>
      </x:c>
      <x:c r="E133" s="24" t="n">
        <x:v>3848.6</x:v>
      </x:c>
      <x:c r="F133" s="24" t="n">
        <x:f>ROUND(D133-E133,1)</x:f>
        <x:v>54</x:v>
      </x:c>
      <x:c r="G133" s="23" t="str">
        <x:v>IF2506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3889.8</x:v>
      </x:c>
      <x:c r="E134" s="24" t="n">
        <x:v>3854.2</x:v>
      </x:c>
      <x:c r="F134" s="24" t="n">
        <x:f>ROUND(D134-E134,1)</x:f>
        <x:v>35.6</x:v>
      </x:c>
      <x:c r="G134" s="23" t="str">
        <x:v>IF2506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3878</x:v>
      </x:c>
      <x:c r="E135" s="24" t="n">
        <x:v>3840.2</x:v>
      </x:c>
      <x:c r="F135" s="24" t="n">
        <x:f>ROUND(D135-E135,1)</x:f>
        <x:v>37.8</x:v>
      </x:c>
      <x:c r="G135" s="23" t="str">
        <x:v>IF2506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3874.4</x:v>
      </x:c>
      <x:c r="E136" s="24" t="n">
        <x:v>3847.6</x:v>
      </x:c>
      <x:c r="F136" s="24" t="n">
        <x:f>ROUND(D136-E136,1)</x:f>
        <x:v>26.8</x:v>
      </x:c>
      <x:c r="G136" s="23" t="str">
        <x:v>IF2506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3877.4</x:v>
      </x:c>
      <x:c r="E137" s="24" t="n">
        <x:v>3853</x:v>
      </x:c>
      <x:c r="F137" s="24" t="n">
        <x:f>ROUND(D137-E137,1)</x:f>
        <x:v>24.4</x:v>
      </x:c>
      <x:c r="G137" s="23" t="str">
        <x:v>IF2506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3879.2</x:v>
      </x:c>
      <x:c r="E138" s="24" t="n">
        <x:v>3849.2</x:v>
      </x:c>
      <x:c r="F138" s="24" t="n">
        <x:f>ROUND(D138-E138,1)</x:f>
        <x:v>30</x:v>
      </x:c>
      <x:c r="G138" s="23" t="str">
        <x:v>IF2506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3867.4</x:v>
      </x:c>
      <x:c r="E139" s="24" t="n">
        <x:v>3830</x:v>
      </x:c>
      <x:c r="F139" s="24" t="n">
        <x:f>ROUND(D139-E139,1)</x:f>
        <x:v>37.4</x:v>
      </x:c>
      <x:c r="G139" s="23" t="str">
        <x:v>IF2506</x:v>
      </x:c>
    </x:row>
    <x:row r="140">
      <x:c r="A140" s="29" t="n">
        <x:v>14</x:v>
      </x:c>
      <x:c r="B140" s="29" t="str">
        <x:v>周五</x:v>
      </x:c>
      <x:c r="C140" s="29" t="str">
        <x:v>6月20日</x:v>
      </x:c>
      <x:c r="D140" s="30" t="n">
        <x:v>3856</x:v>
      </x:c>
      <x:c r="E140" s="30" t="n">
        <x:v>3841</x:v>
      </x:c>
      <x:c r="F140" s="30" t="n">
        <x:f>ROUND(D140-E140,1)</x:f>
        <x:v>15</x:v>
      </x:c>
      <x:c r="G140" s="29" t="str">
        <x:v>IF2506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3809.8</x:v>
      </x:c>
      <x:c r="E141" s="24" t="n">
        <x:v>3760.6</x:v>
      </x:c>
      <x:c r="F141" s="24" t="n">
        <x:f>ROUND(D141-E141,1)</x:f>
        <x:v>49.2</x:v>
      </x:c>
      <x:c r="G141" s="23" t="str">
        <x:v>IF2509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3872</x:v>
      </x:c>
      <x:c r="E142" s="24" t="n">
        <x:v>3804</x:v>
      </x:c>
      <x:c r="F142" s="24" t="n">
        <x:f>ROUND(D142-E142,1)</x:f>
        <x:v>68</x:v>
      </x:c>
      <x:c r="G142" s="23" t="str">
        <x:v>IF2509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3928</x:v>
      </x:c>
      <x:c r="E143" s="24" t="n">
        <x:v>3851.2</x:v>
      </x:c>
      <x:c r="F143" s="24" t="n">
        <x:f>ROUND(D143-E143,1)</x:f>
        <x:v>76.8</x:v>
      </x:c>
      <x:c r="G143" s="23" t="str">
        <x:v>IF2509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3925</x:v>
      </x:c>
      <x:c r="E144" s="24" t="n">
        <x:v>3901.2</x:v>
      </x:c>
      <x:c r="F144" s="24" t="n">
        <x:f>ROUND(D144-E144,1)</x:f>
        <x:v>23.8</x:v>
      </x:c>
      <x:c r="G144" s="23" t="str">
        <x:v>IF2509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3931.4</x:v>
      </x:c>
      <x:c r="E145" s="24" t="n">
        <x:v>3874</x:v>
      </x:c>
      <x:c r="F145" s="24" t="n">
        <x:f>ROUND(D145-E145,1)</x:f>
        <x:v>57.4</x:v>
      </x:c>
      <x:c r="G145" s="23" t="str">
        <x:v>IF2509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3893</x:v>
      </x:c>
      <x:c r="E146" s="24" t="n">
        <x:v>3867</x:v>
      </x:c>
      <x:c r="F146" s="24" t="n">
        <x:f>ROUND(D146-E146,1)</x:f>
        <x:v>26</x:v>
      </x:c>
      <x:c r="G146" s="23" t="str">
        <x:v>IF2509</x:v>
      </x:c>
    </x:row>
    <x:row r="147">
      <x:c r="A147" s="33" t="str">
        <x:v>合计</x:v>
      </x:c>
      <x:c r="B147" s="32" t="n">
        <x:v>20</x:v>
      </x:c>
      <x:c r="C147" s="32"/>
      <x:c r="D147" s="32"/>
      <x:c r="E147" s="32"/>
      <x:c r="F147" s="34" t="n">
        <x:f>ROUND(SUM(F127:F146),1)</x:f>
        <x:v>754.6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ROUND(IFERROR(AVERAGE(F127:F146),0),1)</x:f>
        <x:v>37.7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3895.6</x:v>
      </x:c>
      <x:c r="E152" s="24" t="n">
        <x:v>3867</x:v>
      </x:c>
      <x:c r="F152" s="24" t="n">
        <x:f>ROUND(D152-E152,1)</x:f>
        <x:v>28.6</x:v>
      </x:c>
      <x:c r="G152" s="23" t="str">
        <x:v>IF2509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3899.6</x:v>
      </x:c>
      <x:c r="E153" s="24" t="n">
        <x:v>3872.2</x:v>
      </x:c>
      <x:c r="F153" s="24" t="n">
        <x:f>ROUND(D153-E153,1)</x:f>
        <x:v>27.4</x:v>
      </x:c>
      <x:c r="G153" s="23" t="str">
        <x:v>IF2509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3923.6</x:v>
      </x:c>
      <x:c r="E154" s="24" t="n">
        <x:v>3891</x:v>
      </x:c>
      <x:c r="F154" s="24" t="n">
        <x:f>ROUND(D154-E154,1)</x:f>
        <x:v>32.6</x:v>
      </x:c>
      <x:c r="G154" s="23" t="str">
        <x:v>IF2509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3974.2</x:v>
      </x:c>
      <x:c r="E155" s="24" t="n">
        <x:v>3905</x:v>
      </x:c>
      <x:c r="F155" s="24" t="n">
        <x:f>ROUND(D155-E155,1)</x:f>
        <x:v>69.2</x:v>
      </x:c>
      <x:c r="G155" s="23" t="str">
        <x:v>IF2509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3937.6</x:v>
      </x:c>
      <x:c r="E156" s="24" t="n">
        <x:v>3907</x:v>
      </x:c>
      <x:c r="F156" s="24" t="n">
        <x:f>ROUND(D156-E156,1)</x:f>
        <x:v>30.6</x:v>
      </x:c>
      <x:c r="G156" s="23" t="str">
        <x:v>IF2509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3967.2</x:v>
      </x:c>
      <x:c r="E157" s="24" t="n">
        <x:v>3920.2</x:v>
      </x:c>
      <x:c r="F157" s="24" t="n">
        <x:f>ROUND(D157-E157,1)</x:f>
        <x:v>47</x:v>
      </x:c>
      <x:c r="G157" s="23" t="str">
        <x:v>IF2509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3978</x:v>
      </x:c>
      <x:c r="E158" s="24" t="n">
        <x:v>3948</x:v>
      </x:c>
      <x:c r="F158" s="24" t="n">
        <x:f>ROUND(D158-E158,1)</x:f>
        <x:v>30</x:v>
      </x:c>
      <x:c r="G158" s="23" t="str">
        <x:v>IF2509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3998.8</x:v>
      </x:c>
      <x:c r="E159" s="24" t="n">
        <x:v>3952</x:v>
      </x:c>
      <x:c r="F159" s="24" t="n">
        <x:f>ROUND(D159-E159,1)</x:f>
        <x:v>46.8</x:v>
      </x:c>
      <x:c r="G159" s="23" t="str">
        <x:v>IF2509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4045</x:v>
      </x:c>
      <x:c r="E160" s="24" t="n">
        <x:v>3971.2</x:v>
      </x:c>
      <x:c r="F160" s="24" t="n">
        <x:f>ROUND(D160-E160,1)</x:f>
        <x:v>73.8</x:v>
      </x:c>
      <x:c r="G160" s="23" t="str">
        <x:v>IF2509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4002.8</x:v>
      </x:c>
      <x:c r="E161" s="24" t="n">
        <x:v>3984.8</x:v>
      </x:c>
      <x:c r="F161" s="24" t="n">
        <x:f>ROUND(D161-E161,1)</x:f>
        <x:v>18</x:v>
      </x:c>
      <x:c r="G161" s="23" t="str">
        <x:v>IF2509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4012</x:v>
      </x:c>
      <x:c r="E162" s="24" t="n">
        <x:v>3952.6</x:v>
      </x:c>
      <x:c r="F162" s="24" t="n">
        <x:f>ROUND(D162-E162,1)</x:f>
        <x:v>59.4</x:v>
      </x:c>
      <x:c r="G162" s="23" t="str">
        <x:v>IF2509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3998.6</x:v>
      </x:c>
      <x:c r="E163" s="24" t="n">
        <x:v>3958.8</x:v>
      </x:c>
      <x:c r="F163" s="24" t="n">
        <x:f>ROUND(D163-E163,1)</x:f>
        <x:v>39.8</x:v>
      </x:c>
      <x:c r="G163" s="23" t="str">
        <x:v>IF2509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4012</x:v>
      </x:c>
      <x:c r="E164" s="24" t="n">
        <x:v>3972.2</x:v>
      </x:c>
      <x:c r="F164" s="24" t="n">
        <x:f>ROUND(D164-E164,1)</x:f>
        <x:v>39.8</x:v>
      </x:c>
      <x:c r="G164" s="23" t="str">
        <x:v>IF2509</x:v>
      </x:c>
    </x:row>
    <x:row r="165">
      <x:c r="A165" s="29" t="n">
        <x:v>14</x:v>
      </x:c>
      <x:c r="B165" s="29" t="str">
        <x:v>周五</x:v>
      </x:c>
      <x:c r="C165" s="29" t="str">
        <x:v>7月18日</x:v>
      </x:c>
      <x:c r="D165" s="30" t="n">
        <x:v>4046</x:v>
      </x:c>
      <x:c r="E165" s="30" t="n">
        <x:v>4015.2</x:v>
      </x:c>
      <x:c r="F165" s="30" t="n">
        <x:f>ROUND(D165-E165,1)</x:f>
        <x:v>30.8</x:v>
      </x:c>
      <x:c r="G165" s="29" t="str">
        <x:v>IF2509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4070.8</x:v>
      </x:c>
      <x:c r="E166" s="24" t="n">
        <x:v>4044.6</x:v>
      </x:c>
      <x:c r="F166" s="24" t="n">
        <x:f>ROUND(D166-E166,1)</x:f>
        <x:v>26.2</x:v>
      </x:c>
      <x:c r="G166" s="23" t="str">
        <x:v>IF2509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4110.8</x:v>
      </x:c>
      <x:c r="E167" s="24" t="n">
        <x:v>4051</x:v>
      </x:c>
      <x:c r="F167" s="24" t="n">
        <x:f>ROUND(D167-E167,1)</x:f>
        <x:v>59.8</x:v>
      </x:c>
      <x:c r="G167" s="23" t="str">
        <x:v>IF2509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4146.6</x:v>
      </x:c>
      <x:c r="E168" s="24" t="n">
        <x:v>4097.2</x:v>
      </x:c>
      <x:c r="F168" s="24" t="n">
        <x:f>ROUND(D168-E168,1)</x:f>
        <x:v>49.4</x:v>
      </x:c>
      <x:c r="G168" s="23" t="str">
        <x:v>IF2509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4144.6</x:v>
      </x:c>
      <x:c r="E169" s="24" t="n">
        <x:v>4101.2</x:v>
      </x:c>
      <x:c r="F169" s="24" t="n">
        <x:f>ROUND(D169-E169,1)</x:f>
        <x:v>43.4</x:v>
      </x:c>
      <x:c r="G169" s="23" t="str">
        <x:v>IF2509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4138</x:v>
      </x:c>
      <x:c r="E170" s="24" t="n">
        <x:v>4104</x:v>
      </x:c>
      <x:c r="F170" s="24" t="n">
        <x:f>ROUND(D170-E170,1)</x:f>
        <x:v>34</x:v>
      </x:c>
      <x:c r="G170" s="23" t="str">
        <x:v>IF2509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4134.6</x:v>
      </x:c>
      <x:c r="E171" s="24" t="n">
        <x:v>4093.8</x:v>
      </x:c>
      <x:c r="F171" s="24" t="n">
        <x:f>ROUND(D171-E171,1)</x:f>
        <x:v>40.8</x:v>
      </x:c>
      <x:c r="G171" s="23" t="str">
        <x:v>IF2509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4142.8</x:v>
      </x:c>
      <x:c r="E172" s="24" t="n">
        <x:v>4095.4</x:v>
      </x:c>
      <x:c r="F172" s="24" t="n">
        <x:f>ROUND(D172-E172,1)</x:f>
        <x:v>47.4</x:v>
      </x:c>
      <x:c r="G172" s="23" t="str">
        <x:v>IF2509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4173</x:v>
      </x:c>
      <x:c r="E173" s="24" t="n">
        <x:v>4110</x:v>
      </x:c>
      <x:c r="F173" s="24" t="n">
        <x:f>ROUND(D173-E173,1)</x:f>
        <x:v>63</x:v>
      </x:c>
      <x:c r="G173" s="23" t="str">
        <x:v>IF2509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4125.6</x:v>
      </x:c>
      <x:c r="E174" s="24" t="n">
        <x:v>4035.4</x:v>
      </x:c>
      <x:c r="F174" s="26" t="n">
        <x:f>ROUND(D174-E174,1)</x:f>
        <x:v>90.2</x:v>
      </x:c>
      <x:c r="G174" s="23" t="str">
        <x:v>IF2509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1028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44.7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4066.4</x:v>
      </x:c>
      <x:c r="E180" s="24" t="n">
        <x:v>4018.6</x:v>
      </x:c>
      <x:c r="F180" s="24" t="n">
        <x:f>ROUND(D180-E180,1)</x:f>
        <x:v>47.8</x:v>
      </x:c>
      <x:c r="G180" s="23" t="str">
        <x:v>IF2509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4054</x:v>
      </x:c>
      <x:c r="E181" s="24" t="n">
        <x:v>4017.4</x:v>
      </x:c>
      <x:c r="F181" s="24" t="n">
        <x:f>ROUND(D181-E181,1)</x:f>
        <x:v>36.6</x:v>
      </x:c>
      <x:c r="G181" s="23" t="str">
        <x:v>IF2509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4086.6</x:v>
      </x:c>
      <x:c r="E182" s="24" t="n">
        <x:v>4051</x:v>
      </x:c>
      <x:c r="F182" s="24" t="n">
        <x:f>ROUND(D182-E182,1)</x:f>
        <x:v>35.6</x:v>
      </x:c>
      <x:c r="G182" s="23" t="str">
        <x:v>IF2509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4105.2</x:v>
      </x:c>
      <x:c r="E183" s="24" t="n">
        <x:v>4077</x:v>
      </x:c>
      <x:c r="F183" s="24" t="n">
        <x:f>ROUND(D183-E183,1)</x:f>
        <x:v>28.2</x:v>
      </x:c>
      <x:c r="G183" s="23" t="str">
        <x:v>IF2509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4117.4</x:v>
      </x:c>
      <x:c r="E184" s="24" t="n">
        <x:v>4073.2</x:v>
      </x:c>
      <x:c r="F184" s="24" t="n">
        <x:f>ROUND(D184-E184,1)</x:f>
        <x:v>44.2</x:v>
      </x:c>
      <x:c r="G184" s="23" t="str">
        <x:v>IF2509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4102</x:v>
      </x:c>
      <x:c r="E185" s="24" t="n">
        <x:v>4073.8</x:v>
      </x:c>
      <x:c r="F185" s="24" t="n">
        <x:f>ROUND(D185-E185,1)</x:f>
        <x:v>28.2</x:v>
      </x:c>
      <x:c r="G185" s="23" t="str">
        <x:v>IF2509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4126.4</x:v>
      </x:c>
      <x:c r="E186" s="24" t="n">
        <x:v>4086</x:v>
      </x:c>
      <x:c r="F186" s="24" t="n">
        <x:f>ROUND(D186-E186,1)</x:f>
        <x:v>40.4</x:v>
      </x:c>
      <x:c r="G186" s="23" t="str">
        <x:v>IF2509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4144.2</x:v>
      </x:c>
      <x:c r="E187" s="24" t="n">
        <x:v>4104.6</x:v>
      </x:c>
      <x:c r="F187" s="24" t="n">
        <x:f>ROUND(D187-E187,1)</x:f>
        <x:v>39.6</x:v>
      </x:c>
      <x:c r="G187" s="23" t="str">
        <x:v>IF2509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4181</x:v>
      </x:c>
      <x:c r="E188" s="24" t="n">
        <x:v>4135.2</x:v>
      </x:c>
      <x:c r="F188" s="24" t="n">
        <x:f>ROUND(D188-E188,1)</x:f>
        <x:v>45.8</x:v>
      </x:c>
      <x:c r="G188" s="23" t="str">
        <x:v>IF2509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4212.8</x:v>
      </x:c>
      <x:c r="E189" s="24" t="n">
        <x:v>4155.8</x:v>
      </x:c>
      <x:c r="F189" s="24" t="n">
        <x:f>ROUND(D189-E189,1)</x:f>
        <x:v>57</x:v>
      </x:c>
      <x:c r="G189" s="23" t="str">
        <x:v>IF2509</x:v>
      </x:c>
    </x:row>
    <x:row r="190">
      <x:c r="A190" s="29" t="n">
        <x:v>11</x:v>
      </x:c>
      <x:c r="B190" s="29" t="str">
        <x:v>周五</x:v>
      </x:c>
      <x:c r="C190" s="29" t="str">
        <x:v>8月15日</x:v>
      </x:c>
      <x:c r="D190" s="30" t="n">
        <x:v>4215</x:v>
      </x:c>
      <x:c r="E190" s="30" t="n">
        <x:v>4146.8</x:v>
      </x:c>
      <x:c r="F190" s="30" t="n">
        <x:f>ROUND(D190-E190,1)</x:f>
        <x:v>68.2</x:v>
      </x:c>
      <x:c r="G190" s="29" t="str">
        <x:v>IF2509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4275.2</x:v>
      </x:c>
      <x:c r="E191" s="24" t="n">
        <x:v>4196</x:v>
      </x:c>
      <x:c r="F191" s="24" t="n">
        <x:f>ROUND(D191-E191,1)</x:f>
        <x:v>79.2</x:v>
      </x:c>
      <x:c r="G191" s="23" t="str">
        <x:v>IF2509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4260.4</x:v>
      </x:c>
      <x:c r="E192" s="24" t="n">
        <x:v>4208.8</x:v>
      </x:c>
      <x:c r="F192" s="24" t="n">
        <x:f>ROUND(D192-E192,1)</x:f>
        <x:v>51.6</x:v>
      </x:c>
      <x:c r="G192" s="23" t="str">
        <x:v>IF2509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4273.8</x:v>
      </x:c>
      <x:c r="E193" s="24" t="n">
        <x:v>4176.6</x:v>
      </x:c>
      <x:c r="F193" s="26" t="n">
        <x:f>ROUND(D193-E193,1)</x:f>
        <x:v>97.2</x:v>
      </x:c>
      <x:c r="G193" s="23" t="str">
        <x:v>IF2509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4299.8</x:v>
      </x:c>
      <x:c r="E194" s="24" t="n">
        <x:v>4264.2</x:v>
      </x:c>
      <x:c r="F194" s="24" t="n">
        <x:f>ROUND(D194-E194,1)</x:f>
        <x:v>35.6</x:v>
      </x:c>
      <x:c r="G194" s="23" t="str">
        <x:v>IF2509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4396.6</x:v>
      </x:c>
      <x:c r="E195" s="24" t="n">
        <x:v>4283</x:v>
      </x:c>
      <x:c r="F195" s="26" t="n">
        <x:f>ROUND(D195-E195,1)</x:f>
        <x:v>113.6</x:v>
      </x:c>
      <x:c r="G195" s="23" t="str">
        <x:v>IF2509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4484.6</x:v>
      </x:c>
      <x:c r="E196" s="24" t="n">
        <x:v>4408</x:v>
      </x:c>
      <x:c r="F196" s="24" t="n">
        <x:f>ROUND(D196-E196,1)</x:f>
        <x:v>76.6</x:v>
      </x:c>
      <x:c r="G196" s="23" t="str">
        <x:v>IF2509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4482.8</x:v>
      </x:c>
      <x:c r="E197" s="24" t="n">
        <x:v>4437.2</x:v>
      </x:c>
      <x:c r="F197" s="24" t="n">
        <x:f>ROUND(D197-E197,1)</x:f>
        <x:v>45.6</x:v>
      </x:c>
      <x:c r="G197" s="23" t="str">
        <x:v>IF2509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4494.8</x:v>
      </x:c>
      <x:c r="E198" s="24" t="n">
        <x:v>4380.6</x:v>
      </x:c>
      <x:c r="F198" s="26" t="n">
        <x:f>ROUND(D198-E198,1)</x:f>
        <x:v>114.2</x:v>
      </x:c>
      <x:c r="G198" s="23" t="str">
        <x:v>IF2509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4465</x:v>
      </x:c>
      <x:c r="E199" s="24" t="n">
        <x:v>4360.2</x:v>
      </x:c>
      <x:c r="F199" s="26" t="n">
        <x:f>ROUND(D199-E199,1)</x:f>
        <x:v>104.8</x:v>
      </x:c>
      <x:c r="G199" s="23" t="str">
        <x:v>IF2509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4517.6</x:v>
      </x:c>
      <x:c r="E200" s="24" t="n">
        <x:v>4447</x:v>
      </x:c>
      <x:c r="F200" s="24" t="n">
        <x:f>ROUND(D200-E200,1)</x:f>
        <x:v>70.6</x:v>
      </x:c>
      <x:c r="G200" s="23" t="str">
        <x:v>IF2509</x:v>
      </x:c>
    </x:row>
    <x:row r="201">
      <x:c r="A201" s="33" t="str">
        <x:v>合计</x:v>
      </x:c>
      <x:c r="B201" s="32" t="n">
        <x:v>21</x:v>
      </x:c>
      <x:c r="C201" s="32"/>
      <x:c r="D201" s="32"/>
      <x:c r="E201" s="32"/>
      <x:c r="F201" s="34" t="n">
        <x:f>ROUND(SUM(F180:F200),1)</x:f>
        <x:v>1260.6</x:v>
      </x:c>
      <x:c r="G201" s="32"/>
    </x:row>
    <x:row r="202">
      <x:c r="A202" s="33" t="str">
        <x:v>均值</x:v>
      </x:c>
      <x:c r="B202" s="32"/>
      <x:c r="C202" s="32"/>
      <x:c r="D202" s="32"/>
      <x:c r="E202" s="32"/>
      <x:c r="F202" s="36" t="n">
        <x:f>ROUND(IFERROR(AVERAGE(F180:F200),0),1)</x:f>
        <x:v>60</x:v>
      </x:c>
      <x:c r="G202" s="32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高点</x:v>
      </x:c>
      <x:c r="E205" s="20" t="str">
        <x:v>低点</x:v>
      </x:c>
      <x:c r="F205" s="20" t="str">
        <x:v>振幅</x:v>
      </x:c>
      <x:c r="G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4527.2</x:v>
      </x:c>
      <x:c r="E206" s="24" t="n">
        <x:v>4480</x:v>
      </x:c>
      <x:c r="F206" s="24" t="n">
        <x:f>ROUND(D206-E206,1)</x:f>
        <x:v>47.2</x:v>
      </x:c>
      <x:c r="G206" s="23" t="str">
        <x:v>IF2509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4540.6</x:v>
      </x:c>
      <x:c r="E207" s="24" t="n">
        <x:v>4446</x:v>
      </x:c>
      <x:c r="F207" s="26" t="n">
        <x:f>ROUND(D207-E207,1)</x:f>
        <x:v>94.6</x:v>
      </x:c>
      <x:c r="G207" s="23" t="str">
        <x:v>IF2509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4508.6</x:v>
      </x:c>
      <x:c r="E208" s="24" t="n">
        <x:v>4408</x:v>
      </x:c>
      <x:c r="F208" s="26" t="n">
        <x:f>ROUND(D208-E208,1)</x:f>
        <x:v>100.6</x:v>
      </x:c>
      <x:c r="G208" s="23" t="str">
        <x:v>IF2509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4453.6</x:v>
      </x:c>
      <x:c r="E209" s="24" t="n">
        <x:v>4306.2</x:v>
      </x:c>
      <x:c r="F209" s="26" t="n">
        <x:f>ROUND(D209-E209,1)</x:f>
        <x:v>147.4</x:v>
      </x:c>
      <x:c r="G209" s="23" t="str">
        <x:v>IF2509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4470</x:v>
      </x:c>
      <x:c r="E210" s="24" t="n">
        <x:v>4344.2</x:v>
      </x:c>
      <x:c r="F210" s="26" t="n">
        <x:f>ROUND(D210-E210,1)</x:f>
        <x:v>125.8</x:v>
      </x:c>
      <x:c r="G210" s="23" t="str">
        <x:v>IF2509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4478.8</x:v>
      </x:c>
      <x:c r="E211" s="24" t="n">
        <x:v>4424</x:v>
      </x:c>
      <x:c r="F211" s="24" t="n">
        <x:f>ROUND(D211-E211,1)</x:f>
        <x:v>54.8</x:v>
      </x:c>
      <x:c r="G211" s="23" t="str">
        <x:v>IF2509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4463</x:v>
      </x:c>
      <x:c r="E212" s="24" t="n">
        <x:v>4401.2</x:v>
      </x:c>
      <x:c r="F212" s="24" t="n">
        <x:f>ROUND(D212-E212,1)</x:f>
        <x:v>61.8</x:v>
      </x:c>
      <x:c r="G212" s="23" t="str">
        <x:v>IF2509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4461.8</x:v>
      </x:c>
      <x:c r="E213" s="24" t="n">
        <x:v>4405</x:v>
      </x:c>
      <x:c r="F213" s="24" t="n">
        <x:f>ROUND(D213-E213,1)</x:f>
        <x:v>56.8</x:v>
      </x:c>
      <x:c r="G213" s="23" t="str">
        <x:v>IF2509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4562.2</x:v>
      </x:c>
      <x:c r="E214" s="24" t="n">
        <x:v>4413.6</x:v>
      </x:c>
      <x:c r="F214" s="26" t="n">
        <x:f>ROUND(D214-E214,1)</x:f>
        <x:v>148.6</x:v>
      </x:c>
      <x:c r="G214" s="23" t="str">
        <x:v>IF2509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4565.8</x:v>
      </x:c>
      <x:c r="E215" s="24" t="n">
        <x:v>4517</x:v>
      </x:c>
      <x:c r="F215" s="24" t="n">
        <x:f>ROUND(D215-E215,1)</x:f>
        <x:v>48.8</x:v>
      </x:c>
      <x:c r="G215" s="23" t="str">
        <x:v>IF2509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4563.6</x:v>
      </x:c>
      <x:c r="E216" s="24" t="n">
        <x:v>4518.8</x:v>
      </x:c>
      <x:c r="F216" s="24" t="n">
        <x:f>ROUND(D216-E216,1)</x:f>
        <x:v>44.8</x:v>
      </x:c>
      <x:c r="G216" s="23" t="str">
        <x:v>IF2509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4554</x:v>
      </x:c>
      <x:c r="E217" s="24" t="n">
        <x:v>4489.6</x:v>
      </x:c>
      <x:c r="F217" s="24" t="n">
        <x:f>ROUND(D217-E217,1)</x:f>
        <x:v>64.4</x:v>
      </x:c>
      <x:c r="G217" s="23" t="str">
        <x:v>IF2509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4559.2</x:v>
      </x:c>
      <x:c r="E218" s="24" t="n">
        <x:v>4497.2</x:v>
      </x:c>
      <x:c r="F218" s="24" t="n">
        <x:f>ROUND(D218-E218,1)</x:f>
        <x:v>62</x:v>
      </x:c>
      <x:c r="G218" s="23" t="str">
        <x:v>IF2509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4577.4</x:v>
      </x:c>
      <x:c r="E219" s="24" t="n">
        <x:v>4448</x:v>
      </x:c>
      <x:c r="F219" s="26" t="n">
        <x:f>ROUND(D219-E219,1)</x:f>
        <x:v>129.4</x:v>
      </x:c>
      <x:c r="G219" s="23" t="str">
        <x:v>IF2509</x:v>
      </x:c>
    </x:row>
    <x:row r="220">
      <x:c r="A220" s="29" t="n">
        <x:v>15</x:v>
      </x:c>
      <x:c r="B220" s="29" t="str">
        <x:v>周五</x:v>
      </x:c>
      <x:c r="C220" s="29" t="str">
        <x:v>9月19日</x:v>
      </x:c>
      <x:c r="D220" s="30" t="n">
        <x:v>4531.6</x:v>
      </x:c>
      <x:c r="E220" s="30" t="n">
        <x:v>4484</x:v>
      </x:c>
      <x:c r="F220" s="30" t="n">
        <x:f>ROUND(D220-E220,1)</x:f>
        <x:v>47.6</x:v>
      </x:c>
      <x:c r="G220" s="29" t="str">
        <x:v>IF2509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4488</x:v>
      </x:c>
      <x:c r="E221" s="24" t="n">
        <x:v>4447.2</x:v>
      </x:c>
      <x:c r="F221" s="24" t="n">
        <x:f>ROUND(D221-E221,1)</x:f>
        <x:v>40.8</x:v>
      </x:c>
      <x:c r="G221" s="23" t="str">
        <x:v>IF2512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4513</x:v>
      </x:c>
      <x:c r="E222" s="24" t="n">
        <x:v>4408.8</x:v>
      </x:c>
      <x:c r="F222" s="26" t="n">
        <x:f>ROUND(D222-E222,1)</x:f>
        <x:v>104.2</x:v>
      </x:c>
      <x:c r="G222" s="23" t="str">
        <x:v>IF2512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4531.2</x:v>
      </x:c>
      <x:c r="E223" s="24" t="n">
        <x:v>4463.2</x:v>
      </x:c>
      <x:c r="F223" s="24" t="n">
        <x:f>ROUND(D223-E223,1)</x:f>
        <x:v>68</x:v>
      </x:c>
      <x:c r="G223" s="23" t="str">
        <x:v>IF2512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4587.6</x:v>
      </x:c>
      <x:c r="E224" s="24" t="n">
        <x:v>4522</x:v>
      </x:c>
      <x:c r="F224" s="24" t="n">
        <x:f>ROUND(D224-E224,1)</x:f>
        <x:v>65.6</x:v>
      </x:c>
      <x:c r="G224" s="23" t="str">
        <x:v>IF2512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4570.8</x:v>
      </x:c>
      <x:c r="E225" s="24" t="n">
        <x:v>4525</x:v>
      </x:c>
      <x:c r="F225" s="24" t="n">
        <x:f>ROUND(D225-E225,1)</x:f>
        <x:v>45.8</x:v>
      </x:c>
      <x:c r="G225" s="23" t="str">
        <x:v>IF2512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4639.8</x:v>
      </x:c>
      <x:c r="E226" s="24" t="n">
        <x:v>4515.2</x:v>
      </x:c>
      <x:c r="F226" s="26" t="n">
        <x:f>ROUND(D226-E226,1)</x:f>
        <x:v>124.6</x:v>
      </x:c>
      <x:c r="G226" s="23" t="str">
        <x:v>IF2512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4631.8</x:v>
      </x:c>
      <x:c r="E227" s="24" t="n">
        <x:v>4601</x:v>
      </x:c>
      <x:c r="F227" s="24" t="n">
        <x:f>ROUND(D227-E227,1)</x:f>
        <x:v>30.8</x:v>
      </x:c>
      <x:c r="G227" s="23" t="str">
        <x:v>IF2512</x:v>
      </x:c>
    </x:row>
    <x:row r="228">
      <x:c r="A228" s="33" t="str">
        <x:v>合计</x:v>
      </x:c>
      <x:c r="B228" s="32" t="n">
        <x:v>22</x:v>
      </x:c>
      <x:c r="C228" s="32"/>
      <x:c r="D228" s="32"/>
      <x:c r="E228" s="32"/>
      <x:c r="F228" s="34" t="n">
        <x:f>ROUND(SUM(F206:F227),1)</x:f>
        <x:v>1714.4</x:v>
      </x:c>
      <x:c r="G228" s="32"/>
    </x:row>
    <x:row r="229">
      <x:c r="A229" s="33" t="str">
        <x:v>均值</x:v>
      </x:c>
      <x:c r="B229" s="32"/>
      <x:c r="C229" s="32"/>
      <x:c r="D229" s="32"/>
      <x:c r="E229" s="32"/>
      <x:c r="F229" s="36" t="n">
        <x:f>ROUND(IFERROR(AVERAGE(F206:F227),0),1)</x:f>
        <x:v>77.9</x:v>
      </x:c>
      <x:c r="G229" s="32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高点</x:v>
      </x:c>
      <x:c r="E232" s="20" t="str">
        <x:v>低点</x:v>
      </x:c>
      <x:c r="F232" s="20" t="str">
        <x:v>振幅</x:v>
      </x:c>
      <x:c r="G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4715</x:v>
      </x:c>
      <x:c r="E233" s="24" t="n">
        <x:v>4627.2</x:v>
      </x:c>
      <x:c r="F233" s="24" t="n">
        <x:f>ROUND(D233-E233,1)</x:f>
        <x:v>87.8</x:v>
      </x:c>
      <x:c r="G233" s="23" t="str">
        <x:v>IF2512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4674.4</x:v>
      </x:c>
      <x:c r="E234" s="24" t="n">
        <x:v>4576.2</x:v>
      </x:c>
      <x:c r="F234" s="26" t="n">
        <x:f>ROUND(D234-E234,1)</x:f>
        <x:v>98.2</x:v>
      </x:c>
      <x:c r="G234" s="23" t="str">
        <x:v>IF2512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4574.4</x:v>
      </x:c>
      <x:c r="E235" s="24" t="n">
        <x:v>4493</x:v>
      </x:c>
      <x:c r="F235" s="24" t="n">
        <x:f>ROUND(D235-E235,1)</x:f>
        <x:v>81.4</x:v>
      </x:c>
      <x:c r="G235" s="23" t="str">
        <x:v>IF2512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4609</x:v>
      </x:c>
      <x:c r="E236" s="24" t="n">
        <x:v>4480</x:v>
      </x:c>
      <x:c r="F236" s="26" t="n">
        <x:f>ROUND(D236-E236,1)</x:f>
        <x:v>129</x:v>
      </x:c>
      <x:c r="G236" s="23" t="str">
        <x:v>IF2512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4587.8</x:v>
      </x:c>
      <x:c r="E237" s="24" t="n">
        <x:v>4501</x:v>
      </x:c>
      <x:c r="F237" s="24" t="n">
        <x:f>ROUND(D237-E237,1)</x:f>
        <x:v>86.8</x:v>
      </x:c>
      <x:c r="G237" s="23" t="str">
        <x:v>IF2512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4618</x:v>
      </x:c>
      <x:c r="E238" s="24" t="n">
        <x:v>4561</x:v>
      </x:c>
      <x:c r="F238" s="24" t="n">
        <x:f>ROUND(D238-E238,1)</x:f>
        <x:v>57</x:v>
      </x:c>
      <x:c r="G238" s="23" t="str">
        <x:v>IF2512</x:v>
      </x:c>
    </x:row>
    <x:row r="239">
      <x:c r="A239" s="29" t="n">
        <x:v>7</x:v>
      </x:c>
      <x:c r="B239" s="29" t="str">
        <x:v>周五</x:v>
      </x:c>
      <x:c r="C239" s="29" t="str">
        <x:v>10月17日</x:v>
      </x:c>
      <x:c r="D239" s="30" t="n">
        <x:v>4596</x:v>
      </x:c>
      <x:c r="E239" s="30" t="n">
        <x:v>4468</x:v>
      </x:c>
      <x:c r="F239" s="26" t="n">
        <x:f>ROUND(D239-E239,1)</x:f>
        <x:v>128</x:v>
      </x:c>
      <x:c r="G239" s="29" t="str">
        <x:v>IF2512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4549.8</x:v>
      </x:c>
      <x:c r="E240" s="24" t="n">
        <x:v>4490.8</x:v>
      </x:c>
      <x:c r="F240" s="24" t="n">
        <x:f>ROUND(D240-E240,1)</x:f>
        <x:v>59</x:v>
      </x:c>
      <x:c r="G240" s="23" t="str">
        <x:v>IF2512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4599.2</x:v>
      </x:c>
      <x:c r="E241" s="24" t="n">
        <x:v>4521</x:v>
      </x:c>
      <x:c r="F241" s="24" t="n">
        <x:f>ROUND(D241-E241,1)</x:f>
        <x:v>78.2</x:v>
      </x:c>
      <x:c r="G241" s="23" t="str">
        <x:v>IF2512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4579.4</x:v>
      </x:c>
      <x:c r="E242" s="24" t="n">
        <x:v>4536.8</x:v>
      </x:c>
      <x:c r="F242" s="24" t="n">
        <x:f>ROUND(D242-E242,1)</x:f>
        <x:v>42.6</x:v>
      </x:c>
      <x:c r="G242" s="23" t="str">
        <x:v>IF2512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4589.6</x:v>
      </x:c>
      <x:c r="E243" s="24" t="n">
        <x:v>4505.4</x:v>
      </x:c>
      <x:c r="F243" s="24" t="n">
        <x:f>ROUND(D243-E243,1)</x:f>
        <x:v>84.2</x:v>
      </x:c>
      <x:c r="G243" s="23" t="str">
        <x:v>IF2512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4634.8</x:v>
      </x:c>
      <x:c r="E244" s="24" t="n">
        <x:v>4592</x:v>
      </x:c>
      <x:c r="F244" s="24" t="n">
        <x:f>ROUND(D244-E244,1)</x:f>
        <x:v>42.8</x:v>
      </x:c>
      <x:c r="G244" s="23" t="str">
        <x:v>IF2512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4697.8</x:v>
      </x:c>
      <x:c r="E245" s="24" t="n">
        <x:v>4660.8</x:v>
      </x:c>
      <x:c r="F245" s="24" t="n">
        <x:f>ROUND(D245-E245,1)</x:f>
        <x:v>37</x:v>
      </x:c>
      <x:c r="G245" s="23" t="str">
        <x:v>IF2512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4719</x:v>
      </x:c>
      <x:c r="E246" s="24" t="n">
        <x:v>4660.4</x:v>
      </x:c>
      <x:c r="F246" s="24" t="n">
        <x:f>ROUND(D246-E246,1)</x:f>
        <x:v>58.6</x:v>
      </x:c>
      <x:c r="G246" s="23" t="str">
        <x:v>IF2512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4732.6</x:v>
      </x:c>
      <x:c r="E247" s="24" t="n">
        <x:v>4678.6</x:v>
      </x:c>
      <x:c r="F247" s="24" t="n">
        <x:f>ROUND(D247-E247,1)</x:f>
        <x:v>54</x:v>
      </x:c>
      <x:c r="G247" s="23" t="str">
        <x:v>IF2512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4741</x:v>
      </x:c>
      <x:c r="E248" s="24" t="n">
        <x:v>4680</x:v>
      </x:c>
      <x:c r="F248" s="24" t="n">
        <x:f>ROUND(D248-E248,1)</x:f>
        <x:v>61</x:v>
      </x:c>
      <x:c r="G248" s="23" t="str">
        <x:v>IF2512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4699.4</x:v>
      </x:c>
      <x:c r="E249" s="24" t="n">
        <x:v>4627.4</x:v>
      </x:c>
      <x:c r="F249" s="24" t="n">
        <x:f>ROUND(D249-E249,1)</x:f>
        <x:v>72</x:v>
      </x:c>
      <x:c r="G249" s="23" t="str">
        <x:v>IF2512</x:v>
      </x:c>
    </x:row>
    <x:row r="250">
      <x:c r="A250" s="33" t="str">
        <x:v>合计</x:v>
      </x:c>
      <x:c r="B250" s="32" t="n">
        <x:v>17</x:v>
      </x:c>
      <x:c r="C250" s="32"/>
      <x:c r="D250" s="32"/>
      <x:c r="E250" s="32"/>
      <x:c r="F250" s="34" t="n">
        <x:f>ROUND(SUM(F233:F249),1)</x:f>
        <x:v>1257.6</x:v>
      </x:c>
      <x:c r="G250" s="32"/>
    </x:row>
    <x:row r="251">
      <x:c r="A251" s="33" t="str">
        <x:v>均值</x:v>
      </x:c>
      <x:c r="B251" s="32"/>
      <x:c r="C251" s="32"/>
      <x:c r="D251" s="32"/>
      <x:c r="E251" s="32"/>
      <x:c r="F251" s="36" t="n">
        <x:f>ROUND(IFERROR(AVERAGE(F233:F249),0),1)</x:f>
        <x:v>74</x:v>
      </x:c>
      <x:c r="G251" s="32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高点</x:v>
      </x:c>
      <x:c r="E254" s="20" t="str">
        <x:v>低点</x:v>
      </x:c>
      <x:c r="F254" s="20" t="str">
        <x:v>振幅</x:v>
      </x:c>
      <x:c r="G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4642.2</x:v>
      </x:c>
      <x:c r="E255" s="24" t="n">
        <x:v>4577.6</x:v>
      </x:c>
      <x:c r="F255" s="24" t="n">
        <x:f>ROUND(D255-E255,1)</x:f>
        <x:v>64.6</x:v>
      </x:c>
      <x:c r="G255" s="23" t="str">
        <x:v>IF2512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4639.4</x:v>
      </x:c>
      <x:c r="E256" s="24" t="n">
        <x:v>4558.2</x:v>
      </x:c>
      <x:c r="F256" s="24" t="n">
        <x:f>ROUND(D256-E256,1)</x:f>
        <x:v>81.2</x:v>
      </x:c>
      <x:c r="G256" s="23" t="str">
        <x:v>IF2512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4621.4</x:v>
      </x:c>
      <x:c r="E257" s="24" t="n">
        <x:v>4536</x:v>
      </x:c>
      <x:c r="F257" s="24" t="n">
        <x:f>ROUND(D257-E257,1)</x:f>
        <x:v>85.4</x:v>
      </x:c>
      <x:c r="G257" s="23" t="str">
        <x:v>IF2512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4682.6</x:v>
      </x:c>
      <x:c r="E258" s="24" t="n">
        <x:v>4608</x:v>
      </x:c>
      <x:c r="F258" s="24" t="n">
        <x:f>ROUND(D258-E258,1)</x:f>
        <x:v>74.6</x:v>
      </x:c>
      <x:c r="G258" s="23" t="str">
        <x:v>IF2512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4676.8</x:v>
      </x:c>
      <x:c r="E259" s="24" t="n">
        <x:v>4638</x:v>
      </x:c>
      <x:c r="F259" s="24" t="n">
        <x:f>ROUND(D259-E259,1)</x:f>
        <x:v>38.8</x:v>
      </x:c>
      <x:c r="G259" s="23" t="str">
        <x:v>IF2512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4678</x:v>
      </x:c>
      <x:c r="E260" s="24" t="n">
        <x:v>4626.4</x:v>
      </x:c>
      <x:c r="F260" s="24" t="n">
        <x:f>ROUND(D260-E260,1)</x:f>
        <x:v>51.6</x:v>
      </x:c>
      <x:c r="G260" s="23" t="str">
        <x:v>IF2512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4690.6</x:v>
      </x:c>
      <x:c r="E261" s="24" t="n">
        <x:v>4618.4</x:v>
      </x:c>
      <x:c r="F261" s="24" t="n">
        <x:f>ROUND(D261-E261,1)</x:f>
        <x:v>72.2</x:v>
      </x:c>
      <x:c r="G261" s="23" t="str">
        <x:v>IF2512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4649.4</x:v>
      </x:c>
      <x:c r="E262" s="24" t="n">
        <x:v>4593.8</x:v>
      </x:c>
      <x:c r="F262" s="24" t="n">
        <x:f>ROUND(D262-E262,1)</x:f>
        <x:v>55.6</x:v>
      </x:c>
      <x:c r="G262" s="23" t="str">
        <x:v>IF2512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4682.4</x:v>
      </x:c>
      <x:c r="E263" s="24" t="n">
        <x:v>4617.6</x:v>
      </x:c>
      <x:c r="F263" s="24" t="n">
        <x:f>ROUND(D263-E263,1)</x:f>
        <x:v>64.8</x:v>
      </x:c>
      <x:c r="G263" s="23" t="str">
        <x:v>IF2512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4661.8</x:v>
      </x:c>
      <x:c r="E264" s="24" t="n">
        <x:v>4600</x:v>
      </x:c>
      <x:c r="F264" s="24" t="n">
        <x:f>ROUND(D264-E264,1)</x:f>
        <x:v>61.8</x:v>
      </x:c>
      <x:c r="G264" s="23" t="str">
        <x:v>IF2512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4605</x:v>
      </x:c>
      <x:c r="E265" s="24" t="n">
        <x:v>4558.8</x:v>
      </x:c>
      <x:c r="F265" s="24" t="n">
        <x:f>ROUND(D265-E265,1)</x:f>
        <x:v>46.2</x:v>
      </x:c>
      <x:c r="G265" s="23" t="str">
        <x:v>IF2512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4586</x:v>
      </x:c>
      <x:c r="E266" s="24" t="n">
        <x:v>4530.4</x:v>
      </x:c>
      <x:c r="F266" s="24" t="n">
        <x:f>ROUND(D266-E266,1)</x:f>
        <x:v>55.6</x:v>
      </x:c>
      <x:c r="G266" s="23" t="str">
        <x:v>IF2512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4587</x:v>
      </x:c>
      <x:c r="E267" s="24" t="n">
        <x:v>4544.2</x:v>
      </x:c>
      <x:c r="F267" s="24" t="n">
        <x:f>ROUND(D267-E267,1)</x:f>
        <x:v>42.8</x:v>
      </x:c>
      <x:c r="G267" s="23" t="str">
        <x:v>IF2512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4599.2</x:v>
      </x:c>
      <x:c r="E268" s="24" t="n">
        <x:v>4535.2</x:v>
      </x:c>
      <x:c r="F268" s="24" t="n">
        <x:f>ROUND(D268-E268,1)</x:f>
        <x:v>64</x:v>
      </x:c>
      <x:c r="G268" s="23" t="str">
        <x:v>IF2512</x:v>
      </x:c>
    </x:row>
    <x:row r="269">
      <x:c r="A269" s="29" t="n">
        <x:v>15</x:v>
      </x:c>
      <x:c r="B269" s="29" t="str">
        <x:v>周五</x:v>
      </x:c>
      <x:c r="C269" s="29" t="str">
        <x:v>11月21日</x:v>
      </x:c>
      <x:c r="D269" s="30" t="n">
        <x:v>4521.4</x:v>
      </x:c>
      <x:c r="E269" s="30" t="n">
        <x:v>4427.2</x:v>
      </x:c>
      <x:c r="F269" s="26" t="n">
        <x:f>ROUND(D269-E269,1)</x:f>
        <x:v>94.2</x:v>
      </x:c>
      <x:c r="G269" s="29" t="str">
        <x:v>IF2512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4454.6</x:v>
      </x:c>
      <x:c r="E270" s="24" t="n">
        <x:v>4408.8</x:v>
      </x:c>
      <x:c r="F270" s="24" t="n">
        <x:f>ROUND(D270-E270,1)</x:f>
        <x:v>45.8</x:v>
      </x:c>
      <x:c r="G270" s="23" t="str">
        <x:v>IF2512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4504</x:v>
      </x:c>
      <x:c r="E271" s="24" t="n">
        <x:v>4455.6</x:v>
      </x:c>
      <x:c r="F271" s="24" t="n">
        <x:f>ROUND(D271-E271,1)</x:f>
        <x:v>48.4</x:v>
      </x:c>
      <x:c r="G271" s="23" t="str">
        <x:v>IF2512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4519</x:v>
      </x:c>
      <x:c r="E272" s="24" t="n">
        <x:v>4471</x:v>
      </x:c>
      <x:c r="F272" s="24" t="n">
        <x:f>ROUND(D272-E272,1)</x:f>
        <x:v>48</x:v>
      </x:c>
      <x:c r="G272" s="23" t="str">
        <x:v>IF2512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4549</x:v>
      </x:c>
      <x:c r="E273" s="24" t="n">
        <x:v>4487.6</x:v>
      </x:c>
      <x:c r="F273" s="24" t="n">
        <x:f>ROUND(D273-E273,1)</x:f>
        <x:v>61.4</x:v>
      </x:c>
      <x:c r="G273" s="23" t="str">
        <x:v>IF2512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4515.8</x:v>
      </x:c>
      <x:c r="E274" s="24" t="n">
        <x:v>4476</x:v>
      </x:c>
      <x:c r="F274" s="24" t="n">
        <x:f>ROUND(D274-E274,1)</x:f>
        <x:v>39.8</x:v>
      </x:c>
      <x:c r="G274" s="23" t="str">
        <x:v>IF2512</x:v>
      </x:c>
    </x:row>
    <x:row r="275">
      <x:c r="A275" s="33" t="str">
        <x:v>合计</x:v>
      </x:c>
      <x:c r="B275" s="32" t="n">
        <x:v>20</x:v>
      </x:c>
      <x:c r="C275" s="32"/>
      <x:c r="D275" s="32"/>
      <x:c r="E275" s="32"/>
      <x:c r="F275" s="34" t="n">
        <x:f>ROUND(SUM(F255:F274),1)</x:f>
        <x:v>1196.8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ROUND(IFERROR(AVERAGE(F255:F274),0),1)</x:f>
        <x:v>59.8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4555.8</x:v>
      </x:c>
      <x:c r="E280" s="24" t="n">
        <x:v>4511.8</x:v>
      </x:c>
      <x:c r="F280" s="24" t="n">
        <x:f>ROUND(D280-E280,1)</x:f>
        <x:v>44</x:v>
      </x:c>
      <x:c r="G280" s="23" t="str">
        <x:v>IF2512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4559.8</x:v>
      </x:c>
      <x:c r="E281" s="24" t="n">
        <x:v>4521.6</x:v>
      </x:c>
      <x:c r="F281" s="24" t="n">
        <x:f>ROUND(D281-E281,1)</x:f>
        <x:v>38.2</x:v>
      </x:c>
      <x:c r="G281" s="23" t="str">
        <x:v>IF2512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4556</x:v>
      </x:c>
      <x:c r="E282" s="24" t="n">
        <x:v>4504.2</x:v>
      </x:c>
      <x:c r="F282" s="24" t="n">
        <x:f>ROUND(D282-E282,1)</x:f>
        <x:v>51.8</x:v>
      </x:c>
      <x:c r="G282" s="23" t="str">
        <x:v>IF2512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4547.8</x:v>
      </x:c>
      <x:c r="E283" s="24" t="n">
        <x:v>4500.8</x:v>
      </x:c>
      <x:c r="F283" s="24" t="n">
        <x:f>ROUND(D283-E283,1)</x:f>
        <x:v>47</x:v>
      </x:c>
      <x:c r="G283" s="23" t="str">
        <x:v>IF2512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4588.4</x:v>
      </x:c>
      <x:c r="E284" s="24" t="n">
        <x:v>4516.4</x:v>
      </x:c>
      <x:c r="F284" s="24" t="n">
        <x:f>ROUND(D284-E284,1)</x:f>
        <x:v>72</x:v>
      </x:c>
      <x:c r="G284" s="23" t="str">
        <x:v>IF2512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4635</x:v>
      </x:c>
      <x:c r="E285" s="24" t="n">
        <x:v>4589.6</x:v>
      </x:c>
      <x:c r="F285" s="24" t="n">
        <x:f>ROUND(D285-E285,1)</x:f>
        <x:v>45.4</x:v>
      </x:c>
      <x:c r="G285" s="23" t="str">
        <x:v>IF2512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4618.8</x:v>
      </x:c>
      <x:c r="E286" s="24" t="n">
        <x:v>4571.8</x:v>
      </x:c>
      <x:c r="F286" s="24" t="n">
        <x:f>ROUND(D286-E286,1)</x:f>
        <x:v>47</x:v>
      </x:c>
      <x:c r="G286" s="23" t="str">
        <x:v>IF2512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4583.6</x:v>
      </x:c>
      <x:c r="E287" s="24" t="n">
        <x:v>4532</x:v>
      </x:c>
      <x:c r="F287" s="24" t="n">
        <x:f>ROUND(D287-E287,1)</x:f>
        <x:v>51.6</x:v>
      </x:c>
      <x:c r="G287" s="23" t="str">
        <x:v>IF2512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4593.2</x:v>
      </x:c>
      <x:c r="E288" s="24" t="n">
        <x:v>4534.6</x:v>
      </x:c>
      <x:c r="F288" s="24" t="n">
        <x:f>ROUND(D288-E288,1)</x:f>
        <x:v>58.6</x:v>
      </x:c>
      <x:c r="G288" s="23" t="str">
        <x:v>IF2512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4581.6</x:v>
      </x:c>
      <x:c r="E289" s="24" t="n">
        <x:v>4526</x:v>
      </x:c>
      <x:c r="F289" s="24" t="n">
        <x:f>ROUND(D289-E289,1)</x:f>
        <x:v>55.6</x:v>
      </x:c>
      <x:c r="G289" s="23" t="str">
        <x:v>IF2512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4593.2</x:v>
      </x:c>
      <x:c r="E290" s="24" t="n">
        <x:v>4545</x:v>
      </x:c>
      <x:c r="F290" s="24" t="n">
        <x:f>ROUND(D290-E290,1)</x:f>
        <x:v>48.2</x:v>
      </x:c>
      <x:c r="G290" s="23" t="str">
        <x:v>IF2512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4547</x:v>
      </x:c>
      <x:c r="E291" s="24" t="n">
        <x:v>4473.8</x:v>
      </x:c>
      <x:c r="F291" s="24" t="n">
        <x:f>ROUND(D291-E291,1)</x:f>
        <x:v>73.2</x:v>
      </x:c>
      <x:c r="G291" s="23" t="str">
        <x:v>IF2512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4598.2</x:v>
      </x:c>
      <x:c r="E292" s="24" t="n">
        <x:v>4492.4</x:v>
      </x:c>
      <x:c r="F292" s="26" t="n">
        <x:f>ROUND(D292-E292,1)</x:f>
        <x:v>105.8</x:v>
      </x:c>
      <x:c r="G292" s="23" t="str">
        <x:v>IF2512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4573.6</x:v>
      </x:c>
      <x:c r="E293" s="24" t="n">
        <x:v>4542.4</x:v>
      </x:c>
      <x:c r="F293" s="24" t="n">
        <x:f>ROUND(D293-E293,1)</x:f>
        <x:v>31.2</x:v>
      </x:c>
      <x:c r="G293" s="23" t="str">
        <x:v>IF2512</x:v>
      </x:c>
    </x:row>
    <x:row r="294">
      <x:c r="A294" s="29" t="n">
        <x:v>15</x:v>
      </x:c>
      <x:c r="B294" s="29" t="str">
        <x:v>周五</x:v>
      </x:c>
      <x:c r="C294" s="29" t="str">
        <x:v>12月19日</x:v>
      </x:c>
      <x:c r="D294" s="30" t="n">
        <x:v>4597</x:v>
      </x:c>
      <x:c r="E294" s="30" t="n">
        <x:v>4547.6</x:v>
      </x:c>
      <x:c r="F294" s="30" t="n">
        <x:f>ROUND(D294-E294,1)</x:f>
        <x:v>49.4</x:v>
      </x:c>
      <x:c r="G294" s="29" t="str">
        <x:v>IF2512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4579.2</x:v>
      </x:c>
      <x:c r="E295" s="24" t="n">
        <x:v>4542.2</x:v>
      </x:c>
      <x:c r="F295" s="24" t="n">
        <x:f>ROUND(D295-E295,1)</x:f>
        <x:v>37</x:v>
      </x:c>
      <x:c r="G295" s="23" t="str">
        <x:v>IF2603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4599</x:v>
      </x:c>
      <x:c r="E296" s="24" t="n">
        <x:v>4561.4</x:v>
      </x:c>
      <x:c r="F296" s="24" t="n">
        <x:f>ROUND(D296-E296,1)</x:f>
        <x:v>37.6</x:v>
      </x:c>
      <x:c r="G296" s="23" t="str">
        <x:v>IF2603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4608.4</x:v>
      </x:c>
      <x:c r="E297" s="24" t="n">
        <x:v>4559</x:v>
      </x:c>
      <x:c r="F297" s="24" t="n">
        <x:f>ROUND(D297-E297,1)</x:f>
        <x:v>49.4</x:v>
      </x:c>
      <x:c r="G297" s="23" t="str">
        <x:v>IF2603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4624.8</x:v>
      </x:c>
      <x:c r="E298" s="24" t="n">
        <x:v>4586</x:v>
      </x:c>
      <x:c r="F298" s="24" t="n">
        <x:f>ROUND(D298-E298,1)</x:f>
        <x:v>38.8</x:v>
      </x:c>
      <x:c r="G298" s="23" t="str">
        <x:v>IF2603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4664.2</x:v>
      </x:c>
      <x:c r="E299" s="24" t="n">
        <x:v>4611.2</x:v>
      </x:c>
      <x:c r="F299" s="24" t="n">
        <x:f>ROUND(D299-E299,1)</x:f>
        <x:v>53</x:v>
      </x:c>
      <x:c r="G299" s="23" t="str">
        <x:v>IF2603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4645</x:v>
      </x:c>
      <x:c r="E300" s="24" t="n">
        <x:v>4595.2</x:v>
      </x:c>
      <x:c r="F300" s="24" t="n">
        <x:f>ROUND(D300-E300,1)</x:f>
        <x:v>49.8</x:v>
      </x:c>
      <x:c r="G300" s="23" t="str">
        <x:v>IF2603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4645.2</x:v>
      </x:c>
      <x:c r="E301" s="24" t="n">
        <x:v>4590.4</x:v>
      </x:c>
      <x:c r="F301" s="24" t="n">
        <x:f>ROUND(D301-E301,1)</x:f>
        <x:v>54.8</x:v>
      </x:c>
      <x:c r="G301" s="23" t="str">
        <x:v>IF2603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4634.6</x:v>
      </x:c>
      <x:c r="E302" s="24" t="n">
        <x:v>4581.2</x:v>
      </x:c>
      <x:c r="F302" s="24" t="n">
        <x:f>ROUND(D302-E302,1)</x:f>
        <x:v>53.4</x:v>
      </x:c>
      <x:c r="G302" s="23" t="str">
        <x:v>IF2603</x:v>
      </x:c>
    </x:row>
    <x:row r="303">
      <x:c r="A303" s="33" t="str">
        <x:v>合计</x:v>
      </x:c>
      <x:c r="B303" s="32" t="n">
        <x:v>23</x:v>
      </x:c>
      <x:c r="C303" s="32"/>
      <x:c r="D303" s="32"/>
      <x:c r="E303" s="32"/>
      <x:c r="F303" s="34" t="n">
        <x:f>ROUND(SUM(F280:F302),1)</x:f>
        <x:v>1192.8</x:v>
      </x:c>
      <x:c r="G303" s="32"/>
    </x:row>
    <x:row r="304">
      <x:c r="A304" s="33" t="str">
        <x:v>均值</x:v>
      </x:c>
      <x:c r="B304" s="32"/>
      <x:c r="C304" s="32"/>
      <x:c r="D304" s="32"/>
      <x:c r="E304" s="32"/>
      <x:c r="F304" s="36" t="n">
        <x:f>ROUND(IFERROR(AVERAGE(F280:F302),0),1)</x:f>
        <x:v>51.9</x:v>
      </x:c>
      <x:c r="G304" s="32"/>
    </x:row>
  </x:sheetData>
  <x:mergeCells>
    <x:mergeCell ref="A1:G1"/>
    <x:mergeCell ref="A3:G3"/>
    <x:mergeCell ref="A26:G26"/>
    <x:mergeCell ref="A49:G49"/>
    <x:mergeCell ref="A75:G75"/>
    <x:mergeCell ref="A101:G101"/>
    <x:mergeCell ref="A125:G125"/>
    <x:mergeCell ref="A150:G150"/>
    <x:mergeCell ref="A178:G178"/>
    <x:mergeCell ref="A204:G204"/>
    <x:mergeCell ref="A231:G231"/>
    <x:mergeCell ref="A253:G253"/>
    <x:mergeCell ref="A278:G27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2025年统计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高点</x:v>
      </x:c>
      <x:c r="E4" s="20" t="str">
        <x:v>低点</x:v>
      </x:c>
      <x:c r="F4" s="20" t="str">
        <x:v>振幅</x:v>
      </x:c>
      <x:c r="G4" s="20" t="str">
        <x:v>标的</x:v>
      </x:c>
    </x:row>
    <x:row r="5">
      <x:c r="A5" s="23" t="n">
        <x:v>1</x:v>
      </x:c>
      <x:c r="B5" s="23" t="str">
        <x:v>周四</x:v>
      </x:c>
      <x:c r="C5" s="23" t="str">
        <x:v>1月2日</x:v>
      </x:c>
      <x:c r="D5" s="24" t="n">
        <x:v>2690</x:v>
      </x:c>
      <x:c r="E5" s="24" t="n">
        <x:v>2590</x:v>
      </x:c>
      <x:c r="F5" s="26" t="n">
        <x:f>ROUND(D5-E5,1)</x:f>
        <x:v>100</x:v>
      </x:c>
      <x:c r="G5" s="23" t="str">
        <x:v>IH2503</x:v>
      </x:c>
    </x:row>
    <x:row r="6">
      <x:c r="A6" s="23" t="n">
        <x:v>2</x:v>
      </x:c>
      <x:c r="B6" s="23" t="str">
        <x:v>周五</x:v>
      </x:c>
      <x:c r="C6" s="23" t="str">
        <x:v>1月3日</x:v>
      </x:c>
      <x:c r="D6" s="24" t="n">
        <x:v>2625</x:v>
      </x:c>
      <x:c r="E6" s="24" t="n">
        <x:v>2578</x:v>
      </x:c>
      <x:c r="F6" s="24" t="n">
        <x:f>ROUND(D6-E6,1)</x:f>
        <x:v>47</x:v>
      </x:c>
      <x:c r="G6" s="23" t="str">
        <x:v>IH2503</x:v>
      </x:c>
    </x:row>
    <x:row r="7">
      <x:c r="A7" s="23" t="n">
        <x:v>3</x:v>
      </x:c>
      <x:c r="B7" s="23" t="str">
        <x:v>周一</x:v>
      </x:c>
      <x:c r="C7" s="23" t="str">
        <x:v>1月6日</x:v>
      </x:c>
      <x:c r="D7" s="24" t="n">
        <x:v>2598</x:v>
      </x:c>
      <x:c r="E7" s="24" t="n">
        <x:v>2557.6</x:v>
      </x:c>
      <x:c r="F7" s="24" t="n">
        <x:f>ROUND(D7-E7,1)</x:f>
        <x:v>40.4</x:v>
      </x:c>
      <x:c r="G7" s="23" t="str">
        <x:v>IH2503</x:v>
      </x:c>
    </x:row>
    <x:row r="8">
      <x:c r="A8" s="23" t="n">
        <x:v>4</x:v>
      </x:c>
      <x:c r="B8" s="23" t="str">
        <x:v>周二</x:v>
      </x:c>
      <x:c r="C8" s="23" t="str">
        <x:v>1月7日</x:v>
      </x:c>
      <x:c r="D8" s="24" t="n">
        <x:v>2600.2</x:v>
      </x:c>
      <x:c r="E8" s="24" t="n">
        <x:v>2571</x:v>
      </x:c>
      <x:c r="F8" s="24" t="n">
        <x:f>ROUND(D8-E8,1)</x:f>
        <x:v>29.2</x:v>
      </x:c>
      <x:c r="G8" s="23" t="str">
        <x:v>IH2503</x:v>
      </x:c>
    </x:row>
    <x:row r="9">
      <x:c r="A9" s="23" t="n">
        <x:v>5</x:v>
      </x:c>
      <x:c r="B9" s="23" t="str">
        <x:v>周三</x:v>
      </x:c>
      <x:c r="C9" s="23" t="str">
        <x:v>1月8日</x:v>
      </x:c>
      <x:c r="D9" s="24" t="n">
        <x:v>2618</x:v>
      </x:c>
      <x:c r="E9" s="24" t="n">
        <x:v>2566.2</x:v>
      </x:c>
      <x:c r="F9" s="24" t="n">
        <x:f>ROUND(D9-E9,1)</x:f>
        <x:v>51.8</x:v>
      </x:c>
      <x:c r="G9" s="23" t="str">
        <x:v>IH2503</x:v>
      </x:c>
    </x:row>
    <x:row r="10">
      <x:c r="A10" s="23" t="n">
        <x:v>6</x:v>
      </x:c>
      <x:c r="B10" s="23" t="str">
        <x:v>周四</x:v>
      </x:c>
      <x:c r="C10" s="23" t="str">
        <x:v>1月9日</x:v>
      </x:c>
      <x:c r="D10" s="24" t="n">
        <x:v>2601.2</x:v>
      </x:c>
      <x:c r="E10" s="24" t="n">
        <x:v>2575.2</x:v>
      </x:c>
      <x:c r="F10" s="24" t="n">
        <x:f>ROUND(D10-E10,1)</x:f>
        <x:v>26</x:v>
      </x:c>
      <x:c r="G10" s="23" t="str">
        <x:v>IH2503</x:v>
      </x:c>
    </x:row>
    <x:row r="11">
      <x:c r="A11" s="23" t="n">
        <x:v>7</x:v>
      </x:c>
      <x:c r="B11" s="23" t="str">
        <x:v>周五</x:v>
      </x:c>
      <x:c r="C11" s="23" t="str">
        <x:v>1月10日</x:v>
      </x:c>
      <x:c r="D11" s="24" t="n">
        <x:v>2599.6</x:v>
      </x:c>
      <x:c r="E11" s="24" t="n">
        <x:v>2561</x:v>
      </x:c>
      <x:c r="F11" s="24" t="n">
        <x:f>ROUND(D11-E11,1)</x:f>
        <x:v>38.6</x:v>
      </x:c>
      <x:c r="G11" s="23" t="str">
        <x:v>IH2503</x:v>
      </x:c>
    </x:row>
    <x:row r="12">
      <x:c r="A12" s="23" t="n">
        <x:v>8</x:v>
      </x:c>
      <x:c r="B12" s="23" t="str">
        <x:v>周一</x:v>
      </x:c>
      <x:c r="C12" s="23" t="str">
        <x:v>1月13日</x:v>
      </x:c>
      <x:c r="D12" s="24" t="n">
        <x:v>2565.8</x:v>
      </x:c>
      <x:c r="E12" s="24" t="n">
        <x:v>2535</x:v>
      </x:c>
      <x:c r="F12" s="24" t="n">
        <x:f>ROUND(D12-E12,1)</x:f>
        <x:v>30.8</x:v>
      </x:c>
      <x:c r="G12" s="23" t="str">
        <x:v>IH2503</x:v>
      </x:c>
    </x:row>
    <x:row r="13">
      <x:c r="A13" s="23" t="n">
        <x:v>9</x:v>
      </x:c>
      <x:c r="B13" s="23" t="str">
        <x:v>周二</x:v>
      </x:c>
      <x:c r="C13" s="23" t="str">
        <x:v>1月14日</x:v>
      </x:c>
      <x:c r="D13" s="24" t="n">
        <x:v>2614.2</x:v>
      </x:c>
      <x:c r="E13" s="24" t="n">
        <x:v>2555.2</x:v>
      </x:c>
      <x:c r="F13" s="24" t="n">
        <x:f>ROUND(D13-E13,1)</x:f>
        <x:v>59</x:v>
      </x:c>
      <x:c r="G13" s="23" t="str">
        <x:v>IH2503</x:v>
      </x:c>
    </x:row>
    <x:row r="14">
      <x:c r="A14" s="23" t="n">
        <x:v>10</x:v>
      </x:c>
      <x:c r="B14" s="23" t="str">
        <x:v>周三</x:v>
      </x:c>
      <x:c r="C14" s="23" t="str">
        <x:v>1月15日</x:v>
      </x:c>
      <x:c r="D14" s="24" t="n">
        <x:v>2608.8</x:v>
      </x:c>
      <x:c r="E14" s="24" t="n">
        <x:v>2589</x:v>
      </x:c>
      <x:c r="F14" s="24" t="n">
        <x:f>ROUND(D14-E14,1)</x:f>
        <x:v>19.8</x:v>
      </x:c>
      <x:c r="G14" s="23" t="str">
        <x:v>IH2503</x:v>
      </x:c>
    </x:row>
    <x:row r="15">
      <x:c r="A15" s="23" t="n">
        <x:v>11</x:v>
      </x:c>
      <x:c r="B15" s="23" t="str">
        <x:v>周四</x:v>
      </x:c>
      <x:c r="C15" s="23" t="str">
        <x:v>1月16日</x:v>
      </x:c>
      <x:c r="D15" s="24" t="n">
        <x:v>2623</x:v>
      </x:c>
      <x:c r="E15" s="24" t="n">
        <x:v>2573.6</x:v>
      </x:c>
      <x:c r="F15" s="24" t="n">
        <x:f>ROUND(D15-E15,1)</x:f>
        <x:v>49.4</x:v>
      </x:c>
      <x:c r="G15" s="23" t="str">
        <x:v>IH2503</x:v>
      </x:c>
    </x:row>
    <x:row r="16">
      <x:c r="A16" s="29" t="n">
        <x:v>12</x:v>
      </x:c>
      <x:c r="B16" s="29" t="str">
        <x:v>周五</x:v>
      </x:c>
      <x:c r="C16" s="29" t="str">
        <x:v>1月17日</x:v>
      </x:c>
      <x:c r="D16" s="30" t="n">
        <x:v>2602.6</x:v>
      </x:c>
      <x:c r="E16" s="30" t="n">
        <x:v>2564.2</x:v>
      </x:c>
      <x:c r="F16" s="30" t="n">
        <x:f>ROUND(D16-E16,1)</x:f>
        <x:v>38.4</x:v>
      </x:c>
      <x:c r="G16" s="29" t="str">
        <x:v>IH2503</x:v>
      </x:c>
    </x:row>
    <x:row r="17">
      <x:c r="A17" s="23" t="n">
        <x:v>13</x:v>
      </x:c>
      <x:c r="B17" s="23" t="str">
        <x:v>周一</x:v>
      </x:c>
      <x:c r="C17" s="23" t="str">
        <x:v>1月20日</x:v>
      </x:c>
      <x:c r="D17" s="24" t="n">
        <x:v>2616.6</x:v>
      </x:c>
      <x:c r="E17" s="24" t="n">
        <x:v>2587.2</x:v>
      </x:c>
      <x:c r="F17" s="24" t="n">
        <x:f>ROUND(D17-E17,1)</x:f>
        <x:v>29.4</x:v>
      </x:c>
      <x:c r="G17" s="23" t="str">
        <x:v>IH2503</x:v>
      </x:c>
    </x:row>
    <x:row r="18">
      <x:c r="A18" s="23" t="n">
        <x:v>14</x:v>
      </x:c>
      <x:c r="B18" s="23" t="str">
        <x:v>周二</x:v>
      </x:c>
      <x:c r="C18" s="23" t="str">
        <x:v>1月21日</x:v>
      </x:c>
      <x:c r="D18" s="24" t="n">
        <x:v>2604.4</x:v>
      </x:c>
      <x:c r="E18" s="24" t="n">
        <x:v>2581.8</x:v>
      </x:c>
      <x:c r="F18" s="24" t="n">
        <x:f>ROUND(D18-E18,1)</x:f>
        <x:v>22.6</x:v>
      </x:c>
      <x:c r="G18" s="23" t="str">
        <x:v>IH2503</x:v>
      </x:c>
    </x:row>
    <x:row r="19">
      <x:c r="A19" s="23" t="n">
        <x:v>15</x:v>
      </x:c>
      <x:c r="B19" s="23" t="str">
        <x:v>周三</x:v>
      </x:c>
      <x:c r="C19" s="23" t="str">
        <x:v>1月22日</x:v>
      </x:c>
      <x:c r="D19" s="24" t="n">
        <x:v>2586</x:v>
      </x:c>
      <x:c r="E19" s="24" t="n">
        <x:v>2542.2</x:v>
      </x:c>
      <x:c r="F19" s="24" t="n">
        <x:f>ROUND(D19-E19,1)</x:f>
        <x:v>43.8</x:v>
      </x:c>
      <x:c r="G19" s="23" t="str">
        <x:v>IH2503</x:v>
      </x:c>
    </x:row>
    <x:row r="20">
      <x:c r="A20" s="23" t="n">
        <x:v>16</x:v>
      </x:c>
      <x:c r="B20" s="23" t="str">
        <x:v>周四</x:v>
      </x:c>
      <x:c r="C20" s="23" t="str">
        <x:v>1月23日</x:v>
      </x:c>
      <x:c r="D20" s="24" t="n">
        <x:v>2616.2</x:v>
      </x:c>
      <x:c r="E20" s="24" t="n">
        <x:v>2564.6</x:v>
      </x:c>
      <x:c r="F20" s="24" t="n">
        <x:f>ROUND(D20-E20,1)</x:f>
        <x:v>51.6</x:v>
      </x:c>
      <x:c r="G20" s="23" t="str">
        <x:v>IH2503</x:v>
      </x:c>
    </x:row>
    <x:row r="21">
      <x:c r="A21" s="23" t="n">
        <x:v>17</x:v>
      </x:c>
      <x:c r="B21" s="23" t="str">
        <x:v>周五</x:v>
      </x:c>
      <x:c r="C21" s="23" t="str">
        <x:v>1月24日</x:v>
      </x:c>
      <x:c r="D21" s="24" t="n">
        <x:v>2607</x:v>
      </x:c>
      <x:c r="E21" s="24" t="n">
        <x:v>2566.6</x:v>
      </x:c>
      <x:c r="F21" s="24" t="n">
        <x:f>ROUND(D21-E21,1)</x:f>
        <x:v>40.4</x:v>
      </x:c>
      <x:c r="G21" s="23" t="str">
        <x:v>IH2503</x:v>
      </x:c>
    </x:row>
    <x:row r="22">
      <x:c r="A22" s="23" t="n">
        <x:v>18</x:v>
      </x:c>
      <x:c r="B22" s="23" t="str">
        <x:v>周一</x:v>
      </x:c>
      <x:c r="C22" s="23" t="str">
        <x:v>1月27日</x:v>
      </x:c>
      <x:c r="D22" s="24" t="n">
        <x:v>2603.8</x:v>
      </x:c>
      <x:c r="E22" s="24" t="n">
        <x:v>2568</x:v>
      </x:c>
      <x:c r="F22" s="24" t="n">
        <x:f>ROUND(D22-E22,1)</x:f>
        <x:v>35.8</x:v>
      </x:c>
      <x:c r="G22" s="23" t="str">
        <x:v>IH2503</x:v>
      </x:c>
    </x:row>
    <x:row r="23">
      <x:c r="A23" s="33" t="str">
        <x:v>合计</x:v>
      </x:c>
      <x:c r="B23" s="32" t="n">
        <x:v>18</x:v>
      </x:c>
      <x:c r="C23" s="32"/>
      <x:c r="D23" s="32"/>
      <x:c r="E23" s="32"/>
      <x:c r="F23" s="34" t="n">
        <x:f>ROUND(SUM(F5:F22),1)</x:f>
        <x:v>754</x:v>
      </x:c>
      <x:c r="G23" s="32"/>
    </x:row>
    <x:row r="24">
      <x:c r="A24" s="33" t="str">
        <x:v>均值</x:v>
      </x:c>
      <x:c r="B24" s="32"/>
      <x:c r="C24" s="32"/>
      <x:c r="D24" s="32"/>
      <x:c r="E24" s="32"/>
      <x:c r="F24" s="36" t="n">
        <x:f>ROUND(IFERROR(AVERAGE(F5:F22),0),1)</x:f>
        <x:v>41.9</x:v>
      </x:c>
      <x:c r="G24" s="32"/>
    </x:row>
    <x:row r="26">
      <x:c r="A26" s="17" t="str">
        <x:v>2月</x:v>
      </x:c>
      <x:c r="B26" s="17"/>
      <x:c r="C26" s="17"/>
      <x:c r="D26" s="17"/>
      <x:c r="E26" s="17"/>
      <x:c r="F26" s="17"/>
      <x:c r="G26" s="17"/>
    </x:row>
    <x:row r="27">
      <x:c r="A27" s="20" t="str">
        <x:v>序号</x:v>
      </x:c>
      <x:c r="B27" s="20" t="str">
        <x:v>星期</x:v>
      </x:c>
      <x:c r="C27" s="20" t="str">
        <x:v>日期</x:v>
      </x:c>
      <x:c r="D27" s="20" t="str">
        <x:v>高点</x:v>
      </x:c>
      <x:c r="E27" s="20" t="str">
        <x:v>低点</x:v>
      </x:c>
      <x:c r="F27" s="20" t="str">
        <x:v>振幅</x:v>
      </x:c>
      <x:c r="G27" s="20" t="str">
        <x:v>标的</x:v>
      </x:c>
    </x:row>
    <x:row r="28">
      <x:c r="A28" s="23" t="n">
        <x:v>1</x:v>
      </x:c>
      <x:c r="B28" s="23" t="str">
        <x:v>周三</x:v>
      </x:c>
      <x:c r="C28" s="23" t="str">
        <x:v>2月5日</x:v>
      </x:c>
      <x:c r="D28" s="24" t="n">
        <x:v>2593</x:v>
      </x:c>
      <x:c r="E28" s="24" t="n">
        <x:v>2552.6</x:v>
      </x:c>
      <x:c r="F28" s="24" t="n">
        <x:f>ROUND(D28-E28,1)</x:f>
        <x:v>40.4</x:v>
      </x:c>
      <x:c r="G28" s="23" t="str">
        <x:v>IH2503</x:v>
      </x:c>
    </x:row>
    <x:row r="29">
      <x:c r="A29" s="23" t="n">
        <x:v>2</x:v>
      </x:c>
      <x:c r="B29" s="23" t="str">
        <x:v>周四</x:v>
      </x:c>
      <x:c r="C29" s="23" t="str">
        <x:v>2月6日</x:v>
      </x:c>
      <x:c r="D29" s="24" t="n">
        <x:v>2593</x:v>
      </x:c>
      <x:c r="E29" s="24" t="n">
        <x:v>2555.6</x:v>
      </x:c>
      <x:c r="F29" s="24" t="n">
        <x:f>ROUND(D29-E29,1)</x:f>
        <x:v>37.4</x:v>
      </x:c>
      <x:c r="G29" s="23" t="str">
        <x:v>IH2503</x:v>
      </x:c>
    </x:row>
    <x:row r="30">
      <x:c r="A30" s="23" t="n">
        <x:v>3</x:v>
      </x:c>
      <x:c r="B30" s="23" t="str">
        <x:v>周五</x:v>
      </x:c>
      <x:c r="C30" s="23" t="str">
        <x:v>2月7日</x:v>
      </x:c>
      <x:c r="D30" s="24" t="n">
        <x:v>2635.4</x:v>
      </x:c>
      <x:c r="E30" s="24" t="n">
        <x:v>2573.6</x:v>
      </x:c>
      <x:c r="F30" s="26" t="n">
        <x:f>ROUND(D30-E30,1)</x:f>
        <x:v>61.8</x:v>
      </x:c>
      <x:c r="G30" s="23" t="str">
        <x:v>IH2503</x:v>
      </x:c>
    </x:row>
    <x:row r="31">
      <x:c r="A31" s="23" t="n">
        <x:v>4</x:v>
      </x:c>
      <x:c r="B31" s="23" t="str">
        <x:v>周一</x:v>
      </x:c>
      <x:c r="C31" s="23" t="str">
        <x:v>2月10日</x:v>
      </x:c>
      <x:c r="D31" s="24" t="n">
        <x:v>2635.4</x:v>
      </x:c>
      <x:c r="E31" s="24" t="n">
        <x:v>2611</x:v>
      </x:c>
      <x:c r="F31" s="24" t="n">
        <x:f>ROUND(D31-E31,1)</x:f>
        <x:v>24.4</x:v>
      </x:c>
      <x:c r="G31" s="23" t="str">
        <x:v>IH2503</x:v>
      </x:c>
    </x:row>
    <x:row r="32">
      <x:c r="A32" s="23" t="n">
        <x:v>5</x:v>
      </x:c>
      <x:c r="B32" s="23" t="str">
        <x:v>周二</x:v>
      </x:c>
      <x:c r="C32" s="23" t="str">
        <x:v>2月11日</x:v>
      </x:c>
      <x:c r="D32" s="24" t="n">
        <x:v>2632.4</x:v>
      </x:c>
      <x:c r="E32" s="24" t="n">
        <x:v>2609</x:v>
      </x:c>
      <x:c r="F32" s="24" t="n">
        <x:f>ROUND(D32-E32,1)</x:f>
        <x:v>23.4</x:v>
      </x:c>
      <x:c r="G32" s="23" t="str">
        <x:v>IH2503</x:v>
      </x:c>
    </x:row>
    <x:row r="33">
      <x:c r="A33" s="23" t="n">
        <x:v>6</x:v>
      </x:c>
      <x:c r="B33" s="23" t="str">
        <x:v>周三</x:v>
      </x:c>
      <x:c r="C33" s="23" t="str">
        <x:v>2月12日</x:v>
      </x:c>
      <x:c r="D33" s="24" t="n">
        <x:v>2652</x:v>
      </x:c>
      <x:c r="E33" s="24" t="n">
        <x:v>2610.6</x:v>
      </x:c>
      <x:c r="F33" s="24" t="n">
        <x:f>ROUND(D33-E33,1)</x:f>
        <x:v>41.4</x:v>
      </x:c>
      <x:c r="G33" s="23" t="str">
        <x:v>IH2503</x:v>
      </x:c>
    </x:row>
    <x:row r="34">
      <x:c r="A34" s="23" t="n">
        <x:v>7</x:v>
      </x:c>
      <x:c r="B34" s="23" t="str">
        <x:v>周四</x:v>
      </x:c>
      <x:c r="C34" s="23" t="str">
        <x:v>2月13日</x:v>
      </x:c>
      <x:c r="D34" s="24" t="n">
        <x:v>2671.2</x:v>
      </x:c>
      <x:c r="E34" s="24" t="n">
        <x:v>2638</x:v>
      </x:c>
      <x:c r="F34" s="24" t="n">
        <x:f>ROUND(D34-E34,1)</x:f>
        <x:v>33.2</x:v>
      </x:c>
      <x:c r="G34" s="23" t="str">
        <x:v>IH2503</x:v>
      </x:c>
    </x:row>
    <x:row r="35">
      <x:c r="A35" s="23" t="n">
        <x:v>8</x:v>
      </x:c>
      <x:c r="B35" s="23" t="str">
        <x:v>周五</x:v>
      </x:c>
      <x:c r="C35" s="23" t="str">
        <x:v>2月14日</x:v>
      </x:c>
      <x:c r="D35" s="24" t="n">
        <x:v>2671</x:v>
      </x:c>
      <x:c r="E35" s="24" t="n">
        <x:v>2640.2</x:v>
      </x:c>
      <x:c r="F35" s="24" t="n">
        <x:f>ROUND(D35-E35,1)</x:f>
        <x:v>30.8</x:v>
      </x:c>
      <x:c r="G35" s="23" t="str">
        <x:v>IH2503</x:v>
      </x:c>
    </x:row>
    <x:row r="36">
      <x:c r="A36" s="23" t="n">
        <x:v>9</x:v>
      </x:c>
      <x:c r="B36" s="23" t="str">
        <x:v>周一</x:v>
      </x:c>
      <x:c r="C36" s="23" t="str">
        <x:v>2月17日</x:v>
      </x:c>
      <x:c r="D36" s="24" t="n">
        <x:v>2679.4</x:v>
      </x:c>
      <x:c r="E36" s="24" t="n">
        <x:v>2648</x:v>
      </x:c>
      <x:c r="F36" s="24" t="n">
        <x:f>ROUND(D36-E36,1)</x:f>
        <x:v>31.4</x:v>
      </x:c>
      <x:c r="G36" s="23" t="str">
        <x:v>IH2503</x:v>
      </x:c>
    </x:row>
    <x:row r="37">
      <x:c r="A37" s="23" t="n">
        <x:v>10</x:v>
      </x:c>
      <x:c r="B37" s="23" t="str">
        <x:v>周二</x:v>
      </x:c>
      <x:c r="C37" s="23" t="str">
        <x:v>2月18日</x:v>
      </x:c>
      <x:c r="D37" s="24" t="n">
        <x:v>2681.6</x:v>
      </x:c>
      <x:c r="E37" s="24" t="n">
        <x:v>2645</x:v>
      </x:c>
      <x:c r="F37" s="24" t="n">
        <x:f>ROUND(D37-E37,1)</x:f>
        <x:v>36.6</x:v>
      </x:c>
      <x:c r="G37" s="23" t="str">
        <x:v>IH2503</x:v>
      </x:c>
    </x:row>
    <x:row r="38">
      <x:c r="A38" s="23" t="n">
        <x:v>11</x:v>
      </x:c>
      <x:c r="B38" s="23" t="str">
        <x:v>周三</x:v>
      </x:c>
      <x:c r="C38" s="23" t="str">
        <x:v>2月19日</x:v>
      </x:c>
      <x:c r="D38" s="24" t="n">
        <x:v>2680.8</x:v>
      </x:c>
      <x:c r="E38" s="24" t="n">
        <x:v>2647.4</x:v>
      </x:c>
      <x:c r="F38" s="24" t="n">
        <x:f>ROUND(D38-E38,1)</x:f>
        <x:v>33.4</x:v>
      </x:c>
      <x:c r="G38" s="23" t="str">
        <x:v>IH2503</x:v>
      </x:c>
    </x:row>
    <x:row r="39">
      <x:c r="A39" s="23" t="n">
        <x:v>12</x:v>
      </x:c>
      <x:c r="B39" s="23" t="str">
        <x:v>周四</x:v>
      </x:c>
      <x:c r="C39" s="23" t="str">
        <x:v>2月20日</x:v>
      </x:c>
      <x:c r="D39" s="24" t="n">
        <x:v>2663.4</x:v>
      </x:c>
      <x:c r="E39" s="24" t="n">
        <x:v>2642.8</x:v>
      </x:c>
      <x:c r="F39" s="24" t="n">
        <x:f>ROUND(D39-E39,1)</x:f>
        <x:v>20.6</x:v>
      </x:c>
      <x:c r="G39" s="23" t="str">
        <x:v>IH2503</x:v>
      </x:c>
    </x:row>
    <x:row r="40">
      <x:c r="A40" s="29" t="n">
        <x:v>13</x:v>
      </x:c>
      <x:c r="B40" s="29" t="str">
        <x:v>周五</x:v>
      </x:c>
      <x:c r="C40" s="29" t="str">
        <x:v>2月21日</x:v>
      </x:c>
      <x:c r="D40" s="30" t="n">
        <x:v>2695.2</x:v>
      </x:c>
      <x:c r="E40" s="30" t="n">
        <x:v>2652</x:v>
      </x:c>
      <x:c r="F40" s="30" t="n">
        <x:f>ROUND(D40-E40,1)</x:f>
        <x:v>43.2</x:v>
      </x:c>
      <x:c r="G40" s="29" t="str">
        <x:v>IH2503</x:v>
      </x:c>
    </x:row>
    <x:row r="41">
      <x:c r="A41" s="23" t="n">
        <x:v>14</x:v>
      </x:c>
      <x:c r="B41" s="23" t="str">
        <x:v>周一</x:v>
      </x:c>
      <x:c r="C41" s="23" t="str">
        <x:v>2月24日</x:v>
      </x:c>
      <x:c r="D41" s="24" t="n">
        <x:v>2695</x:v>
      </x:c>
      <x:c r="E41" s="24" t="n">
        <x:v>2661.4</x:v>
      </x:c>
      <x:c r="F41" s="24" t="n">
        <x:f>ROUND(D41-E41,1)</x:f>
        <x:v>33.6</x:v>
      </x:c>
      <x:c r="G41" s="23" t="str">
        <x:v>IH2503</x:v>
      </x:c>
    </x:row>
    <x:row r="42">
      <x:c r="A42" s="23" t="n">
        <x:v>15</x:v>
      </x:c>
      <x:c r="B42" s="23" t="str">
        <x:v>周二</x:v>
      </x:c>
      <x:c r="C42" s="23" t="str">
        <x:v>2月25日</x:v>
      </x:c>
      <x:c r="D42" s="24" t="n">
        <x:v>2666.8</x:v>
      </x:c>
      <x:c r="E42" s="24" t="n">
        <x:v>2636.2</x:v>
      </x:c>
      <x:c r="F42" s="24" t="n">
        <x:f>ROUND(D42-E42,1)</x:f>
        <x:v>30.6</x:v>
      </x:c>
      <x:c r="G42" s="23" t="str">
        <x:v>IH2503</x:v>
      </x:c>
    </x:row>
    <x:row r="43">
      <x:c r="A43" s="23" t="n">
        <x:v>16</x:v>
      </x:c>
      <x:c r="B43" s="23" t="str">
        <x:v>周三</x:v>
      </x:c>
      <x:c r="C43" s="23" t="str">
        <x:v>2月26日</x:v>
      </x:c>
      <x:c r="D43" s="24" t="n">
        <x:v>2671.8</x:v>
      </x:c>
      <x:c r="E43" s="24" t="n">
        <x:v>2646</x:v>
      </x:c>
      <x:c r="F43" s="24" t="n">
        <x:f>ROUND(D43-E43,1)</x:f>
        <x:v>25.8</x:v>
      </x:c>
      <x:c r="G43" s="23" t="str">
        <x:v>IH2503</x:v>
      </x:c>
    </x:row>
    <x:row r="44">
      <x:c r="A44" s="23" t="n">
        <x:v>17</x:v>
      </x:c>
      <x:c r="B44" s="23" t="str">
        <x:v>周四</x:v>
      </x:c>
      <x:c r="C44" s="23" t="str">
        <x:v>2月27日</x:v>
      </x:c>
      <x:c r="D44" s="24" t="n">
        <x:v>2686.6</x:v>
      </x:c>
      <x:c r="E44" s="24" t="n">
        <x:v>2656</x:v>
      </x:c>
      <x:c r="F44" s="24" t="n">
        <x:f>ROUND(D44-E44,1)</x:f>
        <x:v>30.6</x:v>
      </x:c>
      <x:c r="G44" s="23" t="str">
        <x:v>IH2503</x:v>
      </x:c>
    </x:row>
    <x:row r="45">
      <x:c r="A45" s="23" t="n">
        <x:v>18</x:v>
      </x:c>
      <x:c r="B45" s="23" t="str">
        <x:v>周五</x:v>
      </x:c>
      <x:c r="C45" s="23" t="str">
        <x:v>2月28日</x:v>
      </x:c>
      <x:c r="D45" s="24" t="n">
        <x:v>2693.8</x:v>
      </x:c>
      <x:c r="E45" s="24" t="n">
        <x:v>2640.6</x:v>
      </x:c>
      <x:c r="F45" s="24" t="n">
        <x:f>ROUND(D45-E45,1)</x:f>
        <x:v>53.2</x:v>
      </x:c>
      <x:c r="G45" s="23" t="str">
        <x:v>IH2503</x:v>
      </x:c>
    </x:row>
    <x:row r="46">
      <x:c r="A46" s="33" t="str">
        <x:v>合计</x:v>
      </x:c>
      <x:c r="B46" s="32" t="n">
        <x:v>18</x:v>
      </x:c>
      <x:c r="C46" s="32"/>
      <x:c r="D46" s="32"/>
      <x:c r="E46" s="32"/>
      <x:c r="F46" s="34" t="n">
        <x:f>ROUND(SUM(F28:F45),1)</x:f>
        <x:v>631.8</x:v>
      </x:c>
      <x:c r="G46" s="32"/>
    </x:row>
    <x:row r="47">
      <x:c r="A47" s="33" t="str">
        <x:v>均值</x:v>
      </x:c>
      <x:c r="B47" s="32"/>
      <x:c r="C47" s="32"/>
      <x:c r="D47" s="32"/>
      <x:c r="E47" s="32"/>
      <x:c r="F47" s="36" t="n">
        <x:f>ROUND(IFERROR(AVERAGE(F28:F45),0),1)</x:f>
        <x:v>35.1</x:v>
      </x:c>
      <x:c r="G47" s="32"/>
    </x:row>
    <x:row r="49">
      <x:c r="A49" s="17" t="str">
        <x:v>3月</x:v>
      </x:c>
      <x:c r="B49" s="17"/>
      <x:c r="C49" s="17"/>
      <x:c r="D49" s="17"/>
      <x:c r="E49" s="17"/>
      <x:c r="F49" s="17"/>
      <x:c r="G49" s="17"/>
    </x:row>
    <x:row r="50">
      <x:c r="A50" s="20" t="str">
        <x:v>序号</x:v>
      </x:c>
      <x:c r="B50" s="20" t="str">
        <x:v>星期</x:v>
      </x:c>
      <x:c r="C50" s="20" t="str">
        <x:v>日期</x:v>
      </x:c>
      <x:c r="D50" s="20" t="str">
        <x:v>高点</x:v>
      </x:c>
      <x:c r="E50" s="20" t="str">
        <x:v>低点</x:v>
      </x:c>
      <x:c r="F50" s="20" t="str">
        <x:v>振幅</x:v>
      </x:c>
      <x:c r="G50" s="20" t="str">
        <x:v>标的</x:v>
      </x:c>
    </x:row>
    <x:row r="51">
      <x:c r="A51" s="23" t="n">
        <x:v>1</x:v>
      </x:c>
      <x:c r="B51" s="23" t="str">
        <x:v>周一</x:v>
      </x:c>
      <x:c r="C51" s="23" t="str">
        <x:v>3月3日</x:v>
      </x:c>
      <x:c r="D51" s="24" t="n">
        <x:v>2660</x:v>
      </x:c>
      <x:c r="E51" s="24" t="n">
        <x:v>2618.8</x:v>
      </x:c>
      <x:c r="F51" s="24" t="n">
        <x:f>ROUND(D51-E51,1)</x:f>
        <x:v>41.2</x:v>
      </x:c>
      <x:c r="G51" s="23" t="str">
        <x:v>IH2503</x:v>
      </x:c>
    </x:row>
    <x:row r="52">
      <x:c r="A52" s="23" t="n">
        <x:v>2</x:v>
      </x:c>
      <x:c r="B52" s="23" t="str">
        <x:v>周二</x:v>
      </x:c>
      <x:c r="C52" s="23" t="str">
        <x:v>3月4日</x:v>
      </x:c>
      <x:c r="D52" s="24" t="n">
        <x:v>2628</x:v>
      </x:c>
      <x:c r="E52" s="24" t="n">
        <x:v>2609.6</x:v>
      </x:c>
      <x:c r="F52" s="24" t="n">
        <x:f>ROUND(D52-E52,1)</x:f>
        <x:v>18.4</x:v>
      </x:c>
      <x:c r="G52" s="23" t="str">
        <x:v>IH2503</x:v>
      </x:c>
    </x:row>
    <x:row r="53">
      <x:c r="A53" s="23" t="n">
        <x:v>3</x:v>
      </x:c>
      <x:c r="B53" s="23" t="str">
        <x:v>周三</x:v>
      </x:c>
      <x:c r="C53" s="23" t="str">
        <x:v>3月5日</x:v>
      </x:c>
      <x:c r="D53" s="24" t="n">
        <x:v>2643.2</x:v>
      </x:c>
      <x:c r="E53" s="24" t="n">
        <x:v>2617</x:v>
      </x:c>
      <x:c r="F53" s="24" t="n">
        <x:f>ROUND(D53-E53,1)</x:f>
        <x:v>26.2</x:v>
      </x:c>
      <x:c r="G53" s="23" t="str">
        <x:v>IH2503</x:v>
      </x:c>
    </x:row>
    <x:row r="54">
      <x:c r="A54" s="23" t="n">
        <x:v>4</x:v>
      </x:c>
      <x:c r="B54" s="23" t="str">
        <x:v>周四</x:v>
      </x:c>
      <x:c r="C54" s="23" t="str">
        <x:v>3月6日</x:v>
      </x:c>
      <x:c r="D54" s="24" t="n">
        <x:v>2695.4</x:v>
      </x:c>
      <x:c r="E54" s="24" t="n">
        <x:v>2650</x:v>
      </x:c>
      <x:c r="F54" s="24" t="n">
        <x:f>ROUND(D54-E54,1)</x:f>
        <x:v>45.4</x:v>
      </x:c>
      <x:c r="G54" s="23" t="str">
        <x:v>IH2503</x:v>
      </x:c>
    </x:row>
    <x:row r="55">
      <x:c r="A55" s="23" t="n">
        <x:v>5</x:v>
      </x:c>
      <x:c r="B55" s="23" t="str">
        <x:v>周五</x:v>
      </x:c>
      <x:c r="C55" s="23" t="str">
        <x:v>3月7日</x:v>
      </x:c>
      <x:c r="D55" s="24" t="n">
        <x:v>2697</x:v>
      </x:c>
      <x:c r="E55" s="24" t="n">
        <x:v>2675</x:v>
      </x:c>
      <x:c r="F55" s="24" t="n">
        <x:f>ROUND(D55-E55,1)</x:f>
        <x:v>22</x:v>
      </x:c>
      <x:c r="G55" s="23" t="str">
        <x:v>IH2503</x:v>
      </x:c>
    </x:row>
    <x:row r="56">
      <x:c r="A56" s="23" t="n">
        <x:v>6</x:v>
      </x:c>
      <x:c r="B56" s="23" t="str">
        <x:v>周一</x:v>
      </x:c>
      <x:c r="C56" s="23" t="str">
        <x:v>3月10日</x:v>
      </x:c>
      <x:c r="D56" s="24" t="n">
        <x:v>2683</x:v>
      </x:c>
      <x:c r="E56" s="24" t="n">
        <x:v>2647.6</x:v>
      </x:c>
      <x:c r="F56" s="24" t="n">
        <x:f>ROUND(D56-E56,1)</x:f>
        <x:v>35.4</x:v>
      </x:c>
      <x:c r="G56" s="23" t="str">
        <x:v>IH2503</x:v>
      </x:c>
    </x:row>
    <x:row r="57">
      <x:c r="A57" s="23" t="n">
        <x:v>7</x:v>
      </x:c>
      <x:c r="B57" s="23" t="str">
        <x:v>周二</x:v>
      </x:c>
      <x:c r="C57" s="23" t="str">
        <x:v>3月11日</x:v>
      </x:c>
      <x:c r="D57" s="24" t="n">
        <x:v>2676</x:v>
      </x:c>
      <x:c r="E57" s="24" t="n">
        <x:v>2642</x:v>
      </x:c>
      <x:c r="F57" s="24" t="n">
        <x:f>ROUND(D57-E57,1)</x:f>
        <x:v>34</x:v>
      </x:c>
      <x:c r="G57" s="23" t="str">
        <x:v>IH2503</x:v>
      </x:c>
    </x:row>
    <x:row r="58">
      <x:c r="A58" s="23" t="n">
        <x:v>8</x:v>
      </x:c>
      <x:c r="B58" s="23" t="str">
        <x:v>周三</x:v>
      </x:c>
      <x:c r="C58" s="23" t="str">
        <x:v>3月12日</x:v>
      </x:c>
      <x:c r="D58" s="24" t="n">
        <x:v>2685.8</x:v>
      </x:c>
      <x:c r="E58" s="24" t="n">
        <x:v>2662.6</x:v>
      </x:c>
      <x:c r="F58" s="24" t="n">
        <x:f>ROUND(D58-E58,1)</x:f>
        <x:v>23.2</x:v>
      </x:c>
      <x:c r="G58" s="23" t="str">
        <x:v>IH2503</x:v>
      </x:c>
    </x:row>
    <x:row r="59">
      <x:c r="A59" s="23" t="n">
        <x:v>9</x:v>
      </x:c>
      <x:c r="B59" s="23" t="str">
        <x:v>周四</x:v>
      </x:c>
      <x:c r="C59" s="23" t="str">
        <x:v>3月13日</x:v>
      </x:c>
      <x:c r="D59" s="24" t="n">
        <x:v>2683.8</x:v>
      </x:c>
      <x:c r="E59" s="24" t="n">
        <x:v>2651.2</x:v>
      </x:c>
      <x:c r="F59" s="24" t="n">
        <x:f>ROUND(D59-E59,1)</x:f>
        <x:v>32.6</x:v>
      </x:c>
      <x:c r="G59" s="23" t="str">
        <x:v>IH2503</x:v>
      </x:c>
    </x:row>
    <x:row r="60">
      <x:c r="A60" s="23" t="n">
        <x:v>10</x:v>
      </x:c>
      <x:c r="B60" s="23" t="str">
        <x:v>周五</x:v>
      </x:c>
      <x:c r="C60" s="23" t="str">
        <x:v>3月14日</x:v>
      </x:c>
      <x:c r="D60" s="24" t="n">
        <x:v>2757.6</x:v>
      </x:c>
      <x:c r="E60" s="24" t="n">
        <x:v>2671</x:v>
      </x:c>
      <x:c r="F60" s="26" t="n">
        <x:f>ROUND(D60-E60,1)</x:f>
        <x:v>86.6</x:v>
      </x:c>
      <x:c r="G60" s="23" t="str">
        <x:v>IH2503</x:v>
      </x:c>
    </x:row>
    <x:row r="61">
      <x:c r="A61" s="23" t="n">
        <x:v>11</x:v>
      </x:c>
      <x:c r="B61" s="23" t="str">
        <x:v>周一</x:v>
      </x:c>
      <x:c r="C61" s="23" t="str">
        <x:v>3月17日</x:v>
      </x:c>
      <x:c r="D61" s="24" t="n">
        <x:v>2760.4</x:v>
      </x:c>
      <x:c r="E61" s="24" t="n">
        <x:v>2734.4</x:v>
      </x:c>
      <x:c r="F61" s="24" t="n">
        <x:f>ROUND(D61-E61,1)</x:f>
        <x:v>26</x:v>
      </x:c>
      <x:c r="G61" s="23" t="str">
        <x:v>IH2503</x:v>
      </x:c>
    </x:row>
    <x:row r="62">
      <x:c r="A62" s="23" t="n">
        <x:v>12</x:v>
      </x:c>
      <x:c r="B62" s="23" t="str">
        <x:v>周二</x:v>
      </x:c>
      <x:c r="C62" s="23" t="str">
        <x:v>3月18日</x:v>
      </x:c>
      <x:c r="D62" s="24" t="n">
        <x:v>2753.8</x:v>
      </x:c>
      <x:c r="E62" s="24" t="n">
        <x:v>2738</x:v>
      </x:c>
      <x:c r="F62" s="24" t="n">
        <x:f>ROUND(D62-E62,1)</x:f>
        <x:v>15.8</x:v>
      </x:c>
      <x:c r="G62" s="23" t="str">
        <x:v>IH2503</x:v>
      </x:c>
    </x:row>
    <x:row r="63">
      <x:c r="A63" s="23" t="n">
        <x:v>13</x:v>
      </x:c>
      <x:c r="B63" s="23" t="str">
        <x:v>周三</x:v>
      </x:c>
      <x:c r="C63" s="23" t="str">
        <x:v>3月19日</x:v>
      </x:c>
      <x:c r="D63" s="24" t="n">
        <x:v>2760.6</x:v>
      </x:c>
      <x:c r="E63" s="24" t="n">
        <x:v>2733</x:v>
      </x:c>
      <x:c r="F63" s="24" t="n">
        <x:f>ROUND(D63-E63,1)</x:f>
        <x:v>27.6</x:v>
      </x:c>
      <x:c r="G63" s="23" t="str">
        <x:v>IH2503</x:v>
      </x:c>
    </x:row>
    <x:row r="64">
      <x:c r="A64" s="23" t="n">
        <x:v>14</x:v>
      </x:c>
      <x:c r="B64" s="23" t="str">
        <x:v>周四</x:v>
      </x:c>
      <x:c r="C64" s="23" t="str">
        <x:v>3月20日</x:v>
      </x:c>
      <x:c r="D64" s="24" t="n">
        <x:v>2751.8</x:v>
      </x:c>
      <x:c r="E64" s="24" t="n">
        <x:v>2711.4</x:v>
      </x:c>
      <x:c r="F64" s="24" t="n">
        <x:f>ROUND(D64-E64,1)</x:f>
        <x:v>40.4</x:v>
      </x:c>
      <x:c r="G64" s="23" t="str">
        <x:v>IH2503</x:v>
      </x:c>
    </x:row>
    <x:row r="65">
      <x:c r="A65" s="29" t="n">
        <x:v>15</x:v>
      </x:c>
      <x:c r="B65" s="29" t="str">
        <x:v>周五</x:v>
      </x:c>
      <x:c r="C65" s="29" t="str">
        <x:v>3月21日</x:v>
      </x:c>
      <x:c r="D65" s="30" t="n">
        <x:v>2722.4</x:v>
      </x:c>
      <x:c r="E65" s="30" t="n">
        <x:v>2675.6</x:v>
      </x:c>
      <x:c r="F65" s="30" t="n">
        <x:f>ROUND(D65-E65,1)</x:f>
        <x:v>46.8</x:v>
      </x:c>
      <x:c r="G65" s="29" t="str">
        <x:v>IH2503</x:v>
      </x:c>
    </x:row>
    <x:row r="66">
      <x:c r="A66" s="23" t="n">
        <x:v>16</x:v>
      </x:c>
      <x:c r="B66" s="23" t="str">
        <x:v>周一</x:v>
      </x:c>
      <x:c r="C66" s="23" t="str">
        <x:v>3月24日</x:v>
      </x:c>
      <x:c r="D66" s="24" t="n">
        <x:v>2692.6</x:v>
      </x:c>
      <x:c r="E66" s="24" t="n">
        <x:v>2672</x:v>
      </x:c>
      <x:c r="F66" s="24" t="n">
        <x:f>ROUND(D66-E66,1)</x:f>
        <x:v>20.6</x:v>
      </x:c>
      <x:c r="G66" s="23" t="str">
        <x:v>IH2506</x:v>
      </x:c>
    </x:row>
    <x:row r="67">
      <x:c r="A67" s="23" t="n">
        <x:v>17</x:v>
      </x:c>
      <x:c r="B67" s="23" t="str">
        <x:v>周二</x:v>
      </x:c>
      <x:c r="C67" s="23" t="str">
        <x:v>3月25日</x:v>
      </x:c>
      <x:c r="D67" s="24" t="n">
        <x:v>2694.2</x:v>
      </x:c>
      <x:c r="E67" s="24" t="n">
        <x:v>2681.2</x:v>
      </x:c>
      <x:c r="F67" s="24" t="n">
        <x:f>ROUND(D67-E67,1)</x:f>
        <x:v>13</x:v>
      </x:c>
      <x:c r="G67" s="23" t="str">
        <x:v>IH2506</x:v>
      </x:c>
    </x:row>
    <x:row r="68">
      <x:c r="A68" s="23" t="n">
        <x:v>18</x:v>
      </x:c>
      <x:c r="B68" s="23" t="str">
        <x:v>周三</x:v>
      </x:c>
      <x:c r="C68" s="23" t="str">
        <x:v>3月26日</x:v>
      </x:c>
      <x:c r="D68" s="24" t="n">
        <x:v>2697</x:v>
      </x:c>
      <x:c r="E68" s="24" t="n">
        <x:v>2672.8</x:v>
      </x:c>
      <x:c r="F68" s="24" t="n">
        <x:f>ROUND(D68-E68,1)</x:f>
        <x:v>24.2</x:v>
      </x:c>
      <x:c r="G68" s="23" t="str">
        <x:v>IH2506</x:v>
      </x:c>
    </x:row>
    <x:row r="69">
      <x:c r="A69" s="23" t="n">
        <x:v>19</x:v>
      </x:c>
      <x:c r="B69" s="23" t="str">
        <x:v>周四</x:v>
      </x:c>
      <x:c r="C69" s="23" t="str">
        <x:v>3月27日</x:v>
      </x:c>
      <x:c r="D69" s="24" t="n">
        <x:v>2707.6</x:v>
      </x:c>
      <x:c r="E69" s="24" t="n">
        <x:v>2673</x:v>
      </x:c>
      <x:c r="F69" s="24" t="n">
        <x:f>ROUND(D69-E69,1)</x:f>
        <x:v>34.6</x:v>
      </x:c>
      <x:c r="G69" s="23" t="str">
        <x:v>IH2506</x:v>
      </x:c>
    </x:row>
    <x:row r="70">
      <x:c r="A70" s="23" t="n">
        <x:v>20</x:v>
      </x:c>
      <x:c r="B70" s="23" t="str">
        <x:v>周五</x:v>
      </x:c>
      <x:c r="C70" s="23" t="str">
        <x:v>3月28日</x:v>
      </x:c>
      <x:c r="D70" s="24" t="n">
        <x:v>2695.2</x:v>
      </x:c>
      <x:c r="E70" s="24" t="n">
        <x:v>2668</x:v>
      </x:c>
      <x:c r="F70" s="24" t="n">
        <x:f>ROUND(D70-E70,1)</x:f>
        <x:v>27.2</x:v>
      </x:c>
      <x:c r="G70" s="23" t="str">
        <x:v>IH2506</x:v>
      </x:c>
    </x:row>
    <x:row r="71">
      <x:c r="A71" s="23" t="n">
        <x:v>21</x:v>
      </x:c>
      <x:c r="B71" s="23" t="str">
        <x:v>周一</x:v>
      </x:c>
      <x:c r="C71" s="23" t="str">
        <x:v>3月31日</x:v>
      </x:c>
      <x:c r="D71" s="24" t="n">
        <x:v>2693.4</x:v>
      </x:c>
      <x:c r="E71" s="24" t="n">
        <x:v>2652.8</x:v>
      </x:c>
      <x:c r="F71" s="24" t="n">
        <x:f>ROUND(D71-E71,1)</x:f>
        <x:v>40.6</x:v>
      </x:c>
      <x:c r="G71" s="23" t="str">
        <x:v>IH2506</x:v>
      </x:c>
    </x:row>
    <x:row r="72">
      <x:c r="A72" s="33" t="str">
        <x:v>合计</x:v>
      </x:c>
      <x:c r="B72" s="32" t="n">
        <x:v>21</x:v>
      </x:c>
      <x:c r="C72" s="32"/>
      <x:c r="D72" s="32"/>
      <x:c r="E72" s="32"/>
      <x:c r="F72" s="34" t="n">
        <x:f>ROUND(SUM(F51:F71),1)</x:f>
        <x:v>681.8</x:v>
      </x:c>
      <x:c r="G72" s="32"/>
    </x:row>
    <x:row r="73">
      <x:c r="A73" s="33" t="str">
        <x:v>均值</x:v>
      </x:c>
      <x:c r="B73" s="32"/>
      <x:c r="C73" s="32"/>
      <x:c r="D73" s="32"/>
      <x:c r="E73" s="32"/>
      <x:c r="F73" s="36" t="n">
        <x:f>ROUND(IFERROR(AVERAGE(F51:F71),0),1)</x:f>
        <x:v>32.5</x:v>
      </x:c>
      <x:c r="G73" s="32"/>
    </x:row>
    <x:row r="75">
      <x:c r="A75" s="17" t="str">
        <x:v>4月</x:v>
      </x:c>
      <x:c r="B75" s="17"/>
      <x:c r="C75" s="17"/>
      <x:c r="D75" s="17"/>
      <x:c r="E75" s="17"/>
      <x:c r="F75" s="17"/>
      <x:c r="G75" s="17"/>
    </x:row>
    <x:row r="76">
      <x:c r="A76" s="20" t="str">
        <x:v>序号</x:v>
      </x:c>
      <x:c r="B76" s="20" t="str">
        <x:v>星期</x:v>
      </x:c>
      <x:c r="C76" s="20" t="str">
        <x:v>日期</x:v>
      </x:c>
      <x:c r="D76" s="20" t="str">
        <x:v>高点</x:v>
      </x:c>
      <x:c r="E76" s="20" t="str">
        <x:v>低点</x:v>
      </x:c>
      <x:c r="F76" s="20" t="str">
        <x:v>振幅</x:v>
      </x:c>
      <x:c r="G76" s="20" t="str">
        <x:v>标的</x:v>
      </x:c>
    </x:row>
    <x:row r="77">
      <x:c r="A77" s="23" t="n">
        <x:v>1</x:v>
      </x:c>
      <x:c r="B77" s="23" t="str">
        <x:v>周二</x:v>
      </x:c>
      <x:c r="C77" s="23" t="str">
        <x:v>4月1日</x:v>
      </x:c>
      <x:c r="D77" s="24" t="n">
        <x:v>2675.6</x:v>
      </x:c>
      <x:c r="E77" s="24" t="n">
        <x:v>2658</x:v>
      </x:c>
      <x:c r="F77" s="24" t="n">
        <x:f>ROUND(D77-E77,1)</x:f>
        <x:v>17.6</x:v>
      </x:c>
      <x:c r="G77" s="23" t="str">
        <x:v>IH2506</x:v>
      </x:c>
    </x:row>
    <x:row r="78">
      <x:c r="A78" s="23" t="n">
        <x:v>2</x:v>
      </x:c>
      <x:c r="B78" s="23" t="str">
        <x:v>周三</x:v>
      </x:c>
      <x:c r="C78" s="23" t="str">
        <x:v>4月2日</x:v>
      </x:c>
      <x:c r="D78" s="24" t="n">
        <x:v>2669.8</x:v>
      </x:c>
      <x:c r="E78" s="24" t="n">
        <x:v>2651.4</x:v>
      </x:c>
      <x:c r="F78" s="24" t="n">
        <x:f>ROUND(D78-E78,1)</x:f>
        <x:v>18.4</x:v>
      </x:c>
      <x:c r="G78" s="23" t="str">
        <x:v>IH2506</x:v>
      </x:c>
    </x:row>
    <x:row r="79">
      <x:c r="A79" s="23" t="n">
        <x:v>3</x:v>
      </x:c>
      <x:c r="B79" s="23" t="str">
        <x:v>周四</x:v>
      </x:c>
      <x:c r="C79" s="23" t="str">
        <x:v>4月3日</x:v>
      </x:c>
      <x:c r="D79" s="24" t="n">
        <x:v>2671.4</x:v>
      </x:c>
      <x:c r="E79" s="24" t="n">
        <x:v>2633</x:v>
      </x:c>
      <x:c r="F79" s="24" t="n">
        <x:f>ROUND(D79-E79,1)</x:f>
        <x:v>38.4</x:v>
      </x:c>
      <x:c r="G79" s="23" t="str">
        <x:v>IH2506</x:v>
      </x:c>
    </x:row>
    <x:row r="80">
      <x:c r="A80" s="23" t="n">
        <x:v>4</x:v>
      </x:c>
      <x:c r="B80" s="23" t="str">
        <x:v>周一</x:v>
      </x:c>
      <x:c r="C80" s="23" t="str">
        <x:v>4月7日</x:v>
      </x:c>
      <x:c r="D80" s="24" t="n">
        <x:v>2605.8</x:v>
      </x:c>
      <x:c r="E80" s="24" t="n">
        <x:v>2396.6</x:v>
      </x:c>
      <x:c r="F80" s="26" t="n">
        <x:f>ROUND(D80-E80,1)</x:f>
        <x:v>209.2</x:v>
      </x:c>
      <x:c r="G80" s="23" t="str">
        <x:v>IH2506</x:v>
      </x:c>
    </x:row>
    <x:row r="81">
      <x:c r="A81" s="23" t="n">
        <x:v>5</x:v>
      </x:c>
      <x:c r="B81" s="23" t="str">
        <x:v>周二</x:v>
      </x:c>
      <x:c r="C81" s="23" t="str">
        <x:v>4月8日</x:v>
      </x:c>
      <x:c r="D81" s="24" t="n">
        <x:v>2531.2</x:v>
      </x:c>
      <x:c r="E81" s="24" t="n">
        <x:v>2460.6</x:v>
      </x:c>
      <x:c r="F81" s="26" t="n">
        <x:f>ROUND(D81-E81,1)</x:f>
        <x:v>70.6</x:v>
      </x:c>
      <x:c r="G81" s="23" t="str">
        <x:v>IH2506</x:v>
      </x:c>
    </x:row>
    <x:row r="82">
      <x:c r="A82" s="23" t="n">
        <x:v>6</x:v>
      </x:c>
      <x:c r="B82" s="23" t="str">
        <x:v>周三</x:v>
      </x:c>
      <x:c r="C82" s="23" t="str">
        <x:v>4月9日</x:v>
      </x:c>
      <x:c r="D82" s="24" t="n">
        <x:v>2575.6</x:v>
      </x:c>
      <x:c r="E82" s="24" t="n">
        <x:v>2495</x:v>
      </x:c>
      <x:c r="F82" s="26" t="n">
        <x:f>ROUND(D82-E82,1)</x:f>
        <x:v>80.6</x:v>
      </x:c>
      <x:c r="G82" s="23" t="str">
        <x:v>IH2506</x:v>
      </x:c>
    </x:row>
    <x:row r="83">
      <x:c r="A83" s="23" t="n">
        <x:v>7</x:v>
      </x:c>
      <x:c r="B83" s="23" t="str">
        <x:v>周四</x:v>
      </x:c>
      <x:c r="C83" s="23" t="str">
        <x:v>4月10日</x:v>
      </x:c>
      <x:c r="D83" s="24" t="n">
        <x:v>2603.6</x:v>
      </x:c>
      <x:c r="E83" s="24" t="n">
        <x:v>2568</x:v>
      </x:c>
      <x:c r="F83" s="24" t="n">
        <x:f>ROUND(D83-E83,1)</x:f>
        <x:v>35.6</x:v>
      </x:c>
      <x:c r="G83" s="23" t="str">
        <x:v>IH2506</x:v>
      </x:c>
    </x:row>
    <x:row r="84">
      <x:c r="A84" s="23" t="n">
        <x:v>8</x:v>
      </x:c>
      <x:c r="B84" s="23" t="str">
        <x:v>周五</x:v>
      </x:c>
      <x:c r="C84" s="23" t="str">
        <x:v>4月11日</x:v>
      </x:c>
      <x:c r="D84" s="24" t="n">
        <x:v>2602</x:v>
      </x:c>
      <x:c r="E84" s="24" t="n">
        <x:v>2573</x:v>
      </x:c>
      <x:c r="F84" s="24" t="n">
        <x:f>ROUND(D84-E84,1)</x:f>
        <x:v>29</x:v>
      </x:c>
      <x:c r="G84" s="23" t="str">
        <x:v>IH2506</x:v>
      </x:c>
    </x:row>
    <x:row r="85">
      <x:c r="A85" s="23" t="n">
        <x:v>9</x:v>
      </x:c>
      <x:c r="B85" s="23" t="str">
        <x:v>周一</x:v>
      </x:c>
      <x:c r="C85" s="23" t="str">
        <x:v>4月14日</x:v>
      </x:c>
      <x:c r="D85" s="24" t="n">
        <x:v>2620</x:v>
      </x:c>
      <x:c r="E85" s="24" t="n">
        <x:v>2595</x:v>
      </x:c>
      <x:c r="F85" s="24" t="n">
        <x:f>ROUND(D85-E85,1)</x:f>
        <x:v>25</x:v>
      </x:c>
      <x:c r="G85" s="23" t="str">
        <x:v>IH2506</x:v>
      </x:c>
    </x:row>
    <x:row r="86">
      <x:c r="A86" s="23" t="n">
        <x:v>10</x:v>
      </x:c>
      <x:c r="B86" s="23" t="str">
        <x:v>周二</x:v>
      </x:c>
      <x:c r="C86" s="23" t="str">
        <x:v>4月15日</x:v>
      </x:c>
      <x:c r="D86" s="24" t="n">
        <x:v>2611.6</x:v>
      </x:c>
      <x:c r="E86" s="24" t="n">
        <x:v>2595</x:v>
      </x:c>
      <x:c r="F86" s="24" t="n">
        <x:f>ROUND(D86-E86,1)</x:f>
        <x:v>16.6</x:v>
      </x:c>
      <x:c r="G86" s="23" t="str">
        <x:v>IH2506</x:v>
      </x:c>
    </x:row>
    <x:row r="87">
      <x:c r="A87" s="23" t="n">
        <x:v>11</x:v>
      </x:c>
      <x:c r="B87" s="23" t="str">
        <x:v>周三</x:v>
      </x:c>
      <x:c r="C87" s="23" t="str">
        <x:v>4月16日</x:v>
      </x:c>
      <x:c r="D87" s="24" t="n">
        <x:v>2627.2</x:v>
      </x:c>
      <x:c r="E87" s="24" t="n">
        <x:v>2591.4</x:v>
      </x:c>
      <x:c r="F87" s="24" t="n">
        <x:f>ROUND(D87-E87,1)</x:f>
        <x:v>35.8</x:v>
      </x:c>
      <x:c r="G87" s="23" t="str">
        <x:v>IH2506</x:v>
      </x:c>
    </x:row>
    <x:row r="88">
      <x:c r="A88" s="23" t="n">
        <x:v>12</x:v>
      </x:c>
      <x:c r="B88" s="23" t="str">
        <x:v>周四</x:v>
      </x:c>
      <x:c r="C88" s="23" t="str">
        <x:v>4月17日</x:v>
      </x:c>
      <x:c r="D88" s="24" t="n">
        <x:v>2642.6</x:v>
      </x:c>
      <x:c r="E88" s="24" t="n">
        <x:v>2612.4</x:v>
      </x:c>
      <x:c r="F88" s="24" t="n">
        <x:f>ROUND(D88-E88,1)</x:f>
        <x:v>30.2</x:v>
      </x:c>
      <x:c r="G88" s="23" t="str">
        <x:v>IH2506</x:v>
      </x:c>
    </x:row>
    <x:row r="89">
      <x:c r="A89" s="29" t="n">
        <x:v>13</x:v>
      </x:c>
      <x:c r="B89" s="29" t="str">
        <x:v>周五</x:v>
      </x:c>
      <x:c r="C89" s="29" t="str">
        <x:v>4月18日</x:v>
      </x:c>
      <x:c r="D89" s="30" t="n">
        <x:v>2637.6</x:v>
      </x:c>
      <x:c r="E89" s="30" t="n">
        <x:v>2623</x:v>
      </x:c>
      <x:c r="F89" s="30" t="n">
        <x:f>ROUND(D89-E89,1)</x:f>
        <x:v>14.6</x:v>
      </x:c>
      <x:c r="G89" s="29" t="str">
        <x:v>IH2506</x:v>
      </x:c>
    </x:row>
    <x:row r="90">
      <x:c r="A90" s="23" t="n">
        <x:v>14</x:v>
      </x:c>
      <x:c r="B90" s="23" t="str">
        <x:v>周一</x:v>
      </x:c>
      <x:c r="C90" s="23" t="str">
        <x:v>4月21日</x:v>
      </x:c>
      <x:c r="D90" s="24" t="n">
        <x:v>2653</x:v>
      </x:c>
      <x:c r="E90" s="24" t="n">
        <x:v>2627</x:v>
      </x:c>
      <x:c r="F90" s="24" t="n">
        <x:f>ROUND(D90-E90,1)</x:f>
        <x:v>26</x:v>
      </x:c>
      <x:c r="G90" s="23" t="str">
        <x:v>IH2506</x:v>
      </x:c>
    </x:row>
    <x:row r="91">
      <x:c r="A91" s="23" t="n">
        <x:v>15</x:v>
      </x:c>
      <x:c r="B91" s="23" t="str">
        <x:v>周二</x:v>
      </x:c>
      <x:c r="C91" s="23" t="str">
        <x:v>4月22日</x:v>
      </x:c>
      <x:c r="D91" s="24" t="n">
        <x:v>2648.4</x:v>
      </x:c>
      <x:c r="E91" s="24" t="n">
        <x:v>2629.8</x:v>
      </x:c>
      <x:c r="F91" s="24" t="n">
        <x:f>ROUND(D91-E91,1)</x:f>
        <x:v>18.6</x:v>
      </x:c>
      <x:c r="G91" s="23" t="str">
        <x:v>IH2506</x:v>
      </x:c>
    </x:row>
    <x:row r="92">
      <x:c r="A92" s="23" t="n">
        <x:v>16</x:v>
      </x:c>
      <x:c r="B92" s="23" t="str">
        <x:v>周三</x:v>
      </x:c>
      <x:c r="C92" s="23" t="str">
        <x:v>4月23日</x:v>
      </x:c>
      <x:c r="D92" s="24" t="n">
        <x:v>2649</x:v>
      </x:c>
      <x:c r="E92" s="24" t="n">
        <x:v>2622</x:v>
      </x:c>
      <x:c r="F92" s="24" t="n">
        <x:f>ROUND(D92-E92,1)</x:f>
        <x:v>27</x:v>
      </x:c>
      <x:c r="G92" s="23" t="str">
        <x:v>IH2506</x:v>
      </x:c>
    </x:row>
    <x:row r="93">
      <x:c r="A93" s="23" t="n">
        <x:v>17</x:v>
      </x:c>
      <x:c r="B93" s="23" t="str">
        <x:v>周四</x:v>
      </x:c>
      <x:c r="C93" s="23" t="str">
        <x:v>4月24日</x:v>
      </x:c>
      <x:c r="D93" s="24" t="n">
        <x:v>2647.6</x:v>
      </x:c>
      <x:c r="E93" s="24" t="n">
        <x:v>2625.8</x:v>
      </x:c>
      <x:c r="F93" s="24" t="n">
        <x:f>ROUND(D93-E93,1)</x:f>
        <x:v>21.8</x:v>
      </x:c>
      <x:c r="G93" s="23" t="str">
        <x:v>IH2506</x:v>
      </x:c>
    </x:row>
    <x:row r="94">
      <x:c r="A94" s="23" t="n">
        <x:v>18</x:v>
      </x:c>
      <x:c r="B94" s="23" t="str">
        <x:v>周五</x:v>
      </x:c>
      <x:c r="C94" s="23" t="str">
        <x:v>4月25日</x:v>
      </x:c>
      <x:c r="D94" s="24" t="n">
        <x:v>2643.6</x:v>
      </x:c>
      <x:c r="E94" s="24" t="n">
        <x:v>2620</x:v>
      </x:c>
      <x:c r="F94" s="24" t="n">
        <x:f>ROUND(D94-E94,1)</x:f>
        <x:v>23.6</x:v>
      </x:c>
      <x:c r="G94" s="23" t="str">
        <x:v>IH2506</x:v>
      </x:c>
    </x:row>
    <x:row r="95">
      <x:c r="A95" s="23" t="n">
        <x:v>19</x:v>
      </x:c>
      <x:c r="B95" s="23" t="str">
        <x:v>周一</x:v>
      </x:c>
      <x:c r="C95" s="23" t="str">
        <x:v>4月28日</x:v>
      </x:c>
      <x:c r="D95" s="24" t="n">
        <x:v>2635.4</x:v>
      </x:c>
      <x:c r="E95" s="24" t="n">
        <x:v>2611.4</x:v>
      </x:c>
      <x:c r="F95" s="24" t="n">
        <x:f>ROUND(D95-E95,1)</x:f>
        <x:v>24</x:v>
      </x:c>
      <x:c r="G95" s="23" t="str">
        <x:v>IH2506</x:v>
      </x:c>
    </x:row>
    <x:row r="96">
      <x:c r="A96" s="23" t="n">
        <x:v>20</x:v>
      </x:c>
      <x:c r="B96" s="23" t="str">
        <x:v>周二</x:v>
      </x:c>
      <x:c r="C96" s="23" t="str">
        <x:v>4月29日</x:v>
      </x:c>
      <x:c r="D96" s="24" t="n">
        <x:v>2632.6</x:v>
      </x:c>
      <x:c r="E96" s="24" t="n">
        <x:v>2617.8</x:v>
      </x:c>
      <x:c r="F96" s="24" t="n">
        <x:f>ROUND(D96-E96,1)</x:f>
        <x:v>14.8</x:v>
      </x:c>
      <x:c r="G96" s="23" t="str">
        <x:v>IH2506</x:v>
      </x:c>
    </x:row>
    <x:row r="97">
      <x:c r="A97" s="23" t="n">
        <x:v>21</x:v>
      </x:c>
      <x:c r="B97" s="23" t="str">
        <x:v>周三</x:v>
      </x:c>
      <x:c r="C97" s="23" t="str">
        <x:v>4月30日</x:v>
      </x:c>
      <x:c r="D97" s="24" t="n">
        <x:v>2634.4</x:v>
      </x:c>
      <x:c r="E97" s="24" t="n">
        <x:v>2608.8</x:v>
      </x:c>
      <x:c r="F97" s="24" t="n">
        <x:f>ROUND(D97-E97,1)</x:f>
        <x:v>25.6</x:v>
      </x:c>
      <x:c r="G97" s="23" t="str">
        <x:v>IH2506</x:v>
      </x:c>
    </x:row>
    <x:row r="98">
      <x:c r="A98" s="33" t="str">
        <x:v>合计</x:v>
      </x:c>
      <x:c r="B98" s="32" t="n">
        <x:v>21</x:v>
      </x:c>
      <x:c r="C98" s="32"/>
      <x:c r="D98" s="32"/>
      <x:c r="E98" s="32"/>
      <x:c r="F98" s="34" t="n">
        <x:f>ROUND(SUM(F77:F97),1)</x:f>
        <x:v>803</x:v>
      </x:c>
      <x:c r="G98" s="32"/>
    </x:row>
    <x:row r="99">
      <x:c r="A99" s="33" t="str">
        <x:v>均值</x:v>
      </x:c>
      <x:c r="B99" s="32"/>
      <x:c r="C99" s="32"/>
      <x:c r="D99" s="32"/>
      <x:c r="E99" s="32"/>
      <x:c r="F99" s="36" t="n">
        <x:f>ROUND(IFERROR(AVERAGE(F77:F97),0),1)</x:f>
        <x:v>38.2</x:v>
      </x:c>
      <x:c r="G99" s="32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高点</x:v>
      </x:c>
      <x:c r="E102" s="20" t="str">
        <x:v>低点</x:v>
      </x:c>
      <x:c r="F102" s="20" t="str">
        <x:v>振幅</x:v>
      </x:c>
      <x:c r="G102" s="20" t="str">
        <x:v>标的</x:v>
      </x:c>
    </x:row>
    <x:row r="103">
      <x:c r="A103" s="23" t="n">
        <x:v>1</x:v>
      </x:c>
      <x:c r="B103" s="23" t="str">
        <x:v>周二</x:v>
      </x:c>
      <x:c r="C103" s="23" t="str">
        <x:v>5月6日</x:v>
      </x:c>
      <x:c r="D103" s="24" t="n">
        <x:v>2632.6</x:v>
      </x:c>
      <x:c r="E103" s="24" t="n">
        <x:v>2613.2</x:v>
      </x:c>
      <x:c r="F103" s="24" t="n">
        <x:f>ROUND(D103-E103,1)</x:f>
        <x:v>19.4</x:v>
      </x:c>
      <x:c r="G103" s="23" t="str">
        <x:v>IH2506</x:v>
      </x:c>
    </x:row>
    <x:row r="104">
      <x:c r="A104" s="23" t="n">
        <x:v>2</x:v>
      </x:c>
      <x:c r="B104" s="23" t="str">
        <x:v>周三</x:v>
      </x:c>
      <x:c r="C104" s="23" t="str">
        <x:v>5月7日</x:v>
      </x:c>
      <x:c r="D104" s="24" t="n">
        <x:v>2669.8</x:v>
      </x:c>
      <x:c r="E104" s="24" t="n">
        <x:v>2635.2</x:v>
      </x:c>
      <x:c r="F104" s="24" t="n">
        <x:f>ROUND(D104-E104,1)</x:f>
        <x:v>34.6</x:v>
      </x:c>
      <x:c r="G104" s="23" t="str">
        <x:v>IH2506</x:v>
      </x:c>
    </x:row>
    <x:row r="105">
      <x:c r="A105" s="23" t="n">
        <x:v>3</x:v>
      </x:c>
      <x:c r="B105" s="23" t="str">
        <x:v>周四</x:v>
      </x:c>
      <x:c r="C105" s="23" t="str">
        <x:v>5月8日</x:v>
      </x:c>
      <x:c r="D105" s="24" t="n">
        <x:v>2681</x:v>
      </x:c>
      <x:c r="E105" s="24" t="n">
        <x:v>2640.4</x:v>
      </x:c>
      <x:c r="F105" s="24" t="n">
        <x:f>ROUND(D105-E105,1)</x:f>
        <x:v>40.6</x:v>
      </x:c>
      <x:c r="G105" s="23" t="str">
        <x:v>IH2506</x:v>
      </x:c>
    </x:row>
    <x:row r="106">
      <x:c r="A106" s="23" t="n">
        <x:v>4</x:v>
      </x:c>
      <x:c r="B106" s="23" t="str">
        <x:v>周五</x:v>
      </x:c>
      <x:c r="C106" s="23" t="str">
        <x:v>5月9日</x:v>
      </x:c>
      <x:c r="D106" s="24" t="n">
        <x:v>2669.8</x:v>
      </x:c>
      <x:c r="E106" s="24" t="n">
        <x:v>2658</x:v>
      </x:c>
      <x:c r="F106" s="24" t="n">
        <x:f>ROUND(D106-E106,1)</x:f>
        <x:v>11.8</x:v>
      </x:c>
      <x:c r="G106" s="23" t="str">
        <x:v>IH2506</x:v>
      </x:c>
    </x:row>
    <x:row r="107">
      <x:c r="A107" s="23" t="n">
        <x:v>5</x:v>
      </x:c>
      <x:c r="B107" s="23" t="str">
        <x:v>周一</x:v>
      </x:c>
      <x:c r="C107" s="23" t="str">
        <x:v>5月12日</x:v>
      </x:c>
      <x:c r="D107" s="24" t="n">
        <x:v>2697</x:v>
      </x:c>
      <x:c r="E107" s="24" t="n">
        <x:v>2665.6</x:v>
      </x:c>
      <x:c r="F107" s="24" t="n">
        <x:f>ROUND(D107-E107,1)</x:f>
        <x:v>31.4</x:v>
      </x:c>
      <x:c r="G107" s="23" t="str">
        <x:v>IH2506</x:v>
      </x:c>
    </x:row>
    <x:row r="108">
      <x:c r="A108" s="23" t="n">
        <x:v>6</x:v>
      </x:c>
      <x:c r="B108" s="23" t="str">
        <x:v>周二</x:v>
      </x:c>
      <x:c r="C108" s="23" t="str">
        <x:v>5月13日</x:v>
      </x:c>
      <x:c r="D108" s="24" t="n">
        <x:v>2694.4</x:v>
      </x:c>
      <x:c r="E108" s="24" t="n">
        <x:v>2681.2</x:v>
      </x:c>
      <x:c r="F108" s="24" t="n">
        <x:f>ROUND(D108-E108,1)</x:f>
        <x:v>13.2</x:v>
      </x:c>
      <x:c r="G108" s="23" t="str">
        <x:v>IH2506</x:v>
      </x:c>
    </x:row>
    <x:row r="109">
      <x:c r="A109" s="23" t="n">
        <x:v>7</x:v>
      </x:c>
      <x:c r="B109" s="23" t="str">
        <x:v>周三</x:v>
      </x:c>
      <x:c r="C109" s="23" t="str">
        <x:v>5月14日</x:v>
      </x:c>
      <x:c r="D109" s="24" t="n">
        <x:v>2754</x:v>
      </x:c>
      <x:c r="E109" s="24" t="n">
        <x:v>2688.6</x:v>
      </x:c>
      <x:c r="F109" s="26" t="n">
        <x:f>ROUND(D109-E109,1)</x:f>
        <x:v>65.4</x:v>
      </x:c>
      <x:c r="G109" s="23" t="str">
        <x:v>IH2506</x:v>
      </x:c>
    </x:row>
    <x:row r="110">
      <x:c r="A110" s="23" t="n">
        <x:v>8</x:v>
      </x:c>
      <x:c r="B110" s="23" t="str">
        <x:v>周四</x:v>
      </x:c>
      <x:c r="C110" s="23" t="str">
        <x:v>5月15日</x:v>
      </x:c>
      <x:c r="D110" s="24" t="n">
        <x:v>2743.8</x:v>
      </x:c>
      <x:c r="E110" s="24" t="n">
        <x:v>2716.8</x:v>
      </x:c>
      <x:c r="F110" s="24" t="n">
        <x:f>ROUND(D110-E110,1)</x:f>
        <x:v>27</x:v>
      </x:c>
      <x:c r="G110" s="23" t="str">
        <x:v>IH2506</x:v>
      </x:c>
    </x:row>
    <x:row r="111">
      <x:c r="A111" s="29" t="n">
        <x:v>9</x:v>
      </x:c>
      <x:c r="B111" s="29" t="str">
        <x:v>周五</x:v>
      </x:c>
      <x:c r="C111" s="29" t="str">
        <x:v>5月16日</x:v>
      </x:c>
      <x:c r="D111" s="30" t="n">
        <x:v>2727</x:v>
      </x:c>
      <x:c r="E111" s="30" t="n">
        <x:v>2687.4</x:v>
      </x:c>
      <x:c r="F111" s="30" t="n">
        <x:f>ROUND(D111-E111,1)</x:f>
        <x:v>39.6</x:v>
      </x:c>
      <x:c r="G111" s="29" t="str">
        <x:v>IH2506</x:v>
      </x:c>
    </x:row>
    <x:row r="112">
      <x:c r="A112" s="23" t="n">
        <x:v>10</x:v>
      </x:c>
      <x:c r="B112" s="23" t="str">
        <x:v>周一</x:v>
      </x:c>
      <x:c r="C112" s="23" t="str">
        <x:v>5月19日</x:v>
      </x:c>
      <x:c r="D112" s="24" t="n">
        <x:v>2698</x:v>
      </x:c>
      <x:c r="E112" s="24" t="n">
        <x:v>2679</x:v>
      </x:c>
      <x:c r="F112" s="24" t="n">
        <x:f>ROUND(D112-E112,1)</x:f>
        <x:v>19</x:v>
      </x:c>
      <x:c r="G112" s="23" t="str">
        <x:v>IH2506</x:v>
      </x:c>
    </x:row>
    <x:row r="113">
      <x:c r="A113" s="23" t="n">
        <x:v>11</x:v>
      </x:c>
      <x:c r="B113" s="23" t="str">
        <x:v>周二</x:v>
      </x:c>
      <x:c r="C113" s="23" t="str">
        <x:v>5月20日</x:v>
      </x:c>
      <x:c r="D113" s="24" t="n">
        <x:v>2712.8</x:v>
      </x:c>
      <x:c r="E113" s="24" t="n">
        <x:v>2691.4</x:v>
      </x:c>
      <x:c r="F113" s="24" t="n">
        <x:f>ROUND(D113-E113,1)</x:f>
        <x:v>21.4</x:v>
      </x:c>
      <x:c r="G113" s="23" t="str">
        <x:v>IH2506</x:v>
      </x:c>
    </x:row>
    <x:row r="114">
      <x:c r="A114" s="23" t="n">
        <x:v>12</x:v>
      </x:c>
      <x:c r="B114" s="23" t="str">
        <x:v>周三</x:v>
      </x:c>
      <x:c r="C114" s="23" t="str">
        <x:v>5月21日</x:v>
      </x:c>
      <x:c r="D114" s="24" t="n">
        <x:v>2724.2</x:v>
      </x:c>
      <x:c r="E114" s="24" t="n">
        <x:v>2699.6</x:v>
      </x:c>
      <x:c r="F114" s="24" t="n">
        <x:f>ROUND(D114-E114,1)</x:f>
        <x:v>24.6</x:v>
      </x:c>
      <x:c r="G114" s="23" t="str">
        <x:v>IH2506</x:v>
      </x:c>
    </x:row>
    <x:row r="115">
      <x:c r="A115" s="23" t="n">
        <x:v>13</x:v>
      </x:c>
      <x:c r="B115" s="23" t="str">
        <x:v>周四</x:v>
      </x:c>
      <x:c r="C115" s="23" t="str">
        <x:v>5月22日</x:v>
      </x:c>
      <x:c r="D115" s="24" t="n">
        <x:v>2722</x:v>
      </x:c>
      <x:c r="E115" s="24" t="n">
        <x:v>2699</x:v>
      </x:c>
      <x:c r="F115" s="24" t="n">
        <x:f>ROUND(D115-E115,1)</x:f>
        <x:v>23</x:v>
      </x:c>
      <x:c r="G115" s="23" t="str">
        <x:v>IH2506</x:v>
      </x:c>
    </x:row>
    <x:row r="116">
      <x:c r="A116" s="23" t="n">
        <x:v>14</x:v>
      </x:c>
      <x:c r="B116" s="23" t="str">
        <x:v>周五</x:v>
      </x:c>
      <x:c r="C116" s="23" t="str">
        <x:v>5月23日</x:v>
      </x:c>
      <x:c r="D116" s="24" t="n">
        <x:v>2727</x:v>
      </x:c>
      <x:c r="E116" s="24" t="n">
        <x:v>2690.4</x:v>
      </x:c>
      <x:c r="F116" s="24" t="n">
        <x:f>ROUND(D116-E116,1)</x:f>
        <x:v>36.6</x:v>
      </x:c>
      <x:c r="G116" s="23" t="str">
        <x:v>IH2506</x:v>
      </x:c>
    </x:row>
    <x:row r="117">
      <x:c r="A117" s="23" t="n">
        <x:v>15</x:v>
      </x:c>
      <x:c r="B117" s="23" t="str">
        <x:v>周一</x:v>
      </x:c>
      <x:c r="C117" s="23" t="str">
        <x:v>5月26日</x:v>
      </x:c>
      <x:c r="D117" s="24" t="n">
        <x:v>2705.4</x:v>
      </x:c>
      <x:c r="E117" s="24" t="n">
        <x:v>2675</x:v>
      </x:c>
      <x:c r="F117" s="24" t="n">
        <x:f>ROUND(D117-E117,1)</x:f>
        <x:v>30.4</x:v>
      </x:c>
      <x:c r="G117" s="23" t="str">
        <x:v>IH2506</x:v>
      </x:c>
    </x:row>
    <x:row r="118">
      <x:c r="A118" s="23" t="n">
        <x:v>16</x:v>
      </x:c>
      <x:c r="B118" s="23" t="str">
        <x:v>周二</x:v>
      </x:c>
      <x:c r="C118" s="23" t="str">
        <x:v>5月27日</x:v>
      </x:c>
      <x:c r="D118" s="24" t="n">
        <x:v>2691</x:v>
      </x:c>
      <x:c r="E118" s="24" t="n">
        <x:v>2666</x:v>
      </x:c>
      <x:c r="F118" s="24" t="n">
        <x:f>ROUND(D118-E118,1)</x:f>
        <x:v>25</x:v>
      </x:c>
      <x:c r="G118" s="23" t="str">
        <x:v>IH2506</x:v>
      </x:c>
    </x:row>
    <x:row r="119">
      <x:c r="A119" s="23" t="n">
        <x:v>17</x:v>
      </x:c>
      <x:c r="B119" s="23" t="str">
        <x:v>周三</x:v>
      </x:c>
      <x:c r="C119" s="23" t="str">
        <x:v>5月28日</x:v>
      </x:c>
      <x:c r="D119" s="24" t="n">
        <x:v>2674.6</x:v>
      </x:c>
      <x:c r="E119" s="24" t="n">
        <x:v>2662.4</x:v>
      </x:c>
      <x:c r="F119" s="24" t="n">
        <x:f>ROUND(D119-E119,1)</x:f>
        <x:v>12.2</x:v>
      </x:c>
      <x:c r="G119" s="23" t="str">
        <x:v>IH2506</x:v>
      </x:c>
    </x:row>
    <x:row r="120">
      <x:c r="A120" s="23" t="n">
        <x:v>18</x:v>
      </x:c>
      <x:c r="B120" s="23" t="str">
        <x:v>周四</x:v>
      </x:c>
      <x:c r="C120" s="23" t="str">
        <x:v>5月29日</x:v>
      </x:c>
      <x:c r="D120" s="24" t="n">
        <x:v>2692.6</x:v>
      </x:c>
      <x:c r="E120" s="24" t="n">
        <x:v>2660.6</x:v>
      </x:c>
      <x:c r="F120" s="24" t="n">
        <x:f>ROUND(D120-E120,1)</x:f>
        <x:v>32</x:v>
      </x:c>
      <x:c r="G120" s="23" t="str">
        <x:v>IH2506</x:v>
      </x:c>
    </x:row>
    <x:row r="121">
      <x:c r="A121" s="23" t="n">
        <x:v>19</x:v>
      </x:c>
      <x:c r="B121" s="23" t="str">
        <x:v>周五</x:v>
      </x:c>
      <x:c r="C121" s="23" t="str">
        <x:v>5月30日</x:v>
      </x:c>
      <x:c r="D121" s="24" t="n">
        <x:v>2678.4</x:v>
      </x:c>
      <x:c r="E121" s="24" t="n">
        <x:v>2644.2</x:v>
      </x:c>
      <x:c r="F121" s="24" t="n">
        <x:f>ROUND(D121-E121,1)</x:f>
        <x:v>34.2</x:v>
      </x:c>
      <x:c r="G121" s="23" t="str">
        <x:v>IH2506</x:v>
      </x:c>
    </x:row>
    <x:row r="122">
      <x:c r="A122" s="33" t="str">
        <x:v>合计</x:v>
      </x:c>
      <x:c r="B122" s="32" t="n">
        <x:v>19</x:v>
      </x:c>
      <x:c r="C122" s="32"/>
      <x:c r="D122" s="32"/>
      <x:c r="E122" s="32"/>
      <x:c r="F122" s="34" t="n">
        <x:f>ROUND(SUM(F103:F121),1)</x:f>
        <x:v>541.4</x:v>
      </x:c>
      <x:c r="G122" s="32"/>
    </x:row>
    <x:row r="123">
      <x:c r="A123" s="33" t="str">
        <x:v>均值</x:v>
      </x:c>
      <x:c r="B123" s="32"/>
      <x:c r="C123" s="32"/>
      <x:c r="D123" s="32"/>
      <x:c r="E123" s="32"/>
      <x:c r="F123" s="36" t="n">
        <x:f>ROUND(IFERROR(AVERAGE(F103:F121),0),1)</x:f>
        <x:v>28.5</x:v>
      </x:c>
      <x:c r="G123" s="32"/>
    </x:row>
    <x:row r="125">
      <x:c r="A125" s="17" t="str">
        <x:v>6月</x:v>
      </x:c>
      <x:c r="B125" s="17"/>
      <x:c r="C125" s="17"/>
      <x:c r="D125" s="17"/>
      <x:c r="E125" s="17"/>
      <x:c r="F125" s="17"/>
      <x:c r="G125" s="17"/>
    </x:row>
    <x:row r="126">
      <x:c r="A126" s="20" t="str">
        <x:v>序号</x:v>
      </x:c>
      <x:c r="B126" s="20" t="str">
        <x:v>星期</x:v>
      </x:c>
      <x:c r="C126" s="20" t="str">
        <x:v>日期</x:v>
      </x:c>
      <x:c r="D126" s="20" t="str">
        <x:v>高点</x:v>
      </x:c>
      <x:c r="E126" s="20" t="str">
        <x:v>低点</x:v>
      </x:c>
      <x:c r="F126" s="20" t="str">
        <x:v>振幅</x:v>
      </x:c>
      <x:c r="G126" s="20" t="str">
        <x:v>标的</x:v>
      </x:c>
    </x:row>
    <x:row r="127">
      <x:c r="A127" s="23" t="n">
        <x:v>1</x:v>
      </x:c>
      <x:c r="B127" s="23" t="str">
        <x:v>周二</x:v>
      </x:c>
      <x:c r="C127" s="23" t="str">
        <x:v>6月3日</x:v>
      </x:c>
      <x:c r="D127" s="24" t="n">
        <x:v>2681.4</x:v>
      </x:c>
      <x:c r="E127" s="24" t="n">
        <x:v>2653.6</x:v>
      </x:c>
      <x:c r="F127" s="24" t="n">
        <x:f>ROUND(D127-E127,1)</x:f>
        <x:v>27.8</x:v>
      </x:c>
      <x:c r="G127" s="23" t="str">
        <x:v>IH2506</x:v>
      </x:c>
    </x:row>
    <x:row r="128">
      <x:c r="A128" s="23" t="n">
        <x:v>2</x:v>
      </x:c>
      <x:c r="B128" s="23" t="str">
        <x:v>周三</x:v>
      </x:c>
      <x:c r="C128" s="23" t="str">
        <x:v>6月4日</x:v>
      </x:c>
      <x:c r="D128" s="24" t="n">
        <x:v>2685</x:v>
      </x:c>
      <x:c r="E128" s="24" t="n">
        <x:v>2667</x:v>
      </x:c>
      <x:c r="F128" s="24" t="n">
        <x:f>ROUND(D128-E128,1)</x:f>
        <x:v>18</x:v>
      </x:c>
      <x:c r="G128" s="23" t="str">
        <x:v>IH2506</x:v>
      </x:c>
    </x:row>
    <x:row r="129">
      <x:c r="A129" s="23" t="n">
        <x:v>3</x:v>
      </x:c>
      <x:c r="B129" s="23" t="str">
        <x:v>周四</x:v>
      </x:c>
      <x:c r="C129" s="23" t="str">
        <x:v>6月5日</x:v>
      </x:c>
      <x:c r="D129" s="24" t="n">
        <x:v>2681.4</x:v>
      </x:c>
      <x:c r="E129" s="24" t="n">
        <x:v>2664.2</x:v>
      </x:c>
      <x:c r="F129" s="24" t="n">
        <x:f>ROUND(D129-E129,1)</x:f>
        <x:v>17.2</x:v>
      </x:c>
      <x:c r="G129" s="23" t="str">
        <x:v>IH2506</x:v>
      </x:c>
    </x:row>
    <x:row r="130">
      <x:c r="A130" s="23" t="n">
        <x:v>4</x:v>
      </x:c>
      <x:c r="B130" s="23" t="str">
        <x:v>周五</x:v>
      </x:c>
      <x:c r="C130" s="23" t="str">
        <x:v>6月6日</x:v>
      </x:c>
      <x:c r="D130" s="24" t="n">
        <x:v>2688.4</x:v>
      </x:c>
      <x:c r="E130" s="24" t="n">
        <x:v>2668.4</x:v>
      </x:c>
      <x:c r="F130" s="24" t="n">
        <x:f>ROUND(D130-E130,1)</x:f>
        <x:v>20</x:v>
      </x:c>
      <x:c r="G130" s="23" t="str">
        <x:v>IH2506</x:v>
      </x:c>
    </x:row>
    <x:row r="131">
      <x:c r="A131" s="23" t="n">
        <x:v>5</x:v>
      </x:c>
      <x:c r="B131" s="23" t="str">
        <x:v>周一</x:v>
      </x:c>
      <x:c r="C131" s="23" t="str">
        <x:v>6月9日</x:v>
      </x:c>
      <x:c r="D131" s="24" t="n">
        <x:v>2689.6</x:v>
      </x:c>
      <x:c r="E131" s="24" t="n">
        <x:v>2665.6</x:v>
      </x:c>
      <x:c r="F131" s="24" t="n">
        <x:f>ROUND(D131-E131,1)</x:f>
        <x:v>24</x:v>
      </x:c>
      <x:c r="G131" s="23" t="str">
        <x:v>IH2506</x:v>
      </x:c>
    </x:row>
    <x:row r="132">
      <x:c r="A132" s="23" t="n">
        <x:v>6</x:v>
      </x:c>
      <x:c r="B132" s="23" t="str">
        <x:v>周二</x:v>
      </x:c>
      <x:c r="C132" s="23" t="str">
        <x:v>6月10日</x:v>
      </x:c>
      <x:c r="D132" s="24" t="n">
        <x:v>2686.8</x:v>
      </x:c>
      <x:c r="E132" s="24" t="n">
        <x:v>2653.2</x:v>
      </x:c>
      <x:c r="F132" s="24" t="n">
        <x:f>ROUND(D132-E132,1)</x:f>
        <x:v>33.6</x:v>
      </x:c>
      <x:c r="G132" s="23" t="str">
        <x:v>IH2506</x:v>
      </x:c>
    </x:row>
    <x:row r="133">
      <x:c r="A133" s="23" t="n">
        <x:v>7</x:v>
      </x:c>
      <x:c r="B133" s="23" t="str">
        <x:v>周三</x:v>
      </x:c>
      <x:c r="C133" s="23" t="str">
        <x:v>6月11日</x:v>
      </x:c>
      <x:c r="D133" s="24" t="n">
        <x:v>2697.4</x:v>
      </x:c>
      <x:c r="E133" s="24" t="n">
        <x:v>2662.2</x:v>
      </x:c>
      <x:c r="F133" s="24" t="n">
        <x:f>ROUND(D133-E133,1)</x:f>
        <x:v>35.2</x:v>
      </x:c>
      <x:c r="G133" s="23" t="str">
        <x:v>IH2506</x:v>
      </x:c>
    </x:row>
    <x:row r="134">
      <x:c r="A134" s="23" t="n">
        <x:v>8</x:v>
      </x:c>
      <x:c r="B134" s="23" t="str">
        <x:v>周四</x:v>
      </x:c>
      <x:c r="C134" s="23" t="str">
        <x:v>6月12日</x:v>
      </x:c>
      <x:c r="D134" s="24" t="n">
        <x:v>2687.8</x:v>
      </x:c>
      <x:c r="E134" s="24" t="n">
        <x:v>2660.2</x:v>
      </x:c>
      <x:c r="F134" s="24" t="n">
        <x:f>ROUND(D134-E134,1)</x:f>
        <x:v>27.6</x:v>
      </x:c>
      <x:c r="G134" s="23" t="str">
        <x:v>IH2506</x:v>
      </x:c>
    </x:row>
    <x:row r="135">
      <x:c r="A135" s="23" t="n">
        <x:v>9</x:v>
      </x:c>
      <x:c r="B135" s="23" t="str">
        <x:v>周五</x:v>
      </x:c>
      <x:c r="C135" s="23" t="str">
        <x:v>6月13日</x:v>
      </x:c>
      <x:c r="D135" s="24" t="n">
        <x:v>2681</x:v>
      </x:c>
      <x:c r="E135" s="24" t="n">
        <x:v>2655.2</x:v>
      </x:c>
      <x:c r="F135" s="24" t="n">
        <x:f>ROUND(D135-E135,1)</x:f>
        <x:v>25.8</x:v>
      </x:c>
      <x:c r="G135" s="23" t="str">
        <x:v>IH2506</x:v>
      </x:c>
    </x:row>
    <x:row r="136">
      <x:c r="A136" s="23" t="n">
        <x:v>10</x:v>
      </x:c>
      <x:c r="B136" s="23" t="str">
        <x:v>周一</x:v>
      </x:c>
      <x:c r="C136" s="23" t="str">
        <x:v>6月16日</x:v>
      </x:c>
      <x:c r="D136" s="24" t="n">
        <x:v>2683</x:v>
      </x:c>
      <x:c r="E136" s="24" t="n">
        <x:v>2658</x:v>
      </x:c>
      <x:c r="F136" s="24" t="n">
        <x:f>ROUND(D136-E136,1)</x:f>
        <x:v>25</x:v>
      </x:c>
      <x:c r="G136" s="23" t="str">
        <x:v>IH2506</x:v>
      </x:c>
    </x:row>
    <x:row r="137">
      <x:c r="A137" s="23" t="n">
        <x:v>11</x:v>
      </x:c>
      <x:c r="B137" s="23" t="str">
        <x:v>周二</x:v>
      </x:c>
      <x:c r="C137" s="23" t="str">
        <x:v>6月17日</x:v>
      </x:c>
      <x:c r="D137" s="24" t="n">
        <x:v>2683</x:v>
      </x:c>
      <x:c r="E137" s="24" t="n">
        <x:v>2664.4</x:v>
      </x:c>
      <x:c r="F137" s="24" t="n">
        <x:f>ROUND(D137-E137,1)</x:f>
        <x:v>18.6</x:v>
      </x:c>
      <x:c r="G137" s="23" t="str">
        <x:v>IH2506</x:v>
      </x:c>
    </x:row>
    <x:row r="138">
      <x:c r="A138" s="23" t="n">
        <x:v>12</x:v>
      </x:c>
      <x:c r="B138" s="23" t="str">
        <x:v>周三</x:v>
      </x:c>
      <x:c r="C138" s="23" t="str">
        <x:v>6月18日</x:v>
      </x:c>
      <x:c r="D138" s="24" t="n">
        <x:v>2687</x:v>
      </x:c>
      <x:c r="E138" s="24" t="n">
        <x:v>2664</x:v>
      </x:c>
      <x:c r="F138" s="24" t="n">
        <x:f>ROUND(D138-E138,1)</x:f>
        <x:v>23</x:v>
      </x:c>
      <x:c r="G138" s="23" t="str">
        <x:v>IH2506</x:v>
      </x:c>
    </x:row>
    <x:row r="139">
      <x:c r="A139" s="23" t="n">
        <x:v>13</x:v>
      </x:c>
      <x:c r="B139" s="23" t="str">
        <x:v>周四</x:v>
      </x:c>
      <x:c r="C139" s="23" t="str">
        <x:v>6月19日</x:v>
      </x:c>
      <x:c r="D139" s="24" t="n">
        <x:v>2673.6</x:v>
      </x:c>
      <x:c r="E139" s="24" t="n">
        <x:v>2651.8</x:v>
      </x:c>
      <x:c r="F139" s="24" t="n">
        <x:f>ROUND(D139-E139,1)</x:f>
        <x:v>21.8</x:v>
      </x:c>
      <x:c r="G139" s="23" t="str">
        <x:v>IH2506</x:v>
      </x:c>
    </x:row>
    <x:row r="140">
      <x:c r="A140" s="29" t="n">
        <x:v>14</x:v>
      </x:c>
      <x:c r="B140" s="29" t="str">
        <x:v>周五</x:v>
      </x:c>
      <x:c r="C140" s="29" t="str">
        <x:v>6月20日</x:v>
      </x:c>
      <x:c r="D140" s="30" t="n">
        <x:v>2678.8</x:v>
      </x:c>
      <x:c r="E140" s="30" t="n">
        <x:v>2659.4</x:v>
      </x:c>
      <x:c r="F140" s="30" t="n">
        <x:f>ROUND(D140-E140,1)</x:f>
        <x:v>19.4</x:v>
      </x:c>
      <x:c r="G140" s="29" t="str">
        <x:v>IH2506</x:v>
      </x:c>
    </x:row>
    <x:row r="141">
      <x:c r="A141" s="23" t="n">
        <x:v>15</x:v>
      </x:c>
      <x:c r="B141" s="23" t="str">
        <x:v>周一</x:v>
      </x:c>
      <x:c r="C141" s="23" t="str">
        <x:v>6月23日</x:v>
      </x:c>
      <x:c r="D141" s="24" t="n">
        <x:v>2662.6</x:v>
      </x:c>
      <x:c r="E141" s="24" t="n">
        <x:v>2621</x:v>
      </x:c>
      <x:c r="F141" s="24" t="n">
        <x:f>ROUND(D141-E141,1)</x:f>
        <x:v>41.6</x:v>
      </x:c>
      <x:c r="G141" s="23" t="str">
        <x:v>IH2509</x:v>
      </x:c>
    </x:row>
    <x:row r="142">
      <x:c r="A142" s="23" t="n">
        <x:v>16</x:v>
      </x:c>
      <x:c r="B142" s="23" t="str">
        <x:v>周二</x:v>
      </x:c>
      <x:c r="C142" s="23" t="str">
        <x:v>6月24日</x:v>
      </x:c>
      <x:c r="D142" s="24" t="n">
        <x:v>2704.2</x:v>
      </x:c>
      <x:c r="E142" s="24" t="n">
        <x:v>2654</x:v>
      </x:c>
      <x:c r="F142" s="24" t="n">
        <x:f>ROUND(D142-E142,1)</x:f>
        <x:v>50.2</x:v>
      </x:c>
      <x:c r="G142" s="23" t="str">
        <x:v>IH2509</x:v>
      </x:c>
    </x:row>
    <x:row r="143">
      <x:c r="A143" s="23" t="n">
        <x:v>17</x:v>
      </x:c>
      <x:c r="B143" s="23" t="str">
        <x:v>周三</x:v>
      </x:c>
      <x:c r="C143" s="23" t="str">
        <x:v>6月25日</x:v>
      </x:c>
      <x:c r="D143" s="24" t="n">
        <x:v>2725.8</x:v>
      </x:c>
      <x:c r="E143" s="24" t="n">
        <x:v>2676.4</x:v>
      </x:c>
      <x:c r="F143" s="24" t="n">
        <x:f>ROUND(D143-E143,1)</x:f>
        <x:v>49.4</x:v>
      </x:c>
      <x:c r="G143" s="23" t="str">
        <x:v>IH2509</x:v>
      </x:c>
    </x:row>
    <x:row r="144">
      <x:c r="A144" s="23" t="n">
        <x:v>18</x:v>
      </x:c>
      <x:c r="B144" s="23" t="str">
        <x:v>周四</x:v>
      </x:c>
      <x:c r="C144" s="23" t="str">
        <x:v>6月26日</x:v>
      </x:c>
      <x:c r="D144" s="24" t="n">
        <x:v>2722.8</x:v>
      </x:c>
      <x:c r="E144" s="24" t="n">
        <x:v>2708.4</x:v>
      </x:c>
      <x:c r="F144" s="24" t="n">
        <x:f>ROUND(D144-E144,1)</x:f>
        <x:v>14.4</x:v>
      </x:c>
      <x:c r="G144" s="23" t="str">
        <x:v>IH2509</x:v>
      </x:c>
    </x:row>
    <x:row r="145">
      <x:c r="A145" s="23" t="n">
        <x:v>19</x:v>
      </x:c>
      <x:c r="B145" s="23" t="str">
        <x:v>周五</x:v>
      </x:c>
      <x:c r="C145" s="23" t="str">
        <x:v>6月27日</x:v>
      </x:c>
      <x:c r="D145" s="24" t="n">
        <x:v>2725</x:v>
      </x:c>
      <x:c r="E145" s="24" t="n">
        <x:v>2678.4</x:v>
      </x:c>
      <x:c r="F145" s="24" t="n">
        <x:f>ROUND(D145-E145,1)</x:f>
        <x:v>46.6</x:v>
      </x:c>
      <x:c r="G145" s="23" t="str">
        <x:v>IH2509</x:v>
      </x:c>
    </x:row>
    <x:row r="146">
      <x:c r="A146" s="23" t="n">
        <x:v>20</x:v>
      </x:c>
      <x:c r="B146" s="23" t="str">
        <x:v>周一</x:v>
      </x:c>
      <x:c r="C146" s="23" t="str">
        <x:v>6月30日</x:v>
      </x:c>
      <x:c r="D146" s="24" t="n">
        <x:v>2690.8</x:v>
      </x:c>
      <x:c r="E146" s="24" t="n">
        <x:v>2670.2</x:v>
      </x:c>
      <x:c r="F146" s="24" t="n">
        <x:f>ROUND(D146-E146,1)</x:f>
        <x:v>20.6</x:v>
      </x:c>
      <x:c r="G146" s="23" t="str">
        <x:v>IH2509</x:v>
      </x:c>
    </x:row>
    <x:row r="147">
      <x:c r="A147" s="33" t="str">
        <x:v>合计</x:v>
      </x:c>
      <x:c r="B147" s="32" t="n">
        <x:v>20</x:v>
      </x:c>
      <x:c r="C147" s="32"/>
      <x:c r="D147" s="32"/>
      <x:c r="E147" s="32"/>
      <x:c r="F147" s="34" t="n">
        <x:f>ROUND(SUM(F127:F146),1)</x:f>
        <x:v>559.8</x:v>
      </x:c>
      <x:c r="G147" s="32"/>
    </x:row>
    <x:row r="148">
      <x:c r="A148" s="33" t="str">
        <x:v>均值</x:v>
      </x:c>
      <x:c r="B148" s="32"/>
      <x:c r="C148" s="32"/>
      <x:c r="D148" s="32"/>
      <x:c r="E148" s="32"/>
      <x:c r="F148" s="36" t="n">
        <x:f>ROUND(IFERROR(AVERAGE(F127:F146),0),1)</x:f>
        <x:v>28</x:v>
      </x:c>
      <x:c r="G148" s="32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高点</x:v>
      </x:c>
      <x:c r="E151" s="20" t="str">
        <x:v>低点</x:v>
      </x:c>
      <x:c r="F151" s="20" t="str">
        <x:v>振幅</x:v>
      </x:c>
      <x:c r="G151" s="20" t="str">
        <x:v>标的</x:v>
      </x:c>
    </x:row>
    <x:row r="152">
      <x:c r="A152" s="23" t="n">
        <x:v>1</x:v>
      </x:c>
      <x:c r="B152" s="23" t="str">
        <x:v>周二</x:v>
      </x:c>
      <x:c r="C152" s="23" t="str">
        <x:v>7月1日</x:v>
      </x:c>
      <x:c r="D152" s="24" t="n">
        <x:v>2696.6</x:v>
      </x:c>
      <x:c r="E152" s="24" t="n">
        <x:v>2680.6</x:v>
      </x:c>
      <x:c r="F152" s="24" t="n">
        <x:f>ROUND(D152-E152,1)</x:f>
        <x:v>16</x:v>
      </x:c>
      <x:c r="G152" s="23" t="str">
        <x:v>IH2509</x:v>
      </x:c>
    </x:row>
    <x:row r="153">
      <x:c r="A153" s="23" t="n">
        <x:v>2</x:v>
      </x:c>
      <x:c r="B153" s="23" t="str">
        <x:v>周三</x:v>
      </x:c>
      <x:c r="C153" s="23" t="str">
        <x:v>7月2日</x:v>
      </x:c>
      <x:c r="D153" s="24" t="n">
        <x:v>2701.2</x:v>
      </x:c>
      <x:c r="E153" s="24" t="n">
        <x:v>2683</x:v>
      </x:c>
      <x:c r="F153" s="24" t="n">
        <x:f>ROUND(D153-E153,1)</x:f>
        <x:v>18.2</x:v>
      </x:c>
      <x:c r="G153" s="23" t="str">
        <x:v>IH2509</x:v>
      </x:c>
    </x:row>
    <x:row r="154">
      <x:c r="A154" s="23" t="n">
        <x:v>3</x:v>
      </x:c>
      <x:c r="B154" s="23" t="str">
        <x:v>周四</x:v>
      </x:c>
      <x:c r="C154" s="23" t="str">
        <x:v>7月3日</x:v>
      </x:c>
      <x:c r="D154" s="24" t="n">
        <x:v>2704.4</x:v>
      </x:c>
      <x:c r="E154" s="24" t="n">
        <x:v>2688</x:v>
      </x:c>
      <x:c r="F154" s="24" t="n">
        <x:f>ROUND(D154-E154,1)</x:f>
        <x:v>16.4</x:v>
      </x:c>
      <x:c r="G154" s="23" t="str">
        <x:v>IH2509</x:v>
      </x:c>
    </x:row>
    <x:row r="155">
      <x:c r="A155" s="23" t="n">
        <x:v>4</x:v>
      </x:c>
      <x:c r="B155" s="23" t="str">
        <x:v>周五</x:v>
      </x:c>
      <x:c r="C155" s="23" t="str">
        <x:v>7月4日</x:v>
      </x:c>
      <x:c r="D155" s="24" t="n">
        <x:v>2741.6</x:v>
      </x:c>
      <x:c r="E155" s="24" t="n">
        <x:v>2690</x:v>
      </x:c>
      <x:c r="F155" s="24" t="n">
        <x:f>ROUND(D155-E155,1)</x:f>
        <x:v>51.6</x:v>
      </x:c>
      <x:c r="G155" s="23" t="str">
        <x:v>IH2509</x:v>
      </x:c>
    </x:row>
    <x:row r="156">
      <x:c r="A156" s="23" t="n">
        <x:v>5</x:v>
      </x:c>
      <x:c r="B156" s="23" t="str">
        <x:v>周一</x:v>
      </x:c>
      <x:c r="C156" s="23" t="str">
        <x:v>7月7日</x:v>
      </x:c>
      <x:c r="D156" s="24" t="n">
        <x:v>2715.8</x:v>
      </x:c>
      <x:c r="E156" s="24" t="n">
        <x:v>2699.2</x:v>
      </x:c>
      <x:c r="F156" s="24" t="n">
        <x:f>ROUND(D156-E156,1)</x:f>
        <x:v>16.6</x:v>
      </x:c>
      <x:c r="G156" s="23" t="str">
        <x:v>IH2509</x:v>
      </x:c>
    </x:row>
    <x:row r="157">
      <x:c r="A157" s="23" t="n">
        <x:v>6</x:v>
      </x:c>
      <x:c r="B157" s="23" t="str">
        <x:v>周二</x:v>
      </x:c>
      <x:c r="C157" s="23" t="str">
        <x:v>7月8日</x:v>
      </x:c>
      <x:c r="D157" s="24" t="n">
        <x:v>2733.4</x:v>
      </x:c>
      <x:c r="E157" s="24" t="n">
        <x:v>2709</x:v>
      </x:c>
      <x:c r="F157" s="24" t="n">
        <x:f>ROUND(D157-E157,1)</x:f>
        <x:v>24.4</x:v>
      </x:c>
      <x:c r="G157" s="23" t="str">
        <x:v>IH2509</x:v>
      </x:c>
    </x:row>
    <x:row r="158">
      <x:c r="A158" s="23" t="n">
        <x:v>7</x:v>
      </x:c>
      <x:c r="B158" s="23" t="str">
        <x:v>周三</x:v>
      </x:c>
      <x:c r="C158" s="23" t="str">
        <x:v>7月9日</x:v>
      </x:c>
      <x:c r="D158" s="24" t="n">
        <x:v>2739</x:v>
      </x:c>
      <x:c r="E158" s="24" t="n">
        <x:v>2720</x:v>
      </x:c>
      <x:c r="F158" s="24" t="n">
        <x:f>ROUND(D158-E158,1)</x:f>
        <x:v>19</x:v>
      </x:c>
      <x:c r="G158" s="23" t="str">
        <x:v>IH2509</x:v>
      </x:c>
    </x:row>
    <x:row r="159">
      <x:c r="A159" s="23" t="n">
        <x:v>8</x:v>
      </x:c>
      <x:c r="B159" s="23" t="str">
        <x:v>周四</x:v>
      </x:c>
      <x:c r="C159" s="23" t="str">
        <x:v>7月10日</x:v>
      </x:c>
      <x:c r="D159" s="24" t="n">
        <x:v>2764.8</x:v>
      </x:c>
      <x:c r="E159" s="24" t="n">
        <x:v>2720.4</x:v>
      </x:c>
      <x:c r="F159" s="24" t="n">
        <x:f>ROUND(D159-E159,1)</x:f>
        <x:v>44.4</x:v>
      </x:c>
      <x:c r="G159" s="23" t="str">
        <x:v>IH2509</x:v>
      </x:c>
    </x:row>
    <x:row r="160">
      <x:c r="A160" s="23" t="n">
        <x:v>9</x:v>
      </x:c>
      <x:c r="B160" s="23" t="str">
        <x:v>周五</x:v>
      </x:c>
      <x:c r="C160" s="23" t="str">
        <x:v>7月11日</x:v>
      </x:c>
      <x:c r="D160" s="24" t="n">
        <x:v>2798.8</x:v>
      </x:c>
      <x:c r="E160" s="24" t="n">
        <x:v>2738</x:v>
      </x:c>
      <x:c r="F160" s="26" t="n">
        <x:f>ROUND(D160-E160,1)</x:f>
        <x:v>60.8</x:v>
      </x:c>
      <x:c r="G160" s="23" t="str">
        <x:v>IH2509</x:v>
      </x:c>
    </x:row>
    <x:row r="161">
      <x:c r="A161" s="23" t="n">
        <x:v>10</x:v>
      </x:c>
      <x:c r="B161" s="23" t="str">
        <x:v>周一</x:v>
      </x:c>
      <x:c r="C161" s="23" t="str">
        <x:v>7月14日</x:v>
      </x:c>
      <x:c r="D161" s="24" t="n">
        <x:v>2762</x:v>
      </x:c>
      <x:c r="E161" s="24" t="n">
        <x:v>2745</x:v>
      </x:c>
      <x:c r="F161" s="24" t="n">
        <x:f>ROUND(D161-E161,1)</x:f>
        <x:v>17</x:v>
      </x:c>
      <x:c r="G161" s="23" t="str">
        <x:v>IH2509</x:v>
      </x:c>
    </x:row>
    <x:row r="162">
      <x:c r="A162" s="23" t="n">
        <x:v>11</x:v>
      </x:c>
      <x:c r="B162" s="23" t="str">
        <x:v>周二</x:v>
      </x:c>
      <x:c r="C162" s="23" t="str">
        <x:v>7月15日</x:v>
      </x:c>
      <x:c r="D162" s="24" t="n">
        <x:v>2756.6</x:v>
      </x:c>
      <x:c r="E162" s="24" t="n">
        <x:v>2717.8</x:v>
      </x:c>
      <x:c r="F162" s="24" t="n">
        <x:f>ROUND(D162-E162,1)</x:f>
        <x:v>38.8</x:v>
      </x:c>
      <x:c r="G162" s="23" t="str">
        <x:v>IH2509</x:v>
      </x:c>
    </x:row>
    <x:row r="163">
      <x:c r="A163" s="23" t="n">
        <x:v>12</x:v>
      </x:c>
      <x:c r="B163" s="23" t="str">
        <x:v>周三</x:v>
      </x:c>
      <x:c r="C163" s="23" t="str">
        <x:v>7月16日</x:v>
      </x:c>
      <x:c r="D163" s="24" t="n">
        <x:v>2745.6</x:v>
      </x:c>
      <x:c r="E163" s="24" t="n">
        <x:v>2719.6</x:v>
      </x:c>
      <x:c r="F163" s="24" t="n">
        <x:f>ROUND(D163-E163,1)</x:f>
        <x:v>26</x:v>
      </x:c>
      <x:c r="G163" s="23" t="str">
        <x:v>IH2509</x:v>
      </x:c>
    </x:row>
    <x:row r="164">
      <x:c r="A164" s="23" t="n">
        <x:v>13</x:v>
      </x:c>
      <x:c r="B164" s="23" t="str">
        <x:v>周四</x:v>
      </x:c>
      <x:c r="C164" s="23" t="str">
        <x:v>7月17日</x:v>
      </x:c>
      <x:c r="D164" s="24" t="n">
        <x:v>2741.8</x:v>
      </x:c>
      <x:c r="E164" s="24" t="n">
        <x:v>2725.4</x:v>
      </x:c>
      <x:c r="F164" s="24" t="n">
        <x:f>ROUND(D164-E164,1)</x:f>
        <x:v>16.4</x:v>
      </x:c>
      <x:c r="G164" s="23" t="str">
        <x:v>IH2509</x:v>
      </x:c>
    </x:row>
    <x:row r="165">
      <x:c r="A165" s="29" t="n">
        <x:v>14</x:v>
      </x:c>
      <x:c r="B165" s="29" t="str">
        <x:v>周五</x:v>
      </x:c>
      <x:c r="C165" s="29" t="str">
        <x:v>7月18日</x:v>
      </x:c>
      <x:c r="D165" s="30" t="n">
        <x:v>2770</x:v>
      </x:c>
      <x:c r="E165" s="30" t="n">
        <x:v>2742.6</x:v>
      </x:c>
      <x:c r="F165" s="30" t="n">
        <x:f>ROUND(D165-E165,1)</x:f>
        <x:v>27.4</x:v>
      </x:c>
      <x:c r="G165" s="29" t="str">
        <x:v>IH2509</x:v>
      </x:c>
    </x:row>
    <x:row r="166">
      <x:c r="A166" s="23" t="n">
        <x:v>15</x:v>
      </x:c>
      <x:c r="B166" s="23" t="str">
        <x:v>周一</x:v>
      </x:c>
      <x:c r="C166" s="23" t="str">
        <x:v>7月21日</x:v>
      </x:c>
      <x:c r="D166" s="24" t="n">
        <x:v>2779.8</x:v>
      </x:c>
      <x:c r="E166" s="24" t="n">
        <x:v>2763</x:v>
      </x:c>
      <x:c r="F166" s="24" t="n">
        <x:f>ROUND(D166-E166,1)</x:f>
        <x:v>16.8</x:v>
      </x:c>
      <x:c r="G166" s="23" t="str">
        <x:v>IH2509</x:v>
      </x:c>
    </x:row>
    <x:row r="167">
      <x:c r="A167" s="23" t="n">
        <x:v>16</x:v>
      </x:c>
      <x:c r="B167" s="23" t="str">
        <x:v>周二</x:v>
      </x:c>
      <x:c r="C167" s="23" t="str">
        <x:v>7月22日</x:v>
      </x:c>
      <x:c r="D167" s="24" t="n">
        <x:v>2798.8</x:v>
      </x:c>
      <x:c r="E167" s="24" t="n">
        <x:v>2762.2</x:v>
      </x:c>
      <x:c r="F167" s="24" t="n">
        <x:f>ROUND(D167-E167,1)</x:f>
        <x:v>36.6</x:v>
      </x:c>
      <x:c r="G167" s="23" t="str">
        <x:v>IH2509</x:v>
      </x:c>
    </x:row>
    <x:row r="168">
      <x:c r="A168" s="23" t="n">
        <x:v>17</x:v>
      </x:c>
      <x:c r="B168" s="23" t="str">
        <x:v>周三</x:v>
      </x:c>
      <x:c r="C168" s="23" t="str">
        <x:v>7月23日</x:v>
      </x:c>
      <x:c r="D168" s="24" t="n">
        <x:v>2827.6</x:v>
      </x:c>
      <x:c r="E168" s="24" t="n">
        <x:v>2795</x:v>
      </x:c>
      <x:c r="F168" s="24" t="n">
        <x:f>ROUND(D168-E168,1)</x:f>
        <x:v>32.6</x:v>
      </x:c>
      <x:c r="G168" s="23" t="str">
        <x:v>IH2509</x:v>
      </x:c>
    </x:row>
    <x:row r="169">
      <x:c r="A169" s="23" t="n">
        <x:v>18</x:v>
      </x:c>
      <x:c r="B169" s="23" t="str">
        <x:v>周四</x:v>
      </x:c>
      <x:c r="C169" s="23" t="str">
        <x:v>7月24日</x:v>
      </x:c>
      <x:c r="D169" s="24" t="n">
        <x:v>2823.4</x:v>
      </x:c>
      <x:c r="E169" s="24" t="n">
        <x:v>2795.6</x:v>
      </x:c>
      <x:c r="F169" s="24" t="n">
        <x:f>ROUND(D169-E169,1)</x:f>
        <x:v>27.8</x:v>
      </x:c>
      <x:c r="G169" s="23" t="str">
        <x:v>IH2509</x:v>
      </x:c>
    </x:row>
    <x:row r="170">
      <x:c r="A170" s="23" t="n">
        <x:v>19</x:v>
      </x:c>
      <x:c r="B170" s="23" t="str">
        <x:v>周五</x:v>
      </x:c>
      <x:c r="C170" s="23" t="str">
        <x:v>7月25日</x:v>
      </x:c>
      <x:c r="D170" s="24" t="n">
        <x:v>2813.2</x:v>
      </x:c>
      <x:c r="E170" s="24" t="n">
        <x:v>2787</x:v>
      </x:c>
      <x:c r="F170" s="24" t="n">
        <x:f>ROUND(D170-E170,1)</x:f>
        <x:v>26.2</x:v>
      </x:c>
      <x:c r="G170" s="23" t="str">
        <x:v>IH2509</x:v>
      </x:c>
    </x:row>
    <x:row r="171">
      <x:c r="A171" s="23" t="n">
        <x:v>20</x:v>
      </x:c>
      <x:c r="B171" s="23" t="str">
        <x:v>周一</x:v>
      </x:c>
      <x:c r="C171" s="23" t="str">
        <x:v>7月28日</x:v>
      </x:c>
      <x:c r="D171" s="24" t="n">
        <x:v>2810.6</x:v>
      </x:c>
      <x:c r="E171" s="24" t="n">
        <x:v>2785.4</x:v>
      </x:c>
      <x:c r="F171" s="24" t="n">
        <x:f>ROUND(D171-E171,1)</x:f>
        <x:v>25.2</x:v>
      </x:c>
      <x:c r="G171" s="23" t="str">
        <x:v>IH2509</x:v>
      </x:c>
    </x:row>
    <x:row r="172">
      <x:c r="A172" s="23" t="n">
        <x:v>21</x:v>
      </x:c>
      <x:c r="B172" s="23" t="str">
        <x:v>周二</x:v>
      </x:c>
      <x:c r="C172" s="23" t="str">
        <x:v>7月29日</x:v>
      </x:c>
      <x:c r="D172" s="24" t="n">
        <x:v>2817.6</x:v>
      </x:c>
      <x:c r="E172" s="24" t="n">
        <x:v>2792.8</x:v>
      </x:c>
      <x:c r="F172" s="24" t="n">
        <x:f>ROUND(D172-E172,1)</x:f>
        <x:v>24.8</x:v>
      </x:c>
      <x:c r="G172" s="23" t="str">
        <x:v>IH2509</x:v>
      </x:c>
    </x:row>
    <x:row r="173">
      <x:c r="A173" s="23" t="n">
        <x:v>22</x:v>
      </x:c>
      <x:c r="B173" s="23" t="str">
        <x:v>周三</x:v>
      </x:c>
      <x:c r="C173" s="23" t="str">
        <x:v>7月30日</x:v>
      </x:c>
      <x:c r="D173" s="24" t="n">
        <x:v>2846</x:v>
      </x:c>
      <x:c r="E173" s="24" t="n">
        <x:v>2801</x:v>
      </x:c>
      <x:c r="F173" s="24" t="n">
        <x:f>ROUND(D173-E173,1)</x:f>
        <x:v>45</x:v>
      </x:c>
      <x:c r="G173" s="23" t="str">
        <x:v>IH2509</x:v>
      </x:c>
    </x:row>
    <x:row r="174">
      <x:c r="A174" s="23" t="n">
        <x:v>23</x:v>
      </x:c>
      <x:c r="B174" s="23" t="str">
        <x:v>周四</x:v>
      </x:c>
      <x:c r="C174" s="23" t="str">
        <x:v>7月31日</x:v>
      </x:c>
      <x:c r="D174" s="24" t="n">
        <x:v>2811.6</x:v>
      </x:c>
      <x:c r="E174" s="24" t="n">
        <x:v>2763.4</x:v>
      </x:c>
      <x:c r="F174" s="24" t="n">
        <x:f>ROUND(D174-E174,1)</x:f>
        <x:v>48.2</x:v>
      </x:c>
      <x:c r="G174" s="23" t="str">
        <x:v>IH2509</x:v>
      </x:c>
    </x:row>
    <x:row r="175">
      <x:c r="A175" s="33" t="str">
        <x:v>合计</x:v>
      </x:c>
      <x:c r="B175" s="32" t="n">
        <x:v>23</x:v>
      </x:c>
      <x:c r="C175" s="32"/>
      <x:c r="D175" s="32"/>
      <x:c r="E175" s="32"/>
      <x:c r="F175" s="34" t="n">
        <x:f>ROUND(SUM(F152:F174),1)</x:f>
        <x:v>676.2</x:v>
      </x:c>
      <x:c r="G175" s="32"/>
    </x:row>
    <x:row r="176">
      <x:c r="A176" s="33" t="str">
        <x:v>均值</x:v>
      </x:c>
      <x:c r="B176" s="32"/>
      <x:c r="C176" s="32"/>
      <x:c r="D176" s="32"/>
      <x:c r="E176" s="32"/>
      <x:c r="F176" s="36" t="n">
        <x:f>ROUND(IFERROR(AVERAGE(F152:F174),0),1)</x:f>
        <x:v>29.4</x:v>
      </x:c>
      <x:c r="G176" s="32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高点</x:v>
      </x:c>
      <x:c r="E179" s="20" t="str">
        <x:v>低点</x:v>
      </x:c>
      <x:c r="F179" s="20" t="str">
        <x:v>振幅</x:v>
      </x:c>
      <x:c r="G179" s="20" t="str">
        <x:v>标的</x:v>
      </x:c>
    </x:row>
    <x:row r="180">
      <x:c r="A180" s="23" t="n">
        <x:v>1</x:v>
      </x:c>
      <x:c r="B180" s="23" t="str">
        <x:v>周五</x:v>
      </x:c>
      <x:c r="C180" s="23" t="str">
        <x:v>8月1日</x:v>
      </x:c>
      <x:c r="D180" s="24" t="n">
        <x:v>2781.2</x:v>
      </x:c>
      <x:c r="E180" s="24" t="n">
        <x:v>2749.2</x:v>
      </x:c>
      <x:c r="F180" s="24" t="n">
        <x:f>ROUND(D180-E180,1)</x:f>
        <x:v>32</x:v>
      </x:c>
      <x:c r="G180" s="23" t="str">
        <x:v>IH2509</x:v>
      </x:c>
    </x:row>
    <x:row r="181">
      <x:c r="A181" s="23" t="n">
        <x:v>2</x:v>
      </x:c>
      <x:c r="B181" s="23" t="str">
        <x:v>周一</x:v>
      </x:c>
      <x:c r="C181" s="23" t="str">
        <x:v>8月4日</x:v>
      </x:c>
      <x:c r="D181" s="24" t="n">
        <x:v>2770.8</x:v>
      </x:c>
      <x:c r="E181" s="24" t="n">
        <x:v>2750</x:v>
      </x:c>
      <x:c r="F181" s="24" t="n">
        <x:f>ROUND(D181-E181,1)</x:f>
        <x:v>20.8</x:v>
      </x:c>
      <x:c r="G181" s="23" t="str">
        <x:v>IH2509</x:v>
      </x:c>
    </x:row>
    <x:row r="182">
      <x:c r="A182" s="23" t="n">
        <x:v>3</x:v>
      </x:c>
      <x:c r="B182" s="23" t="str">
        <x:v>周二</x:v>
      </x:c>
      <x:c r="C182" s="23" t="str">
        <x:v>8月5日</x:v>
      </x:c>
      <x:c r="D182" s="24" t="n">
        <x:v>2795</x:v>
      </x:c>
      <x:c r="E182" s="24" t="n">
        <x:v>2767</x:v>
      </x:c>
      <x:c r="F182" s="24" t="n">
        <x:f>ROUND(D182-E182,1)</x:f>
        <x:v>28</x:v>
      </x:c>
      <x:c r="G182" s="23" t="str">
        <x:v>IH2509</x:v>
      </x:c>
    </x:row>
    <x:row r="183">
      <x:c r="A183" s="23" t="n">
        <x:v>4</x:v>
      </x:c>
      <x:c r="B183" s="23" t="str">
        <x:v>周三</x:v>
      </x:c>
      <x:c r="C183" s="23" t="str">
        <x:v>8月6日</x:v>
      </x:c>
      <x:c r="D183" s="24" t="n">
        <x:v>2802.6</x:v>
      </x:c>
      <x:c r="E183" s="24" t="n">
        <x:v>2786</x:v>
      </x:c>
      <x:c r="F183" s="24" t="n">
        <x:f>ROUND(D183-E183,1)</x:f>
        <x:v>16.6</x:v>
      </x:c>
      <x:c r="G183" s="23" t="str">
        <x:v>IH2509</x:v>
      </x:c>
    </x:row>
    <x:row r="184">
      <x:c r="A184" s="23" t="n">
        <x:v>5</x:v>
      </x:c>
      <x:c r="B184" s="23" t="str">
        <x:v>周四</x:v>
      </x:c>
      <x:c r="C184" s="23" t="str">
        <x:v>8月7日</x:v>
      </x:c>
      <x:c r="D184" s="24" t="n">
        <x:v>2810</x:v>
      </x:c>
      <x:c r="E184" s="24" t="n">
        <x:v>2785</x:v>
      </x:c>
      <x:c r="F184" s="24" t="n">
        <x:f>ROUND(D184-E184,1)</x:f>
        <x:v>25</x:v>
      </x:c>
      <x:c r="G184" s="23" t="str">
        <x:v>IH2509</x:v>
      </x:c>
    </x:row>
    <x:row r="185">
      <x:c r="A185" s="23" t="n">
        <x:v>6</x:v>
      </x:c>
      <x:c r="B185" s="23" t="str">
        <x:v>周五</x:v>
      </x:c>
      <x:c r="C185" s="23" t="str">
        <x:v>8月8日</x:v>
      </x:c>
      <x:c r="D185" s="24" t="n">
        <x:v>2800.6</x:v>
      </x:c>
      <x:c r="E185" s="24" t="n">
        <x:v>2782.4</x:v>
      </x:c>
      <x:c r="F185" s="24" t="n">
        <x:f>ROUND(D185-E185,1)</x:f>
        <x:v>18.2</x:v>
      </x:c>
      <x:c r="G185" s="23" t="str">
        <x:v>IH2509</x:v>
      </x:c>
    </x:row>
    <x:row r="186">
      <x:c r="A186" s="23" t="n">
        <x:v>7</x:v>
      </x:c>
      <x:c r="B186" s="23" t="str">
        <x:v>周一</x:v>
      </x:c>
      <x:c r="C186" s="23" t="str">
        <x:v>8月11日</x:v>
      </x:c>
      <x:c r="D186" s="24" t="n">
        <x:v>2802.8</x:v>
      </x:c>
      <x:c r="E186" s="24" t="n">
        <x:v>2784</x:v>
      </x:c>
      <x:c r="F186" s="24" t="n">
        <x:f>ROUND(D186-E186,1)</x:f>
        <x:v>18.8</x:v>
      </x:c>
      <x:c r="G186" s="23" t="str">
        <x:v>IH2509</x:v>
      </x:c>
    </x:row>
    <x:row r="187">
      <x:c r="A187" s="23" t="n">
        <x:v>8</x:v>
      </x:c>
      <x:c r="B187" s="23" t="str">
        <x:v>周二</x:v>
      </x:c>
      <x:c r="C187" s="23" t="str">
        <x:v>8月12日</x:v>
      </x:c>
      <x:c r="D187" s="24" t="n">
        <x:v>2819</x:v>
      </x:c>
      <x:c r="E187" s="24" t="n">
        <x:v>2790.4</x:v>
      </x:c>
      <x:c r="F187" s="24" t="n">
        <x:f>ROUND(D187-E187,1)</x:f>
        <x:v>28.6</x:v>
      </x:c>
      <x:c r="G187" s="23" t="str">
        <x:v>IH2509</x:v>
      </x:c>
    </x:row>
    <x:row r="188">
      <x:c r="A188" s="23" t="n">
        <x:v>9</x:v>
      </x:c>
      <x:c r="B188" s="23" t="str">
        <x:v>周三</x:v>
      </x:c>
      <x:c r="C188" s="23" t="str">
        <x:v>8月13日</x:v>
      </x:c>
      <x:c r="D188" s="24" t="n">
        <x:v>2832.4</x:v>
      </x:c>
      <x:c r="E188" s="24" t="n">
        <x:v>2808.4</x:v>
      </x:c>
      <x:c r="F188" s="24" t="n">
        <x:f>ROUND(D188-E188,1)</x:f>
        <x:v>24</x:v>
      </x:c>
      <x:c r="G188" s="23" t="str">
        <x:v>IH2509</x:v>
      </x:c>
    </x:row>
    <x:row r="189">
      <x:c r="A189" s="23" t="n">
        <x:v>10</x:v>
      </x:c>
      <x:c r="B189" s="23" t="str">
        <x:v>周四</x:v>
      </x:c>
      <x:c r="C189" s="23" t="str">
        <x:v>8月14日</x:v>
      </x:c>
      <x:c r="D189" s="24" t="n">
        <x:v>2858.8</x:v>
      </x:c>
      <x:c r="E189" s="24" t="n">
        <x:v>2822.8</x:v>
      </x:c>
      <x:c r="F189" s="24" t="n">
        <x:f>ROUND(D189-E189,1)</x:f>
        <x:v>36</x:v>
      </x:c>
      <x:c r="G189" s="23" t="str">
        <x:v>IH2509</x:v>
      </x:c>
    </x:row>
    <x:row r="190">
      <x:c r="A190" s="29" t="n">
        <x:v>11</x:v>
      </x:c>
      <x:c r="B190" s="29" t="str">
        <x:v>周五</x:v>
      </x:c>
      <x:c r="C190" s="29" t="str">
        <x:v>8月15日</x:v>
      </x:c>
      <x:c r="D190" s="30" t="n">
        <x:v>2855</x:v>
      </x:c>
      <x:c r="E190" s="30" t="n">
        <x:v>2815</x:v>
      </x:c>
      <x:c r="F190" s="30" t="n">
        <x:f>ROUND(D190-E190,1)</x:f>
        <x:v>40</x:v>
      </x:c>
      <x:c r="G190" s="29" t="str">
        <x:v>IH2509</x:v>
      </x:c>
    </x:row>
    <x:row r="191">
      <x:c r="A191" s="23" t="n">
        <x:v>12</x:v>
      </x:c>
      <x:c r="B191" s="23" t="str">
        <x:v>周一</x:v>
      </x:c>
      <x:c r="C191" s="23" t="str">
        <x:v>8月18日</x:v>
      </x:c>
      <x:c r="D191" s="24" t="n">
        <x:v>2869.4</x:v>
      </x:c>
      <x:c r="E191" s="24" t="n">
        <x:v>2833.6</x:v>
      </x:c>
      <x:c r="F191" s="24" t="n">
        <x:f>ROUND(D191-E191,1)</x:f>
        <x:v>35.8</x:v>
      </x:c>
      <x:c r="G191" s="23" t="str">
        <x:v>IH2509</x:v>
      </x:c>
    </x:row>
    <x:row r="192">
      <x:c r="A192" s="23" t="n">
        <x:v>13</x:v>
      </x:c>
      <x:c r="B192" s="23" t="str">
        <x:v>周二</x:v>
      </x:c>
      <x:c r="C192" s="23" t="str">
        <x:v>8月19日</x:v>
      </x:c>
      <x:c r="D192" s="24" t="n">
        <x:v>2863.8</x:v>
      </x:c>
      <x:c r="E192" s="24" t="n">
        <x:v>2812.6</x:v>
      </x:c>
      <x:c r="F192" s="24" t="n">
        <x:f>ROUND(D192-E192,1)</x:f>
        <x:v>51.2</x:v>
      </x:c>
      <x:c r="G192" s="23" t="str">
        <x:v>IH2509</x:v>
      </x:c>
    </x:row>
    <x:row r="193">
      <x:c r="A193" s="23" t="n">
        <x:v>14</x:v>
      </x:c>
      <x:c r="B193" s="23" t="str">
        <x:v>周三</x:v>
      </x:c>
      <x:c r="C193" s="23" t="str">
        <x:v>8月20日</x:v>
      </x:c>
      <x:c r="D193" s="24" t="n">
        <x:v>2853.2</x:v>
      </x:c>
      <x:c r="E193" s="24" t="n">
        <x:v>2796</x:v>
      </x:c>
      <x:c r="F193" s="24" t="n">
        <x:f>ROUND(D193-E193,1)</x:f>
        <x:v>57.2</x:v>
      </x:c>
      <x:c r="G193" s="23" t="str">
        <x:v>IH2509</x:v>
      </x:c>
    </x:row>
    <x:row r="194">
      <x:c r="A194" s="23" t="n">
        <x:v>15</x:v>
      </x:c>
      <x:c r="B194" s="23" t="str">
        <x:v>周四</x:v>
      </x:c>
      <x:c r="C194" s="23" t="str">
        <x:v>8月21日</x:v>
      </x:c>
      <x:c r="D194" s="24" t="n">
        <x:v>2873.8</x:v>
      </x:c>
      <x:c r="E194" s="24" t="n">
        <x:v>2852.8</x:v>
      </x:c>
      <x:c r="F194" s="24" t="n">
        <x:f>ROUND(D194-E194,1)</x:f>
        <x:v>21</x:v>
      </x:c>
      <x:c r="G194" s="23" t="str">
        <x:v>IH2509</x:v>
      </x:c>
    </x:row>
    <x:row r="195">
      <x:c r="A195" s="23" t="n">
        <x:v>16</x:v>
      </x:c>
      <x:c r="B195" s="23" t="str">
        <x:v>周五</x:v>
      </x:c>
      <x:c r="C195" s="23" t="str">
        <x:v>8月22日</x:v>
      </x:c>
      <x:c r="D195" s="24" t="n">
        <x:v>2942</x:v>
      </x:c>
      <x:c r="E195" s="24" t="n">
        <x:v>2869</x:v>
      </x:c>
      <x:c r="F195" s="26" t="n">
        <x:f>ROUND(D195-E195,1)</x:f>
        <x:v>73</x:v>
      </x:c>
      <x:c r="G195" s="23" t="str">
        <x:v>IH2509</x:v>
      </x:c>
    </x:row>
    <x:row r="196">
      <x:c r="A196" s="23" t="n">
        <x:v>17</x:v>
      </x:c>
      <x:c r="B196" s="23" t="str">
        <x:v>周一</x:v>
      </x:c>
      <x:c r="C196" s="23" t="str">
        <x:v>8月25日</x:v>
      </x:c>
      <x:c r="D196" s="24" t="n">
        <x:v>2999</x:v>
      </x:c>
      <x:c r="E196" s="24" t="n">
        <x:v>2947</x:v>
      </x:c>
      <x:c r="F196" s="24" t="n">
        <x:f>ROUND(D196-E196,1)</x:f>
        <x:v>52</x:v>
      </x:c>
      <x:c r="G196" s="23" t="str">
        <x:v>IH2509</x:v>
      </x:c>
    </x:row>
    <x:row r="197">
      <x:c r="A197" s="23" t="n">
        <x:v>18</x:v>
      </x:c>
      <x:c r="B197" s="23" t="str">
        <x:v>周二</x:v>
      </x:c>
      <x:c r="C197" s="23" t="str">
        <x:v>8月26日</x:v>
      </x:c>
      <x:c r="D197" s="24" t="n">
        <x:v>2989.8</x:v>
      </x:c>
      <x:c r="E197" s="24" t="n">
        <x:v>2965</x:v>
      </x:c>
      <x:c r="F197" s="24" t="n">
        <x:f>ROUND(D197-E197,1)</x:f>
        <x:v>24.8</x:v>
      </x:c>
      <x:c r="G197" s="23" t="str">
        <x:v>IH2509</x:v>
      </x:c>
    </x:row>
    <x:row r="198">
      <x:c r="A198" s="23" t="n">
        <x:v>19</x:v>
      </x:c>
      <x:c r="B198" s="23" t="str">
        <x:v>周三</x:v>
      </x:c>
      <x:c r="C198" s="23" t="str">
        <x:v>8月27日</x:v>
      </x:c>
      <x:c r="D198" s="24" t="n">
        <x:v>2985.6</x:v>
      </x:c>
      <x:c r="E198" s="24" t="n">
        <x:v>2917</x:v>
      </x:c>
      <x:c r="F198" s="26" t="n">
        <x:f>ROUND(D198-E198,1)</x:f>
        <x:v>68.6</x:v>
      </x:c>
      <x:c r="G198" s="23" t="str">
        <x:v>IH2509</x:v>
      </x:c>
    </x:row>
    <x:row r="199">
      <x:c r="A199" s="23" t="n">
        <x:v>20</x:v>
      </x:c>
      <x:c r="B199" s="23" t="str">
        <x:v>周四</x:v>
      </x:c>
      <x:c r="C199" s="23" t="str">
        <x:v>8月28日</x:v>
      </x:c>
      <x:c r="D199" s="24" t="n">
        <x:v>2963.4</x:v>
      </x:c>
      <x:c r="E199" s="24" t="n">
        <x:v>2905.8</x:v>
      </x:c>
      <x:c r="F199" s="24" t="n">
        <x:f>ROUND(D199-E199,1)</x:f>
        <x:v>57.6</x:v>
      </x:c>
      <x:c r="G199" s="23" t="str">
        <x:v>IH2509</x:v>
      </x:c>
    </x:row>
    <x:row r="200">
      <x:c r="A200" s="23" t="n">
        <x:v>21</x:v>
      </x:c>
      <x:c r="B200" s="23" t="str">
        <x:v>周五</x:v>
      </x:c>
      <x:c r="C200" s="23" t="str">
        <x:v>8月29日</x:v>
      </x:c>
      <x:c r="D200" s="24" t="n">
        <x:v>2990.6</x:v>
      </x:c>
      <x:c r="E200" s="24" t="n">
        <x:v>2952</x:v>
      </x:c>
      <x:c r="F200" s="24" t="n">
        <x:f>ROUND(D200-E200,1)</x:f>
        <x:v>38.6</x:v>
      </x:c>
      <x:c r="G200" s="23" t="str">
        <x:v>IH2509</x:v>
      </x:c>
    </x:row>
    <x:row r="201">
      <x:c r="A201" s="33" t="str">
        <x:v>合计</x:v>
      </x:c>
      <x:c r="B201" s="32" t="n">
        <x:v>21</x:v>
      </x:c>
      <x:c r="C201" s="32"/>
      <x:c r="D201" s="32"/>
      <x:c r="E201" s="32"/>
      <x:c r="F201" s="34" t="n">
        <x:f>ROUND(SUM(F180:F200),1)</x:f>
        <x:v>767.8</x:v>
      </x:c>
      <x:c r="G201" s="32"/>
    </x:row>
    <x:row r="202">
      <x:c r="A202" s="33" t="str">
        <x:v>均值</x:v>
      </x:c>
      <x:c r="B202" s="32"/>
      <x:c r="C202" s="32"/>
      <x:c r="D202" s="32"/>
      <x:c r="E202" s="32"/>
      <x:c r="F202" s="36" t="n">
        <x:f>ROUND(IFERROR(AVERAGE(F180:F200),0),1)</x:f>
        <x:v>36.6</x:v>
      </x:c>
      <x:c r="G202" s="32"/>
    </x:row>
    <x:row r="204">
      <x:c r="A204" s="17" t="str">
        <x:v>9月</x:v>
      </x:c>
      <x:c r="B204" s="17"/>
      <x:c r="C204" s="17"/>
      <x:c r="D204" s="17"/>
      <x:c r="E204" s="17"/>
      <x:c r="F204" s="17"/>
      <x:c r="G204" s="17"/>
    </x:row>
    <x:row r="205">
      <x:c r="A205" s="20" t="str">
        <x:v>序号</x:v>
      </x:c>
      <x:c r="B205" s="20" t="str">
        <x:v>星期</x:v>
      </x:c>
      <x:c r="C205" s="20" t="str">
        <x:v>日期</x:v>
      </x:c>
      <x:c r="D205" s="20" t="str">
        <x:v>高点</x:v>
      </x:c>
      <x:c r="E205" s="20" t="str">
        <x:v>低点</x:v>
      </x:c>
      <x:c r="F205" s="20" t="str">
        <x:v>振幅</x:v>
      </x:c>
      <x:c r="G205" s="20" t="str">
        <x:v>标的</x:v>
      </x:c>
    </x:row>
    <x:row r="206">
      <x:c r="A206" s="23" t="n">
        <x:v>1</x:v>
      </x:c>
      <x:c r="B206" s="23" t="str">
        <x:v>周一</x:v>
      </x:c>
      <x:c r="C206" s="23" t="str">
        <x:v>9月1日</x:v>
      </x:c>
      <x:c r="D206" s="24" t="n">
        <x:v>2996</x:v>
      </x:c>
      <x:c r="E206" s="24" t="n">
        <x:v>2962.4</x:v>
      </x:c>
      <x:c r="F206" s="24" t="n">
        <x:f>ROUND(D206-E206,1)</x:f>
        <x:v>33.6</x:v>
      </x:c>
      <x:c r="G206" s="23" t="str">
        <x:v>IH2509</x:v>
      </x:c>
    </x:row>
    <x:row r="207">
      <x:c r="A207" s="23" t="n">
        <x:v>2</x:v>
      </x:c>
      <x:c r="B207" s="23" t="str">
        <x:v>周二</x:v>
      </x:c>
      <x:c r="C207" s="23" t="str">
        <x:v>9月2日</x:v>
      </x:c>
      <x:c r="D207" s="24" t="n">
        <x:v>3007.6</x:v>
      </x:c>
      <x:c r="E207" s="24" t="n">
        <x:v>2965.6</x:v>
      </x:c>
      <x:c r="F207" s="24" t="n">
        <x:f>ROUND(D207-E207,1)</x:f>
        <x:v>42</x:v>
      </x:c>
      <x:c r="G207" s="23" t="str">
        <x:v>IH2509</x:v>
      </x:c>
    </x:row>
    <x:row r="208">
      <x:c r="A208" s="23" t="n">
        <x:v>3</x:v>
      </x:c>
      <x:c r="B208" s="23" t="str">
        <x:v>周三</x:v>
      </x:c>
      <x:c r="C208" s="23" t="str">
        <x:v>9月3日</x:v>
      </x:c>
      <x:c r="D208" s="24" t="n">
        <x:v>3005.2</x:v>
      </x:c>
      <x:c r="E208" s="24" t="n">
        <x:v>2930.2</x:v>
      </x:c>
      <x:c r="F208" s="26" t="n">
        <x:f>ROUND(D208-E208,1)</x:f>
        <x:v>75</x:v>
      </x:c>
      <x:c r="G208" s="23" t="str">
        <x:v>IH2509</x:v>
      </x:c>
    </x:row>
    <x:row r="209">
      <x:c r="A209" s="23" t="n">
        <x:v>4</x:v>
      </x:c>
      <x:c r="B209" s="23" t="str">
        <x:v>周四</x:v>
      </x:c>
      <x:c r="C209" s="23" t="str">
        <x:v>9月4日</x:v>
      </x:c>
      <x:c r="D209" s="24" t="n">
        <x:v>2953</x:v>
      </x:c>
      <x:c r="E209" s="24" t="n">
        <x:v>2872</x:v>
      </x:c>
      <x:c r="F209" s="26" t="n">
        <x:f>ROUND(D209-E209,1)</x:f>
        <x:v>81</x:v>
      </x:c>
      <x:c r="G209" s="23" t="str">
        <x:v>IH2509</x:v>
      </x:c>
    </x:row>
    <x:row r="210">
      <x:c r="A210" s="23" t="n">
        <x:v>5</x:v>
      </x:c>
      <x:c r="B210" s="23" t="str">
        <x:v>周五</x:v>
      </x:c>
      <x:c r="C210" s="23" t="str">
        <x:v>9月5日</x:v>
      </x:c>
      <x:c r="D210" s="24" t="n">
        <x:v>2949.6</x:v>
      </x:c>
      <x:c r="E210" s="24" t="n">
        <x:v>2895.2</x:v>
      </x:c>
      <x:c r="F210" s="24" t="n">
        <x:f>ROUND(D210-E210,1)</x:f>
        <x:v>54.4</x:v>
      </x:c>
      <x:c r="G210" s="23" t="str">
        <x:v>IH2509</x:v>
      </x:c>
    </x:row>
    <x:row r="211">
      <x:c r="A211" s="23" t="n">
        <x:v>6</x:v>
      </x:c>
      <x:c r="B211" s="23" t="str">
        <x:v>周一</x:v>
      </x:c>
      <x:c r="C211" s="23" t="str">
        <x:v>9月8日</x:v>
      </x:c>
      <x:c r="D211" s="24" t="n">
        <x:v>2952.8</x:v>
      </x:c>
      <x:c r="E211" s="24" t="n">
        <x:v>2920.6</x:v>
      </x:c>
      <x:c r="F211" s="24" t="n">
        <x:f>ROUND(D211-E211,1)</x:f>
        <x:v>32.2</x:v>
      </x:c>
      <x:c r="G211" s="23" t="str">
        <x:v>IH2509</x:v>
      </x:c>
    </x:row>
    <x:row r="212">
      <x:c r="A212" s="23" t="n">
        <x:v>7</x:v>
      </x:c>
      <x:c r="B212" s="23" t="str">
        <x:v>周二</x:v>
      </x:c>
      <x:c r="C212" s="23" t="str">
        <x:v>9月9日</x:v>
      </x:c>
      <x:c r="D212" s="24" t="n">
        <x:v>2947.8</x:v>
      </x:c>
      <x:c r="E212" s="24" t="n">
        <x:v>2911</x:v>
      </x:c>
      <x:c r="F212" s="24" t="n">
        <x:f>ROUND(D212-E212,1)</x:f>
        <x:v>36.8</x:v>
      </x:c>
      <x:c r="G212" s="23" t="str">
        <x:v>IH2509</x:v>
      </x:c>
    </x:row>
    <x:row r="213">
      <x:c r="A213" s="23" t="n">
        <x:v>8</x:v>
      </x:c>
      <x:c r="B213" s="23" t="str">
        <x:v>周三</x:v>
      </x:c>
      <x:c r="C213" s="23" t="str">
        <x:v>9月10日</x:v>
      </x:c>
      <x:c r="D213" s="24" t="n">
        <x:v>2955.8</x:v>
      </x:c>
      <x:c r="E213" s="24" t="n">
        <x:v>2921</x:v>
      </x:c>
      <x:c r="F213" s="24" t="n">
        <x:f>ROUND(D213-E213,1)</x:f>
        <x:v>34.8</x:v>
      </x:c>
      <x:c r="G213" s="23" t="str">
        <x:v>IH2509</x:v>
      </x:c>
    </x:row>
    <x:row r="214">
      <x:c r="A214" s="23" t="n">
        <x:v>9</x:v>
      </x:c>
      <x:c r="B214" s="23" t="str">
        <x:v>周四</x:v>
      </x:c>
      <x:c r="C214" s="23" t="str">
        <x:v>9月11日</x:v>
      </x:c>
      <x:c r="D214" s="24" t="n">
        <x:v>2990.4</x:v>
      </x:c>
      <x:c r="E214" s="24" t="n">
        <x:v>2912.6</x:v>
      </x:c>
      <x:c r="F214" s="26" t="n">
        <x:f>ROUND(D214-E214,1)</x:f>
        <x:v>77.8</x:v>
      </x:c>
      <x:c r="G214" s="23" t="str">
        <x:v>IH2509</x:v>
      </x:c>
    </x:row>
    <x:row r="215">
      <x:c r="A215" s="23" t="n">
        <x:v>10</x:v>
      </x:c>
      <x:c r="B215" s="23" t="str">
        <x:v>周五</x:v>
      </x:c>
      <x:c r="C215" s="23" t="str">
        <x:v>9月12日</x:v>
      </x:c>
      <x:c r="D215" s="24" t="n">
        <x:v>3008</x:v>
      </x:c>
      <x:c r="E215" s="24" t="n">
        <x:v>2963.4</x:v>
      </x:c>
      <x:c r="F215" s="24" t="n">
        <x:f>ROUND(D215-E215,1)</x:f>
        <x:v>44.6</x:v>
      </x:c>
      <x:c r="G215" s="23" t="str">
        <x:v>IH2509</x:v>
      </x:c>
    </x:row>
    <x:row r="216">
      <x:c r="A216" s="23" t="n">
        <x:v>11</x:v>
      </x:c>
      <x:c r="B216" s="23" t="str">
        <x:v>周一</x:v>
      </x:c>
      <x:c r="C216" s="23" t="str">
        <x:v>9月15日</x:v>
      </x:c>
      <x:c r="D216" s="24" t="n">
        <x:v>2984</x:v>
      </x:c>
      <x:c r="E216" s="24" t="n">
        <x:v>2955.6</x:v>
      </x:c>
      <x:c r="F216" s="24" t="n">
        <x:f>ROUND(D216-E216,1)</x:f>
        <x:v>28.4</x:v>
      </x:c>
      <x:c r="G216" s="23" t="str">
        <x:v>IH2509</x:v>
      </x:c>
    </x:row>
    <x:row r="217">
      <x:c r="A217" s="23" t="n">
        <x:v>12</x:v>
      </x:c>
      <x:c r="B217" s="23" t="str">
        <x:v>周二</x:v>
      </x:c>
      <x:c r="C217" s="23" t="str">
        <x:v>9月16日</x:v>
      </x:c>
      <x:c r="D217" s="24" t="n">
        <x:v>2975.8</x:v>
      </x:c>
      <x:c r="E217" s="24" t="n">
        <x:v>2942.4</x:v>
      </x:c>
      <x:c r="F217" s="24" t="n">
        <x:f>ROUND(D217-E217,1)</x:f>
        <x:v>33.4</x:v>
      </x:c>
      <x:c r="G217" s="23" t="str">
        <x:v>IH2509</x:v>
      </x:c>
    </x:row>
    <x:row r="218">
      <x:c r="A218" s="23" t="n">
        <x:v>13</x:v>
      </x:c>
      <x:c r="B218" s="23" t="str">
        <x:v>周三</x:v>
      </x:c>
      <x:c r="C218" s="23" t="str">
        <x:v>9月17日</x:v>
      </x:c>
      <x:c r="D218" s="24" t="n">
        <x:v>2962.6</x:v>
      </x:c>
      <x:c r="E218" s="24" t="n">
        <x:v>2935</x:v>
      </x:c>
      <x:c r="F218" s="24" t="n">
        <x:f>ROUND(D218-E218,1)</x:f>
        <x:v>27.6</x:v>
      </x:c>
      <x:c r="G218" s="23" t="str">
        <x:v>IH2509</x:v>
      </x:c>
    </x:row>
    <x:row r="219">
      <x:c r="A219" s="23" t="n">
        <x:v>14</x:v>
      </x:c>
      <x:c r="B219" s="23" t="str">
        <x:v>周四</x:v>
      </x:c>
      <x:c r="C219" s="23" t="str">
        <x:v>9月18日</x:v>
      </x:c>
      <x:c r="D219" s="24" t="n">
        <x:v>2976</x:v>
      </x:c>
      <x:c r="E219" s="24" t="n">
        <x:v>2888.4</x:v>
      </x:c>
      <x:c r="F219" s="26" t="n">
        <x:f>ROUND(D219-E219,1)</x:f>
        <x:v>87.6</x:v>
      </x:c>
      <x:c r="G219" s="23" t="str">
        <x:v>IH2509</x:v>
      </x:c>
    </x:row>
    <x:row r="220">
      <x:c r="A220" s="29" t="n">
        <x:v>15</x:v>
      </x:c>
      <x:c r="B220" s="29" t="str">
        <x:v>周五</x:v>
      </x:c>
      <x:c r="C220" s="29" t="str">
        <x:v>9月19日</x:v>
      </x:c>
      <x:c r="D220" s="30" t="n">
        <x:v>2929.8</x:v>
      </x:c>
      <x:c r="E220" s="30" t="n">
        <x:v>2907</x:v>
      </x:c>
      <x:c r="F220" s="30" t="n">
        <x:f>ROUND(D220-E220,1)</x:f>
        <x:v>22.8</x:v>
      </x:c>
      <x:c r="G220" s="29" t="str">
        <x:v>IH2509</x:v>
      </x:c>
    </x:row>
    <x:row r="221">
      <x:c r="A221" s="23" t="n">
        <x:v>16</x:v>
      </x:c>
      <x:c r="B221" s="23" t="str">
        <x:v>周一</x:v>
      </x:c>
      <x:c r="C221" s="23" t="str">
        <x:v>9月22日</x:v>
      </x:c>
      <x:c r="D221" s="24" t="n">
        <x:v>2930</x:v>
      </x:c>
      <x:c r="E221" s="24" t="n">
        <x:v>2902</x:v>
      </x:c>
      <x:c r="F221" s="24" t="n">
        <x:f>ROUND(D221-E221,1)</x:f>
        <x:v>28</x:v>
      </x:c>
      <x:c r="G221" s="23" t="str">
        <x:v>IH2512</x:v>
      </x:c>
    </x:row>
    <x:row r="222">
      <x:c r="A222" s="23" t="n">
        <x:v>17</x:v>
      </x:c>
      <x:c r="B222" s="23" t="str">
        <x:v>周二</x:v>
      </x:c>
      <x:c r="C222" s="23" t="str">
        <x:v>9月23日</x:v>
      </x:c>
      <x:c r="D222" s="24" t="n">
        <x:v>2936.6</x:v>
      </x:c>
      <x:c r="E222" s="24" t="n">
        <x:v>2889</x:v>
      </x:c>
      <x:c r="F222" s="24" t="n">
        <x:f>ROUND(D222-E222,1)</x:f>
        <x:v>47.6</x:v>
      </x:c>
      <x:c r="G222" s="23" t="str">
        <x:v>IH2512</x:v>
      </x:c>
    </x:row>
    <x:row r="223">
      <x:c r="A223" s="23" t="n">
        <x:v>18</x:v>
      </x:c>
      <x:c r="B223" s="23" t="str">
        <x:v>周三</x:v>
      </x:c>
      <x:c r="C223" s="23" t="str">
        <x:v>9月24日</x:v>
      </x:c>
      <x:c r="D223" s="24" t="n">
        <x:v>2946</x:v>
      </x:c>
      <x:c r="E223" s="24" t="n">
        <x:v>2915.2</x:v>
      </x:c>
      <x:c r="F223" s="24" t="n">
        <x:f>ROUND(D223-E223,1)</x:f>
        <x:v>30.8</x:v>
      </x:c>
      <x:c r="G223" s="23" t="str">
        <x:v>IH2512</x:v>
      </x:c>
    </x:row>
    <x:row r="224">
      <x:c r="A224" s="23" t="n">
        <x:v>19</x:v>
      </x:c>
      <x:c r="B224" s="23" t="str">
        <x:v>周四</x:v>
      </x:c>
      <x:c r="C224" s="23" t="str">
        <x:v>9月25日</x:v>
      </x:c>
      <x:c r="D224" s="24" t="n">
        <x:v>2965</x:v>
      </x:c>
      <x:c r="E224" s="24" t="n">
        <x:v>2940.2</x:v>
      </x:c>
      <x:c r="F224" s="24" t="n">
        <x:f>ROUND(D224-E224,1)</x:f>
        <x:v>24.8</x:v>
      </x:c>
      <x:c r="G224" s="23" t="str">
        <x:v>IH2512</x:v>
      </x:c>
    </x:row>
    <x:row r="225">
      <x:c r="A225" s="23" t="n">
        <x:v>20</x:v>
      </x:c>
      <x:c r="B225" s="23" t="str">
        <x:v>周五</x:v>
      </x:c>
      <x:c r="C225" s="23" t="str">
        <x:v>9月26日</x:v>
      </x:c>
      <x:c r="D225" s="24" t="n">
        <x:v>2964</x:v>
      </x:c>
      <x:c r="E225" s="24" t="n">
        <x:v>2941.2</x:v>
      </x:c>
      <x:c r="F225" s="24" t="n">
        <x:f>ROUND(D225-E225,1)</x:f>
        <x:v>22.8</x:v>
      </x:c>
      <x:c r="G225" s="23" t="str">
        <x:v>IH2512</x:v>
      </x:c>
    </x:row>
    <x:row r="226">
      <x:c r="A226" s="23" t="n">
        <x:v>21</x:v>
      </x:c>
      <x:c r="B226" s="23" t="str">
        <x:v>周一</x:v>
      </x:c>
      <x:c r="C226" s="23" t="str">
        <x:v>9月29日</x:v>
      </x:c>
      <x:c r="D226" s="24" t="n">
        <x:v>3009.6</x:v>
      </x:c>
      <x:c r="E226" s="24" t="n">
        <x:v>2922.6</x:v>
      </x:c>
      <x:c r="F226" s="26" t="n">
        <x:f>ROUND(D226-E226,1)</x:f>
        <x:v>87</x:v>
      </x:c>
      <x:c r="G226" s="23" t="str">
        <x:v>IH2512</x:v>
      </x:c>
    </x:row>
    <x:row r="227">
      <x:c r="A227" s="23" t="n">
        <x:v>22</x:v>
      </x:c>
      <x:c r="B227" s="23" t="str">
        <x:v>周二</x:v>
      </x:c>
      <x:c r="C227" s="23" t="str">
        <x:v>9月30日</x:v>
      </x:c>
      <x:c r="D227" s="24" t="n">
        <x:v>2993</x:v>
      </x:c>
      <x:c r="E227" s="24" t="n">
        <x:v>2977.8</x:v>
      </x:c>
      <x:c r="F227" s="24" t="n">
        <x:f>ROUND(D227-E227,1)</x:f>
        <x:v>15.2</x:v>
      </x:c>
      <x:c r="G227" s="23" t="str">
        <x:v>IH2512</x:v>
      </x:c>
    </x:row>
    <x:row r="228">
      <x:c r="A228" s="33" t="str">
        <x:v>合计</x:v>
      </x:c>
      <x:c r="B228" s="32" t="n">
        <x:v>22</x:v>
      </x:c>
      <x:c r="C228" s="32"/>
      <x:c r="D228" s="32"/>
      <x:c r="E228" s="32"/>
      <x:c r="F228" s="34" t="n">
        <x:f>ROUND(SUM(F206:F227),1)</x:f>
        <x:v>968.2</x:v>
      </x:c>
      <x:c r="G228" s="32"/>
    </x:row>
    <x:row r="229">
      <x:c r="A229" s="33" t="str">
        <x:v>均值</x:v>
      </x:c>
      <x:c r="B229" s="32"/>
      <x:c r="C229" s="32"/>
      <x:c r="D229" s="32"/>
      <x:c r="E229" s="32"/>
      <x:c r="F229" s="36" t="n">
        <x:f>ROUND(IFERROR(AVERAGE(F206:F227),0),1)</x:f>
        <x:v>44</x:v>
      </x:c>
      <x:c r="G229" s="32"/>
    </x:row>
    <x:row r="231">
      <x:c r="A231" s="17" t="str">
        <x:v>10月</x:v>
      </x:c>
      <x:c r="B231" s="17"/>
      <x:c r="C231" s="17"/>
      <x:c r="D231" s="17"/>
      <x:c r="E231" s="17"/>
      <x:c r="F231" s="17"/>
      <x:c r="G231" s="17"/>
    </x:row>
    <x:row r="232">
      <x:c r="A232" s="20" t="str">
        <x:v>序号</x:v>
      </x:c>
      <x:c r="B232" s="20" t="str">
        <x:v>星期</x:v>
      </x:c>
      <x:c r="C232" s="20" t="str">
        <x:v>日期</x:v>
      </x:c>
      <x:c r="D232" s="20" t="str">
        <x:v>高点</x:v>
      </x:c>
      <x:c r="E232" s="20" t="str">
        <x:v>低点</x:v>
      </x:c>
      <x:c r="F232" s="20" t="str">
        <x:v>振幅</x:v>
      </x:c>
      <x:c r="G232" s="20" t="str">
        <x:v>标的</x:v>
      </x:c>
    </x:row>
    <x:row r="233">
      <x:c r="A233" s="23" t="n">
        <x:v>1</x:v>
      </x:c>
      <x:c r="B233" s="23" t="str">
        <x:v>周四</x:v>
      </x:c>
      <x:c r="C233" s="23" t="str">
        <x:v>10月9日</x:v>
      </x:c>
      <x:c r="D233" s="24" t="n">
        <x:v>3034.2</x:v>
      </x:c>
      <x:c r="E233" s="24" t="n">
        <x:v>2985</x:v>
      </x:c>
      <x:c r="F233" s="24" t="n">
        <x:f>ROUND(D233-E233,1)</x:f>
        <x:v>49.2</x:v>
      </x:c>
      <x:c r="G233" s="23" t="str">
        <x:v>IH2512</x:v>
      </x:c>
    </x:row>
    <x:row r="234">
      <x:c r="A234" s="23" t="n">
        <x:v>2</x:v>
      </x:c>
      <x:c r="B234" s="23" t="str">
        <x:v>周五</x:v>
      </x:c>
      <x:c r="C234" s="23" t="str">
        <x:v>10月10日</x:v>
      </x:c>
      <x:c r="D234" s="24" t="n">
        <x:v>3014.6</x:v>
      </x:c>
      <x:c r="E234" s="24" t="n">
        <x:v>2966</x:v>
      </x:c>
      <x:c r="F234" s="24" t="n">
        <x:f>ROUND(D234-E234,1)</x:f>
        <x:v>48.6</x:v>
      </x:c>
      <x:c r="G234" s="23" t="str">
        <x:v>IH2512</x:v>
      </x:c>
    </x:row>
    <x:row r="235">
      <x:c r="A235" s="23" t="n">
        <x:v>3</x:v>
      </x:c>
      <x:c r="B235" s="23" t="str">
        <x:v>周一</x:v>
      </x:c>
      <x:c r="C235" s="23" t="str">
        <x:v>10月13日</x:v>
      </x:c>
      <x:c r="D235" s="24" t="n">
        <x:v>2969</x:v>
      </x:c>
      <x:c r="E235" s="24" t="n">
        <x:v>2925.4</x:v>
      </x:c>
      <x:c r="F235" s="24" t="n">
        <x:f>ROUND(D235-E235,1)</x:f>
        <x:v>43.6</x:v>
      </x:c>
      <x:c r="G235" s="23" t="str">
        <x:v>IH2512</x:v>
      </x:c>
    </x:row>
    <x:row r="236">
      <x:c r="A236" s="23" t="n">
        <x:v>4</x:v>
      </x:c>
      <x:c r="B236" s="23" t="str">
        <x:v>周二</x:v>
      </x:c>
      <x:c r="C236" s="23" t="str">
        <x:v>10月14日</x:v>
      </x:c>
      <x:c r="D236" s="24" t="n">
        <x:v>2990.2</x:v>
      </x:c>
      <x:c r="E236" s="24" t="n">
        <x:v>2943.6</x:v>
      </x:c>
      <x:c r="F236" s="24" t="n">
        <x:f>ROUND(D236-E236,1)</x:f>
        <x:v>46.6</x:v>
      </x:c>
      <x:c r="G236" s="23" t="str">
        <x:v>IH2512</x:v>
      </x:c>
    </x:row>
    <x:row r="237">
      <x:c r="A237" s="23" t="n">
        <x:v>5</x:v>
      </x:c>
      <x:c r="B237" s="23" t="str">
        <x:v>周三</x:v>
      </x:c>
      <x:c r="C237" s="23" t="str">
        <x:v>10月15日</x:v>
      </x:c>
      <x:c r="D237" s="24" t="n">
        <x:v>3006.8</x:v>
      </x:c>
      <x:c r="E237" s="24" t="n">
        <x:v>2956.2</x:v>
      </x:c>
      <x:c r="F237" s="24" t="n">
        <x:f>ROUND(D237-E237,1)</x:f>
        <x:v>50.6</x:v>
      </x:c>
      <x:c r="G237" s="23" t="str">
        <x:v>IH2512</x:v>
      </x:c>
    </x:row>
    <x:row r="238">
      <x:c r="A238" s="23" t="n">
        <x:v>6</x:v>
      </x:c>
      <x:c r="B238" s="23" t="str">
        <x:v>周四</x:v>
      </x:c>
      <x:c r="C238" s="23" t="str">
        <x:v>10月16日</x:v>
      </x:c>
      <x:c r="D238" s="24" t="n">
        <x:v>3030.6</x:v>
      </x:c>
      <x:c r="E238" s="24" t="n">
        <x:v>2990.2</x:v>
      </x:c>
      <x:c r="F238" s="24" t="n">
        <x:f>ROUND(D238-E238,1)</x:f>
        <x:v>40.4</x:v>
      </x:c>
      <x:c r="G238" s="23" t="str">
        <x:v>IH2512</x:v>
      </x:c>
    </x:row>
    <x:row r="239">
      <x:c r="A239" s="29" t="n">
        <x:v>7</x:v>
      </x:c>
      <x:c r="B239" s="29" t="str">
        <x:v>周五</x:v>
      </x:c>
      <x:c r="C239" s="29" t="str">
        <x:v>10月17日</x:v>
      </x:c>
      <x:c r="D239" s="30" t="n">
        <x:v>3025</x:v>
      </x:c>
      <x:c r="E239" s="30" t="n">
        <x:v>2951.2</x:v>
      </x:c>
      <x:c r="F239" s="26" t="n">
        <x:f>ROUND(D239-E239,1)</x:f>
        <x:v>73.8</x:v>
      </x:c>
      <x:c r="G239" s="29" t="str">
        <x:v>IH2512</x:v>
      </x:c>
    </x:row>
    <x:row r="240">
      <x:c r="A240" s="23" t="n">
        <x:v>8</x:v>
      </x:c>
      <x:c r="B240" s="23" t="str">
        <x:v>周一</x:v>
      </x:c>
      <x:c r="C240" s="23" t="str">
        <x:v>10月20日</x:v>
      </x:c>
      <x:c r="D240" s="24" t="n">
        <x:v>2995.8</x:v>
      </x:c>
      <x:c r="E240" s="24" t="n">
        <x:v>2962.8</x:v>
      </x:c>
      <x:c r="F240" s="24" t="n">
        <x:f>ROUND(D240-E240,1)</x:f>
        <x:v>33</x:v>
      </x:c>
      <x:c r="G240" s="23" t="str">
        <x:v>IH2512</x:v>
      </x:c>
    </x:row>
    <x:row r="241">
      <x:c r="A241" s="23" t="n">
        <x:v>9</x:v>
      </x:c>
      <x:c r="B241" s="23" t="str">
        <x:v>周二</x:v>
      </x:c>
      <x:c r="C241" s="23" t="str">
        <x:v>10月21日</x:v>
      </x:c>
      <x:c r="D241" s="24" t="n">
        <x:v>3014.4</x:v>
      </x:c>
      <x:c r="E241" s="24" t="n">
        <x:v>2973.2</x:v>
      </x:c>
      <x:c r="F241" s="24" t="n">
        <x:f>ROUND(D241-E241,1)</x:f>
        <x:v>41.2</x:v>
      </x:c>
      <x:c r="G241" s="23" t="str">
        <x:v>IH2512</x:v>
      </x:c>
    </x:row>
    <x:row r="242">
      <x:c r="A242" s="23" t="n">
        <x:v>10</x:v>
      </x:c>
      <x:c r="B242" s="23" t="str">
        <x:v>周三</x:v>
      </x:c>
      <x:c r="C242" s="23" t="str">
        <x:v>10月22日</x:v>
      </x:c>
      <x:c r="D242" s="24" t="n">
        <x:v>3011.4</x:v>
      </x:c>
      <x:c r="E242" s="24" t="n">
        <x:v>2981.6</x:v>
      </x:c>
      <x:c r="F242" s="24" t="n">
        <x:f>ROUND(D242-E242,1)</x:f>
        <x:v>29.8</x:v>
      </x:c>
      <x:c r="G242" s="23" t="str">
        <x:v>IH2512</x:v>
      </x:c>
    </x:row>
    <x:row r="243">
      <x:c r="A243" s="23" t="n">
        <x:v>11</x:v>
      </x:c>
      <x:c r="B243" s="23" t="str">
        <x:v>周四</x:v>
      </x:c>
      <x:c r="C243" s="23" t="str">
        <x:v>10月23日</x:v>
      </x:c>
      <x:c r="D243" s="24" t="n">
        <x:v>3030</x:v>
      </x:c>
      <x:c r="E243" s="24" t="n">
        <x:v>2976.8</x:v>
      </x:c>
      <x:c r="F243" s="24" t="n">
        <x:f>ROUND(D243-E243,1)</x:f>
        <x:v>53.2</x:v>
      </x:c>
      <x:c r="G243" s="23" t="str">
        <x:v>IH2512</x:v>
      </x:c>
    </x:row>
    <x:row r="244">
      <x:c r="A244" s="23" t="n">
        <x:v>12</x:v>
      </x:c>
      <x:c r="B244" s="23" t="str">
        <x:v>周五</x:v>
      </x:c>
      <x:c r="C244" s="23" t="str">
        <x:v>10月24日</x:v>
      </x:c>
      <x:c r="D244" s="24" t="n">
        <x:v>3056.2</x:v>
      </x:c>
      <x:c r="E244" s="24" t="n">
        <x:v>3026.4</x:v>
      </x:c>
      <x:c r="F244" s="24" t="n">
        <x:f>ROUND(D244-E244,1)</x:f>
        <x:v>29.8</x:v>
      </x:c>
      <x:c r="G244" s="23" t="str">
        <x:v>IH2512</x:v>
      </x:c>
    </x:row>
    <x:row r="245">
      <x:c r="A245" s="23" t="n">
        <x:v>13</x:v>
      </x:c>
      <x:c r="B245" s="23" t="str">
        <x:v>周一</x:v>
      </x:c>
      <x:c r="C245" s="23" t="str">
        <x:v>10月27日</x:v>
      </x:c>
      <x:c r="D245" s="24" t="n">
        <x:v>3080</x:v>
      </x:c>
      <x:c r="E245" s="24" t="n">
        <x:v>3058.4</x:v>
      </x:c>
      <x:c r="F245" s="24" t="n">
        <x:f>ROUND(D245-E245,1)</x:f>
        <x:v>21.6</x:v>
      </x:c>
      <x:c r="G245" s="23" t="str">
        <x:v>IH2512</x:v>
      </x:c>
    </x:row>
    <x:row r="246">
      <x:c r="A246" s="23" t="n">
        <x:v>14</x:v>
      </x:c>
      <x:c r="B246" s="23" t="str">
        <x:v>周二</x:v>
      </x:c>
      <x:c r="C246" s="23" t="str">
        <x:v>10月28日</x:v>
      </x:c>
      <x:c r="D246" s="24" t="n">
        <x:v>3078.6</x:v>
      </x:c>
      <x:c r="E246" s="24" t="n">
        <x:v>3045.8</x:v>
      </x:c>
      <x:c r="F246" s="24" t="n">
        <x:f>ROUND(D246-E246,1)</x:f>
        <x:v>32.8</x:v>
      </x:c>
      <x:c r="G246" s="23" t="str">
        <x:v>IH2512</x:v>
      </x:c>
    </x:row>
    <x:row r="247">
      <x:c r="A247" s="23" t="n">
        <x:v>15</x:v>
      </x:c>
      <x:c r="B247" s="23" t="str">
        <x:v>周三</x:v>
      </x:c>
      <x:c r="C247" s="23" t="str">
        <x:v>10月29日</x:v>
      </x:c>
      <x:c r="D247" s="24" t="n">
        <x:v>3066.6</x:v>
      </x:c>
      <x:c r="E247" s="24" t="n">
        <x:v>3050</x:v>
      </x:c>
      <x:c r="F247" s="24" t="n">
        <x:f>ROUND(D247-E247,1)</x:f>
        <x:v>16.6</x:v>
      </x:c>
      <x:c r="G247" s="23" t="str">
        <x:v>IH2512</x:v>
      </x:c>
    </x:row>
    <x:row r="248">
      <x:c r="A248" s="23" t="n">
        <x:v>16</x:v>
      </x:c>
      <x:c r="B248" s="23" t="str">
        <x:v>周四</x:v>
      </x:c>
      <x:c r="C248" s="23" t="str">
        <x:v>10月30日</x:v>
      </x:c>
      <x:c r="D248" s="24" t="n">
        <x:v>3074.8</x:v>
      </x:c>
      <x:c r="E248" s="24" t="n">
        <x:v>3039.4</x:v>
      </x:c>
      <x:c r="F248" s="24" t="n">
        <x:f>ROUND(D248-E248,1)</x:f>
        <x:v>35.4</x:v>
      </x:c>
      <x:c r="G248" s="23" t="str">
        <x:v>IH2512</x:v>
      </x:c>
    </x:row>
    <x:row r="249">
      <x:c r="A249" s="23" t="n">
        <x:v>17</x:v>
      </x:c>
      <x:c r="B249" s="23" t="str">
        <x:v>周五</x:v>
      </x:c>
      <x:c r="C249" s="23" t="str">
        <x:v>10月31日</x:v>
      </x:c>
      <x:c r="D249" s="24" t="n">
        <x:v>3053</x:v>
      </x:c>
      <x:c r="E249" s="24" t="n">
        <x:v>3010.6</x:v>
      </x:c>
      <x:c r="F249" s="24" t="n">
        <x:f>ROUND(D249-E249,1)</x:f>
        <x:v>42.4</x:v>
      </x:c>
      <x:c r="G249" s="23" t="str">
        <x:v>IH2512</x:v>
      </x:c>
    </x:row>
    <x:row r="250">
      <x:c r="A250" s="33" t="str">
        <x:v>合计</x:v>
      </x:c>
      <x:c r="B250" s="32" t="n">
        <x:v>17</x:v>
      </x:c>
      <x:c r="C250" s="32"/>
      <x:c r="D250" s="32"/>
      <x:c r="E250" s="32"/>
      <x:c r="F250" s="34" t="n">
        <x:f>ROUND(SUM(F233:F249),1)</x:f>
        <x:v>688.6</x:v>
      </x:c>
      <x:c r="G250" s="32"/>
    </x:row>
    <x:row r="251">
      <x:c r="A251" s="33" t="str">
        <x:v>均值</x:v>
      </x:c>
      <x:c r="B251" s="32"/>
      <x:c r="C251" s="32"/>
      <x:c r="D251" s="32"/>
      <x:c r="E251" s="32"/>
      <x:c r="F251" s="36" t="n">
        <x:f>ROUND(IFERROR(AVERAGE(F233:F249),0),1)</x:f>
        <x:v>40.5</x:v>
      </x:c>
      <x:c r="G251" s="32"/>
    </x:row>
    <x:row r="253">
      <x:c r="A253" s="17" t="str">
        <x:v>11月</x:v>
      </x:c>
      <x:c r="B253" s="17"/>
      <x:c r="C253" s="17"/>
      <x:c r="D253" s="17"/>
      <x:c r="E253" s="17"/>
      <x:c r="F253" s="17"/>
      <x:c r="G253" s="17"/>
    </x:row>
    <x:row r="254">
      <x:c r="A254" s="20" t="str">
        <x:v>序号</x:v>
      </x:c>
      <x:c r="B254" s="20" t="str">
        <x:v>星期</x:v>
      </x:c>
      <x:c r="C254" s="20" t="str">
        <x:v>日期</x:v>
      </x:c>
      <x:c r="D254" s="20" t="str">
        <x:v>高点</x:v>
      </x:c>
      <x:c r="E254" s="20" t="str">
        <x:v>低点</x:v>
      </x:c>
      <x:c r="F254" s="20" t="str">
        <x:v>振幅</x:v>
      </x:c>
      <x:c r="G254" s="20" t="str">
        <x:v>标的</x:v>
      </x:c>
    </x:row>
    <x:row r="255">
      <x:c r="A255" s="23" t="n">
        <x:v>1</x:v>
      </x:c>
      <x:c r="B255" s="23" t="str">
        <x:v>周一</x:v>
      </x:c>
      <x:c r="C255" s="23" t="str">
        <x:v>11月3日</x:v>
      </x:c>
      <x:c r="D255" s="24" t="n">
        <x:v>3021</x:v>
      </x:c>
      <x:c r="E255" s="24" t="n">
        <x:v>2986</x:v>
      </x:c>
      <x:c r="F255" s="24" t="n">
        <x:f>ROUND(D255-E255,1)</x:f>
        <x:v>35</x:v>
      </x:c>
      <x:c r="G255" s="23" t="str">
        <x:v>IH2512</x:v>
      </x:c>
    </x:row>
    <x:row r="256">
      <x:c r="A256" s="23" t="n">
        <x:v>2</x:v>
      </x:c>
      <x:c r="B256" s="23" t="str">
        <x:v>周二</x:v>
      </x:c>
      <x:c r="C256" s="23" t="str">
        <x:v>11月4日</x:v>
      </x:c>
      <x:c r="D256" s="24" t="n">
        <x:v>3024.4</x:v>
      </x:c>
      <x:c r="E256" s="24" t="n">
        <x:v>2992</x:v>
      </x:c>
      <x:c r="F256" s="24" t="n">
        <x:f>ROUND(D256-E256,1)</x:f>
        <x:v>32.4</x:v>
      </x:c>
      <x:c r="G256" s="23" t="str">
        <x:v>IH2512</x:v>
      </x:c>
    </x:row>
    <x:row r="257">
      <x:c r="A257" s="23" t="n">
        <x:v>3</x:v>
      </x:c>
      <x:c r="B257" s="23" t="str">
        <x:v>周三</x:v>
      </x:c>
      <x:c r="C257" s="23" t="str">
        <x:v>11月5日</x:v>
      </x:c>
      <x:c r="D257" s="24" t="n">
        <x:v>3019.6</x:v>
      </x:c>
      <x:c r="E257" s="24" t="n">
        <x:v>2979</x:v>
      </x:c>
      <x:c r="F257" s="24" t="n">
        <x:f>ROUND(D257-E257,1)</x:f>
        <x:v>40.6</x:v>
      </x:c>
      <x:c r="G257" s="23" t="str">
        <x:v>IH2512</x:v>
      </x:c>
    </x:row>
    <x:row r="258">
      <x:c r="A258" s="23" t="n">
        <x:v>4</x:v>
      </x:c>
      <x:c r="B258" s="23" t="str">
        <x:v>周四</x:v>
      </x:c>
      <x:c r="C258" s="23" t="str">
        <x:v>11月6日</x:v>
      </x:c>
      <x:c r="D258" s="24" t="n">
        <x:v>3048.6</x:v>
      </x:c>
      <x:c r="E258" s="24" t="n">
        <x:v>3007</x:v>
      </x:c>
      <x:c r="F258" s="24" t="n">
        <x:f>ROUND(D258-E258,1)</x:f>
        <x:v>41.6</x:v>
      </x:c>
      <x:c r="G258" s="23" t="str">
        <x:v>IH2512</x:v>
      </x:c>
    </x:row>
    <x:row r="259">
      <x:c r="A259" s="23" t="n">
        <x:v>5</x:v>
      </x:c>
      <x:c r="B259" s="23" t="str">
        <x:v>周五</x:v>
      </x:c>
      <x:c r="C259" s="23" t="str">
        <x:v>11月7日</x:v>
      </x:c>
      <x:c r="D259" s="24" t="n">
        <x:v>3047.8</x:v>
      </x:c>
      <x:c r="E259" s="24" t="n">
        <x:v>3032.2</x:v>
      </x:c>
      <x:c r="F259" s="24" t="n">
        <x:f>ROUND(D259-E259,1)</x:f>
        <x:v>15.6</x:v>
      </x:c>
      <x:c r="G259" s="23" t="str">
        <x:v>IH2512</x:v>
      </x:c>
    </x:row>
    <x:row r="260">
      <x:c r="A260" s="23" t="n">
        <x:v>6</x:v>
      </x:c>
      <x:c r="B260" s="23" t="str">
        <x:v>周一</x:v>
      </x:c>
      <x:c r="C260" s="23" t="str">
        <x:v>11月10日</x:v>
      </x:c>
      <x:c r="D260" s="24" t="n">
        <x:v>3055</x:v>
      </x:c>
      <x:c r="E260" s="24" t="n">
        <x:v>3026.2</x:v>
      </x:c>
      <x:c r="F260" s="24" t="n">
        <x:f>ROUND(D260-E260,1)</x:f>
        <x:v>28.8</x:v>
      </x:c>
      <x:c r="G260" s="23" t="str">
        <x:v>IH2512</x:v>
      </x:c>
    </x:row>
    <x:row r="261">
      <x:c r="A261" s="23" t="n">
        <x:v>7</x:v>
      </x:c>
      <x:c r="B261" s="23" t="str">
        <x:v>周二</x:v>
      </x:c>
      <x:c r="C261" s="23" t="str">
        <x:v>11月11日</x:v>
      </x:c>
      <x:c r="D261" s="24" t="n">
        <x:v>3061.2</x:v>
      </x:c>
      <x:c r="E261" s="24" t="n">
        <x:v>3018</x:v>
      </x:c>
      <x:c r="F261" s="24" t="n">
        <x:f>ROUND(D261-E261,1)</x:f>
        <x:v>43.2</x:v>
      </x:c>
      <x:c r="G261" s="23" t="str">
        <x:v>IH2512</x:v>
      </x:c>
    </x:row>
    <x:row r="262">
      <x:c r="A262" s="23" t="n">
        <x:v>8</x:v>
      </x:c>
      <x:c r="B262" s="23" t="str">
        <x:v>周三</x:v>
      </x:c>
      <x:c r="C262" s="23" t="str">
        <x:v>11月12日</x:v>
      </x:c>
      <x:c r="D262" s="24" t="n">
        <x:v>3055.2</x:v>
      </x:c>
      <x:c r="E262" s="24" t="n">
        <x:v>3027.2</x:v>
      </x:c>
      <x:c r="F262" s="24" t="n">
        <x:f>ROUND(D262-E262,1)</x:f>
        <x:v>28</x:v>
      </x:c>
      <x:c r="G262" s="23" t="str">
        <x:v>IH2512</x:v>
      </x:c>
    </x:row>
    <x:row r="263">
      <x:c r="A263" s="23" t="n">
        <x:v>9</x:v>
      </x:c>
      <x:c r="B263" s="23" t="str">
        <x:v>周四</x:v>
      </x:c>
      <x:c r="C263" s="23" t="str">
        <x:v>11月13日</x:v>
      </x:c>
      <x:c r="D263" s="24" t="n">
        <x:v>3073.2</x:v>
      </x:c>
      <x:c r="E263" s="24" t="n">
        <x:v>3037.4</x:v>
      </x:c>
      <x:c r="F263" s="24" t="n">
        <x:f>ROUND(D263-E263,1)</x:f>
        <x:v>35.8</x:v>
      </x:c>
      <x:c r="G263" s="23" t="str">
        <x:v>IH2512</x:v>
      </x:c>
    </x:row>
    <x:row r="264">
      <x:c r="A264" s="23" t="n">
        <x:v>10</x:v>
      </x:c>
      <x:c r="B264" s="23" t="str">
        <x:v>周五</x:v>
      </x:c>
      <x:c r="C264" s="23" t="str">
        <x:v>11月14日</x:v>
      </x:c>
      <x:c r="D264" s="24" t="n">
        <x:v>3072.4</x:v>
      </x:c>
      <x:c r="E264" s="24" t="n">
        <x:v>3029.4</x:v>
      </x:c>
      <x:c r="F264" s="24" t="n">
        <x:f>ROUND(D264-E264,1)</x:f>
        <x:v>43</x:v>
      </x:c>
      <x:c r="G264" s="23" t="str">
        <x:v>IH2512</x:v>
      </x:c>
    </x:row>
    <x:row r="265">
      <x:c r="A265" s="23" t="n">
        <x:v>11</x:v>
      </x:c>
      <x:c r="B265" s="23" t="str">
        <x:v>周一</x:v>
      </x:c>
      <x:c r="C265" s="23" t="str">
        <x:v>11月17日</x:v>
      </x:c>
      <x:c r="D265" s="24" t="n">
        <x:v>3033.4</x:v>
      </x:c>
      <x:c r="E265" s="24" t="n">
        <x:v>2995.6</x:v>
      </x:c>
      <x:c r="F265" s="24" t="n">
        <x:f>ROUND(D265-E265,1)</x:f>
        <x:v>37.8</x:v>
      </x:c>
      <x:c r="G265" s="23" t="str">
        <x:v>IH2512</x:v>
      </x:c>
    </x:row>
    <x:row r="266">
      <x:c r="A266" s="23" t="n">
        <x:v>12</x:v>
      </x:c>
      <x:c r="B266" s="23" t="str">
        <x:v>周二</x:v>
      </x:c>
      <x:c r="C266" s="23" t="str">
        <x:v>11月18日</x:v>
      </x:c>
      <x:c r="D266" s="24" t="n">
        <x:v>3015.6</x:v>
      </x:c>
      <x:c r="E266" s="24" t="n">
        <x:v>2987.2</x:v>
      </x:c>
      <x:c r="F266" s="24" t="n">
        <x:f>ROUND(D266-E266,1)</x:f>
        <x:v>28.4</x:v>
      </x:c>
      <x:c r="G266" s="23" t="str">
        <x:v>IH2512</x:v>
      </x:c>
    </x:row>
    <x:row r="267">
      <x:c r="A267" s="23" t="n">
        <x:v>13</x:v>
      </x:c>
      <x:c r="B267" s="23" t="str">
        <x:v>周三</x:v>
      </x:c>
      <x:c r="C267" s="23" t="str">
        <x:v>11月19日</x:v>
      </x:c>
      <x:c r="D267" s="24" t="n">
        <x:v>3027</x:v>
      </x:c>
      <x:c r="E267" s="24" t="n">
        <x:v>2999.2</x:v>
      </x:c>
      <x:c r="F267" s="24" t="n">
        <x:f>ROUND(D267-E267,1)</x:f>
        <x:v>27.8</x:v>
      </x:c>
      <x:c r="G267" s="23" t="str">
        <x:v>IH2512</x:v>
      </x:c>
    </x:row>
    <x:row r="268">
      <x:c r="A268" s="23" t="n">
        <x:v>14</x:v>
      </x:c>
      <x:c r="B268" s="23" t="str">
        <x:v>周四</x:v>
      </x:c>
      <x:c r="C268" s="23" t="str">
        <x:v>11月20日</x:v>
      </x:c>
      <x:c r="D268" s="24" t="n">
        <x:v>3032.4</x:v>
      </x:c>
      <x:c r="E268" s="24" t="n">
        <x:v>2996.6</x:v>
      </x:c>
      <x:c r="F268" s="24" t="n">
        <x:f>ROUND(D268-E268,1)</x:f>
        <x:v>35.8</x:v>
      </x:c>
      <x:c r="G268" s="23" t="str">
        <x:v>IH2512</x:v>
      </x:c>
    </x:row>
    <x:row r="269">
      <x:c r="A269" s="29" t="n">
        <x:v>15</x:v>
      </x:c>
      <x:c r="B269" s="29" t="str">
        <x:v>周五</x:v>
      </x:c>
      <x:c r="C269" s="29" t="str">
        <x:v>11月21日</x:v>
      </x:c>
      <x:c r="D269" s="30" t="n">
        <x:v>2997.8</x:v>
      </x:c>
      <x:c r="E269" s="30" t="n">
        <x:v>2941</x:v>
      </x:c>
      <x:c r="F269" s="30" t="n">
        <x:f>ROUND(D269-E269,1)</x:f>
        <x:v>56.8</x:v>
      </x:c>
      <x:c r="G269" s="29" t="str">
        <x:v>IH2512</x:v>
      </x:c>
    </x:row>
    <x:row r="270">
      <x:c r="A270" s="23" t="n">
        <x:v>16</x:v>
      </x:c>
      <x:c r="B270" s="23" t="str">
        <x:v>周一</x:v>
      </x:c>
      <x:c r="C270" s="23" t="str">
        <x:v>11月24日</x:v>
      </x:c>
      <x:c r="D270" s="24" t="n">
        <x:v>2958</x:v>
      </x:c>
      <x:c r="E270" s="24" t="n">
        <x:v>2935</x:v>
      </x:c>
      <x:c r="F270" s="24" t="n">
        <x:f>ROUND(D270-E270,1)</x:f>
        <x:v>23</x:v>
      </x:c>
      <x:c r="G270" s="23" t="str">
        <x:v>IH2512</x:v>
      </x:c>
    </x:row>
    <x:row r="271">
      <x:c r="A271" s="23" t="n">
        <x:v>17</x:v>
      </x:c>
      <x:c r="B271" s="23" t="str">
        <x:v>周二</x:v>
      </x:c>
      <x:c r="C271" s="23" t="str">
        <x:v>11月25日</x:v>
      </x:c>
      <x:c r="D271" s="24" t="n">
        <x:v>2970</x:v>
      </x:c>
      <x:c r="E271" s="24" t="n">
        <x:v>2948</x:v>
      </x:c>
      <x:c r="F271" s="24" t="n">
        <x:f>ROUND(D271-E271,1)</x:f>
        <x:v>22</x:v>
      </x:c>
      <x:c r="G271" s="23" t="str">
        <x:v>IH2512</x:v>
      </x:c>
    </x:row>
    <x:row r="272">
      <x:c r="A272" s="23" t="n">
        <x:v>18</x:v>
      </x:c>
      <x:c r="B272" s="23" t="str">
        <x:v>周三</x:v>
      </x:c>
      <x:c r="C272" s="23" t="str">
        <x:v>11月26日</x:v>
      </x:c>
      <x:c r="D272" s="24" t="n">
        <x:v>2973.6</x:v>
      </x:c>
      <x:c r="E272" s="24" t="n">
        <x:v>2962</x:v>
      </x:c>
      <x:c r="F272" s="24" t="n">
        <x:f>ROUND(D272-E272,1)</x:f>
        <x:v>11.6</x:v>
      </x:c>
      <x:c r="G272" s="23" t="str">
        <x:v>IH2512</x:v>
      </x:c>
    </x:row>
    <x:row r="273">
      <x:c r="A273" s="23" t="n">
        <x:v>19</x:v>
      </x:c>
      <x:c r="B273" s="23" t="str">
        <x:v>周四</x:v>
      </x:c>
      <x:c r="C273" s="23" t="str">
        <x:v>11月27日</x:v>
      </x:c>
      <x:c r="D273" s="24" t="n">
        <x:v>2986.4</x:v>
      </x:c>
      <x:c r="E273" s="24" t="n">
        <x:v>2958.2</x:v>
      </x:c>
      <x:c r="F273" s="24" t="n">
        <x:f>ROUND(D273-E273,1)</x:f>
        <x:v>28.2</x:v>
      </x:c>
      <x:c r="G273" s="23" t="str">
        <x:v>IH2512</x:v>
      </x:c>
    </x:row>
    <x:row r="274">
      <x:c r="A274" s="23" t="n">
        <x:v>20</x:v>
      </x:c>
      <x:c r="B274" s="23" t="str">
        <x:v>周五</x:v>
      </x:c>
      <x:c r="C274" s="23" t="str">
        <x:v>11月28日</x:v>
      </x:c>
      <x:c r="D274" s="24" t="n">
        <x:v>2968.8</x:v>
      </x:c>
      <x:c r="E274" s="24" t="n">
        <x:v>2948</x:v>
      </x:c>
      <x:c r="F274" s="24" t="n">
        <x:f>ROUND(D274-E274,1)</x:f>
        <x:v>20.8</x:v>
      </x:c>
      <x:c r="G274" s="23" t="str">
        <x:v>IH2512</x:v>
      </x:c>
    </x:row>
    <x:row r="275">
      <x:c r="A275" s="33" t="str">
        <x:v>合计</x:v>
      </x:c>
      <x:c r="B275" s="32" t="n">
        <x:v>20</x:v>
      </x:c>
      <x:c r="C275" s="32"/>
      <x:c r="D275" s="32"/>
      <x:c r="E275" s="32"/>
      <x:c r="F275" s="34" t="n">
        <x:f>ROUND(SUM(F255:F274),1)</x:f>
        <x:v>636.2</x:v>
      </x:c>
      <x:c r="G275" s="32"/>
    </x:row>
    <x:row r="276">
      <x:c r="A276" s="33" t="str">
        <x:v>均值</x:v>
      </x:c>
      <x:c r="B276" s="32"/>
      <x:c r="C276" s="32"/>
      <x:c r="D276" s="32"/>
      <x:c r="E276" s="32"/>
      <x:c r="F276" s="36" t="n">
        <x:f>ROUND(IFERROR(AVERAGE(F255:F274),0),1)</x:f>
        <x:v>31.8</x:v>
      </x:c>
      <x:c r="G276" s="32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高点</x:v>
      </x:c>
      <x:c r="E279" s="20" t="str">
        <x:v>低点</x:v>
      </x:c>
      <x:c r="F279" s="20" t="str">
        <x:v>振幅</x:v>
      </x:c>
      <x:c r="G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12月1日</x:v>
      </x:c>
      <x:c r="D280" s="24" t="n">
        <x:v>2986.8</x:v>
      </x:c>
      <x:c r="E280" s="24" t="n">
        <x:v>2964.2</x:v>
      </x:c>
      <x:c r="F280" s="24" t="n">
        <x:f>ROUND(D280-E280,1)</x:f>
        <x:v>22.6</x:v>
      </x:c>
      <x:c r="G280" s="23" t="str">
        <x:v>IH2512</x:v>
      </x:c>
    </x:row>
    <x:row r="281">
      <x:c r="A281" s="23" t="n">
        <x:v>2</x:v>
      </x:c>
      <x:c r="B281" s="23" t="str">
        <x:v>周二</x:v>
      </x:c>
      <x:c r="C281" s="23" t="str">
        <x:v>12月2日</x:v>
      </x:c>
      <x:c r="D281" s="24" t="n">
        <x:v>2987.2</x:v>
      </x:c>
      <x:c r="E281" s="24" t="n">
        <x:v>2964.2</x:v>
      </x:c>
      <x:c r="F281" s="24" t="n">
        <x:f>ROUND(D281-E281,1)</x:f>
        <x:v>23</x:v>
      </x:c>
      <x:c r="G281" s="23" t="str">
        <x:v>IH2512</x:v>
      </x:c>
    </x:row>
    <x:row r="282">
      <x:c r="A282" s="23" t="n">
        <x:v>3</x:v>
      </x:c>
      <x:c r="B282" s="23" t="str">
        <x:v>周三</x:v>
      </x:c>
      <x:c r="C282" s="23" t="str">
        <x:v>12月3日</x:v>
      </x:c>
      <x:c r="D282" s="24" t="n">
        <x:v>2977.8</x:v>
      </x:c>
      <x:c r="E282" s="24" t="n">
        <x:v>2950</x:v>
      </x:c>
      <x:c r="F282" s="24" t="n">
        <x:f>ROUND(D282-E282,1)</x:f>
        <x:v>27.8</x:v>
      </x:c>
      <x:c r="G282" s="23" t="str">
        <x:v>IH2512</x:v>
      </x:c>
    </x:row>
    <x:row r="283">
      <x:c r="A283" s="23" t="n">
        <x:v>4</x:v>
      </x:c>
      <x:c r="B283" s="23" t="str">
        <x:v>周四</x:v>
      </x:c>
      <x:c r="C283" s="23" t="str">
        <x:v>12月4日</x:v>
      </x:c>
      <x:c r="D283" s="24" t="n">
        <x:v>2977.8</x:v>
      </x:c>
      <x:c r="E283" s="24" t="n">
        <x:v>2953.2</x:v>
      </x:c>
      <x:c r="F283" s="24" t="n">
        <x:f>ROUND(D283-E283,1)</x:f>
        <x:v>24.6</x:v>
      </x:c>
      <x:c r="G283" s="23" t="str">
        <x:v>IH2512</x:v>
      </x:c>
    </x:row>
    <x:row r="284">
      <x:c r="A284" s="23" t="n">
        <x:v>5</x:v>
      </x:c>
      <x:c r="B284" s="23" t="str">
        <x:v>周五</x:v>
      </x:c>
      <x:c r="C284" s="23" t="str">
        <x:v>12月5日</x:v>
      </x:c>
      <x:c r="D284" s="24" t="n">
        <x:v>3011.2</x:v>
      </x:c>
      <x:c r="E284" s="24" t="n">
        <x:v>2963.4</x:v>
      </x:c>
      <x:c r="F284" s="24" t="n">
        <x:f>ROUND(D284-E284,1)</x:f>
        <x:v>47.8</x:v>
      </x:c>
      <x:c r="G284" s="23" t="str">
        <x:v>IH2512</x:v>
      </x:c>
    </x:row>
    <x:row r="285">
      <x:c r="A285" s="23" t="n">
        <x:v>6</x:v>
      </x:c>
      <x:c r="B285" s="23" t="str">
        <x:v>周一</x:v>
      </x:c>
      <x:c r="C285" s="23" t="str">
        <x:v>12月8日</x:v>
      </x:c>
      <x:c r="D285" s="24" t="n">
        <x:v>3030.8</x:v>
      </x:c>
      <x:c r="E285" s="24" t="n">
        <x:v>3003.6</x:v>
      </x:c>
      <x:c r="F285" s="24" t="n">
        <x:f>ROUND(D285-E285,1)</x:f>
        <x:v>27.2</x:v>
      </x:c>
      <x:c r="G285" s="23" t="str">
        <x:v>IH2512</x:v>
      </x:c>
    </x:row>
    <x:row r="286">
      <x:c r="A286" s="23" t="n">
        <x:v>7</x:v>
      </x:c>
      <x:c r="B286" s="23" t="str">
        <x:v>周二</x:v>
      </x:c>
      <x:c r="C286" s="23" t="str">
        <x:v>12月9日</x:v>
      </x:c>
      <x:c r="D286" s="24" t="n">
        <x:v>3013.6</x:v>
      </x:c>
      <x:c r="E286" s="24" t="n">
        <x:v>2986</x:v>
      </x:c>
      <x:c r="F286" s="24" t="n">
        <x:f>ROUND(D286-E286,1)</x:f>
        <x:v>27.6</x:v>
      </x:c>
      <x:c r="G286" s="23" t="str">
        <x:v>IH2512</x:v>
      </x:c>
    </x:row>
    <x:row r="287">
      <x:c r="A287" s="23" t="n">
        <x:v>8</x:v>
      </x:c>
      <x:c r="B287" s="23" t="str">
        <x:v>周三</x:v>
      </x:c>
      <x:c r="C287" s="23" t="str">
        <x:v>12月10日</x:v>
      </x:c>
      <x:c r="D287" s="24" t="n">
        <x:v>2993.8</x:v>
      </x:c>
      <x:c r="E287" s="24" t="n">
        <x:v>2962.6</x:v>
      </x:c>
      <x:c r="F287" s="24" t="n">
        <x:f>ROUND(D287-E287,1)</x:f>
        <x:v>31.2</x:v>
      </x:c>
      <x:c r="G287" s="23" t="str">
        <x:v>IH2512</x:v>
      </x:c>
    </x:row>
    <x:row r="288">
      <x:c r="A288" s="23" t="n">
        <x:v>9</x:v>
      </x:c>
      <x:c r="B288" s="23" t="str">
        <x:v>周四</x:v>
      </x:c>
      <x:c r="C288" s="23" t="str">
        <x:v>12月11日</x:v>
      </x:c>
      <x:c r="D288" s="24" t="n">
        <x:v>2992.6</x:v>
      </x:c>
      <x:c r="E288" s="24" t="n">
        <x:v>2958.2</x:v>
      </x:c>
      <x:c r="F288" s="24" t="n">
        <x:f>ROUND(D288-E288,1)</x:f>
        <x:v>34.4</x:v>
      </x:c>
      <x:c r="G288" s="23" t="str">
        <x:v>IH2512</x:v>
      </x:c>
    </x:row>
    <x:row r="289">
      <x:c r="A289" s="23" t="n">
        <x:v>10</x:v>
      </x:c>
      <x:c r="B289" s="23" t="str">
        <x:v>周五</x:v>
      </x:c>
      <x:c r="C289" s="23" t="str">
        <x:v>12月12日</x:v>
      </x:c>
      <x:c r="D289" s="24" t="n">
        <x:v>2990.4</x:v>
      </x:c>
      <x:c r="E289" s="24" t="n">
        <x:v>2961.2</x:v>
      </x:c>
      <x:c r="F289" s="24" t="n">
        <x:f>ROUND(D289-E289,1)</x:f>
        <x:v>29.2</x:v>
      </x:c>
      <x:c r="G289" s="23" t="str">
        <x:v>IH2512</x:v>
      </x:c>
    </x:row>
    <x:row r="290">
      <x:c r="A290" s="23" t="n">
        <x:v>11</x:v>
      </x:c>
      <x:c r="B290" s="23" t="str">
        <x:v>周一</x:v>
      </x:c>
      <x:c r="C290" s="23" t="str">
        <x:v>12月15日</x:v>
      </x:c>
      <x:c r="D290" s="24" t="n">
        <x:v>3014.6</x:v>
      </x:c>
      <x:c r="E290" s="24" t="n">
        <x:v>2974</x:v>
      </x:c>
      <x:c r="F290" s="24" t="n">
        <x:f>ROUND(D290-E290,1)</x:f>
        <x:v>40.6</x:v>
      </x:c>
      <x:c r="G290" s="23" t="str">
        <x:v>IH2512</x:v>
      </x:c>
    </x:row>
    <x:row r="291">
      <x:c r="A291" s="23" t="n">
        <x:v>12</x:v>
      </x:c>
      <x:c r="B291" s="23" t="str">
        <x:v>周二</x:v>
      </x:c>
      <x:c r="C291" s="23" t="str">
        <x:v>12月16日</x:v>
      </x:c>
      <x:c r="D291" s="24" t="n">
        <x:v>2983.6</x:v>
      </x:c>
      <x:c r="E291" s="24" t="n">
        <x:v>2936.2</x:v>
      </x:c>
      <x:c r="F291" s="24" t="n">
        <x:f>ROUND(D291-E291,1)</x:f>
        <x:v>47.4</x:v>
      </x:c>
      <x:c r="G291" s="23" t="str">
        <x:v>IH2512</x:v>
      </x:c>
    </x:row>
    <x:row r="292">
      <x:c r="A292" s="23" t="n">
        <x:v>13</x:v>
      </x:c>
      <x:c r="B292" s="23" t="str">
        <x:v>周三</x:v>
      </x:c>
      <x:c r="C292" s="23" t="str">
        <x:v>12月17日</x:v>
      </x:c>
      <x:c r="D292" s="24" t="n">
        <x:v>3006</x:v>
      </x:c>
      <x:c r="E292" s="24" t="n">
        <x:v>2944</x:v>
      </x:c>
      <x:c r="F292" s="26" t="n">
        <x:f>ROUND(D292-E292,1)</x:f>
        <x:v>62</x:v>
      </x:c>
      <x:c r="G292" s="23" t="str">
        <x:v>IH2512</x:v>
      </x:c>
    </x:row>
    <x:row r="293">
      <x:c r="A293" s="23" t="n">
        <x:v>14</x:v>
      </x:c>
      <x:c r="B293" s="23" t="str">
        <x:v>周四</x:v>
      </x:c>
      <x:c r="C293" s="23" t="str">
        <x:v>12月18日</x:v>
      </x:c>
      <x:c r="D293" s="24" t="n">
        <x:v>2999.6</x:v>
      </x:c>
      <x:c r="E293" s="24" t="n">
        <x:v>2976.4</x:v>
      </x:c>
      <x:c r="F293" s="24" t="n">
        <x:f>ROUND(D293-E293,1)</x:f>
        <x:v>23.2</x:v>
      </x:c>
      <x:c r="G293" s="23" t="str">
        <x:v>IH2512</x:v>
      </x:c>
    </x:row>
    <x:row r="294">
      <x:c r="A294" s="29" t="n">
        <x:v>15</x:v>
      </x:c>
      <x:c r="B294" s="29" t="str">
        <x:v>周五</x:v>
      </x:c>
      <x:c r="C294" s="29" t="str">
        <x:v>12月19日</x:v>
      </x:c>
      <x:c r="D294" s="30" t="n">
        <x:v>3021.2</x:v>
      </x:c>
      <x:c r="E294" s="30" t="n">
        <x:v>2986</x:v>
      </x:c>
      <x:c r="F294" s="30" t="n">
        <x:f>ROUND(D294-E294,1)</x:f>
        <x:v>35.2</x:v>
      </x:c>
      <x:c r="G294" s="29" t="str">
        <x:v>IH2512</x:v>
      </x:c>
    </x:row>
    <x:row r="295">
      <x:c r="A295" s="23" t="n">
        <x:v>16</x:v>
      </x:c>
      <x:c r="B295" s="23" t="str">
        <x:v>周一</x:v>
      </x:c>
      <x:c r="C295" s="23" t="str">
        <x:v>12月22日</x:v>
      </x:c>
      <x:c r="D295" s="24" t="n">
        <x:v>3028.4</x:v>
      </x:c>
      <x:c r="E295" s="24" t="n">
        <x:v>3010.8</x:v>
      </x:c>
      <x:c r="F295" s="24" t="n">
        <x:f>ROUND(D295-E295,1)</x:f>
        <x:v>17.6</x:v>
      </x:c>
      <x:c r="G295" s="23" t="str">
        <x:v>IH2603</x:v>
      </x:c>
    </x:row>
    <x:row r="296">
      <x:c r="A296" s="23" t="n">
        <x:v>17</x:v>
      </x:c>
      <x:c r="B296" s="23" t="str">
        <x:v>周二</x:v>
      </x:c>
      <x:c r="C296" s="23" t="str">
        <x:v>12月23日</x:v>
      </x:c>
      <x:c r="D296" s="24" t="n">
        <x:v>3038.8</x:v>
      </x:c>
      <x:c r="E296" s="24" t="n">
        <x:v>3015.2</x:v>
      </x:c>
      <x:c r="F296" s="24" t="n">
        <x:f>ROUND(D296-E296,1)</x:f>
        <x:v>23.6</x:v>
      </x:c>
      <x:c r="G296" s="23" t="str">
        <x:v>IH2603</x:v>
      </x:c>
    </x:row>
    <x:row r="297">
      <x:c r="A297" s="23" t="n">
        <x:v>18</x:v>
      </x:c>
      <x:c r="B297" s="23" t="str">
        <x:v>周三</x:v>
      </x:c>
      <x:c r="C297" s="23" t="str">
        <x:v>12月24日</x:v>
      </x:c>
      <x:c r="D297" s="24" t="n">
        <x:v>3033.2</x:v>
      </x:c>
      <x:c r="E297" s="24" t="n">
        <x:v>3012.2</x:v>
      </x:c>
      <x:c r="F297" s="24" t="n">
        <x:f>ROUND(D297-E297,1)</x:f>
        <x:v>21</x:v>
      </x:c>
      <x:c r="G297" s="23" t="str">
        <x:v>IH2603</x:v>
      </x:c>
    </x:row>
    <x:row r="298">
      <x:c r="A298" s="23" t="n">
        <x:v>19</x:v>
      </x:c>
      <x:c r="B298" s="23" t="str">
        <x:v>周四</x:v>
      </x:c>
      <x:c r="C298" s="23" t="str">
        <x:v>12月25日</x:v>
      </x:c>
      <x:c r="D298" s="24" t="n">
        <x:v>3040.6</x:v>
      </x:c>
      <x:c r="E298" s="24" t="n">
        <x:v>3018</x:v>
      </x:c>
      <x:c r="F298" s="24" t="n">
        <x:f>ROUND(D298-E298,1)</x:f>
        <x:v>22.6</x:v>
      </x:c>
      <x:c r="G298" s="23" t="str">
        <x:v>IH2603</x:v>
      </x:c>
    </x:row>
    <x:row r="299">
      <x:c r="A299" s="23" t="n">
        <x:v>20</x:v>
      </x:c>
      <x:c r="B299" s="23" t="str">
        <x:v>周五</x:v>
      </x:c>
      <x:c r="C299" s="23" t="str">
        <x:v>12月26日</x:v>
      </x:c>
      <x:c r="D299" s="24" t="n">
        <x:v>3066.6</x:v>
      </x:c>
      <x:c r="E299" s="24" t="n">
        <x:v>3034</x:v>
      </x:c>
      <x:c r="F299" s="24" t="n">
        <x:f>ROUND(D299-E299,1)</x:f>
        <x:v>32.6</x:v>
      </x:c>
      <x:c r="G299" s="23" t="str">
        <x:v>IH2603</x:v>
      </x:c>
    </x:row>
    <x:row r="300">
      <x:c r="A300" s="23" t="n">
        <x:v>21</x:v>
      </x:c>
      <x:c r="B300" s="23" t="str">
        <x:v>周一</x:v>
      </x:c>
      <x:c r="C300" s="23" t="str">
        <x:v>12月29日</x:v>
      </x:c>
      <x:c r="D300" s="24" t="n">
        <x:v>3060.6</x:v>
      </x:c>
      <x:c r="E300" s="24" t="n">
        <x:v>3030.4</x:v>
      </x:c>
      <x:c r="F300" s="24" t="n">
        <x:f>ROUND(D300-E300,1)</x:f>
        <x:v>30.2</x:v>
      </x:c>
      <x:c r="G300" s="23" t="str">
        <x:v>IH2603</x:v>
      </x:c>
    </x:row>
    <x:row r="301">
      <x:c r="A301" s="23" t="n">
        <x:v>22</x:v>
      </x:c>
      <x:c r="B301" s="23" t="str">
        <x:v>周二</x:v>
      </x:c>
      <x:c r="C301" s="23" t="str">
        <x:v>12月30日</x:v>
      </x:c>
      <x:c r="D301" s="24" t="n">
        <x:v>3054</x:v>
      </x:c>
      <x:c r="E301" s="24" t="n">
        <x:v>3024</x:v>
      </x:c>
      <x:c r="F301" s="24" t="n">
        <x:f>ROUND(D301-E301,1)</x:f>
        <x:v>30</x:v>
      </x:c>
      <x:c r="G301" s="23" t="str">
        <x:v>IH2603</x:v>
      </x:c>
    </x:row>
    <x:row r="302">
      <x:c r="A302" s="23" t="n">
        <x:v>23</x:v>
      </x:c>
      <x:c r="B302" s="23" t="str">
        <x:v>周三</x:v>
      </x:c>
      <x:c r="C302" s="23" t="str">
        <x:v>12月31日</x:v>
      </x:c>
      <x:c r="D302" s="24" t="n">
        <x:v>3046.8</x:v>
      </x:c>
      <x:c r="E302" s="24" t="n">
        <x:v>3015</x:v>
      </x:c>
      <x:c r="F302" s="24" t="n">
        <x:f>ROUND(D302-E302,1)</x:f>
        <x:v>31.8</x:v>
      </x:c>
      <x:c r="G302" s="23" t="str">
        <x:v>IH2603</x:v>
      </x:c>
    </x:row>
    <x:row r="303">
      <x:c r="A303" s="33" t="str">
        <x:v>合计</x:v>
      </x:c>
      <x:c r="B303" s="32" t="n">
        <x:v>23</x:v>
      </x:c>
      <x:c r="C303" s="32"/>
      <x:c r="D303" s="32"/>
      <x:c r="E303" s="32"/>
      <x:c r="F303" s="34" t="n">
        <x:f>ROUND(SUM(F280:F302),1)</x:f>
        <x:v>713.2</x:v>
      </x:c>
      <x:c r="G303" s="32"/>
    </x:row>
    <x:row r="304">
      <x:c r="A304" s="33" t="str">
        <x:v>均值</x:v>
      </x:c>
      <x:c r="B304" s="32"/>
      <x:c r="C304" s="32"/>
      <x:c r="D304" s="32"/>
      <x:c r="E304" s="32"/>
      <x:c r="F304" s="36" t="n">
        <x:f>ROUND(IFERROR(AVERAGE(F280:F302),0),1)</x:f>
        <x:v>31</x:v>
      </x:c>
      <x:c r="G304" s="32"/>
    </x:row>
  </x:sheetData>
  <x:mergeCells>
    <x:mergeCell ref="A1:G1"/>
    <x:mergeCell ref="A3:G3"/>
    <x:mergeCell ref="A26:G26"/>
    <x:mergeCell ref="A49:G49"/>
    <x:mergeCell ref="A75:G75"/>
    <x:mergeCell ref="A101:G101"/>
    <x:mergeCell ref="A125:G125"/>
    <x:mergeCell ref="A150:G150"/>
    <x:mergeCell ref="A178:G178"/>
    <x:mergeCell ref="A204:G204"/>
    <x:mergeCell ref="A231:G231"/>
    <x:mergeCell ref="A253:G253"/>
    <x:mergeCell ref="A278:G278"/>
  </x:mergeCells>
  <x:pageMargins left="0.7" right="0.7" top="0.75" bottom="0.75" header="0.3" footer="0.3"/>
</x:worksheet>
</file>